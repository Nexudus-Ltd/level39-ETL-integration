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arioBosqued\Documents\level39-ETL-integration\"/>
    </mc:Choice>
  </mc:AlternateContent>
  <xr:revisionPtr revIDLastSave="0" documentId="13_ncr:1_{0D195031-21F2-4C86-944D-E74248194906}" xr6:coauthVersionLast="47" xr6:coauthVersionMax="47" xr10:uidLastSave="{00000000-0000-0000-0000-000000000000}"/>
  <bookViews>
    <workbookView xWindow="1590" yWindow="-14820" windowWidth="23925" windowHeight="13020" tabRatio="631" firstSheet="1" activeTab="7" xr2:uid="{00000000-000D-0000-FFFF-FFFF00000000}"/>
  </bookViews>
  <sheets>
    <sheet name="Instructions" sheetId="24" state="hidden" r:id="rId1"/>
    <sheet name="Instruction" sheetId="42" r:id="rId2"/>
    <sheet name="ETL" sheetId="3" r:id="rId3"/>
    <sheet name="Upload tab" sheetId="41" r:id="rId4"/>
    <sheet name="Data Details -&gt;&gt;" sheetId="38" r:id="rId5"/>
    <sheet name="Sheet1" sheetId="35" state="hidden" r:id="rId6"/>
    <sheet name="Power Query Table" sheetId="40" r:id="rId7"/>
    <sheet name="Membership invoices" sheetId="39" r:id="rId8"/>
    <sheet name="Mapping" sheetId="31" state="hidden" r:id="rId9"/>
    <sheet name="Recoverability" sheetId="16" state="hidden" r:id="rId10"/>
    <sheet name="IC Codes" sheetId="22" state="hidden" r:id="rId11"/>
    <sheet name="Budget" sheetId="15" state="hidden" r:id="rId12"/>
    <sheet name="VAT" sheetId="13" state="hidden" r:id="rId13"/>
    <sheet name="CoA" sheetId="20" state="hidden" r:id="rId14"/>
    <sheet name="Company Info" sheetId="18" state="hidden" r:id="rId15"/>
    <sheet name="Property Listing by LE" sheetId="19" state="hidden" r:id="rId16"/>
  </sheets>
  <externalReferences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03_33_C5_C6" localSheetId="10">#REF!</definedName>
    <definedName name="_03_33_C5_C6" localSheetId="0">#REF!</definedName>
    <definedName name="_03_33_C5_C6">#REF!</definedName>
    <definedName name="_41_42_43_44" localSheetId="10">#REF!</definedName>
    <definedName name="_41_42_43_44" localSheetId="0">#REF!</definedName>
    <definedName name="_41_42_43_44">#REF!</definedName>
    <definedName name="_ASP2" localSheetId="13">[1]dis02!$AW$4</definedName>
    <definedName name="_ASP2">[2]dis02!$AW$4</definedName>
    <definedName name="_dec06">[3]globals!$C$15</definedName>
    <definedName name="_xlnm._FilterDatabase" localSheetId="11" hidden="1">Budget!$A$4:$E$4</definedName>
    <definedName name="_xlnm._FilterDatabase" localSheetId="13" hidden="1">CoA!$A$7:$M$7</definedName>
    <definedName name="_xlnm._FilterDatabase" localSheetId="14" hidden="1">'Company Info'!$B$5:$R$610</definedName>
    <definedName name="_xlnm._FilterDatabase" localSheetId="2" hidden="1">ETL!$A$2:$CD$221</definedName>
    <definedName name="_xlnm._FilterDatabase" localSheetId="10" hidden="1">'IC Codes'!$A$4:$G$4</definedName>
    <definedName name="_xlnm._FilterDatabase" localSheetId="15" hidden="1">'Property Listing by LE'!$B$4:$V$2427</definedName>
    <definedName name="_xlnm._FilterDatabase" localSheetId="9" hidden="1">Recoverability!$B$5:$C$847</definedName>
    <definedName name="_xlnm._FilterDatabase" localSheetId="5" hidden="1">Sheet1!$F$1:$F$193</definedName>
    <definedName name="_xlnm._FilterDatabase" localSheetId="3" hidden="1">'Upload tab'!$B$2:$G$265</definedName>
    <definedName name="_jun06">[3]globals!$C$9</definedName>
    <definedName name="_sep06">[3]globals!$C$12</definedName>
    <definedName name="A" localSheetId="10">#REF!</definedName>
    <definedName name="A" localSheetId="0">#REF!</definedName>
    <definedName name="A" localSheetId="9">#REF!</definedName>
    <definedName name="A">#REF!</definedName>
    <definedName name="AB" localSheetId="9">#REF!</definedName>
    <definedName name="AB">#REF!</definedName>
    <definedName name="ac" localSheetId="9">#REF!</definedName>
    <definedName name="ac">#REF!</definedName>
    <definedName name="accpd">[3]newavbsum!$AZ$9:$BI$9</definedName>
    <definedName name="actshortpd">[3]newavbsum!$BL$4:$BT$4</definedName>
    <definedName name="ADD">[4]Globals!$D$9:$D$9</definedName>
    <definedName name="ASP" localSheetId="13">[1]dis02!$AW$3</definedName>
    <definedName name="ASP">[2]dis02!$AW$3</definedName>
    <definedName name="B" localSheetId="10">#REF!</definedName>
    <definedName name="B" localSheetId="0">#REF!</definedName>
    <definedName name="B" localSheetId="9">#REF!</definedName>
    <definedName name="B">#REF!</definedName>
    <definedName name="b4start" localSheetId="10">#REF!</definedName>
    <definedName name="b4start" localSheetId="0">#REF!</definedName>
    <definedName name="b4start">#REF!</definedName>
    <definedName name="Bacs" localSheetId="13">'[1]CWL 2005'!$BC$453</definedName>
    <definedName name="Bacs">'[2]CWL 2005'!$BC$453</definedName>
    <definedName name="BBDEC95TOTAL" localSheetId="10">#REF!</definedName>
    <definedName name="BBDEC95TOTAL" localSheetId="0">#REF!</definedName>
    <definedName name="BBDEC95TOTAL">#REF!</definedName>
    <definedName name="BLAX_VAT" localSheetId="10">#REF!</definedName>
    <definedName name="BLAX_VAT" localSheetId="0">#REF!</definedName>
    <definedName name="BLAX_VAT">#REF!</definedName>
    <definedName name="bonusni" localSheetId="9">#REF!</definedName>
    <definedName name="bonusni">#REF!</definedName>
    <definedName name="budshortpd">[3]newavbsum!$T$4:$AB$4</definedName>
    <definedName name="CABOTPLACERT2_VAT" localSheetId="10">#REF!</definedName>
    <definedName name="CABOTPLACERT2_VAT" localSheetId="0">#REF!</definedName>
    <definedName name="CABOTPLACERT2_VAT">#REF!</definedName>
    <definedName name="CANADAPLACE_VAT" localSheetId="10">#REF!</definedName>
    <definedName name="CANADAPLACE_VAT" localSheetId="0">#REF!</definedName>
    <definedName name="CANADAPLACE_VAT">#REF!</definedName>
    <definedName name="CANCEL" localSheetId="10">#REF!</definedName>
    <definedName name="CANCEL" localSheetId="0">#REF!</definedName>
    <definedName name="CANCEL">#REF!</definedName>
    <definedName name="CASP" localSheetId="13">[1]dis02!$AW$2</definedName>
    <definedName name="CASP">[2]dis02!$AW$2</definedName>
    <definedName name="CoName">[5]Front!$B$4:$B$305</definedName>
    <definedName name="CoNo">[5]Front!$A$4:$A$305</definedName>
    <definedName name="CPL_VAT" localSheetId="10">#REF!</definedName>
    <definedName name="CPL_VAT" localSheetId="0">#REF!</definedName>
    <definedName name="CPL_VAT">#REF!</definedName>
    <definedName name="CPRUNITTRUST_VAT" localSheetId="10">#REF!</definedName>
    <definedName name="CPRUNITTRUST_VAT" localSheetId="0">#REF!</definedName>
    <definedName name="CPRUNITTRUST_VAT">#REF!</definedName>
    <definedName name="CWC_DS3E_VAT" localSheetId="10">#REF!</definedName>
    <definedName name="CWC_DS3E_VAT" localSheetId="0">#REF!</definedName>
    <definedName name="CWC_DS3E_VAT">#REF!</definedName>
    <definedName name="CWC_DS3W_VAT">#REF!</definedName>
    <definedName name="CWC_VAT">#REF!</definedName>
    <definedName name="CWCARP_VAT">#REF!</definedName>
    <definedName name="CWCB4_VAT">#REF!</definedName>
    <definedName name="CWCB5_VAT">#REF!</definedName>
    <definedName name="CWCBINVESTMENTSB1_VAT">#REF!</definedName>
    <definedName name="CWCBINVESTMENTSRT2_VAT">#REF!</definedName>
    <definedName name="CWCBLEASINGB1_VAT">'[6]CWCB LEASING (B1) B9'!#REF!</definedName>
    <definedName name="CWCBP1_VAT" localSheetId="10">#REF!</definedName>
    <definedName name="CWCBP1_VAT" localSheetId="0">#REF!</definedName>
    <definedName name="CWCBP1_VAT">#REF!</definedName>
    <definedName name="CWCBP2_VAT" localSheetId="10">#REF!</definedName>
    <definedName name="CWCBP2_VAT" localSheetId="0">#REF!</definedName>
    <definedName name="CWCBP2_VAT">#REF!</definedName>
    <definedName name="CWCBP3_VAT" localSheetId="10">#REF!</definedName>
    <definedName name="CWCBP3_VAT" localSheetId="0">#REF!</definedName>
    <definedName name="CWCBP3_VAT">#REF!</definedName>
    <definedName name="CWCBP4_VAT">#REF!</definedName>
    <definedName name="CWCDS1_VAT">#REF!</definedName>
    <definedName name="CWCDS2_VAT">#REF!</definedName>
    <definedName name="CWCDS3_VAT">#REF!</definedName>
    <definedName name="CWCDS4_VAT">#REF!</definedName>
    <definedName name="CWCDS5_VAT">#REF!</definedName>
    <definedName name="CWCDS6_VAT">#REF!</definedName>
    <definedName name="CWCDS8_VAT">#REF!</definedName>
    <definedName name="CWCRT2_VAT">#REF!</definedName>
    <definedName name="CWCSPVa_VAT">#REF!</definedName>
    <definedName name="CWCWF9_VAT">#REF!</definedName>
    <definedName name="CWGPLSTAT">#REF!</definedName>
    <definedName name="CWI4_VAT">#REF!</definedName>
    <definedName name="CWIFC2_VAT">#REF!</definedName>
    <definedName name="CWIFC4_VAT">#REF!</definedName>
    <definedName name="CWIL_VAT">#REF!</definedName>
    <definedName name="CWLASP" localSheetId="13">[1]dis02!$AW$5</definedName>
    <definedName name="CWLASP">[2]dis02!$AW$5</definedName>
    <definedName name="CWLEASEDS7B_VAT" localSheetId="10">#REF!</definedName>
    <definedName name="CWLEASEDS7B_VAT" localSheetId="0">#REF!</definedName>
    <definedName name="CWLEASEDS7B_VAT">#REF!</definedName>
    <definedName name="CWLEASEDS7F_VAT" localSheetId="10">#REF!</definedName>
    <definedName name="CWLEASEDS7F_VAT" localSheetId="0">#REF!</definedName>
    <definedName name="CWLEASEDS7F_VAT">#REF!</definedName>
    <definedName name="CWMB1B2_VAT" localSheetId="10">#REF!</definedName>
    <definedName name="CWMB1B2_VAT" localSheetId="0">#REF!</definedName>
    <definedName name="CWMB1B2_VAT">#REF!</definedName>
    <definedName name="CWMDS7_VAT">#REF!</definedName>
    <definedName name="CWMFC2FC4_VAT">#REF!</definedName>
    <definedName name="CWMHQ3HQ4_VAT">#REF!</definedName>
    <definedName name="CWPROPDS7B_VAT">#REF!</definedName>
    <definedName name="CWPROPDS7F_VAT">#REF!</definedName>
    <definedName name="CWRDS3_VAT">#REF!</definedName>
    <definedName name="CWRETAILB2_VAT">#REF!</definedName>
    <definedName name="CWRETDS4_VAT">#REF!</definedName>
    <definedName name="CWRETRT4_VAT">#REF!</definedName>
    <definedName name="CWRFC2_VAT">#REF!</definedName>
    <definedName name="CWRFC4_VAT">#REF!</definedName>
    <definedName name="CWRFC6_VAT">#REF!</definedName>
    <definedName name="CWTELECOMS_VAT">#REF!</definedName>
    <definedName name="CXL">'[6]CWCB LEASING (B1) B9'!#REF!</definedName>
    <definedName name="CXLS" localSheetId="10">#REF!</definedName>
    <definedName name="CXLS" localSheetId="0">#REF!</definedName>
    <definedName name="CXLS">#REF!</definedName>
    <definedName name="d" localSheetId="10">#REF!</definedName>
    <definedName name="d" localSheetId="0">#REF!</definedName>
    <definedName name="d" localSheetId="9">#REF!</definedName>
    <definedName name="d">#REF!</definedName>
    <definedName name="DATE">[7]MACROS!$B$3</definedName>
    <definedName name="dec05ltip" localSheetId="13">[8]Dec05!$BC$13</definedName>
    <definedName name="dec05ltip">[9]Dec05!$BC$13</definedName>
    <definedName name="depdate">[3]defintDS3!$D$24</definedName>
    <definedName name="enddate">[3]defintDS3!$D$26</definedName>
    <definedName name="ewrqer" localSheetId="10">#REF!</definedName>
    <definedName name="ewrqer" localSheetId="0">#REF!</definedName>
    <definedName name="ewrqer" localSheetId="9">#REF!</definedName>
    <definedName name="ewrqer">#REF!</definedName>
    <definedName name="ExternalData_1" localSheetId="6" hidden="1">'Power Query Table'!$A$1:$P$2</definedName>
    <definedName name="F" localSheetId="9">#REF!</definedName>
    <definedName name="F">#REF!</definedName>
    <definedName name="fanbvcf">[10]Consolidated!$J$78</definedName>
    <definedName name="FilterYear" localSheetId="10">#REF!</definedName>
    <definedName name="FilterYear" localSheetId="0">#REF!</definedName>
    <definedName name="FilterYear" localSheetId="9">#REF!</definedName>
    <definedName name="FilterYear">#REF!</definedName>
    <definedName name="FilterYearPlus1" localSheetId="9">#REF!</definedName>
    <definedName name="FilterYearPlus1">#REF!</definedName>
    <definedName name="FilterYearPlus2" localSheetId="9">#REF!</definedName>
    <definedName name="FilterYearPlus2">#REF!</definedName>
    <definedName name="FilterYearPlus3" localSheetId="9">#REF!</definedName>
    <definedName name="FilterYearPlus3">#REF!</definedName>
    <definedName name="FilterYearPlus4" localSheetId="9">#REF!</definedName>
    <definedName name="FilterYearPlus4">#REF!</definedName>
    <definedName name="frfr" localSheetId="9">#REF!</definedName>
    <definedName name="frfr">#REF!</definedName>
    <definedName name="frfrfrefrf" localSheetId="9">#REF!</definedName>
    <definedName name="frfrfrefrf">#REF!</definedName>
    <definedName name="frfrfrf" localSheetId="9">#REF!</definedName>
    <definedName name="frfrfrf">#REF!</definedName>
    <definedName name="G" localSheetId="9">#REF!</definedName>
    <definedName name="G">#REF!</definedName>
    <definedName name="HQCBINVESTMENTS_VAT">#REF!</definedName>
    <definedName name="HQCBPHQ1_VAT">#REF!</definedName>
    <definedName name="HQCBPHQ3_VAT">#REF!</definedName>
    <definedName name="HQCBPHQ5_VAT">#REF!</definedName>
    <definedName name="HQCBPRT3_VAT">#REF!</definedName>
    <definedName name="HQDP_VAT">#REF!</definedName>
    <definedName name="HQIRT3_VAT">#REF!</definedName>
    <definedName name="IT" localSheetId="9">#REF!</definedName>
    <definedName name="IT">#REF!</definedName>
    <definedName name="JPRUNITTRUST_VAT">#REF!</definedName>
    <definedName name="keydate" localSheetId="13">[11]Globals!$B$1</definedName>
    <definedName name="keydate">[12]Globals!$B$1</definedName>
    <definedName name="keydaterec">[3]data!$H$612</definedName>
    <definedName name="L" localSheetId="10">#REF!</definedName>
    <definedName name="L" localSheetId="0">#REF!</definedName>
    <definedName name="L" localSheetId="9">#REF!</definedName>
    <definedName name="L">#REF!</definedName>
    <definedName name="LastYear" localSheetId="9">#REF!</definedName>
    <definedName name="LastYear">#REF!</definedName>
    <definedName name="LastYearPlus1" localSheetId="9">#REF!</definedName>
    <definedName name="LastYearPlus1">#REF!</definedName>
    <definedName name="LEGAL" localSheetId="9">#REF!</definedName>
    <definedName name="LEGAL">#REF!</definedName>
    <definedName name="LESS">[4]Globals!$D$10:$D$10</definedName>
    <definedName name="ltipbal" localSheetId="13">[1]Ltips!$N$110</definedName>
    <definedName name="ltipbal">[2]Ltips!$N$110</definedName>
    <definedName name="ltipdec05" localSheetId="13">'[1]CWL 2005'!$BY$5797</definedName>
    <definedName name="ltipdec05">'[2]CWL 2005'!$BY$5797</definedName>
    <definedName name="ltiptotal" localSheetId="13">[1]Ltips!$N$107</definedName>
    <definedName name="ltiptotal">[2]Ltips!$N$107</definedName>
    <definedName name="Manchqs" localSheetId="13">'[1]CWL 2005'!$BC$450</definedName>
    <definedName name="Manchqs">'[2]CWL 2005'!$BC$450</definedName>
    <definedName name="march06">[3]globals!$C$6</definedName>
    <definedName name="maxht">[13]SHEETHEIGHT!$I$2</definedName>
    <definedName name="MonthEndDate">[14]Globals!$B$3</definedName>
    <definedName name="NASHCOURT_VAT" localSheetId="10">#REF!</definedName>
    <definedName name="NASHCOURT_VAT" localSheetId="0">#REF!</definedName>
    <definedName name="NASHCOURT_VAT">#REF!</definedName>
    <definedName name="NORQUIL" localSheetId="10">#REF!</definedName>
    <definedName name="NORQUIL" localSheetId="0">#REF!</definedName>
    <definedName name="NORQUIL">#REF!</definedName>
    <definedName name="Num" localSheetId="10">#REF!</definedName>
    <definedName name="Num" localSheetId="0">#REF!</definedName>
    <definedName name="Num">#REF!</definedName>
    <definedName name="Oraclebalances">'[10]Oracle Input'!$A$3:$D$88</definedName>
    <definedName name="outstanding">[4]Globals!$D$11</definedName>
    <definedName name="P_FRS15LISTB" localSheetId="10">#REF!</definedName>
    <definedName name="P_FRS15LISTB" localSheetId="0">#REF!</definedName>
    <definedName name="P_FRS15LISTB">#REF!</definedName>
    <definedName name="P_FRSLIST" localSheetId="10">#REF!</definedName>
    <definedName name="P_FRSLIST" localSheetId="0">#REF!</definedName>
    <definedName name="P_FRSLIST">#REF!</definedName>
    <definedName name="p_itconsult" localSheetId="10">#REF!</definedName>
    <definedName name="p_itconsult" localSheetId="0">#REF!</definedName>
    <definedName name="p_itconsult">#REF!</definedName>
    <definedName name="p_ithwmaint">#REF!</definedName>
    <definedName name="P_ithwmisc">#REF!</definedName>
    <definedName name="p_itlic">#REF!</definedName>
    <definedName name="p_itsum">#REF!</definedName>
    <definedName name="p_itswmisc">#REF!</definedName>
    <definedName name="Period">[5]Front!$B$1</definedName>
    <definedName name="periodend" localSheetId="13">[1]sondis1204!$M$1</definedName>
    <definedName name="periodend">[2]sondis1204!$M$1</definedName>
    <definedName name="PeriodEndnew">'[10]Data Update'!$C$2</definedName>
    <definedName name="periodstart" localSheetId="13">[1]sondis1204!$M$2</definedName>
    <definedName name="periodstart">[2]sondis1204!$M$2</definedName>
    <definedName name="_xlnm.Print_Titles" localSheetId="13">CoA!$4:$5</definedName>
    <definedName name="_xlnm.Print_Titles" localSheetId="14">'Company Info'!$3:$3</definedName>
    <definedName name="_xlnm.Print_Titles" localSheetId="7">'Membership invoices'!$1:$4</definedName>
    <definedName name="_xlnm.Print_Titles" localSheetId="15">'Property Listing by LE'!$3:$4</definedName>
    <definedName name="_xlnm.Print_Titles" localSheetId="9">Recoverability!#REF!</definedName>
    <definedName name="PriorPeriod">'[10]Data Update'!$C$4</definedName>
    <definedName name="Quarter">'[10]Data Update'!#REF!</definedName>
    <definedName name="rate">[3]defintDS3!$F$31</definedName>
    <definedName name="rate0808" localSheetId="10">#REF!</definedName>
    <definedName name="rate0808" localSheetId="0">#REF!</definedName>
    <definedName name="rate0808" localSheetId="9">#REF!</definedName>
    <definedName name="rate0808">#REF!</definedName>
    <definedName name="rfrfrfr" localSheetId="9">#REF!</definedName>
    <definedName name="rfrfrfr">#REF!</definedName>
    <definedName name="RTAIL" localSheetId="9">#REF!</definedName>
    <definedName name="RTAIL">#REF!</definedName>
    <definedName name="SDATE">[4]Globals!$D$6:$D$6</definedName>
    <definedName name="SheetNo" localSheetId="10">#REF!</definedName>
    <definedName name="SheetNo" localSheetId="0">#REF!</definedName>
    <definedName name="SheetNo" localSheetId="9">#REF!</definedName>
    <definedName name="SheetNo">#REF!</definedName>
    <definedName name="SQM_VAT" localSheetId="10">#REF!</definedName>
    <definedName name="SQM_VAT" localSheetId="0">#REF!</definedName>
    <definedName name="SQM_VAT">#REF!</definedName>
    <definedName name="StBRIDE_VAT">#REF!</definedName>
    <definedName name="vrate">[3]RecVATcalcinp!$CS$16</definedName>
    <definedName name="WCPB2_VAT" localSheetId="10">#REF!</definedName>
    <definedName name="WCPB2_VAT" localSheetId="0">#REF!</definedName>
    <definedName name="WCPB2_VAT">#REF!</definedName>
    <definedName name="x_APBud1" localSheetId="13">'[15]Request Form'!$AE$35</definedName>
    <definedName name="x_APBud1" localSheetId="10">'[16]Request Form'!$AD$32</definedName>
    <definedName name="x_APBud1" localSheetId="0">'[16]Request Form'!$AD$32</definedName>
    <definedName name="x_APBud1">#REF!</definedName>
    <definedName name="x_APBud10" localSheetId="13">'[15]Request Form'!$AE$44</definedName>
    <definedName name="x_APBud10" localSheetId="10">'[16]Request Form'!$AD$41</definedName>
    <definedName name="x_APBud10" localSheetId="0">'[16]Request Form'!$AD$41</definedName>
    <definedName name="x_APBud10">#REF!</definedName>
    <definedName name="x_APBud11" localSheetId="13">'[15]Request Form'!$AE$45</definedName>
    <definedName name="x_APBud11" localSheetId="10">'[16]Request Form'!$AD$42</definedName>
    <definedName name="x_APBud11" localSheetId="0">'[16]Request Form'!$AD$42</definedName>
    <definedName name="x_APBud11">#REF!</definedName>
    <definedName name="x_APBud12" localSheetId="13">'[15]Request Form'!$AE$46</definedName>
    <definedName name="x_APBud12" localSheetId="10">'[16]Request Form'!$AD$43</definedName>
    <definedName name="x_APBud12" localSheetId="0">'[16]Request Form'!$AD$43</definedName>
    <definedName name="x_APBud12">#REF!</definedName>
    <definedName name="x_APBud2" localSheetId="13">'[15]Request Form'!$AE$36</definedName>
    <definedName name="x_APBud2" localSheetId="10">'[16]Request Form'!$AD$33</definedName>
    <definedName name="x_APBud2" localSheetId="0">'[16]Request Form'!$AD$33</definedName>
    <definedName name="x_APBud2">#REF!</definedName>
    <definedName name="x_APBud3" localSheetId="13">'[15]Request Form'!$AE$37</definedName>
    <definedName name="x_APBud3" localSheetId="10">'[16]Request Form'!$AD$34</definedName>
    <definedName name="x_APBud3" localSheetId="0">'[16]Request Form'!$AD$34</definedName>
    <definedName name="x_APBud3">#REF!</definedName>
    <definedName name="x_APBud4" localSheetId="13">'[15]Request Form'!$AE$38</definedName>
    <definedName name="x_APBud4" localSheetId="10">'[16]Request Form'!$AD$35</definedName>
    <definedName name="x_APBud4" localSheetId="0">'[16]Request Form'!$AD$35</definedName>
    <definedName name="x_APBud4">#REF!</definedName>
    <definedName name="x_APBud5" localSheetId="13">'[15]Request Form'!$AE$39</definedName>
    <definedName name="x_APBud5" localSheetId="10">'[16]Request Form'!$AD$36</definedName>
    <definedName name="x_APBud5" localSheetId="0">'[16]Request Form'!$AD$36</definedName>
    <definedName name="x_APBud5">#REF!</definedName>
    <definedName name="x_APBud6" localSheetId="13">'[15]Request Form'!$AE$40</definedName>
    <definedName name="x_APBud6" localSheetId="10">'[16]Request Form'!$AD$37</definedName>
    <definedName name="x_APBud6" localSheetId="0">'[16]Request Form'!$AD$37</definedName>
    <definedName name="x_APBud6">#REF!</definedName>
    <definedName name="x_APBud7" localSheetId="13">'[15]Request Form'!$AE$41</definedName>
    <definedName name="x_APBud7" localSheetId="10">'[16]Request Form'!$AD$38</definedName>
    <definedName name="x_APBud7" localSheetId="0">'[16]Request Form'!$AD$38</definedName>
    <definedName name="x_APBud7">#REF!</definedName>
    <definedName name="x_APBud8" localSheetId="13">'[15]Request Form'!$AE$42</definedName>
    <definedName name="x_APBud8" localSheetId="10">'[16]Request Form'!$AD$39</definedName>
    <definedName name="x_APBud8" localSheetId="0">'[16]Request Form'!$AD$39</definedName>
    <definedName name="x_APBud8">#REF!</definedName>
    <definedName name="x_APBud9" localSheetId="13">'[15]Request Form'!$AE$43</definedName>
    <definedName name="x_APBud9" localSheetId="10">'[16]Request Form'!$AD$40</definedName>
    <definedName name="x_APBud9" localSheetId="0">'[16]Request Form'!$AD$40</definedName>
    <definedName name="x_APBud9">#REF!</definedName>
    <definedName name="x_APBudget1">#REF!</definedName>
    <definedName name="x_APBudget10">#REF!</definedName>
    <definedName name="x_APBudget11">#REF!</definedName>
    <definedName name="x_APBudget12">#REF!</definedName>
    <definedName name="x_APBudget2">#REF!</definedName>
    <definedName name="x_APBudget3">#REF!</definedName>
    <definedName name="x_APBudget4">#REF!</definedName>
    <definedName name="x_APBudget5">#REF!</definedName>
    <definedName name="x_APBudget6">#REF!</definedName>
    <definedName name="x_APBudget7">#REF!</definedName>
    <definedName name="x_APBudget8">#REF!</definedName>
    <definedName name="x_APBudget9">#REF!</definedName>
    <definedName name="x_APCat1" localSheetId="13">'[15]Request Form'!$AB$35</definedName>
    <definedName name="x_APCat1" localSheetId="10">'[16]Request Form'!$AA$32</definedName>
    <definedName name="x_APCat1" localSheetId="0">'[16]Request Form'!$AA$32</definedName>
    <definedName name="x_APCat1">#REF!</definedName>
    <definedName name="x_APCat10" localSheetId="13">'[15]Request Form'!$AB$44</definedName>
    <definedName name="x_APCat10" localSheetId="10">'[16]Request Form'!$AA$41</definedName>
    <definedName name="x_APCat10" localSheetId="0">'[16]Request Form'!$AA$41</definedName>
    <definedName name="x_APCat10">#REF!</definedName>
    <definedName name="x_APCat11" localSheetId="13">'[15]Request Form'!$AB$45</definedName>
    <definedName name="x_APCat11" localSheetId="10">'[16]Request Form'!$AA$42</definedName>
    <definedName name="x_APCat11" localSheetId="0">'[16]Request Form'!$AA$42</definedName>
    <definedName name="x_APCat11">#REF!</definedName>
    <definedName name="x_APCat12" localSheetId="13">'[15]Request Form'!$AB$46</definedName>
    <definedName name="x_APCat12" localSheetId="10">'[16]Request Form'!$AA$43</definedName>
    <definedName name="x_APCat12" localSheetId="0">'[16]Request Form'!$AA$43</definedName>
    <definedName name="x_APCat12">#REF!</definedName>
    <definedName name="x_APCat2" localSheetId="13">'[15]Request Form'!$AB$36</definedName>
    <definedName name="x_APCat2" localSheetId="10">'[16]Request Form'!$AA$33</definedName>
    <definedName name="x_APCat2" localSheetId="0">'[16]Request Form'!$AA$33</definedName>
    <definedName name="x_APCat2">#REF!</definedName>
    <definedName name="x_APCat3" localSheetId="13">'[15]Request Form'!$AB$37</definedName>
    <definedName name="x_APCat3" localSheetId="10">'[16]Request Form'!$AA$34</definedName>
    <definedName name="x_APCat3" localSheetId="0">'[16]Request Form'!$AA$34</definedName>
    <definedName name="x_APCat3">#REF!</definedName>
    <definedName name="x_APCat4" localSheetId="13">'[15]Request Form'!$AB$38</definedName>
    <definedName name="x_APCat4" localSheetId="10">'[16]Request Form'!$AA$35</definedName>
    <definedName name="x_APCat4" localSheetId="0">'[16]Request Form'!$AA$35</definedName>
    <definedName name="x_APCat4">#REF!</definedName>
    <definedName name="x_APCat5" localSheetId="13">'[15]Request Form'!$AB$39</definedName>
    <definedName name="x_APCat5" localSheetId="10">'[16]Request Form'!$AA$36</definedName>
    <definedName name="x_APCat5" localSheetId="0">'[16]Request Form'!$AA$36</definedName>
    <definedName name="x_APCat5">#REF!</definedName>
    <definedName name="x_APCat6" localSheetId="13">'[15]Request Form'!$AB$40</definedName>
    <definedName name="x_APCat6" localSheetId="10">'[16]Request Form'!$AA$37</definedName>
    <definedName name="x_APCat6" localSheetId="0">'[16]Request Form'!$AA$37</definedName>
    <definedName name="x_APCat6">#REF!</definedName>
    <definedName name="x_APCat7" localSheetId="13">'[15]Request Form'!$AB$41</definedName>
    <definedName name="x_APCat7" localSheetId="10">'[16]Request Form'!$AA$38</definedName>
    <definedName name="x_APCat7" localSheetId="0">'[16]Request Form'!$AA$38</definedName>
    <definedName name="x_APCat7">#REF!</definedName>
    <definedName name="x_APCat8" localSheetId="13">'[15]Request Form'!$AB$42</definedName>
    <definedName name="x_APCat8" localSheetId="10">'[16]Request Form'!$AA$39</definedName>
    <definedName name="x_APCat8" localSheetId="0">'[16]Request Form'!$AA$39</definedName>
    <definedName name="x_APCat8">#REF!</definedName>
    <definedName name="x_APCat9" localSheetId="13">'[15]Request Form'!$AB$43</definedName>
    <definedName name="x_APCat9" localSheetId="10">'[16]Request Form'!$AA$40</definedName>
    <definedName name="x_APCat9" localSheetId="0">'[16]Request Form'!$AA$40</definedName>
    <definedName name="x_APCat9">#REF!</definedName>
    <definedName name="x_APContract1" localSheetId="13">'[15]Request Form'!$AC$35</definedName>
    <definedName name="x_APContract1" localSheetId="10">'[16]Request Form'!$AB$32</definedName>
    <definedName name="x_APContract1" localSheetId="0">'[16]Request Form'!$AB$32</definedName>
    <definedName name="x_APContract1">#REF!</definedName>
    <definedName name="x_APContract10" localSheetId="13">'[15]Request Form'!$AC$44</definedName>
    <definedName name="x_APContract10" localSheetId="10">'[16]Request Form'!$AB$41</definedName>
    <definedName name="x_APContract10" localSheetId="0">'[16]Request Form'!$AB$41</definedName>
    <definedName name="x_APContract10">#REF!</definedName>
    <definedName name="x_APContract11" localSheetId="13">'[15]Request Form'!$AC$45</definedName>
    <definedName name="x_APContract11" localSheetId="10">'[16]Request Form'!$AB$42</definedName>
    <definedName name="x_APContract11" localSheetId="0">'[16]Request Form'!$AB$42</definedName>
    <definedName name="x_APContract11">#REF!</definedName>
    <definedName name="x_APContract12" localSheetId="13">'[15]Request Form'!$AC$46</definedName>
    <definedName name="x_APContract12" localSheetId="10">'[16]Request Form'!$AB$43</definedName>
    <definedName name="x_APContract12" localSheetId="0">'[16]Request Form'!$AB$43</definedName>
    <definedName name="x_APContract12">#REF!</definedName>
    <definedName name="x_APContract2" localSheetId="13">'[15]Request Form'!$AC$36</definedName>
    <definedName name="x_APContract2" localSheetId="10">'[16]Request Form'!$AB$33</definedName>
    <definedName name="x_APContract2" localSheetId="0">'[16]Request Form'!$AB$33</definedName>
    <definedName name="x_APContract2">#REF!</definedName>
    <definedName name="x_APContract3" localSheetId="13">'[15]Request Form'!$AC$37</definedName>
    <definedName name="x_APContract3" localSheetId="10">'[16]Request Form'!$AB$34</definedName>
    <definedName name="x_APContract3" localSheetId="0">'[16]Request Form'!$AB$34</definedName>
    <definedName name="x_APContract3">#REF!</definedName>
    <definedName name="x_APContract4" localSheetId="13">'[15]Request Form'!$AC$38</definedName>
    <definedName name="x_APContract4" localSheetId="10">'[16]Request Form'!$AB$35</definedName>
    <definedName name="x_APContract4" localSheetId="0">'[16]Request Form'!$AB$35</definedName>
    <definedName name="x_APContract4">#REF!</definedName>
    <definedName name="x_APContract5" localSheetId="13">'[15]Request Form'!$AC$39</definedName>
    <definedName name="x_APContract5" localSheetId="10">'[16]Request Form'!$AB$36</definedName>
    <definedName name="x_APContract5" localSheetId="0">'[16]Request Form'!$AB$36</definedName>
    <definedName name="x_APContract5">#REF!</definedName>
    <definedName name="x_APContract6" localSheetId="13">'[15]Request Form'!$AC$40</definedName>
    <definedName name="x_APContract6" localSheetId="10">'[16]Request Form'!$AB$37</definedName>
    <definedName name="x_APContract6" localSheetId="0">'[16]Request Form'!$AB$37</definedName>
    <definedName name="x_APContract6">#REF!</definedName>
    <definedName name="x_APContract7" localSheetId="13">'[15]Request Form'!$AC$41</definedName>
    <definedName name="x_APContract7" localSheetId="10">'[16]Request Form'!$AB$38</definedName>
    <definedName name="x_APContract7" localSheetId="0">'[16]Request Form'!$AB$38</definedName>
    <definedName name="x_APContract7">#REF!</definedName>
    <definedName name="x_APContract8" localSheetId="13">'[15]Request Form'!$AC$42</definedName>
    <definedName name="x_APContract8" localSheetId="10">'[16]Request Form'!$AB$39</definedName>
    <definedName name="x_APContract8" localSheetId="0">'[16]Request Form'!$AB$39</definedName>
    <definedName name="x_APContract8">#REF!</definedName>
    <definedName name="x_APContract9" localSheetId="13">'[15]Request Form'!$AC$43</definedName>
    <definedName name="x_APContract9" localSheetId="10">'[16]Request Form'!$AB$40</definedName>
    <definedName name="x_APContract9" localSheetId="0">'[16]Request Form'!$AB$40</definedName>
    <definedName name="x_APContract9">#REF!</definedName>
    <definedName name="x_APDesc1" localSheetId="13">'[15]Request Form'!$D$35</definedName>
    <definedName name="x_APDesc1" localSheetId="10">'[16]Request Form'!$D$32</definedName>
    <definedName name="x_APDesc1" localSheetId="0">'[16]Request Form'!$D$32</definedName>
    <definedName name="x_APDesc1">#REF!</definedName>
    <definedName name="x_APDesc10" localSheetId="13">'[15]Request Form'!$D$44</definedName>
    <definedName name="x_APDesc10" localSheetId="10">'[16]Request Form'!$D$41</definedName>
    <definedName name="x_APDesc10" localSheetId="0">'[16]Request Form'!$D$41</definedName>
    <definedName name="x_APDesc10">#REF!</definedName>
    <definedName name="x_APDesc11" localSheetId="13">'[15]Request Form'!$D$45</definedName>
    <definedName name="x_APDesc11" localSheetId="10">'[16]Request Form'!$D$42</definedName>
    <definedName name="x_APDesc11" localSheetId="0">'[16]Request Form'!$D$42</definedName>
    <definedName name="x_APDesc11">#REF!</definedName>
    <definedName name="x_APDesc12" localSheetId="13">'[15]Request Form'!$D$46</definedName>
    <definedName name="x_APDesc12" localSheetId="10">'[16]Request Form'!$D$43</definedName>
    <definedName name="x_APDesc12" localSheetId="0">'[16]Request Form'!$D$43</definedName>
    <definedName name="x_APDesc12">#REF!</definedName>
    <definedName name="x_APDesc2" localSheetId="13">'[15]Request Form'!$D$36</definedName>
    <definedName name="x_APDesc2" localSheetId="10">'[16]Request Form'!$D$33</definedName>
    <definedName name="x_APDesc2" localSheetId="0">'[16]Request Form'!$D$33</definedName>
    <definedName name="x_APDesc2">#REF!</definedName>
    <definedName name="x_APDesc3" localSheetId="13">'[15]Request Form'!$D$37</definedName>
    <definedName name="x_APDesc3" localSheetId="10">'[16]Request Form'!$D$34</definedName>
    <definedName name="x_APDesc3" localSheetId="0">'[16]Request Form'!$D$34</definedName>
    <definedName name="x_APDesc3">#REF!</definedName>
    <definedName name="x_APDesc4" localSheetId="13">'[15]Request Form'!$D$38</definedName>
    <definedName name="x_APDesc4" localSheetId="10">'[16]Request Form'!$D$35</definedName>
    <definedName name="x_APDesc4" localSheetId="0">'[16]Request Form'!$D$35</definedName>
    <definedName name="x_APDesc4">#REF!</definedName>
    <definedName name="x_APDesc5" localSheetId="13">'[15]Request Form'!$D$39</definedName>
    <definedName name="x_APDesc5" localSheetId="10">'[16]Request Form'!$D$36</definedName>
    <definedName name="x_APDesc5" localSheetId="0">'[16]Request Form'!$D$36</definedName>
    <definedName name="x_APDesc5">#REF!</definedName>
    <definedName name="x_APDesc6" localSheetId="13">'[15]Request Form'!$D$40</definedName>
    <definedName name="x_APDesc6" localSheetId="10">'[16]Request Form'!$D$37</definedName>
    <definedName name="x_APDesc6" localSheetId="0">'[16]Request Form'!$D$37</definedName>
    <definedName name="x_APDesc6">#REF!</definedName>
    <definedName name="x_APDesc7" localSheetId="13">'[15]Request Form'!$D$41</definedName>
    <definedName name="x_APDesc7" localSheetId="10">'[16]Request Form'!$D$38</definedName>
    <definedName name="x_APDesc7" localSheetId="0">'[16]Request Form'!$D$38</definedName>
    <definedName name="x_APDesc7">#REF!</definedName>
    <definedName name="x_APDesc8" localSheetId="13">'[15]Request Form'!$D$42</definedName>
    <definedName name="x_APDesc8" localSheetId="10">'[16]Request Form'!$D$39</definedName>
    <definedName name="x_APDesc8" localSheetId="0">'[16]Request Form'!$D$39</definedName>
    <definedName name="x_APDesc8">#REF!</definedName>
    <definedName name="x_APDesc9" localSheetId="13">'[15]Request Form'!$D$43</definedName>
    <definedName name="x_APDesc9" localSheetId="10">'[16]Request Form'!$D$40</definedName>
    <definedName name="x_APDesc9" localSheetId="0">'[16]Request Form'!$D$40</definedName>
    <definedName name="x_APDesc9">#REF!</definedName>
    <definedName name="x_APFrDate1" localSheetId="13">'[15]Request Form'!$R$35</definedName>
    <definedName name="x_APFrDate1" localSheetId="10">'[16]Request Form'!$R$32</definedName>
    <definedName name="x_APFrDate1" localSheetId="0">'[16]Request Form'!$R$32</definedName>
    <definedName name="x_APFrDate1">#REF!</definedName>
    <definedName name="x_APFrDate10" localSheetId="13">'[15]Request Form'!$R$44</definedName>
    <definedName name="x_APFrDate10" localSheetId="10">'[16]Request Form'!$R$41</definedName>
    <definedName name="x_APFrDate10" localSheetId="0">'[16]Request Form'!$R$41</definedName>
    <definedName name="x_APFrDate10">#REF!</definedName>
    <definedName name="x_APFrDate11" localSheetId="13">'[15]Request Form'!$R$45</definedName>
    <definedName name="x_APFrDate11" localSheetId="10">'[16]Request Form'!$R$42</definedName>
    <definedName name="x_APFrDate11" localSheetId="0">'[16]Request Form'!$R$42</definedName>
    <definedName name="x_APFrDate11">#REF!</definedName>
    <definedName name="x_APFrDate12" localSheetId="13">'[15]Request Form'!$R$46</definedName>
    <definedName name="x_APFrDate12" localSheetId="10">'[16]Request Form'!$R$43</definedName>
    <definedName name="x_APFrDate12" localSheetId="0">'[16]Request Form'!$R$43</definedName>
    <definedName name="x_APFrDate12">#REF!</definedName>
    <definedName name="x_APFrDate2" localSheetId="13">'[15]Request Form'!$R$36</definedName>
    <definedName name="x_APFrDate2" localSheetId="10">'[16]Request Form'!$R$33</definedName>
    <definedName name="x_APFrDate2" localSheetId="0">'[16]Request Form'!$R$33</definedName>
    <definedName name="x_APFrDate2">#REF!</definedName>
    <definedName name="x_APFrDate3" localSheetId="13">'[15]Request Form'!$R$37</definedName>
    <definedName name="x_APFrDate3" localSheetId="10">'[16]Request Form'!$R$34</definedName>
    <definedName name="x_APFrDate3" localSheetId="0">'[16]Request Form'!$R$34</definedName>
    <definedName name="x_APFrDate3">#REF!</definedName>
    <definedName name="x_APFrDate4" localSheetId="13">'[15]Request Form'!$R$38</definedName>
    <definedName name="x_APFrDate4" localSheetId="10">'[16]Request Form'!$R$35</definedName>
    <definedName name="x_APFrDate4" localSheetId="0">'[16]Request Form'!$R$35</definedName>
    <definedName name="x_APFrDate4">#REF!</definedName>
    <definedName name="x_APFrDate5" localSheetId="13">'[15]Request Form'!$R$39</definedName>
    <definedName name="x_APFrDate5" localSheetId="10">'[16]Request Form'!$R$36</definedName>
    <definedName name="x_APFrDate5" localSheetId="0">'[16]Request Form'!$R$36</definedName>
    <definedName name="x_APFrDate5">#REF!</definedName>
    <definedName name="x_APFrDate6" localSheetId="13">'[15]Request Form'!$R$40</definedName>
    <definedName name="x_APFrDate6" localSheetId="10">'[16]Request Form'!$R$37</definedName>
    <definedName name="x_APFrDate6" localSheetId="0">'[16]Request Form'!$R$37</definedName>
    <definedName name="x_APFrDate6">#REF!</definedName>
    <definedName name="x_APFrDate7" localSheetId="13">'[15]Request Form'!$R$41</definedName>
    <definedName name="x_APFrDate7" localSheetId="10">'[16]Request Form'!$R$38</definedName>
    <definedName name="x_APFrDate7" localSheetId="0">'[16]Request Form'!$R$38</definedName>
    <definedName name="x_APFrDate7">#REF!</definedName>
    <definedName name="x_APFrDate8" localSheetId="13">'[15]Request Form'!$R$42</definedName>
    <definedName name="x_APFrDate8" localSheetId="10">'[16]Request Form'!$R$39</definedName>
    <definedName name="x_APFrDate8" localSheetId="0">'[16]Request Form'!$R$39</definedName>
    <definedName name="x_APFrDate8">#REF!</definedName>
    <definedName name="x_APFrDate9" localSheetId="13">'[15]Request Form'!$R$43</definedName>
    <definedName name="x_APFrDate9" localSheetId="10">'[16]Request Form'!$R$40</definedName>
    <definedName name="x_APFrDate9" localSheetId="0">'[16]Request Form'!$R$40</definedName>
    <definedName name="x_APFrDate9">#REF!</definedName>
    <definedName name="x_APGLAc1" localSheetId="13">'[15]Request Form'!$X$35</definedName>
    <definedName name="x_APGLAc1" localSheetId="10">'[16]Request Form'!$W$32</definedName>
    <definedName name="x_APGLAc1" localSheetId="0">'[16]Request Form'!$W$32</definedName>
    <definedName name="x_APGLAc1">#REF!</definedName>
    <definedName name="x_APGLAc10" localSheetId="13">'[15]Request Form'!$X$44</definedName>
    <definedName name="x_APGLAc10" localSheetId="10">'[16]Request Form'!$W$41</definedName>
    <definedName name="x_APGLAc10" localSheetId="0">'[16]Request Form'!$W$41</definedName>
    <definedName name="x_APGLAc10">#REF!</definedName>
    <definedName name="x_APGLAc11" localSheetId="13">'[15]Request Form'!$X$45</definedName>
    <definedName name="x_APGLAc11" localSheetId="10">'[16]Request Form'!$W$42</definedName>
    <definedName name="x_APGLAc11" localSheetId="0">'[16]Request Form'!$W$42</definedName>
    <definedName name="x_APGLAc11">#REF!</definedName>
    <definedName name="x_APGLAc12" localSheetId="13">'[15]Request Form'!$X$46</definedName>
    <definedName name="x_APGLAc12" localSheetId="10">'[16]Request Form'!$W$43</definedName>
    <definedName name="x_APGLAc12" localSheetId="0">'[16]Request Form'!$W$43</definedName>
    <definedName name="x_APGLAc12">#REF!</definedName>
    <definedName name="x_APGLAc2" localSheetId="13">'[15]Request Form'!$X$36</definedName>
    <definedName name="x_APGLAc2" localSheetId="10">'[16]Request Form'!$W$33</definedName>
    <definedName name="x_APGLAc2" localSheetId="0">'[16]Request Form'!$W$33</definedName>
    <definedName name="x_APGLAc2">#REF!</definedName>
    <definedName name="x_APGLAc3" localSheetId="13">'[15]Request Form'!$X$37</definedName>
    <definedName name="x_APGLAc3" localSheetId="10">'[16]Request Form'!$W$34</definedName>
    <definedName name="x_APGLAc3" localSheetId="0">'[16]Request Form'!$W$34</definedName>
    <definedName name="x_APGLAc3">#REF!</definedName>
    <definedName name="x_APGLAc4" localSheetId="13">'[15]Request Form'!$X$38</definedName>
    <definedName name="x_APGLAc4" localSheetId="10">'[16]Request Form'!$W$35</definedName>
    <definedName name="x_APGLAc4" localSheetId="0">'[16]Request Form'!$W$35</definedName>
    <definedName name="x_APGLAc4">#REF!</definedName>
    <definedName name="x_APGLAc5" localSheetId="13">'[15]Request Form'!$X$39</definedName>
    <definedName name="x_APGLAc5" localSheetId="10">'[16]Request Form'!$W$36</definedName>
    <definedName name="x_APGLAc5" localSheetId="0">'[16]Request Form'!$W$36</definedName>
    <definedName name="x_APGLAc5">#REF!</definedName>
    <definedName name="x_APGLAc6" localSheetId="13">'[15]Request Form'!$X$40</definedName>
    <definedName name="x_APGLAc6" localSheetId="10">'[16]Request Form'!$W$37</definedName>
    <definedName name="x_APGLAc6" localSheetId="0">'[16]Request Form'!$W$37</definedName>
    <definedName name="x_APGLAc6">#REF!</definedName>
    <definedName name="x_APGLAc7" localSheetId="13">'[15]Request Form'!$X$41</definedName>
    <definedName name="x_APGLAc7" localSheetId="10">'[16]Request Form'!$W$38</definedName>
    <definedName name="x_APGLAc7" localSheetId="0">'[16]Request Form'!$W$38</definedName>
    <definedName name="x_APGLAc7">#REF!</definedName>
    <definedName name="x_APGLAc8" localSheetId="13">'[15]Request Form'!$X$42</definedName>
    <definedName name="x_APGLAc8" localSheetId="10">'[16]Request Form'!$W$39</definedName>
    <definedName name="x_APGLAc8" localSheetId="0">'[16]Request Form'!$W$39</definedName>
    <definedName name="x_APGLAc8">#REF!</definedName>
    <definedName name="x_APGLAc9" localSheetId="13">'[15]Request Form'!$X$43</definedName>
    <definedName name="x_APGLAc9" localSheetId="10">'[16]Request Form'!$W$40</definedName>
    <definedName name="x_APGLAc9" localSheetId="0">'[16]Request Form'!$W$40</definedName>
    <definedName name="x_APGLAc9">#REF!</definedName>
    <definedName name="x_APJob1" localSheetId="13">'[15]Request Form'!$AA$35</definedName>
    <definedName name="x_APJob1" localSheetId="10">'[16]Request Form'!$Z$32</definedName>
    <definedName name="x_APJob1" localSheetId="0">'[16]Request Form'!$Z$32</definedName>
    <definedName name="x_APJob1">#REF!</definedName>
    <definedName name="x_APJob10" localSheetId="13">'[15]Request Form'!$AA$44</definedName>
    <definedName name="x_APJob10" localSheetId="10">'[16]Request Form'!$Z$41</definedName>
    <definedName name="x_APJob10" localSheetId="0">'[16]Request Form'!$Z$41</definedName>
    <definedName name="x_APJob10">#REF!</definedName>
    <definedName name="x_APJob11" localSheetId="13">'[15]Request Form'!$AA$45</definedName>
    <definedName name="x_APJob11" localSheetId="10">'[16]Request Form'!$Z$42</definedName>
    <definedName name="x_APJob11" localSheetId="0">'[16]Request Form'!$Z$42</definedName>
    <definedName name="x_APJob11">#REF!</definedName>
    <definedName name="x_APJob12" localSheetId="13">'[15]Request Form'!$AA$46</definedName>
    <definedName name="x_APJob12" localSheetId="10">'[16]Request Form'!$Z$43</definedName>
    <definedName name="x_APJob12" localSheetId="0">'[16]Request Form'!$Z$43</definedName>
    <definedName name="x_APJob12">#REF!</definedName>
    <definedName name="x_APJob2" localSheetId="13">'[15]Request Form'!$AA$36</definedName>
    <definedName name="x_APJob2" localSheetId="10">'[16]Request Form'!$Z$33</definedName>
    <definedName name="x_APJob2" localSheetId="0">'[16]Request Form'!$Z$33</definedName>
    <definedName name="x_APJob2">#REF!</definedName>
    <definedName name="x_APJob3" localSheetId="13">'[15]Request Form'!$AA$37</definedName>
    <definedName name="x_APJob3" localSheetId="10">'[16]Request Form'!$Z$34</definedName>
    <definedName name="x_APJob3" localSheetId="0">'[16]Request Form'!$Z$34</definedName>
    <definedName name="x_APJob3">#REF!</definedName>
    <definedName name="x_APJob4" localSheetId="13">'[15]Request Form'!$AA$38</definedName>
    <definedName name="x_APJob4" localSheetId="10">'[16]Request Form'!$Z$35</definedName>
    <definedName name="x_APJob4" localSheetId="0">'[16]Request Form'!$Z$35</definedName>
    <definedName name="x_APJob4">#REF!</definedName>
    <definedName name="x_APJob5" localSheetId="13">'[15]Request Form'!$AA$39</definedName>
    <definedName name="x_APJob5" localSheetId="10">'[16]Request Form'!$Z$36</definedName>
    <definedName name="x_APJob5" localSheetId="0">'[16]Request Form'!$Z$36</definedName>
    <definedName name="x_APJob5">#REF!</definedName>
    <definedName name="x_APJob6" localSheetId="13">'[15]Request Form'!$AA$40</definedName>
    <definedName name="x_APJob6" localSheetId="10">'[16]Request Form'!$Z$37</definedName>
    <definedName name="x_APJob6" localSheetId="0">'[16]Request Form'!$Z$37</definedName>
    <definedName name="x_APJob6">#REF!</definedName>
    <definedName name="x_APJob7" localSheetId="13">'[15]Request Form'!$AA$41</definedName>
    <definedName name="x_APJob7" localSheetId="10">'[16]Request Form'!$Z$38</definedName>
    <definedName name="x_APJob7" localSheetId="0">'[16]Request Form'!$Z$38</definedName>
    <definedName name="x_APJob7">#REF!</definedName>
    <definedName name="x_APJob8" localSheetId="13">'[15]Request Form'!$AA$42</definedName>
    <definedName name="x_APJob8" localSheetId="10">'[16]Request Form'!$Z$39</definedName>
    <definedName name="x_APJob8" localSheetId="0">'[16]Request Form'!$Z$39</definedName>
    <definedName name="x_APJob8">#REF!</definedName>
    <definedName name="x_APJob9" localSheetId="13">'[15]Request Form'!$AA$43</definedName>
    <definedName name="x_APJob9" localSheetId="10">'[16]Request Form'!$Z$40</definedName>
    <definedName name="x_APJob9" localSheetId="0">'[16]Request Form'!$Z$40</definedName>
    <definedName name="x_APJob9">#REF!</definedName>
    <definedName name="x_APNet1" localSheetId="13">'[15]Request Form'!$N$35</definedName>
    <definedName name="x_APNet1" localSheetId="10">'[16]Request Form'!$N$32</definedName>
    <definedName name="x_APNet1" localSheetId="0">'[16]Request Form'!$N$32</definedName>
    <definedName name="x_APNet1">#REF!</definedName>
    <definedName name="x_APNet10" localSheetId="13">'[15]Request Form'!$N$44</definedName>
    <definedName name="x_APNet10" localSheetId="10">'[16]Request Form'!$N$41</definedName>
    <definedName name="x_APNet10" localSheetId="0">'[16]Request Form'!$N$41</definedName>
    <definedName name="x_APNet10">#REF!</definedName>
    <definedName name="x_APNet11" localSheetId="13">'[15]Request Form'!$N$45</definedName>
    <definedName name="x_APNet11" localSheetId="10">'[16]Request Form'!$N$42</definedName>
    <definedName name="x_APNet11" localSheetId="0">'[16]Request Form'!$N$42</definedName>
    <definedName name="x_APNet11">#REF!</definedName>
    <definedName name="x_APNet12" localSheetId="13">'[15]Request Form'!$N$46</definedName>
    <definedName name="x_APNet12" localSheetId="10">'[16]Request Form'!$N$43</definedName>
    <definedName name="x_APNet12" localSheetId="0">'[16]Request Form'!$N$43</definedName>
    <definedName name="x_APNet12">#REF!</definedName>
    <definedName name="x_APNet2" localSheetId="13">'[15]Request Form'!$N$36</definedName>
    <definedName name="x_APNet2" localSheetId="10">'[16]Request Form'!$N$33</definedName>
    <definedName name="x_APNet2" localSheetId="0">'[16]Request Form'!$N$33</definedName>
    <definedName name="x_APNet2">#REF!</definedName>
    <definedName name="x_APNet3" localSheetId="13">'[15]Request Form'!$N$37</definedName>
    <definedName name="x_APNet3" localSheetId="10">'[16]Request Form'!$N$34</definedName>
    <definedName name="x_APNet3" localSheetId="0">'[16]Request Form'!$N$34</definedName>
    <definedName name="x_APNet3">#REF!</definedName>
    <definedName name="x_APNet4" localSheetId="13">'[15]Request Form'!$N$38</definedName>
    <definedName name="x_APNet4" localSheetId="10">'[16]Request Form'!$N$35</definedName>
    <definedName name="x_APNet4" localSheetId="0">'[16]Request Form'!$N$35</definedName>
    <definedName name="x_APNet4">#REF!</definedName>
    <definedName name="x_APNet5" localSheetId="13">'[15]Request Form'!$N$39</definedName>
    <definedName name="x_APNet5" localSheetId="10">'[16]Request Form'!$N$36</definedName>
    <definedName name="x_APNet5" localSheetId="0">'[16]Request Form'!$N$36</definedName>
    <definedName name="x_APNet5">#REF!</definedName>
    <definedName name="x_APNet6" localSheetId="13">'[15]Request Form'!$N$40</definedName>
    <definedName name="x_APNet6" localSheetId="10">'[16]Request Form'!$N$37</definedName>
    <definedName name="x_APNet6" localSheetId="0">'[16]Request Form'!$N$37</definedName>
    <definedName name="x_APNet6">#REF!</definedName>
    <definedName name="x_APNet7" localSheetId="13">'[15]Request Form'!$N$41</definedName>
    <definedName name="x_APNet7" localSheetId="10">'[16]Request Form'!$N$38</definedName>
    <definedName name="x_APNet7" localSheetId="0">'[16]Request Form'!$N$38</definedName>
    <definedName name="x_APNet7">#REF!</definedName>
    <definedName name="x_APNet8" localSheetId="13">'[15]Request Form'!$N$42</definedName>
    <definedName name="x_APNet8" localSheetId="10">'[16]Request Form'!$N$39</definedName>
    <definedName name="x_APNet8" localSheetId="0">'[16]Request Form'!$N$39</definedName>
    <definedName name="x_APNet8">#REF!</definedName>
    <definedName name="x_APNet9" localSheetId="13">'[15]Request Form'!$N$43</definedName>
    <definedName name="x_APNet9" localSheetId="10">'[16]Request Form'!$N$40</definedName>
    <definedName name="x_APNet9" localSheetId="0">'[16]Request Form'!$N$40</definedName>
    <definedName name="x_APNet9">#REF!</definedName>
    <definedName name="x_APOwn1" localSheetId="13">'[15]Request Form'!$Z$35</definedName>
    <definedName name="x_APOwn1" localSheetId="10">'[16]Request Form'!$Y$32</definedName>
    <definedName name="x_APOwn1" localSheetId="0">'[16]Request Form'!$Y$32</definedName>
    <definedName name="x_APOwn1">#REF!</definedName>
    <definedName name="x_APOwn10" localSheetId="13">'[15]Request Form'!$Z$44</definedName>
    <definedName name="x_APOwn10" localSheetId="10">'[16]Request Form'!$Y$41</definedName>
    <definedName name="x_APOwn10" localSheetId="0">'[16]Request Form'!$Y$41</definedName>
    <definedName name="x_APOwn10">#REF!</definedName>
    <definedName name="x_APOwn11" localSheetId="13">'[15]Request Form'!$Z$45</definedName>
    <definedName name="x_APOwn11" localSheetId="10">'[16]Request Form'!$Y$42</definedName>
    <definedName name="x_APOwn11" localSheetId="0">'[16]Request Form'!$Y$42</definedName>
    <definedName name="x_APOwn11">#REF!</definedName>
    <definedName name="x_APOwn12" localSheetId="13">'[15]Request Form'!$Z$46</definedName>
    <definedName name="x_APOwn12" localSheetId="10">'[16]Request Form'!$Y$43</definedName>
    <definedName name="x_APOwn12" localSheetId="0">'[16]Request Form'!$Y$43</definedName>
    <definedName name="x_APOwn12">#REF!</definedName>
    <definedName name="x_APOwn2" localSheetId="13">'[15]Request Form'!$Z$36</definedName>
    <definedName name="x_APOwn2" localSheetId="10">'[16]Request Form'!$Y$33</definedName>
    <definedName name="x_APOwn2" localSheetId="0">'[16]Request Form'!$Y$33</definedName>
    <definedName name="x_APOwn2">#REF!</definedName>
    <definedName name="x_APOwn3" localSheetId="13">'[15]Request Form'!$Z$37</definedName>
    <definedName name="x_APOwn3" localSheetId="10">'[16]Request Form'!$Y$34</definedName>
    <definedName name="x_APOwn3" localSheetId="0">'[16]Request Form'!$Y$34</definedName>
    <definedName name="x_APOwn3">#REF!</definedName>
    <definedName name="x_APOwn4" localSheetId="13">'[15]Request Form'!$Z$38</definedName>
    <definedName name="x_APOwn4" localSheetId="10">'[16]Request Form'!$Y$35</definedName>
    <definedName name="x_APOwn4" localSheetId="0">'[16]Request Form'!$Y$35</definedName>
    <definedName name="x_APOwn4">#REF!</definedName>
    <definedName name="x_APOwn5" localSheetId="13">'[15]Request Form'!$Z$39</definedName>
    <definedName name="x_APOwn5" localSheetId="10">'[16]Request Form'!$Y$36</definedName>
    <definedName name="x_APOwn5" localSheetId="0">'[16]Request Form'!$Y$36</definedName>
    <definedName name="x_APOwn5">#REF!</definedName>
    <definedName name="x_APOwn6" localSheetId="13">'[15]Request Form'!$Z$40</definedName>
    <definedName name="x_APOwn6" localSheetId="10">'[16]Request Form'!$Y$37</definedName>
    <definedName name="x_APOwn6" localSheetId="0">'[16]Request Form'!$Y$37</definedName>
    <definedName name="x_APOwn6">#REF!</definedName>
    <definedName name="x_APOwn7" localSheetId="13">'[15]Request Form'!$Z$41</definedName>
    <definedName name="x_APOwn7" localSheetId="10">'[16]Request Form'!$Y$38</definedName>
    <definedName name="x_APOwn7" localSheetId="0">'[16]Request Form'!$Y$38</definedName>
    <definedName name="x_APOwn7">#REF!</definedName>
    <definedName name="x_APOwn8" localSheetId="13">'[15]Request Form'!$Z$42</definedName>
    <definedName name="x_APOwn8" localSheetId="10">'[16]Request Form'!$Y$39</definedName>
    <definedName name="x_APOwn8" localSheetId="0">'[16]Request Form'!$Y$39</definedName>
    <definedName name="x_APOwn8">#REF!</definedName>
    <definedName name="x_APOwn9" localSheetId="13">'[15]Request Form'!$Z$43</definedName>
    <definedName name="x_APOwn9" localSheetId="10">'[16]Request Form'!$Y$40</definedName>
    <definedName name="x_APOwn9" localSheetId="0">'[16]Request Form'!$Y$40</definedName>
    <definedName name="x_APOwn9">#REF!</definedName>
    <definedName name="x_APProp1" localSheetId="13">'[15]Request Form'!$W$35</definedName>
    <definedName name="x_APProp1" localSheetId="10">'[16]Request Form'!$V$32</definedName>
    <definedName name="x_APProp1" localSheetId="0">'[16]Request Form'!$V$32</definedName>
    <definedName name="x_APProp1">#REF!</definedName>
    <definedName name="x_APProp10" localSheetId="13">'[15]Request Form'!$W$44</definedName>
    <definedName name="x_APProp10" localSheetId="10">'[16]Request Form'!$V$41</definedName>
    <definedName name="x_APProp10" localSheetId="0">'[16]Request Form'!$V$41</definedName>
    <definedName name="x_APProp10">#REF!</definedName>
    <definedName name="x_APProp11" localSheetId="13">'[15]Request Form'!$W$45</definedName>
    <definedName name="x_APProp11" localSheetId="10">'[16]Request Form'!$V$42</definedName>
    <definedName name="x_APProp11" localSheetId="0">'[16]Request Form'!$V$42</definedName>
    <definedName name="x_APProp11">#REF!</definedName>
    <definedName name="x_APProp12" localSheetId="13">'[15]Request Form'!$W$46</definedName>
    <definedName name="x_APProp12" localSheetId="10">'[16]Request Form'!$V$43</definedName>
    <definedName name="x_APProp12" localSheetId="0">'[16]Request Form'!$V$43</definedName>
    <definedName name="x_APProp12">#REF!</definedName>
    <definedName name="x_APProp2" localSheetId="13">'[15]Request Form'!$W$36</definedName>
    <definedName name="x_APProp2" localSheetId="10">'[16]Request Form'!$V$33</definedName>
    <definedName name="x_APProp2" localSheetId="0">'[16]Request Form'!$V$33</definedName>
    <definedName name="x_APProp2">#REF!</definedName>
    <definedName name="x_APProp3" localSheetId="13">'[15]Request Form'!$W$37</definedName>
    <definedName name="x_APProp3" localSheetId="10">'[16]Request Form'!$V$34</definedName>
    <definedName name="x_APProp3" localSheetId="0">'[16]Request Form'!$V$34</definedName>
    <definedName name="x_APProp3">#REF!</definedName>
    <definedName name="x_APProp4" localSheetId="13">'[15]Request Form'!$W$38</definedName>
    <definedName name="x_APProp4" localSheetId="10">'[16]Request Form'!$V$35</definedName>
    <definedName name="x_APProp4" localSheetId="0">'[16]Request Form'!$V$35</definedName>
    <definedName name="x_APProp4">#REF!</definedName>
    <definedName name="x_APProp5" localSheetId="13">'[15]Request Form'!$W$39</definedName>
    <definedName name="x_APProp5" localSheetId="10">'[16]Request Form'!$V$36</definedName>
    <definedName name="x_APProp5" localSheetId="0">'[16]Request Form'!$V$36</definedName>
    <definedName name="x_APProp5">#REF!</definedName>
    <definedName name="x_APProp6" localSheetId="13">'[15]Request Form'!$W$40</definedName>
    <definedName name="x_APProp6" localSheetId="10">'[16]Request Form'!$V$37</definedName>
    <definedName name="x_APProp6" localSheetId="0">'[16]Request Form'!$V$37</definedName>
    <definedName name="x_APProp6">#REF!</definedName>
    <definedName name="x_APProp7" localSheetId="13">'[15]Request Form'!$W$41</definedName>
    <definedName name="x_APProp7" localSheetId="10">'[16]Request Form'!$V$38</definedName>
    <definedName name="x_APProp7" localSheetId="0">'[16]Request Form'!$V$38</definedName>
    <definedName name="x_APProp7">#REF!</definedName>
    <definedName name="x_APProp8" localSheetId="13">'[15]Request Form'!$W$42</definedName>
    <definedName name="x_APProp8" localSheetId="10">'[16]Request Form'!$V$39</definedName>
    <definedName name="x_APProp8" localSheetId="0">'[16]Request Form'!$V$39</definedName>
    <definedName name="x_APProp8">#REF!</definedName>
    <definedName name="x_APProp9" localSheetId="13">'[15]Request Form'!$W$43</definedName>
    <definedName name="x_APProp9" localSheetId="10">'[16]Request Form'!$V$40</definedName>
    <definedName name="x_APProp9" localSheetId="0">'[16]Request Form'!$V$40</definedName>
    <definedName name="x_APProp9">#REF!</definedName>
    <definedName name="x_APRecover1" localSheetId="13">'[15]Request Form'!$AD$35</definedName>
    <definedName name="x_APRecover1" localSheetId="10">'[16]Request Form'!$AC$32</definedName>
    <definedName name="x_APRecover1" localSheetId="0">'[16]Request Form'!$AC$32</definedName>
    <definedName name="x_APRecover1">#REF!</definedName>
    <definedName name="x_APRecover10" localSheetId="13">'[15]Request Form'!$AD$44</definedName>
    <definedName name="x_APRecover10" localSheetId="10">'[16]Request Form'!$AC$41</definedName>
    <definedName name="x_APRecover10" localSheetId="0">'[16]Request Form'!$AC$41</definedName>
    <definedName name="x_APRecover10">#REF!</definedName>
    <definedName name="x_APRecover11" localSheetId="13">'[15]Request Form'!$AD$45</definedName>
    <definedName name="x_APRecover11" localSheetId="10">'[16]Request Form'!$AC$42</definedName>
    <definedName name="x_APRecover11" localSheetId="0">'[16]Request Form'!$AC$42</definedName>
    <definedName name="x_APRecover11">#REF!</definedName>
    <definedName name="x_APRecover12" localSheetId="13">'[15]Request Form'!$AD$46</definedName>
    <definedName name="x_APRecover12" localSheetId="10">'[16]Request Form'!$AC$43</definedName>
    <definedName name="x_APRecover12" localSheetId="0">'[16]Request Form'!$AC$43</definedName>
    <definedName name="x_APRecover12">#REF!</definedName>
    <definedName name="x_APRecover2" localSheetId="13">'[15]Request Form'!$AD$36</definedName>
    <definedName name="x_APRecover2" localSheetId="10">'[16]Request Form'!$AC$33</definedName>
    <definedName name="x_APRecover2" localSheetId="0">'[16]Request Form'!$AC$33</definedName>
    <definedName name="x_APRecover2">#REF!</definedName>
    <definedName name="x_APRecover3" localSheetId="13">'[15]Request Form'!$AD$37</definedName>
    <definedName name="x_APRecover3" localSheetId="10">'[16]Request Form'!$AC$34</definedName>
    <definedName name="x_APRecover3" localSheetId="0">'[16]Request Form'!$AC$34</definedName>
    <definedName name="x_APRecover3">#REF!</definedName>
    <definedName name="x_APRecover4" localSheetId="13">'[15]Request Form'!$AD$38</definedName>
    <definedName name="x_APRecover4" localSheetId="10">'[16]Request Form'!$AC$35</definedName>
    <definedName name="x_APRecover4" localSheetId="0">'[16]Request Form'!$AC$35</definedName>
    <definedName name="x_APRecover4">#REF!</definedName>
    <definedName name="x_APRecover5" localSheetId="13">'[15]Request Form'!$AD$39</definedName>
    <definedName name="x_APRecover5" localSheetId="10">'[16]Request Form'!$AC$36</definedName>
    <definedName name="x_APRecover5" localSheetId="0">'[16]Request Form'!$AC$36</definedName>
    <definedName name="x_APRecover5">#REF!</definedName>
    <definedName name="x_APRecover6" localSheetId="13">'[15]Request Form'!$AD$40</definedName>
    <definedName name="x_APRecover6" localSheetId="10">'[16]Request Form'!$AC$37</definedName>
    <definedName name="x_APRecover6" localSheetId="0">'[16]Request Form'!$AC$37</definedName>
    <definedName name="x_APRecover6">#REF!</definedName>
    <definedName name="x_APRecover7" localSheetId="13">'[15]Request Form'!$AD$41</definedName>
    <definedName name="x_APRecover7" localSheetId="10">'[16]Request Form'!$AC$38</definedName>
    <definedName name="x_APRecover7" localSheetId="0">'[16]Request Form'!$AC$38</definedName>
    <definedName name="x_APRecover7">#REF!</definedName>
    <definedName name="x_APRecover8" localSheetId="13">'[15]Request Form'!$AD$42</definedName>
    <definedName name="x_APRecover8" localSheetId="10">'[16]Request Form'!$AC$39</definedName>
    <definedName name="x_APRecover8" localSheetId="0">'[16]Request Form'!$AC$39</definedName>
    <definedName name="x_APRecover8">#REF!</definedName>
    <definedName name="x_APRecover9" localSheetId="13">'[15]Request Form'!$AD$43</definedName>
    <definedName name="x_APRecover9" localSheetId="10">'[16]Request Form'!$AC$40</definedName>
    <definedName name="x_APRecover9" localSheetId="0">'[16]Request Form'!$AC$40</definedName>
    <definedName name="x_APRecover9">#REF!</definedName>
    <definedName name="x_APSchd1" localSheetId="13">'[15]Request Form'!$Y$35</definedName>
    <definedName name="x_APSchd1" localSheetId="10">'[16]Request Form'!$X$32</definedName>
    <definedName name="x_APSchd1" localSheetId="0">'[16]Request Form'!$X$32</definedName>
    <definedName name="x_APSchd1">#REF!</definedName>
    <definedName name="x_APSchd10" localSheetId="13">'[15]Request Form'!$Y$44</definedName>
    <definedName name="x_APSchd10" localSheetId="10">'[16]Request Form'!$X$41</definedName>
    <definedName name="x_APSchd10" localSheetId="0">'[16]Request Form'!$X$41</definedName>
    <definedName name="x_APSchd10">#REF!</definedName>
    <definedName name="x_APSchd11" localSheetId="13">'[15]Request Form'!$Y$45</definedName>
    <definedName name="x_APSchd11" localSheetId="10">'[16]Request Form'!$X$42</definedName>
    <definedName name="x_APSchd11" localSheetId="0">'[16]Request Form'!$X$42</definedName>
    <definedName name="x_APSchd11">#REF!</definedName>
    <definedName name="x_APSchd12" localSheetId="13">'[15]Request Form'!$Y$46</definedName>
    <definedName name="x_APSchd12" localSheetId="10">'[16]Request Form'!$X$43</definedName>
    <definedName name="x_APSchd12" localSheetId="0">'[16]Request Form'!$X$43</definedName>
    <definedName name="x_APSchd12">#REF!</definedName>
    <definedName name="x_APSchd2" localSheetId="13">'[15]Request Form'!$Y$36</definedName>
    <definedName name="x_APSchd2" localSheetId="10">'[16]Request Form'!$X$33</definedName>
    <definedName name="x_APSchd2" localSheetId="0">'[16]Request Form'!$X$33</definedName>
    <definedName name="x_APSchd2">#REF!</definedName>
    <definedName name="x_APSchd3" localSheetId="13">'[15]Request Form'!$Y$37</definedName>
    <definedName name="x_APSchd3" localSheetId="10">'[16]Request Form'!$X$34</definedName>
    <definedName name="x_APSchd3" localSheetId="0">'[16]Request Form'!$X$34</definedName>
    <definedName name="x_APSchd3">#REF!</definedName>
    <definedName name="x_APSchd4" localSheetId="13">'[15]Request Form'!$Y$38</definedName>
    <definedName name="x_APSchd4" localSheetId="10">'[16]Request Form'!$X$35</definedName>
    <definedName name="x_APSchd4" localSheetId="0">'[16]Request Form'!$X$35</definedName>
    <definedName name="x_APSchd4">#REF!</definedName>
    <definedName name="x_APSchd5" localSheetId="13">'[15]Request Form'!$Y$39</definedName>
    <definedName name="x_APSchd5" localSheetId="10">'[16]Request Form'!$X$36</definedName>
    <definedName name="x_APSchd5" localSheetId="0">'[16]Request Form'!$X$36</definedName>
    <definedName name="x_APSchd5">#REF!</definedName>
    <definedName name="x_APSchd6" localSheetId="13">'[15]Request Form'!$Y$40</definedName>
    <definedName name="x_APSchd6" localSheetId="10">'[16]Request Form'!$X$37</definedName>
    <definedName name="x_APSchd6" localSheetId="0">'[16]Request Form'!$X$37</definedName>
    <definedName name="x_APSchd6">#REF!</definedName>
    <definedName name="x_APSchd7" localSheetId="13">'[15]Request Form'!$Y$41</definedName>
    <definedName name="x_APSchd7" localSheetId="10">'[16]Request Form'!$X$38</definedName>
    <definedName name="x_APSchd7" localSheetId="0">'[16]Request Form'!$X$38</definedName>
    <definedName name="x_APSchd7">#REF!</definedName>
    <definedName name="x_APSchd8" localSheetId="13">'[15]Request Form'!$Y$42</definedName>
    <definedName name="x_APSchd8" localSheetId="10">'[16]Request Form'!$X$39</definedName>
    <definedName name="x_APSchd8" localSheetId="0">'[16]Request Form'!$X$39</definedName>
    <definedName name="x_APSchd8">#REF!</definedName>
    <definedName name="x_APSchd9" localSheetId="13">'[15]Request Form'!$Y$43</definedName>
    <definedName name="x_APSchd9" localSheetId="10">'[16]Request Form'!$X$40</definedName>
    <definedName name="x_APSchd9" localSheetId="0">'[16]Request Form'!$X$40</definedName>
    <definedName name="x_APSchd9">#REF!</definedName>
    <definedName name="x_APToDate1" localSheetId="13">'[15]Request Form'!$T$35</definedName>
    <definedName name="x_APToDate1" localSheetId="10">'[16]Request Form'!$S$32</definedName>
    <definedName name="x_APToDate1" localSheetId="0">'[16]Request Form'!$S$32</definedName>
    <definedName name="x_APToDate1">#REF!</definedName>
    <definedName name="x_APToDate10" localSheetId="13">'[15]Request Form'!$T$44</definedName>
    <definedName name="x_APToDate10" localSheetId="10">'[16]Request Form'!$S$41</definedName>
    <definedName name="x_APToDate10" localSheetId="0">'[16]Request Form'!$S$41</definedName>
    <definedName name="x_APToDate10">#REF!</definedName>
    <definedName name="x_APToDate11" localSheetId="13">'[15]Request Form'!$T$45</definedName>
    <definedName name="x_APToDate11" localSheetId="10">'[16]Request Form'!$S$42</definedName>
    <definedName name="x_APToDate11" localSheetId="0">'[16]Request Form'!$S$42</definedName>
    <definedName name="x_APToDate11">#REF!</definedName>
    <definedName name="x_APToDate12" localSheetId="13">'[15]Request Form'!$T$46</definedName>
    <definedName name="x_APToDate12" localSheetId="10">'[16]Request Form'!$S$43</definedName>
    <definedName name="x_APToDate12" localSheetId="0">'[16]Request Form'!$S$43</definedName>
    <definedName name="x_APToDate12">#REF!</definedName>
    <definedName name="x_APToDate2" localSheetId="13">'[15]Request Form'!$T$36</definedName>
    <definedName name="x_APToDate2" localSheetId="10">'[16]Request Form'!$S$33</definedName>
    <definedName name="x_APToDate2" localSheetId="0">'[16]Request Form'!$S$33</definedName>
    <definedName name="x_APToDate2">#REF!</definedName>
    <definedName name="x_APToDate3" localSheetId="13">'[15]Request Form'!$T$37</definedName>
    <definedName name="x_APToDate3" localSheetId="10">'[16]Request Form'!$S$34</definedName>
    <definedName name="x_APToDate3" localSheetId="0">'[16]Request Form'!$S$34</definedName>
    <definedName name="x_APToDate3">#REF!</definedName>
    <definedName name="x_APToDate4" localSheetId="13">'[15]Request Form'!$T$38</definedName>
    <definedName name="x_APToDate4" localSheetId="10">'[16]Request Form'!$S$35</definedName>
    <definedName name="x_APToDate4" localSheetId="0">'[16]Request Form'!$S$35</definedName>
    <definedName name="x_APToDate4">#REF!</definedName>
    <definedName name="x_APToDate5" localSheetId="13">'[15]Request Form'!$T$39</definedName>
    <definedName name="x_APToDate5" localSheetId="10">'[16]Request Form'!$S$36</definedName>
    <definedName name="x_APToDate5" localSheetId="0">'[16]Request Form'!$S$36</definedName>
    <definedName name="x_APToDate5">#REF!</definedName>
    <definedName name="x_APToDate6" localSheetId="13">'[15]Request Form'!$T$40</definedName>
    <definedName name="x_APToDate6" localSheetId="10">'[16]Request Form'!$S$37</definedName>
    <definedName name="x_APToDate6" localSheetId="0">'[16]Request Form'!$S$37</definedName>
    <definedName name="x_APToDate6">#REF!</definedName>
    <definedName name="x_APToDate7" localSheetId="13">'[15]Request Form'!$T$41</definedName>
    <definedName name="x_APToDate7" localSheetId="10">'[16]Request Form'!$S$38</definedName>
    <definedName name="x_APToDate7" localSheetId="0">'[16]Request Form'!$S$38</definedName>
    <definedName name="x_APToDate7">#REF!</definedName>
    <definedName name="x_APToDate8" localSheetId="13">'[15]Request Form'!$T$42</definedName>
    <definedName name="x_APToDate8" localSheetId="10">'[16]Request Form'!$S$39</definedName>
    <definedName name="x_APToDate8" localSheetId="0">'[16]Request Form'!$S$39</definedName>
    <definedName name="x_APToDate8">#REF!</definedName>
    <definedName name="x_APToDate9" localSheetId="13">'[15]Request Form'!$T$43</definedName>
    <definedName name="x_APToDate9" localSheetId="10">'[16]Request Form'!$S$40</definedName>
    <definedName name="x_APToDate9" localSheetId="0">'[16]Request Form'!$S$40</definedName>
    <definedName name="x_APToDate9">#REF!</definedName>
    <definedName name="x_APVatRate1" localSheetId="13">'[15]Request Form'!$P$35</definedName>
    <definedName name="x_APVatRate1" localSheetId="10">'[16]Request Form'!$P$32</definedName>
    <definedName name="x_APVatRate1" localSheetId="0">'[16]Request Form'!$P$32</definedName>
    <definedName name="x_APVatRate1">#REF!</definedName>
    <definedName name="x_APVatRate10" localSheetId="13">'[15]Request Form'!$P$44</definedName>
    <definedName name="x_APVatRate10" localSheetId="10">'[16]Request Form'!$P$41</definedName>
    <definedName name="x_APVatRate10" localSheetId="0">'[16]Request Form'!$P$41</definedName>
    <definedName name="x_APVatRate10">#REF!</definedName>
    <definedName name="x_APVatRate11" localSheetId="13">'[15]Request Form'!$P$45</definedName>
    <definedName name="x_APVatRate11" localSheetId="10">'[16]Request Form'!$P$42</definedName>
    <definedName name="x_APVatRate11" localSheetId="0">'[16]Request Form'!$P$42</definedName>
    <definedName name="x_APVatRate11">#REF!</definedName>
    <definedName name="x_APVatRate12" localSheetId="13">'[15]Request Form'!$P$46</definedName>
    <definedName name="x_APVatRate12" localSheetId="10">'[16]Request Form'!$P$43</definedName>
    <definedName name="x_APVatRate12" localSheetId="0">'[16]Request Form'!$P$43</definedName>
    <definedName name="x_APVatRate12">#REF!</definedName>
    <definedName name="x_APVatRate2" localSheetId="13">'[15]Request Form'!$P$36</definedName>
    <definedName name="x_APVatRate2" localSheetId="10">'[16]Request Form'!$P$33</definedName>
    <definedName name="x_APVatRate2" localSheetId="0">'[16]Request Form'!$P$33</definedName>
    <definedName name="x_APVatRate2">#REF!</definedName>
    <definedName name="x_APVatRate3" localSheetId="13">'[15]Request Form'!$P$37</definedName>
    <definedName name="x_APVatRate3" localSheetId="10">'[16]Request Form'!$P$34</definedName>
    <definedName name="x_APVatRate3" localSheetId="0">'[16]Request Form'!$P$34</definedName>
    <definedName name="x_APVatRate3">#REF!</definedName>
    <definedName name="x_APVatRate4" localSheetId="13">'[15]Request Form'!$P$38</definedName>
    <definedName name="x_APVatRate4" localSheetId="10">'[16]Request Form'!$P$35</definedName>
    <definedName name="x_APVatRate4" localSheetId="0">'[16]Request Form'!$P$35</definedName>
    <definedName name="x_APVatRate4">#REF!</definedName>
    <definedName name="x_APVatRate5" localSheetId="13">'[15]Request Form'!$P$39</definedName>
    <definedName name="x_APVatRate5" localSheetId="10">'[16]Request Form'!$P$36</definedName>
    <definedName name="x_APVatRate5" localSheetId="0">'[16]Request Form'!$P$36</definedName>
    <definedName name="x_APVatRate5">#REF!</definedName>
    <definedName name="x_APVatRate6" localSheetId="13">'[15]Request Form'!$P$40</definedName>
    <definedName name="x_APVatRate6" localSheetId="10">'[16]Request Form'!$P$37</definedName>
    <definedName name="x_APVatRate6" localSheetId="0">'[16]Request Form'!$P$37</definedName>
    <definedName name="x_APVatRate6">#REF!</definedName>
    <definedName name="x_APVatRate7" localSheetId="13">'[15]Request Form'!$P$41</definedName>
    <definedName name="x_APVatRate7" localSheetId="10">'[16]Request Form'!$P$38</definedName>
    <definedName name="x_APVatRate7" localSheetId="0">'[16]Request Form'!$P$38</definedName>
    <definedName name="x_APVatRate7">#REF!</definedName>
    <definedName name="x_APVatRate8" localSheetId="13">'[15]Request Form'!$P$42</definedName>
    <definedName name="x_APVatRate8" localSheetId="10">'[16]Request Form'!$P$39</definedName>
    <definedName name="x_APVatRate8" localSheetId="0">'[16]Request Form'!$P$39</definedName>
    <definedName name="x_APVatRate8">#REF!</definedName>
    <definedName name="x_APVatRate9" localSheetId="13">'[15]Request Form'!$P$43</definedName>
    <definedName name="x_APVatRate9" localSheetId="10">'[16]Request Form'!$P$40</definedName>
    <definedName name="x_APVatRate9" localSheetId="0">'[16]Request Form'!$P$40</definedName>
    <definedName name="x_APVatRate9">#REF!</definedName>
    <definedName name="x_ARBud1" localSheetId="13">'[15]Request Form'!$AE$16</definedName>
    <definedName name="x_ARBud1" localSheetId="10">'[16]Request Form'!$AD$16</definedName>
    <definedName name="x_ARBud1" localSheetId="0">'[16]Request Form'!$AD$16</definedName>
    <definedName name="x_ARBud1">#REF!</definedName>
    <definedName name="x_ARBud10" localSheetId="13">'[15]Request Form'!$AE$25</definedName>
    <definedName name="x_ARBud10" localSheetId="10">'[16]Request Form'!$AD$25</definedName>
    <definedName name="x_ARBud10" localSheetId="0">'[16]Request Form'!$AD$25</definedName>
    <definedName name="x_ARBud10">#REF!</definedName>
    <definedName name="x_ARBud11" localSheetId="13">'[15]Request Form'!$AE$26</definedName>
    <definedName name="x_ARBud11" localSheetId="10">'[16]Request Form'!$AD$26</definedName>
    <definedName name="x_ARBud11" localSheetId="0">'[16]Request Form'!$AD$26</definedName>
    <definedName name="x_ARBud11">#REF!</definedName>
    <definedName name="x_ARBud12" localSheetId="13">'[15]Request Form'!$AE$27</definedName>
    <definedName name="x_ARBud12" localSheetId="10">'[16]Request Form'!$AD$27</definedName>
    <definedName name="x_ARBud12" localSheetId="0">'[16]Request Form'!$AD$27</definedName>
    <definedName name="x_ARBud12">#REF!</definedName>
    <definedName name="x_ARBud2" localSheetId="13">'[15]Request Form'!$AE$17</definedName>
    <definedName name="x_ARBud2" localSheetId="10">'[16]Request Form'!$AD$17</definedName>
    <definedName name="x_ARBud2" localSheetId="0">'[16]Request Form'!$AD$17</definedName>
    <definedName name="x_ARBud2">#REF!</definedName>
    <definedName name="x_ARBud3" localSheetId="13">'[15]Request Form'!$AE$18</definedName>
    <definedName name="x_ARBud3" localSheetId="10">'[16]Request Form'!$AD$18</definedName>
    <definedName name="x_ARBud3" localSheetId="0">'[16]Request Form'!$AD$18</definedName>
    <definedName name="x_ARBud3">#REF!</definedName>
    <definedName name="x_ARBud4" localSheetId="13">'[15]Request Form'!$AE$19</definedName>
    <definedName name="x_ARBud4" localSheetId="10">'[16]Request Form'!$AD$19</definedName>
    <definedName name="x_ARBud4" localSheetId="0">'[16]Request Form'!$AD$19</definedName>
    <definedName name="x_ARBud4">#REF!</definedName>
    <definedName name="x_ARBud5" localSheetId="13">'[15]Request Form'!$AE$20</definedName>
    <definedName name="x_ARBud5" localSheetId="10">'[16]Request Form'!$AD$20</definedName>
    <definedName name="x_ARBud5" localSheetId="0">'[16]Request Form'!$AD$20</definedName>
    <definedName name="x_ARBud5">#REF!</definedName>
    <definedName name="x_ARBud6" localSheetId="13">'[15]Request Form'!$AE$21</definedName>
    <definedName name="x_ARBud6" localSheetId="10">'[16]Request Form'!$AD$21</definedName>
    <definedName name="x_ARBud6" localSheetId="0">'[16]Request Form'!$AD$21</definedName>
    <definedName name="x_ARBud6">#REF!</definedName>
    <definedName name="x_ARBud7" localSheetId="13">'[15]Request Form'!$AE$22</definedName>
    <definedName name="x_ARBud7" localSheetId="10">'[16]Request Form'!$AD$22</definedName>
    <definedName name="x_ARBud7" localSheetId="0">'[16]Request Form'!$AD$22</definedName>
    <definedName name="x_ARBud7">#REF!</definedName>
    <definedName name="x_ARBud8" localSheetId="13">'[15]Request Form'!$AE$23</definedName>
    <definedName name="x_ARBud8" localSheetId="10">'[16]Request Form'!$AD$23</definedName>
    <definedName name="x_ARBud8" localSheetId="0">'[16]Request Form'!$AD$23</definedName>
    <definedName name="x_ARBud8">#REF!</definedName>
    <definedName name="x_ARBud9" localSheetId="13">'[15]Request Form'!$AE$24</definedName>
    <definedName name="x_ARBud9" localSheetId="10">'[16]Request Form'!$AD$24</definedName>
    <definedName name="x_ARBud9" localSheetId="0">'[16]Request Form'!$AD$24</definedName>
    <definedName name="x_ARBud9">#REF!</definedName>
    <definedName name="x_ARBudget1">#REF!</definedName>
    <definedName name="x_ARBudget10">#REF!</definedName>
    <definedName name="x_ARBudget11">#REF!</definedName>
    <definedName name="x_ARBudget12">#REF!</definedName>
    <definedName name="x_ARBudget2">#REF!</definedName>
    <definedName name="x_ARBudget3">#REF!</definedName>
    <definedName name="x_ARBudget4">#REF!</definedName>
    <definedName name="x_ARBudget5">#REF!</definedName>
    <definedName name="x_ARBudget6">#REF!</definedName>
    <definedName name="x_ARBudget7">#REF!</definedName>
    <definedName name="x_ARBudget8">#REF!</definedName>
    <definedName name="x_ARBudget9">#REF!</definedName>
    <definedName name="x_ARCat1" localSheetId="13">'[15]Request Form'!$AB$16</definedName>
    <definedName name="x_ARCat1" localSheetId="10">'[16]Request Form'!$AA$16</definedName>
    <definedName name="x_ARCat1" localSheetId="0">'[16]Request Form'!$AA$16</definedName>
    <definedName name="x_ARCat1">#REF!</definedName>
    <definedName name="x_ARCat10" localSheetId="13">'[15]Request Form'!$AB$25</definedName>
    <definedName name="x_ARCat10" localSheetId="10">'[16]Request Form'!$AA$25</definedName>
    <definedName name="x_ARCat10" localSheetId="0">'[16]Request Form'!$AA$25</definedName>
    <definedName name="x_ARCat10">#REF!</definedName>
    <definedName name="x_ARCat11" localSheetId="13">'[15]Request Form'!$AB$26</definedName>
    <definedName name="x_ARCat11" localSheetId="10">'[16]Request Form'!$AA$26</definedName>
    <definedName name="x_ARCat11" localSheetId="0">'[16]Request Form'!$AA$26</definedName>
    <definedName name="x_ARCat11">#REF!</definedName>
    <definedName name="x_ARCat12" localSheetId="13">'[15]Request Form'!$AB$27</definedName>
    <definedName name="x_ARCat12" localSheetId="10">'[16]Request Form'!$AA$27</definedName>
    <definedName name="x_ARCat12" localSheetId="0">'[16]Request Form'!$AA$27</definedName>
    <definedName name="x_ARCat12">#REF!</definedName>
    <definedName name="x_ARCat2" localSheetId="13">'[15]Request Form'!$AB$17</definedName>
    <definedName name="x_ARCat2" localSheetId="10">'[16]Request Form'!$AA$17</definedName>
    <definedName name="x_ARCat2" localSheetId="0">'[16]Request Form'!$AA$17</definedName>
    <definedName name="x_ARCat2">#REF!</definedName>
    <definedName name="x_ARCat3" localSheetId="13">'[15]Request Form'!$AB$18</definedName>
    <definedName name="x_ARCat3" localSheetId="10">'[16]Request Form'!$AA$18</definedName>
    <definedName name="x_ARCat3" localSheetId="0">'[16]Request Form'!$AA$18</definedName>
    <definedName name="x_ARCat3">#REF!</definedName>
    <definedName name="x_ARCat4" localSheetId="13">'[15]Request Form'!$AB$19</definedName>
    <definedName name="x_ARCat4" localSheetId="10">'[16]Request Form'!$AA$19</definedName>
    <definedName name="x_ARCat4" localSheetId="0">'[16]Request Form'!$AA$19</definedName>
    <definedName name="x_ARCat4">#REF!</definedName>
    <definedName name="x_ARCat5" localSheetId="13">'[15]Request Form'!$AB$20</definedName>
    <definedName name="x_ARCat5" localSheetId="10">'[16]Request Form'!$AA$20</definedName>
    <definedName name="x_ARCat5" localSheetId="0">'[16]Request Form'!$AA$20</definedName>
    <definedName name="x_ARCat5">#REF!</definedName>
    <definedName name="x_ARCat6" localSheetId="13">'[15]Request Form'!$AB$21</definedName>
    <definedName name="x_ARCat6" localSheetId="10">'[16]Request Form'!$AA$21</definedName>
    <definedName name="x_ARCat6" localSheetId="0">'[16]Request Form'!$AA$21</definedName>
    <definedName name="x_ARCat6">#REF!</definedName>
    <definedName name="x_ARCat7" localSheetId="13">'[15]Request Form'!$AB$22</definedName>
    <definedName name="x_ARCat7" localSheetId="10">'[16]Request Form'!$AA$22</definedName>
    <definedName name="x_ARCat7" localSheetId="0">'[16]Request Form'!$AA$22</definedName>
    <definedName name="x_ARCat7">#REF!</definedName>
    <definedName name="x_ARCat8" localSheetId="13">'[15]Request Form'!$AB$23</definedName>
    <definedName name="x_ARCat8" localSheetId="10">'[16]Request Form'!$AA$23</definedName>
    <definedName name="x_ARCat8" localSheetId="0">'[16]Request Form'!$AA$23</definedName>
    <definedName name="x_ARCat8">#REF!</definedName>
    <definedName name="x_ARCat9" localSheetId="13">'[15]Request Form'!$AB$24</definedName>
    <definedName name="x_ARCat9" localSheetId="10">'[16]Request Form'!$AA$24</definedName>
    <definedName name="x_ARCat9" localSheetId="0">'[16]Request Form'!$AA$24</definedName>
    <definedName name="x_ARCat9">#REF!</definedName>
    <definedName name="x_ARContract1" localSheetId="13">'[15]Request Form'!$AC$16</definedName>
    <definedName name="x_ARContract1" localSheetId="10">'[16]Request Form'!$AB$16</definedName>
    <definedName name="x_ARContract1" localSheetId="0">'[16]Request Form'!$AB$16</definedName>
    <definedName name="x_ARContract1">#REF!</definedName>
    <definedName name="x_ARContract10" localSheetId="13">'[15]Request Form'!$AC$25</definedName>
    <definedName name="x_ARContract10" localSheetId="10">'[16]Request Form'!$AB$25</definedName>
    <definedName name="x_ARContract10" localSheetId="0">'[16]Request Form'!$AB$25</definedName>
    <definedName name="x_ARContract10">#REF!</definedName>
    <definedName name="x_ARContract11" localSheetId="13">'[15]Request Form'!$AC$26</definedName>
    <definedName name="x_ARContract11" localSheetId="10">'[16]Request Form'!$AB$26</definedName>
    <definedName name="x_ARContract11" localSheetId="0">'[16]Request Form'!$AB$26</definedName>
    <definedName name="x_ARContract11">#REF!</definedName>
    <definedName name="x_ARContract12" localSheetId="13">'[15]Request Form'!$AC$27</definedName>
    <definedName name="x_ARContract12" localSheetId="10">'[16]Request Form'!$AB$27</definedName>
    <definedName name="x_ARContract12" localSheetId="0">'[16]Request Form'!$AB$27</definedName>
    <definedName name="x_ARContract12">#REF!</definedName>
    <definedName name="x_ARContract2" localSheetId="13">'[15]Request Form'!$AC$17</definedName>
    <definedName name="x_ARContract2" localSheetId="10">'[16]Request Form'!$AB$17</definedName>
    <definedName name="x_ARContract2" localSheetId="0">'[16]Request Form'!$AB$17</definedName>
    <definedName name="x_ARContract2">#REF!</definedName>
    <definedName name="x_ARContract3" localSheetId="13">'[15]Request Form'!$AC$18</definedName>
    <definedName name="x_ARContract3" localSheetId="10">'[16]Request Form'!$AB$18</definedName>
    <definedName name="x_ARContract3" localSheetId="0">'[16]Request Form'!$AB$18</definedName>
    <definedName name="x_ARContract3">#REF!</definedName>
    <definedName name="x_ARContract4" localSheetId="13">'[15]Request Form'!$AC$19</definedName>
    <definedName name="x_ARContract4" localSheetId="10">'[16]Request Form'!$AB$19</definedName>
    <definedName name="x_ARContract4" localSheetId="0">'[16]Request Form'!$AB$19</definedName>
    <definedName name="x_ARContract4">#REF!</definedName>
    <definedName name="x_ARContract5" localSheetId="13">'[15]Request Form'!$AC$20</definedName>
    <definedName name="x_ARContract5" localSheetId="10">'[16]Request Form'!$AB$20</definedName>
    <definedName name="x_ARContract5" localSheetId="0">'[16]Request Form'!$AB$20</definedName>
    <definedName name="x_ARContract5">#REF!</definedName>
    <definedName name="x_ARContract6" localSheetId="13">'[15]Request Form'!$AC$21</definedName>
    <definedName name="x_ARContract6" localSheetId="10">'[16]Request Form'!$AB$21</definedName>
    <definedName name="x_ARContract6" localSheetId="0">'[16]Request Form'!$AB$21</definedName>
    <definedName name="x_ARContract6">#REF!</definedName>
    <definedName name="x_ARContract7" localSheetId="13">'[15]Request Form'!$AC$22</definedName>
    <definedName name="x_ARContract7" localSheetId="10">'[16]Request Form'!$AB$22</definedName>
    <definedName name="x_ARContract7" localSheetId="0">'[16]Request Form'!$AB$22</definedName>
    <definedName name="x_ARContract7">#REF!</definedName>
    <definedName name="x_ARContract8" localSheetId="13">'[15]Request Form'!$AC$23</definedName>
    <definedName name="x_ARContract8" localSheetId="10">'[16]Request Form'!$AB$23</definedName>
    <definedName name="x_ARContract8" localSheetId="0">'[16]Request Form'!$AB$23</definedName>
    <definedName name="x_ARContract8">#REF!</definedName>
    <definedName name="x_ARContract9" localSheetId="13">'[15]Request Form'!$AC$24</definedName>
    <definedName name="x_ARContract9" localSheetId="10">'[16]Request Form'!$AB$24</definedName>
    <definedName name="x_ARContract9" localSheetId="0">'[16]Request Form'!$AB$24</definedName>
    <definedName name="x_ARContract9">#REF!</definedName>
    <definedName name="x_ARDesc1" localSheetId="13">'[15]Request Form'!$D$16</definedName>
    <definedName name="x_ARDesc1" localSheetId="10">'[16]Request Form'!$D$16</definedName>
    <definedName name="x_ARDesc1" localSheetId="0">'[16]Request Form'!$D$16</definedName>
    <definedName name="x_ARDesc1">#REF!</definedName>
    <definedName name="x_ARDesc10" localSheetId="13">'[15]Request Form'!$D$25</definedName>
    <definedName name="x_ARDesc10" localSheetId="10">'[16]Request Form'!$D$25</definedName>
    <definedName name="x_ARDesc10" localSheetId="0">'[16]Request Form'!$D$25</definedName>
    <definedName name="x_ARDesc10">#REF!</definedName>
    <definedName name="x_ARDesc11" localSheetId="13">'[15]Request Form'!$D$26</definedName>
    <definedName name="x_ARDesc11" localSheetId="10">'[16]Request Form'!$D$26</definedName>
    <definedName name="x_ARDesc11" localSheetId="0">'[16]Request Form'!$D$26</definedName>
    <definedName name="x_ARDesc11">#REF!</definedName>
    <definedName name="x_ARDesc12" localSheetId="13">'[15]Request Form'!$D$27</definedName>
    <definedName name="x_ARDesc12" localSheetId="10">'[16]Request Form'!$D$27</definedName>
    <definedName name="x_ARDesc12" localSheetId="0">'[16]Request Form'!$D$27</definedName>
    <definedName name="x_ARDesc12">#REF!</definedName>
    <definedName name="x_ARDesc2" localSheetId="13">'[15]Request Form'!$D$17</definedName>
    <definedName name="x_ARDesc2" localSheetId="10">'[16]Request Form'!$D$17</definedName>
    <definedName name="x_ARDesc2" localSheetId="0">'[16]Request Form'!$D$17</definedName>
    <definedName name="x_ARDesc2">#REF!</definedName>
    <definedName name="x_ARDesc3" localSheetId="13">'[15]Request Form'!$D$18</definedName>
    <definedName name="x_ARDesc3" localSheetId="10">'[16]Request Form'!$D$18</definedName>
    <definedName name="x_ARDesc3" localSheetId="0">'[16]Request Form'!$D$18</definedName>
    <definedName name="x_ARDesc3">#REF!</definedName>
    <definedName name="x_ARDesc4" localSheetId="13">'[15]Request Form'!$D$19</definedName>
    <definedName name="x_ARDesc4" localSheetId="10">'[16]Request Form'!$D$19</definedName>
    <definedName name="x_ARDesc4" localSheetId="0">'[16]Request Form'!$D$19</definedName>
    <definedName name="x_ARDesc4">#REF!</definedName>
    <definedName name="x_ARDesc5" localSheetId="13">'[15]Request Form'!$D$20</definedName>
    <definedName name="x_ARDesc5" localSheetId="10">'[16]Request Form'!$D$20</definedName>
    <definedName name="x_ARDesc5" localSheetId="0">'[16]Request Form'!$D$20</definedName>
    <definedName name="x_ARDesc5">#REF!</definedName>
    <definedName name="x_ARDesc6" localSheetId="13">'[15]Request Form'!$D$21</definedName>
    <definedName name="x_ARDesc6" localSheetId="10">'[16]Request Form'!$D$21</definedName>
    <definedName name="x_ARDesc6" localSheetId="0">'[16]Request Form'!$D$21</definedName>
    <definedName name="x_ARDesc6">#REF!</definedName>
    <definedName name="x_ARDesc7" localSheetId="13">'[15]Request Form'!$D$22</definedName>
    <definedName name="x_ARDesc7" localSheetId="10">'[16]Request Form'!$D$22</definedName>
    <definedName name="x_ARDesc7" localSheetId="0">'[16]Request Form'!$D$22</definedName>
    <definedName name="x_ARDesc7">#REF!</definedName>
    <definedName name="x_ARDesc8" localSheetId="13">'[15]Request Form'!$D$23</definedName>
    <definedName name="x_ARDesc8" localSheetId="10">'[16]Request Form'!$D$23</definedName>
    <definedName name="x_ARDesc8" localSheetId="0">'[16]Request Form'!$D$23</definedName>
    <definedName name="x_ARDesc8">#REF!</definedName>
    <definedName name="x_ARDesc9" localSheetId="13">'[15]Request Form'!$D$24</definedName>
    <definedName name="x_ARDesc9" localSheetId="10">'[16]Request Form'!$D$24</definedName>
    <definedName name="x_ARDesc9" localSheetId="0">'[16]Request Form'!$D$24</definedName>
    <definedName name="x_ARDesc9">#REF!</definedName>
    <definedName name="x_ARFrDate1" localSheetId="13">'[15]Request Form'!$R$16</definedName>
    <definedName name="x_ARFrDate1" localSheetId="10">'[16]Request Form'!$R$16</definedName>
    <definedName name="x_ARFrDate1" localSheetId="0">'[16]Request Form'!$R$16</definedName>
    <definedName name="x_ARFrDate1">#REF!</definedName>
    <definedName name="x_ARFrDate10" localSheetId="13">'[15]Request Form'!$R$25</definedName>
    <definedName name="x_ARFrDate10" localSheetId="10">'[16]Request Form'!$R$25</definedName>
    <definedName name="x_ARFrDate10" localSheetId="0">'[16]Request Form'!$R$25</definedName>
    <definedName name="x_ARFrDate10">#REF!</definedName>
    <definedName name="x_ARFrDate11" localSheetId="13">'[15]Request Form'!$R$26</definedName>
    <definedName name="x_ARFrDate11" localSheetId="10">'[16]Request Form'!$R$26</definedName>
    <definedName name="x_ARFrDate11" localSheetId="0">'[16]Request Form'!$R$26</definedName>
    <definedName name="x_ARFrDate11">#REF!</definedName>
    <definedName name="x_ARFrDate12" localSheetId="13">'[15]Request Form'!$R$27</definedName>
    <definedName name="x_ARFrDate12" localSheetId="10">'[16]Request Form'!$R$27</definedName>
    <definedName name="x_ARFrDate12" localSheetId="0">'[16]Request Form'!$R$27</definedName>
    <definedName name="x_ARFrDate12">#REF!</definedName>
    <definedName name="x_ARFrDate2" localSheetId="13">'[15]Request Form'!$R$17</definedName>
    <definedName name="x_ARFrDate2" localSheetId="10">'[16]Request Form'!$R$17</definedName>
    <definedName name="x_ARFrDate2" localSheetId="0">'[16]Request Form'!$R$17</definedName>
    <definedName name="x_ARFrDate2">#REF!</definedName>
    <definedName name="x_ARFrDate3" localSheetId="13">'[15]Request Form'!$R$18</definedName>
    <definedName name="x_ARFrDate3" localSheetId="10">'[16]Request Form'!$R$18</definedName>
    <definedName name="x_ARFrDate3" localSheetId="0">'[16]Request Form'!$R$18</definedName>
    <definedName name="x_ARFrDate3">#REF!</definedName>
    <definedName name="x_ARFrDate4" localSheetId="13">'[15]Request Form'!$R$19</definedName>
    <definedName name="x_ARFrDate4" localSheetId="10">'[16]Request Form'!$R$19</definedName>
    <definedName name="x_ARFrDate4" localSheetId="0">'[16]Request Form'!$R$19</definedName>
    <definedName name="x_ARFrDate4">#REF!</definedName>
    <definedName name="x_ARFrDate5" localSheetId="13">'[15]Request Form'!$R$20</definedName>
    <definedName name="x_ARFrDate5" localSheetId="10">'[16]Request Form'!$R$20</definedName>
    <definedName name="x_ARFrDate5" localSheetId="0">'[16]Request Form'!$R$20</definedName>
    <definedName name="x_ARFrDate5">#REF!</definedName>
    <definedName name="x_ARFrDate6" localSheetId="13">'[15]Request Form'!$R$21</definedName>
    <definedName name="x_ARFrDate6" localSheetId="10">'[16]Request Form'!$R$21</definedName>
    <definedName name="x_ARFrDate6" localSheetId="0">'[16]Request Form'!$R$21</definedName>
    <definedName name="x_ARFrDate6">#REF!</definedName>
    <definedName name="x_ARFrDate7" localSheetId="13">'[15]Request Form'!$R$22</definedName>
    <definedName name="x_ARFrDate7" localSheetId="10">'[16]Request Form'!$R$22</definedName>
    <definedName name="x_ARFrDate7" localSheetId="0">'[16]Request Form'!$R$22</definedName>
    <definedName name="x_ARFrDate7">#REF!</definedName>
    <definedName name="x_ARFrDate8" localSheetId="13">'[15]Request Form'!$R$23</definedName>
    <definedName name="x_ARFrDate8" localSheetId="10">'[16]Request Form'!$R$23</definedName>
    <definedName name="x_ARFrDate8" localSheetId="0">'[16]Request Form'!$R$23</definedName>
    <definedName name="x_ARFrDate8">#REF!</definedName>
    <definedName name="x_ARFrDate9" localSheetId="13">'[15]Request Form'!$R$24</definedName>
    <definedName name="x_ARFrDate9" localSheetId="10">'[16]Request Form'!$R$24</definedName>
    <definedName name="x_ARFrDate9" localSheetId="0">'[16]Request Form'!$R$24</definedName>
    <definedName name="x_ARFrDate9">#REF!</definedName>
    <definedName name="x_ARGLAc1" localSheetId="13">'[15]Request Form'!$X$16</definedName>
    <definedName name="x_ARGLAc1" localSheetId="10">'[16]Request Form'!$W$16</definedName>
    <definedName name="x_ARGLAc1" localSheetId="0">'[16]Request Form'!$W$16</definedName>
    <definedName name="x_ARGLAc1">#REF!</definedName>
    <definedName name="x_ARGLAc10" localSheetId="13">'[15]Request Form'!$X$25</definedName>
    <definedName name="x_ARGLAc10" localSheetId="10">'[16]Request Form'!$W$25</definedName>
    <definedName name="x_ARGLAc10" localSheetId="0">'[16]Request Form'!$W$25</definedName>
    <definedName name="x_ARGLAc10">#REF!</definedName>
    <definedName name="x_ARGLAc11" localSheetId="13">'[15]Request Form'!$X$26</definedName>
    <definedName name="x_ARGLAc11" localSheetId="10">'[16]Request Form'!$W$26</definedName>
    <definedName name="x_ARGLAc11" localSheetId="0">'[16]Request Form'!$W$26</definedName>
    <definedName name="x_ARGLAc11">#REF!</definedName>
    <definedName name="x_ARGLAc12" localSheetId="13">'[15]Request Form'!$X$27</definedName>
    <definedName name="x_ARGLAc12" localSheetId="10">'[16]Request Form'!$W$27</definedName>
    <definedName name="x_ARGLAc12" localSheetId="0">'[16]Request Form'!$W$27</definedName>
    <definedName name="x_ARGLAc12">#REF!</definedName>
    <definedName name="x_ARGLAc2" localSheetId="13">'[15]Request Form'!$X$17</definedName>
    <definedName name="x_ARGLAc2" localSheetId="10">'[16]Request Form'!$W$17</definedName>
    <definedName name="x_ARGLAc2" localSheetId="0">'[16]Request Form'!$W$17</definedName>
    <definedName name="x_ARGLAc2">#REF!</definedName>
    <definedName name="x_ARGLAc3" localSheetId="13">'[15]Request Form'!$X$18</definedName>
    <definedName name="x_ARGLAc3" localSheetId="10">'[16]Request Form'!$W$18</definedName>
    <definedName name="x_ARGLAc3" localSheetId="0">'[16]Request Form'!$W$18</definedName>
    <definedName name="x_ARGLAc3">#REF!</definedName>
    <definedName name="x_ARGLAc4" localSheetId="13">'[15]Request Form'!$X$19</definedName>
    <definedName name="x_ARGLAc4" localSheetId="10">'[16]Request Form'!$W$19</definedName>
    <definedName name="x_ARGLAc4" localSheetId="0">'[16]Request Form'!$W$19</definedName>
    <definedName name="x_ARGLAc4">#REF!</definedName>
    <definedName name="x_ARGLAc5" localSheetId="13">'[15]Request Form'!$X$20</definedName>
    <definedName name="x_ARGLAc5" localSheetId="10">'[16]Request Form'!$W$20</definedName>
    <definedName name="x_ARGLAc5" localSheetId="0">'[16]Request Form'!$W$20</definedName>
    <definedName name="x_ARGLAc5">#REF!</definedName>
    <definedName name="x_ARGLAc6" localSheetId="13">'[15]Request Form'!$X$21</definedName>
    <definedName name="x_ARGLAc6" localSheetId="10">'[16]Request Form'!$W$21</definedName>
    <definedName name="x_ARGLAc6" localSheetId="0">'[16]Request Form'!$W$21</definedName>
    <definedName name="x_ARGLAc6">#REF!</definedName>
    <definedName name="x_ARGLAc7" localSheetId="13">'[15]Request Form'!$X$22</definedName>
    <definedName name="x_ARGLAc7" localSheetId="10">'[16]Request Form'!$W$22</definedName>
    <definedName name="x_ARGLAc7" localSheetId="0">'[16]Request Form'!$W$22</definedName>
    <definedName name="x_ARGLAc7">#REF!</definedName>
    <definedName name="x_ARGLAc8" localSheetId="13">'[15]Request Form'!$X$23</definedName>
    <definedName name="x_ARGLAc8" localSheetId="10">'[16]Request Form'!$W$23</definedName>
    <definedName name="x_ARGLAc8" localSheetId="0">'[16]Request Form'!$W$23</definedName>
    <definedName name="x_ARGLAc8">#REF!</definedName>
    <definedName name="x_ARGLAc9" localSheetId="13">'[15]Request Form'!$X$24</definedName>
    <definedName name="x_ARGLAc9" localSheetId="10">'[16]Request Form'!$W$24</definedName>
    <definedName name="x_ARGLAc9" localSheetId="0">'[16]Request Form'!$W$24</definedName>
    <definedName name="x_ARGLAc9">#REF!</definedName>
    <definedName name="x_ARJob1" localSheetId="13">'[15]Request Form'!$AA$16</definedName>
    <definedName name="x_ARJob1" localSheetId="10">'[16]Request Form'!$Z$16</definedName>
    <definedName name="x_ARJob1" localSheetId="0">'[16]Request Form'!$Z$16</definedName>
    <definedName name="x_ARJob1">#REF!</definedName>
    <definedName name="x_ARJob10" localSheetId="13">'[15]Request Form'!$AA$25</definedName>
    <definedName name="x_ARJob10" localSheetId="10">'[16]Request Form'!$Z$25</definedName>
    <definedName name="x_ARJob10" localSheetId="0">'[16]Request Form'!$Z$25</definedName>
    <definedName name="x_ARJob10">#REF!</definedName>
    <definedName name="x_ARJob11" localSheetId="13">'[15]Request Form'!$AA$26</definedName>
    <definedName name="x_ARJob11" localSheetId="10">'[16]Request Form'!$Z$26</definedName>
    <definedName name="x_ARJob11" localSheetId="0">'[16]Request Form'!$Z$26</definedName>
    <definedName name="x_ARJob11">#REF!</definedName>
    <definedName name="x_ARJob12" localSheetId="13">'[15]Request Form'!$AA$27</definedName>
    <definedName name="x_ARJob12" localSheetId="10">'[16]Request Form'!$Z$27</definedName>
    <definedName name="x_ARJob12" localSheetId="0">'[16]Request Form'!$Z$27</definedName>
    <definedName name="x_ARJob12">#REF!</definedName>
    <definedName name="x_ARJob2" localSheetId="13">'[15]Request Form'!$AA$17</definedName>
    <definedName name="x_ARJob2" localSheetId="10">'[16]Request Form'!$Z$17</definedName>
    <definedName name="x_ARJob2" localSheetId="0">'[16]Request Form'!$Z$17</definedName>
    <definedName name="x_ARJob2">#REF!</definedName>
    <definedName name="x_ARJob3" localSheetId="13">'[15]Request Form'!$AA$18</definedName>
    <definedName name="x_ARJob3" localSheetId="10">'[16]Request Form'!$Z$18</definedName>
    <definedName name="x_ARJob3" localSheetId="0">'[16]Request Form'!$Z$18</definedName>
    <definedName name="x_ARJob3">#REF!</definedName>
    <definedName name="x_ARJob4" localSheetId="13">'[15]Request Form'!$AA$19</definedName>
    <definedName name="x_ARJob4" localSheetId="10">'[16]Request Form'!$Z$19</definedName>
    <definedName name="x_ARJob4" localSheetId="0">'[16]Request Form'!$Z$19</definedName>
    <definedName name="x_ARJob4">#REF!</definedName>
    <definedName name="x_ARJob5" localSheetId="13">'[15]Request Form'!$AA$20</definedName>
    <definedName name="x_ARJob5" localSheetId="10">'[16]Request Form'!$Z$20</definedName>
    <definedName name="x_ARJob5" localSheetId="0">'[16]Request Form'!$Z$20</definedName>
    <definedName name="x_ARJob5">#REF!</definedName>
    <definedName name="x_ARJob6" localSheetId="13">'[15]Request Form'!$AA$21</definedName>
    <definedName name="x_ARJob6" localSheetId="10">'[16]Request Form'!$Z$21</definedName>
    <definedName name="x_ARJob6" localSheetId="0">'[16]Request Form'!$Z$21</definedName>
    <definedName name="x_ARJob6">#REF!</definedName>
    <definedName name="x_ARJob7" localSheetId="13">'[15]Request Form'!$AA$22</definedName>
    <definedName name="x_ARJob7" localSheetId="10">'[16]Request Form'!$Z$22</definedName>
    <definedName name="x_ARJob7" localSheetId="0">'[16]Request Form'!$Z$22</definedName>
    <definedName name="x_ARJob7">#REF!</definedName>
    <definedName name="x_ARJob8" localSheetId="13">'[15]Request Form'!$AA$23</definedName>
    <definedName name="x_ARJob8" localSheetId="10">'[16]Request Form'!$Z$23</definedName>
    <definedName name="x_ARJob8" localSheetId="0">'[16]Request Form'!$Z$23</definedName>
    <definedName name="x_ARJob8">#REF!</definedName>
    <definedName name="x_ARJob9" localSheetId="13">'[15]Request Form'!$AA$24</definedName>
    <definedName name="x_ARJob9" localSheetId="10">'[16]Request Form'!$Z$24</definedName>
    <definedName name="x_ARJob9" localSheetId="0">'[16]Request Form'!$Z$24</definedName>
    <definedName name="x_ARJob9">#REF!</definedName>
    <definedName name="x_ARNet1" localSheetId="13">'[15]Request Form'!$N$16</definedName>
    <definedName name="x_ARNet1" localSheetId="10">'[16]Request Form'!$N$16</definedName>
    <definedName name="x_ARNet1" localSheetId="0">'[16]Request Form'!$N$16</definedName>
    <definedName name="x_ARNet1">#REF!</definedName>
    <definedName name="x_ARNet10" localSheetId="13">'[15]Request Form'!$N$25</definedName>
    <definedName name="x_ARNet10" localSheetId="10">'[16]Request Form'!$N$25</definedName>
    <definedName name="x_ARNet10" localSheetId="0">'[16]Request Form'!$N$25</definedName>
    <definedName name="x_ARNet10">#REF!</definedName>
    <definedName name="x_ARNet11" localSheetId="13">'[15]Request Form'!$N$26</definedName>
    <definedName name="x_ARNet11" localSheetId="10">'[16]Request Form'!$N$26</definedName>
    <definedName name="x_ARNet11" localSheetId="0">'[16]Request Form'!$N$26</definedName>
    <definedName name="x_ARNet11">#REF!</definedName>
    <definedName name="x_ARNet12" localSheetId="13">'[15]Request Form'!$N$27</definedName>
    <definedName name="x_ARNet12" localSheetId="10">'[16]Request Form'!$N$27</definedName>
    <definedName name="x_ARNet12" localSheetId="0">'[16]Request Form'!$N$27</definedName>
    <definedName name="x_ARNet12">#REF!</definedName>
    <definedName name="x_ARNet2" localSheetId="13">'[15]Request Form'!$N$17</definedName>
    <definedName name="x_ARNet2" localSheetId="10">'[16]Request Form'!$N$17</definedName>
    <definedName name="x_ARNet2" localSheetId="0">'[16]Request Form'!$N$17</definedName>
    <definedName name="x_ARNet2">#REF!</definedName>
    <definedName name="x_ARNet3" localSheetId="13">'[15]Request Form'!$N$18</definedName>
    <definedName name="x_ARNet3" localSheetId="10">'[16]Request Form'!$N$18</definedName>
    <definedName name="x_ARNet3" localSheetId="0">'[16]Request Form'!$N$18</definedName>
    <definedName name="x_ARNet3">#REF!</definedName>
    <definedName name="x_ARNet4" localSheetId="13">'[15]Request Form'!$N$19</definedName>
    <definedName name="x_ARNet4" localSheetId="10">'[16]Request Form'!$N$19</definedName>
    <definedName name="x_ARNet4" localSheetId="0">'[16]Request Form'!$N$19</definedName>
    <definedName name="x_ARNet4">#REF!</definedName>
    <definedName name="x_ARNet5" localSheetId="13">'[15]Request Form'!$N$20</definedName>
    <definedName name="x_ARNet5" localSheetId="10">'[16]Request Form'!$N$20</definedName>
    <definedName name="x_ARNet5" localSheetId="0">'[16]Request Form'!$N$20</definedName>
    <definedName name="x_ARNet5">#REF!</definedName>
    <definedName name="x_ARNet6" localSheetId="13">'[15]Request Form'!$N$21</definedName>
    <definedName name="x_ARNet6" localSheetId="10">'[16]Request Form'!$N$21</definedName>
    <definedName name="x_ARNet6" localSheetId="0">'[16]Request Form'!$N$21</definedName>
    <definedName name="x_ARNet6">#REF!</definedName>
    <definedName name="x_ARNet7" localSheetId="13">'[15]Request Form'!$N$22</definedName>
    <definedName name="x_ARNet7" localSheetId="10">'[16]Request Form'!$N$22</definedName>
    <definedName name="x_ARNet7" localSheetId="0">'[16]Request Form'!$N$22</definedName>
    <definedName name="x_ARNet7">#REF!</definedName>
    <definedName name="x_ARNet8" localSheetId="13">'[15]Request Form'!$N$23</definedName>
    <definedName name="x_ARNet8" localSheetId="10">'[16]Request Form'!$N$23</definedName>
    <definedName name="x_ARNet8" localSheetId="0">'[16]Request Form'!$N$23</definedName>
    <definedName name="x_ARNet8">#REF!</definedName>
    <definedName name="x_ARNet9" localSheetId="13">'[15]Request Form'!$N$24</definedName>
    <definedName name="x_ARNet9" localSheetId="10">'[16]Request Form'!$N$24</definedName>
    <definedName name="x_ARNet9" localSheetId="0">'[16]Request Form'!$N$24</definedName>
    <definedName name="x_ARNet9">#REF!</definedName>
    <definedName name="x_AROwn1" localSheetId="13">'[15]Request Form'!$Z$16</definedName>
    <definedName name="x_AROwn1" localSheetId="10">'[16]Request Form'!$Y$16</definedName>
    <definedName name="x_AROwn1" localSheetId="0">'[16]Request Form'!$Y$16</definedName>
    <definedName name="x_AROwn1">#REF!</definedName>
    <definedName name="x_AROwn10" localSheetId="13">'[15]Request Form'!$Z$25</definedName>
    <definedName name="x_AROwn10" localSheetId="10">'[16]Request Form'!$Y$25</definedName>
    <definedName name="x_AROwn10" localSheetId="0">'[16]Request Form'!$Y$25</definedName>
    <definedName name="x_AROwn10">#REF!</definedName>
    <definedName name="x_AROwn11" localSheetId="13">'[15]Request Form'!$Z$26</definedName>
    <definedName name="x_AROwn11" localSheetId="10">'[16]Request Form'!$Y$26</definedName>
    <definedName name="x_AROwn11" localSheetId="0">'[16]Request Form'!$Y$26</definedName>
    <definedName name="x_AROwn11">#REF!</definedName>
    <definedName name="x_AROwn12" localSheetId="13">'[15]Request Form'!$Z$27</definedName>
    <definedName name="x_AROwn12" localSheetId="10">'[16]Request Form'!$Y$27</definedName>
    <definedName name="x_AROwn12" localSheetId="0">'[16]Request Form'!$Y$27</definedName>
    <definedName name="x_AROwn12">#REF!</definedName>
    <definedName name="x_AROwn2" localSheetId="13">'[15]Request Form'!$Z$17</definedName>
    <definedName name="x_AROwn2" localSheetId="10">'[16]Request Form'!$Y$17</definedName>
    <definedName name="x_AROwn2" localSheetId="0">'[16]Request Form'!$Y$17</definedName>
    <definedName name="x_AROwn2">#REF!</definedName>
    <definedName name="x_AROwn3" localSheetId="13">'[15]Request Form'!$Z$18</definedName>
    <definedName name="x_AROwn3" localSheetId="10">'[16]Request Form'!$Y$18</definedName>
    <definedName name="x_AROwn3" localSheetId="0">'[16]Request Form'!$Y$18</definedName>
    <definedName name="x_AROwn3">#REF!</definedName>
    <definedName name="x_AROwn4" localSheetId="13">'[15]Request Form'!$Z$19</definedName>
    <definedName name="x_AROwn4" localSheetId="10">'[16]Request Form'!$Y$19</definedName>
    <definedName name="x_AROwn4" localSheetId="0">'[16]Request Form'!$Y$19</definedName>
    <definedName name="x_AROwn4">#REF!</definedName>
    <definedName name="x_AROwn5" localSheetId="13">'[15]Request Form'!$Z$20</definedName>
    <definedName name="x_AROwn5" localSheetId="10">'[16]Request Form'!$Y$20</definedName>
    <definedName name="x_AROwn5" localSheetId="0">'[16]Request Form'!$Y$20</definedName>
    <definedName name="x_AROwn5">#REF!</definedName>
    <definedName name="x_AROwn6" localSheetId="13">'[15]Request Form'!$Z$21</definedName>
    <definedName name="x_AROwn6" localSheetId="10">'[16]Request Form'!$Y$21</definedName>
    <definedName name="x_AROwn6" localSheetId="0">'[16]Request Form'!$Y$21</definedName>
    <definedName name="x_AROwn6">#REF!</definedName>
    <definedName name="x_AROwn7" localSheetId="13">'[15]Request Form'!$Z$22</definedName>
    <definedName name="x_AROwn7" localSheetId="10">'[16]Request Form'!$Y$22</definedName>
    <definedName name="x_AROwn7" localSheetId="0">'[16]Request Form'!$Y$22</definedName>
    <definedName name="x_AROwn7">#REF!</definedName>
    <definedName name="x_AROwn8" localSheetId="13">'[15]Request Form'!$Z$23</definedName>
    <definedName name="x_AROwn8" localSheetId="10">'[16]Request Form'!$Y$23</definedName>
    <definedName name="x_AROwn8" localSheetId="0">'[16]Request Form'!$Y$23</definedName>
    <definedName name="x_AROwn8">#REF!</definedName>
    <definedName name="x_AROwn9" localSheetId="13">'[15]Request Form'!$Z$24</definedName>
    <definedName name="x_AROwn9" localSheetId="10">'[16]Request Form'!$Y$24</definedName>
    <definedName name="x_AROwn9" localSheetId="0">'[16]Request Form'!$Y$24</definedName>
    <definedName name="x_AROwn9">#REF!</definedName>
    <definedName name="x_ARProp1" localSheetId="13">'[15]Request Form'!$W$16</definedName>
    <definedName name="x_ARProp1" localSheetId="10">'[16]Request Form'!$V$16</definedName>
    <definedName name="x_ARProp1" localSheetId="0">'[16]Request Form'!$V$16</definedName>
    <definedName name="x_ARProp1">#REF!</definedName>
    <definedName name="x_ARProp10" localSheetId="13">'[15]Request Form'!$W$25</definedName>
    <definedName name="x_ARProp10" localSheetId="10">'[16]Request Form'!$V$25</definedName>
    <definedName name="x_ARProp10" localSheetId="0">'[16]Request Form'!$V$25</definedName>
    <definedName name="x_ARProp10">#REF!</definedName>
    <definedName name="x_ARProp11" localSheetId="13">'[15]Request Form'!$W$26</definedName>
    <definedName name="x_ARProp11" localSheetId="10">'[16]Request Form'!$V$26</definedName>
    <definedName name="x_ARProp11" localSheetId="0">'[16]Request Form'!$V$26</definedName>
    <definedName name="x_ARProp11">#REF!</definedName>
    <definedName name="x_ARProp12" localSheetId="13">'[15]Request Form'!$W$27</definedName>
    <definedName name="x_ARProp12" localSheetId="10">'[16]Request Form'!$V$27</definedName>
    <definedName name="x_ARProp12" localSheetId="0">'[16]Request Form'!$V$27</definedName>
    <definedName name="x_ARProp12">#REF!</definedName>
    <definedName name="x_ARProp2" localSheetId="13">'[15]Request Form'!$W$17</definedName>
    <definedName name="x_ARProp2" localSheetId="10">'[16]Request Form'!$V$17</definedName>
    <definedName name="x_ARProp2" localSheetId="0">'[16]Request Form'!$V$17</definedName>
    <definedName name="x_ARProp2">#REF!</definedName>
    <definedName name="x_ARProp3" localSheetId="13">'[15]Request Form'!$W$18</definedName>
    <definedName name="x_ARProp3" localSheetId="10">'[16]Request Form'!$V$18</definedName>
    <definedName name="x_ARProp3" localSheetId="0">'[16]Request Form'!$V$18</definedName>
    <definedName name="x_ARProp3">#REF!</definedName>
    <definedName name="x_ARProp4" localSheetId="13">'[15]Request Form'!$W$19</definedName>
    <definedName name="x_ARProp4" localSheetId="10">'[16]Request Form'!$V$19</definedName>
    <definedName name="x_ARProp4" localSheetId="0">'[16]Request Form'!$V$19</definedName>
    <definedName name="x_ARProp4">#REF!</definedName>
    <definedName name="x_ARProp5" localSheetId="13">'[15]Request Form'!$W$20</definedName>
    <definedName name="x_ARProp5" localSheetId="10">'[16]Request Form'!$V$20</definedName>
    <definedName name="x_ARProp5" localSheetId="0">'[16]Request Form'!$V$20</definedName>
    <definedName name="x_ARProp5">#REF!</definedName>
    <definedName name="x_ARProp6" localSheetId="13">'[15]Request Form'!$W$21</definedName>
    <definedName name="x_ARProp6" localSheetId="10">'[16]Request Form'!$V$21</definedName>
    <definedName name="x_ARProp6" localSheetId="0">'[16]Request Form'!$V$21</definedName>
    <definedName name="x_ARProp6">#REF!</definedName>
    <definedName name="x_ARProp7" localSheetId="13">'[15]Request Form'!$W$22</definedName>
    <definedName name="x_ARProp7" localSheetId="10">'[16]Request Form'!$V$22</definedName>
    <definedName name="x_ARProp7" localSheetId="0">'[16]Request Form'!$V$22</definedName>
    <definedName name="x_ARProp7">#REF!</definedName>
    <definedName name="x_ARProp8" localSheetId="13">'[15]Request Form'!$W$23</definedName>
    <definedName name="x_ARProp8" localSheetId="10">'[16]Request Form'!$V$23</definedName>
    <definedName name="x_ARProp8" localSheetId="0">'[16]Request Form'!$V$23</definedName>
    <definedName name="x_ARProp8">#REF!</definedName>
    <definedName name="x_ARProp9" localSheetId="13">'[15]Request Form'!$W$24</definedName>
    <definedName name="x_ARProp9" localSheetId="10">'[16]Request Form'!$V$24</definedName>
    <definedName name="x_ARProp9" localSheetId="0">'[16]Request Form'!$V$24</definedName>
    <definedName name="x_ARProp9">#REF!</definedName>
    <definedName name="x_ARPropCode1">#REF!</definedName>
    <definedName name="x_ARPropCode2">#REF!</definedName>
    <definedName name="x_ARPropCode3">#REF!</definedName>
    <definedName name="x_ARRecover1" localSheetId="13">'[15]Request Form'!$AD$16</definedName>
    <definedName name="x_ARRecover1" localSheetId="10">'[16]Request Form'!$AC$16</definedName>
    <definedName name="x_ARRecover1" localSheetId="0">'[16]Request Form'!$AC$16</definedName>
    <definedName name="x_ARRecover1">#REF!</definedName>
    <definedName name="x_ARRecover10" localSheetId="13">'[15]Request Form'!$AD$25</definedName>
    <definedName name="x_ARRecover10" localSheetId="10">'[16]Request Form'!$AC$25</definedName>
    <definedName name="x_ARRecover10" localSheetId="0">'[16]Request Form'!$AC$25</definedName>
    <definedName name="x_ARRecover10">#REF!</definedName>
    <definedName name="x_ARRecover11" localSheetId="13">'[15]Request Form'!$AD$26</definedName>
    <definedName name="x_ARRecover11" localSheetId="10">'[16]Request Form'!$AC$26</definedName>
    <definedName name="x_ARRecover11" localSheetId="0">'[16]Request Form'!$AC$26</definedName>
    <definedName name="x_ARRecover11">#REF!</definedName>
    <definedName name="x_ARRecover12" localSheetId="13">'[15]Request Form'!$AD$27</definedName>
    <definedName name="x_ARRecover12" localSheetId="10">'[16]Request Form'!$AC$27</definedName>
    <definedName name="x_ARRecover12" localSheetId="0">'[16]Request Form'!$AC$27</definedName>
    <definedName name="x_ARRecover12">#REF!</definedName>
    <definedName name="x_ARRecover2" localSheetId="13">'[15]Request Form'!$AD$17</definedName>
    <definedName name="x_ARRecover2" localSheetId="10">'[16]Request Form'!$AC$17</definedName>
    <definedName name="x_ARRecover2" localSheetId="0">'[16]Request Form'!$AC$17</definedName>
    <definedName name="x_ARRecover2">#REF!</definedName>
    <definedName name="x_ARRecover3" localSheetId="13">'[15]Request Form'!$AD$18</definedName>
    <definedName name="x_ARRecover3" localSheetId="10">'[16]Request Form'!$AC$18</definedName>
    <definedName name="x_ARRecover3" localSheetId="0">'[16]Request Form'!$AC$18</definedName>
    <definedName name="x_ARRecover3">#REF!</definedName>
    <definedName name="x_ARRecover4" localSheetId="13">'[15]Request Form'!$AD$19</definedName>
    <definedName name="x_ARRecover4" localSheetId="10">'[16]Request Form'!$AC$19</definedName>
    <definedName name="x_ARRecover4" localSheetId="0">'[16]Request Form'!$AC$19</definedName>
    <definedName name="x_ARRecover4">#REF!</definedName>
    <definedName name="x_ARRecover5" localSheetId="13">'[15]Request Form'!$AD$20</definedName>
    <definedName name="x_ARRecover5" localSheetId="10">'[16]Request Form'!$AC$20</definedName>
    <definedName name="x_ARRecover5" localSheetId="0">'[16]Request Form'!$AC$20</definedName>
    <definedName name="x_ARRecover5">#REF!</definedName>
    <definedName name="x_ARRecover6" localSheetId="13">'[15]Request Form'!$AD$21</definedName>
    <definedName name="x_ARRecover6" localSheetId="10">'[16]Request Form'!$AC$21</definedName>
    <definedName name="x_ARRecover6" localSheetId="0">'[16]Request Form'!$AC$21</definedName>
    <definedName name="x_ARRecover6">#REF!</definedName>
    <definedName name="x_ARRecover7" localSheetId="13">'[15]Request Form'!$AD$22</definedName>
    <definedName name="x_ARRecover7" localSheetId="10">'[16]Request Form'!$AC$22</definedName>
    <definedName name="x_ARRecover7" localSheetId="0">'[16]Request Form'!$AC$22</definedName>
    <definedName name="x_ARRecover7">#REF!</definedName>
    <definedName name="x_ARRecover8" localSheetId="13">'[15]Request Form'!$AD$23</definedName>
    <definedName name="x_ARRecover8" localSheetId="10">'[16]Request Form'!$AC$23</definedName>
    <definedName name="x_ARRecover8" localSheetId="0">'[16]Request Form'!$AC$23</definedName>
    <definedName name="x_ARRecover8">#REF!</definedName>
    <definedName name="x_ARRecover9" localSheetId="13">'[15]Request Form'!$AD$24</definedName>
    <definedName name="x_ARRecover9" localSheetId="10">'[16]Request Form'!$AC$24</definedName>
    <definedName name="x_ARRecover9" localSheetId="0">'[16]Request Form'!$AC$24</definedName>
    <definedName name="x_ARRecover9">#REF!</definedName>
    <definedName name="x_ARSchd1" localSheetId="13">'[15]Request Form'!$Y$16</definedName>
    <definedName name="x_ARSchd1" localSheetId="10">'[16]Request Form'!$X$16</definedName>
    <definedName name="x_ARSchd1" localSheetId="0">'[16]Request Form'!$X$16</definedName>
    <definedName name="x_ARSchd1">#REF!</definedName>
    <definedName name="x_ARSchd10" localSheetId="13">'[15]Request Form'!$Y$25</definedName>
    <definedName name="x_ARSchd10" localSheetId="10">'[16]Request Form'!$X$25</definedName>
    <definedName name="x_ARSchd10" localSheetId="0">'[16]Request Form'!$X$25</definedName>
    <definedName name="x_ARSchd10">#REF!</definedName>
    <definedName name="x_ARSchd11" localSheetId="13">'[15]Request Form'!$Y$26</definedName>
    <definedName name="x_ARSchd11" localSheetId="10">'[16]Request Form'!$X$26</definedName>
    <definedName name="x_ARSchd11" localSheetId="0">'[16]Request Form'!$X$26</definedName>
    <definedName name="x_ARSchd11">#REF!</definedName>
    <definedName name="x_ARSchd12" localSheetId="13">'[15]Request Form'!$Y$27</definedName>
    <definedName name="x_ARSchd12" localSheetId="10">'[16]Request Form'!$X$27</definedName>
    <definedName name="x_ARSchd12" localSheetId="0">'[16]Request Form'!$X$27</definedName>
    <definedName name="x_ARSchd12">#REF!</definedName>
    <definedName name="x_ARSchd2" localSheetId="13">'[15]Request Form'!$Y$17</definedName>
    <definedName name="x_ARSchd2" localSheetId="10">'[16]Request Form'!$X$17</definedName>
    <definedName name="x_ARSchd2" localSheetId="0">'[16]Request Form'!$X$17</definedName>
    <definedName name="x_ARSchd2">#REF!</definedName>
    <definedName name="x_ARSchd3" localSheetId="13">'[15]Request Form'!$Y$18</definedName>
    <definedName name="x_ARSchd3" localSheetId="10">'[16]Request Form'!$X$18</definedName>
    <definedName name="x_ARSchd3" localSheetId="0">'[16]Request Form'!$X$18</definedName>
    <definedName name="x_ARSchd3">#REF!</definedName>
    <definedName name="x_ARSchd4" localSheetId="13">'[15]Request Form'!$Y$19</definedName>
    <definedName name="x_ARSchd4" localSheetId="10">'[16]Request Form'!$X$19</definedName>
    <definedName name="x_ARSchd4" localSheetId="0">'[16]Request Form'!$X$19</definedName>
    <definedName name="x_ARSchd4">#REF!</definedName>
    <definedName name="x_ARSchd5" localSheetId="13">'[15]Request Form'!$Y$20</definedName>
    <definedName name="x_ARSchd5" localSheetId="10">'[16]Request Form'!$X$20</definedName>
    <definedName name="x_ARSchd5" localSheetId="0">'[16]Request Form'!$X$20</definedName>
    <definedName name="x_ARSchd5">#REF!</definedName>
    <definedName name="x_ARSchd6" localSheetId="13">'[15]Request Form'!$Y$21</definedName>
    <definedName name="x_ARSchd6" localSheetId="10">'[16]Request Form'!$X$21</definedName>
    <definedName name="x_ARSchd6" localSheetId="0">'[16]Request Form'!$X$21</definedName>
    <definedName name="x_ARSchd6">#REF!</definedName>
    <definedName name="x_ARSchd7" localSheetId="13">'[15]Request Form'!$Y$22</definedName>
    <definedName name="x_ARSchd7" localSheetId="10">'[16]Request Form'!$X$22</definedName>
    <definedName name="x_ARSchd7" localSheetId="0">'[16]Request Form'!$X$22</definedName>
    <definedName name="x_ARSchd7">#REF!</definedName>
    <definedName name="x_ARSchd8" localSheetId="13">'[15]Request Form'!$Y$23</definedName>
    <definedName name="x_ARSchd8" localSheetId="10">'[16]Request Form'!$X$23</definedName>
    <definedName name="x_ARSchd8" localSheetId="0">'[16]Request Form'!$X$23</definedName>
    <definedName name="x_ARSchd8">#REF!</definedName>
    <definedName name="x_ARSchd9" localSheetId="13">'[15]Request Form'!$Y$24</definedName>
    <definedName name="x_ARSchd9" localSheetId="10">'[16]Request Form'!$X$24</definedName>
    <definedName name="x_ARSchd9" localSheetId="0">'[16]Request Form'!$X$24</definedName>
    <definedName name="x_ARSchd9">#REF!</definedName>
    <definedName name="x_ARToDate1" localSheetId="13">'[15]Request Form'!$T$16</definedName>
    <definedName name="x_ARToDate1" localSheetId="10">'[16]Request Form'!$S$16</definedName>
    <definedName name="x_ARToDate1" localSheetId="0">'[16]Request Form'!$S$16</definedName>
    <definedName name="x_ARToDate1">#REF!</definedName>
    <definedName name="x_ARToDate10" localSheetId="13">'[15]Request Form'!$T$25</definedName>
    <definedName name="x_ARToDate10" localSheetId="10">'[16]Request Form'!$S$25</definedName>
    <definedName name="x_ARToDate10" localSheetId="0">'[16]Request Form'!$S$25</definedName>
    <definedName name="x_ARToDate10">#REF!</definedName>
    <definedName name="x_ARToDate11" localSheetId="13">'[15]Request Form'!$T$26</definedName>
    <definedName name="x_ARToDate11" localSheetId="10">'[16]Request Form'!$S$26</definedName>
    <definedName name="x_ARToDate11" localSheetId="0">'[16]Request Form'!$S$26</definedName>
    <definedName name="x_ARToDate11">#REF!</definedName>
    <definedName name="x_ARToDate12" localSheetId="13">'[15]Request Form'!$T$27</definedName>
    <definedName name="x_ARToDate12" localSheetId="10">'[16]Request Form'!$S$27</definedName>
    <definedName name="x_ARToDate12" localSheetId="0">'[16]Request Form'!$S$27</definedName>
    <definedName name="x_ARToDate12">#REF!</definedName>
    <definedName name="x_ARToDate2" localSheetId="13">'[15]Request Form'!$T$17</definedName>
    <definedName name="x_ARToDate2" localSheetId="10">'[16]Request Form'!$S$17</definedName>
    <definedName name="x_ARToDate2" localSheetId="0">'[16]Request Form'!$S$17</definedName>
    <definedName name="x_ARToDate2">#REF!</definedName>
    <definedName name="x_ARToDate3" localSheetId="13">'[15]Request Form'!$T$18</definedName>
    <definedName name="x_ARToDate3" localSheetId="10">'[16]Request Form'!$S$18</definedName>
    <definedName name="x_ARToDate3" localSheetId="0">'[16]Request Form'!$S$18</definedName>
    <definedName name="x_ARToDate3">#REF!</definedName>
    <definedName name="x_ARToDate4" localSheetId="13">'[15]Request Form'!$T$19</definedName>
    <definedName name="x_ARToDate4" localSheetId="10">'[16]Request Form'!$S$19</definedName>
    <definedName name="x_ARToDate4" localSheetId="0">'[16]Request Form'!$S$19</definedName>
    <definedName name="x_ARToDate4">#REF!</definedName>
    <definedName name="x_ARToDate5" localSheetId="13">'[15]Request Form'!$T$20</definedName>
    <definedName name="x_ARToDate5" localSheetId="10">'[16]Request Form'!$S$20</definedName>
    <definedName name="x_ARToDate5" localSheetId="0">'[16]Request Form'!$S$20</definedName>
    <definedName name="x_ARToDate5">#REF!</definedName>
    <definedName name="x_ARToDate6" localSheetId="13">'[15]Request Form'!$T$21</definedName>
    <definedName name="x_ARToDate6" localSheetId="10">'[16]Request Form'!$S$21</definedName>
    <definedName name="x_ARToDate6" localSheetId="0">'[16]Request Form'!$S$21</definedName>
    <definedName name="x_ARToDate6">#REF!</definedName>
    <definedName name="x_ARToDate7" localSheetId="13">'[15]Request Form'!$T$22</definedName>
    <definedName name="x_ARToDate7" localSheetId="10">'[16]Request Form'!$S$22</definedName>
    <definedName name="x_ARToDate7" localSheetId="0">'[16]Request Form'!$S$22</definedName>
    <definedName name="x_ARToDate7">#REF!</definedName>
    <definedName name="x_ARToDate8" localSheetId="13">'[15]Request Form'!$T$23</definedName>
    <definedName name="x_ARToDate8" localSheetId="10">'[16]Request Form'!$S$23</definedName>
    <definedName name="x_ARToDate8" localSheetId="0">'[16]Request Form'!$S$23</definedName>
    <definedName name="x_ARToDate8">#REF!</definedName>
    <definedName name="x_ARToDate9" localSheetId="13">'[15]Request Form'!$T$24</definedName>
    <definedName name="x_ARToDate9" localSheetId="10">'[16]Request Form'!$S$24</definedName>
    <definedName name="x_ARToDate9" localSheetId="0">'[16]Request Form'!$S$24</definedName>
    <definedName name="x_ARToDate9">#REF!</definedName>
    <definedName name="x_ARVatRate1" localSheetId="13">'[15]Request Form'!$P$16</definedName>
    <definedName name="x_ARVatRate1" localSheetId="10">'[16]Request Form'!$P$16</definedName>
    <definedName name="x_ARVatRate1" localSheetId="0">'[16]Request Form'!$P$16</definedName>
    <definedName name="x_ARVatRate1">#REF!</definedName>
    <definedName name="x_ARVatRate10" localSheetId="13">'[15]Request Form'!$P$25</definedName>
    <definedName name="x_ARVatRate10" localSheetId="10">'[16]Request Form'!$P$25</definedName>
    <definedName name="x_ARVatRate10" localSheetId="0">'[16]Request Form'!$P$25</definedName>
    <definedName name="x_ARVatRate10">#REF!</definedName>
    <definedName name="x_ARVatRate11" localSheetId="13">'[15]Request Form'!$P$26</definedName>
    <definedName name="x_ARVatRate11" localSheetId="10">'[16]Request Form'!$P$26</definedName>
    <definedName name="x_ARVatRate11" localSheetId="0">'[16]Request Form'!$P$26</definedName>
    <definedName name="x_ARVatRate11">#REF!</definedName>
    <definedName name="x_ARVatRate12" localSheetId="13">'[15]Request Form'!$P$27</definedName>
    <definedName name="x_ARVatRate12" localSheetId="10">'[16]Request Form'!$P$27</definedName>
    <definedName name="x_ARVatRate12" localSheetId="0">'[16]Request Form'!$P$27</definedName>
    <definedName name="x_ARVatRate12">#REF!</definedName>
    <definedName name="x_ARVatRate2" localSheetId="13">'[15]Request Form'!$P$17</definedName>
    <definedName name="x_ARVatRate2" localSheetId="10">'[16]Request Form'!$P$17</definedName>
    <definedName name="x_ARVatRate2" localSheetId="0">'[16]Request Form'!$P$17</definedName>
    <definedName name="x_ARVatRate2">#REF!</definedName>
    <definedName name="x_ARVatRate3" localSheetId="13">'[15]Request Form'!$P$18</definedName>
    <definedName name="x_ARVatRate3" localSheetId="10">'[16]Request Form'!$P$18</definedName>
    <definedName name="x_ARVatRate3" localSheetId="0">'[16]Request Form'!$P$18</definedName>
    <definedName name="x_ARVatRate3">#REF!</definedName>
    <definedName name="x_ARVatRate4" localSheetId="13">'[15]Request Form'!$P$19</definedName>
    <definedName name="x_ARVatRate4" localSheetId="10">'[16]Request Form'!$P$19</definedName>
    <definedName name="x_ARVatRate4" localSheetId="0">'[16]Request Form'!$P$19</definedName>
    <definedName name="x_ARVatRate4">#REF!</definedName>
    <definedName name="x_ARVatRate5" localSheetId="13">'[15]Request Form'!$P$20</definedName>
    <definedName name="x_ARVatRate5" localSheetId="10">'[16]Request Form'!$P$20</definedName>
    <definedName name="x_ARVatRate5" localSheetId="0">'[16]Request Form'!$P$20</definedName>
    <definedName name="x_ARVatRate5">#REF!</definedName>
    <definedName name="x_ARVatRate6" localSheetId="13">'[15]Request Form'!$P$21</definedName>
    <definedName name="x_ARVatRate6" localSheetId="10">'[16]Request Form'!$P$21</definedName>
    <definedName name="x_ARVatRate6" localSheetId="0">'[16]Request Form'!$P$21</definedName>
    <definedName name="x_ARVatRate6">#REF!</definedName>
    <definedName name="x_ARVatRate7" localSheetId="13">'[15]Request Form'!$P$22</definedName>
    <definedName name="x_ARVatRate7" localSheetId="10">'[16]Request Form'!$P$22</definedName>
    <definedName name="x_ARVatRate7" localSheetId="0">'[16]Request Form'!$P$22</definedName>
    <definedName name="x_ARVatRate7">#REF!</definedName>
    <definedName name="x_ARVatRate8" localSheetId="13">'[15]Request Form'!$P$23</definedName>
    <definedName name="x_ARVatRate8" localSheetId="10">'[16]Request Form'!$P$23</definedName>
    <definedName name="x_ARVatRate8" localSheetId="0">'[16]Request Form'!$P$23</definedName>
    <definedName name="x_ARVatRate8">#REF!</definedName>
    <definedName name="x_ARVatRate9" localSheetId="13">'[15]Request Form'!$P$24</definedName>
    <definedName name="x_ARVatRate9" localSheetId="10">'[16]Request Form'!$P$24</definedName>
    <definedName name="x_ARVatRate9" localSheetId="0">'[16]Request Form'!$P$24</definedName>
    <definedName name="x_ARVatRate9">#REF!</definedName>
    <definedName name="x_BillFrom" localSheetId="13">'[15]Request Form'!$K$9</definedName>
    <definedName name="x_BillFrom" localSheetId="10">'[16]Request Form'!$K$9</definedName>
    <definedName name="x_BillFrom" localSheetId="0">'[16]Request Form'!$K$9</definedName>
    <definedName name="x_BillFrom">#REF!</definedName>
    <definedName name="x_BillTo" localSheetId="13">'[15]Request Form'!$K$11</definedName>
    <definedName name="x_BillTo" localSheetId="10">'[16]Request Form'!$K$11</definedName>
    <definedName name="x_BillTo" localSheetId="0">'[16]Request Form'!$K$11</definedName>
    <definedName name="x_BillTo">#REF!</definedName>
    <definedName name="x_Budget1">#REF!</definedName>
    <definedName name="x_CshAc" localSheetId="13">'[15]Request Form'!$Y$48</definedName>
    <definedName name="x_CshAc" localSheetId="10">'[16]Request Form'!#REF!</definedName>
    <definedName name="x_CshAc" localSheetId="0">'[16]Request Form'!#REF!</definedName>
    <definedName name="x_CshAc">#REF!</definedName>
    <definedName name="x_Desc1" localSheetId="13">'[15]Request Form'!$D$16</definedName>
    <definedName name="x_Desc1" localSheetId="10">'[16]Request Form'!$D$16</definedName>
    <definedName name="x_Desc1" localSheetId="0">'[16]Request Form'!$D$16</definedName>
    <definedName name="x_Desc1">#REF!</definedName>
    <definedName name="x_Desc10" localSheetId="13">'[15]Request Form'!$D$25</definedName>
    <definedName name="x_Desc10" localSheetId="10">'[16]Request Form'!$D$25</definedName>
    <definedName name="x_Desc10" localSheetId="0">'[16]Request Form'!$D$25</definedName>
    <definedName name="x_Desc10">#REF!</definedName>
    <definedName name="x_Desc11" localSheetId="13">'[15]Request Form'!$D$26</definedName>
    <definedName name="x_Desc11" localSheetId="10">'[16]Request Form'!$D$26</definedName>
    <definedName name="x_Desc11" localSheetId="0">'[16]Request Form'!$D$26</definedName>
    <definedName name="x_Desc11">#REF!</definedName>
    <definedName name="x_Desc12" localSheetId="13">'[15]Request Form'!$D$27</definedName>
    <definedName name="x_Desc12" localSheetId="10">'[16]Request Form'!$D$27</definedName>
    <definedName name="x_Desc12" localSheetId="0">'[16]Request Form'!$D$27</definedName>
    <definedName name="x_Desc12">#REF!</definedName>
    <definedName name="x_Desc2" localSheetId="13">'[15]Request Form'!$D$17</definedName>
    <definedName name="x_Desc2" localSheetId="10">'[16]Request Form'!$D$17</definedName>
    <definedName name="x_Desc2" localSheetId="0">'[16]Request Form'!$D$17</definedName>
    <definedName name="x_Desc2">#REF!</definedName>
    <definedName name="x_Desc3" localSheetId="13">'[15]Request Form'!$D$18</definedName>
    <definedName name="x_Desc3" localSheetId="10">'[16]Request Form'!$D$18</definedName>
    <definedName name="x_Desc3" localSheetId="0">'[16]Request Form'!$D$18</definedName>
    <definedName name="x_Desc3">#REF!</definedName>
    <definedName name="x_Desc4" localSheetId="13">'[15]Request Form'!$D$19</definedName>
    <definedName name="x_Desc4" localSheetId="10">'[16]Request Form'!$D$19</definedName>
    <definedName name="x_Desc4" localSheetId="0">'[16]Request Form'!$D$19</definedName>
    <definedName name="x_Desc4">#REF!</definedName>
    <definedName name="x_Desc5" localSheetId="13">'[15]Request Form'!$D$20</definedName>
    <definedName name="x_Desc5" localSheetId="10">'[16]Request Form'!$D$20</definedName>
    <definedName name="x_Desc5" localSheetId="0">'[16]Request Form'!$D$20</definedName>
    <definedName name="x_Desc5">#REF!</definedName>
    <definedName name="x_Desc6" localSheetId="13">'[15]Request Form'!$D$21</definedName>
    <definedName name="x_Desc6" localSheetId="10">'[16]Request Form'!$D$21</definedName>
    <definedName name="x_Desc6" localSheetId="0">'[16]Request Form'!$D$21</definedName>
    <definedName name="x_Desc6">#REF!</definedName>
    <definedName name="x_Desc7" localSheetId="13">'[15]Request Form'!$D$22</definedName>
    <definedName name="x_Desc7" localSheetId="10">'[16]Request Form'!$D$22</definedName>
    <definedName name="x_Desc7" localSheetId="0">'[16]Request Form'!$D$22</definedName>
    <definedName name="x_Desc7">#REF!</definedName>
    <definedName name="x_Desc8" localSheetId="13">'[15]Request Form'!$D$23</definedName>
    <definedName name="x_Desc8" localSheetId="10">'[16]Request Form'!$D$23</definedName>
    <definedName name="x_Desc8" localSheetId="0">'[16]Request Form'!$D$23</definedName>
    <definedName name="x_Desc8">#REF!</definedName>
    <definedName name="x_Desc9" localSheetId="13">'[15]Request Form'!$D$24</definedName>
    <definedName name="x_Desc9" localSheetId="10">'[16]Request Form'!$D$24</definedName>
    <definedName name="x_Desc9" localSheetId="0">'[16]Request Form'!$D$24</definedName>
    <definedName name="x_Desc9">#REF!</definedName>
    <definedName name="x_FrDate1">#REF!</definedName>
    <definedName name="x_FrDate10">#REF!</definedName>
    <definedName name="x_FrDate11">#REF!</definedName>
    <definedName name="x_FrDate12">#REF!</definedName>
    <definedName name="x_FrDate2">#REF!</definedName>
    <definedName name="x_FrDate3">#REF!</definedName>
    <definedName name="x_FrDate4">#REF!</definedName>
    <definedName name="x_FrDate5">#REF!</definedName>
    <definedName name="x_FrDate6">#REF!</definedName>
    <definedName name="x_FrDate7">#REF!</definedName>
    <definedName name="x_FrDate8">#REF!</definedName>
    <definedName name="x_FrDate9">#REF!</definedName>
    <definedName name="x_Job1">#REF!</definedName>
    <definedName name="x_Job2">#REF!</definedName>
    <definedName name="x_Job3">#REF!</definedName>
    <definedName name="x_Net1" localSheetId="13">'[15]Request Form'!$N$16</definedName>
    <definedName name="x_Net1" localSheetId="10">'[16]Request Form'!$N$16</definedName>
    <definedName name="x_Net1" localSheetId="0">'[16]Request Form'!$N$16</definedName>
    <definedName name="x_Net1">#REF!</definedName>
    <definedName name="x_Net10" localSheetId="13">'[15]Request Form'!$N$25</definedName>
    <definedName name="x_Net10" localSheetId="10">'[16]Request Form'!$N$25</definedName>
    <definedName name="x_Net10" localSheetId="0">'[16]Request Form'!$N$25</definedName>
    <definedName name="x_Net10">#REF!</definedName>
    <definedName name="x_Net11" localSheetId="13">'[15]Request Form'!$N$26</definedName>
    <definedName name="x_Net11" localSheetId="10">'[16]Request Form'!$N$26</definedName>
    <definedName name="x_Net11" localSheetId="0">'[16]Request Form'!$N$26</definedName>
    <definedName name="x_Net11">#REF!</definedName>
    <definedName name="x_Net12" localSheetId="13">'[15]Request Form'!$N$27</definedName>
    <definedName name="x_Net12" localSheetId="10">'[16]Request Form'!$N$27</definedName>
    <definedName name="x_Net12" localSheetId="0">'[16]Request Form'!$N$27</definedName>
    <definedName name="x_Net12">#REF!</definedName>
    <definedName name="x_Net2" localSheetId="13">'[15]Request Form'!$N$17</definedName>
    <definedName name="x_Net2" localSheetId="10">'[16]Request Form'!$N$17</definedName>
    <definedName name="x_Net2" localSheetId="0">'[16]Request Form'!$N$17</definedName>
    <definedName name="x_Net2">#REF!</definedName>
    <definedName name="x_Net3" localSheetId="13">'[15]Request Form'!$N$18</definedName>
    <definedName name="x_Net3" localSheetId="10">'[16]Request Form'!$N$18</definedName>
    <definedName name="x_Net3" localSheetId="0">'[16]Request Form'!$N$18</definedName>
    <definedName name="x_Net3">#REF!</definedName>
    <definedName name="x_Net4" localSheetId="13">'[15]Request Form'!$N$19</definedName>
    <definedName name="x_Net4" localSheetId="10">'[16]Request Form'!$N$19</definedName>
    <definedName name="x_Net4" localSheetId="0">'[16]Request Form'!$N$19</definedName>
    <definedName name="x_Net4">#REF!</definedName>
    <definedName name="x_Net5" localSheetId="13">'[15]Request Form'!$N$20</definedName>
    <definedName name="x_Net5" localSheetId="10">'[16]Request Form'!$N$20</definedName>
    <definedName name="x_Net5" localSheetId="0">'[16]Request Form'!$N$20</definedName>
    <definedName name="x_Net5">#REF!</definedName>
    <definedName name="x_Net6" localSheetId="13">'[15]Request Form'!$N$21</definedName>
    <definedName name="x_Net6" localSheetId="10">'[16]Request Form'!$N$21</definedName>
    <definedName name="x_Net6" localSheetId="0">'[16]Request Form'!$N$21</definedName>
    <definedName name="x_Net6">#REF!</definedName>
    <definedName name="x_Net7" localSheetId="13">'[15]Request Form'!$N$22</definedName>
    <definedName name="x_Net7" localSheetId="10">'[16]Request Form'!$N$22</definedName>
    <definedName name="x_Net7" localSheetId="0">'[16]Request Form'!$N$22</definedName>
    <definedName name="x_Net7">#REF!</definedName>
    <definedName name="x_Net8" localSheetId="13">'[15]Request Form'!$N$23</definedName>
    <definedName name="x_Net8" localSheetId="10">'[16]Request Form'!$N$23</definedName>
    <definedName name="x_Net8" localSheetId="0">'[16]Request Form'!$N$23</definedName>
    <definedName name="x_Net8">#REF!</definedName>
    <definedName name="x_Net9" localSheetId="13">'[15]Request Form'!$N$24</definedName>
    <definedName name="x_Net9" localSheetId="10">'[16]Request Form'!$N$24</definedName>
    <definedName name="x_Net9" localSheetId="0">'[16]Request Form'!$N$24</definedName>
    <definedName name="x_Net9">#REF!</definedName>
    <definedName name="x_offset" localSheetId="13">'[15]Request Form'!$I$4</definedName>
    <definedName name="x_offset" localSheetId="10">'[16]Request Form'!$I$4</definedName>
    <definedName name="x_offset" localSheetId="0">'[16]Request Form'!$I$4</definedName>
    <definedName name="x_offset">#REF!</definedName>
    <definedName name="x_Own1">#REF!</definedName>
    <definedName name="x_Own2">#REF!</definedName>
    <definedName name="x_Own3">#REF!</definedName>
    <definedName name="x_PostMth" localSheetId="13">'[15]Request Form'!$H$6</definedName>
    <definedName name="x_PostMth" localSheetId="10">'[16]Request Form'!$H$6</definedName>
    <definedName name="x_PostMth" localSheetId="0">'[16]Request Form'!$H$6</definedName>
    <definedName name="x_PostMth">#REF!</definedName>
    <definedName name="x_Recover1">#REF!</definedName>
    <definedName name="x_Recover2">#REF!</definedName>
    <definedName name="x_Recover3">#REF!</definedName>
    <definedName name="x_ReqNo" localSheetId="13">'[15]Request Form'!$D$4</definedName>
    <definedName name="x_ReqNo" localSheetId="10">'[16]Request Form'!$D$4</definedName>
    <definedName name="x_ReqNo" localSheetId="0">'[16]Request Form'!$D$4</definedName>
    <definedName name="x_ReqNo">#REF!</definedName>
    <definedName name="x_ToDate1">#REF!</definedName>
    <definedName name="x_ToDate10">#REF!</definedName>
    <definedName name="x_ToDate11">#REF!</definedName>
    <definedName name="x_ToDate12">#REF!</definedName>
    <definedName name="x_ToDate2">#REF!</definedName>
    <definedName name="x_ToDate3">#REF!</definedName>
    <definedName name="x_ToDate4">#REF!</definedName>
    <definedName name="x_ToDate5">#REF!</definedName>
    <definedName name="x_ToDate6">#REF!</definedName>
    <definedName name="x_ToDate7">#REF!</definedName>
    <definedName name="x_ToDate8">#REF!</definedName>
    <definedName name="x_ToDate9">#REF!</definedName>
    <definedName name="x_VatRate">#REF!</definedName>
    <definedName name="x_VatRate1">#REF!</definedName>
    <definedName name="x_VatRate10">#REF!</definedName>
    <definedName name="x_VatRate11">#REF!</definedName>
    <definedName name="x_VatRate12">#REF!</definedName>
    <definedName name="x_VatRate2">#REF!</definedName>
    <definedName name="x_VatRate3">#REF!</definedName>
    <definedName name="x_VatRate4">#REF!</definedName>
    <definedName name="x_VatRate5">#REF!</definedName>
    <definedName name="x_VatRate6">#REF!</definedName>
    <definedName name="x_VatRate7">#REF!</definedName>
    <definedName name="x_VatRate8">#REF!</definedName>
    <definedName name="x_VatRate9">#REF!</definedName>
    <definedName name="YearBeginning">'[10]Data Update'!$C$9</definedName>
    <definedName name="YearEnd">'[10]Data Update'!$C$7</definedName>
    <definedName name="YearEndDate">[14]Globals!$B$6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4" i="3" l="1" a="1"/>
  <c r="AN4" i="3"/>
  <c r="AN6" i="3" a="1"/>
  <c r="AN6" i="3" s="1"/>
  <c r="AN7" i="3" a="1"/>
  <c r="AN7" i="3"/>
  <c r="AN8" i="3" a="1"/>
  <c r="AN8" i="3"/>
  <c r="AN9" i="3" a="1"/>
  <c r="AN9" i="3"/>
  <c r="AN10" i="3" a="1"/>
  <c r="AN10" i="3"/>
  <c r="AN11" i="3" a="1"/>
  <c r="AN11" i="3"/>
  <c r="AN12" i="3" a="1"/>
  <c r="AN12" i="3" s="1"/>
  <c r="AN13" i="3" a="1"/>
  <c r="AN13" i="3"/>
  <c r="AN14" i="3" a="1"/>
  <c r="AN14" i="3"/>
  <c r="AN15" i="3" a="1"/>
  <c r="AN15" i="3"/>
  <c r="AN16" i="3" a="1"/>
  <c r="AN16" i="3"/>
  <c r="AN17" i="3" a="1"/>
  <c r="AN17" i="3"/>
  <c r="AN18" i="3" a="1"/>
  <c r="AN18" i="3" s="1"/>
  <c r="AN19" i="3" a="1"/>
  <c r="AN19" i="3"/>
  <c r="AN20" i="3" a="1"/>
  <c r="AN20" i="3"/>
  <c r="AN21" i="3" a="1"/>
  <c r="AN21" i="3"/>
  <c r="AN22" i="3" a="1"/>
  <c r="AN22" i="3"/>
  <c r="AN23" i="3" a="1"/>
  <c r="AN23" i="3"/>
  <c r="AN24" i="3" a="1"/>
  <c r="AN24" i="3" s="1"/>
  <c r="AN25" i="3" a="1"/>
  <c r="AN25" i="3"/>
  <c r="AN26" i="3" a="1"/>
  <c r="AN26" i="3"/>
  <c r="AN27" i="3" a="1"/>
  <c r="AN27" i="3"/>
  <c r="AN28" i="3" a="1"/>
  <c r="AN28" i="3"/>
  <c r="AN29" i="3" a="1"/>
  <c r="AN29" i="3"/>
  <c r="AN30" i="3" a="1"/>
  <c r="AN30" i="3" s="1"/>
  <c r="AN31" i="3" a="1"/>
  <c r="AN31" i="3"/>
  <c r="AN32" i="3" a="1"/>
  <c r="AN32" i="3"/>
  <c r="AN33" i="3" a="1"/>
  <c r="AN33" i="3"/>
  <c r="AN34" i="3" a="1"/>
  <c r="AN34" i="3"/>
  <c r="AN35" i="3" a="1"/>
  <c r="AN35" i="3"/>
  <c r="AN36" i="3" a="1"/>
  <c r="AN36" i="3" s="1"/>
  <c r="AN37" i="3" a="1"/>
  <c r="AN37" i="3"/>
  <c r="AN38" i="3" a="1"/>
  <c r="AN38" i="3"/>
  <c r="AN39" i="3" a="1"/>
  <c r="AN39" i="3"/>
  <c r="AN40" i="3" a="1"/>
  <c r="AN40" i="3"/>
  <c r="AN41" i="3" a="1"/>
  <c r="AN41" i="3"/>
  <c r="AN42" i="3" a="1"/>
  <c r="AN42" i="3" s="1"/>
  <c r="AN43" i="3" a="1"/>
  <c r="AN43" i="3"/>
  <c r="AN44" i="3" a="1"/>
  <c r="AN44" i="3"/>
  <c r="AN45" i="3" a="1"/>
  <c r="AN45" i="3"/>
  <c r="AN46" i="3" a="1"/>
  <c r="AN46" i="3"/>
  <c r="AN47" i="3" a="1"/>
  <c r="AN47" i="3"/>
  <c r="AN48" i="3" a="1"/>
  <c r="AN48" i="3" s="1"/>
  <c r="AN49" i="3" a="1"/>
  <c r="AN49" i="3"/>
  <c r="AN50" i="3" a="1"/>
  <c r="AN50" i="3"/>
  <c r="AN51" i="3" a="1"/>
  <c r="AN51" i="3"/>
  <c r="AN52" i="3" a="1"/>
  <c r="AN52" i="3"/>
  <c r="AN53" i="3" a="1"/>
  <c r="AN53" i="3"/>
  <c r="AN54" i="3" a="1"/>
  <c r="AN54" i="3" s="1"/>
  <c r="AN55" i="3" a="1"/>
  <c r="AN55" i="3"/>
  <c r="AN56" i="3" a="1"/>
  <c r="AN56" i="3"/>
  <c r="AN57" i="3" a="1"/>
  <c r="AN57" i="3"/>
  <c r="AN58" i="3" a="1"/>
  <c r="AN58" i="3"/>
  <c r="AN59" i="3" a="1"/>
  <c r="AN59" i="3"/>
  <c r="AN60" i="3" a="1"/>
  <c r="AN60" i="3" s="1"/>
  <c r="AN61" i="3" a="1"/>
  <c r="AN61" i="3"/>
  <c r="AN62" i="3" a="1"/>
  <c r="AN62" i="3"/>
  <c r="AN63" i="3" a="1"/>
  <c r="AN63" i="3"/>
  <c r="AN64" i="3" a="1"/>
  <c r="AN64" i="3"/>
  <c r="AN65" i="3" a="1"/>
  <c r="AN65" i="3"/>
  <c r="AN66" i="3" a="1"/>
  <c r="AN66" i="3" s="1"/>
  <c r="AN67" i="3" a="1"/>
  <c r="AN67" i="3"/>
  <c r="AN68" i="3" a="1"/>
  <c r="AN68" i="3"/>
  <c r="AN69" i="3" a="1"/>
  <c r="AN69" i="3"/>
  <c r="AN70" i="3" a="1"/>
  <c r="AN70" i="3"/>
  <c r="AN71" i="3" a="1"/>
  <c r="AN71" i="3"/>
  <c r="AN72" i="3" a="1"/>
  <c r="AN72" i="3" s="1"/>
  <c r="AN73" i="3" a="1"/>
  <c r="AN73" i="3"/>
  <c r="AN74" i="3" a="1"/>
  <c r="AN74" i="3"/>
  <c r="AN75" i="3" a="1"/>
  <c r="AN75" i="3"/>
  <c r="AN76" i="3" a="1"/>
  <c r="AN76" i="3"/>
  <c r="AN77" i="3" a="1"/>
  <c r="AN77" i="3"/>
  <c r="AN78" i="3" a="1"/>
  <c r="AN78" i="3" s="1"/>
  <c r="AN79" i="3" a="1"/>
  <c r="AN79" i="3"/>
  <c r="AN80" i="3" a="1"/>
  <c r="AN80" i="3"/>
  <c r="AN81" i="3" a="1"/>
  <c r="AN81" i="3"/>
  <c r="AN82" i="3" a="1"/>
  <c r="AN82" i="3"/>
  <c r="AN83" i="3" a="1"/>
  <c r="AN83" i="3"/>
  <c r="AN84" i="3" a="1"/>
  <c r="AN84" i="3" s="1"/>
  <c r="AN85" i="3" a="1"/>
  <c r="AN85" i="3"/>
  <c r="AN86" i="3" a="1"/>
  <c r="AN86" i="3"/>
  <c r="AN87" i="3" a="1"/>
  <c r="AN87" i="3"/>
  <c r="AN88" i="3" a="1"/>
  <c r="AN88" i="3"/>
  <c r="AN89" i="3" a="1"/>
  <c r="AN89" i="3"/>
  <c r="AN90" i="3" a="1"/>
  <c r="AN90" i="3" s="1"/>
  <c r="AN91" i="3" a="1"/>
  <c r="AN91" i="3"/>
  <c r="AN92" i="3" a="1"/>
  <c r="AN92" i="3"/>
  <c r="AN93" i="3" a="1"/>
  <c r="AN93" i="3"/>
  <c r="AN94" i="3" a="1"/>
  <c r="AN94" i="3"/>
  <c r="AN95" i="3" a="1"/>
  <c r="AN95" i="3"/>
  <c r="AN96" i="3" a="1"/>
  <c r="AN96" i="3" s="1"/>
  <c r="AN97" i="3" a="1"/>
  <c r="AN97" i="3"/>
  <c r="AN98" i="3" a="1"/>
  <c r="AN98" i="3"/>
  <c r="AN99" i="3" a="1"/>
  <c r="AN99" i="3"/>
  <c r="AN100" i="3" a="1"/>
  <c r="AN100" i="3"/>
  <c r="AN101" i="3" a="1"/>
  <c r="AN101" i="3"/>
  <c r="AN102" i="3" a="1"/>
  <c r="AN102" i="3" s="1"/>
  <c r="AN103" i="3" a="1"/>
  <c r="AN103" i="3"/>
  <c r="AN104" i="3" a="1"/>
  <c r="AN104" i="3"/>
  <c r="AN105" i="3" a="1"/>
  <c r="AN105" i="3"/>
  <c r="AN106" i="3" a="1"/>
  <c r="AN106" i="3"/>
  <c r="AN107" i="3" a="1"/>
  <c r="AN107" i="3"/>
  <c r="AN108" i="3" a="1"/>
  <c r="AN108" i="3" s="1"/>
  <c r="AN109" i="3" a="1"/>
  <c r="AN109" i="3"/>
  <c r="AN110" i="3" a="1"/>
  <c r="AN110" i="3"/>
  <c r="AN111" i="3" a="1"/>
  <c r="AN111" i="3"/>
  <c r="AN112" i="3" a="1"/>
  <c r="AN112" i="3"/>
  <c r="AN113" i="3" a="1"/>
  <c r="AN113" i="3"/>
  <c r="AN114" i="3" a="1"/>
  <c r="AN114" i="3" s="1"/>
  <c r="AN115" i="3" a="1"/>
  <c r="AN115" i="3"/>
  <c r="AN116" i="3" a="1"/>
  <c r="AN116" i="3"/>
  <c r="AN117" i="3" a="1"/>
  <c r="AN117" i="3"/>
  <c r="AN118" i="3" a="1"/>
  <c r="AN118" i="3"/>
  <c r="AN119" i="3" a="1"/>
  <c r="AN119" i="3"/>
  <c r="AN120" i="3" a="1"/>
  <c r="AN120" i="3" s="1"/>
  <c r="AN121" i="3" a="1"/>
  <c r="AN121" i="3"/>
  <c r="AN122" i="3" a="1"/>
  <c r="AN122" i="3"/>
  <c r="AN123" i="3" a="1"/>
  <c r="AN123" i="3"/>
  <c r="AN124" i="3" a="1"/>
  <c r="AN124" i="3"/>
  <c r="AN125" i="3" a="1"/>
  <c r="AN125" i="3"/>
  <c r="AN126" i="3" a="1"/>
  <c r="AN126" i="3" s="1"/>
  <c r="AN127" i="3" a="1"/>
  <c r="AN127" i="3"/>
  <c r="AN128" i="3" a="1"/>
  <c r="AN128" i="3"/>
  <c r="AN129" i="3" a="1"/>
  <c r="AN129" i="3"/>
  <c r="AN130" i="3" a="1"/>
  <c r="AN130" i="3"/>
  <c r="AN131" i="3" a="1"/>
  <c r="AN131" i="3"/>
  <c r="AN132" i="3" a="1"/>
  <c r="AN132" i="3" s="1"/>
  <c r="AN133" i="3" a="1"/>
  <c r="AN133" i="3"/>
  <c r="AN134" i="3" a="1"/>
  <c r="AN134" i="3"/>
  <c r="AN135" i="3" a="1"/>
  <c r="AN135" i="3"/>
  <c r="AN136" i="3" a="1"/>
  <c r="AN136" i="3"/>
  <c r="AN137" i="3" a="1"/>
  <c r="AN137" i="3"/>
  <c r="AN138" i="3" a="1"/>
  <c r="AN138" i="3" s="1"/>
  <c r="AN139" i="3" a="1"/>
  <c r="AN139" i="3"/>
  <c r="AN140" i="3" a="1"/>
  <c r="AN140" i="3"/>
  <c r="AN141" i="3" a="1"/>
  <c r="AN141" i="3"/>
  <c r="AN142" i="3" a="1"/>
  <c r="AN142" i="3"/>
  <c r="AN143" i="3" a="1"/>
  <c r="AN143" i="3"/>
  <c r="AN144" i="3" a="1"/>
  <c r="AN144" i="3" s="1"/>
  <c r="AN145" i="3" a="1"/>
  <c r="AN145" i="3"/>
  <c r="AN146" i="3" a="1"/>
  <c r="AN146" i="3"/>
  <c r="AN147" i="3" a="1"/>
  <c r="AN147" i="3"/>
  <c r="AN148" i="3" a="1"/>
  <c r="AN148" i="3"/>
  <c r="AN149" i="3" a="1"/>
  <c r="AN149" i="3"/>
  <c r="AN150" i="3" a="1"/>
  <c r="AN150" i="3" s="1"/>
  <c r="AN151" i="3" a="1"/>
  <c r="AN151" i="3"/>
  <c r="AN152" i="3" a="1"/>
  <c r="AN152" i="3"/>
  <c r="AN153" i="3" a="1"/>
  <c r="AN153" i="3"/>
  <c r="AN154" i="3" a="1"/>
  <c r="AN154" i="3"/>
  <c r="AN155" i="3" a="1"/>
  <c r="AN155" i="3"/>
  <c r="AN156" i="3" a="1"/>
  <c r="AN156" i="3" s="1"/>
  <c r="AN157" i="3" a="1"/>
  <c r="AN157" i="3"/>
  <c r="AN158" i="3" a="1"/>
  <c r="AN158" i="3"/>
  <c r="AN159" i="3" a="1"/>
  <c r="AN159" i="3"/>
  <c r="AN160" i="3" a="1"/>
  <c r="AN160" i="3"/>
  <c r="AN161" i="3" a="1"/>
  <c r="AN161" i="3"/>
  <c r="AN162" i="3" a="1"/>
  <c r="AN162" i="3" s="1"/>
  <c r="AN163" i="3" a="1"/>
  <c r="AN163" i="3"/>
  <c r="AN164" i="3" a="1"/>
  <c r="AN164" i="3"/>
  <c r="AN165" i="3" a="1"/>
  <c r="AN165" i="3"/>
  <c r="AN166" i="3" a="1"/>
  <c r="AN166" i="3"/>
  <c r="AN167" i="3" a="1"/>
  <c r="AN167" i="3"/>
  <c r="AN168" i="3" a="1"/>
  <c r="AN168" i="3" s="1"/>
  <c r="AN169" i="3" a="1"/>
  <c r="AN169" i="3"/>
  <c r="AN170" i="3" a="1"/>
  <c r="AN170" i="3"/>
  <c r="AN171" i="3" a="1"/>
  <c r="AN171" i="3"/>
  <c r="AN172" i="3" a="1"/>
  <c r="AN172" i="3"/>
  <c r="AN173" i="3" a="1"/>
  <c r="AN173" i="3"/>
  <c r="AN174" i="3" a="1"/>
  <c r="AN174" i="3" s="1"/>
  <c r="AN175" i="3" a="1"/>
  <c r="AN175" i="3"/>
  <c r="AN176" i="3" a="1"/>
  <c r="AN176" i="3"/>
  <c r="AN177" i="3" a="1"/>
  <c r="AN177" i="3"/>
  <c r="AN178" i="3" a="1"/>
  <c r="AN178" i="3"/>
  <c r="AN179" i="3" a="1"/>
  <c r="AN179" i="3"/>
  <c r="AN180" i="3" a="1"/>
  <c r="AN180" i="3" s="1"/>
  <c r="AN181" i="3" a="1"/>
  <c r="AN181" i="3"/>
  <c r="AN182" i="3" a="1"/>
  <c r="AN182" i="3"/>
  <c r="AN183" i="3" a="1"/>
  <c r="AN183" i="3"/>
  <c r="AN184" i="3" a="1"/>
  <c r="AN184" i="3"/>
  <c r="AN185" i="3" a="1"/>
  <c r="AN185" i="3"/>
  <c r="AN186" i="3" a="1"/>
  <c r="AN186" i="3" s="1"/>
  <c r="AN187" i="3" a="1"/>
  <c r="AN187" i="3"/>
  <c r="AN188" i="3" a="1"/>
  <c r="AN188" i="3"/>
  <c r="AN189" i="3" a="1"/>
  <c r="AN189" i="3"/>
  <c r="AN190" i="3" a="1"/>
  <c r="AN190" i="3"/>
  <c r="AN191" i="3" a="1"/>
  <c r="AN191" i="3"/>
  <c r="AN192" i="3" a="1"/>
  <c r="AN192" i="3" s="1"/>
  <c r="AN193" i="3" a="1"/>
  <c r="AN193" i="3"/>
  <c r="AN194" i="3" a="1"/>
  <c r="AN194" i="3"/>
  <c r="AN195" i="3" a="1"/>
  <c r="AN195" i="3"/>
  <c r="AN196" i="3" a="1"/>
  <c r="AN196" i="3"/>
  <c r="AN197" i="3" a="1"/>
  <c r="AN197" i="3"/>
  <c r="AN198" i="3" a="1"/>
  <c r="AN198" i="3" s="1"/>
  <c r="AN199" i="3" a="1"/>
  <c r="AN199" i="3"/>
  <c r="AN200" i="3" a="1"/>
  <c r="AN200" i="3"/>
  <c r="AN201" i="3" a="1"/>
  <c r="AN201" i="3"/>
  <c r="AN202" i="3" a="1"/>
  <c r="AN202" i="3"/>
  <c r="AN203" i="3" a="1"/>
  <c r="AN203" i="3"/>
  <c r="AN204" i="3" a="1"/>
  <c r="AN204" i="3" s="1"/>
  <c r="AN205" i="3" a="1"/>
  <c r="AN205" i="3"/>
  <c r="AN206" i="3" a="1"/>
  <c r="AN206" i="3"/>
  <c r="AN207" i="3" a="1"/>
  <c r="AN207" i="3"/>
  <c r="AN208" i="3" a="1"/>
  <c r="AN208" i="3"/>
  <c r="AN209" i="3" a="1"/>
  <c r="AN209" i="3"/>
  <c r="AN210" i="3" a="1"/>
  <c r="AN210" i="3" s="1"/>
  <c r="AN211" i="3" a="1"/>
  <c r="AN211" i="3"/>
  <c r="AN212" i="3" a="1"/>
  <c r="AN212" i="3"/>
  <c r="AN213" i="3" a="1"/>
  <c r="AN213" i="3"/>
  <c r="AN214" i="3" a="1"/>
  <c r="AN214" i="3"/>
  <c r="AN215" i="3" a="1"/>
  <c r="AN215" i="3"/>
  <c r="AN216" i="3" a="1"/>
  <c r="AN216" i="3" s="1"/>
  <c r="AN217" i="3" a="1"/>
  <c r="AN217" i="3"/>
  <c r="AN218" i="3" a="1"/>
  <c r="AN218" i="3"/>
  <c r="AN219" i="3" a="1"/>
  <c r="AN219" i="3"/>
  <c r="AN220" i="3" a="1"/>
  <c r="AN220" i="3"/>
  <c r="AN221" i="3" a="1"/>
  <c r="AN221" i="3"/>
  <c r="AN3" i="3" a="1"/>
  <c r="AN3" i="3" s="1"/>
  <c r="AH3" i="3" s="1"/>
  <c r="M35" i="41"/>
  <c r="G3" i="3"/>
  <c r="H3" i="3" s="1"/>
  <c r="M36" i="41"/>
  <c r="I3" i="40"/>
  <c r="M3" i="40"/>
  <c r="J2" i="40"/>
  <c r="K2" i="40" s="1"/>
  <c r="L2" i="40"/>
  <c r="I4" i="41" l="1"/>
  <c r="I5" i="41"/>
  <c r="I6" i="41"/>
  <c r="I7" i="41"/>
  <c r="I8" i="41"/>
  <c r="I9" i="41"/>
  <c r="I10" i="41"/>
  <c r="I11" i="41"/>
  <c r="I12" i="41"/>
  <c r="I13" i="41"/>
  <c r="I14" i="41"/>
  <c r="I15" i="41"/>
  <c r="I16" i="41"/>
  <c r="I17" i="41"/>
  <c r="I18" i="41"/>
  <c r="I19" i="41"/>
  <c r="I20" i="41"/>
  <c r="I21" i="41"/>
  <c r="I22" i="41"/>
  <c r="I23" i="41"/>
  <c r="I24" i="41"/>
  <c r="I25" i="41"/>
  <c r="I26" i="41"/>
  <c r="I27" i="41"/>
  <c r="I28" i="41"/>
  <c r="I29" i="41"/>
  <c r="I30" i="41"/>
  <c r="I3" i="41"/>
  <c r="AK3" i="3" s="1"/>
  <c r="H4" i="41"/>
  <c r="H5" i="41"/>
  <c r="H6" i="41"/>
  <c r="H7" i="41"/>
  <c r="H8" i="41"/>
  <c r="H9" i="41"/>
  <c r="H10" i="41"/>
  <c r="H11" i="41"/>
  <c r="H12" i="41"/>
  <c r="H13" i="41"/>
  <c r="H14" i="41"/>
  <c r="H15" i="41"/>
  <c r="H16" i="41"/>
  <c r="H17" i="41"/>
  <c r="H18" i="41"/>
  <c r="H19" i="41"/>
  <c r="H20" i="41"/>
  <c r="H21" i="41"/>
  <c r="H22" i="41"/>
  <c r="H23" i="41"/>
  <c r="H24" i="41"/>
  <c r="H25" i="41"/>
  <c r="H26" i="41"/>
  <c r="H27" i="41"/>
  <c r="H28" i="41"/>
  <c r="H29" i="41"/>
  <c r="H30" i="41"/>
  <c r="H3" i="41"/>
  <c r="AJ3" i="3" s="1"/>
  <c r="C4" i="41"/>
  <c r="C5" i="41"/>
  <c r="C6" i="41"/>
  <c r="C7" i="41"/>
  <c r="C8" i="41"/>
  <c r="C9" i="41"/>
  <c r="C10" i="41"/>
  <c r="C11" i="41"/>
  <c r="C12" i="41"/>
  <c r="C13" i="41"/>
  <c r="C14" i="41"/>
  <c r="C15" i="41"/>
  <c r="C16" i="41"/>
  <c r="C17" i="41"/>
  <c r="C18" i="41"/>
  <c r="C19" i="41"/>
  <c r="C20" i="41"/>
  <c r="C21" i="41"/>
  <c r="C22" i="41"/>
  <c r="C23" i="41"/>
  <c r="C24" i="41"/>
  <c r="C25" i="41"/>
  <c r="C26" i="41"/>
  <c r="C27" i="41"/>
  <c r="C28" i="41"/>
  <c r="C29" i="41"/>
  <c r="C30" i="41"/>
  <c r="C3" i="41"/>
  <c r="D4" i="41"/>
  <c r="D5" i="41"/>
  <c r="D6" i="41"/>
  <c r="D7" i="41"/>
  <c r="D8" i="41"/>
  <c r="D9" i="41"/>
  <c r="D10" i="41"/>
  <c r="D11" i="41"/>
  <c r="D12" i="41"/>
  <c r="D13" i="41"/>
  <c r="D14" i="41"/>
  <c r="D15" i="41"/>
  <c r="D16" i="41"/>
  <c r="D17" i="41"/>
  <c r="D18" i="41"/>
  <c r="D19" i="41"/>
  <c r="D20" i="41"/>
  <c r="D21" i="41"/>
  <c r="D22" i="41"/>
  <c r="D23" i="41"/>
  <c r="D24" i="41"/>
  <c r="D25" i="41"/>
  <c r="D26" i="41"/>
  <c r="D27" i="41"/>
  <c r="D28" i="41"/>
  <c r="D29" i="41"/>
  <c r="D30" i="41"/>
  <c r="D3" i="41"/>
  <c r="A244" i="41"/>
  <c r="M29" i="41"/>
  <c r="M49" i="41"/>
  <c r="M50" i="41"/>
  <c r="M51" i="41"/>
  <c r="M52" i="41"/>
  <c r="M53" i="41"/>
  <c r="M54" i="41"/>
  <c r="M55" i="41"/>
  <c r="M56" i="41"/>
  <c r="M57" i="41"/>
  <c r="M58" i="41"/>
  <c r="M59" i="41"/>
  <c r="L49" i="41"/>
  <c r="L50" i="41"/>
  <c r="L51" i="41"/>
  <c r="L52" i="41"/>
  <c r="L53" i="41"/>
  <c r="L54" i="41"/>
  <c r="L55" i="41"/>
  <c r="L56" i="41"/>
  <c r="L57" i="41"/>
  <c r="L58" i="41"/>
  <c r="L59" i="41"/>
  <c r="K34" i="41" a="1"/>
  <c r="M15" i="41"/>
  <c r="M16" i="41"/>
  <c r="M17" i="41"/>
  <c r="M18" i="41"/>
  <c r="M19" i="41"/>
  <c r="M20" i="41"/>
  <c r="M21" i="41"/>
  <c r="M22" i="41"/>
  <c r="M23" i="41"/>
  <c r="M24" i="41"/>
  <c r="M25" i="41"/>
  <c r="M26" i="41"/>
  <c r="M27" i="41"/>
  <c r="M28" i="41"/>
  <c r="K34" i="41" l="1"/>
  <c r="M37" i="41"/>
  <c r="M38" i="41"/>
  <c r="M39" i="41"/>
  <c r="M40" i="41"/>
  <c r="M42" i="41"/>
  <c r="M41" i="41"/>
  <c r="M44" i="41"/>
  <c r="M43" i="41"/>
  <c r="M48" i="41"/>
  <c r="M47" i="41"/>
  <c r="M45" i="41"/>
  <c r="M46" i="41"/>
  <c r="L46" i="41"/>
  <c r="L35" i="41"/>
  <c r="L37" i="41"/>
  <c r="L48" i="41"/>
  <c r="L36" i="41"/>
  <c r="L47" i="41"/>
  <c r="L45" i="41"/>
  <c r="L44" i="41"/>
  <c r="L43" i="41"/>
  <c r="L42" i="41"/>
  <c r="L41" i="41"/>
  <c r="L40" i="41"/>
  <c r="L39" i="41"/>
  <c r="L38" i="41"/>
  <c r="F4" i="41"/>
  <c r="G4" i="41" s="1"/>
  <c r="F5" i="41"/>
  <c r="G5" i="41" s="1"/>
  <c r="F6" i="41"/>
  <c r="F7" i="41"/>
  <c r="G7" i="41" s="1"/>
  <c r="F8" i="41"/>
  <c r="F9" i="41"/>
  <c r="G9" i="41" s="1"/>
  <c r="F10" i="41"/>
  <c r="G10" i="41" s="1"/>
  <c r="F11" i="41"/>
  <c r="F12" i="41"/>
  <c r="G12" i="41" s="1"/>
  <c r="F13" i="41"/>
  <c r="G13" i="41" s="1"/>
  <c r="F14" i="41"/>
  <c r="G14" i="41" s="1"/>
  <c r="F15" i="41"/>
  <c r="G15" i="41" s="1"/>
  <c r="F16" i="41"/>
  <c r="G16" i="41" s="1"/>
  <c r="F17" i="41"/>
  <c r="G17" i="41" s="1"/>
  <c r="F18" i="41"/>
  <c r="G18" i="41" s="1"/>
  <c r="F19" i="41"/>
  <c r="G19" i="41" s="1"/>
  <c r="F20" i="41"/>
  <c r="F21" i="41"/>
  <c r="G21" i="41" s="1"/>
  <c r="F22" i="41"/>
  <c r="F23" i="41"/>
  <c r="G23" i="41" s="1"/>
  <c r="F24" i="41"/>
  <c r="G24" i="41" s="1"/>
  <c r="F25" i="41"/>
  <c r="G25" i="41" s="1"/>
  <c r="F26" i="41"/>
  <c r="G26" i="41" s="1"/>
  <c r="F27" i="41"/>
  <c r="G27" i="41" s="1"/>
  <c r="F28" i="41"/>
  <c r="G28" i="41" s="1"/>
  <c r="F29" i="41"/>
  <c r="G29" i="41" s="1"/>
  <c r="F30" i="41"/>
  <c r="G30" i="41" s="1"/>
  <c r="F3" i="41"/>
  <c r="G3" i="41" s="1"/>
  <c r="M60" i="41" l="1"/>
  <c r="A11" i="41"/>
  <c r="G11" i="41"/>
  <c r="A22" i="41"/>
  <c r="G22" i="41"/>
  <c r="A20" i="41"/>
  <c r="G20" i="41"/>
  <c r="A8" i="41"/>
  <c r="G8" i="41"/>
  <c r="A6" i="41"/>
  <c r="G6" i="41"/>
  <c r="L60" i="41"/>
  <c r="N40" i="41"/>
  <c r="N37" i="41"/>
  <c r="N38" i="41"/>
  <c r="N46" i="41"/>
  <c r="N43" i="41"/>
  <c r="N42" i="41"/>
  <c r="N39" i="41"/>
  <c r="N44" i="41"/>
  <c r="N45" i="41"/>
  <c r="N41" i="41"/>
  <c r="N47" i="41"/>
  <c r="N36" i="41"/>
  <c r="N35" i="41"/>
  <c r="A30" i="41"/>
  <c r="A28" i="41"/>
  <c r="A16" i="41"/>
  <c r="A4" i="41"/>
  <c r="A27" i="41"/>
  <c r="A15" i="41"/>
  <c r="A5" i="41"/>
  <c r="A26" i="41"/>
  <c r="A24" i="41"/>
  <c r="A12" i="41"/>
  <c r="A21" i="41"/>
  <c r="A19" i="41"/>
  <c r="A7" i="41"/>
  <c r="A18" i="41"/>
  <c r="A17" i="41"/>
  <c r="A14" i="41"/>
  <c r="A13" i="41"/>
  <c r="A23" i="41"/>
  <c r="A9" i="41"/>
  <c r="A29" i="41"/>
  <c r="A3" i="41"/>
  <c r="D3" i="3" s="1"/>
  <c r="A25" i="41"/>
  <c r="A10" i="41"/>
  <c r="K3" i="3"/>
  <c r="E4" i="41" l="1"/>
  <c r="E5" i="41"/>
  <c r="E6" i="41"/>
  <c r="E7" i="41"/>
  <c r="E8" i="41"/>
  <c r="E9" i="41"/>
  <c r="E10" i="41"/>
  <c r="E11" i="41"/>
  <c r="E12" i="41"/>
  <c r="E13" i="41"/>
  <c r="E14" i="41"/>
  <c r="E15" i="41"/>
  <c r="E16" i="41"/>
  <c r="E17" i="41"/>
  <c r="E18" i="41"/>
  <c r="E19" i="41"/>
  <c r="E20" i="41"/>
  <c r="E21" i="41"/>
  <c r="E22" i="41"/>
  <c r="E23" i="41"/>
  <c r="E24" i="41"/>
  <c r="E25" i="41"/>
  <c r="E26" i="41"/>
  <c r="E27" i="41"/>
  <c r="E28" i="41"/>
  <c r="E29" i="41"/>
  <c r="E30" i="41"/>
  <c r="E3" i="41"/>
  <c r="B4" i="41"/>
  <c r="B5" i="41"/>
  <c r="B6" i="41"/>
  <c r="B7" i="41"/>
  <c r="B8" i="41"/>
  <c r="B9" i="41"/>
  <c r="B10" i="41"/>
  <c r="B11" i="41"/>
  <c r="B12" i="41"/>
  <c r="B13" i="41"/>
  <c r="B14" i="41"/>
  <c r="B15" i="41"/>
  <c r="B16" i="41"/>
  <c r="B17" i="41"/>
  <c r="B18" i="41"/>
  <c r="B19" i="41"/>
  <c r="B20" i="41"/>
  <c r="B21" i="41"/>
  <c r="B22" i="41"/>
  <c r="B23" i="41"/>
  <c r="B24" i="41"/>
  <c r="B25" i="41"/>
  <c r="B26" i="41"/>
  <c r="B27" i="41"/>
  <c r="B28" i="41"/>
  <c r="B29" i="41"/>
  <c r="B30" i="41"/>
  <c r="B3" i="41"/>
  <c r="F3" i="3" s="1"/>
  <c r="L20" i="41" l="1"/>
  <c r="L15" i="41"/>
  <c r="L21" i="41"/>
  <c r="L17" i="41"/>
  <c r="L24" i="41"/>
  <c r="L28" i="41"/>
  <c r="L18" i="41"/>
  <c r="L19" i="41"/>
  <c r="L16" i="41"/>
  <c r="L22" i="41"/>
  <c r="L23" i="41"/>
  <c r="L25" i="41"/>
  <c r="L26" i="41"/>
  <c r="L27" i="41"/>
  <c r="I3" i="3"/>
  <c r="K3" i="41" a="1"/>
  <c r="M14" i="41" l="1"/>
  <c r="L14" i="41"/>
  <c r="M6" i="41"/>
  <c r="N6" i="41" s="1"/>
  <c r="M7" i="41"/>
  <c r="N7" i="41" s="1"/>
  <c r="M9" i="41"/>
  <c r="N9" i="41" s="1"/>
  <c r="M12" i="41"/>
  <c r="N12" i="41" s="1"/>
  <c r="M5" i="41"/>
  <c r="N5" i="41" s="1"/>
  <c r="L13" i="41"/>
  <c r="M8" i="41"/>
  <c r="N8" i="41" s="1"/>
  <c r="M10" i="41"/>
  <c r="N10" i="41" s="1"/>
  <c r="M13" i="41"/>
  <c r="N13" i="41" s="1"/>
  <c r="M11" i="41"/>
  <c r="N11" i="41" s="1"/>
  <c r="N60" i="41"/>
  <c r="N59" i="41"/>
  <c r="N48" i="41"/>
  <c r="N19" i="41"/>
  <c r="O19" i="41" s="1"/>
  <c r="N20" i="41"/>
  <c r="O20" i="41" s="1"/>
  <c r="N21" i="41"/>
  <c r="O21" i="41" s="1"/>
  <c r="N58" i="41"/>
  <c r="N57" i="41"/>
  <c r="N56" i="41"/>
  <c r="N55" i="41"/>
  <c r="N54" i="41"/>
  <c r="N53" i="41"/>
  <c r="N52" i="41"/>
  <c r="N51" i="41"/>
  <c r="N50" i="41"/>
  <c r="N49" i="41"/>
  <c r="N17" i="41"/>
  <c r="O17" i="41" s="1"/>
  <c r="N18" i="41"/>
  <c r="O18" i="41" s="1"/>
  <c r="N22" i="41"/>
  <c r="O22" i="41" s="1"/>
  <c r="N27" i="41"/>
  <c r="O27" i="41" s="1"/>
  <c r="N14" i="41"/>
  <c r="N25" i="41"/>
  <c r="O25" i="41" s="1"/>
  <c r="N28" i="41"/>
  <c r="O28" i="41" s="1"/>
  <c r="N26" i="41"/>
  <c r="O26" i="41" s="1"/>
  <c r="N16" i="41"/>
  <c r="O16" i="41" s="1"/>
  <c r="N24" i="41"/>
  <c r="O24" i="41" s="1"/>
  <c r="N15" i="41"/>
  <c r="O15" i="41" s="1"/>
  <c r="N23" i="41"/>
  <c r="O23" i="41" s="1"/>
  <c r="K3" i="41"/>
  <c r="L6" i="41"/>
  <c r="L8" i="41"/>
  <c r="L9" i="41"/>
  <c r="L12" i="41"/>
  <c r="L5" i="41"/>
  <c r="L7" i="41"/>
  <c r="L10" i="41"/>
  <c r="L11" i="41"/>
  <c r="O14" i="41" l="1"/>
  <c r="L29" i="41"/>
  <c r="N29" i="41"/>
  <c r="O9" i="41"/>
  <c r="O12" i="41"/>
  <c r="O6" i="41"/>
  <c r="O5" i="41"/>
  <c r="O8" i="41"/>
  <c r="O10" i="41"/>
  <c r="O13" i="41"/>
  <c r="O11" i="41"/>
  <c r="O7" i="41"/>
  <c r="O29" i="41" l="1"/>
  <c r="B1" i="35"/>
  <c r="B2" i="35"/>
  <c r="B3" i="35"/>
  <c r="B4" i="35"/>
  <c r="B5" i="35"/>
  <c r="B6" i="35"/>
  <c r="B7" i="35"/>
  <c r="B8" i="35"/>
  <c r="B9" i="35"/>
  <c r="B10" i="35"/>
  <c r="B11" i="35"/>
  <c r="B12" i="35"/>
  <c r="B13" i="35"/>
  <c r="B14" i="35"/>
  <c r="B15" i="35"/>
  <c r="B16" i="35"/>
  <c r="B17" i="35"/>
  <c r="B18" i="35"/>
  <c r="B19" i="35"/>
  <c r="B20" i="35"/>
  <c r="B21" i="35"/>
  <c r="B22" i="35"/>
  <c r="B23" i="35"/>
  <c r="B24" i="35"/>
  <c r="B25" i="35"/>
  <c r="B26" i="35"/>
  <c r="B27" i="35"/>
  <c r="B28" i="35"/>
  <c r="B29" i="35"/>
  <c r="B30" i="35"/>
  <c r="B31" i="35"/>
  <c r="B32" i="35"/>
  <c r="B33" i="35"/>
  <c r="B34" i="35"/>
  <c r="B35" i="35"/>
  <c r="B36" i="35"/>
  <c r="B37" i="35"/>
  <c r="B38" i="35"/>
  <c r="B39" i="35"/>
  <c r="B40" i="35"/>
  <c r="B41" i="35"/>
  <c r="B42" i="35"/>
  <c r="B43" i="35"/>
  <c r="B44" i="35"/>
  <c r="B45" i="35"/>
  <c r="B46" i="35"/>
  <c r="B47" i="35"/>
  <c r="B48" i="35"/>
  <c r="B49" i="35"/>
  <c r="B50" i="35"/>
  <c r="B51" i="35"/>
  <c r="B52" i="35"/>
  <c r="B53" i="35"/>
  <c r="B54" i="35"/>
  <c r="B55" i="35"/>
  <c r="B56" i="35"/>
  <c r="B57" i="35"/>
  <c r="B58" i="35"/>
  <c r="B59" i="35"/>
  <c r="B60" i="35"/>
  <c r="B61" i="35"/>
  <c r="B62" i="35"/>
  <c r="B63" i="35"/>
  <c r="B64" i="35"/>
  <c r="B65" i="35"/>
  <c r="B66" i="35"/>
  <c r="B67" i="35"/>
  <c r="B68" i="35"/>
  <c r="B69" i="35"/>
  <c r="B70" i="35"/>
  <c r="B71" i="35"/>
  <c r="B72" i="35"/>
  <c r="B73" i="35"/>
  <c r="B74" i="35"/>
  <c r="B75" i="35"/>
  <c r="B76" i="35"/>
  <c r="B77" i="35"/>
  <c r="B78" i="35"/>
  <c r="B79" i="35"/>
  <c r="B80" i="35"/>
  <c r="B81" i="35"/>
  <c r="B82" i="35"/>
  <c r="B83" i="35"/>
  <c r="B84" i="35"/>
  <c r="B85" i="35"/>
  <c r="B86" i="35"/>
  <c r="B87" i="35"/>
  <c r="B88" i="35"/>
  <c r="B89" i="35"/>
  <c r="B90" i="35"/>
  <c r="B91" i="35"/>
  <c r="B92" i="35"/>
  <c r="B93" i="35"/>
  <c r="B94" i="35"/>
  <c r="B95" i="35"/>
  <c r="B96" i="35"/>
  <c r="B97" i="35"/>
  <c r="B98" i="35"/>
  <c r="B99" i="35"/>
  <c r="B100" i="35"/>
  <c r="B101" i="35"/>
  <c r="B102" i="35"/>
  <c r="B103" i="35"/>
  <c r="B104" i="35"/>
  <c r="B105" i="35"/>
  <c r="B106" i="35"/>
  <c r="B107" i="35"/>
  <c r="B108" i="35"/>
  <c r="B109" i="35"/>
  <c r="B110" i="35"/>
  <c r="B111" i="35"/>
  <c r="B112" i="35"/>
  <c r="B113" i="35"/>
  <c r="B114" i="35"/>
  <c r="B115" i="35"/>
  <c r="B116" i="35"/>
  <c r="B117" i="35"/>
  <c r="B118" i="35"/>
  <c r="B119" i="35"/>
  <c r="B120" i="35"/>
  <c r="B121" i="35"/>
  <c r="B122" i="35"/>
  <c r="B123" i="35"/>
  <c r="B124" i="35"/>
  <c r="B125" i="35"/>
  <c r="B126" i="35"/>
  <c r="B127" i="35"/>
  <c r="B128" i="35"/>
  <c r="B129" i="35"/>
  <c r="B130" i="35"/>
  <c r="B131" i="35"/>
  <c r="B132" i="35"/>
  <c r="B133" i="35"/>
  <c r="B134" i="35"/>
  <c r="B135" i="35"/>
  <c r="B136" i="35"/>
  <c r="B137" i="35"/>
  <c r="B138" i="35"/>
  <c r="B139" i="35"/>
  <c r="B140" i="35"/>
  <c r="B141" i="35"/>
  <c r="B142" i="35"/>
  <c r="B143" i="35"/>
  <c r="B144" i="35"/>
  <c r="B145" i="35"/>
  <c r="B146" i="35"/>
  <c r="B147" i="35"/>
  <c r="B148" i="35"/>
  <c r="B149" i="35"/>
  <c r="B150" i="35"/>
  <c r="B151" i="35"/>
  <c r="B152" i="35"/>
  <c r="B153" i="35"/>
  <c r="B154" i="35"/>
  <c r="B155" i="35"/>
  <c r="B156" i="35"/>
  <c r="B157" i="35"/>
  <c r="B158" i="35"/>
  <c r="B159" i="35"/>
  <c r="B160" i="35"/>
  <c r="B161" i="35"/>
  <c r="B162" i="35"/>
  <c r="B163" i="35"/>
  <c r="B164" i="35"/>
  <c r="B165" i="35"/>
  <c r="B166" i="35"/>
  <c r="B167" i="35"/>
  <c r="B168" i="35"/>
  <c r="B169" i="35"/>
  <c r="B170" i="35"/>
  <c r="B171" i="35"/>
  <c r="B172" i="35"/>
  <c r="B173" i="35"/>
  <c r="B174" i="35"/>
  <c r="B175" i="35"/>
  <c r="B176" i="35"/>
  <c r="B177" i="35"/>
  <c r="B178" i="35"/>
  <c r="B179" i="35"/>
  <c r="AB3" i="3" l="1"/>
  <c r="C583" i="18"/>
  <c r="C582" i="18"/>
  <c r="C581" i="18"/>
  <c r="C580" i="18"/>
  <c r="C579" i="18"/>
  <c r="C578" i="18"/>
  <c r="C577" i="18"/>
  <c r="C576" i="18"/>
  <c r="C575" i="18"/>
  <c r="C574" i="18"/>
  <c r="C573" i="18"/>
  <c r="C572" i="18"/>
  <c r="C571" i="18"/>
  <c r="C570" i="18"/>
  <c r="C569" i="18"/>
  <c r="C568" i="18"/>
  <c r="C567" i="18"/>
  <c r="C566" i="18"/>
  <c r="C565" i="18"/>
  <c r="C564" i="18"/>
  <c r="C563" i="18"/>
  <c r="C562" i="18"/>
  <c r="C561" i="18"/>
  <c r="C560" i="18"/>
  <c r="C559" i="18"/>
  <c r="C558" i="18"/>
  <c r="C557" i="18"/>
  <c r="C556" i="18"/>
  <c r="C555" i="18"/>
  <c r="C554" i="18"/>
  <c r="C553" i="18"/>
  <c r="C552" i="18"/>
  <c r="C551" i="18"/>
  <c r="C550" i="18"/>
  <c r="C549" i="18"/>
  <c r="C548" i="18"/>
  <c r="C547" i="18"/>
  <c r="C546" i="18"/>
  <c r="C545" i="18"/>
  <c r="C544" i="18"/>
  <c r="C543" i="18"/>
  <c r="C542" i="18"/>
  <c r="C541" i="18"/>
  <c r="C540" i="18"/>
  <c r="C539" i="18"/>
  <c r="C538" i="18"/>
  <c r="C537" i="18"/>
  <c r="C536" i="18"/>
  <c r="C535" i="18"/>
  <c r="C534" i="18"/>
  <c r="C533" i="18"/>
  <c r="C532" i="18"/>
  <c r="C531" i="18"/>
  <c r="C530" i="18"/>
  <c r="C529" i="18"/>
  <c r="C528" i="18"/>
  <c r="C527" i="18"/>
  <c r="B527" i="18" s="1"/>
  <c r="C526" i="18"/>
  <c r="B526" i="18" s="1"/>
  <c r="C525" i="18"/>
  <c r="B525" i="18" s="1"/>
  <c r="C524" i="18"/>
  <c r="B524" i="18" s="1"/>
  <c r="C523" i="18"/>
  <c r="B523" i="18" s="1"/>
  <c r="C522" i="18"/>
  <c r="B522" i="18" s="1"/>
  <c r="C521" i="18"/>
  <c r="B521" i="18" s="1"/>
  <c r="C520" i="18"/>
  <c r="B520" i="18" s="1"/>
  <c r="C519" i="18"/>
  <c r="B519" i="18" s="1"/>
  <c r="C518" i="18"/>
  <c r="B518" i="18" s="1"/>
  <c r="C517" i="18"/>
  <c r="B517" i="18" s="1"/>
  <c r="C516" i="18"/>
  <c r="B516" i="18" s="1"/>
  <c r="C515" i="18"/>
  <c r="B515" i="18" s="1"/>
  <c r="C514" i="18"/>
  <c r="B514" i="18" s="1"/>
  <c r="C513" i="18"/>
  <c r="B513" i="18" s="1"/>
  <c r="C512" i="18"/>
  <c r="B512" i="18" s="1"/>
  <c r="C511" i="18"/>
  <c r="B511" i="18" s="1"/>
  <c r="C510" i="18"/>
  <c r="B510" i="18" s="1"/>
  <c r="C509" i="18"/>
  <c r="B509" i="18" s="1"/>
  <c r="C508" i="18"/>
  <c r="B508" i="18" s="1"/>
  <c r="C507" i="18"/>
  <c r="B507" i="18" s="1"/>
  <c r="C506" i="18"/>
  <c r="B506" i="18" s="1"/>
  <c r="C505" i="18"/>
  <c r="B505" i="18" s="1"/>
  <c r="C504" i="18"/>
  <c r="B504" i="18" s="1"/>
  <c r="C503" i="18"/>
  <c r="B503" i="18" s="1"/>
  <c r="C502" i="18"/>
  <c r="B502" i="18" s="1"/>
  <c r="C501" i="18"/>
  <c r="B501" i="18" s="1"/>
  <c r="C500" i="18"/>
  <c r="B500" i="18" s="1"/>
  <c r="C499" i="18"/>
  <c r="B499" i="18" s="1"/>
  <c r="C498" i="18"/>
  <c r="B498" i="18" s="1"/>
  <c r="C497" i="18"/>
  <c r="B497" i="18" s="1"/>
  <c r="C496" i="18"/>
  <c r="B496" i="18" s="1"/>
  <c r="C495" i="18"/>
  <c r="B495" i="18" s="1"/>
  <c r="C494" i="18"/>
  <c r="B494" i="18" s="1"/>
  <c r="C493" i="18"/>
  <c r="B493" i="18" s="1"/>
  <c r="C492" i="18"/>
  <c r="B492" i="18" s="1"/>
  <c r="C491" i="18"/>
  <c r="B491" i="18" s="1"/>
  <c r="C490" i="18"/>
  <c r="B490" i="18" s="1"/>
  <c r="C489" i="18"/>
  <c r="B489" i="18" s="1"/>
  <c r="C488" i="18"/>
  <c r="B488" i="18" s="1"/>
  <c r="C487" i="18"/>
  <c r="B487" i="18" s="1"/>
  <c r="C486" i="18"/>
  <c r="B486" i="18" s="1"/>
  <c r="C485" i="18"/>
  <c r="B485" i="18" s="1"/>
  <c r="C484" i="18"/>
  <c r="B484" i="18" s="1"/>
  <c r="C483" i="18"/>
  <c r="B483" i="18" s="1"/>
  <c r="C482" i="18"/>
  <c r="B482" i="18" s="1"/>
  <c r="C481" i="18"/>
  <c r="B481" i="18"/>
  <c r="C480" i="18"/>
  <c r="B480" i="18" s="1"/>
  <c r="C479" i="18"/>
  <c r="B479" i="18" s="1"/>
  <c r="C478" i="18"/>
  <c r="B478" i="18" s="1"/>
  <c r="C477" i="18"/>
  <c r="B477" i="18" s="1"/>
  <c r="C476" i="18"/>
  <c r="B476" i="18" s="1"/>
  <c r="C475" i="18"/>
  <c r="B475" i="18" s="1"/>
  <c r="C474" i="18"/>
  <c r="B474" i="18" s="1"/>
  <c r="C473" i="18"/>
  <c r="B473" i="18" s="1"/>
  <c r="C472" i="18"/>
  <c r="B472" i="18" s="1"/>
  <c r="C471" i="18"/>
  <c r="B471" i="18" s="1"/>
  <c r="C470" i="18"/>
  <c r="B470" i="18" s="1"/>
  <c r="C469" i="18"/>
  <c r="B469" i="18" s="1"/>
  <c r="C468" i="18"/>
  <c r="B468" i="18" s="1"/>
  <c r="C467" i="18"/>
  <c r="B467" i="18" s="1"/>
  <c r="C466" i="18"/>
  <c r="B466" i="18" s="1"/>
  <c r="C465" i="18"/>
  <c r="B465" i="18" s="1"/>
  <c r="C464" i="18"/>
  <c r="B464" i="18" s="1"/>
  <c r="C463" i="18"/>
  <c r="B463" i="18" s="1"/>
  <c r="C462" i="18"/>
  <c r="B462" i="18" s="1"/>
  <c r="C461" i="18"/>
  <c r="B461" i="18" s="1"/>
  <c r="C460" i="18"/>
  <c r="B460" i="18" s="1"/>
  <c r="C459" i="18"/>
  <c r="B459" i="18" s="1"/>
  <c r="C458" i="18"/>
  <c r="B458" i="18" s="1"/>
  <c r="C457" i="18"/>
  <c r="B457" i="18" s="1"/>
  <c r="C456" i="18"/>
  <c r="B456" i="18" s="1"/>
  <c r="C455" i="18"/>
  <c r="B455" i="18" s="1"/>
  <c r="C454" i="18"/>
  <c r="B454" i="18" s="1"/>
  <c r="C453" i="18"/>
  <c r="B453" i="18" s="1"/>
  <c r="C452" i="18"/>
  <c r="B452" i="18" s="1"/>
  <c r="C451" i="18"/>
  <c r="B451" i="18" s="1"/>
  <c r="C450" i="18"/>
  <c r="B450" i="18" s="1"/>
  <c r="C449" i="18"/>
  <c r="B449" i="18" s="1"/>
  <c r="C448" i="18"/>
  <c r="B448" i="18" s="1"/>
  <c r="C447" i="18"/>
  <c r="B447" i="18" s="1"/>
  <c r="C446" i="18"/>
  <c r="B446" i="18" s="1"/>
  <c r="C445" i="18"/>
  <c r="B445" i="18" s="1"/>
  <c r="C444" i="18"/>
  <c r="B444" i="18" s="1"/>
  <c r="C443" i="18"/>
  <c r="B443" i="18" s="1"/>
  <c r="C442" i="18"/>
  <c r="B442" i="18" s="1"/>
  <c r="C441" i="18"/>
  <c r="B441" i="18" s="1"/>
  <c r="C440" i="18"/>
  <c r="B440" i="18" s="1"/>
  <c r="C439" i="18"/>
  <c r="B439" i="18" s="1"/>
  <c r="C438" i="18"/>
  <c r="B438" i="18" s="1"/>
  <c r="C437" i="18"/>
  <c r="B437" i="18" s="1"/>
  <c r="C436" i="18"/>
  <c r="B436" i="18" s="1"/>
  <c r="C435" i="18"/>
  <c r="B435" i="18" s="1"/>
  <c r="C434" i="18"/>
  <c r="B434" i="18" s="1"/>
  <c r="C433" i="18"/>
  <c r="B433" i="18" s="1"/>
  <c r="C432" i="18"/>
  <c r="B432" i="18" s="1"/>
  <c r="C431" i="18"/>
  <c r="B431" i="18" s="1"/>
  <c r="C430" i="18"/>
  <c r="B430" i="18" s="1"/>
  <c r="C429" i="18"/>
  <c r="B429" i="18" s="1"/>
  <c r="C428" i="18"/>
  <c r="B428" i="18" s="1"/>
  <c r="C427" i="18"/>
  <c r="B427" i="18" s="1"/>
  <c r="C426" i="18"/>
  <c r="B426" i="18" s="1"/>
  <c r="C425" i="18"/>
  <c r="B425" i="18" s="1"/>
  <c r="C424" i="18"/>
  <c r="B424" i="18" s="1"/>
  <c r="C423" i="18"/>
  <c r="B423" i="18" s="1"/>
  <c r="C422" i="18"/>
  <c r="B422" i="18" s="1"/>
  <c r="C421" i="18"/>
  <c r="B421" i="18" s="1"/>
  <c r="C420" i="18"/>
  <c r="B420" i="18" s="1"/>
  <c r="C419" i="18"/>
  <c r="B419" i="18" s="1"/>
  <c r="C418" i="18"/>
  <c r="B418" i="18" s="1"/>
  <c r="C417" i="18"/>
  <c r="B417" i="18" s="1"/>
  <c r="C416" i="18"/>
  <c r="B416" i="18" s="1"/>
  <c r="C415" i="18"/>
  <c r="B415" i="18" s="1"/>
  <c r="C414" i="18"/>
  <c r="B414" i="18" s="1"/>
  <c r="C413" i="18"/>
  <c r="B413" i="18" s="1"/>
  <c r="C412" i="18"/>
  <c r="B412" i="18" s="1"/>
  <c r="C411" i="18"/>
  <c r="B411" i="18" s="1"/>
  <c r="C410" i="18"/>
  <c r="B410" i="18" s="1"/>
  <c r="C409" i="18"/>
  <c r="B409" i="18" s="1"/>
  <c r="C408" i="18"/>
  <c r="B408" i="18" s="1"/>
  <c r="C407" i="18"/>
  <c r="B407" i="18" s="1"/>
  <c r="C406" i="18"/>
  <c r="B406" i="18" s="1"/>
  <c r="C405" i="18"/>
  <c r="B405" i="18" s="1"/>
  <c r="C404" i="18"/>
  <c r="B404" i="18" s="1"/>
  <c r="C403" i="18"/>
  <c r="B403" i="18" s="1"/>
  <c r="C402" i="18"/>
  <c r="B402" i="18" s="1"/>
  <c r="C401" i="18"/>
  <c r="B401" i="18" s="1"/>
  <c r="C400" i="18"/>
  <c r="B400" i="18" s="1"/>
  <c r="C399" i="18"/>
  <c r="B399" i="18" s="1"/>
  <c r="C398" i="18"/>
  <c r="B398" i="18" s="1"/>
  <c r="C397" i="18"/>
  <c r="B397" i="18" s="1"/>
  <c r="C396" i="18"/>
  <c r="B396" i="18" s="1"/>
  <c r="C395" i="18"/>
  <c r="B395" i="18" s="1"/>
  <c r="C394" i="18"/>
  <c r="B394" i="18" s="1"/>
  <c r="C393" i="18"/>
  <c r="B393" i="18" s="1"/>
  <c r="C392" i="18"/>
  <c r="B392" i="18" s="1"/>
  <c r="C391" i="18"/>
  <c r="B391" i="18" s="1"/>
  <c r="C390" i="18"/>
  <c r="B390" i="18" s="1"/>
  <c r="C389" i="18"/>
  <c r="B389" i="18" s="1"/>
  <c r="C388" i="18"/>
  <c r="B388" i="18" s="1"/>
  <c r="C387" i="18"/>
  <c r="B387" i="18" s="1"/>
  <c r="C386" i="18"/>
  <c r="B386" i="18" s="1"/>
  <c r="C385" i="18"/>
  <c r="B385" i="18" s="1"/>
  <c r="C384" i="18"/>
  <c r="B384" i="18" s="1"/>
  <c r="C383" i="18"/>
  <c r="B383" i="18" s="1"/>
  <c r="C382" i="18"/>
  <c r="B382" i="18" s="1"/>
  <c r="C381" i="18"/>
  <c r="B381" i="18" s="1"/>
  <c r="C380" i="18"/>
  <c r="B380" i="18" s="1"/>
  <c r="C379" i="18"/>
  <c r="B379" i="18" s="1"/>
  <c r="C378" i="18"/>
  <c r="B378" i="18" s="1"/>
  <c r="C377" i="18"/>
  <c r="B377" i="18" s="1"/>
  <c r="C376" i="18"/>
  <c r="B376" i="18" s="1"/>
  <c r="C375" i="18"/>
  <c r="B375" i="18" s="1"/>
  <c r="C374" i="18"/>
  <c r="B374" i="18" s="1"/>
  <c r="C373" i="18"/>
  <c r="B373" i="18" s="1"/>
  <c r="C372" i="18"/>
  <c r="B372" i="18" s="1"/>
  <c r="C371" i="18"/>
  <c r="B371" i="18" s="1"/>
  <c r="C370" i="18"/>
  <c r="B370" i="18" s="1"/>
  <c r="C369" i="18"/>
  <c r="B369" i="18" s="1"/>
  <c r="C368" i="18"/>
  <c r="B368" i="18" s="1"/>
  <c r="C367" i="18"/>
  <c r="B367" i="18" s="1"/>
  <c r="C366" i="18"/>
  <c r="B366" i="18" s="1"/>
  <c r="C365" i="18"/>
  <c r="B365" i="18" s="1"/>
  <c r="C364" i="18"/>
  <c r="B364" i="18" s="1"/>
  <c r="C363" i="18"/>
  <c r="B363" i="18" s="1"/>
  <c r="C362" i="18"/>
  <c r="B362" i="18" s="1"/>
  <c r="C361" i="18"/>
  <c r="B361" i="18" s="1"/>
  <c r="C360" i="18"/>
  <c r="B360" i="18" s="1"/>
  <c r="C359" i="18"/>
  <c r="B359" i="18" s="1"/>
  <c r="C358" i="18"/>
  <c r="B358" i="18" s="1"/>
  <c r="C357" i="18"/>
  <c r="B357" i="18" s="1"/>
  <c r="C356" i="18"/>
  <c r="B356" i="18" s="1"/>
  <c r="C355" i="18"/>
  <c r="B355" i="18" s="1"/>
  <c r="C354" i="18"/>
  <c r="B354" i="18" s="1"/>
  <c r="C353" i="18"/>
  <c r="B353" i="18" s="1"/>
  <c r="C352" i="18"/>
  <c r="B352" i="18" s="1"/>
  <c r="C351" i="18"/>
  <c r="B351" i="18" s="1"/>
  <c r="C350" i="18"/>
  <c r="B350" i="18" s="1"/>
  <c r="C349" i="18"/>
  <c r="B349" i="18" s="1"/>
  <c r="C348" i="18"/>
  <c r="B348" i="18" s="1"/>
  <c r="C347" i="18"/>
  <c r="B347" i="18" s="1"/>
  <c r="C346" i="18"/>
  <c r="B346" i="18" s="1"/>
  <c r="C345" i="18"/>
  <c r="B345" i="18" s="1"/>
  <c r="C344" i="18"/>
  <c r="B344" i="18" s="1"/>
  <c r="C343" i="18"/>
  <c r="B343" i="18" s="1"/>
  <c r="C342" i="18"/>
  <c r="B342" i="18" s="1"/>
  <c r="C341" i="18"/>
  <c r="B341" i="18" s="1"/>
  <c r="C340" i="18"/>
  <c r="B340" i="18" s="1"/>
  <c r="C339" i="18"/>
  <c r="B339" i="18" s="1"/>
  <c r="C338" i="18"/>
  <c r="B338" i="18" s="1"/>
  <c r="C337" i="18"/>
  <c r="B337" i="18" s="1"/>
  <c r="C336" i="18"/>
  <c r="B336" i="18" s="1"/>
  <c r="C335" i="18"/>
  <c r="B335" i="18" s="1"/>
  <c r="C334" i="18"/>
  <c r="B334" i="18" s="1"/>
  <c r="C333" i="18"/>
  <c r="B333" i="18" s="1"/>
  <c r="C332" i="18"/>
  <c r="B332" i="18" s="1"/>
  <c r="C331" i="18"/>
  <c r="B331" i="18" s="1"/>
  <c r="C330" i="18"/>
  <c r="B330" i="18" s="1"/>
  <c r="C329" i="18"/>
  <c r="B329" i="18" s="1"/>
  <c r="C328" i="18"/>
  <c r="B328" i="18" s="1"/>
  <c r="C327" i="18"/>
  <c r="B327" i="18" s="1"/>
  <c r="C326" i="18"/>
  <c r="B326" i="18" s="1"/>
  <c r="C325" i="18"/>
  <c r="B325" i="18" s="1"/>
  <c r="C324" i="18"/>
  <c r="B324" i="18" s="1"/>
  <c r="C323" i="18"/>
  <c r="B323" i="18" s="1"/>
  <c r="C322" i="18"/>
  <c r="B322" i="18" s="1"/>
  <c r="C321" i="18"/>
  <c r="B321" i="18" s="1"/>
  <c r="C320" i="18"/>
  <c r="B320" i="18" s="1"/>
  <c r="C319" i="18"/>
  <c r="B319" i="18" s="1"/>
  <c r="C318" i="18"/>
  <c r="B318" i="18" s="1"/>
  <c r="C317" i="18"/>
  <c r="B317" i="18" s="1"/>
  <c r="C316" i="18"/>
  <c r="B316" i="18" s="1"/>
  <c r="C315" i="18"/>
  <c r="B315" i="18" s="1"/>
  <c r="C314" i="18"/>
  <c r="B314" i="18" s="1"/>
  <c r="C313" i="18"/>
  <c r="B313" i="18" s="1"/>
  <c r="C312" i="18"/>
  <c r="B312" i="18" s="1"/>
  <c r="C311" i="18"/>
  <c r="B311" i="18" s="1"/>
  <c r="C310" i="18"/>
  <c r="B310" i="18" s="1"/>
  <c r="C309" i="18"/>
  <c r="B309" i="18" s="1"/>
  <c r="C308" i="18"/>
  <c r="B308" i="18" s="1"/>
  <c r="C307" i="18"/>
  <c r="B307" i="18" s="1"/>
  <c r="C306" i="18"/>
  <c r="B306" i="18" s="1"/>
  <c r="C305" i="18"/>
  <c r="B305" i="18" s="1"/>
  <c r="C304" i="18"/>
  <c r="B304" i="18" s="1"/>
  <c r="C303" i="18"/>
  <c r="B303" i="18" s="1"/>
  <c r="C302" i="18"/>
  <c r="B302" i="18" s="1"/>
  <c r="C301" i="18"/>
  <c r="B301" i="18" s="1"/>
  <c r="C300" i="18"/>
  <c r="B300" i="18" s="1"/>
  <c r="C299" i="18"/>
  <c r="B299" i="18" s="1"/>
  <c r="C298" i="18"/>
  <c r="B298" i="18" s="1"/>
  <c r="C297" i="18"/>
  <c r="B297" i="18" s="1"/>
  <c r="C296" i="18"/>
  <c r="B296" i="18" s="1"/>
  <c r="C295" i="18"/>
  <c r="B295" i="18" s="1"/>
  <c r="C294" i="18"/>
  <c r="B294" i="18" s="1"/>
  <c r="C293" i="18"/>
  <c r="B293" i="18" s="1"/>
  <c r="C292" i="18"/>
  <c r="B292" i="18" s="1"/>
  <c r="C291" i="18"/>
  <c r="B291" i="18" s="1"/>
  <c r="C290" i="18"/>
  <c r="B290" i="18" s="1"/>
  <c r="C289" i="18"/>
  <c r="B289" i="18" s="1"/>
  <c r="C288" i="18"/>
  <c r="B288" i="18" s="1"/>
  <c r="C287" i="18"/>
  <c r="B287" i="18" s="1"/>
  <c r="C286" i="18"/>
  <c r="B286" i="18" s="1"/>
  <c r="C285" i="18"/>
  <c r="B285" i="18" s="1"/>
  <c r="C284" i="18"/>
  <c r="B284" i="18" s="1"/>
  <c r="C283" i="18"/>
  <c r="B283" i="18" s="1"/>
  <c r="C282" i="18"/>
  <c r="B282" i="18" s="1"/>
  <c r="C281" i="18"/>
  <c r="B281" i="18" s="1"/>
  <c r="C280" i="18"/>
  <c r="B280" i="18" s="1"/>
  <c r="C279" i="18"/>
  <c r="B279" i="18" s="1"/>
  <c r="C278" i="18"/>
  <c r="B278" i="18" s="1"/>
  <c r="C277" i="18"/>
  <c r="B277" i="18" s="1"/>
  <c r="C276" i="18"/>
  <c r="B276" i="18" s="1"/>
  <c r="C275" i="18"/>
  <c r="B275" i="18" s="1"/>
  <c r="C274" i="18"/>
  <c r="B274" i="18" s="1"/>
  <c r="C273" i="18"/>
  <c r="B273" i="18" s="1"/>
  <c r="C272" i="18"/>
  <c r="B272" i="18" s="1"/>
  <c r="C271" i="18"/>
  <c r="B271" i="18" s="1"/>
  <c r="C270" i="18"/>
  <c r="B270" i="18" s="1"/>
  <c r="C269" i="18"/>
  <c r="B269" i="18" s="1"/>
  <c r="C268" i="18"/>
  <c r="B268" i="18" s="1"/>
  <c r="C267" i="18"/>
  <c r="B267" i="18" s="1"/>
  <c r="C266" i="18"/>
  <c r="B266" i="18" s="1"/>
  <c r="C265" i="18"/>
  <c r="B265" i="18" s="1"/>
  <c r="C264" i="18"/>
  <c r="B264" i="18" s="1"/>
  <c r="C263" i="18"/>
  <c r="B263" i="18" s="1"/>
  <c r="C262" i="18"/>
  <c r="B262" i="18" s="1"/>
  <c r="C261" i="18"/>
  <c r="B261" i="18" s="1"/>
  <c r="C260" i="18"/>
  <c r="B260" i="18" s="1"/>
  <c r="C259" i="18"/>
  <c r="B259" i="18" s="1"/>
  <c r="C258" i="18"/>
  <c r="B258" i="18" s="1"/>
  <c r="C257" i="18"/>
  <c r="B257" i="18" s="1"/>
  <c r="C256" i="18"/>
  <c r="B256" i="18" s="1"/>
  <c r="C255" i="18"/>
  <c r="B255" i="18" s="1"/>
  <c r="C254" i="18"/>
  <c r="B254" i="18" s="1"/>
  <c r="C253" i="18"/>
  <c r="B253" i="18" s="1"/>
  <c r="C252" i="18"/>
  <c r="B252" i="18" s="1"/>
  <c r="C251" i="18"/>
  <c r="B251" i="18" s="1"/>
  <c r="C250" i="18"/>
  <c r="B250" i="18" s="1"/>
  <c r="C249" i="18"/>
  <c r="B249" i="18" s="1"/>
  <c r="C248" i="18"/>
  <c r="B248" i="18" s="1"/>
  <c r="C247" i="18"/>
  <c r="B247" i="18" s="1"/>
  <c r="C246" i="18"/>
  <c r="B246" i="18" s="1"/>
  <c r="C245" i="18"/>
  <c r="B245" i="18" s="1"/>
  <c r="C244" i="18"/>
  <c r="B244" i="18" s="1"/>
  <c r="C243" i="18"/>
  <c r="B243" i="18" s="1"/>
  <c r="C242" i="18"/>
  <c r="B242" i="18" s="1"/>
  <c r="C241" i="18"/>
  <c r="B241" i="18" s="1"/>
  <c r="C240" i="18"/>
  <c r="B240" i="18" s="1"/>
  <c r="C239" i="18"/>
  <c r="B239" i="18" s="1"/>
  <c r="C238" i="18"/>
  <c r="B238" i="18" s="1"/>
  <c r="C237" i="18"/>
  <c r="B237" i="18" s="1"/>
  <c r="C236" i="18"/>
  <c r="B236" i="18" s="1"/>
  <c r="C235" i="18"/>
  <c r="B235" i="18" s="1"/>
  <c r="C234" i="18"/>
  <c r="B234" i="18" s="1"/>
  <c r="C233" i="18"/>
  <c r="B233" i="18" s="1"/>
  <c r="C232" i="18"/>
  <c r="B232" i="18" s="1"/>
  <c r="C231" i="18"/>
  <c r="B231" i="18" s="1"/>
  <c r="C230" i="18"/>
  <c r="B230" i="18" s="1"/>
  <c r="C229" i="18"/>
  <c r="B229" i="18" s="1"/>
  <c r="C228" i="18"/>
  <c r="B228" i="18" s="1"/>
  <c r="C227" i="18"/>
  <c r="B227" i="18" s="1"/>
  <c r="C226" i="18"/>
  <c r="B226" i="18" s="1"/>
  <c r="C225" i="18"/>
  <c r="B225" i="18" s="1"/>
  <c r="C224" i="18"/>
  <c r="B224" i="18" s="1"/>
  <c r="C223" i="18"/>
  <c r="B223" i="18" s="1"/>
  <c r="C222" i="18"/>
  <c r="B222" i="18" s="1"/>
  <c r="C221" i="18"/>
  <c r="B221" i="18" s="1"/>
  <c r="C220" i="18"/>
  <c r="B220" i="18" s="1"/>
  <c r="C219" i="18"/>
  <c r="B219" i="18" s="1"/>
  <c r="C218" i="18"/>
  <c r="B218" i="18" s="1"/>
  <c r="C217" i="18"/>
  <c r="B217" i="18" s="1"/>
  <c r="C216" i="18"/>
  <c r="B216" i="18" s="1"/>
  <c r="C215" i="18"/>
  <c r="B215" i="18" s="1"/>
  <c r="C214" i="18"/>
  <c r="B214" i="18" s="1"/>
  <c r="C213" i="18"/>
  <c r="B213" i="18" s="1"/>
  <c r="C212" i="18"/>
  <c r="B212" i="18" s="1"/>
  <c r="C211" i="18"/>
  <c r="B211" i="18" s="1"/>
  <c r="C210" i="18"/>
  <c r="B210" i="18" s="1"/>
  <c r="C209" i="18"/>
  <c r="B209" i="18" s="1"/>
  <c r="C208" i="18"/>
  <c r="B208" i="18" s="1"/>
  <c r="C207" i="18"/>
  <c r="B207" i="18" s="1"/>
  <c r="C206" i="18"/>
  <c r="B206" i="18" s="1"/>
  <c r="C205" i="18"/>
  <c r="B205" i="18" s="1"/>
  <c r="C204" i="18"/>
  <c r="B204" i="18" s="1"/>
  <c r="C203" i="18"/>
  <c r="B203" i="18" s="1"/>
  <c r="C202" i="18"/>
  <c r="B202" i="18" s="1"/>
  <c r="C201" i="18"/>
  <c r="B201" i="18" s="1"/>
  <c r="C200" i="18"/>
  <c r="B200" i="18" s="1"/>
  <c r="C199" i="18"/>
  <c r="B199" i="18" s="1"/>
  <c r="C198" i="18"/>
  <c r="B198" i="18" s="1"/>
  <c r="C197" i="18"/>
  <c r="B197" i="18" s="1"/>
  <c r="C196" i="18"/>
  <c r="B196" i="18" s="1"/>
  <c r="C195" i="18"/>
  <c r="B195" i="18" s="1"/>
  <c r="C194" i="18"/>
  <c r="B194" i="18" s="1"/>
  <c r="C193" i="18"/>
  <c r="B193" i="18" s="1"/>
  <c r="C192" i="18"/>
  <c r="B192" i="18" s="1"/>
  <c r="C191" i="18"/>
  <c r="B191" i="18" s="1"/>
  <c r="C190" i="18"/>
  <c r="B190" i="18" s="1"/>
  <c r="C189" i="18"/>
  <c r="B189" i="18" s="1"/>
  <c r="C188" i="18"/>
  <c r="B188" i="18" s="1"/>
  <c r="C187" i="18"/>
  <c r="B187" i="18" s="1"/>
  <c r="C186" i="18"/>
  <c r="B186" i="18" s="1"/>
  <c r="C185" i="18"/>
  <c r="B185" i="18" s="1"/>
  <c r="C184" i="18"/>
  <c r="B184" i="18" s="1"/>
  <c r="C183" i="18"/>
  <c r="B183" i="18" s="1"/>
  <c r="C182" i="18"/>
  <c r="B182" i="18" s="1"/>
  <c r="C181" i="18"/>
  <c r="B181" i="18" s="1"/>
  <c r="C180" i="18"/>
  <c r="B180" i="18" s="1"/>
  <c r="C179" i="18"/>
  <c r="B179" i="18" s="1"/>
  <c r="C178" i="18"/>
  <c r="B178" i="18" s="1"/>
  <c r="C177" i="18"/>
  <c r="B177" i="18" s="1"/>
  <c r="C176" i="18"/>
  <c r="B176" i="18" s="1"/>
  <c r="C175" i="18"/>
  <c r="B175" i="18" s="1"/>
  <c r="C174" i="18"/>
  <c r="B174" i="18" s="1"/>
  <c r="C173" i="18"/>
  <c r="B173" i="18" s="1"/>
  <c r="C172" i="18"/>
  <c r="B172" i="18" s="1"/>
  <c r="C171" i="18"/>
  <c r="B171" i="18" s="1"/>
  <c r="C170" i="18"/>
  <c r="B170" i="18" s="1"/>
  <c r="C169" i="18"/>
  <c r="B169" i="18" s="1"/>
  <c r="C168" i="18"/>
  <c r="B168" i="18" s="1"/>
  <c r="C167" i="18"/>
  <c r="B167" i="18" s="1"/>
  <c r="C166" i="18"/>
  <c r="B166" i="18" s="1"/>
  <c r="C165" i="18"/>
  <c r="B165" i="18" s="1"/>
  <c r="C164" i="18"/>
  <c r="B164" i="18" s="1"/>
  <c r="C163" i="18"/>
  <c r="B163" i="18" s="1"/>
  <c r="C162" i="18"/>
  <c r="B162" i="18" s="1"/>
  <c r="C161" i="18"/>
  <c r="B161" i="18" s="1"/>
  <c r="C160" i="18"/>
  <c r="B160" i="18" s="1"/>
  <c r="C159" i="18"/>
  <c r="B159" i="18" s="1"/>
  <c r="C158" i="18"/>
  <c r="B158" i="18" s="1"/>
  <c r="C157" i="18"/>
  <c r="B157" i="18" s="1"/>
  <c r="C156" i="18"/>
  <c r="B156" i="18" s="1"/>
  <c r="C155" i="18"/>
  <c r="B155" i="18" s="1"/>
  <c r="C154" i="18"/>
  <c r="B154" i="18" s="1"/>
  <c r="C153" i="18"/>
  <c r="B153" i="18" s="1"/>
  <c r="C152" i="18"/>
  <c r="B152" i="18" s="1"/>
  <c r="C151" i="18"/>
  <c r="B151" i="18" s="1"/>
  <c r="C150" i="18"/>
  <c r="B150" i="18" s="1"/>
  <c r="C149" i="18"/>
  <c r="B149" i="18" s="1"/>
  <c r="C148" i="18"/>
  <c r="B148" i="18" s="1"/>
  <c r="C147" i="18"/>
  <c r="B147" i="18" s="1"/>
  <c r="C146" i="18"/>
  <c r="B146" i="18" s="1"/>
  <c r="C145" i="18"/>
  <c r="B145" i="18" s="1"/>
  <c r="C144" i="18"/>
  <c r="B144" i="18" s="1"/>
  <c r="C143" i="18"/>
  <c r="B143" i="18" s="1"/>
  <c r="C142" i="18"/>
  <c r="B142" i="18" s="1"/>
  <c r="C141" i="18"/>
  <c r="B141" i="18" s="1"/>
  <c r="C140" i="18"/>
  <c r="B140" i="18" s="1"/>
  <c r="C139" i="18"/>
  <c r="B139" i="18" s="1"/>
  <c r="C138" i="18"/>
  <c r="B138" i="18" s="1"/>
  <c r="C137" i="18"/>
  <c r="B137" i="18" s="1"/>
  <c r="C136" i="18"/>
  <c r="B136" i="18" s="1"/>
  <c r="C135" i="18"/>
  <c r="B135" i="18" s="1"/>
  <c r="C134" i="18"/>
  <c r="B134" i="18" s="1"/>
  <c r="C133" i="18"/>
  <c r="B133" i="18" s="1"/>
  <c r="C132" i="18"/>
  <c r="B132" i="18" s="1"/>
  <c r="C131" i="18"/>
  <c r="B131" i="18" s="1"/>
  <c r="C130" i="18"/>
  <c r="B130" i="18" s="1"/>
  <c r="C129" i="18"/>
  <c r="B129" i="18" s="1"/>
  <c r="C128" i="18"/>
  <c r="B128" i="18" s="1"/>
  <c r="C127" i="18"/>
  <c r="B127" i="18" s="1"/>
  <c r="C126" i="18"/>
  <c r="B126" i="18" s="1"/>
  <c r="C125" i="18"/>
  <c r="B125" i="18" s="1"/>
  <c r="C124" i="18"/>
  <c r="B124" i="18" s="1"/>
  <c r="C123" i="18"/>
  <c r="B123" i="18" s="1"/>
  <c r="C122" i="18"/>
  <c r="B122" i="18" s="1"/>
  <c r="C121" i="18"/>
  <c r="B121" i="18" s="1"/>
  <c r="C120" i="18"/>
  <c r="B120" i="18" s="1"/>
  <c r="C119" i="18"/>
  <c r="B119" i="18" s="1"/>
  <c r="C118" i="18"/>
  <c r="B118" i="18" s="1"/>
  <c r="C117" i="18"/>
  <c r="B117" i="18" s="1"/>
  <c r="C116" i="18"/>
  <c r="B116" i="18" s="1"/>
  <c r="C115" i="18"/>
  <c r="B115" i="18" s="1"/>
  <c r="C114" i="18"/>
  <c r="B114" i="18" s="1"/>
  <c r="C113" i="18"/>
  <c r="B113" i="18" s="1"/>
  <c r="C112" i="18"/>
  <c r="B112" i="18" s="1"/>
  <c r="C111" i="18"/>
  <c r="B111" i="18" s="1"/>
  <c r="C110" i="18"/>
  <c r="B110" i="18" s="1"/>
  <c r="C109" i="18"/>
  <c r="B109" i="18" s="1"/>
  <c r="C108" i="18"/>
  <c r="B108" i="18" s="1"/>
  <c r="C107" i="18"/>
  <c r="B107" i="18" s="1"/>
  <c r="C106" i="18"/>
  <c r="B106" i="18" s="1"/>
  <c r="C105" i="18"/>
  <c r="B105" i="18" s="1"/>
  <c r="C104" i="18"/>
  <c r="B104" i="18" s="1"/>
  <c r="C103" i="18"/>
  <c r="B103" i="18" s="1"/>
  <c r="C102" i="18"/>
  <c r="B102" i="18" s="1"/>
  <c r="C101" i="18"/>
  <c r="B101" i="18" s="1"/>
  <c r="C100" i="18"/>
  <c r="B100" i="18" s="1"/>
  <c r="C99" i="18"/>
  <c r="B99" i="18" s="1"/>
  <c r="C98" i="18"/>
  <c r="B98" i="18" s="1"/>
  <c r="C97" i="18"/>
  <c r="B97" i="18" s="1"/>
  <c r="C96" i="18"/>
  <c r="B96" i="18" s="1"/>
  <c r="C95" i="18"/>
  <c r="B95" i="18" s="1"/>
  <c r="C94" i="18"/>
  <c r="B94" i="18" s="1"/>
  <c r="C93" i="18"/>
  <c r="B93" i="18" s="1"/>
  <c r="C92" i="18"/>
  <c r="B92" i="18" s="1"/>
  <c r="C91" i="18"/>
  <c r="B91" i="18" s="1"/>
  <c r="C90" i="18"/>
  <c r="B90" i="18" s="1"/>
  <c r="C89" i="18"/>
  <c r="B89" i="18" s="1"/>
  <c r="C88" i="18"/>
  <c r="B88" i="18" s="1"/>
  <c r="C87" i="18"/>
  <c r="B87" i="18" s="1"/>
  <c r="C86" i="18"/>
  <c r="B86" i="18" s="1"/>
  <c r="C85" i="18"/>
  <c r="B85" i="18" s="1"/>
  <c r="C84" i="18"/>
  <c r="B84" i="18" s="1"/>
  <c r="C83" i="18"/>
  <c r="B83" i="18" s="1"/>
  <c r="C82" i="18"/>
  <c r="B82" i="18" s="1"/>
  <c r="C81" i="18"/>
  <c r="B81" i="18" s="1"/>
  <c r="C80" i="18"/>
  <c r="B80" i="18" s="1"/>
  <c r="C79" i="18"/>
  <c r="B79" i="18" s="1"/>
  <c r="C78" i="18"/>
  <c r="B78" i="18" s="1"/>
  <c r="C77" i="18"/>
  <c r="B77" i="18" s="1"/>
  <c r="C76" i="18"/>
  <c r="B76" i="18" s="1"/>
  <c r="C75" i="18"/>
  <c r="B75" i="18" s="1"/>
  <c r="C74" i="18"/>
  <c r="B74" i="18" s="1"/>
  <c r="C73" i="18"/>
  <c r="B73" i="18" s="1"/>
  <c r="C72" i="18"/>
  <c r="B72" i="18" s="1"/>
  <c r="C71" i="18"/>
  <c r="B71" i="18" s="1"/>
  <c r="C70" i="18"/>
  <c r="B70" i="18" s="1"/>
  <c r="C69" i="18"/>
  <c r="B69" i="18" s="1"/>
  <c r="C68" i="18"/>
  <c r="B68" i="18" s="1"/>
  <c r="C67" i="18"/>
  <c r="B67" i="18" s="1"/>
  <c r="C66" i="18"/>
  <c r="B66" i="18" s="1"/>
  <c r="C65" i="18"/>
  <c r="B65" i="18" s="1"/>
  <c r="C64" i="18"/>
  <c r="B64" i="18" s="1"/>
  <c r="C63" i="18"/>
  <c r="B63" i="18" s="1"/>
  <c r="C62" i="18"/>
  <c r="B62" i="18" s="1"/>
  <c r="C61" i="18"/>
  <c r="B61" i="18" s="1"/>
  <c r="C60" i="18"/>
  <c r="B60" i="18" s="1"/>
  <c r="C59" i="18"/>
  <c r="B59" i="18" s="1"/>
  <c r="C58" i="18"/>
  <c r="B58" i="18" s="1"/>
  <c r="C57" i="18"/>
  <c r="B57" i="18" s="1"/>
  <c r="C56" i="18"/>
  <c r="B56" i="18" s="1"/>
  <c r="C55" i="18"/>
  <c r="B55" i="18" s="1"/>
  <c r="C54" i="18"/>
  <c r="B54" i="18" s="1"/>
  <c r="C53" i="18"/>
  <c r="B53" i="18" s="1"/>
  <c r="C52" i="18"/>
  <c r="B52" i="18" s="1"/>
  <c r="C51" i="18"/>
  <c r="B51" i="18" s="1"/>
  <c r="C50" i="18"/>
  <c r="B50" i="18" s="1"/>
  <c r="C49" i="18"/>
  <c r="B49" i="18" s="1"/>
  <c r="C48" i="18"/>
  <c r="B48" i="18" s="1"/>
  <c r="C47" i="18"/>
  <c r="B47" i="18" s="1"/>
  <c r="C46" i="18"/>
  <c r="B46" i="18" s="1"/>
  <c r="C45" i="18"/>
  <c r="B45" i="18" s="1"/>
  <c r="C44" i="18"/>
  <c r="B44" i="18" s="1"/>
  <c r="C43" i="18"/>
  <c r="B43" i="18" s="1"/>
  <c r="C42" i="18"/>
  <c r="B42" i="18" s="1"/>
  <c r="C41" i="18"/>
  <c r="B41" i="18" s="1"/>
  <c r="C40" i="18"/>
  <c r="B40" i="18" s="1"/>
  <c r="C39" i="18"/>
  <c r="B39" i="18" s="1"/>
  <c r="C38" i="18"/>
  <c r="B38" i="18" s="1"/>
  <c r="C37" i="18"/>
  <c r="B37" i="18" s="1"/>
  <c r="C36" i="18"/>
  <c r="B36" i="18" s="1"/>
  <c r="C35" i="18"/>
  <c r="B35" i="18" s="1"/>
  <c r="C34" i="18"/>
  <c r="B34" i="18" s="1"/>
  <c r="C33" i="18"/>
  <c r="B33" i="18" s="1"/>
  <c r="C32" i="18"/>
  <c r="B32" i="18" s="1"/>
  <c r="C31" i="18"/>
  <c r="B31" i="18" s="1"/>
  <c r="C30" i="18"/>
  <c r="B30" i="18" s="1"/>
  <c r="C29" i="18"/>
  <c r="B29" i="18" s="1"/>
  <c r="C28" i="18"/>
  <c r="B28" i="18" s="1"/>
  <c r="C27" i="18"/>
  <c r="B27" i="18" s="1"/>
  <c r="C26" i="18"/>
  <c r="B26" i="18" s="1"/>
  <c r="C25" i="18"/>
  <c r="B25" i="18" s="1"/>
  <c r="C24" i="18"/>
  <c r="B24" i="18" s="1"/>
  <c r="C23" i="18"/>
  <c r="B23" i="18" s="1"/>
  <c r="C22" i="18"/>
  <c r="B22" i="18" s="1"/>
  <c r="C21" i="18"/>
  <c r="B21" i="18" s="1"/>
  <c r="C20" i="18"/>
  <c r="B20" i="18" s="1"/>
  <c r="C19" i="18"/>
  <c r="B19" i="18" s="1"/>
  <c r="C18" i="18"/>
  <c r="B18" i="18" s="1"/>
  <c r="C17" i="18"/>
  <c r="B17" i="18" s="1"/>
  <c r="C16" i="18"/>
  <c r="B16" i="18" s="1"/>
  <c r="C15" i="18"/>
  <c r="B15" i="18" s="1"/>
  <c r="C14" i="18"/>
  <c r="B14" i="18" s="1"/>
  <c r="C13" i="18"/>
  <c r="B13" i="18" s="1"/>
  <c r="C12" i="18"/>
  <c r="B12" i="18" s="1"/>
  <c r="C11" i="18"/>
  <c r="B11" i="18" s="1"/>
  <c r="C10" i="18"/>
  <c r="B10" i="18" s="1"/>
  <c r="C9" i="18"/>
  <c r="B9" i="18" s="1"/>
  <c r="C8" i="18"/>
  <c r="B8" i="18" s="1"/>
  <c r="C7" i="18"/>
  <c r="B7" i="18" s="1"/>
  <c r="C6" i="18"/>
  <c r="B6" i="18" s="1"/>
  <c r="AM3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Sarah Lay</author>
    <author>Snow Buchan</author>
  </authors>
  <commentList>
    <comment ref="B1" authorId="0" shapeId="0" xr:uid="{2B9FE5CE-94D3-413B-B8F6-691343E02340}">
      <text>
        <r>
          <rPr>
            <b/>
            <sz val="9"/>
            <color indexed="81"/>
            <rFont val="Tahoma"/>
            <family val="2"/>
          </rPr>
          <t>BILL FROM</t>
        </r>
        <r>
          <rPr>
            <sz val="9"/>
            <color indexed="81"/>
            <rFont val="Tahoma"/>
            <family val="2"/>
          </rPr>
          <t xml:space="preserve"> =</t>
        </r>
        <r>
          <rPr>
            <b/>
            <sz val="9"/>
            <color indexed="81"/>
            <rFont val="Tahoma"/>
            <family val="2"/>
          </rPr>
          <t xml:space="preserve"> IM entity/property code </t>
        </r>
        <r>
          <rPr>
            <sz val="9"/>
            <color indexed="81"/>
            <rFont val="Tahoma"/>
            <family val="2"/>
          </rPr>
          <t xml:space="preserve">starting with </t>
        </r>
        <r>
          <rPr>
            <b/>
            <sz val="9"/>
            <color indexed="81"/>
            <rFont val="Tahoma"/>
            <family val="2"/>
          </rPr>
          <t xml:space="preserve">"c" </t>
        </r>
        <r>
          <rPr>
            <sz val="9"/>
            <color indexed="81"/>
            <rFont val="Tahoma"/>
            <family val="2"/>
          </rPr>
          <t xml:space="preserve">or </t>
        </r>
        <r>
          <rPr>
            <b/>
            <sz val="9"/>
            <color indexed="81"/>
            <rFont val="Tahoma"/>
            <family val="2"/>
          </rPr>
          <t xml:space="preserve">"p"
</t>
        </r>
        <r>
          <rPr>
            <sz val="9"/>
            <color indexed="81"/>
            <rFont val="Tahoma"/>
            <family val="2"/>
          </rPr>
          <t>one property per invoice</t>
        </r>
      </text>
    </comment>
    <comment ref="D1" authorId="0" shapeId="0" xr:uid="{4FDD6032-395A-478C-A7E5-532DBD9BEB03}">
      <text>
        <r>
          <rPr>
            <b/>
            <sz val="9"/>
            <color indexed="81"/>
            <rFont val="Tahoma"/>
            <family val="2"/>
          </rPr>
          <t xml:space="preserve">Lookup to Prop List by LE
BILL TO </t>
        </r>
        <r>
          <rPr>
            <sz val="9"/>
            <color indexed="81"/>
            <rFont val="Tahoma"/>
            <family val="2"/>
          </rPr>
          <t>= owner/property code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>starting with</t>
        </r>
        <r>
          <rPr>
            <b/>
            <sz val="9"/>
            <color indexed="81"/>
            <rFont val="Tahoma"/>
            <family val="2"/>
          </rPr>
          <t xml:space="preserve"> "o"
Entity/Prop</t>
        </r>
        <r>
          <rPr>
            <sz val="9"/>
            <color indexed="81"/>
            <rFont val="Tahoma"/>
            <family val="2"/>
          </rPr>
          <t xml:space="preserve"> input on Intercompany column "U"</t>
        </r>
      </text>
    </comment>
    <comment ref="J1" authorId="0" shapeId="0" xr:uid="{6A025834-D566-45E7-AED5-D82A408EB5D2}">
      <text>
        <r>
          <rPr>
            <sz val="9"/>
            <color indexed="81"/>
            <rFont val="Tahoma"/>
            <family val="2"/>
          </rPr>
          <t>should always be 12212311</t>
        </r>
      </text>
    </comment>
    <comment ref="K1" authorId="0" shapeId="0" xr:uid="{45EEDAE7-1BE2-4BC6-B266-85E39DCD1DE5}">
      <text>
        <r>
          <rPr>
            <sz val="9"/>
            <color indexed="81"/>
            <rFont val="Tahoma"/>
            <family val="2"/>
          </rPr>
          <t xml:space="preserve">Line Description
</t>
        </r>
      </text>
    </comment>
    <comment ref="M1" authorId="0" shapeId="0" xr:uid="{ADA339A5-9D0B-4437-8472-2A96E382566B}">
      <text>
        <r>
          <rPr>
            <b/>
            <u/>
            <sz val="9"/>
            <color indexed="81"/>
            <rFont val="Tahoma"/>
            <family val="2"/>
          </rPr>
          <t xml:space="preserve">Max. of 24 characters </t>
        </r>
        <r>
          <rPr>
            <sz val="9"/>
            <color indexed="81"/>
            <rFont val="Tahoma"/>
            <family val="2"/>
          </rPr>
          <t>eg your initials + what this relates to
Only one Reference per each invoice</t>
        </r>
      </text>
    </comment>
    <comment ref="P1" authorId="1" shapeId="0" xr:uid="{C97204CF-AD4E-4178-8B3D-6E1D05B7249C}">
      <text>
        <r>
          <rPr>
            <sz val="9"/>
            <color indexed="81"/>
            <rFont val="Tahoma"/>
            <family val="2"/>
          </rPr>
          <t>You must populate with only one out of suggested</t>
        </r>
      </text>
    </comment>
    <comment ref="U1" authorId="0" shapeId="0" xr:uid="{2E70D933-B232-4033-8A2F-7F5599B55C50}">
      <text>
        <r>
          <rPr>
            <b/>
            <sz val="9"/>
            <color indexed="81"/>
            <rFont val="Tahoma"/>
            <family val="2"/>
          </rPr>
          <t>To Populate
BILL TO</t>
        </r>
        <r>
          <rPr>
            <sz val="9"/>
            <color indexed="81"/>
            <rFont val="Tahoma"/>
            <family val="2"/>
          </rPr>
          <t xml:space="preserve"> =</t>
        </r>
        <r>
          <rPr>
            <b/>
            <sz val="9"/>
            <color indexed="81"/>
            <rFont val="Tahoma"/>
            <family val="2"/>
          </rPr>
          <t xml:space="preserve"> IM entity/property code </t>
        </r>
        <r>
          <rPr>
            <sz val="9"/>
            <color indexed="81"/>
            <rFont val="Tahoma"/>
            <family val="2"/>
          </rPr>
          <t xml:space="preserve">starting with </t>
        </r>
        <r>
          <rPr>
            <b/>
            <sz val="9"/>
            <color indexed="81"/>
            <rFont val="Tahoma"/>
            <family val="2"/>
          </rPr>
          <t xml:space="preserve">"c" </t>
        </r>
        <r>
          <rPr>
            <sz val="9"/>
            <color indexed="81"/>
            <rFont val="Tahoma"/>
            <family val="2"/>
          </rPr>
          <t xml:space="preserve">or </t>
        </r>
        <r>
          <rPr>
            <b/>
            <sz val="9"/>
            <color indexed="81"/>
            <rFont val="Tahoma"/>
            <family val="2"/>
          </rPr>
          <t xml:space="preserve">"p"
</t>
        </r>
        <r>
          <rPr>
            <sz val="9"/>
            <color indexed="81"/>
            <rFont val="Tahoma"/>
            <family val="2"/>
          </rPr>
          <t>one property per invoice</t>
        </r>
      </text>
    </comment>
    <comment ref="Y1" authorId="1" shapeId="0" xr:uid="{401AB84F-3EDC-48A7-BD16-512596F929B9}">
      <text>
        <r>
          <rPr>
            <sz val="9"/>
            <color indexed="81"/>
            <rFont val="Tahoma"/>
            <family val="2"/>
          </rPr>
          <t>You must populate with only one out of suggested</t>
        </r>
      </text>
    </comment>
    <comment ref="AM1" authorId="1" shapeId="0" xr:uid="{3A0239D8-DF94-406A-83E5-8C10F58BBB6F}">
      <text>
        <r>
          <rPr>
            <b/>
            <sz val="9"/>
            <color indexed="81"/>
            <rFont val="Tahoma"/>
            <family val="2"/>
          </rPr>
          <t>Snow Buchan:</t>
        </r>
        <r>
          <rPr>
            <sz val="9"/>
            <color indexed="81"/>
            <rFont val="Tahoma"/>
            <family val="2"/>
          </rPr>
          <t xml:space="preserve">
check VAT sheet for options</t>
        </r>
      </text>
    </comment>
    <comment ref="AN1" authorId="1" shapeId="0" xr:uid="{0C7C623A-BA39-4288-8B63-7CCC8449154A}">
      <text>
        <r>
          <rPr>
            <b/>
            <sz val="9"/>
            <color indexed="81"/>
            <rFont val="Tahoma"/>
            <family val="2"/>
          </rPr>
          <t>Snow Buchan:</t>
        </r>
        <r>
          <rPr>
            <sz val="9"/>
            <color indexed="81"/>
            <rFont val="Tahoma"/>
            <family val="2"/>
          </rPr>
          <t xml:space="preserve">
check VAT sheet for options
There's formula in this column, please don't delete</t>
        </r>
      </text>
    </comment>
    <comment ref="AP1" authorId="0" shapeId="0" xr:uid="{6BA512C6-928C-406D-B709-F6ECD97B438B}">
      <text>
        <r>
          <rPr>
            <sz val="9"/>
            <color indexed="81"/>
            <rFont val="Tahoma"/>
            <family val="2"/>
          </rPr>
          <t xml:space="preserve">Select Cheque of IC offset ot EFT for Cash settled invoices 
</t>
        </r>
      </text>
    </comment>
    <comment ref="AQ1" authorId="1" shapeId="0" xr:uid="{15336DDC-377D-4ED3-A0BE-38114B836605}">
      <text>
        <r>
          <rPr>
            <b/>
            <sz val="11"/>
            <color indexed="81"/>
            <rFont val="Tahoma"/>
            <family val="2"/>
          </rPr>
          <t>GLAccount.Recoverability.Schedule</t>
        </r>
      </text>
    </comment>
    <comment ref="BE1" authorId="0" shapeId="0" xr:uid="{E47A84B2-AD02-4EEB-BFA8-2438C6FDDDA9}">
      <text>
        <r>
          <rPr>
            <b/>
            <sz val="9"/>
            <color indexed="81"/>
            <rFont val="Tahoma"/>
            <family val="2"/>
          </rPr>
          <t>Sarah Lay:</t>
        </r>
        <r>
          <rPr>
            <sz val="9"/>
            <color indexed="81"/>
            <rFont val="Tahoma"/>
            <family val="2"/>
          </rPr>
          <t xml:space="preserve">
should always be 'Intercompany sidplay type' for adhoc IC billings</t>
        </r>
      </text>
    </comment>
    <comment ref="A2" authorId="1" shapeId="0" xr:uid="{78C7FAC3-C0F3-4FDC-AA81-9BA4F99E7FDE}">
      <text>
        <r>
          <rPr>
            <sz val="11"/>
            <color indexed="81"/>
            <rFont val="Tahoma"/>
            <family val="2"/>
          </rPr>
          <t>All lines for one invoice need to have a same number here - Different number is a diff invoice</t>
        </r>
      </text>
    </comment>
    <comment ref="N2" authorId="0" shapeId="0" xr:uid="{D96D5BEC-A0A9-4B10-9E64-15DDFD1279E4}">
      <text>
        <r>
          <rPr>
            <b/>
            <sz val="9"/>
            <color indexed="81"/>
            <rFont val="Tahoma"/>
            <family val="2"/>
          </rPr>
          <t>set to 1 to create lines in 1 invoice and then will auto-populated an invoice no. when it is posted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Sarah Lay</author>
    <author>Emma Wu</author>
  </authors>
  <commentList>
    <comment ref="A1" authorId="0" shapeId="0" xr:uid="{73121C46-0E97-4F5E-8F6D-45578E5BF920}">
      <text>
        <r>
          <rPr>
            <b/>
            <sz val="9"/>
            <color indexed="81"/>
            <rFont val="Tahoma"/>
            <family val="2"/>
          </rPr>
          <t xml:space="preserve">Lookup to Prop List by LE
BILL TO </t>
        </r>
        <r>
          <rPr>
            <sz val="9"/>
            <color indexed="81"/>
            <rFont val="Tahoma"/>
            <family val="2"/>
          </rPr>
          <t>= owner/property code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>starting with</t>
        </r>
        <r>
          <rPr>
            <b/>
            <sz val="9"/>
            <color indexed="81"/>
            <rFont val="Tahoma"/>
            <family val="2"/>
          </rPr>
          <t xml:space="preserve"> "o"
Entity/Prop</t>
        </r>
        <r>
          <rPr>
            <sz val="9"/>
            <color indexed="81"/>
            <rFont val="Tahoma"/>
            <family val="2"/>
          </rPr>
          <t xml:space="preserve"> input on Intercompany column "U"</t>
        </r>
      </text>
    </comment>
    <comment ref="F1" authorId="0" shapeId="0" xr:uid="{273FAF27-70B3-4639-89B2-CA0F6439ABF0}">
      <text>
        <r>
          <rPr>
            <sz val="9"/>
            <color indexed="81"/>
            <rFont val="Tahoma"/>
            <family val="2"/>
          </rPr>
          <t xml:space="preserve">Line Description
</t>
        </r>
      </text>
    </comment>
    <comment ref="G1" authorId="0" shapeId="0" xr:uid="{DF8E122B-937C-41A2-AF33-4F5947315147}">
      <text>
        <r>
          <rPr>
            <b/>
            <u/>
            <sz val="9"/>
            <color indexed="81"/>
            <rFont val="Tahoma"/>
            <family val="2"/>
          </rPr>
          <t xml:space="preserve">Max. of 24 characters </t>
        </r>
        <r>
          <rPr>
            <sz val="9"/>
            <color indexed="81"/>
            <rFont val="Tahoma"/>
            <family val="2"/>
          </rPr>
          <t>eg your initials + what this relates to
Only one Reference per each invoice</t>
        </r>
      </text>
    </comment>
    <comment ref="M35" authorId="1" shapeId="0" xr:uid="{7E0CDEA8-CF79-4FCF-AB87-9364F5705501}">
      <text>
        <r>
          <rPr>
            <b/>
            <sz val="9"/>
            <color indexed="81"/>
            <rFont val="Tahoma"/>
            <charset val="1"/>
          </rPr>
          <t>Emma Wu:</t>
        </r>
        <r>
          <rPr>
            <sz val="9"/>
            <color indexed="81"/>
            <rFont val="Tahoma"/>
            <charset val="1"/>
          </rPr>
          <t xml:space="preserve">
change the row number to the last row in the membership tab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A0B681A-9B64-4B6A-92BF-3F60361B60E9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83EDD0BB-28DD-40F9-AF51-97AC14B18049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  <connection id="3" xr16:uid="{86FA93FF-013B-451F-8DDF-53CC811ECF61}" keepAlive="1" name="Query - Table1 (3)" description="Connection to the 'Table1 (3)' query in the workbook." type="5" refreshedVersion="8" background="1" saveData="1">
    <dbPr connection="Provider=Microsoft.Mashup.OleDb.1;Data Source=$Workbook$;Location=&quot;Table1 (3)&quot;;Extended Properties=&quot;&quot;" command="SELECT * FROM [Table1 (3)]"/>
  </connection>
  <connection id="4" xr16:uid="{EB79B301-EE61-43FF-B247-19C0754E1A2F}" keepAlive="1" name="Query - Table1 (4)" description="Connection to the 'Table1 (4)' query in the workbook." type="5" refreshedVersion="8" background="1" saveData="1">
    <dbPr connection="Provider=Microsoft.Mashup.OleDb.1;Data Source=$Workbook$;Location=&quot;Table1 (4)&quot;;Extended Properties=&quot;&quot;" command="SELECT * FROM [Table1 (4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<sst xmlns="http://schemas.openxmlformats.org/spreadsheetml/2006/main" count="40975" uniqueCount="11309">
  <si>
    <t xml:space="preserve">Please fill in the tab 'FinCharges' </t>
  </si>
  <si>
    <t>Please note:</t>
  </si>
  <si>
    <r>
      <rPr>
        <b/>
        <sz val="10"/>
        <rFont val="Arial"/>
        <family val="2"/>
      </rPr>
      <t xml:space="preserve">All Yellow headed columns on Fincharges </t>
    </r>
    <r>
      <rPr>
        <sz val="10"/>
        <rFont val="Arial"/>
        <family val="2"/>
      </rPr>
      <t>to be populated</t>
    </r>
  </si>
  <si>
    <r>
      <t xml:space="preserve">The </t>
    </r>
    <r>
      <rPr>
        <b/>
        <sz val="10"/>
        <rFont val="Arial"/>
        <family val="2"/>
      </rPr>
      <t>Request Reference</t>
    </r>
    <r>
      <rPr>
        <sz val="10"/>
        <rFont val="Arial"/>
        <family val="2"/>
      </rPr>
      <t xml:space="preserve"> is a name chosen for your records </t>
    </r>
    <r>
      <rPr>
        <b/>
        <sz val="10"/>
        <rFont val="Arial"/>
        <family val="2"/>
      </rPr>
      <t xml:space="preserve">with a maximum of 24 characters </t>
    </r>
    <r>
      <rPr>
        <sz val="10"/>
        <rFont val="Arial"/>
        <family val="2"/>
      </rPr>
      <t>(eg. your initials and a sequential number (SL 001), department, intial and sequential number (Tax SN 001), subject matter etc…)</t>
    </r>
  </si>
  <si>
    <r>
      <rPr>
        <b/>
        <sz val="10"/>
        <rFont val="Arial"/>
        <family val="2"/>
      </rPr>
      <t xml:space="preserve">Post Month &amp; GL account </t>
    </r>
    <r>
      <rPr>
        <sz val="10"/>
        <rFont val="Arial"/>
        <family val="2"/>
      </rPr>
      <t>need to be populated</t>
    </r>
  </si>
  <si>
    <r>
      <t xml:space="preserve">If </t>
    </r>
    <r>
      <rPr>
        <b/>
        <sz val="10"/>
        <rFont val="Arial"/>
        <family val="2"/>
      </rPr>
      <t>Recoverability and/or Budget options</t>
    </r>
    <r>
      <rPr>
        <sz val="10"/>
        <rFont val="Arial"/>
        <family val="2"/>
      </rPr>
      <t xml:space="preserve"> pop up, you need to pick one option only &amp; populate the cell</t>
    </r>
  </si>
  <si>
    <r>
      <rPr>
        <b/>
        <sz val="10"/>
        <rFont val="Arial"/>
        <family val="2"/>
      </rPr>
      <t>VAT Rate</t>
    </r>
    <r>
      <rPr>
        <sz val="10"/>
        <rFont val="Arial"/>
        <family val="2"/>
      </rPr>
      <t xml:space="preserve"> is to be selected from a drop down menu</t>
    </r>
  </si>
  <si>
    <r>
      <rPr>
        <b/>
        <sz val="10"/>
        <rFont val="Arial"/>
        <family val="2"/>
      </rPr>
      <t xml:space="preserve">Payment Method </t>
    </r>
    <r>
      <rPr>
        <sz val="10"/>
        <rFont val="Arial"/>
        <family val="2"/>
      </rPr>
      <t xml:space="preserve">must be selected froma drop dwon menu - </t>
    </r>
    <r>
      <rPr>
        <b/>
        <sz val="10"/>
        <rFont val="Arial"/>
        <family val="2"/>
      </rPr>
      <t>Cheque</t>
    </r>
    <r>
      <rPr>
        <sz val="10"/>
        <rFont val="Arial"/>
        <family val="2"/>
      </rPr>
      <t xml:space="preserve"> for IC Offset </t>
    </r>
    <r>
      <rPr>
        <b/>
        <sz val="10"/>
        <rFont val="Arial"/>
        <family val="2"/>
      </rPr>
      <t>or EFT</t>
    </r>
    <r>
      <rPr>
        <sz val="10"/>
        <rFont val="Arial"/>
        <family val="2"/>
      </rPr>
      <t xml:space="preserve"> for Cash settlement (Yardi default bank accounts associated with owners will be used)</t>
    </r>
  </si>
  <si>
    <r>
      <rPr>
        <b/>
        <sz val="10"/>
        <rFont val="Arial"/>
        <family val="2"/>
      </rPr>
      <t>Coding for Payables</t>
    </r>
    <r>
      <rPr>
        <sz val="10"/>
        <rFont val="Arial"/>
        <family val="2"/>
      </rPr>
      <t xml:space="preserve"> - input format should be </t>
    </r>
    <r>
      <rPr>
        <b/>
        <sz val="10"/>
        <rFont val="Arial"/>
        <family val="2"/>
      </rPr>
      <t>GLAccount.Recoverability.Schedule</t>
    </r>
    <r>
      <rPr>
        <sz val="10"/>
        <rFont val="Arial"/>
        <family val="2"/>
      </rPr>
      <t xml:space="preserve"> - if GL account only provided GEN wil be applied by Yardi automatically</t>
    </r>
  </si>
  <si>
    <t>Add backup and approvals worksheets</t>
  </si>
  <si>
    <t xml:space="preserve">If uploading FinCharges yourself make sure to delete content of all unused rows </t>
  </si>
  <si>
    <t>Link to useful information:</t>
  </si>
  <si>
    <t>Yardi - Useful Documents - All Documents</t>
  </si>
  <si>
    <t xml:space="preserve">Weekly update guide </t>
  </si>
  <si>
    <t xml:space="preserve">Step 1: Membership Invoices </t>
  </si>
  <si>
    <t xml:space="preserve">1.Clear current data from row 5 onwards </t>
  </si>
  <si>
    <t xml:space="preserve">2.Copy from row 5 onwards, make sure it's unmerged before you paste the data </t>
  </si>
  <si>
    <t xml:space="preserve">Step 2: Power Query table tab </t>
  </si>
  <si>
    <t>1.Right-click then click refresh</t>
  </si>
  <si>
    <t xml:space="preserve">2. delete all the total columns </t>
  </si>
  <si>
    <t xml:space="preserve">Step 3: Upload tab </t>
  </si>
  <si>
    <t xml:space="preserve">1.drag the formulas down </t>
  </si>
  <si>
    <t>Upload tab</t>
  </si>
  <si>
    <t xml:space="preserve">2.sense check to make sure all values come back as True </t>
  </si>
  <si>
    <t xml:space="preserve">&gt;&gt;&gt; </t>
  </si>
  <si>
    <t xml:space="preserve">Step 4: ETL </t>
  </si>
  <si>
    <t>1.Drag all the formulas down, if needed</t>
  </si>
  <si>
    <t>Membership tab</t>
  </si>
  <si>
    <t>Fincharges</t>
  </si>
  <si>
    <t xml:space="preserve">Property </t>
  </si>
  <si>
    <t>Charge to</t>
  </si>
  <si>
    <t>Charge Code</t>
  </si>
  <si>
    <t>Net Amt</t>
  </si>
  <si>
    <t>Date</t>
  </si>
  <si>
    <t>Post Month</t>
  </si>
  <si>
    <t xml:space="preserve">Account </t>
  </si>
  <si>
    <t xml:space="preserve">AR Account </t>
  </si>
  <si>
    <t>Line Notes</t>
  </si>
  <si>
    <t>Reference</t>
  </si>
  <si>
    <t>Recoverability</t>
  </si>
  <si>
    <t>Schedule</t>
  </si>
  <si>
    <t>Owner (Landlord)</t>
  </si>
  <si>
    <t>Business Segment</t>
  </si>
  <si>
    <t>Person</t>
  </si>
  <si>
    <t>Intercompany</t>
  </si>
  <si>
    <t>Budget</t>
  </si>
  <si>
    <t>Net Amount</t>
  </si>
  <si>
    <t>Currency</t>
  </si>
  <si>
    <t>Vat Amt</t>
  </si>
  <si>
    <t>From Date</t>
  </si>
  <si>
    <t>To Date</t>
  </si>
  <si>
    <t>Tran Type</t>
  </si>
  <si>
    <t>Tax Rate</t>
  </si>
  <si>
    <t>Payment Method</t>
  </si>
  <si>
    <t>Coding for Payables</t>
  </si>
  <si>
    <t>Job</t>
  </si>
  <si>
    <t>Category</t>
  </si>
  <si>
    <t>Costcode</t>
  </si>
  <si>
    <t>Contract</t>
  </si>
  <si>
    <t xml:space="preserve">Display Type </t>
  </si>
  <si>
    <t>TRANNUM</t>
  </si>
  <si>
    <t>PROPERTY</t>
  </si>
  <si>
    <t>REF_PROPERTY_ID</t>
  </si>
  <si>
    <t>PERSON</t>
  </si>
  <si>
    <t>OFFSET</t>
  </si>
  <si>
    <t>AMOUNT</t>
  </si>
  <si>
    <t>DATE</t>
  </si>
  <si>
    <t>POSTMONTH</t>
  </si>
  <si>
    <t>ACCOUNT</t>
  </si>
  <si>
    <t>ACCRUAL</t>
  </si>
  <si>
    <t>NOTES</t>
  </si>
  <si>
    <t>USERDEFINEDFIELD1</t>
  </si>
  <si>
    <t>REF</t>
  </si>
  <si>
    <t>DOCUMENTSEQUENCENUMBER</t>
  </si>
  <si>
    <t>UNIT</t>
  </si>
  <si>
    <t>SEGMENT1</t>
  </si>
  <si>
    <t>SEGMENT2</t>
  </si>
  <si>
    <t>SEGMENT3</t>
  </si>
  <si>
    <t>SEGMENT4</t>
  </si>
  <si>
    <t>SEGMENT5</t>
  </si>
  <si>
    <t>SEGMENT6</t>
  </si>
  <si>
    <t>SEGMENT7</t>
  </si>
  <si>
    <t>SEGMENT8</t>
  </si>
  <si>
    <t>SEGMENT9</t>
  </si>
  <si>
    <t>SEGMENT10</t>
  </si>
  <si>
    <t>SEGMENT11</t>
  </si>
  <si>
    <t>SEGMENT12</t>
  </si>
  <si>
    <t>TRANAMOUNT</t>
  </si>
  <si>
    <t>TRANCURRENCYID</t>
  </si>
  <si>
    <t>EXCHANGERATE</t>
  </si>
  <si>
    <t>EXCHANGERATEDATE</t>
  </si>
  <si>
    <t>EXCHANGERATE2</t>
  </si>
  <si>
    <t>EXCHANGERATEDATE2</t>
  </si>
  <si>
    <t>TAXAMOUNT1</t>
  </si>
  <si>
    <t>TAXAMOUNT2</t>
  </si>
  <si>
    <t>FROMDATE</t>
  </si>
  <si>
    <t>TODATE</t>
  </si>
  <si>
    <t>TAXPOINTDATE</t>
  </si>
  <si>
    <t>VATTRANTYPEID</t>
  </si>
  <si>
    <t>VATRATEID</t>
  </si>
  <si>
    <t>TRANDATE</t>
  </si>
  <si>
    <t>INTERNATIONALPAYMENTTYPE</t>
  </si>
  <si>
    <t>NOTES2</t>
  </si>
  <si>
    <t>FUNCTIONALCURRENCYAMOUNT</t>
  </si>
  <si>
    <t>JOB</t>
  </si>
  <si>
    <t>CATEGORY</t>
  </si>
  <si>
    <t>CostCode</t>
  </si>
  <si>
    <t>TRANFIELD1</t>
  </si>
  <si>
    <t>TRANFIELD2</t>
  </si>
  <si>
    <t>TRANFIELD3</t>
  </si>
  <si>
    <t>TRANFIELD4</t>
  </si>
  <si>
    <t>TRANFIELD5</t>
  </si>
  <si>
    <t>TRANFIELD6</t>
  </si>
  <si>
    <t>TRANFIELD7</t>
  </si>
  <si>
    <t>TRANFIELD8</t>
  </si>
  <si>
    <t>DISPLAYTYPE</t>
  </si>
  <si>
    <t>c0et</t>
  </si>
  <si>
    <t>misc</t>
  </si>
  <si>
    <t xml:space="preserve">12212311        </t>
  </si>
  <si>
    <t>GEN</t>
  </si>
  <si>
    <t>Lvl39</t>
  </si>
  <si>
    <t>gbp</t>
  </si>
  <si>
    <t>EFT</t>
  </si>
  <si>
    <t>STANDARD CHARGE DISPLAY TYPE</t>
  </si>
  <si>
    <t>Nominal Code</t>
  </si>
  <si>
    <t>ETL</t>
  </si>
  <si>
    <t>Total</t>
  </si>
  <si>
    <t xml:space="preserve">Membership </t>
  </si>
  <si>
    <t>L3917096</t>
  </si>
  <si>
    <t>Invoice #</t>
  </si>
  <si>
    <t>L3917104</t>
  </si>
  <si>
    <t>L3917111</t>
  </si>
  <si>
    <t>L3917336</t>
  </si>
  <si>
    <t>L3917283</t>
  </si>
  <si>
    <t>L3917544</t>
  </si>
  <si>
    <t>L3917618</t>
  </si>
  <si>
    <t>L3917619</t>
  </si>
  <si>
    <t>L3917786</t>
  </si>
  <si>
    <t>L3918046</t>
  </si>
  <si>
    <t>L3918086</t>
  </si>
  <si>
    <t>L3918256</t>
  </si>
  <si>
    <t>L3918273</t>
  </si>
  <si>
    <t>L3918274</t>
  </si>
  <si>
    <t>L3918360</t>
  </si>
  <si>
    <t>L3918458</t>
  </si>
  <si>
    <t>L3918457</t>
  </si>
  <si>
    <t>L3918476</t>
  </si>
  <si>
    <t>L3918543</t>
  </si>
  <si>
    <t>L3918502</t>
  </si>
  <si>
    <t>L3918503</t>
  </si>
  <si>
    <t>L3918607</t>
  </si>
  <si>
    <t>L3918505</t>
  </si>
  <si>
    <t>L3918706</t>
  </si>
  <si>
    <t>L3918707</t>
  </si>
  <si>
    <t>L3918708</t>
  </si>
  <si>
    <t>L3918727</t>
  </si>
  <si>
    <t>L3918736</t>
  </si>
  <si>
    <t>L3918737</t>
  </si>
  <si>
    <t>L3918670</t>
  </si>
  <si>
    <t>L3918671</t>
  </si>
  <si>
    <t>L3918786</t>
  </si>
  <si>
    <t>L3918813</t>
  </si>
  <si>
    <t>L3918820</t>
  </si>
  <si>
    <t>L3918930</t>
  </si>
  <si>
    <t>L3918968</t>
  </si>
  <si>
    <t>L3918969</t>
  </si>
  <si>
    <t>L3919009</t>
  </si>
  <si>
    <t>L3919110</t>
  </si>
  <si>
    <t>L3919145</t>
  </si>
  <si>
    <t>L3919175</t>
  </si>
  <si>
    <t>L3919064</t>
  </si>
  <si>
    <t>L3919345</t>
  </si>
  <si>
    <t>L3919399</t>
  </si>
  <si>
    <t>L3919400</t>
  </si>
  <si>
    <t>L3919436</t>
  </si>
  <si>
    <t>L3919664</t>
  </si>
  <si>
    <t>L3919789</t>
  </si>
  <si>
    <t>L3919844</t>
  </si>
  <si>
    <t>L3919920</t>
  </si>
  <si>
    <t>L3920013</t>
  </si>
  <si>
    <t>L3920201</t>
  </si>
  <si>
    <t>L3920305</t>
  </si>
  <si>
    <t>L3920309</t>
  </si>
  <si>
    <t>L3920310</t>
  </si>
  <si>
    <t>L3920366</t>
  </si>
  <si>
    <t>L3920425</t>
  </si>
  <si>
    <t>L3920426</t>
  </si>
  <si>
    <t>L3920468</t>
  </si>
  <si>
    <t>L3920457</t>
  </si>
  <si>
    <t>L3920496</t>
  </si>
  <si>
    <t>L3920497</t>
  </si>
  <si>
    <t>L3920498</t>
  </si>
  <si>
    <t>L3920582</t>
  </si>
  <si>
    <t>L3920677</t>
  </si>
  <si>
    <t>L3920678</t>
  </si>
  <si>
    <t>L3920699</t>
  </si>
  <si>
    <t>L3920705</t>
  </si>
  <si>
    <t>L3920738</t>
  </si>
  <si>
    <t>L3920739</t>
  </si>
  <si>
    <t>L3920870</t>
  </si>
  <si>
    <t>L3920951</t>
  </si>
  <si>
    <t>L3920922</t>
  </si>
  <si>
    <t>L3921206</t>
  </si>
  <si>
    <t>L3921208</t>
  </si>
  <si>
    <t>L3921287</t>
  </si>
  <si>
    <t>L3921526</t>
  </si>
  <si>
    <t>L3921462</t>
  </si>
  <si>
    <t>L3921472</t>
  </si>
  <si>
    <t>L3921637</t>
  </si>
  <si>
    <t>L3921718</t>
  </si>
  <si>
    <t>L3921780</t>
  </si>
  <si>
    <t>L3921779</t>
  </si>
  <si>
    <t>L3922018</t>
  </si>
  <si>
    <t>L3922181</t>
  </si>
  <si>
    <t>L3922196</t>
  </si>
  <si>
    <t>L3922345</t>
  </si>
  <si>
    <t>L3922365</t>
  </si>
  <si>
    <t>L3922541</t>
  </si>
  <si>
    <t>L3922581</t>
  </si>
  <si>
    <t>L3922583</t>
  </si>
  <si>
    <t>L3922582</t>
  </si>
  <si>
    <t>L3922603</t>
  </si>
  <si>
    <t>L3922590</t>
  </si>
  <si>
    <t>L3922593</t>
  </si>
  <si>
    <t>L3922679</t>
  </si>
  <si>
    <t>L3922755</t>
  </si>
  <si>
    <t>L3922864</t>
  </si>
  <si>
    <t>L3922906</t>
  </si>
  <si>
    <t>L3922917</t>
  </si>
  <si>
    <t>L3922923</t>
  </si>
  <si>
    <t>L3922948</t>
  </si>
  <si>
    <t>L3922950</t>
  </si>
  <si>
    <t>L3923010</t>
  </si>
  <si>
    <t>L3923101</t>
  </si>
  <si>
    <t>L3923199</t>
  </si>
  <si>
    <t>L3923232</t>
  </si>
  <si>
    <t>L3923251</t>
  </si>
  <si>
    <t>L3923270</t>
  </si>
  <si>
    <t>L3923354</t>
  </si>
  <si>
    <t>L3923417</t>
  </si>
  <si>
    <t>L3923428</t>
  </si>
  <si>
    <t>L3923432</t>
  </si>
  <si>
    <t>L3923480</t>
  </si>
  <si>
    <t>L3923556</t>
  </si>
  <si>
    <t>L3923587</t>
  </si>
  <si>
    <t>L3923599</t>
  </si>
  <si>
    <t>L3923602</t>
  </si>
  <si>
    <t>L3923654</t>
  </si>
  <si>
    <t>L3923663</t>
  </si>
  <si>
    <t>L3923683</t>
  </si>
  <si>
    <t>L3923674</t>
  </si>
  <si>
    <t>L3923777</t>
  </si>
  <si>
    <t>L3923822</t>
  </si>
  <si>
    <t>L3923821</t>
  </si>
  <si>
    <t>L3923770</t>
  </si>
  <si>
    <t>L3923880</t>
  </si>
  <si>
    <t>L3923929</t>
  </si>
  <si>
    <t>L3923945</t>
  </si>
  <si>
    <t>L3923962</t>
  </si>
  <si>
    <t>L3923963</t>
  </si>
  <si>
    <t>L3923974</t>
  </si>
  <si>
    <t>L3923987</t>
  </si>
  <si>
    <t>L3923993</t>
  </si>
  <si>
    <t>L3924038</t>
  </si>
  <si>
    <t>L3924039</t>
  </si>
  <si>
    <t>L3924045</t>
  </si>
  <si>
    <t>L3924073</t>
  </si>
  <si>
    <t>L3924077</t>
  </si>
  <si>
    <t>L3924056</t>
  </si>
  <si>
    <t>L3924125</t>
  </si>
  <si>
    <t>L3924140</t>
  </si>
  <si>
    <t>L3924168</t>
  </si>
  <si>
    <t>L3924167</t>
  </si>
  <si>
    <t>L3924191</t>
  </si>
  <si>
    <t>L3924189</t>
  </si>
  <si>
    <t>L3924194</t>
  </si>
  <si>
    <t>L3924197</t>
  </si>
  <si>
    <t>L3924208</t>
  </si>
  <si>
    <t>L3924209</t>
  </si>
  <si>
    <t>L3924215</t>
  </si>
  <si>
    <t>L3924223</t>
  </si>
  <si>
    <t>L3924236</t>
  </si>
  <si>
    <t>L3924180</t>
  </si>
  <si>
    <t>L3924243</t>
  </si>
  <si>
    <t>L3924248</t>
  </si>
  <si>
    <t>L3924269</t>
  </si>
  <si>
    <t>L3924268</t>
  </si>
  <si>
    <t>L3924276</t>
  </si>
  <si>
    <t>L3924280</t>
  </si>
  <si>
    <t>L3924281</t>
  </si>
  <si>
    <t>L3924266</t>
  </si>
  <si>
    <t>L3924291</t>
  </si>
  <si>
    <t>L3924292</t>
  </si>
  <si>
    <t>L3924296</t>
  </si>
  <si>
    <t>L3924297</t>
  </si>
  <si>
    <t>L3924298</t>
  </si>
  <si>
    <t>L3924303</t>
  </si>
  <si>
    <t>L3924306</t>
  </si>
  <si>
    <t>L39N00306</t>
  </si>
  <si>
    <t>L2404162</t>
  </si>
  <si>
    <t>L2404214</t>
  </si>
  <si>
    <t>L2404208</t>
  </si>
  <si>
    <t>L2404270</t>
  </si>
  <si>
    <t>L2404254</t>
  </si>
  <si>
    <t>L2404425</t>
  </si>
  <si>
    <t>L2404424</t>
  </si>
  <si>
    <t>L2404489</t>
  </si>
  <si>
    <t>L2404494</t>
  </si>
  <si>
    <t>Name</t>
  </si>
  <si>
    <t>Email</t>
  </si>
  <si>
    <t>Invoice From</t>
  </si>
  <si>
    <t xml:space="preserve">Invoice To </t>
  </si>
  <si>
    <t>Raised on</t>
  </si>
  <si>
    <t>Due on</t>
  </si>
  <si>
    <t>Paid On</t>
  </si>
  <si>
    <t>Total Tax</t>
  </si>
  <si>
    <t>Column2</t>
  </si>
  <si>
    <t>Column3</t>
  </si>
  <si>
    <t>Column1</t>
  </si>
  <si>
    <t>Paid</t>
  </si>
  <si>
    <t>Attribute</t>
  </si>
  <si>
    <t>Value</t>
  </si>
  <si>
    <t>L3924638</t>
  </si>
  <si>
    <t>JEB ENGINEERING SERVICES LLP</t>
  </si>
  <si>
    <t>nb729@jbs.cam.ac.uk</t>
  </si>
  <si>
    <t>4211-3011 - L39 Hot Desk Membership (2024)</t>
  </si>
  <si>
    <t>Mapping</t>
  </si>
  <si>
    <t>4211-3011</t>
  </si>
  <si>
    <t>c0000035</t>
  </si>
  <si>
    <t>Lvl 39</t>
  </si>
  <si>
    <t>4211-4011</t>
  </si>
  <si>
    <t>4211-2011</t>
  </si>
  <si>
    <t>5275-9500</t>
  </si>
  <si>
    <t>4211-9031</t>
  </si>
  <si>
    <t>2521-1112</t>
  </si>
  <si>
    <t>4211-1011</t>
  </si>
  <si>
    <t>c0000008</t>
  </si>
  <si>
    <t>Lvl 24</t>
  </si>
  <si>
    <t>2723-0621</t>
  </si>
  <si>
    <t>4211201 -</t>
  </si>
  <si>
    <t>4211404 -</t>
  </si>
  <si>
    <t>4211118 -</t>
  </si>
  <si>
    <t>4211708 -</t>
  </si>
  <si>
    <t>4211705 -</t>
  </si>
  <si>
    <t>4211501 -</t>
  </si>
  <si>
    <t>4211302 -</t>
  </si>
  <si>
    <t>4211509 -</t>
  </si>
  <si>
    <t>4211415 -</t>
  </si>
  <si>
    <t>4212251 -</t>
  </si>
  <si>
    <t>4211703 -</t>
  </si>
  <si>
    <t>4211326 -</t>
  </si>
  <si>
    <t>4211-5011</t>
  </si>
  <si>
    <t>4211-7061</t>
  </si>
  <si>
    <t>2521830 -</t>
  </si>
  <si>
    <t>4211303 -</t>
  </si>
  <si>
    <t>2521830/L</t>
  </si>
  <si>
    <t>4211409 -</t>
  </si>
  <si>
    <t>4211202 -</t>
  </si>
  <si>
    <t>4211801 -</t>
  </si>
  <si>
    <t>KEY</t>
  </si>
  <si>
    <t>Code</t>
  </si>
  <si>
    <t>DEP</t>
  </si>
  <si>
    <t>RENT</t>
  </si>
  <si>
    <t>CON</t>
  </si>
  <si>
    <t>DIR</t>
  </si>
  <si>
    <t>EW</t>
  </si>
  <si>
    <t>TS</t>
  </si>
  <si>
    <t>AE</t>
  </si>
  <si>
    <t>PART</t>
  </si>
  <si>
    <t>INS</t>
  </si>
  <si>
    <t>RES</t>
  </si>
  <si>
    <t>SF</t>
  </si>
  <si>
    <t>SC</t>
  </si>
  <si>
    <t>RP</t>
  </si>
  <si>
    <t>UN</t>
  </si>
  <si>
    <t>EST</t>
  </si>
  <si>
    <t>DEPTDS</t>
  </si>
  <si>
    <t>Property Recoverability Aid as at 8 March 2025</t>
  </si>
  <si>
    <t>Description</t>
  </si>
  <si>
    <t>Deposits</t>
  </si>
  <si>
    <t>Rent</t>
  </si>
  <si>
    <t>General</t>
  </si>
  <si>
    <t>Construction</t>
  </si>
  <si>
    <t>Direct Tenant Charges</t>
  </si>
  <si>
    <t>East Wintergarden</t>
  </si>
  <si>
    <t>Tenant Services</t>
  </si>
  <si>
    <t>Arts &amp; Events</t>
  </si>
  <si>
    <t>Public Art</t>
  </si>
  <si>
    <t>Insurance</t>
  </si>
  <si>
    <t>Reserve Fund</t>
  </si>
  <si>
    <t>Sinking Fund</t>
  </si>
  <si>
    <t>Service Charge</t>
  </si>
  <si>
    <t>Retail Promotions</t>
  </si>
  <si>
    <t>Unallocated Cash</t>
  </si>
  <si>
    <t>Estate</t>
  </si>
  <si>
    <t>Custodial Deposits</t>
  </si>
  <si>
    <t>Note: This report shows the recoverabilities set up for each property/entity.</t>
  </si>
  <si>
    <t>Property</t>
  </si>
  <si>
    <t>Prop Description</t>
  </si>
  <si>
    <t>Recovery</t>
  </si>
  <si>
    <t>c001</t>
  </si>
  <si>
    <t>Canary Wharf Limited</t>
  </si>
  <si>
    <t>GEN^UN^CON</t>
  </si>
  <si>
    <t>c002</t>
  </si>
  <si>
    <t>Canary Wharf Contractors Limited</t>
  </si>
  <si>
    <t>CON^GEN</t>
  </si>
  <si>
    <t>c003</t>
  </si>
  <si>
    <t>Heron Quays Properties Limited</t>
  </si>
  <si>
    <t>GEN^UN^EW</t>
  </si>
  <si>
    <t>c004</t>
  </si>
  <si>
    <t>Canary Wharf Investments Limited</t>
  </si>
  <si>
    <t>GEN^UN^RENT</t>
  </si>
  <si>
    <t>c005</t>
  </si>
  <si>
    <t>Cabot Place Limited</t>
  </si>
  <si>
    <t>c006</t>
  </si>
  <si>
    <t>Canary Wharf Management Limited</t>
  </si>
  <si>
    <t>GEN^UN^SC^TS^RP</t>
  </si>
  <si>
    <t>c007</t>
  </si>
  <si>
    <t>South Quay Properties Limited</t>
  </si>
  <si>
    <t>GEN^UN</t>
  </si>
  <si>
    <t>c008</t>
  </si>
  <si>
    <t>DORMANT - Seven Westferry Circus Limited</t>
  </si>
  <si>
    <t>c014</t>
  </si>
  <si>
    <t>Canary Wharf Investments (Two) Limited</t>
  </si>
  <si>
    <t>c015</t>
  </si>
  <si>
    <t>Canary Wharf Investments (Three)</t>
  </si>
  <si>
    <t>c016</t>
  </si>
  <si>
    <t>DORMANT - First Tower T1 Limited</t>
  </si>
  <si>
    <t>c017</t>
  </si>
  <si>
    <t>DORMANT - First Tower T2 Limited</t>
  </si>
  <si>
    <t>c018</t>
  </si>
  <si>
    <t>CLOSED - First Tower GP(1) Limited</t>
  </si>
  <si>
    <t>c019</t>
  </si>
  <si>
    <t>CLOSED - First Tower GP(2) Limited</t>
  </si>
  <si>
    <t>c01a</t>
  </si>
  <si>
    <t>INACTIVE - SBPL1 Sarl Propman Co</t>
  </si>
  <si>
    <t>c01b</t>
  </si>
  <si>
    <t>INACTIVE-Braeburn Estates (B4A) Limited Partnership Propman</t>
  </si>
  <si>
    <t>c01c</t>
  </si>
  <si>
    <t>INACTIVE-Braeburn Estates (B4B) Limited Partnership Propman</t>
  </si>
  <si>
    <t>UN^GEN</t>
  </si>
  <si>
    <t>c01d</t>
  </si>
  <si>
    <t>INACTIVE-Braeburn Estates (B5) Limited Partnership Propman Co</t>
  </si>
  <si>
    <t>c01e</t>
  </si>
  <si>
    <t>INACTIVE-Braeburn Estates (B6/7) Limited Partnership Propman</t>
  </si>
  <si>
    <t>c01f</t>
  </si>
  <si>
    <t>INACTIVE-Braeburn Estates Management Company Limited Propman</t>
  </si>
  <si>
    <t>c01g</t>
  </si>
  <si>
    <t>INACTIVE-Braeburn Estates Retail Limited Propman Co</t>
  </si>
  <si>
    <t>c01h</t>
  </si>
  <si>
    <t>INACTIVE - SBPL2 Sarl Propman Co</t>
  </si>
  <si>
    <t>c01k</t>
  </si>
  <si>
    <t>INACTIVE-Vertus 10 George Street Limited Propman Co</t>
  </si>
  <si>
    <t>c01l</t>
  </si>
  <si>
    <t>INACTIVE-Vertus 8 Water Street Limited Propman Co</t>
  </si>
  <si>
    <t>c01m</t>
  </si>
  <si>
    <t>INACTIVE-Vertus Newfoundland Place Limited Propman Co</t>
  </si>
  <si>
    <t>c01n</t>
  </si>
  <si>
    <t>INACTIVE - Wood Wharf Estate Management Limited Propman Co</t>
  </si>
  <si>
    <t>c01p</t>
  </si>
  <si>
    <t>INACTIVE-Canary Wharf Residential Management Ltd Propman</t>
  </si>
  <si>
    <t>c01r</t>
  </si>
  <si>
    <t>INACTIVE - CW One Park Drive Limited Propman Co</t>
  </si>
  <si>
    <t>c01s</t>
  </si>
  <si>
    <t>INACTIVE - CW 10 Park Drive Limited Propman Co</t>
  </si>
  <si>
    <t>c032</t>
  </si>
  <si>
    <t>CLOSED - First Tower Limited Partnership</t>
  </si>
  <si>
    <t>c034</t>
  </si>
  <si>
    <t>Canary Wharf Investments (Four) Limited</t>
  </si>
  <si>
    <t>c038</t>
  </si>
  <si>
    <t>CWE SPV SUPER HCo Limited</t>
  </si>
  <si>
    <t>c039</t>
  </si>
  <si>
    <t>CWE SPV HCo Limited</t>
  </si>
  <si>
    <t>c042</t>
  </si>
  <si>
    <t>CWE SPVc Limited</t>
  </si>
  <si>
    <t>GEN^UN^RENT^INS</t>
  </si>
  <si>
    <t>c045</t>
  </si>
  <si>
    <t>CWE SPVf Limited</t>
  </si>
  <si>
    <t>c046</t>
  </si>
  <si>
    <t>CWE SPVg Limited</t>
  </si>
  <si>
    <t>c048</t>
  </si>
  <si>
    <t>DORMANT - CWC SPV HCo Limited</t>
  </si>
  <si>
    <t>c050</t>
  </si>
  <si>
    <t>CWC SPVa Limited</t>
  </si>
  <si>
    <t>c056</t>
  </si>
  <si>
    <t>DORMANT - CWC SPVc Limited</t>
  </si>
  <si>
    <t>c057</t>
  </si>
  <si>
    <t>CWC SPVd Limited</t>
  </si>
  <si>
    <t>c058</t>
  </si>
  <si>
    <t>CWC SPVe Limited</t>
  </si>
  <si>
    <t>c059</t>
  </si>
  <si>
    <t>Cabot Place Holdings Limited</t>
  </si>
  <si>
    <t>c060</t>
  </si>
  <si>
    <t>CWCB Investments (Car Parks) Limited</t>
  </si>
  <si>
    <t>c063</t>
  </si>
  <si>
    <t>DORMANT - Canary Wharf Holdings (B4) Limited</t>
  </si>
  <si>
    <t>c064</t>
  </si>
  <si>
    <t>DORMANT - Canary Wharf (B4) Limited</t>
  </si>
  <si>
    <t>c065</t>
  </si>
  <si>
    <t>Canary Wharf Contractors (B4) Limited</t>
  </si>
  <si>
    <t>c066</t>
  </si>
  <si>
    <t>Canada Place Limited</t>
  </si>
  <si>
    <t>c068</t>
  </si>
  <si>
    <t>DORMANT - Canary.co.uk Limited</t>
  </si>
  <si>
    <t>c069</t>
  </si>
  <si>
    <t>CWCB Leasing (DS6) Limited</t>
  </si>
  <si>
    <t>c075</t>
  </si>
  <si>
    <t>CLOSED - Canary Wharf Contractors (B5) Limited</t>
  </si>
  <si>
    <t>c076</t>
  </si>
  <si>
    <t>DORMANT - Canary Wharf Holdings (B5) Limited</t>
  </si>
  <si>
    <t>c077</t>
  </si>
  <si>
    <t>DORMANT - Canary Wharf (B5) Limited</t>
  </si>
  <si>
    <t>c078</t>
  </si>
  <si>
    <t>DORMANT - Canary Wharf (B5) T1 Limited</t>
  </si>
  <si>
    <t>c079</t>
  </si>
  <si>
    <t>DORMANT - Canary Wharf (B5) T2 Limited</t>
  </si>
  <si>
    <t>c080</t>
  </si>
  <si>
    <t>Canary Wharf Contractors (DS6) Limited</t>
  </si>
  <si>
    <t>c082</t>
  </si>
  <si>
    <t>DORMANT - Canary Wharf (DS6) T2 Limited</t>
  </si>
  <si>
    <t>c083</t>
  </si>
  <si>
    <t>DORMANT - Canary Wharf (DS6) T1 Limited</t>
  </si>
  <si>
    <t>c084</t>
  </si>
  <si>
    <t>DORMANT - Canary Wharf (DS6) Limited</t>
  </si>
  <si>
    <t>c085</t>
  </si>
  <si>
    <t>DORMANT - Canary Wharf Holdings (DS6) Limited</t>
  </si>
  <si>
    <t>c086</t>
  </si>
  <si>
    <t>CWCB Properties (DS6) Limited</t>
  </si>
  <si>
    <t>c087</t>
  </si>
  <si>
    <t>DORMANT - CWCB Investments (DS6) Limited</t>
  </si>
  <si>
    <t>c088</t>
  </si>
  <si>
    <t>Canary Wharf Holdings Limited</t>
  </si>
  <si>
    <t>c090</t>
  </si>
  <si>
    <t>Canary Wharf Estate Limited</t>
  </si>
  <si>
    <t>c091</t>
  </si>
  <si>
    <t>Canary Wharf Group plc</t>
  </si>
  <si>
    <t>c0a2</t>
  </si>
  <si>
    <t>CLOSED - Canary Wharf Finance Limited</t>
  </si>
  <si>
    <t>c0a4</t>
  </si>
  <si>
    <t>CW Properties DS7B Limited</t>
  </si>
  <si>
    <t>c0a5</t>
  </si>
  <si>
    <t>CW Leasing DS7B Limited</t>
  </si>
  <si>
    <t>c0a7</t>
  </si>
  <si>
    <t>CW Properties DS7F Limited</t>
  </si>
  <si>
    <t>c0a8</t>
  </si>
  <si>
    <t>CW Leasing DS7F Limited</t>
  </si>
  <si>
    <t>c0ac</t>
  </si>
  <si>
    <t>CLOSED - One Canada Square (Retail) Unit Trust</t>
  </si>
  <si>
    <t>c0af</t>
  </si>
  <si>
    <t>CLOSED - Canada Place (Retail) Unit Trust</t>
  </si>
  <si>
    <t>c0ai</t>
  </si>
  <si>
    <t>CLOSED - Cabot Place (Retail) Unit Trust</t>
  </si>
  <si>
    <t>c0al</t>
  </si>
  <si>
    <t>CLOSED - Canada Place Mall (Retail) Unit Trust</t>
  </si>
  <si>
    <t>c0ao</t>
  </si>
  <si>
    <t>CLOSED - Jubilee Place (Retail) Unit Trust</t>
  </si>
  <si>
    <t>c0ar</t>
  </si>
  <si>
    <t>10 Cabot Square I Unit Trust</t>
  </si>
  <si>
    <t>c0au</t>
  </si>
  <si>
    <t>10 Cabot Square II Unit Trust</t>
  </si>
  <si>
    <t>c0ax</t>
  </si>
  <si>
    <t>20 Cabot Square I Unit Trust</t>
  </si>
  <si>
    <t>c0b7</t>
  </si>
  <si>
    <t>DORMANT - CWCB Holdings Limited</t>
  </si>
  <si>
    <t>c0b8</t>
  </si>
  <si>
    <t>CWCB Investments (RT2) Limited</t>
  </si>
  <si>
    <t>c0ba</t>
  </si>
  <si>
    <t>20 Cabot Square II Unit Trust</t>
  </si>
  <si>
    <t>c0bd</t>
  </si>
  <si>
    <t>CLOSED - Canary Wharf Finance III Limited</t>
  </si>
  <si>
    <t>c0bf</t>
  </si>
  <si>
    <t>10 Cabot Square I Unit Trust LP Limited</t>
  </si>
  <si>
    <t>c0bg</t>
  </si>
  <si>
    <t>10 Cabot Square I Unit Trust GP Limited</t>
  </si>
  <si>
    <t>c0bh</t>
  </si>
  <si>
    <t>10 Cabot Square I Unit Trust SLP</t>
  </si>
  <si>
    <t>c0bj</t>
  </si>
  <si>
    <t>10 Cabot Square II Unit Trust LP Limited</t>
  </si>
  <si>
    <t>c0bk</t>
  </si>
  <si>
    <t>10 Cabot Square II Unit Trust GP Limited</t>
  </si>
  <si>
    <t>c0bl</t>
  </si>
  <si>
    <t>10 Cabot Square II Unit Trust SLP</t>
  </si>
  <si>
    <t>c0bm</t>
  </si>
  <si>
    <t>20 Cabot Square I Unit Trust LP Limited</t>
  </si>
  <si>
    <t>c0bn</t>
  </si>
  <si>
    <t>20 Cabot Square I Unit Trust GP Limited</t>
  </si>
  <si>
    <t>c0bp</t>
  </si>
  <si>
    <t>20 Cabot Square I Unit Trust SLP</t>
  </si>
  <si>
    <t>c0bq</t>
  </si>
  <si>
    <t>20 Cabot Square II Unit Trust LP Limited</t>
  </si>
  <si>
    <t>c0br</t>
  </si>
  <si>
    <t>20 Cabot Square II Unit Trust GP Limited</t>
  </si>
  <si>
    <t>c0bs</t>
  </si>
  <si>
    <t>20 Cabot Square II Unit Trust SLP</t>
  </si>
  <si>
    <t>c0bt</t>
  </si>
  <si>
    <t>Cabot Place (Retail) Unit Trust LP Limited</t>
  </si>
  <si>
    <t>c0bu</t>
  </si>
  <si>
    <t>Cabot Place (Retail) Unit Trust GP Limited</t>
  </si>
  <si>
    <t>c0bv</t>
  </si>
  <si>
    <t>Cabot Place (Retail) Unit Trust SLP</t>
  </si>
  <si>
    <t>c0bw</t>
  </si>
  <si>
    <t>Canada Place (Retail) Unit Trust LP Limited</t>
  </si>
  <si>
    <t>c0bx</t>
  </si>
  <si>
    <t>Canada Place (Retail) Unit Trust GP Limited</t>
  </si>
  <si>
    <t>c0by</t>
  </si>
  <si>
    <t>Canada Place (Retail) Unit Trust SLP</t>
  </si>
  <si>
    <t>c0bz</t>
  </si>
  <si>
    <t>Canada Place Mall (Retail) Unit Trust LP Limited</t>
  </si>
  <si>
    <t>c0c1</t>
  </si>
  <si>
    <t>CWCB Investments (B1) Limited</t>
  </si>
  <si>
    <t>c0c2</t>
  </si>
  <si>
    <t>CLOSED - Canary Wharf Contractors (RT2) Limited</t>
  </si>
  <si>
    <t>c0c4</t>
  </si>
  <si>
    <t>Canary Wharf (Car Parks) Limited</t>
  </si>
  <si>
    <t>c0c7</t>
  </si>
  <si>
    <t>Cabot Place (RT2) Limited</t>
  </si>
  <si>
    <t>c0c8</t>
  </si>
  <si>
    <t>Canary Wharf (DS8) Limited</t>
  </si>
  <si>
    <t>c0c9</t>
  </si>
  <si>
    <t>Canary Wharf Holdings (DS8) Limited</t>
  </si>
  <si>
    <t>c0ca</t>
  </si>
  <si>
    <t>Canada Place Mall (Retail) Unit Trust GP Limited</t>
  </si>
  <si>
    <t>c0cb</t>
  </si>
  <si>
    <t>Canada Place Mall (Retail) Unit Trust SLP</t>
  </si>
  <si>
    <t>c0cc</t>
  </si>
  <si>
    <t>Jubilee Place (Retail) Unit Trust LP Limited</t>
  </si>
  <si>
    <t>c0cd</t>
  </si>
  <si>
    <t>Jubilee Place (Retail) Unit Trust GP Limited</t>
  </si>
  <si>
    <t>c0ce</t>
  </si>
  <si>
    <t>Jubilee Place (Retail) Unit Trust SLP</t>
  </si>
  <si>
    <t>c0cf</t>
  </si>
  <si>
    <t>One Canada Square (Retail) Unit Trust LP Limited</t>
  </si>
  <si>
    <t>c0cg</t>
  </si>
  <si>
    <t>One Canada Square (Retail) Unit Trust GP Limited</t>
  </si>
  <si>
    <t>c0ch</t>
  </si>
  <si>
    <t>One Canada Square (Retail) Unit Trust SLP</t>
  </si>
  <si>
    <t>c0cj</t>
  </si>
  <si>
    <t>DORMANT - Canary Wharf (DS3 East) Limited</t>
  </si>
  <si>
    <t>c0ck</t>
  </si>
  <si>
    <t>DORMANT - Canary Wharf (DS3 West) Limited</t>
  </si>
  <si>
    <t>c0cl</t>
  </si>
  <si>
    <t>DORMANT - Canary Wharf Investment Holdings (BP2) Limited</t>
  </si>
  <si>
    <t>c0cm</t>
  </si>
  <si>
    <t>CLOSED - Canary Wharf (Drapers Gardens) Limited</t>
  </si>
  <si>
    <t>c0cn</t>
  </si>
  <si>
    <t>CLOSED - Drapers Gardens (2) B.V.</t>
  </si>
  <si>
    <t>c0cp</t>
  </si>
  <si>
    <t>Canary Wharf Developments Limited</t>
  </si>
  <si>
    <t>c0cq</t>
  </si>
  <si>
    <t>Heron Quays West GP (Three) Limited</t>
  </si>
  <si>
    <t>c0cr</t>
  </si>
  <si>
    <t>DORMANT - Heron Quays West (T1) Limited</t>
  </si>
  <si>
    <t>c0cs</t>
  </si>
  <si>
    <t>Heron Quays West Limited Partnership</t>
  </si>
  <si>
    <t>c0ct</t>
  </si>
  <si>
    <t>Heron Quays West Investments (One) SLP</t>
  </si>
  <si>
    <t>c0cu</t>
  </si>
  <si>
    <t>Heron Quays West Investments (Two) SLP</t>
  </si>
  <si>
    <t>c0cv</t>
  </si>
  <si>
    <t>Heron Quays West GP (One) Limited</t>
  </si>
  <si>
    <t>c0cw</t>
  </si>
  <si>
    <t>Heron Quays West GP (Two) Limited</t>
  </si>
  <si>
    <t>c0cx</t>
  </si>
  <si>
    <t>10 Bank Street Unit Trust</t>
  </si>
  <si>
    <t>c0cy</t>
  </si>
  <si>
    <t>Heron Quays West Investment Unit Trust</t>
  </si>
  <si>
    <t>c0d1</t>
  </si>
  <si>
    <t>DORMANT - Canary Wharf Holdings (DS2) Limited</t>
  </si>
  <si>
    <t>c0d2</t>
  </si>
  <si>
    <t>DORMANT - Canary Wharf (DS2) Limited</t>
  </si>
  <si>
    <t>c0d3</t>
  </si>
  <si>
    <t>DORMANT - Canary Wharf Contractors (DS2) Limited</t>
  </si>
  <si>
    <t>c0d4</t>
  </si>
  <si>
    <t>CWCB Finance II Limited</t>
  </si>
  <si>
    <t>c0d5</t>
  </si>
  <si>
    <t>CWCB Leasing (RT2) Limited</t>
  </si>
  <si>
    <t>c0d6</t>
  </si>
  <si>
    <t>DORMANT - Canary Wharf Finance Holdings Limited</t>
  </si>
  <si>
    <t>c0d7</t>
  </si>
  <si>
    <t>Canary Wharf Finance II plc</t>
  </si>
  <si>
    <t>c0d8</t>
  </si>
  <si>
    <t>CW Lending II Limited</t>
  </si>
  <si>
    <t>c0d9</t>
  </si>
  <si>
    <t>DORMANT - CW Finance Holdings II Limited</t>
  </si>
  <si>
    <t>c0da</t>
  </si>
  <si>
    <t>Heron Quays (HQ4) Investments Limited</t>
  </si>
  <si>
    <t>c0db</t>
  </si>
  <si>
    <t>DORMANT - Canary Wharf (BP4) T1 Limited</t>
  </si>
  <si>
    <t>c0dc</t>
  </si>
  <si>
    <t>DORMANT - Canary Wharf (BP4) T2 Limited</t>
  </si>
  <si>
    <t>c0dd</t>
  </si>
  <si>
    <t>Canary Wharf Investments (BP4) Limited</t>
  </si>
  <si>
    <t>c0de</t>
  </si>
  <si>
    <t>Canary Wharf Contractors (DS3 East) Limited</t>
  </si>
  <si>
    <t>c0df</t>
  </si>
  <si>
    <t>Braeburn Estates (GP) Limited</t>
  </si>
  <si>
    <t>c0dh</t>
  </si>
  <si>
    <t>Braeburn Estates Developments (1) Limited</t>
  </si>
  <si>
    <t>c0dj</t>
  </si>
  <si>
    <t>Braeburn Estates Development Management Limited</t>
  </si>
  <si>
    <t>c0dk</t>
  </si>
  <si>
    <t>Canary Wharf (PB) Jersey Limited</t>
  </si>
  <si>
    <t>c0dl</t>
  </si>
  <si>
    <t>Canary Wharf (PB) Unit Trust</t>
  </si>
  <si>
    <t>c0dn</t>
  </si>
  <si>
    <t>Braeburn Estates Limited Partnership</t>
  </si>
  <si>
    <t>CON^INS</t>
  </si>
  <si>
    <t>c0dp</t>
  </si>
  <si>
    <t>Canary Wharf Holdings (PB) Limited</t>
  </si>
  <si>
    <t>c0dq</t>
  </si>
  <si>
    <t>Canary Wharf Financing Limited</t>
  </si>
  <si>
    <t>c0dr</t>
  </si>
  <si>
    <t>Braeburn Estates Developments (Infrastructure) Limited</t>
  </si>
  <si>
    <t>c0du</t>
  </si>
  <si>
    <t>Braeburn Estates Developments (2) Limited</t>
  </si>
  <si>
    <t>c0dw</t>
  </si>
  <si>
    <t>Canary Wharf Contractors (DS3 West) Limited</t>
  </si>
  <si>
    <t>c0e2</t>
  </si>
  <si>
    <t>Norquil Limited</t>
  </si>
  <si>
    <t>c0e4</t>
  </si>
  <si>
    <t>CLOSED - Canary Wharf (DS5) T1 Limited</t>
  </si>
  <si>
    <t>c0e5</t>
  </si>
  <si>
    <t>CLOSED - Canary Wharf (DS5) T2 Limited</t>
  </si>
  <si>
    <t>c0ea</t>
  </si>
  <si>
    <t>CWG (Wood Wharf One) Limited</t>
  </si>
  <si>
    <t>c0eb</t>
  </si>
  <si>
    <t>CWG (Wood Wharf Four) Limited</t>
  </si>
  <si>
    <t>c0ec</t>
  </si>
  <si>
    <t>DORMANT - CWG (Wood Wharf General Partner One) Limited</t>
  </si>
  <si>
    <t>c0ed</t>
  </si>
  <si>
    <t>DORMANT - Canary Wharf Investments (Crossrail) Limited</t>
  </si>
  <si>
    <t>c0ee</t>
  </si>
  <si>
    <t>Canary Wharf Properties (Crossrail) Limited</t>
  </si>
  <si>
    <t>c0ef</t>
  </si>
  <si>
    <t>Canary Wharf Retail Finance Limited</t>
  </si>
  <si>
    <t>GEN^UN^RENT^INS^DEP^SC^RP</t>
  </si>
  <si>
    <t>c0eg</t>
  </si>
  <si>
    <t>Canary Wharf Properties (RT5) Limited</t>
  </si>
  <si>
    <t>GEN^UN^RENT^CON^INS^DEP^SC^RP</t>
  </si>
  <si>
    <t>c0eh</t>
  </si>
  <si>
    <t>Canary Wharf (Riverside South) Limited</t>
  </si>
  <si>
    <t>c0ej</t>
  </si>
  <si>
    <t>Canary Wharf (North Quay) Limited</t>
  </si>
  <si>
    <t>c0ek</t>
  </si>
  <si>
    <t>Canary Wharf Investments (RSNQ) Limited</t>
  </si>
  <si>
    <t>c0el</t>
  </si>
  <si>
    <t>DORMANT - Canary Wharf Properties (Crossrail Two) Limited</t>
  </si>
  <si>
    <t>c0em</t>
  </si>
  <si>
    <t>Canary Wharf Finance (Investments) Limited</t>
  </si>
  <si>
    <t>c0en</t>
  </si>
  <si>
    <t>CW DS7F (Finance Lessor) Limited</t>
  </si>
  <si>
    <t>c0ep</t>
  </si>
  <si>
    <t>CWG (Wood Wharf Two) Limited</t>
  </si>
  <si>
    <t>CON^GEN^UN</t>
  </si>
  <si>
    <t>c0eq</t>
  </si>
  <si>
    <t>Canary Wharf Properties (Burdett Road) Limited</t>
  </si>
  <si>
    <t>c0er</t>
  </si>
  <si>
    <t>Canary Wharf Properties (WF9) Limited</t>
  </si>
  <si>
    <t>c0es</t>
  </si>
  <si>
    <t>Canary Wharf Retail Funding Limited</t>
  </si>
  <si>
    <t>Level39 Limited</t>
  </si>
  <si>
    <t>GEN^UN^DEP</t>
  </si>
  <si>
    <t>c0ev</t>
  </si>
  <si>
    <t>CWG (Wood Wharf) UT LP 1A Limited</t>
  </si>
  <si>
    <t>c0ew</t>
  </si>
  <si>
    <t>Canary Wharf Finance (B2) Limited</t>
  </si>
  <si>
    <t>c0ex</t>
  </si>
  <si>
    <t>CWG (Wood Wharf) UT GP 1A Limited</t>
  </si>
  <si>
    <t>c0ey</t>
  </si>
  <si>
    <t>CWG (Wood Wharf) 1A Limited Partnership</t>
  </si>
  <si>
    <t>c0ez</t>
  </si>
  <si>
    <t>DORMANT - CWBC Finance Two (BP1) Limited</t>
  </si>
  <si>
    <t>c0f2</t>
  </si>
  <si>
    <t>CWCB Investments (WF9) Limited</t>
  </si>
  <si>
    <t>c0f4</t>
  </si>
  <si>
    <t>CLOSED - Canary Wharf (WF9) T1 Limited</t>
  </si>
  <si>
    <t>c0f5</t>
  </si>
  <si>
    <t>CLOSED - Canary Wharf (WF9) T2 Limited</t>
  </si>
  <si>
    <t>c0f7</t>
  </si>
  <si>
    <t>DORMANT - Canary Wharf Holdings (WF9) Limited</t>
  </si>
  <si>
    <t>c0f8</t>
  </si>
  <si>
    <t>CLOSED - Canary Wharf (WF9) Limited</t>
  </si>
  <si>
    <t>c0f9</t>
  </si>
  <si>
    <t>CLOSED - Canary Wharf Contractors (WF9) Limited</t>
  </si>
  <si>
    <t>c0fa</t>
  </si>
  <si>
    <t>10 Upper Bank Street Separate Limited Partnership</t>
  </si>
  <si>
    <t>c0fb</t>
  </si>
  <si>
    <t>Canary Wharf (HQ5) Jersey GP Limited</t>
  </si>
  <si>
    <t>c0fc</t>
  </si>
  <si>
    <t>Canary Wharf (HQ5) Jersey LP Limited</t>
  </si>
  <si>
    <t>c0fd</t>
  </si>
  <si>
    <t>Canary Wharf Holdings (Jersey HQ5) Limited</t>
  </si>
  <si>
    <t>c0fh</t>
  </si>
  <si>
    <t>CLOSED - 20 Fenchurch Street Developer Limited</t>
  </si>
  <si>
    <t>c0fm</t>
  </si>
  <si>
    <t>INACTIVE - Canary Wharf (FS Invest) Limited</t>
  </si>
  <si>
    <t>c0fn</t>
  </si>
  <si>
    <t>Canary Wharf (FSGP) Limited</t>
  </si>
  <si>
    <t>c0fp</t>
  </si>
  <si>
    <t>CLOSED - Canary Wharf (FS Jersey GP) Limited</t>
  </si>
  <si>
    <t>c0fq</t>
  </si>
  <si>
    <t>CLOSED - Canary Wharf (FS Two) Limited</t>
  </si>
  <si>
    <t>c0fr</t>
  </si>
  <si>
    <t>Canary Wharf (FSLP) Limited</t>
  </si>
  <si>
    <t>c0fs</t>
  </si>
  <si>
    <t>CLOSED - Canary Wharf (FS Holdings) Limited Partnership</t>
  </si>
  <si>
    <t>c0ft</t>
  </si>
  <si>
    <t>INACTIVE - Canary Wharf (FS Trustee) Limited</t>
  </si>
  <si>
    <t>c0fx</t>
  </si>
  <si>
    <t>CLOSED - Canary Wharf (FS Holdco) Limited</t>
  </si>
  <si>
    <t>c0fy</t>
  </si>
  <si>
    <t>CLOSED - Canary Wharf (FS Borrower) Limited</t>
  </si>
  <si>
    <t>c0g2</t>
  </si>
  <si>
    <t>Armoric Holdings Limited</t>
  </si>
  <si>
    <t>c0g3</t>
  </si>
  <si>
    <t>CLOSED - Armoric Investments Limited</t>
  </si>
  <si>
    <t>c0g4</t>
  </si>
  <si>
    <t>Heron Quays West LP (One) Limited</t>
  </si>
  <si>
    <t>c0g5</t>
  </si>
  <si>
    <t>Heron Quays West LP (Two) Limited</t>
  </si>
  <si>
    <t>c0g8</t>
  </si>
  <si>
    <t>Canary Wharf Telecoms Limited</t>
  </si>
  <si>
    <t>c0g9</t>
  </si>
  <si>
    <t>Indural Holdings Limited</t>
  </si>
  <si>
    <t>c0ga</t>
  </si>
  <si>
    <t>CWG Properties (B2) Limited</t>
  </si>
  <si>
    <t>c0gb</t>
  </si>
  <si>
    <t>Canary Wharf Properties (B2) Limited</t>
  </si>
  <si>
    <t>c0gc</t>
  </si>
  <si>
    <t>CWG Retail Properties (B2) Limited</t>
  </si>
  <si>
    <t>c0gd</t>
  </si>
  <si>
    <t>Canary Wharf Investments (B2) Limited</t>
  </si>
  <si>
    <t>c0ge</t>
  </si>
  <si>
    <t>Canary Wharf Holdings (B2) Limited</t>
  </si>
  <si>
    <t>c0gf</t>
  </si>
  <si>
    <t>Canary Wharf Properties (Barchester) Limited</t>
  </si>
  <si>
    <t>c0gh</t>
  </si>
  <si>
    <t>DORMANT - Heron Quays West T2 Limited</t>
  </si>
  <si>
    <t>c0gj</t>
  </si>
  <si>
    <t>Heron Quays West Infrastructure Development Company Limited</t>
  </si>
  <si>
    <t>c0gk</t>
  </si>
  <si>
    <t>Heron Quays West Pavilion Development Company Limited</t>
  </si>
  <si>
    <t>c0gl</t>
  </si>
  <si>
    <t>Heron Quays West GP (Four) Limited</t>
  </si>
  <si>
    <t>c0gm</t>
  </si>
  <si>
    <t>DORMANT - Heron Quays West (1) T1 Limited</t>
  </si>
  <si>
    <t>c0gn</t>
  </si>
  <si>
    <t>DORMANT - Heron Quays West (1) T2 Limited</t>
  </si>
  <si>
    <t>c0gp</t>
  </si>
  <si>
    <t>Heron Quays West (1) Limited Partnership</t>
  </si>
  <si>
    <t>c0gq</t>
  </si>
  <si>
    <t>1 Bank Street Unit Trust</t>
  </si>
  <si>
    <t>c0gr</t>
  </si>
  <si>
    <t>Canary Wharf Contractors (1BS) Limited</t>
  </si>
  <si>
    <t>c0gs</t>
  </si>
  <si>
    <t>Canary Wharf Contractors (10BS) Limited</t>
  </si>
  <si>
    <t>c0gt</t>
  </si>
  <si>
    <t>DORMANT - L39 Limited</t>
  </si>
  <si>
    <t>c0gu</t>
  </si>
  <si>
    <t>CLOSED - Canary Wharf Grosvenor Place Limited</t>
  </si>
  <si>
    <t>c0gv</t>
  </si>
  <si>
    <t>Canary Wharf NQO Investments Limited</t>
  </si>
  <si>
    <t>c0gw</t>
  </si>
  <si>
    <t>Canary Wharf NQO Holdings Limited</t>
  </si>
  <si>
    <t>c0gx</t>
  </si>
  <si>
    <t>Canary Wharf (CS Park Pavilion) Limited</t>
  </si>
  <si>
    <t>c0gy</t>
  </si>
  <si>
    <t>CW Holdco (B2) Limited</t>
  </si>
  <si>
    <t>c0gz</t>
  </si>
  <si>
    <t>CW Properties (B2) Limited</t>
  </si>
  <si>
    <t>c0h6</t>
  </si>
  <si>
    <t>DORMANT - Heron Quays Holdings (HQ1) Limited</t>
  </si>
  <si>
    <t>c0h7</t>
  </si>
  <si>
    <t>DORMANT - Heron Quays (HQ1) T1 Limited</t>
  </si>
  <si>
    <t>c0h8</t>
  </si>
  <si>
    <t>DORMANT - Heron Quays (HQ1) T2 Limited</t>
  </si>
  <si>
    <t>c0h9</t>
  </si>
  <si>
    <t>HQCB Properties (HQ1) Limited</t>
  </si>
  <si>
    <t>c0ha</t>
  </si>
  <si>
    <t>Heron Quays West (Pavilion) Limited</t>
  </si>
  <si>
    <t>c0hb</t>
  </si>
  <si>
    <t>DORMANT - Canary Wharf NFLA Limited</t>
  </si>
  <si>
    <t>c0hc</t>
  </si>
  <si>
    <t>Canary Wharf Residential Management Limited</t>
  </si>
  <si>
    <t>c0hd</t>
  </si>
  <si>
    <t>DORMANT - Canary Wharf NQO GP Limited</t>
  </si>
  <si>
    <t>c0he</t>
  </si>
  <si>
    <t>Canary Wharf Central Limited</t>
  </si>
  <si>
    <t>c0hf</t>
  </si>
  <si>
    <t>DORMANT - Canary Wharf NQO HoldCo Limited</t>
  </si>
  <si>
    <t>c0hg</t>
  </si>
  <si>
    <t>DORMANT - Canary Wharf NQO Trustee Limited</t>
  </si>
  <si>
    <t>c0hh</t>
  </si>
  <si>
    <t>Canary Wharf NQO Limited Partnership</t>
  </si>
  <si>
    <t>c0hj</t>
  </si>
  <si>
    <t>Canary Wharf NQO LP Limited</t>
  </si>
  <si>
    <t>c0hk</t>
  </si>
  <si>
    <t>Canary Wharf (Former Projects) Limited</t>
  </si>
  <si>
    <t>c0hl</t>
  </si>
  <si>
    <t>Wood Wharf Retail Limited</t>
  </si>
  <si>
    <t>GEN^UN^CON^RENT^INS^DEP^SC^RP</t>
  </si>
  <si>
    <t>c0hm</t>
  </si>
  <si>
    <t>CW Water Square Development Company Limited</t>
  </si>
  <si>
    <t>c0hn</t>
  </si>
  <si>
    <t>CLOSED - Canary Wharf Holdings Euston Limited</t>
  </si>
  <si>
    <t>c0hp</t>
  </si>
  <si>
    <t>CLOSED - Canary Wharf Euston GP Holdings Limited</t>
  </si>
  <si>
    <t>c0hq</t>
  </si>
  <si>
    <t>CLOSED - Canary Wharf Euston LP Limited</t>
  </si>
  <si>
    <t>c0hr</t>
  </si>
  <si>
    <t>CLOSED - Euston Station Development GP Limited</t>
  </si>
  <si>
    <t>c0hs</t>
  </si>
  <si>
    <t>CLOSED - Euston Station Development Limited Partnership</t>
  </si>
  <si>
    <t>c0ht</t>
  </si>
  <si>
    <t>Canary Wharf Group Residential Limited</t>
  </si>
  <si>
    <t>c0hu</t>
  </si>
  <si>
    <t>DORMANT - CW Development Consulting Limited</t>
  </si>
  <si>
    <t>c0hv</t>
  </si>
  <si>
    <t>Canary Wharf (Finance Lessor) Limited</t>
  </si>
  <si>
    <t>c0hw</t>
  </si>
  <si>
    <t>CLOSED - Canary Wharf (Earl's Court) Limited</t>
  </si>
  <si>
    <t>c0hx</t>
  </si>
  <si>
    <t>DORMANT - South London Procurement Network Limited</t>
  </si>
  <si>
    <t>c0hy</t>
  </si>
  <si>
    <t>Canary Wharf Energy Company Limited</t>
  </si>
  <si>
    <t>c0j0</t>
  </si>
  <si>
    <t>DORMANT - Heron Quays Holdings (HQ2) Limited</t>
  </si>
  <si>
    <t>c0j1</t>
  </si>
  <si>
    <t>DORMANT - Heron Quays (HQ2) Limited</t>
  </si>
  <si>
    <t>c0j2</t>
  </si>
  <si>
    <t>DORMANT - Heron Quays (HQ2) T1 Limited</t>
  </si>
  <si>
    <t>c0j3</t>
  </si>
  <si>
    <t>DORMANT - Heron Quays (HQ2) T2 Limited</t>
  </si>
  <si>
    <t>c0j4</t>
  </si>
  <si>
    <t>CLOSED - HQCB Properties (HQ2) Limited</t>
  </si>
  <si>
    <t>c0j5</t>
  </si>
  <si>
    <t>DORMANT - Heron Quays Holdings (HQ3) Limited</t>
  </si>
  <si>
    <t>c0j6</t>
  </si>
  <si>
    <t>DORMANT - Heron Quays (HQ3) Limited</t>
  </si>
  <si>
    <t>c0j7</t>
  </si>
  <si>
    <t>DORMANT - Heron Quays (HQ3) T1 Limited</t>
  </si>
  <si>
    <t>c0j8</t>
  </si>
  <si>
    <t>DORMANT - Heron Quays (HQ3) T2 Limited</t>
  </si>
  <si>
    <t>c0ja</t>
  </si>
  <si>
    <t>Braeburn Estates Management Company Limited</t>
  </si>
  <si>
    <t>c0jb</t>
  </si>
  <si>
    <t>Braeburn Estates B3 (GP) Limited</t>
  </si>
  <si>
    <t>c0jc</t>
  </si>
  <si>
    <t>DORMANT - Braeburn Estates B3 (LP) Limited</t>
  </si>
  <si>
    <t>c0jd</t>
  </si>
  <si>
    <t>Braeburn Estates (B3) Limited Partnership</t>
  </si>
  <si>
    <t>c0je</t>
  </si>
  <si>
    <t>DORMANT - Braeburn Estates (B3) T1 Limited</t>
  </si>
  <si>
    <t>c0jf</t>
  </si>
  <si>
    <t>DORMANT - Braeburn Estates (B3) T2 Limited</t>
  </si>
  <si>
    <t>c0jg</t>
  </si>
  <si>
    <t>Braeburn Estates B4A (GP) Limited</t>
  </si>
  <si>
    <t>c0jh</t>
  </si>
  <si>
    <t>DORMANT - Braeburn Estates B4A (LP) Limited</t>
  </si>
  <si>
    <t>c0jj</t>
  </si>
  <si>
    <t>Braeburn Estates (B4A) Limited Partnership</t>
  </si>
  <si>
    <t>c0jk</t>
  </si>
  <si>
    <t>DORMANT - Braeburn Estates (B4A) T1 Limited</t>
  </si>
  <si>
    <t>c0jl</t>
  </si>
  <si>
    <t>DORMANT - Braeburn Estates (B4A) T2 Limited</t>
  </si>
  <si>
    <t>c0jm</t>
  </si>
  <si>
    <t>Braeburn Estates B4B (GP) Limited</t>
  </si>
  <si>
    <t>c0jn</t>
  </si>
  <si>
    <t>DORMANT - Braeburn Estates B4B (LP) Limited</t>
  </si>
  <si>
    <t>c0jp</t>
  </si>
  <si>
    <t>Braeburn Estates (B4B) Limited Partnership</t>
  </si>
  <si>
    <t>c0jq</t>
  </si>
  <si>
    <t>DORMANT - Braeburn Estates (B4B) T1 Limited</t>
  </si>
  <si>
    <t>c0jr</t>
  </si>
  <si>
    <t>DORMANT - Braeburn Estates (B4B) T2 Limited</t>
  </si>
  <si>
    <t>c0js</t>
  </si>
  <si>
    <t>Braeburn Estates B5 (GP) Limited</t>
  </si>
  <si>
    <t>c0jt</t>
  </si>
  <si>
    <t>DORMANT - Braeburn Estates B5 (LP) Limited</t>
  </si>
  <si>
    <t>c0ju</t>
  </si>
  <si>
    <t>Braeburn Estates (B5) Limited Partnership</t>
  </si>
  <si>
    <t>c0jv</t>
  </si>
  <si>
    <t>DORMANT - Braeburn Estates (B5) T1 Limited</t>
  </si>
  <si>
    <t>c0jw</t>
  </si>
  <si>
    <t>DORMANT - Braeburn Estates (B5) T2 Limited</t>
  </si>
  <si>
    <t>c0jx</t>
  </si>
  <si>
    <t>Braeburn Estates B6/7 (GP) Limited</t>
  </si>
  <si>
    <t>c0jy</t>
  </si>
  <si>
    <t>DORMANT - Braeburn Estates B6/7 (LP) Limited</t>
  </si>
  <si>
    <t>c0jz</t>
  </si>
  <si>
    <t>Braeburn Estates (B6/7) Limited Partnership</t>
  </si>
  <si>
    <t>CON^UN</t>
  </si>
  <si>
    <t>c0k0</t>
  </si>
  <si>
    <t>Heron Quays Holdings (HQ 4) Limited</t>
  </si>
  <si>
    <t>c0k1</t>
  </si>
  <si>
    <t>CLOSED - Heron Quays (HQ 4) Limited</t>
  </si>
  <si>
    <t>c0k4</t>
  </si>
  <si>
    <t>CLOSED - HQCB Properties (HQ4) Limited</t>
  </si>
  <si>
    <t>c0k5</t>
  </si>
  <si>
    <t>CLOSED - Heron Quays Holdings (HQ5) Limited</t>
  </si>
  <si>
    <t>c0k6</t>
  </si>
  <si>
    <t>CLOSED - Heron Quays (HQ5) Limited</t>
  </si>
  <si>
    <t>c0k9</t>
  </si>
  <si>
    <t>CLOSED - HQCB Properties (HQ5) Limited</t>
  </si>
  <si>
    <t>c0ka</t>
  </si>
  <si>
    <t>DORMANT - Braeburn Estates (B6/7) T1 Limited</t>
  </si>
  <si>
    <t>c0kb</t>
  </si>
  <si>
    <t>DORMANT - Braeburn Estates (B6/7) T2 Limited</t>
  </si>
  <si>
    <t>c0kc</t>
  </si>
  <si>
    <t>Braeburn Estates Retail Limited</t>
  </si>
  <si>
    <t>c0kd</t>
  </si>
  <si>
    <t>Braeburn Estates (Hungerford) Limited</t>
  </si>
  <si>
    <t>c0ke</t>
  </si>
  <si>
    <t>Braeburn Estates (Lollard Street) Limited</t>
  </si>
  <si>
    <t>c0kg</t>
  </si>
  <si>
    <t>Braeburn Estates (B3) Residential Limited</t>
  </si>
  <si>
    <t>c0kh</t>
  </si>
  <si>
    <t>Braeburn Estates (B4A) Residential Limited</t>
  </si>
  <si>
    <t>c0kj</t>
  </si>
  <si>
    <t>Braeburn Estates (B4B) Residential Limited</t>
  </si>
  <si>
    <t>c0kk</t>
  </si>
  <si>
    <t>Braeburn Estates (B5) Residential Limited</t>
  </si>
  <si>
    <t>c0kl</t>
  </si>
  <si>
    <t>Braeburn Estates (B6/7) Residential Limited</t>
  </si>
  <si>
    <t>c0km</t>
  </si>
  <si>
    <t>Braeburn Estates (B3) Retail Limited</t>
  </si>
  <si>
    <t>c0kn</t>
  </si>
  <si>
    <t>Braeburn Estates (AH) Limited</t>
  </si>
  <si>
    <t>c0kp</t>
  </si>
  <si>
    <t>Southbank Place Management Limited</t>
  </si>
  <si>
    <t>c0ks</t>
  </si>
  <si>
    <t>Southbank Place Energy Company Limited</t>
  </si>
  <si>
    <t>GEN^UN^INS</t>
  </si>
  <si>
    <t>c0kt</t>
  </si>
  <si>
    <t>Braeburn Estates Retail (GP) Limited</t>
  </si>
  <si>
    <t>c0ku</t>
  </si>
  <si>
    <t>DORMANT - Braeburn Estates Retail (LP) Limited</t>
  </si>
  <si>
    <t>c0kv</t>
  </si>
  <si>
    <t>DORMANT - Braeburn Estates (Retail) T1 Limited</t>
  </si>
  <si>
    <t>c0kw</t>
  </si>
  <si>
    <t>DORMANT - Braeburn Estates (Retail) T2 Limited</t>
  </si>
  <si>
    <t>c0kx</t>
  </si>
  <si>
    <t>Braeburn Estates (Retail) Limited Partnership</t>
  </si>
  <si>
    <t>c0l0</t>
  </si>
  <si>
    <t>CLOSED - South Quay Amenities Limited</t>
  </si>
  <si>
    <t>c0l1</t>
  </si>
  <si>
    <t>CLOSED - South Quay Management Limited</t>
  </si>
  <si>
    <t>c0l2</t>
  </si>
  <si>
    <t>HQCB Investments Limited</t>
  </si>
  <si>
    <t>c0l3</t>
  </si>
  <si>
    <t>Armoric Limited</t>
  </si>
  <si>
    <t>c0l5</t>
  </si>
  <si>
    <t>Bannerclose Limited</t>
  </si>
  <si>
    <t>c0l6</t>
  </si>
  <si>
    <t>DORMANT - Heron Quays (HQ1) Limited</t>
  </si>
  <si>
    <t>c0l7</t>
  </si>
  <si>
    <t>HQCB Properties (HQ3) Limited</t>
  </si>
  <si>
    <t>c0l8</t>
  </si>
  <si>
    <t>DORMANT - HQCB Properties (HQ4(2)) Limited</t>
  </si>
  <si>
    <t>c0l9</t>
  </si>
  <si>
    <t>HQCB Properties (HQ5(2)) Limited</t>
  </si>
  <si>
    <t>c0la</t>
  </si>
  <si>
    <t>Canary Wharf 1BS Finance Limited</t>
  </si>
  <si>
    <t>c0lb</t>
  </si>
  <si>
    <t>Canary Wharf 1BS Lending Limited</t>
  </si>
  <si>
    <t>c0lc</t>
  </si>
  <si>
    <t>Canary Wharf 1BS Properties Limited</t>
  </si>
  <si>
    <t>c0m0</t>
  </si>
  <si>
    <t>HQCB Properties (RT3) Limited</t>
  </si>
  <si>
    <t>c0m1</t>
  </si>
  <si>
    <t>DORMANT - Canary Wharf (BP2) Limited</t>
  </si>
  <si>
    <t>c0m2</t>
  </si>
  <si>
    <t>DORMANT - Canary Wharf Holdings (BP2) Limited</t>
  </si>
  <si>
    <t>c0m3</t>
  </si>
  <si>
    <t>Canary Wharf Retail (DS3) Limited</t>
  </si>
  <si>
    <t>c0m4</t>
  </si>
  <si>
    <t>CWCB Investments (DS8) Limited</t>
  </si>
  <si>
    <t>c0m5</t>
  </si>
  <si>
    <t>DORMANT - Canary Wharf Investment Holdings (DS8) Limited</t>
  </si>
  <si>
    <t>c0m6</t>
  </si>
  <si>
    <t>Canary Wharf Investments (DS8) Limited</t>
  </si>
  <si>
    <t>c0m7</t>
  </si>
  <si>
    <t>DORMANT - Canary Wharf (DS8) T1 Limited</t>
  </si>
  <si>
    <t>c0m8</t>
  </si>
  <si>
    <t>DORMANT - Canary Wharf (DS8) T2 Limited</t>
  </si>
  <si>
    <t>c0m9</t>
  </si>
  <si>
    <t>INACTIVE - CWCB Properties (DS8) Limited</t>
  </si>
  <si>
    <t>c0n1</t>
  </si>
  <si>
    <t>Nash Court Retail Limited</t>
  </si>
  <si>
    <t>c0n2</t>
  </si>
  <si>
    <t>Canary Wharf Retail (RT4) Limited</t>
  </si>
  <si>
    <t>c0n4</t>
  </si>
  <si>
    <t>DORMANT - Canary Wharf (BP1) T1 Limited</t>
  </si>
  <si>
    <t>c0n5</t>
  </si>
  <si>
    <t>DORMANT - Canary Wharf (BP1) T2 Limited</t>
  </si>
  <si>
    <t>c0n6</t>
  </si>
  <si>
    <t>DORMANT - Canary Wharf Investment Holdings (BP1) Limited</t>
  </si>
  <si>
    <t>c0n7</t>
  </si>
  <si>
    <t>Canary Wharf Investments (BP1) Limited</t>
  </si>
  <si>
    <t>c0p1</t>
  </si>
  <si>
    <t>Canary Wharf Contractors (BP1) Limited</t>
  </si>
  <si>
    <t>c0p2</t>
  </si>
  <si>
    <t>Canary Wharf Contractors (BP2) Limited</t>
  </si>
  <si>
    <t>c0p3</t>
  </si>
  <si>
    <t>Canary Wharf Contractors (BP3) Limited</t>
  </si>
  <si>
    <t>c0p4</t>
  </si>
  <si>
    <t>Canary Wharf Contractors (BP4) Limited</t>
  </si>
  <si>
    <t>c0q1</t>
  </si>
  <si>
    <t>CWG (Wood Wharf Three) Limited</t>
  </si>
  <si>
    <t>c0q2</t>
  </si>
  <si>
    <t>CWG (Wood Wharf General Partner) Limited</t>
  </si>
  <si>
    <t>c0q3</t>
  </si>
  <si>
    <t>CWG (Wood Wharf) Holdings Limited</t>
  </si>
  <si>
    <t>c0q4</t>
  </si>
  <si>
    <t>CWG (Wood Wharf) Limited</t>
  </si>
  <si>
    <t>c0q5</t>
  </si>
  <si>
    <t>CWCB Finance Leasing (DS7B) Limited</t>
  </si>
  <si>
    <t>c0q6</t>
  </si>
  <si>
    <t>Canary Wharf Finance Leasing (BP1) Limited</t>
  </si>
  <si>
    <t>c0q7</t>
  </si>
  <si>
    <t>CLOSED - Canary Wharf (BP2) T1 Limited</t>
  </si>
  <si>
    <t>c0q8</t>
  </si>
  <si>
    <t>CLOSED - Canary Wharf (BP2) T2 Limited</t>
  </si>
  <si>
    <t>c0q9</t>
  </si>
  <si>
    <t>Canary Wharf Investments (BP2) Limited</t>
  </si>
  <si>
    <t>c0qa</t>
  </si>
  <si>
    <t>Canada Square (Pavilion) Limited</t>
  </si>
  <si>
    <t>c0r1</t>
  </si>
  <si>
    <t>DORMANT - Canary Wharf (BP1) Limited</t>
  </si>
  <si>
    <t>c0r2</t>
  </si>
  <si>
    <t>DORMANT - Canary Wharf Holdings (BP1) Limited</t>
  </si>
  <si>
    <t>c0r6</t>
  </si>
  <si>
    <t>DORMANT - Canary Wharf (DS3) Limited</t>
  </si>
  <si>
    <t>c0r7</t>
  </si>
  <si>
    <t>DORMANT - Canary Wharf Holdings (DS3) Limited</t>
  </si>
  <si>
    <t>c0r8</t>
  </si>
  <si>
    <t>CLOSED - Canary Wharf (DS1) Limited</t>
  </si>
  <si>
    <t>c0r9</t>
  </si>
  <si>
    <t>DORMANT - Canary Wharf Holdings (DS1) Limited</t>
  </si>
  <si>
    <t>c0ra</t>
  </si>
  <si>
    <t>CW One Park Drive Residential Limited</t>
  </si>
  <si>
    <t>c0rb</t>
  </si>
  <si>
    <t>Vertus 8 Water Street Limited</t>
  </si>
  <si>
    <t>c0rc</t>
  </si>
  <si>
    <t>Vertus 10 George Street Limited</t>
  </si>
  <si>
    <t>c0rd</t>
  </si>
  <si>
    <t>Newfoundland Place Limited</t>
  </si>
  <si>
    <t>c0re</t>
  </si>
  <si>
    <t>Vertus 8 Water Street StaffCo Limited</t>
  </si>
  <si>
    <t>c0rf</t>
  </si>
  <si>
    <t>Vertus 10 George Street StaffCo Limited</t>
  </si>
  <si>
    <t>c0rg</t>
  </si>
  <si>
    <t>CW Wood Wharf Residential StaffCo Limited</t>
  </si>
  <si>
    <t>c0s1</t>
  </si>
  <si>
    <t>DORMANT - Canary Wharf Contractors (DS1) Limited</t>
  </si>
  <si>
    <t>c0s3</t>
  </si>
  <si>
    <t>Canary Wharf Contractors (DS3) Limited</t>
  </si>
  <si>
    <t>c0s4</t>
  </si>
  <si>
    <t>CLOSED - Canary Wharf Contractors (DS4) Limited</t>
  </si>
  <si>
    <t>c0s5</t>
  </si>
  <si>
    <t>DORMANT - Canary Wharf Contractors (DS5) Limited</t>
  </si>
  <si>
    <t>c0s6</t>
  </si>
  <si>
    <t>DORMANT - Canary Wharf Holdings (DS5) Limited</t>
  </si>
  <si>
    <t>c0s7</t>
  </si>
  <si>
    <t>CLOSED - Canary Wharf (DS5) Limited</t>
  </si>
  <si>
    <t>c0s8</t>
  </si>
  <si>
    <t>DORMANT - Canary Wharf Contractors (DS8) Limited</t>
  </si>
  <si>
    <t>c0sa</t>
  </si>
  <si>
    <t>DORMANT - Songbird Acquisition Limited</t>
  </si>
  <si>
    <t>c0sb</t>
  </si>
  <si>
    <t>DORMANT - Songbird Finance (Two) Limited</t>
  </si>
  <si>
    <t>c0se</t>
  </si>
  <si>
    <t>Canary Wharf Group Investment Holdings plc</t>
  </si>
  <si>
    <t>c0sf</t>
  </si>
  <si>
    <t>Songbird Finance Limited</t>
  </si>
  <si>
    <t>c0sg</t>
  </si>
  <si>
    <t>CWG NewCo Limited</t>
  </si>
  <si>
    <t>c0sh</t>
  </si>
  <si>
    <t>Stork Holdings Limited</t>
  </si>
  <si>
    <t>c0sj</t>
  </si>
  <si>
    <t>Stork Finance Limited</t>
  </si>
  <si>
    <t>c0sk</t>
  </si>
  <si>
    <t>Stork Holdco GP Limited</t>
  </si>
  <si>
    <t>c0sl</t>
  </si>
  <si>
    <t>Stork Holdco Limited Partnership</t>
  </si>
  <si>
    <t>c0sm</t>
  </si>
  <si>
    <t>Stork Finance 2 Sarl</t>
  </si>
  <si>
    <t>c0t4</t>
  </si>
  <si>
    <t>CLOSED - Canary Wharf (DS1) T1 Limited</t>
  </si>
  <si>
    <t>c0t5</t>
  </si>
  <si>
    <t>CLOSED - Canary Wharf (DS1) T2 Limited</t>
  </si>
  <si>
    <t>c0t7</t>
  </si>
  <si>
    <t>DORMANT - Heron Quays West Properties Limited</t>
  </si>
  <si>
    <t>c0tt</t>
  </si>
  <si>
    <t>Edyn (Wood Wharf B2) I Limited</t>
  </si>
  <si>
    <t>c0tu</t>
  </si>
  <si>
    <t>Edyn (Wood Wharf B2) II Limited</t>
  </si>
  <si>
    <t>c0tv</t>
  </si>
  <si>
    <t>Edyn (Wood Wharf B2) III Limited</t>
  </si>
  <si>
    <t>c0tw</t>
  </si>
  <si>
    <t>Wood Wharf B2 Limited Partnership</t>
  </si>
  <si>
    <t>c0tx</t>
  </si>
  <si>
    <t>Wood Wharf B2 GP Limited</t>
  </si>
  <si>
    <t>c0ty</t>
  </si>
  <si>
    <t>Canary Wharf B2 SPV1 Limited</t>
  </si>
  <si>
    <t>c0tz</t>
  </si>
  <si>
    <t>DORMANT - Canary Wharf B2 SPV2 Limited</t>
  </si>
  <si>
    <t>c0u1</t>
  </si>
  <si>
    <t>CW Investments (B2) Limited</t>
  </si>
  <si>
    <t>c0u8</t>
  </si>
  <si>
    <t>Canary Wharf Retail Investments (FC6) Limited</t>
  </si>
  <si>
    <t>c0u9</t>
  </si>
  <si>
    <t>DORMANT - Canary Wharf Retail Investments (DS3) Limited</t>
  </si>
  <si>
    <t>c0ua</t>
  </si>
  <si>
    <t>INACTIVE- CW Wood Wharf B3 GP Limited</t>
  </si>
  <si>
    <t>c0ub</t>
  </si>
  <si>
    <t>INACTIVE - CW Wood Wharf B3 LP Limited</t>
  </si>
  <si>
    <t>c0uc</t>
  </si>
  <si>
    <t>DORMANT - CW Wood Wharf B3 T1 Limited</t>
  </si>
  <si>
    <t>c0ud</t>
  </si>
  <si>
    <t>INACTIVE - CW Wood Wharf B3 Limited Partnership</t>
  </si>
  <si>
    <t>c0ue</t>
  </si>
  <si>
    <t>INACTIVE - CW Wood Wharf D1/D2 GP Limited</t>
  </si>
  <si>
    <t>c0uf</t>
  </si>
  <si>
    <t>INACTIVE - CW Wood Wharf D1/D2 LP Limited</t>
  </si>
  <si>
    <t>c0ug</t>
  </si>
  <si>
    <t>DORMANT - CW Wood Wharf D1/D2 T1 Limited</t>
  </si>
  <si>
    <t>c0uh</t>
  </si>
  <si>
    <t>INACTIVE - CW Wood Wharf D1/D2 Limited Partnership</t>
  </si>
  <si>
    <t>c0uj</t>
  </si>
  <si>
    <t>INACTIVE - CW Wood Wharf Jersey Limited</t>
  </si>
  <si>
    <t>c0uk</t>
  </si>
  <si>
    <t>CW Wood Wharf F2 Limited</t>
  </si>
  <si>
    <t>c0ul</t>
  </si>
  <si>
    <t>CW Wood Wharf H1 Limited</t>
  </si>
  <si>
    <t>c0um</t>
  </si>
  <si>
    <t>CW Wood Wharf H4 Limited</t>
  </si>
  <si>
    <t>c0un</t>
  </si>
  <si>
    <t>CW Wood Wharf H2 Limited</t>
  </si>
  <si>
    <t>c0up</t>
  </si>
  <si>
    <t>INACTIVE - CW Wood Wharf J4 Limited</t>
  </si>
  <si>
    <t>c0ur</t>
  </si>
  <si>
    <t>DORMANT - CW Wood Wharf Retail Co Limited</t>
  </si>
  <si>
    <t>c0us</t>
  </si>
  <si>
    <t>CW Wood Wharf H3 Limited</t>
  </si>
  <si>
    <t>c0ut</t>
  </si>
  <si>
    <t>CW Wood Wharf H3 Development Company Limited</t>
  </si>
  <si>
    <t>c0uu</t>
  </si>
  <si>
    <t>Canary Wharf Contractors (B3 Hotel) Limited</t>
  </si>
  <si>
    <t>c0uv</t>
  </si>
  <si>
    <t>CW Wood Wharf C2 Limited</t>
  </si>
  <si>
    <t>c0uw</t>
  </si>
  <si>
    <t>CW Wood Wharf C2 Development Company Limited</t>
  </si>
  <si>
    <t>c0ux</t>
  </si>
  <si>
    <t>CW Wood Wharf D3/D4 Limited</t>
  </si>
  <si>
    <t>c0uy</t>
  </si>
  <si>
    <t>CW Wood Wharf D3/D4 Development Company Limited</t>
  </si>
  <si>
    <t>c0uz</t>
  </si>
  <si>
    <t>CWG (Wood Wharf) Phase 2 Limited</t>
  </si>
  <si>
    <t>c0v0</t>
  </si>
  <si>
    <t>DORMANT - Heron Quays Holdings (RT3) Limited</t>
  </si>
  <si>
    <t>c0v1</t>
  </si>
  <si>
    <t>DORMANT - Heron Quays (RT3) Limited</t>
  </si>
  <si>
    <t>c0v2</t>
  </si>
  <si>
    <t>DORMANT - Heron Quays (RT3) T1 Limited</t>
  </si>
  <si>
    <t>c0v3</t>
  </si>
  <si>
    <t>DORMANT - Heron Quays (RT3) T2 Limited</t>
  </si>
  <si>
    <t>c0v6</t>
  </si>
  <si>
    <t>CWBC Finance (BP1) Limited</t>
  </si>
  <si>
    <t>c0v7</t>
  </si>
  <si>
    <t>CWBC Properties (BP1) Limited</t>
  </si>
  <si>
    <t>c0v8</t>
  </si>
  <si>
    <t>CWBC Investments (BP1) Limited</t>
  </si>
  <si>
    <t>c0va</t>
  </si>
  <si>
    <t>Vertus A2 Development Company Limited</t>
  </si>
  <si>
    <t>c0vb</t>
  </si>
  <si>
    <t>Vertus A2 Holdings Limited</t>
  </si>
  <si>
    <t>c0vd</t>
  </si>
  <si>
    <t>Vertus NFL Development Company Limited</t>
  </si>
  <si>
    <t>c0ve</t>
  </si>
  <si>
    <t>Vertus E1/2 Development Company Limited</t>
  </si>
  <si>
    <t>c0vf</t>
  </si>
  <si>
    <t>Vertus E1/2 Holdings Limited</t>
  </si>
  <si>
    <t>c0vg</t>
  </si>
  <si>
    <t>Vertus G3 Development Company Limited</t>
  </si>
  <si>
    <t>c0vh</t>
  </si>
  <si>
    <t>Vertus Holdings Jersey Limited</t>
  </si>
  <si>
    <t>c0vj</t>
  </si>
  <si>
    <t>Vertus A2 Limited</t>
  </si>
  <si>
    <t>c0vk</t>
  </si>
  <si>
    <t>Vertus E1/2 Limited</t>
  </si>
  <si>
    <t>c0vl</t>
  </si>
  <si>
    <t>Vertus G3 Limited</t>
  </si>
  <si>
    <t>c0vm</t>
  </si>
  <si>
    <t>Vertus Residential Management Limited</t>
  </si>
  <si>
    <t>GEN^UN^DEPTDS^DEP^RENT^SC^RESFEE</t>
  </si>
  <si>
    <t>c0vn</t>
  </si>
  <si>
    <t>Newfoundland Propco Limited</t>
  </si>
  <si>
    <t>c0vp</t>
  </si>
  <si>
    <t>Newfoundland Holdco Limited</t>
  </si>
  <si>
    <t>c0vr</t>
  </si>
  <si>
    <t>Vertus Residential plc</t>
  </si>
  <si>
    <t>c0vw</t>
  </si>
  <si>
    <t>Vertus WW Properties Limited</t>
  </si>
  <si>
    <t>c0w2</t>
  </si>
  <si>
    <t>Canary Wharf Facilities Management Limited</t>
  </si>
  <si>
    <t>GEN^UN^TS</t>
  </si>
  <si>
    <t>c0w4</t>
  </si>
  <si>
    <t>CWBC Leasing (BP1) Limited</t>
  </si>
  <si>
    <t>c0w6</t>
  </si>
  <si>
    <t>Canary Wharf Funding (FC2/FC4) Limited</t>
  </si>
  <si>
    <t>c0w7</t>
  </si>
  <si>
    <t>Canary Wharf Leasing (FC4) Limited</t>
  </si>
  <si>
    <t>c0w8</t>
  </si>
  <si>
    <t>Canary Wharf Leasing (FC4) No.2 Limited</t>
  </si>
  <si>
    <t>c0wa</t>
  </si>
  <si>
    <t>CW One Park Drive Limited</t>
  </si>
  <si>
    <t>c0wb</t>
  </si>
  <si>
    <t>INACTIVE - CW Wood Wharf B3 Development Company Limited</t>
  </si>
  <si>
    <t>c0wc</t>
  </si>
  <si>
    <t>CW 10 Park Drive Limited</t>
  </si>
  <si>
    <t>c0wd</t>
  </si>
  <si>
    <t>INACTIVE - CW Wood Wharf D1/D2 Development Company Limited</t>
  </si>
  <si>
    <t>c0we</t>
  </si>
  <si>
    <t>Wood Wharf Estate Management Limited</t>
  </si>
  <si>
    <t>c0wf</t>
  </si>
  <si>
    <t>Wood Wharf Finance Company Limited</t>
  </si>
  <si>
    <t>c0wg</t>
  </si>
  <si>
    <t>Wood Wharf Infrastructure Development Company 1 Limited</t>
  </si>
  <si>
    <t>c0wh</t>
  </si>
  <si>
    <t>CW 10 Park Drive Residential Limited</t>
  </si>
  <si>
    <t>c0wj</t>
  </si>
  <si>
    <t>Jollygate Limited</t>
  </si>
  <si>
    <t>c0wk</t>
  </si>
  <si>
    <t>Highplan Limited</t>
  </si>
  <si>
    <t>c0wl</t>
  </si>
  <si>
    <t>Guidecourt Management Limited</t>
  </si>
  <si>
    <t>c0wm</t>
  </si>
  <si>
    <t>Wood Wharf Management Company Limited</t>
  </si>
  <si>
    <t>c0wn</t>
  </si>
  <si>
    <t>Wood Wharf Property Holdings Limited</t>
  </si>
  <si>
    <t>c0wq</t>
  </si>
  <si>
    <t>DORMANT - Wood Wharf (General Partner) Limited</t>
  </si>
  <si>
    <t>c0wr</t>
  </si>
  <si>
    <t>CLOSED - Wood Wharf (General Partner) No.2 Limited</t>
  </si>
  <si>
    <t>c0ws</t>
  </si>
  <si>
    <t>CLOSED - Wood Wharf (General Partner) No.3 Limited</t>
  </si>
  <si>
    <t>c0wt</t>
  </si>
  <si>
    <t>Wood Wharf (Phase 1) Unit Trust</t>
  </si>
  <si>
    <t>c0wu</t>
  </si>
  <si>
    <t>Wood Wharf (No. 1A General Partner) Limited</t>
  </si>
  <si>
    <t>c0wv</t>
  </si>
  <si>
    <t>Wood Wharf (No. 1B General Partner) Limited</t>
  </si>
  <si>
    <t>c0ww</t>
  </si>
  <si>
    <t>Wood Wharf Limited Partnership</t>
  </si>
  <si>
    <t>c0wx</t>
  </si>
  <si>
    <t>Wood Wharf (No. 1A) Limited Partnership</t>
  </si>
  <si>
    <t>c0wy</t>
  </si>
  <si>
    <t>Wood Wharf (No. 1B) Limited Partnership</t>
  </si>
  <si>
    <t>c0wz</t>
  </si>
  <si>
    <t>CLOSED - Wood Wharf (No. 1B Nominee) Limited</t>
  </si>
  <si>
    <t>c0x1</t>
  </si>
  <si>
    <t>Canary Wharf Properties (FC4) Limited</t>
  </si>
  <si>
    <t>c0x4</t>
  </si>
  <si>
    <t>Canary Wharf Management (HQ3/HQ4) Limited</t>
  </si>
  <si>
    <t>c0x5</t>
  </si>
  <si>
    <t>Heron Quays Investments (RT3) Limited</t>
  </si>
  <si>
    <t>c0x6</t>
  </si>
  <si>
    <t>CWCB Properties (DS7) Limited</t>
  </si>
  <si>
    <t>c0x7</t>
  </si>
  <si>
    <t>DORMANT - Canary Wharf Management (B1/B2) Limited</t>
  </si>
  <si>
    <t>c0x8</t>
  </si>
  <si>
    <t>Canary Wharf Management (FC2/FC4) Limited</t>
  </si>
  <si>
    <t>GEN^UN^SC^TS</t>
  </si>
  <si>
    <t>c0x9</t>
  </si>
  <si>
    <t>Canary Wharf Management (DS7) Limited</t>
  </si>
  <si>
    <t>c0xd</t>
  </si>
  <si>
    <t>Canary Wharf A2 SPV1 Limited</t>
  </si>
  <si>
    <t>c0xe</t>
  </si>
  <si>
    <t>Canary Wharf A2 SPV2 Limited</t>
  </si>
  <si>
    <t>c0xf</t>
  </si>
  <si>
    <t>Wood Wharf A2 GP Limited</t>
  </si>
  <si>
    <t>c0xg</t>
  </si>
  <si>
    <t>Wood Wharf A2 Limited Partnership</t>
  </si>
  <si>
    <t>c0xh</t>
  </si>
  <si>
    <t>Canary Wharf E1/2 SPV1 Limited</t>
  </si>
  <si>
    <t>c0xj</t>
  </si>
  <si>
    <t>Canary Wharf E1/2 SPV2 Limited</t>
  </si>
  <si>
    <t>c0xk</t>
  </si>
  <si>
    <t>Wood Wharf E1/2 GP Limited</t>
  </si>
  <si>
    <t>c0xl</t>
  </si>
  <si>
    <t>Wood Wharf E1/2 Limited Partnership</t>
  </si>
  <si>
    <t>c0xm</t>
  </si>
  <si>
    <t>CW Wood Wharf G1 Development Company Limited</t>
  </si>
  <si>
    <t>c0xp</t>
  </si>
  <si>
    <t>CW Wood Wharf G5 Development Company Limited</t>
  </si>
  <si>
    <t>c0xr</t>
  </si>
  <si>
    <t>Canary Wharf Contractors (Crossrail) Limited</t>
  </si>
  <si>
    <t>c0xs</t>
  </si>
  <si>
    <t>CW 8 Harbord Square Limited</t>
  </si>
  <si>
    <t>c0xu</t>
  </si>
  <si>
    <t>CW Wood Wharf G10 Limited</t>
  </si>
  <si>
    <t>c0xv</t>
  </si>
  <si>
    <t>CW Wood Wharf G10 Development Company Limited</t>
  </si>
  <si>
    <t>c0xw</t>
  </si>
  <si>
    <t>CW Wood Wharf L1 Limited</t>
  </si>
  <si>
    <t>c0xx</t>
  </si>
  <si>
    <t>CW Wood Wharf L1 Development Company Limited</t>
  </si>
  <si>
    <t>c0xy</t>
  </si>
  <si>
    <t>CW Wood Wharf B2 Limited</t>
  </si>
  <si>
    <t>c0y1</t>
  </si>
  <si>
    <t>Canary Wharf Holdings (FC4) Limited</t>
  </si>
  <si>
    <t>c0y2</t>
  </si>
  <si>
    <t>Canary Wharf Investments (FC4) Limited</t>
  </si>
  <si>
    <t>c0y3</t>
  </si>
  <si>
    <t>Canary Wharf Retail (FC4) Limited</t>
  </si>
  <si>
    <t>c0y4</t>
  </si>
  <si>
    <t>Canary Wharf Holdings (FC2) Limited</t>
  </si>
  <si>
    <t>c0y5</t>
  </si>
  <si>
    <t>Canary Wharf Investments (FC2) Limited</t>
  </si>
  <si>
    <t>c0y6</t>
  </si>
  <si>
    <t>Canary Wharf Properties (FC2) Limited</t>
  </si>
  <si>
    <t>c0y8</t>
  </si>
  <si>
    <t>DORMANT - Canary Wharf (FC2) Limited</t>
  </si>
  <si>
    <t>c0y9</t>
  </si>
  <si>
    <t>Canary Wharf Retail (FC2) Limited</t>
  </si>
  <si>
    <t>c0ya</t>
  </si>
  <si>
    <t>Wood Wharf Infrastructure Development Company 2 Limited</t>
  </si>
  <si>
    <t>c0yb</t>
  </si>
  <si>
    <t>CW Wood Wharf J4/5 (Jersey) Limited</t>
  </si>
  <si>
    <t>c0yc</t>
  </si>
  <si>
    <t>CW Wood Wharf C2 (Jersey) Limited</t>
  </si>
  <si>
    <t>c0yd</t>
  </si>
  <si>
    <t>CW Wood Wharf D3/4 (Jersey) Limited</t>
  </si>
  <si>
    <t>c0ye</t>
  </si>
  <si>
    <t>CW Wood Wharf E3/4 (Jersey) Limited</t>
  </si>
  <si>
    <t>c0yf</t>
  </si>
  <si>
    <t>CW Wood Wharf F1 (Jersey) Limited</t>
  </si>
  <si>
    <t>c0yg</t>
  </si>
  <si>
    <t>CW Wood Wharf J1 (Jersey) Limited</t>
  </si>
  <si>
    <t>c0yh</t>
  </si>
  <si>
    <t>CW Wood Wharf J1-J3 (Jersey) Limited</t>
  </si>
  <si>
    <t>c0yj</t>
  </si>
  <si>
    <t>CW B3 Wood Wharf Limited</t>
  </si>
  <si>
    <t>c0z5</t>
  </si>
  <si>
    <t>DORMANT - Canary Wharf Holdings (BP3) Limited</t>
  </si>
  <si>
    <t>c0z6</t>
  </si>
  <si>
    <t>DORMANT - Canary Wharf (BP3) Limited</t>
  </si>
  <si>
    <t>c0z7</t>
  </si>
  <si>
    <t>Canary Wharf Holdings (BP4) Limited</t>
  </si>
  <si>
    <t>c0z8</t>
  </si>
  <si>
    <t>Canary Wharf (BP4) Limited</t>
  </si>
  <si>
    <t>c0z9</t>
  </si>
  <si>
    <t>Canary Wharf Communities Limited</t>
  </si>
  <si>
    <t>c0zs</t>
  </si>
  <si>
    <t>Newfoundland JVCo Limited</t>
  </si>
  <si>
    <t>c0zt</t>
  </si>
  <si>
    <t>Admirals Way Investment Limited</t>
  </si>
  <si>
    <t>c0zw</t>
  </si>
  <si>
    <t>Cottons Landing Management Limited</t>
  </si>
  <si>
    <t>c0zx</t>
  </si>
  <si>
    <t>Project Maple II B.V.</t>
  </si>
  <si>
    <t>c100</t>
  </si>
  <si>
    <t>CLOSED - Canary Wharf Communities Two Limited</t>
  </si>
  <si>
    <t>c101</t>
  </si>
  <si>
    <t>Canary Wharf Retail Limited</t>
  </si>
  <si>
    <t>c102</t>
  </si>
  <si>
    <t>Canary Wharf Properties (BP4) Ltd</t>
  </si>
  <si>
    <t>c103</t>
  </si>
  <si>
    <t>CW Wood Wharf E3/4 Development Company Limited</t>
  </si>
  <si>
    <t>GEN^CON^UN</t>
  </si>
  <si>
    <t>c104</t>
  </si>
  <si>
    <t>CW Wood Wharf F2 Development Company Limited</t>
  </si>
  <si>
    <t>c105</t>
  </si>
  <si>
    <t>CW Wood Wharf J1-J3 Development Company Limited</t>
  </si>
  <si>
    <t>c106</t>
  </si>
  <si>
    <t>CW Wood Wharf J4/J5 Development Company Limited</t>
  </si>
  <si>
    <t>c107</t>
  </si>
  <si>
    <t>CW NQ6 Holdings Limited</t>
  </si>
  <si>
    <t>c108</t>
  </si>
  <si>
    <t>North Quay Infrastructure Developments Limited</t>
  </si>
  <si>
    <t>GEN^CON</t>
  </si>
  <si>
    <t>c109</t>
  </si>
  <si>
    <t>CW NQ6 Limited</t>
  </si>
  <si>
    <t>c110</t>
  </si>
  <si>
    <t>NQ6 GP Limited</t>
  </si>
  <si>
    <t>c111</t>
  </si>
  <si>
    <t>NQ6 Limited Partnership</t>
  </si>
  <si>
    <t>c112</t>
  </si>
  <si>
    <t>NQ6 Holdings Limited</t>
  </si>
  <si>
    <t>c113</t>
  </si>
  <si>
    <t>NQ6 Developments Limited</t>
  </si>
  <si>
    <t>c114</t>
  </si>
  <si>
    <t>NQ6 Property Limited</t>
  </si>
  <si>
    <t>c116</t>
  </si>
  <si>
    <t>Wood Wharf Residential GP Limited</t>
  </si>
  <si>
    <t>c117</t>
  </si>
  <si>
    <t>Wood Wharf Residential Limited</t>
  </si>
  <si>
    <t>c118</t>
  </si>
  <si>
    <t>WW Residential Limited Partnership</t>
  </si>
  <si>
    <t>c119</t>
  </si>
  <si>
    <t>WW Residential Propco Holdco Limited</t>
  </si>
  <si>
    <t>c120</t>
  </si>
  <si>
    <t>WW Residential Devco Holdco Limited</t>
  </si>
  <si>
    <t>c121</t>
  </si>
  <si>
    <t>Vertus J1-J3 Limited</t>
  </si>
  <si>
    <t>c122</t>
  </si>
  <si>
    <t>Vertus J1-J3 Staffco Limited</t>
  </si>
  <si>
    <t>c123</t>
  </si>
  <si>
    <t>Vertus E3/4 Limited</t>
  </si>
  <si>
    <t>c124</t>
  </si>
  <si>
    <t>Vertus E3/4 Staffco Limited</t>
  </si>
  <si>
    <t>c125</t>
  </si>
  <si>
    <t>WW F1 Student Development Company Limited</t>
  </si>
  <si>
    <t>c126</t>
  </si>
  <si>
    <t>Wood Wharf Student Propco Holdco Limited</t>
  </si>
  <si>
    <t>c127</t>
  </si>
  <si>
    <t>Wood Wharf Student Propco Limited</t>
  </si>
  <si>
    <t>c128</t>
  </si>
  <si>
    <t>CWG FC4 Holdings Limited</t>
  </si>
  <si>
    <t>c129</t>
  </si>
  <si>
    <t>CWG FC4 Finance Limited</t>
  </si>
  <si>
    <t>c130</t>
  </si>
  <si>
    <t>CWG FC4 Properties Limited</t>
  </si>
  <si>
    <t>c131</t>
  </si>
  <si>
    <t>WW Residential Holdings Limited</t>
  </si>
  <si>
    <t>c132</t>
  </si>
  <si>
    <t>Stork Investments Limited</t>
  </si>
  <si>
    <t>c133</t>
  </si>
  <si>
    <t>WW Residential Finco Limited</t>
  </si>
  <si>
    <t>c134</t>
  </si>
  <si>
    <t>CW Wood Wharf G1 Limited</t>
  </si>
  <si>
    <t>c135</t>
  </si>
  <si>
    <t>CW Wood Wharf G5 Limited</t>
  </si>
  <si>
    <t>c136</t>
  </si>
  <si>
    <t>Vertus Serviced Apartments OpCo Limited</t>
  </si>
  <si>
    <t>c137</t>
  </si>
  <si>
    <t>CW Wood Wharf Water Street Holdings Limited</t>
  </si>
  <si>
    <t>c138</t>
  </si>
  <si>
    <t>CW Wood Wharf B3 Propco Limited</t>
  </si>
  <si>
    <t>c139</t>
  </si>
  <si>
    <t>CW Wood Wharf D1/D2 Propco Limited</t>
  </si>
  <si>
    <t>c140</t>
  </si>
  <si>
    <t>Canary Wharf (FC2) Office Limited</t>
  </si>
  <si>
    <t>c141</t>
  </si>
  <si>
    <t>CW NQ Holdings Limited</t>
  </si>
  <si>
    <t>c142</t>
  </si>
  <si>
    <t>CW NQ A5 Property Limited</t>
  </si>
  <si>
    <t>c143</t>
  </si>
  <si>
    <t>CW NQ B1 Property Limited</t>
  </si>
  <si>
    <t>c144</t>
  </si>
  <si>
    <t>CW NQ D1-D2 Limited</t>
  </si>
  <si>
    <t>c145</t>
  </si>
  <si>
    <t>CW NQ D3 Property Limited</t>
  </si>
  <si>
    <t>c146</t>
  </si>
  <si>
    <t>CW NQ D4 Property Limited</t>
  </si>
  <si>
    <t>c147</t>
  </si>
  <si>
    <t>NQ6 Investment Holdings Limited</t>
  </si>
  <si>
    <t>c148</t>
  </si>
  <si>
    <t>NQ6 Staffco Limited</t>
  </si>
  <si>
    <t>c149</t>
  </si>
  <si>
    <t>Canary Wharf Retail 2 Limited</t>
  </si>
  <si>
    <t>czxz</t>
  </si>
  <si>
    <t>Braeburn JV Consolidation Books</t>
  </si>
  <si>
    <t>czyw</t>
  </si>
  <si>
    <t>Amber 20 Churchill Topco Limited</t>
  </si>
  <si>
    <t>czyx</t>
  </si>
  <si>
    <t>Amber 20 Churchill Bidco Limited</t>
  </si>
  <si>
    <t>czyy</t>
  </si>
  <si>
    <t>Amber 20 Churchill Midco Limited</t>
  </si>
  <si>
    <t>czyz</t>
  </si>
  <si>
    <t>Amber 20 Churchill Holdco Limited</t>
  </si>
  <si>
    <t>e101</t>
  </si>
  <si>
    <t>Estate - Co. 06</t>
  </si>
  <si>
    <t>GEN^DIR^AE^PART^RP^UN^EST</t>
  </si>
  <si>
    <t>estate</t>
  </si>
  <si>
    <t>Estate Properties</t>
  </si>
  <si>
    <t>ozzz</t>
  </si>
  <si>
    <t>Dummy Entity (Use ONLY for DM)</t>
  </si>
  <si>
    <t>p101</t>
  </si>
  <si>
    <t>INS^AE^GEN^RES^RP^SC^TS^UN^PART^DIR^SF</t>
  </si>
  <si>
    <t>p102</t>
  </si>
  <si>
    <t>OLD - Infrastructure Car Park - Co. C4 (15008)</t>
  </si>
  <si>
    <t>INS^GEN^UN^RENT^SC</t>
  </si>
  <si>
    <t>p103</t>
  </si>
  <si>
    <t>OLD - Westferry Circus Car Park - Co. C4 (15108)</t>
  </si>
  <si>
    <t>INS^GEN^UN^RENT</t>
  </si>
  <si>
    <t>p104</t>
  </si>
  <si>
    <t>OLD - Cabot Square Car Park - Co. C4 (15208)</t>
  </si>
  <si>
    <t>p105</t>
  </si>
  <si>
    <t>OLD - Churchill Place Car Park - Co. C4 (15308)</t>
  </si>
  <si>
    <t>p106</t>
  </si>
  <si>
    <t>OLD - Canada Square Car Park - Co. C4 (15608)</t>
  </si>
  <si>
    <t>p107</t>
  </si>
  <si>
    <t>Columbus Car Park - Co. C4 (15708)</t>
  </si>
  <si>
    <t>p108</t>
  </si>
  <si>
    <t>OLD - Jubilee Place Car Park - Co. C4 (15808)</t>
  </si>
  <si>
    <t>p109</t>
  </si>
  <si>
    <t>Wood Wharf Car Park - Co. EP (15908)</t>
  </si>
  <si>
    <t>p110</t>
  </si>
  <si>
    <t>Promotion Fund - Co. 06 (17101)</t>
  </si>
  <si>
    <t>RP^UN</t>
  </si>
  <si>
    <t>p111</t>
  </si>
  <si>
    <t>IPTV Satellite System, Telecoms Infrastructure - Co. G8 (17091)</t>
  </si>
  <si>
    <t>GEN^INS^RENT^UN</t>
  </si>
  <si>
    <t>p112</t>
  </si>
  <si>
    <t>Westferry Pier - Co. 01</t>
  </si>
  <si>
    <t>SC^UN^GEN</t>
  </si>
  <si>
    <t>p113</t>
  </si>
  <si>
    <t>OLD - Reuters Plaza Retail - Co. N1 (Nash Court 16002)</t>
  </si>
  <si>
    <t>DEP^INS^SC^RENT^GEN^UN</t>
  </si>
  <si>
    <t>p114</t>
  </si>
  <si>
    <t>INACTIVE - Cabot Square Retail - Co. C7 (17302)</t>
  </si>
  <si>
    <t>p115</t>
  </si>
  <si>
    <t>Cabot Square Watercourts Retail - Co. 01 (17303)</t>
  </si>
  <si>
    <t>GEN^INS^RENT^UN^RP^SC</t>
  </si>
  <si>
    <t>p116</t>
  </si>
  <si>
    <t>OLD - Cabot Place Retail - Co. 05 (RT1 17002)</t>
  </si>
  <si>
    <t>DEP^INS^GEN^RENT^UN^RP^SC</t>
  </si>
  <si>
    <t>p117</t>
  </si>
  <si>
    <t>OLD - Canada Place Retail - Co. C7 (RT2 18002)</t>
  </si>
  <si>
    <t>DEP^INS^RP^SC^GEN^RENT^UN</t>
  </si>
  <si>
    <t>p118</t>
  </si>
  <si>
    <t>OLD - Jubilee Place Retail - Co. M0 (RT3 19002, RT3E 19003, 19004)</t>
  </si>
  <si>
    <t>p119</t>
  </si>
  <si>
    <t>OLD - Churchill Place Retail - Co. N2 (RT4 55001)</t>
  </si>
  <si>
    <t>p120</t>
  </si>
  <si>
    <t>Crossrail Retail - Co. EG (RT5 60011)</t>
  </si>
  <si>
    <t>p121</t>
  </si>
  <si>
    <t>OLD - DS3 Link Retail - Co. M3 (66001)</t>
  </si>
  <si>
    <t>p122</t>
  </si>
  <si>
    <t>OLD - DS4 Link Retail - Co. 04 (44002)</t>
  </si>
  <si>
    <t>INS^GEN^RENT^UN</t>
  </si>
  <si>
    <t>p123</t>
  </si>
  <si>
    <t>INACTIVE: Jubilee Link East Retail - Co. 04 (19005)</t>
  </si>
  <si>
    <t>p124</t>
  </si>
  <si>
    <t>OLD - 5 Chancellor Passage - Co. 06 (34005)</t>
  </si>
  <si>
    <t>INS^GEN^RENT^RP^SC^UN</t>
  </si>
  <si>
    <t>p125</t>
  </si>
  <si>
    <t>OLD - 6 Chancellor Passage - Co. 04 (34006)</t>
  </si>
  <si>
    <t>GEN^RENT^UN^RP^SC^INS</t>
  </si>
  <si>
    <t>p126</t>
  </si>
  <si>
    <t>OLD - Canada Square Park Pavilion - The Ivy - Co. GX (49011)</t>
  </si>
  <si>
    <t>INS^RP^SC^GEN^RENT^UN</t>
  </si>
  <si>
    <t>p127</t>
  </si>
  <si>
    <t>OLD - Canada Square Pavilion - Co. QA (DS7 Pav 47003, 49001)</t>
  </si>
  <si>
    <t>DEP^INS^RP^SC^RENT^GEN^UN</t>
  </si>
  <si>
    <t>p128</t>
  </si>
  <si>
    <t>OLD - 16 - 19 Canada Place - Co. 66 (DS8 48001)</t>
  </si>
  <si>
    <t>p129</t>
  </si>
  <si>
    <t>Middle Dock, Building One - Co. HA (98103)</t>
  </si>
  <si>
    <t>GEN^INS^RENT^SC^UN^RP^DEP</t>
  </si>
  <si>
    <t>p130</t>
  </si>
  <si>
    <t>Montgomery Square - Co. 04 (77101)</t>
  </si>
  <si>
    <t>RENT^UN^DIR^INS</t>
  </si>
  <si>
    <t>p131</t>
  </si>
  <si>
    <t>Montgomery Square Marketing Suite - Co. EP (77500)</t>
  </si>
  <si>
    <t>GEN^INS^RENT^SC^UN</t>
  </si>
  <si>
    <t>p132</t>
  </si>
  <si>
    <t>OLD - East Wintergarden - Co. 03 (77201)</t>
  </si>
  <si>
    <t>INS^GEN^RENT^UN^SC^RP</t>
  </si>
  <si>
    <t>p133</t>
  </si>
  <si>
    <t>OLD - West Wintergarden - Co. 03 (77311)</t>
  </si>
  <si>
    <t>p134</t>
  </si>
  <si>
    <t>Riverside - Co. EH (28001, 29001)</t>
  </si>
  <si>
    <t>SC^UN</t>
  </si>
  <si>
    <t>p135</t>
  </si>
  <si>
    <t>1 Park Place - Co. 04 (81001)</t>
  </si>
  <si>
    <t>p136</t>
  </si>
  <si>
    <t>1 Westferry Circus Office - Co. C1 (B1 23001)</t>
  </si>
  <si>
    <t>p137</t>
  </si>
  <si>
    <t>7 Westferry Circus - Co. GZ (B2 24001)</t>
  </si>
  <si>
    <t>DEP^INS^SC^GEN^RENT^UN</t>
  </si>
  <si>
    <t>p138</t>
  </si>
  <si>
    <t>7 Westferry Circus Retail - Co. GZ (B2 Retail 24001)</t>
  </si>
  <si>
    <t>p139</t>
  </si>
  <si>
    <t>11 Westferry Circus Office - Co. 04 (B3 25001)</t>
  </si>
  <si>
    <t>p140</t>
  </si>
  <si>
    <t>17 Columbus Court Yard - Co. C4 (B4 26001)</t>
  </si>
  <si>
    <t>p141</t>
  </si>
  <si>
    <t>20 Colombus Court Yard - Co. 01 (B5 27001)</t>
  </si>
  <si>
    <t>GEN^RENT^UN^SC</t>
  </si>
  <si>
    <t>p142</t>
  </si>
  <si>
    <t>1 Cabot Square - Co. 06 (FC1 31001)</t>
  </si>
  <si>
    <t>p143</t>
  </si>
  <si>
    <t>10 Cabot Square / 5 North Colonnade - Co. AR (FC2 32001)</t>
  </si>
  <si>
    <t>INS^SC^GEN^UN^RENT</t>
  </si>
  <si>
    <t>p144</t>
  </si>
  <si>
    <t>10 Cabot Square Retail - Co. Y9 (FC2 Retail 32002)</t>
  </si>
  <si>
    <t>p145</t>
  </si>
  <si>
    <t>25 North Colonnade Office - Co. 57 (FC3 33001)</t>
  </si>
  <si>
    <t>p146</t>
  </si>
  <si>
    <t>20 Cabot Square / 10 South Colonnade - Co. AX (FC4 34001)</t>
  </si>
  <si>
    <t>p147</t>
  </si>
  <si>
    <t>20 Cabot Square Retail - Co. Y3 (FC4 Retail 34002)</t>
  </si>
  <si>
    <t>p148</t>
  </si>
  <si>
    <t>25 Cabot Square - Co. 06 (FC5 35001)</t>
  </si>
  <si>
    <t>p149</t>
  </si>
  <si>
    <t>30 South Colonnade - Co. 46 (FC6 36001)</t>
  </si>
  <si>
    <t>p150</t>
  </si>
  <si>
    <t>30 South Colonnade Retail - Co. U8 (FC6 Retail 36001)</t>
  </si>
  <si>
    <t>p151</t>
  </si>
  <si>
    <t>5 Canada Square - Co. C4 (DS1 41001)</t>
  </si>
  <si>
    <t>p152</t>
  </si>
  <si>
    <t>8 Canada Square Office - Co. 01 (DS2 42001)</t>
  </si>
  <si>
    <t>p153</t>
  </si>
  <si>
    <t>30 North Colonnade - Co. 04 (DS3E 43011)</t>
  </si>
  <si>
    <t>p154</t>
  </si>
  <si>
    <t>15 Canada Square - Co. 04 (DS3W 43021)</t>
  </si>
  <si>
    <t>p155</t>
  </si>
  <si>
    <t>20 Canada Square Office - Co. 01 (DS4 44001)</t>
  </si>
  <si>
    <t>p156</t>
  </si>
  <si>
    <t>25 Canada Square - Co. C4 (DS5 45001)</t>
  </si>
  <si>
    <t>p157</t>
  </si>
  <si>
    <t>33 Canada Square - Co. 69 (DS6 46001)</t>
  </si>
  <si>
    <t>INS^SC^RENT^GEN^UN</t>
  </si>
  <si>
    <t>p158</t>
  </si>
  <si>
    <t>One Canada Square - Co. 42/A5/A8/X6 (DS7 47001)</t>
  </si>
  <si>
    <t>p159</t>
  </si>
  <si>
    <t>OLD - One Canada Square Retail - Co. 05 (DS7 Retail 47002)</t>
  </si>
  <si>
    <t>p160</t>
  </si>
  <si>
    <t>1 Churchill Place - Co. W4 (BP1 51001)</t>
  </si>
  <si>
    <t>INS^SC^GEN^RENT^UN</t>
  </si>
  <si>
    <t>p161</t>
  </si>
  <si>
    <t>5 Churchill Place Office - Co. Q9 (BP2 52001)</t>
  </si>
  <si>
    <t>p162</t>
  </si>
  <si>
    <t>20 Churchill Place - Co. 04 (BP3 53001)</t>
  </si>
  <si>
    <t>SC^UN^RENT</t>
  </si>
  <si>
    <t>p163</t>
  </si>
  <si>
    <t>25 Churchill Place - Co. 01 (BP4 54001)</t>
  </si>
  <si>
    <t>GEN^INS^UN^SC^RENT</t>
  </si>
  <si>
    <t>p164</t>
  </si>
  <si>
    <t>North Quay Site - Co. EJ (60001)</t>
  </si>
  <si>
    <t>GEN^INS^UN^SC</t>
  </si>
  <si>
    <t>p165</t>
  </si>
  <si>
    <t>North Quay Retail - Co. EJ (60015)</t>
  </si>
  <si>
    <t>p166</t>
  </si>
  <si>
    <t>20 Bank Street - Co. H9 (HQ1 71001)</t>
  </si>
  <si>
    <t>p167</t>
  </si>
  <si>
    <t>25/30 Bank Street - Co. L2 (HQ2 72001)</t>
  </si>
  <si>
    <t>p168</t>
  </si>
  <si>
    <t>40 Bank Street - Co. L7 (HQ3 73001)</t>
  </si>
  <si>
    <t>p169</t>
  </si>
  <si>
    <t>40 Bank Street Retail - Co. L7 (HQ3 Retail 73001)</t>
  </si>
  <si>
    <t>RP^SC^GEN^RENT^UN^INS</t>
  </si>
  <si>
    <t>p170</t>
  </si>
  <si>
    <t>50 Bank Street - Co. DA (HQ4 74001)</t>
  </si>
  <si>
    <t>SC^UN^INS^RENT</t>
  </si>
  <si>
    <t>p171</t>
  </si>
  <si>
    <t>50 Bank Street Retail - Co. DA (HQ4 Retail 74001)</t>
  </si>
  <si>
    <t>p172</t>
  </si>
  <si>
    <t>10 Upper Bank Street - Co. FA (HQ5 75001)</t>
  </si>
  <si>
    <t>p173</t>
  </si>
  <si>
    <t>10 Upper Bank Street Retail - Co. FA (HQ5 Retail 75001)</t>
  </si>
  <si>
    <t>p174</t>
  </si>
  <si>
    <t>15 Westferry Circus - Co. ER (WF9 89001)</t>
  </si>
  <si>
    <t>p175</t>
  </si>
  <si>
    <t>1 &amp; 5 Bank Street Office - Co. GP (HQW2 98101)</t>
  </si>
  <si>
    <t>p176</t>
  </si>
  <si>
    <t>10 Bank Street - Co. CS (HQW1 98102)</t>
  </si>
  <si>
    <t>p177</t>
  </si>
  <si>
    <t>Newfoundland Development - Co. VN (81002)</t>
  </si>
  <si>
    <t>p178</t>
  </si>
  <si>
    <t>Newfoundland PRS Rent - Co. RD (81002)</t>
  </si>
  <si>
    <t>GEN^INS^RENT^SC^UN^DEP^DEPTDS^RESFEE</t>
  </si>
  <si>
    <t>p179</t>
  </si>
  <si>
    <t>INACTIVE: Newfoundland Car Park - Co. VN (81003)</t>
  </si>
  <si>
    <t>p180</t>
  </si>
  <si>
    <t>Newfoundland Retail - Co. VN (81004)</t>
  </si>
  <si>
    <t>DEP^INS^SC^GEN^RENT^UN^RP</t>
  </si>
  <si>
    <t>p181</t>
  </si>
  <si>
    <t>83 Barchester Street - Co. GF (81011)</t>
  </si>
  <si>
    <t>p182</t>
  </si>
  <si>
    <t>Burdett Road - Co. EQ (82921)</t>
  </si>
  <si>
    <t>p183</t>
  </si>
  <si>
    <t>5 Oliffe Street - Co. WL (81031)</t>
  </si>
  <si>
    <t>p184</t>
  </si>
  <si>
    <t>3 Jamestown Way - Co. WL (81051)</t>
  </si>
  <si>
    <t>p185</t>
  </si>
  <si>
    <t>82 Lockesfield Place  - Co. WL (81071)</t>
  </si>
  <si>
    <t>p186</t>
  </si>
  <si>
    <t>78 Barnsfield Place - Co. WL (81081)</t>
  </si>
  <si>
    <t>p187</t>
  </si>
  <si>
    <t>Suite 1 Beatty House, Admirals Way - Co. 04 (81101)</t>
  </si>
  <si>
    <t>p188</t>
  </si>
  <si>
    <t>Suite 3 Cochrane House, Admirals Way - Co. 04 (81201)</t>
  </si>
  <si>
    <t>p189</t>
  </si>
  <si>
    <t>Suite 3 Parker House, Admirals Way - Co. 04 (81503)</t>
  </si>
  <si>
    <t>p190</t>
  </si>
  <si>
    <t>Suite 4 Parker House, Admirals Way - Co. 04 (81504)</t>
  </si>
  <si>
    <t>p191</t>
  </si>
  <si>
    <t>Suite 4 Raleigh House, Admirals Way - Co. 04 (81604)</t>
  </si>
  <si>
    <t>p192</t>
  </si>
  <si>
    <t>Suite 39 Beaufort Court, Admirals Way - Co. 04 (81739)</t>
  </si>
  <si>
    <t>p193</t>
  </si>
  <si>
    <t>Lovegrove Walk, Wood Wharf - Co. WJ (82111)</t>
  </si>
  <si>
    <t>GEN^INS^SC^UN</t>
  </si>
  <si>
    <t>p194</t>
  </si>
  <si>
    <t>20 York Road - Co. DN (SHB11)</t>
  </si>
  <si>
    <t>p195</t>
  </si>
  <si>
    <t>10 York Road - Co. DN (SHB21)</t>
  </si>
  <si>
    <t>p196</t>
  </si>
  <si>
    <t>8 - 13 Casson Square Development - Co. JD (SHB31)</t>
  </si>
  <si>
    <t>p197</t>
  </si>
  <si>
    <t>INACTIVE - 8 - 13 Casson Square Resi Grd Rent - Co. JD (SHB31)</t>
  </si>
  <si>
    <t>p198</t>
  </si>
  <si>
    <t>8 - 13 Casson Square Retail - Co. JD (SHB31)</t>
  </si>
  <si>
    <t>p199</t>
  </si>
  <si>
    <t>1 Casson Square Development - JJ:SHB4A</t>
  </si>
  <si>
    <t>p200</t>
  </si>
  <si>
    <t>1 Casson Square (Owner) - JJ:SHB4A</t>
  </si>
  <si>
    <t>GEN^INS^RENT^SC^UN^RES</t>
  </si>
  <si>
    <t>p201</t>
  </si>
  <si>
    <t>OLD - 1 Casson Square Retail - JJ:SHB4A</t>
  </si>
  <si>
    <t>SC^GEN^INS^RENT^UN^RES</t>
  </si>
  <si>
    <t>p202</t>
  </si>
  <si>
    <t>30 Casson Square Development - JP:SHB4B</t>
  </si>
  <si>
    <t>p203</t>
  </si>
  <si>
    <t>30 Casson Square (Owner) - JP:SHB4B</t>
  </si>
  <si>
    <t>p204</t>
  </si>
  <si>
    <t>OLD - 30 Casson Square Retail - JP:SHB4B</t>
  </si>
  <si>
    <t>p205</t>
  </si>
  <si>
    <t>7 Belvedere Road Development - JU:SHB51</t>
  </si>
  <si>
    <t>p206</t>
  </si>
  <si>
    <t>7 Belvedere Road (Owner) - JU:SHB51</t>
  </si>
  <si>
    <t>p207</t>
  </si>
  <si>
    <t>5 Belvedere Road Development - JZ:SHB61</t>
  </si>
  <si>
    <t>p208</t>
  </si>
  <si>
    <t>5 Belvedere Road (Owner) - JZ:SHB61</t>
  </si>
  <si>
    <t>p209</t>
  </si>
  <si>
    <t>OLD - 5 Belvedere Road Retail - JZ:SHB61</t>
  </si>
  <si>
    <t>p210</t>
  </si>
  <si>
    <t>Shell Centre County Hall North Block - Co. DN (SHC01)</t>
  </si>
  <si>
    <t>p211</t>
  </si>
  <si>
    <t>INACTIVE - Shell Centre Estate - Co. DN (SHE01)</t>
  </si>
  <si>
    <t>p212</t>
  </si>
  <si>
    <t>Southbank Place B1 Retail - Co. KC (SHR01)</t>
  </si>
  <si>
    <t>p213</t>
  </si>
  <si>
    <t>One Park Drive Development - WA:WWA1 W3001</t>
  </si>
  <si>
    <t>p214</t>
  </si>
  <si>
    <t>One Park Drive (Owner) - WA:WWA1 W3001</t>
  </si>
  <si>
    <t>p215</t>
  </si>
  <si>
    <t>One Park Drive Retail - WA:WWA1 W3001</t>
  </si>
  <si>
    <t>GEN^INS^RENT^SC^UN^RES^RP</t>
  </si>
  <si>
    <t>p216</t>
  </si>
  <si>
    <t>8 Water Street Development - Co. VJ (WWA2 W3101)</t>
  </si>
  <si>
    <t>p217</t>
  </si>
  <si>
    <t>8 Water Street PRS Rent - Co. RB (WWA2 W3101)</t>
  </si>
  <si>
    <t>p218</t>
  </si>
  <si>
    <t>8 Water Street Retail - Co. VJ (WWA2 W3101)</t>
  </si>
  <si>
    <t>GEN^INS^RENT^SC^UN^DEP^RP</t>
  </si>
  <si>
    <t>p219</t>
  </si>
  <si>
    <t>10 Park Drive Development - WC :WWA3 W3201</t>
  </si>
  <si>
    <t>p220</t>
  </si>
  <si>
    <t>10 Park Drive (Owner) - WC:WWA3 W3201</t>
  </si>
  <si>
    <t>p221</t>
  </si>
  <si>
    <t>10 Park Drive Retail - WC:WWA3 W3201</t>
  </si>
  <si>
    <t>DEP^GEN^UN^RENT^SC^INS^RES^RP</t>
  </si>
  <si>
    <t>p222</t>
  </si>
  <si>
    <t>10 George Street Development - Co. VK (WWE1E2 W3501)</t>
  </si>
  <si>
    <t>p223</t>
  </si>
  <si>
    <t>10 George Street PRS Rent - Co. RC (WWE1E2 W3501)</t>
  </si>
  <si>
    <t>p224</t>
  </si>
  <si>
    <t>10 George Street Retail - Co. VK (WWE1E2 W3501)</t>
  </si>
  <si>
    <t>DEP^GEN^UN^RENT^RP^SC</t>
  </si>
  <si>
    <t>p225</t>
  </si>
  <si>
    <t>INACTIVE - 13/15 Water Street &amp; 14 Charter Street Retail - Co. UD (WWB3 W3301)</t>
  </si>
  <si>
    <t>RENT^INS^SC^RP^DEP^UN^GEN</t>
  </si>
  <si>
    <t>p226</t>
  </si>
  <si>
    <t>INACTIVE - 14/30 Water Street &amp; 9/11/15 Park Drive Retail - Co. UH (WWD1D2 W3401)</t>
  </si>
  <si>
    <t>DEP^GEN^RENT^UN^INS^SC^RP</t>
  </si>
  <si>
    <t>p227</t>
  </si>
  <si>
    <t>75 Harbord Square Retail - Co. US (WWH3 W4401)</t>
  </si>
  <si>
    <t>p228</t>
  </si>
  <si>
    <t>1 Water Street - Co. HL (WWK1 W4801)</t>
  </si>
  <si>
    <t>RENT^INS^GEN^UN^DEP^SC^RP</t>
  </si>
  <si>
    <t>p229</t>
  </si>
  <si>
    <t>INACTIVE - 20 Water Street Office - Co. UH (WWD1D2 W3401)</t>
  </si>
  <si>
    <t>p230</t>
  </si>
  <si>
    <t>One Canada Square - Co. 50 (DS7 47001)</t>
  </si>
  <si>
    <t>p231</t>
  </si>
  <si>
    <t>OLD - Reuters Plaza Kiosk - Co. 01 (Nash Court 16002)</t>
  </si>
  <si>
    <t>GEN^INS^RENT^UN^RP^SC^DEP</t>
  </si>
  <si>
    <t>p232</t>
  </si>
  <si>
    <t>40 Bank Street - Leasebacks - Co. 03 (HQ3 73001)</t>
  </si>
  <si>
    <t>INS^GEN^UN^SC^RENT</t>
  </si>
  <si>
    <t>p233</t>
  </si>
  <si>
    <t>Churchill Place Prayer &amp; Consultation Room, Units A &amp; B - Co. 04 (RT4 55001)</t>
  </si>
  <si>
    <t>INS^GEN^RENT^UN^SC</t>
  </si>
  <si>
    <t>p234</t>
  </si>
  <si>
    <t>Churchill Place Bicycle Storage - Co. 04 (15308)</t>
  </si>
  <si>
    <t>p235</t>
  </si>
  <si>
    <t>Wood Wharf Telecoms &amp; Common Areas - Co. EP  (WWE 82999)</t>
  </si>
  <si>
    <t>p236</t>
  </si>
  <si>
    <t>20 Cabot Square Telecoms - Co. X1 (FC4 34001)</t>
  </si>
  <si>
    <t>DIR^RENT</t>
  </si>
  <si>
    <t>p237</t>
  </si>
  <si>
    <t>North Quay Office - Co. HH (60001)</t>
  </si>
  <si>
    <t>p238</t>
  </si>
  <si>
    <t>Wood Wharf Car Park - Co. WA (15908)</t>
  </si>
  <si>
    <t>p239</t>
  </si>
  <si>
    <t>East Winter Garden CWML - Co. 06</t>
  </si>
  <si>
    <t>GEN^TS^UN^EW</t>
  </si>
  <si>
    <t>p240</t>
  </si>
  <si>
    <t>Tenant Services CWML - Co. 06</t>
  </si>
  <si>
    <t>TS^UN^GEN</t>
  </si>
  <si>
    <t>p241</t>
  </si>
  <si>
    <t>Newfoundland Taxable Services - Co. RD</t>
  </si>
  <si>
    <t>GEN^SC</t>
  </si>
  <si>
    <t>p242</t>
  </si>
  <si>
    <t>8 Water Street Taxable Services - Co. RB</t>
  </si>
  <si>
    <t>p243</t>
  </si>
  <si>
    <t>10 George Street Taxable Services - Co. RC</t>
  </si>
  <si>
    <t>p244</t>
  </si>
  <si>
    <t>One Park Drive Taxable Services - WA:WWA1 W3001</t>
  </si>
  <si>
    <t>p245</t>
  </si>
  <si>
    <t>10 Park Drive Taxable Services - WC:WWA3 W3201</t>
  </si>
  <si>
    <t>p246</t>
  </si>
  <si>
    <t>Kiosk 20 and Pontoon - Co. 01 (WW)</t>
  </si>
  <si>
    <t>p247</t>
  </si>
  <si>
    <t>Wood Wharf School - Co. UN (WW H2)</t>
  </si>
  <si>
    <t>p248</t>
  </si>
  <si>
    <t>30 Harbord Square PRS Rent - Co. Z9  (WW G3)</t>
  </si>
  <si>
    <t>p249</t>
  </si>
  <si>
    <t>Wood Wharf Estate Common Parts - Co. EP</t>
  </si>
  <si>
    <t>GEN^DEP^RENT^INS^SC</t>
  </si>
  <si>
    <t>p250</t>
  </si>
  <si>
    <t>10 Union Square Retail (WW G10) - Co. EP</t>
  </si>
  <si>
    <t>p251</t>
  </si>
  <si>
    <t>One Charter Street Retail - Co. TT (WWB2)</t>
  </si>
  <si>
    <t>p252</t>
  </si>
  <si>
    <t>Southbank Place Estate - Co. JA</t>
  </si>
  <si>
    <t>GEN^INS^RENT^SC^UN^RES^DIR</t>
  </si>
  <si>
    <t>p253</t>
  </si>
  <si>
    <t>Wood Wharf Estate - Co. WE</t>
  </si>
  <si>
    <t>p254</t>
  </si>
  <si>
    <t>INACTIVE - 10 York Road Service Charge Office - Co. 1H</t>
  </si>
  <si>
    <t>p255</t>
  </si>
  <si>
    <t>INACTIVE: 20 York Road Service Charge Office - Co. 1A</t>
  </si>
  <si>
    <t>p256</t>
  </si>
  <si>
    <t>1 Casson Square Taxable Services - JJ:SHB4A</t>
  </si>
  <si>
    <t>p257</t>
  </si>
  <si>
    <t>30 Casson Square Taxable Services - JP:SHB4B</t>
  </si>
  <si>
    <t>p258</t>
  </si>
  <si>
    <t>5 Belvedere Road Taxable Services - JZ:SHB61</t>
  </si>
  <si>
    <t>p259</t>
  </si>
  <si>
    <t>INACTIVE - Wood Wharf Estate H1/H4 Infra S/Chg - Co. WE</t>
  </si>
  <si>
    <t>p260</t>
  </si>
  <si>
    <t>10 George Street Retail S/Chg - Co. RC</t>
  </si>
  <si>
    <t>p261</t>
  </si>
  <si>
    <t>8 Water Street Retail S/Chg - Co. RB</t>
  </si>
  <si>
    <t>p262</t>
  </si>
  <si>
    <t>Newfoundland Retail S/Chg - Co. RD</t>
  </si>
  <si>
    <t>p263</t>
  </si>
  <si>
    <t>30 Harbord Square Retail S/Chg - Co. Z9</t>
  </si>
  <si>
    <t>GEN^SC^UN^INS</t>
  </si>
  <si>
    <t>p264</t>
  </si>
  <si>
    <t>INACTIVE - 30 Harbord Square Taxable Services - Co. Z9</t>
  </si>
  <si>
    <t>p265</t>
  </si>
  <si>
    <t>25 Harbord Square Retail - Co. VL</t>
  </si>
  <si>
    <t>GEN^RENT^SC^UN^RP</t>
  </si>
  <si>
    <t>p266</t>
  </si>
  <si>
    <t>50 - 65 Harbord Square Rent - Co. Z9</t>
  </si>
  <si>
    <t>p267</t>
  </si>
  <si>
    <t>50 Harbord Square Bldg S/Chg - Co. UL</t>
  </si>
  <si>
    <t>p268</t>
  </si>
  <si>
    <t>50 Harbord Square Retail &amp; Sports Club - Co. UL</t>
  </si>
  <si>
    <t>p269</t>
  </si>
  <si>
    <t>65 Harbord Square Bldg S/Chg - Co. UM</t>
  </si>
  <si>
    <t>p270</t>
  </si>
  <si>
    <t>INACTIVE - 65 Harbord Square Retail - Co. UM</t>
  </si>
  <si>
    <t>p271</t>
  </si>
  <si>
    <t>20 Churchill Place - Co. ZYX (BP3 53001)</t>
  </si>
  <si>
    <t>p272</t>
  </si>
  <si>
    <t>45 &amp; 55 Harbord Square Retail - Co. UL (H1.1 &amp; H1.2)</t>
  </si>
  <si>
    <t>SC^GEN</t>
  </si>
  <si>
    <t>p273</t>
  </si>
  <si>
    <t>60 &amp; 70 Harbord Square Retail - Co. UM (H4)</t>
  </si>
  <si>
    <t>GEN^UN^RENT^INS^SC^RP</t>
  </si>
  <si>
    <t>p274</t>
  </si>
  <si>
    <t>OLD - 5 Frobisher Passage - Co. 04</t>
  </si>
  <si>
    <t>RENT^SC^INS^RP^GEN^UN</t>
  </si>
  <si>
    <t>p275</t>
  </si>
  <si>
    <t>OLD - 6 Frobisher Passage - Co. 04</t>
  </si>
  <si>
    <t>RENT^SC^GEN^INS^DEP^UN</t>
  </si>
  <si>
    <t>p276</t>
  </si>
  <si>
    <t>INACTIVE - 10 York Road Service Charge Retail - Co. 1H</t>
  </si>
  <si>
    <t>GEN^INS^RENT^SC^UN^DEP</t>
  </si>
  <si>
    <t>p277</t>
  </si>
  <si>
    <t>INACTIVE - 20 York Road Service Charge Retail - Co. 1A</t>
  </si>
  <si>
    <t>p278</t>
  </si>
  <si>
    <t>16 - 19 Canada Place - Co. 101 (DS8 48001)</t>
  </si>
  <si>
    <t>GEN^UN^INS^RENT^DEP^SC^RP</t>
  </si>
  <si>
    <t>p279</t>
  </si>
  <si>
    <t>One Canada Square Retail - Co. 101 (DS7 Retail 47002)</t>
  </si>
  <si>
    <t>GEN^RENT^INS^UN^DEP^SC^RP</t>
  </si>
  <si>
    <t>p280</t>
  </si>
  <si>
    <t>OLD - Canada Square Park Open Retail - Co. D5</t>
  </si>
  <si>
    <t>RENT^SC</t>
  </si>
  <si>
    <t>p281</t>
  </si>
  <si>
    <t>10 Bank Street Retail - Co. CS</t>
  </si>
  <si>
    <t>GEN^SC^UN^RENT</t>
  </si>
  <si>
    <t>p282</t>
  </si>
  <si>
    <t>INACTIVE - 15 Water Street Office - Co. UD (WWB3 W3301)</t>
  </si>
  <si>
    <t>GEN^INS</t>
  </si>
  <si>
    <t>p283</t>
  </si>
  <si>
    <t>20 Water Street Office Sublet - Co. ET (WWD1D2 W3401)</t>
  </si>
  <si>
    <t>GEN^RENT^SC^INS^UN</t>
  </si>
  <si>
    <t>p284</t>
  </si>
  <si>
    <t>INACTIVE: 20 Canada Square Grd Rent - Co. 04 (DS4 44001)</t>
  </si>
  <si>
    <t>p285</t>
  </si>
  <si>
    <t>1 &amp; 5 Bank Street Retail - Co. GP (HQW2 98101)</t>
  </si>
  <si>
    <t>RENT^INS^UN^GEN^SC^RP</t>
  </si>
  <si>
    <t>p286</t>
  </si>
  <si>
    <t>The Tribe Hotel - Co. YJ (WW B3)</t>
  </si>
  <si>
    <t>p287</t>
  </si>
  <si>
    <t>Newfoundland Lobby Retail - Co. RD</t>
  </si>
  <si>
    <t>RENT^GEN</t>
  </si>
  <si>
    <t>p288</t>
  </si>
  <si>
    <t>Infrastructure Car Park - Co. 101 (15008)</t>
  </si>
  <si>
    <t>RENT^GEN^INS^UN^DEP^SC^RP</t>
  </si>
  <si>
    <t>p289</t>
  </si>
  <si>
    <t>Cabot Square Car Park - Co. 101 (15208)</t>
  </si>
  <si>
    <t>p290</t>
  </si>
  <si>
    <t>Canada Square Car Park - Co. 101 (15608)</t>
  </si>
  <si>
    <t>GEN^INS^RENT^UN^DEP^SC^RP</t>
  </si>
  <si>
    <t>p291</t>
  </si>
  <si>
    <t>Jubilee Place Car Park - Co. 101 (15808)</t>
  </si>
  <si>
    <t>p292</t>
  </si>
  <si>
    <t>Cabot Place Retail - Co. 101 (RT1 17002)</t>
  </si>
  <si>
    <t>RENT^GEN^INS^UN^RP^SC^DEP</t>
  </si>
  <si>
    <t>p293</t>
  </si>
  <si>
    <t>Canada Place Retail - Co. 101 (RT2 18002)</t>
  </si>
  <si>
    <t>p294</t>
  </si>
  <si>
    <t>Jubilee Place Retail - Co. 101 (RT3 19002, RT3E 19003, 19004)</t>
  </si>
  <si>
    <t>RENT^GEN^INS^UN^SC^DEP^RP</t>
  </si>
  <si>
    <t>p295</t>
  </si>
  <si>
    <t>5 Water Street - Co. HL (WWK2 W4801)</t>
  </si>
  <si>
    <t>RP^INS^GEN^UN^RENT^SC^DEP</t>
  </si>
  <si>
    <t>p296</t>
  </si>
  <si>
    <t>INACTIVE - 15 Water Street Hospitality - Co. UD</t>
  </si>
  <si>
    <t>RENT^SC^RP^INS</t>
  </si>
  <si>
    <t>p297</t>
  </si>
  <si>
    <t>10 Upper Bank Street Grd Rent - Co. L2 (HQ5)</t>
  </si>
  <si>
    <t>p298</t>
  </si>
  <si>
    <t>11 Westferry Circus Retail - Co. 04 (B3 25001)</t>
  </si>
  <si>
    <t>p299</t>
  </si>
  <si>
    <t>25 North Colonnade Retail - Co. 57 (FC3 33001)</t>
  </si>
  <si>
    <t>p300</t>
  </si>
  <si>
    <t>8 Canada Square Retail - Co. 01 (DS2 42001)</t>
  </si>
  <si>
    <t>p301</t>
  </si>
  <si>
    <t>20 Canada Square Retail - Co. 01 (DS4 44001)</t>
  </si>
  <si>
    <t>p302</t>
  </si>
  <si>
    <t>5 Churchill Place Retail - Co. Q9 (BP2 52001)</t>
  </si>
  <si>
    <t>p303</t>
  </si>
  <si>
    <t>1 Westferry Circus Retail - Co. C1 (B1 23001)</t>
  </si>
  <si>
    <t>p304</t>
  </si>
  <si>
    <t>8 Harbord Square Retail - Co. XS</t>
  </si>
  <si>
    <t>UN^RENT^INS^SC^GEN^RP</t>
  </si>
  <si>
    <t>p305</t>
  </si>
  <si>
    <t>8 Harbord Square (Owner) - Co. XS</t>
  </si>
  <si>
    <t>UN^RENT^INS^SC^GEN^RES</t>
  </si>
  <si>
    <t>p306</t>
  </si>
  <si>
    <t>Canada Square Park Open Retail - Co. 101</t>
  </si>
  <si>
    <t>SC^RP^RENT^INS^GEN^UN^DEP</t>
  </si>
  <si>
    <t>p307</t>
  </si>
  <si>
    <t>3 West Lane PRS Rent - Co. 136 (WW G1)</t>
  </si>
  <si>
    <t>GEN^UN^RENT^DEP^SC^RESFEE^INS</t>
  </si>
  <si>
    <t>p308</t>
  </si>
  <si>
    <t>15 West Lane PRS Rent - Co. 136 (WW G5)</t>
  </si>
  <si>
    <t>DEP^RESFEE^RENT^INS^UN^SC^GEN</t>
  </si>
  <si>
    <t>p309</t>
  </si>
  <si>
    <t>15 Water Street Office - Co. 138 (WWB3 W3301)</t>
  </si>
  <si>
    <t>GEN^UN^RENT^INS^SC</t>
  </si>
  <si>
    <t>p310</t>
  </si>
  <si>
    <t>13/15 Water Street &amp; 14 Charter Street Retail - Co. 138 (WWB3 W3301)</t>
  </si>
  <si>
    <t>GEN^UN^RENT^INS^SC^RP^DEP</t>
  </si>
  <si>
    <t>p311</t>
  </si>
  <si>
    <t>15 Water Street Hospitality - Co. 138</t>
  </si>
  <si>
    <t>p312</t>
  </si>
  <si>
    <t>20 Water Street Office - Co. 139 (WWD1D2 W3401)</t>
  </si>
  <si>
    <t>p313</t>
  </si>
  <si>
    <t>14/30 Water Street &amp; 9/11/15 Park Drive Retail - Co. 139 (WWD1D2 W3401)</t>
  </si>
  <si>
    <t>p314</t>
  </si>
  <si>
    <t>Hungerford Car Park - Co. KD</t>
  </si>
  <si>
    <t>p315</t>
  </si>
  <si>
    <t>Waste Management - Co. 06</t>
  </si>
  <si>
    <t>p316</t>
  </si>
  <si>
    <t>3 West Lane Bldg Rent - Co. 134</t>
  </si>
  <si>
    <t>p317</t>
  </si>
  <si>
    <t>3 West Lane Retail - Co. 134</t>
  </si>
  <si>
    <t>GEN^UN^RENT^SC^INS^RP</t>
  </si>
  <si>
    <t>p318</t>
  </si>
  <si>
    <t>3 West Lane Blg S/Chg - Co. 134</t>
  </si>
  <si>
    <t>GEN^UN^INS^SC</t>
  </si>
  <si>
    <t>p319</t>
  </si>
  <si>
    <t>15 West Lane Bldg Rent - Co. 135</t>
  </si>
  <si>
    <t>p320</t>
  </si>
  <si>
    <t>15 West Lane Retail - Co. 135</t>
  </si>
  <si>
    <t>p321</t>
  </si>
  <si>
    <t>15 West Lane Blg S/Chg - Co. 135</t>
  </si>
  <si>
    <t>p322</t>
  </si>
  <si>
    <t>Westferry Circus Car Park - Co. 101 (15108)</t>
  </si>
  <si>
    <t>p323</t>
  </si>
  <si>
    <t>Churchill Place Retail - Co. 101 (RT4 55001)</t>
  </si>
  <si>
    <t>p324</t>
  </si>
  <si>
    <t>Churchill Place Car Park - Co. 101 (15308)</t>
  </si>
  <si>
    <t>p325</t>
  </si>
  <si>
    <t>Reuters Plaza Retail - Co. 149 (Nash Court 16002)</t>
  </si>
  <si>
    <t>p326</t>
  </si>
  <si>
    <t>Reuters Plaza Kiosk - Co. 149 (Nash Court 16002)</t>
  </si>
  <si>
    <t>p327</t>
  </si>
  <si>
    <t>DS3 Link Retail - Co. 149 (66001)</t>
  </si>
  <si>
    <t>p328</t>
  </si>
  <si>
    <t>DS4 Link Retail - Co. 149 (44002)</t>
  </si>
  <si>
    <t>p329</t>
  </si>
  <si>
    <t>5 Chancellor Passage - Co. 149 (34005)</t>
  </si>
  <si>
    <t>p330</t>
  </si>
  <si>
    <t>6 Chancellor Passage - Co. 149 (34006)</t>
  </si>
  <si>
    <t>p331</t>
  </si>
  <si>
    <t>Canada Square Park Pavilion - The Ivy - Co. 149 (49011)</t>
  </si>
  <si>
    <t>p332</t>
  </si>
  <si>
    <t>Canada Square Pavilion - Co. 149 (DS7 Pav 47003, 49001)</t>
  </si>
  <si>
    <t>p333</t>
  </si>
  <si>
    <t>East Wintergarden - Co. 149 (77201)</t>
  </si>
  <si>
    <t>p334</t>
  </si>
  <si>
    <t>West Wintergarden - Co. 149 (77311)</t>
  </si>
  <si>
    <t>p335</t>
  </si>
  <si>
    <t>5 Frobisher Passage - Co. 149</t>
  </si>
  <si>
    <t>p336</t>
  </si>
  <si>
    <t>6 Frobisher Passage - Co. 149</t>
  </si>
  <si>
    <t>p337</t>
  </si>
  <si>
    <t>1 Casson Square Retail - KX:SHB4A</t>
  </si>
  <si>
    <t>p338</t>
  </si>
  <si>
    <t>30 Casson Square Retail - KX:SHB4B</t>
  </si>
  <si>
    <t>p339</t>
  </si>
  <si>
    <t>5 Belvedere Road Retail - KX:SHB61</t>
  </si>
  <si>
    <t>GEN^UN^SC^RENT^INS</t>
  </si>
  <si>
    <t>p340</t>
  </si>
  <si>
    <t>10 Cabot Square Retail - Co. 140 (FC2)</t>
  </si>
  <si>
    <t>p341</t>
  </si>
  <si>
    <t>25 Churchill Place Dock Level - Co. 04</t>
  </si>
  <si>
    <t>p342</t>
  </si>
  <si>
    <t>4 Charter Street Theatre - Co. EB</t>
  </si>
  <si>
    <t>RENT^DEP^SC^UN^RP</t>
  </si>
  <si>
    <t>p343</t>
  </si>
  <si>
    <t>50 - 60 Charter Street PRS Rent - Co. 121 (WW J1-3)</t>
  </si>
  <si>
    <t>p344</t>
  </si>
  <si>
    <t>20 Canada Square Grd Rent - Co. 04 (DS4 44001)</t>
  </si>
  <si>
    <t>p345</t>
  </si>
  <si>
    <t>Jubilee Link East Retail - Co. 04 (19005)</t>
  </si>
  <si>
    <t>p346</t>
  </si>
  <si>
    <t>Reuters Plaza Promenade - Co. 01</t>
  </si>
  <si>
    <t>GEN^RENT^UN</t>
  </si>
  <si>
    <t>rctest1</t>
  </si>
  <si>
    <t>RC Test Leasehold</t>
  </si>
  <si>
    <t>rctest10</t>
  </si>
  <si>
    <t>RC Test Newfoundland Place</t>
  </si>
  <si>
    <t>rctest11</t>
  </si>
  <si>
    <t>RC Test Water Street</t>
  </si>
  <si>
    <t>rctest12</t>
  </si>
  <si>
    <t>RC Test 10 George Street</t>
  </si>
  <si>
    <t>RENT^GEN^DEP</t>
  </si>
  <si>
    <t>rctest2</t>
  </si>
  <si>
    <t>RC Test Resident</t>
  </si>
  <si>
    <t>rctest3</t>
  </si>
  <si>
    <t>RC BTR Test</t>
  </si>
  <si>
    <t>rctest4</t>
  </si>
  <si>
    <t>RC Test One Park Drive</t>
  </si>
  <si>
    <t>GEN^INS^RENT^SC^RES^UN</t>
  </si>
  <si>
    <t>rctest5</t>
  </si>
  <si>
    <t>RC Test 10 Park Drive</t>
  </si>
  <si>
    <t>rctest6</t>
  </si>
  <si>
    <t>RC Test One Casson Sq</t>
  </si>
  <si>
    <t>rctest7</t>
  </si>
  <si>
    <t>RC Test 5 Belvedere Rd</t>
  </si>
  <si>
    <t>rctest8</t>
  </si>
  <si>
    <t>RC Test 30 Casson Sq</t>
  </si>
  <si>
    <t>rctest9</t>
  </si>
  <si>
    <t>RC Test 30 Harbord Square</t>
  </si>
  <si>
    <t>s103</t>
  </si>
  <si>
    <t>Westferry Circus Car Park - Co. 06 (15108)</t>
  </si>
  <si>
    <t>s105</t>
  </si>
  <si>
    <t xml:space="preserve">Churchill Place Car Park - Co. 06 (15308) </t>
  </si>
  <si>
    <t>s107</t>
  </si>
  <si>
    <t>Columbus Car Park - Co. 06 (15708)</t>
  </si>
  <si>
    <t>DIR^SC^UN^EST^GEN^RP</t>
  </si>
  <si>
    <t>s113</t>
  </si>
  <si>
    <t>Reuters Plaza Retail - Co. 06 (Nash Court 16002)</t>
  </si>
  <si>
    <t>s115</t>
  </si>
  <si>
    <t>Cabot Square Watercourts Retail - Co. 06 (17303)</t>
  </si>
  <si>
    <t>DIR^SC^UN^EST^RP^GEN</t>
  </si>
  <si>
    <t>s119</t>
  </si>
  <si>
    <t>Churchill Place Retail - Co. 06 (RT4 55001)</t>
  </si>
  <si>
    <t>s120</t>
  </si>
  <si>
    <t>Crossrail Retail - Co. 06 (RT5 60011)</t>
  </si>
  <si>
    <t>s121</t>
  </si>
  <si>
    <t>DS3 Link Retail - Co. 06 (66001)</t>
  </si>
  <si>
    <t>s124</t>
  </si>
  <si>
    <t>5 Chancellor Passage - Co. 06 (34005)</t>
  </si>
  <si>
    <t>s125</t>
  </si>
  <si>
    <t>6 Chancellor Passage - Co. 06 (34006)</t>
  </si>
  <si>
    <t>s126</t>
  </si>
  <si>
    <t>Canada Square Park Pavilion - The Ivy - Co. 06 (49011)</t>
  </si>
  <si>
    <t>s127</t>
  </si>
  <si>
    <t>Canada Square Pavilion - Co. 06 (DS7 Pav 47003, 49001)</t>
  </si>
  <si>
    <t>s129</t>
  </si>
  <si>
    <t>Middle Dock, Building One - Co. 06 (98103)</t>
  </si>
  <si>
    <t>s131</t>
  </si>
  <si>
    <t>Montgomery Square Marketing Suite - Co. 06 (77500)</t>
  </si>
  <si>
    <t>s132</t>
  </si>
  <si>
    <t>East Wintergarden - Co. 06</t>
  </si>
  <si>
    <t>DIR^GEN^RP^SC^UN</t>
  </si>
  <si>
    <t>s133</t>
  </si>
  <si>
    <t>West Wintergarden - Co. 06 (77311)</t>
  </si>
  <si>
    <t>s134</t>
  </si>
  <si>
    <t>Riverside - Co. 06 (28001, 29001)</t>
  </si>
  <si>
    <t>DIR^SC^UN^EST^GEN</t>
  </si>
  <si>
    <t>s136</t>
  </si>
  <si>
    <t>1 Westferry Circus - Co. 06 (B1 23001)</t>
  </si>
  <si>
    <t>s137</t>
  </si>
  <si>
    <t>7 Westferry Circus - Co. 06 (B2 24001)</t>
  </si>
  <si>
    <t>s138</t>
  </si>
  <si>
    <t>7 Westferry Circus Retail - Co. 06 (B2 Retail 24001)</t>
  </si>
  <si>
    <t>s139</t>
  </si>
  <si>
    <t>11 Westferry Circus - Co. 06 (B3 25001)</t>
  </si>
  <si>
    <t>s140</t>
  </si>
  <si>
    <t>17 Colombus Court Yard - Co. 06 (B4 26001)</t>
  </si>
  <si>
    <t>s141</t>
  </si>
  <si>
    <t>20 Colombus Court Yard - Co. 06 (B5 27001)</t>
  </si>
  <si>
    <t>s142</t>
  </si>
  <si>
    <t>s143</t>
  </si>
  <si>
    <t>10 Cabot Square / 5 North Colonnade - Co. 06 (FC2 32001)</t>
  </si>
  <si>
    <t>s144</t>
  </si>
  <si>
    <t>10 Cabot Square Retail - Co. 06 (FC2 Retail 32002)</t>
  </si>
  <si>
    <t>s145</t>
  </si>
  <si>
    <t>25 North Colonnade - Co. 06 (FC3 33001)</t>
  </si>
  <si>
    <t>s146</t>
  </si>
  <si>
    <t>20 Cabot Square / 10 South Colonnade - Co. 06 (FC4 34001)</t>
  </si>
  <si>
    <t>s147</t>
  </si>
  <si>
    <t>20 Cabot Square Retail - Co. 06 (FC4 Retail 34002)</t>
  </si>
  <si>
    <t>s148</t>
  </si>
  <si>
    <t>s149</t>
  </si>
  <si>
    <t>30 South Colonnade - Co. 06 (FC6 36001)</t>
  </si>
  <si>
    <t>s150</t>
  </si>
  <si>
    <t>30 South Colonnade Retail - Co. 06 (FC6 Retail 36001)</t>
  </si>
  <si>
    <t>s151</t>
  </si>
  <si>
    <t>5 Canada Square - Co. 06 (DS1 41001)</t>
  </si>
  <si>
    <t>s152</t>
  </si>
  <si>
    <t>8 Canada Square - Co. 06 (DS2 42001)</t>
  </si>
  <si>
    <t>s153</t>
  </si>
  <si>
    <t>30 North Colonnade - Co. 06 (DS3E 43011)</t>
  </si>
  <si>
    <t>s154</t>
  </si>
  <si>
    <t>15 Canada Square - Co. 06 (DS3W 43021)</t>
  </si>
  <si>
    <t>s155</t>
  </si>
  <si>
    <t>20 Canada Square - Co. 06 (DS4 44001)</t>
  </si>
  <si>
    <t>s156</t>
  </si>
  <si>
    <t>25 Canada Square - Co. 06 (DS5 45001)</t>
  </si>
  <si>
    <t>s157</t>
  </si>
  <si>
    <t>33 Canada Square - Co. 06 (DS6 46001)</t>
  </si>
  <si>
    <t>s158</t>
  </si>
  <si>
    <t>One Canada Square - Co. 06 (DS7 47001)</t>
  </si>
  <si>
    <t>s160</t>
  </si>
  <si>
    <t>1 Churchill Place - Co. 06 (BP1 51001)</t>
  </si>
  <si>
    <t>s161</t>
  </si>
  <si>
    <t>5 Churchill Place - Co. 06 (BP2 52001)</t>
  </si>
  <si>
    <t>s162</t>
  </si>
  <si>
    <t>20 Churchill Place - Co. 06 (BP3 53001)</t>
  </si>
  <si>
    <t>s163</t>
  </si>
  <si>
    <t>25 Churchill Place - Co. 06 (BP4 54001)</t>
  </si>
  <si>
    <t>s164</t>
  </si>
  <si>
    <t>North Quay Site - Co. 06</t>
  </si>
  <si>
    <t>SC^GEN^DIR^UN^RP</t>
  </si>
  <si>
    <t>s166</t>
  </si>
  <si>
    <t>20 Bank Street - Co. 06 (HQ1 71001)</t>
  </si>
  <si>
    <t>s167</t>
  </si>
  <si>
    <t>25/30 Bank Street - Co. 06 (HQ2 72001)</t>
  </si>
  <si>
    <t>s168</t>
  </si>
  <si>
    <t>40 Bank Street - Co. 06 (HQ3 73001)</t>
  </si>
  <si>
    <t>s169</t>
  </si>
  <si>
    <t>40 Bank Street Retail - Co. 06 (HQ3 Retail 73001)</t>
  </si>
  <si>
    <t>s170</t>
  </si>
  <si>
    <t>50 Bank Street - Co. 06 (HQ4 74001)</t>
  </si>
  <si>
    <t>s171</t>
  </si>
  <si>
    <t>50 Bank Street Retail - Co. 06 (HQ4 Retail 74001)</t>
  </si>
  <si>
    <t>s172</t>
  </si>
  <si>
    <t>10 Upper Bank Street - Co. 06 (HQ5 75001)</t>
  </si>
  <si>
    <t>s173</t>
  </si>
  <si>
    <t>10 Upper Bank Street Retail - Co. 06 (HQ5 Retail 75001)</t>
  </si>
  <si>
    <t>s174</t>
  </si>
  <si>
    <t>15 Westferry Circus - Co. 06 (WF9 89001)</t>
  </si>
  <si>
    <t>s175</t>
  </si>
  <si>
    <t>1 &amp; 5 Bank Street - Co. 06 (HQW2 98101)</t>
  </si>
  <si>
    <t>s180</t>
  </si>
  <si>
    <t>Newfoundland Retail - Co. 06</t>
  </si>
  <si>
    <t>s228</t>
  </si>
  <si>
    <t>1 Water Street - Co. 06 (WWK1 W4801)</t>
  </si>
  <si>
    <t>SC^DIR^UN^EST^GEN^RP</t>
  </si>
  <si>
    <t>s229</t>
  </si>
  <si>
    <t>20 Water Street Office - Co. 06 (WWD1D2 W3401)</t>
  </si>
  <si>
    <t>SC^EST^DIR^UN^GEN</t>
  </si>
  <si>
    <t>s231</t>
  </si>
  <si>
    <t>Reuters Plaza Kiosk - Co. 06 (Nash Court 16002)</t>
  </si>
  <si>
    <t>s274</t>
  </si>
  <si>
    <t>5 Frobisher Passage - Co. 06</t>
  </si>
  <si>
    <t>SC^RP</t>
  </si>
  <si>
    <t>s275</t>
  </si>
  <si>
    <t>6 Frobisher Passage - Co. 06</t>
  </si>
  <si>
    <t>DIR^GEN^SC^RP^UN</t>
  </si>
  <si>
    <t>s278</t>
  </si>
  <si>
    <t>16 - 19 Canada Place (DS8 48001) - Co. 06</t>
  </si>
  <si>
    <t>s279</t>
  </si>
  <si>
    <t>One Canada Square Retail - Co. 06 (DS7 Retail 47002)</t>
  </si>
  <si>
    <t>s281</t>
  </si>
  <si>
    <t>10 Bank Street Retail - Co. 06</t>
  </si>
  <si>
    <t>s282</t>
  </si>
  <si>
    <t>15 Water Street Office - Co. 06 (WWB3 W3301)</t>
  </si>
  <si>
    <t>SC^DIR^EST^UN^GEN^RP</t>
  </si>
  <si>
    <t>s285</t>
  </si>
  <si>
    <t>1-5 Bank Street (Retail) - Co. 06</t>
  </si>
  <si>
    <t>RP^SC^GEN^DIR^UN</t>
  </si>
  <si>
    <t>s288</t>
  </si>
  <si>
    <t>Infrastructure Car Park - Co. 06 (15008)</t>
  </si>
  <si>
    <t>s289</t>
  </si>
  <si>
    <t>Cabot Square Car Park - Co. 06 (15208)</t>
  </si>
  <si>
    <t>DIR^EST^GEN^SC^UN^RP</t>
  </si>
  <si>
    <t>s290</t>
  </si>
  <si>
    <t>Candada Square Car Park - Co. 06</t>
  </si>
  <si>
    <t>RP^DIR^EST^SC^UN^GEN</t>
  </si>
  <si>
    <t>s291</t>
  </si>
  <si>
    <t>Jubilee Place Car Park - Co. 06</t>
  </si>
  <si>
    <t>s292</t>
  </si>
  <si>
    <t>Cabot Place Retail - Co. 06 (RT1 17002)</t>
  </si>
  <si>
    <t>s293</t>
  </si>
  <si>
    <t>Canada Place Retail - Co. 06 (RT2 18002)</t>
  </si>
  <si>
    <t>s294</t>
  </si>
  <si>
    <t>Jubilee Place Retail - Co. 06 (RT3 19002, RT3E 19003, 19004)</t>
  </si>
  <si>
    <t>s295</t>
  </si>
  <si>
    <t>5 Water Street - Co. 06 (WWK2 W4801)</t>
  </si>
  <si>
    <t>.tb_c0vl</t>
  </si>
  <si>
    <t>VL TB + p265</t>
  </si>
  <si>
    <t>.tb_c0vm</t>
  </si>
  <si>
    <t>VM TB</t>
  </si>
  <si>
    <t>.tb_c0vn</t>
  </si>
  <si>
    <t>VN TB +  p177, p179, p180</t>
  </si>
  <si>
    <t>.tb_c0vp</t>
  </si>
  <si>
    <t>VP TB</t>
  </si>
  <si>
    <t>.tb_c0vr</t>
  </si>
  <si>
    <t>VR TB</t>
  </si>
  <si>
    <t>.tb_c0vw</t>
  </si>
  <si>
    <t>VW TB</t>
  </si>
  <si>
    <t>.tb_c0w2</t>
  </si>
  <si>
    <t>W2 TB</t>
  </si>
  <si>
    <t>.tb_c0w4</t>
  </si>
  <si>
    <t>W4 TB + p160</t>
  </si>
  <si>
    <t>.tb_c0w6</t>
  </si>
  <si>
    <t>W6 TB</t>
  </si>
  <si>
    <t>.tb_c0w7</t>
  </si>
  <si>
    <t>W7 TB</t>
  </si>
  <si>
    <t>.tb_c0w8</t>
  </si>
  <si>
    <t>W8 TB</t>
  </si>
  <si>
    <t>.tb_c0wa</t>
  </si>
  <si>
    <t>WA TB + 1R,p213,p214,p215,p238,p244</t>
  </si>
  <si>
    <t>.tb_c0wb</t>
  </si>
  <si>
    <t>WB TB</t>
  </si>
  <si>
    <t>.tb_c0wc</t>
  </si>
  <si>
    <t>WC TB + 1S,p219,p220,p221,p245</t>
  </si>
  <si>
    <t>.tb_c0wd</t>
  </si>
  <si>
    <t>WD TB</t>
  </si>
  <si>
    <t>.tb_c0we</t>
  </si>
  <si>
    <t>WE TB + 1N, p253, p259</t>
  </si>
  <si>
    <t>.tb_c0wf</t>
  </si>
  <si>
    <t>WF TB</t>
  </si>
  <si>
    <t>.tb_c0wg</t>
  </si>
  <si>
    <t>WG TB</t>
  </si>
  <si>
    <t>.tb_c0wh</t>
  </si>
  <si>
    <t>WH TB</t>
  </si>
  <si>
    <t>.tb_c0wj</t>
  </si>
  <si>
    <t>WJ TB + p193</t>
  </si>
  <si>
    <t>.tb_c0wk</t>
  </si>
  <si>
    <t>WK TB</t>
  </si>
  <si>
    <t>.tb_c0wl</t>
  </si>
  <si>
    <t>WL TB + p183, p184, p185, p186</t>
  </si>
  <si>
    <t>.tb_c0wm</t>
  </si>
  <si>
    <t>WM TB</t>
  </si>
  <si>
    <t>.tb_c0wn</t>
  </si>
  <si>
    <t>WN TB</t>
  </si>
  <si>
    <t>.tb_c0wq</t>
  </si>
  <si>
    <t>WQ TB</t>
  </si>
  <si>
    <t>.tb_c0wr</t>
  </si>
  <si>
    <t>WR TB</t>
  </si>
  <si>
    <t>.tb_c0ws</t>
  </si>
  <si>
    <t>WS TB</t>
  </si>
  <si>
    <t>.tb_c0wt</t>
  </si>
  <si>
    <t>WT TB</t>
  </si>
  <si>
    <t>.tb_c0wu</t>
  </si>
  <si>
    <t>WU TB</t>
  </si>
  <si>
    <t>.tb_c0wv</t>
  </si>
  <si>
    <t>WV TB</t>
  </si>
  <si>
    <t>.tb_c0ww</t>
  </si>
  <si>
    <t>WW TB</t>
  </si>
  <si>
    <t>.tb_c0wx</t>
  </si>
  <si>
    <t>WX TB</t>
  </si>
  <si>
    <t>.tb_c0wy</t>
  </si>
  <si>
    <t>WY TB</t>
  </si>
  <si>
    <t>.tb_c0wz</t>
  </si>
  <si>
    <t>WZ TB</t>
  </si>
  <si>
    <t>.tb_c0x1</t>
  </si>
  <si>
    <t>X1 TB + p236</t>
  </si>
  <si>
    <t>.tb_c0x4</t>
  </si>
  <si>
    <t>X4 TB</t>
  </si>
  <si>
    <t>.tb_c0x5</t>
  </si>
  <si>
    <t>X5 TB</t>
  </si>
  <si>
    <t>.tb_c0x6</t>
  </si>
  <si>
    <t>X6 TB</t>
  </si>
  <si>
    <t>.tb_c0x7</t>
  </si>
  <si>
    <t>X7 TB</t>
  </si>
  <si>
    <t>.tb_c0x8</t>
  </si>
  <si>
    <t>X8 TB</t>
  </si>
  <si>
    <t>.tb_c0x9</t>
  </si>
  <si>
    <t>X9 TB</t>
  </si>
  <si>
    <t>.tb_c0xd</t>
  </si>
  <si>
    <t>XD TB</t>
  </si>
  <si>
    <t>.tb_c0xe</t>
  </si>
  <si>
    <t>XE TB</t>
  </si>
  <si>
    <t>.tb_c0xf</t>
  </si>
  <si>
    <t>XF TB</t>
  </si>
  <si>
    <t>.tb_c0xg</t>
  </si>
  <si>
    <t>XG TB</t>
  </si>
  <si>
    <t>.tb_c0xh</t>
  </si>
  <si>
    <t>XH TB</t>
  </si>
  <si>
    <t>.tb_c0xj</t>
  </si>
  <si>
    <t>XJ TB</t>
  </si>
  <si>
    <t>.tb_c0xk</t>
  </si>
  <si>
    <t>XK TB</t>
  </si>
  <si>
    <t>.tb_c0xl</t>
  </si>
  <si>
    <t>XL TB</t>
  </si>
  <si>
    <t>.tb_c0xm</t>
  </si>
  <si>
    <t>XM TB</t>
  </si>
  <si>
    <t>.tb_c0xp</t>
  </si>
  <si>
    <t>XP TB</t>
  </si>
  <si>
    <t>.tb_c0xr</t>
  </si>
  <si>
    <t>XR TB</t>
  </si>
  <si>
    <t>.tb_c0xs</t>
  </si>
  <si>
    <t>XS TB</t>
  </si>
  <si>
    <t>.tb_c0xu</t>
  </si>
  <si>
    <t>XU TB</t>
  </si>
  <si>
    <t>.tb_c0xv</t>
  </si>
  <si>
    <t>XV TB</t>
  </si>
  <si>
    <t>.tb_c0xw</t>
  </si>
  <si>
    <t>XW TB</t>
  </si>
  <si>
    <t>.tb_c0xx</t>
  </si>
  <si>
    <t>XX TB</t>
  </si>
  <si>
    <t>.tb_c0xy</t>
  </si>
  <si>
    <t>XY TB</t>
  </si>
  <si>
    <t>.tb_c0y1</t>
  </si>
  <si>
    <t>Y1 TB</t>
  </si>
  <si>
    <t>.tb_c0y2</t>
  </si>
  <si>
    <t>Y2 TB</t>
  </si>
  <si>
    <t>.tb_c0y3</t>
  </si>
  <si>
    <t>Y3 TB + p147</t>
  </si>
  <si>
    <t>.tb_c0y4</t>
  </si>
  <si>
    <t>Y4 TB</t>
  </si>
  <si>
    <t>.tb_c0y5</t>
  </si>
  <si>
    <t>Y5 TB</t>
  </si>
  <si>
    <t>.tb_c0y6</t>
  </si>
  <si>
    <t>Y6 TB</t>
  </si>
  <si>
    <t>.tb_c0y8</t>
  </si>
  <si>
    <t>Y8 TB</t>
  </si>
  <si>
    <t>.tb_c0y9</t>
  </si>
  <si>
    <t>Y9 TB + p144</t>
  </si>
  <si>
    <t>.tb_c0ya</t>
  </si>
  <si>
    <t>YA TB</t>
  </si>
  <si>
    <t>.tb_c0yb</t>
  </si>
  <si>
    <t>YB TB</t>
  </si>
  <si>
    <t>.tb_c0yc</t>
  </si>
  <si>
    <t>YC TB</t>
  </si>
  <si>
    <t>.tb_c0yd</t>
  </si>
  <si>
    <t>YD TB</t>
  </si>
  <si>
    <t>.tb_c0ye</t>
  </si>
  <si>
    <t>YE TB</t>
  </si>
  <si>
    <t>.tb_c0yf</t>
  </si>
  <si>
    <t>YF TB</t>
  </si>
  <si>
    <t>.tb_c0yg</t>
  </si>
  <si>
    <t>YG TB</t>
  </si>
  <si>
    <t>.tb_c0yh</t>
  </si>
  <si>
    <t>YH TB</t>
  </si>
  <si>
    <t>.tb_c0yj</t>
  </si>
  <si>
    <t>YJ TB + p286</t>
  </si>
  <si>
    <t>.tb_c0z5</t>
  </si>
  <si>
    <t>Z5 TB</t>
  </si>
  <si>
    <t>.tb_c0z6</t>
  </si>
  <si>
    <t>Z6 TB</t>
  </si>
  <si>
    <t>.tb_c0z7</t>
  </si>
  <si>
    <t>Z7 TB</t>
  </si>
  <si>
    <t>.tb_c0z8</t>
  </si>
  <si>
    <t>Z8 TB</t>
  </si>
  <si>
    <t>.tb_c0z9</t>
  </si>
  <si>
    <t>Z9 TB + p248, p263, p264, p266</t>
  </si>
  <si>
    <t>.tb_c0zt</t>
  </si>
  <si>
    <t>ZT TB</t>
  </si>
  <si>
    <t>.tb_c0zw</t>
  </si>
  <si>
    <t>ZW TB</t>
  </si>
  <si>
    <t>.tb_c100</t>
  </si>
  <si>
    <t>100 TB</t>
  </si>
  <si>
    <t>.tb_c101</t>
  </si>
  <si>
    <t>101 TB</t>
  </si>
  <si>
    <t>.tb_c102</t>
  </si>
  <si>
    <t>102 TB</t>
  </si>
  <si>
    <t>.tb_c103</t>
  </si>
  <si>
    <t>103 TB</t>
  </si>
  <si>
    <t>.tb_c104</t>
  </si>
  <si>
    <t>104 TB</t>
  </si>
  <si>
    <t>.tb_c105</t>
  </si>
  <si>
    <t>105 TB</t>
  </si>
  <si>
    <t>.tb_c106</t>
  </si>
  <si>
    <t>106 TB</t>
  </si>
  <si>
    <t>.tb_c107</t>
  </si>
  <si>
    <t>107 TB</t>
  </si>
  <si>
    <t>.tb_c108</t>
  </si>
  <si>
    <t>108 TB</t>
  </si>
  <si>
    <t>.tb_c109</t>
  </si>
  <si>
    <t>109 TB</t>
  </si>
  <si>
    <t>.tb_c110</t>
  </si>
  <si>
    <t>110 TB</t>
  </si>
  <si>
    <t>.tb_c111</t>
  </si>
  <si>
    <t>111 TB</t>
  </si>
  <si>
    <t>.tb_c112</t>
  </si>
  <si>
    <t>112 TB</t>
  </si>
  <si>
    <t>.tb_c113</t>
  </si>
  <si>
    <t>113 TB</t>
  </si>
  <si>
    <t>.tb_c114</t>
  </si>
  <si>
    <t>114 TB</t>
  </si>
  <si>
    <t>.tb_c116</t>
  </si>
  <si>
    <t>c116 TB</t>
  </si>
  <si>
    <t>.tb_c117</t>
  </si>
  <si>
    <t>c117 WB</t>
  </si>
  <si>
    <t>.tb_c118</t>
  </si>
  <si>
    <t>c118 TB</t>
  </si>
  <si>
    <t>.tb_c119</t>
  </si>
  <si>
    <t>c119 TB</t>
  </si>
  <si>
    <t>.tb_c120</t>
  </si>
  <si>
    <t>c120 TB</t>
  </si>
  <si>
    <t>.tb_c121</t>
  </si>
  <si>
    <t>c121 TB</t>
  </si>
  <si>
    <t>.tb_c122</t>
  </si>
  <si>
    <t>c122 TB</t>
  </si>
  <si>
    <t>.tb_c123</t>
  </si>
  <si>
    <t>c123 TB</t>
  </si>
  <si>
    <t>.tb_c124</t>
  </si>
  <si>
    <t>c124 TB</t>
  </si>
  <si>
    <t>.tb_c125</t>
  </si>
  <si>
    <t>c125 TB</t>
  </si>
  <si>
    <t>.tb_c126</t>
  </si>
  <si>
    <t>c126 TB</t>
  </si>
  <si>
    <t>.tb_c127</t>
  </si>
  <si>
    <t>c127 TB</t>
  </si>
  <si>
    <t>.tb_c128</t>
  </si>
  <si>
    <t>c128 TB</t>
  </si>
  <si>
    <t>.tb_c129</t>
  </si>
  <si>
    <t>c129 TB</t>
  </si>
  <si>
    <t>.tb_c130</t>
  </si>
  <si>
    <t>c130 TB</t>
  </si>
  <si>
    <t>.tb_c131</t>
  </si>
  <si>
    <t>c131 TB</t>
  </si>
  <si>
    <t>.tb_c132</t>
  </si>
  <si>
    <t>c132 TB</t>
  </si>
  <si>
    <t>.tb_c133</t>
  </si>
  <si>
    <t>c133 TB</t>
  </si>
  <si>
    <t>.tb_czyw</t>
  </si>
  <si>
    <t>cyw TB</t>
  </si>
  <si>
    <t>.tb_czyx</t>
  </si>
  <si>
    <t>czyx + p271</t>
  </si>
  <si>
    <t>.tb_czyy</t>
  </si>
  <si>
    <t>czyy TB</t>
  </si>
  <si>
    <t>.tb_czyz</t>
  </si>
  <si>
    <t>czyz TB</t>
  </si>
  <si>
    <t>.vatbq2</t>
  </si>
  <si>
    <t>Vat BQ2 Prop List</t>
  </si>
  <si>
    <t>.vatbq3</t>
  </si>
  <si>
    <t>Vat BQ3 Prop List</t>
  </si>
  <si>
    <t>.vatbrm</t>
  </si>
  <si>
    <t>Vat BRM Prop List</t>
  </si>
  <si>
    <t>.vatgrp</t>
  </si>
  <si>
    <t>Vat GRP Prop List</t>
  </si>
  <si>
    <t>.vatmth</t>
  </si>
  <si>
    <t>Vat MTH Prop List</t>
  </si>
  <si>
    <t>.vatnon</t>
  </si>
  <si>
    <t>Non Vat Reg Co. Prop List</t>
  </si>
  <si>
    <t>.vatq12</t>
  </si>
  <si>
    <t>Vat VQ12 Prop List</t>
  </si>
  <si>
    <t>.vatqt1</t>
  </si>
  <si>
    <t>Vat QT1 Prop List</t>
  </si>
  <si>
    <t>.vatqt2</t>
  </si>
  <si>
    <t>Vat QT2 Prop List</t>
  </si>
  <si>
    <t>.vatqt3</t>
  </si>
  <si>
    <t>Vat QT3 Prop List</t>
  </si>
  <si>
    <t>.vatvem1</t>
  </si>
  <si>
    <t>Vat VEM1 Prop List</t>
  </si>
  <si>
    <t>.vatvem2</t>
  </si>
  <si>
    <t>Vat VEM2 Prop List</t>
  </si>
  <si>
    <t>.vatvq11</t>
  </si>
  <si>
    <t>Vat VQ11 Prop List</t>
  </si>
  <si>
    <t>.vatvq21</t>
  </si>
  <si>
    <t>Vat VQ21 Prop List</t>
  </si>
  <si>
    <t>.vatvq22</t>
  </si>
  <si>
    <t>Vat VQ22 Prop List</t>
  </si>
  <si>
    <t>.vatvq23</t>
  </si>
  <si>
    <t>Vat VQ23 Prop List</t>
  </si>
  <si>
    <t>.vatvq31</t>
  </si>
  <si>
    <t>Vat VQ31 Prop List</t>
  </si>
  <si>
    <t>.vatvq32</t>
  </si>
  <si>
    <t>Vat VQ32 Prop List</t>
  </si>
  <si>
    <t>.vbtr</t>
  </si>
  <si>
    <t>Vertus BTR</t>
  </si>
  <si>
    <t>.zagrep</t>
  </si>
  <si>
    <t>Additional Property List for AR reports</t>
  </si>
  <si>
    <t>IC Segment Tree as at 14 Mar 2025</t>
  </si>
  <si>
    <t>Note: The codes below require the IC segment to be populated with the entity/property the intercompany is with</t>
  </si>
  <si>
    <t>GL Acc</t>
  </si>
  <si>
    <t>GL Acc Paired</t>
  </si>
  <si>
    <t>GL Acc Description 2</t>
  </si>
  <si>
    <t>1051-6011</t>
  </si>
  <si>
    <t>Internal Investments - historic cost</t>
  </si>
  <si>
    <t>IC Required</t>
  </si>
  <si>
    <t>1051-6019</t>
  </si>
  <si>
    <t>Internal Investments - Provision</t>
  </si>
  <si>
    <t>1051-6021</t>
  </si>
  <si>
    <t>Internal Investments - profit accrual</t>
  </si>
  <si>
    <t>1051-6031</t>
  </si>
  <si>
    <t>Internal Investments - parternship loans</t>
  </si>
  <si>
    <t>1051-6041</t>
  </si>
  <si>
    <t>Internal Investments - share of revaluation</t>
  </si>
  <si>
    <t>1108-0113</t>
  </si>
  <si>
    <t>Construction: construction management (CM) fees</t>
  </si>
  <si>
    <t>1108-0114</t>
  </si>
  <si>
    <t>Construction: development management (DM) fees</t>
  </si>
  <si>
    <t>1180-0033</t>
  </si>
  <si>
    <t>IC Non-Certified Accruals flow (with jobs) - IN</t>
  </si>
  <si>
    <t>1180-0034</t>
  </si>
  <si>
    <t>IC Non-Certified Accruals flow (with jobs) - OUT</t>
  </si>
  <si>
    <t>1180-0040</t>
  </si>
  <si>
    <t>IC WIP Transfers (with jobs) - IN</t>
  </si>
  <si>
    <t>1180-0041</t>
  </si>
  <si>
    <t>I/C WIP Transfers</t>
  </si>
  <si>
    <t>1180-0042</t>
  </si>
  <si>
    <t>I/C WIP Transfers (no jobs)</t>
  </si>
  <si>
    <t>1180-0043</t>
  </si>
  <si>
    <t>I/C WIP Billing (with jobs)</t>
  </si>
  <si>
    <t>1180-0044</t>
  </si>
  <si>
    <t>IC WIP Billing (with jobs) - OUT</t>
  </si>
  <si>
    <t>1315-1000</t>
  </si>
  <si>
    <t>Interco-setoffs</t>
  </si>
  <si>
    <t>1315-1001</t>
  </si>
  <si>
    <t>Interco - Current (receivable)</t>
  </si>
  <si>
    <t>1315-1002</t>
  </si>
  <si>
    <t>Interco - Loan Interest (receivable)</t>
  </si>
  <si>
    <t>2415-1002</t>
  </si>
  <si>
    <t>Interco - Loan Interest (payable)</t>
  </si>
  <si>
    <t>1315-1003</t>
  </si>
  <si>
    <t>Interco - Loans (receivable)</t>
  </si>
  <si>
    <t>2415-1003</t>
  </si>
  <si>
    <t>Interco - Loans (payable)</t>
  </si>
  <si>
    <t>1315-1006</t>
  </si>
  <si>
    <t>Interco - Loans Swap Adj. (receivable)</t>
  </si>
  <si>
    <t>2415-1006</t>
  </si>
  <si>
    <t>Interco - Loans Swap Adj. (payable)</t>
  </si>
  <si>
    <t>1315-1007</t>
  </si>
  <si>
    <t>Interco - Loan Fees (receivable)</t>
  </si>
  <si>
    <t>2415-1007</t>
  </si>
  <si>
    <t>Interco - Loan Fees (payable)</t>
  </si>
  <si>
    <t>1315-1009</t>
  </si>
  <si>
    <t>Provision against IC debtor</t>
  </si>
  <si>
    <t>1315-1011</t>
  </si>
  <si>
    <t>Interco - Finance Rents Payments (receivable)</t>
  </si>
  <si>
    <t>2415-1011</t>
  </si>
  <si>
    <t>Interco - Finance Rents Payments (payable)</t>
  </si>
  <si>
    <t>1315-1021</t>
  </si>
  <si>
    <t>Interco - Finance Lease SSAP21 (receivable)</t>
  </si>
  <si>
    <t>2415-1021</t>
  </si>
  <si>
    <t>Interco - Finance Lease SSAP21 (payable)</t>
  </si>
  <si>
    <t>1315-1031</t>
  </si>
  <si>
    <t>Interco - Finance Lease Creditor (receivable)</t>
  </si>
  <si>
    <t>2415-1031</t>
  </si>
  <si>
    <t>Interco - Finance Lease Creditor (payable)</t>
  </si>
  <si>
    <t>1315-1041</t>
  </si>
  <si>
    <t>Interco – Discount on acquisition (receivable)</t>
  </si>
  <si>
    <t>2415-1041</t>
  </si>
  <si>
    <t>Interco – Discount on acquisition (payable)</t>
  </si>
  <si>
    <t>1315-2001</t>
  </si>
  <si>
    <t>Interco - IC Incentives (receivable)</t>
  </si>
  <si>
    <t>2415-2001</t>
  </si>
  <si>
    <t>Interco - IC Incentives (payable)</t>
  </si>
  <si>
    <t>1315-3001</t>
  </si>
  <si>
    <t>Interco - Voids accruals</t>
  </si>
  <si>
    <t>1315-4001</t>
  </si>
  <si>
    <t>Interco - Wood Wharf contribution agreement</t>
  </si>
  <si>
    <t>1316-1601</t>
  </si>
  <si>
    <t>Interco - Other Loans (receivable)</t>
  </si>
  <si>
    <t>2416-1601</t>
  </si>
  <si>
    <t>Interco - Other Loans (payable)</t>
  </si>
  <si>
    <t>1316-1611</t>
  </si>
  <si>
    <t>Interco - Other Loan Interest (receivable)</t>
  </si>
  <si>
    <t>2416-1611</t>
  </si>
  <si>
    <t>Interco Loan Interest (payable)</t>
  </si>
  <si>
    <t>1316-1621</t>
  </si>
  <si>
    <t>Interco - Other Loan Fees (receivable)</t>
  </si>
  <si>
    <t>2416-1621</t>
  </si>
  <si>
    <t>Interco - Other Loan Fees (payable)</t>
  </si>
  <si>
    <t>1316-1631</t>
  </si>
  <si>
    <t>Interco - Other Loan Fair Value Adjustment (receivable)</t>
  </si>
  <si>
    <t>2416-1631</t>
  </si>
  <si>
    <t>Interco - Other Loan Fair Value Adjustment (payable)</t>
  </si>
  <si>
    <t>1316-1641</t>
  </si>
  <si>
    <t>Interco - Other Loan Provision (receivable)</t>
  </si>
  <si>
    <t>2416-1641</t>
  </si>
  <si>
    <t>Interco - Other Loan Provision (payable)</t>
  </si>
  <si>
    <t>1316-1661</t>
  </si>
  <si>
    <t>Interco - Eurobonds (receivable)</t>
  </si>
  <si>
    <t>2416-1661</t>
  </si>
  <si>
    <t>Interco - Eurobonds (payable)</t>
  </si>
  <si>
    <t>1316-1662</t>
  </si>
  <si>
    <t>IC Loans (receivable) – Spens</t>
  </si>
  <si>
    <t>2416-1662</t>
  </si>
  <si>
    <t>IC Loans (payable) – Spens</t>
  </si>
  <si>
    <t>1505-9001</t>
  </si>
  <si>
    <t>IC PP - Office and Retail Rents</t>
  </si>
  <si>
    <t>2723-9001</t>
  </si>
  <si>
    <t>Deferred Intercompany - Office and Retail Rents</t>
  </si>
  <si>
    <t>1505-9011</t>
  </si>
  <si>
    <t>IC PP - Ground Rents</t>
  </si>
  <si>
    <t>2723-9011</t>
  </si>
  <si>
    <t>Deferred Intercompany - Ground Rents</t>
  </si>
  <si>
    <t>1505-9021</t>
  </si>
  <si>
    <t>IC PP - UITF28 REnt Adjustments</t>
  </si>
  <si>
    <t>2723-9021</t>
  </si>
  <si>
    <t>Deferred Intercompany - UITF28 Rent Adjustments</t>
  </si>
  <si>
    <t>1505-9031</t>
  </si>
  <si>
    <t>IC PP - Car Park Rents</t>
  </si>
  <si>
    <t>2723-9031</t>
  </si>
  <si>
    <t>Deferred Intercompany - Car Park Rents</t>
  </si>
  <si>
    <t>1505-9041</t>
  </si>
  <si>
    <t>IC PP - Service Charge</t>
  </si>
  <si>
    <t>2723-9041</t>
  </si>
  <si>
    <t>Deferred Intercompany - Service Charge</t>
  </si>
  <si>
    <t>1505-9051</t>
  </si>
  <si>
    <t>IC PP - Service Charge Voids</t>
  </si>
  <si>
    <t>2723-9051</t>
  </si>
  <si>
    <t>Deferred Intercompany - Service Charge Voids</t>
  </si>
  <si>
    <t>1505-9061</t>
  </si>
  <si>
    <t>IC PP - Management Fee (Cost)</t>
  </si>
  <si>
    <t>2723-9061</t>
  </si>
  <si>
    <t>Deferred Intercompany - Management Fee (Income)</t>
  </si>
  <si>
    <t>1505-9071</t>
  </si>
  <si>
    <t>IC PP - Provision of services mgmt fee</t>
  </si>
  <si>
    <t>2723-9071</t>
  </si>
  <si>
    <t>Deferred Intercompany - provision of services mgt fee</t>
  </si>
  <si>
    <t>2415-1001</t>
  </si>
  <si>
    <t>Interco - Current (payable)</t>
  </si>
  <si>
    <t>2416-1612</t>
  </si>
  <si>
    <t>Interco loan accrued interest (payable)</t>
  </si>
  <si>
    <t>2723-1071</t>
  </si>
  <si>
    <t>Deferred Parking - Inter - Company Recharge</t>
  </si>
  <si>
    <t>2723-9081</t>
  </si>
  <si>
    <t>Deferred Asset management fee</t>
  </si>
  <si>
    <t>2723-9091</t>
  </si>
  <si>
    <t>Deferred IC – Contribution Agreements</t>
  </si>
  <si>
    <t>2820-1012</t>
  </si>
  <si>
    <t>Provision against onerous interco leases</t>
  </si>
  <si>
    <t>4115-1011</t>
  </si>
  <si>
    <t>Interco - Office and Retail Rents (Turnover)</t>
  </si>
  <si>
    <t>5115-1011</t>
  </si>
  <si>
    <t>Interco - Office and Retail Rents (cost of sales)</t>
  </si>
  <si>
    <t>4115-1012</t>
  </si>
  <si>
    <t>Interco - Carparking Rents</t>
  </si>
  <si>
    <t>5115-1012</t>
  </si>
  <si>
    <t>Interco - Carparking Rents (cost of sales)</t>
  </si>
  <si>
    <t>4115-1021</t>
  </si>
  <si>
    <t>Interco - Ground Rents (turnover)</t>
  </si>
  <si>
    <t>5115-1021</t>
  </si>
  <si>
    <t>Interco - Ground Rents (cost of sales)</t>
  </si>
  <si>
    <t>4115-1031</t>
  </si>
  <si>
    <t>Interco - UITF28 Rent Adjustments (turnover)</t>
  </si>
  <si>
    <t>5115-1031</t>
  </si>
  <si>
    <t>Interco - UITF28 Rent Adjustments (cost of sales)</t>
  </si>
  <si>
    <t>4115-1042</t>
  </si>
  <si>
    <t>IC Residential BTR Rent (Turnover)</t>
  </si>
  <si>
    <t>5115-1042</t>
  </si>
  <si>
    <t>IC Residential BTR Rent (Cost of Sales)</t>
  </si>
  <si>
    <t>4115-1051</t>
  </si>
  <si>
    <t>Interco - Service Charge (turnover)</t>
  </si>
  <si>
    <t>5115-1051</t>
  </si>
  <si>
    <t>Interco - Service Charge (cost of sales)</t>
  </si>
  <si>
    <t>4115-1061</t>
  </si>
  <si>
    <t>Interco - Service Charge Voids (turnover)</t>
  </si>
  <si>
    <t>5115-1061</t>
  </si>
  <si>
    <t>Interco - Service Charge Voids (cost of sales)</t>
  </si>
  <si>
    <t>4115-1062</t>
  </si>
  <si>
    <t>Service Charge Voids – Property to Entity</t>
  </si>
  <si>
    <t>4115-1071</t>
  </si>
  <si>
    <t>Interco - Sale of Properties (turnover)</t>
  </si>
  <si>
    <t>5115-1071</t>
  </si>
  <si>
    <t>Interco - Sale of Properties (cost of sales)</t>
  </si>
  <si>
    <t>4115-1081</t>
  </si>
  <si>
    <t>Interco - Construction Turnover (turnover)</t>
  </si>
  <si>
    <t>5115-1081</t>
  </si>
  <si>
    <t>Interco - Construction Turnover (cost of sales)</t>
  </si>
  <si>
    <t>4115-1082</t>
  </si>
  <si>
    <t>Interco - Turnover markup</t>
  </si>
  <si>
    <t>4115-1091</t>
  </si>
  <si>
    <t>Interco - IC lease incentives (turnover)</t>
  </si>
  <si>
    <t>5115-1091</t>
  </si>
  <si>
    <t>Interco -  IC lease incentives (cost of sales)</t>
  </si>
  <si>
    <t>4141-1001</t>
  </si>
  <si>
    <t>Interco - Construction cost recharges (turnover)</t>
  </si>
  <si>
    <t>5141-1001</t>
  </si>
  <si>
    <t>Interco - Construction cost recharges (cost of sales)</t>
  </si>
  <si>
    <t>4141-1002</t>
  </si>
  <si>
    <t>1% Fee re IC - Construction cost recharges (turnover)</t>
  </si>
  <si>
    <t>4142-1001</t>
  </si>
  <si>
    <t>Interco - CM - Construction Management Fee</t>
  </si>
  <si>
    <t>5142-1001</t>
  </si>
  <si>
    <t>4143-1001</t>
  </si>
  <si>
    <t>Interco - DM - Development Management Fee</t>
  </si>
  <si>
    <t>5143-1001</t>
  </si>
  <si>
    <t>4144-1001</t>
  </si>
  <si>
    <t>IC - Asset Management Fee</t>
  </si>
  <si>
    <t>6000-1001</t>
  </si>
  <si>
    <t>4150-1421</t>
  </si>
  <si>
    <t>Interco - Commercial Heat Sales</t>
  </si>
  <si>
    <t>5150-1421</t>
  </si>
  <si>
    <t>Interco - Commercial Heat Costs</t>
  </si>
  <si>
    <t>4150-1422</t>
  </si>
  <si>
    <t>Interco - Commercial Heat Sales (NFL)</t>
  </si>
  <si>
    <t>5150-1422</t>
  </si>
  <si>
    <t>Interco - Commercial Heat Costs (NFL)</t>
  </si>
  <si>
    <t>4150-1431</t>
  </si>
  <si>
    <t>Interco - Residential Heat Sales</t>
  </si>
  <si>
    <t>5150-1431</t>
  </si>
  <si>
    <t>Interco - Residential Heat Costs</t>
  </si>
  <si>
    <t>4150-1432</t>
  </si>
  <si>
    <t>Interco - Residential Heat Sales (NFL)</t>
  </si>
  <si>
    <t>5150-1432</t>
  </si>
  <si>
    <t>Interco - Residential Heat Costs (NFL)</t>
  </si>
  <si>
    <t>4150-1621</t>
  </si>
  <si>
    <t>Interco - Electrical Sales</t>
  </si>
  <si>
    <t>5150-1621</t>
  </si>
  <si>
    <t>Interco - Electrical Costs</t>
  </si>
  <si>
    <t>4150-1622</t>
  </si>
  <si>
    <t>Interco - Electrical Sales (NFL)</t>
  </si>
  <si>
    <t>5150-1622</t>
  </si>
  <si>
    <t>Interco - Electrical Costs (NFL)</t>
  </si>
  <si>
    <t>4150-1721</t>
  </si>
  <si>
    <t>Interco - Non Energy Sales</t>
  </si>
  <si>
    <t>5150-1721</t>
  </si>
  <si>
    <t>Interco - Non Energy Costs</t>
  </si>
  <si>
    <t>4150-1722</t>
  </si>
  <si>
    <t>Interco - Non Energy Sales (NFL)</t>
  </si>
  <si>
    <t>5150-1722</t>
  </si>
  <si>
    <t>Interco - Non Energy Costs (NFL)</t>
  </si>
  <si>
    <t>4175-1411</t>
  </si>
  <si>
    <t>IC Rent - Own occupied space</t>
  </si>
  <si>
    <t>5175-1411</t>
  </si>
  <si>
    <t>4175-1511</t>
  </si>
  <si>
    <t>IC Rent – Lvl 39 occupied space</t>
  </si>
  <si>
    <t>5175-1511</t>
  </si>
  <si>
    <t>4740-0311</t>
  </si>
  <si>
    <t>Brackendown Construction-revenue</t>
  </si>
  <si>
    <t>4740-2411</t>
  </si>
  <si>
    <t>Inter company construction revenue</t>
  </si>
  <si>
    <t>4740-6031</t>
  </si>
  <si>
    <t>Braeburn Billing Construction Revenue</t>
  </si>
  <si>
    <t>5740-6031</t>
  </si>
  <si>
    <t>Braeburn Billing Construction Cost</t>
  </si>
  <si>
    <t>4740-6032</t>
  </si>
  <si>
    <t>Related Party Construction Revenue (Consol Only)</t>
  </si>
  <si>
    <t>5740-6032</t>
  </si>
  <si>
    <t>Related Party Construction Cost of Sales (Consol Only)</t>
  </si>
  <si>
    <t>4740-6033</t>
  </si>
  <si>
    <t>Related Party Construction Revenue Markup (Consol Only)</t>
  </si>
  <si>
    <t>4741-1211</t>
  </si>
  <si>
    <t>Year end wip adj turnover</t>
  </si>
  <si>
    <t>4750-1032</t>
  </si>
  <si>
    <t>Related Party and JV Asset Management Fee</t>
  </si>
  <si>
    <t>5791-0111</t>
  </si>
  <si>
    <t>Asset Management Expenses</t>
  </si>
  <si>
    <t>4850-1021</t>
  </si>
  <si>
    <t>I/C management fees income</t>
  </si>
  <si>
    <t>5261-1021</t>
  </si>
  <si>
    <t>I/C management fees</t>
  </si>
  <si>
    <t>4850-1031</t>
  </si>
  <si>
    <t>JV management fees income</t>
  </si>
  <si>
    <t>5117-0011</t>
  </si>
  <si>
    <t>Interco - Ground rent trf to operating lease liab.</t>
  </si>
  <si>
    <t>IC Rent - Own occupied</t>
  </si>
  <si>
    <t>5271-0112</t>
  </si>
  <si>
    <t>6000-1031</t>
  </si>
  <si>
    <t>Inter company loan write off</t>
  </si>
  <si>
    <t>6225-1032</t>
  </si>
  <si>
    <t>6300-1011</t>
  </si>
  <si>
    <t>Internal Investment Revenue</t>
  </si>
  <si>
    <t>6300-1021</t>
  </si>
  <si>
    <t>Interco P/L on sales of Fixed Assets</t>
  </si>
  <si>
    <t>6300-1031</t>
  </si>
  <si>
    <t>Interco Management Fee (Income)</t>
  </si>
  <si>
    <t>6300-1061</t>
  </si>
  <si>
    <t>IC Asset management fee receivable</t>
  </si>
  <si>
    <t>8210-1061</t>
  </si>
  <si>
    <t>IC Asset management fee payable</t>
  </si>
  <si>
    <t>6300-1071</t>
  </si>
  <si>
    <t>Dividend received from subsidiary</t>
  </si>
  <si>
    <t>9510-0011</t>
  </si>
  <si>
    <t>Dividend payable</t>
  </si>
  <si>
    <t>6300-1081</t>
  </si>
  <si>
    <t>JPUT distribution received</t>
  </si>
  <si>
    <t>9510-0111</t>
  </si>
  <si>
    <t>JPUT revenue distributions</t>
  </si>
  <si>
    <t>6300-1091</t>
  </si>
  <si>
    <t>JPUT capital accrual</t>
  </si>
  <si>
    <t>6300-1101</t>
  </si>
  <si>
    <t>JPUT MI capital dist recd</t>
  </si>
  <si>
    <t>9510-0311</t>
  </si>
  <si>
    <t>JPUT MI Pmts</t>
  </si>
  <si>
    <t>6300-1201</t>
  </si>
  <si>
    <t>Interco Provision against Investments</t>
  </si>
  <si>
    <t>7200-1021</t>
  </si>
  <si>
    <t>Interco Loan - Amortisation DFC Fees (income)</t>
  </si>
  <si>
    <t>8200-1021</t>
  </si>
  <si>
    <t>Interco Loan - Amortisation DFC Fees (expense)</t>
  </si>
  <si>
    <t>7200-1031</t>
  </si>
  <si>
    <t>Interco Loan - Interest (income)</t>
  </si>
  <si>
    <t>8200-1031</t>
  </si>
  <si>
    <t>Interco Loan - Interest (expense)</t>
  </si>
  <si>
    <t>7200-1041</t>
  </si>
  <si>
    <t>Interco Loan - Swap Int (income)</t>
  </si>
  <si>
    <t>8200-1041</t>
  </si>
  <si>
    <t>Interco Loan - Swap Int (expense)</t>
  </si>
  <si>
    <t>7200-1051</t>
  </si>
  <si>
    <t>Interco Loan - Commitment fees (income)</t>
  </si>
  <si>
    <t>8200-1051</t>
  </si>
  <si>
    <t>Interco Loan - Commitment fees (expense)</t>
  </si>
  <si>
    <t>7200-1061</t>
  </si>
  <si>
    <t>Interco Loan - Ongoing fees (income)</t>
  </si>
  <si>
    <t>8200-1061</t>
  </si>
  <si>
    <t>Interco Loan - Ongoing fees (expense)</t>
  </si>
  <si>
    <t>7200-1071</t>
  </si>
  <si>
    <t>Interco Loan - Swap MTM (income)</t>
  </si>
  <si>
    <t>8200-1071</t>
  </si>
  <si>
    <t>Interco Loan - Swap MTM (expense)</t>
  </si>
  <si>
    <t>7200-1081</t>
  </si>
  <si>
    <t>Interco Loan - Fees on repayment (income)</t>
  </si>
  <si>
    <t>8200-1081</t>
  </si>
  <si>
    <t>Interco Loan - Fees on repayment (expense)</t>
  </si>
  <si>
    <t>7200-1091</t>
  </si>
  <si>
    <t>Interco Loan - Accelerated amortisation of DFC (income)</t>
  </si>
  <si>
    <t>8200-1091</t>
  </si>
  <si>
    <t>Interco Loan - Accelerated amortisation of DFC (expense)</t>
  </si>
  <si>
    <t>7200-1101</t>
  </si>
  <si>
    <t>Interco Loan - Amoritisation Premium code</t>
  </si>
  <si>
    <t>7200-1111</t>
  </si>
  <si>
    <t>Interco Loan - Discount accretion</t>
  </si>
  <si>
    <t>7200-1131</t>
  </si>
  <si>
    <t>Interco Loan - Fair value adjustment</t>
  </si>
  <si>
    <t>8200-1131</t>
  </si>
  <si>
    <t>7200-3091</t>
  </si>
  <si>
    <t>IC Loan – Spens (income)</t>
  </si>
  <si>
    <t>8200-3091</t>
  </si>
  <si>
    <t>IC Loan – Spens (expense)</t>
  </si>
  <si>
    <t>7217-0011</t>
  </si>
  <si>
    <t>I/C Finance charge on operating lease liability (income)</t>
  </si>
  <si>
    <t>8217-0011</t>
  </si>
  <si>
    <t>I/C Finance charge on operating lease liability (expense)</t>
  </si>
  <si>
    <t>8200-1111</t>
  </si>
  <si>
    <t>8200-1121</t>
  </si>
  <si>
    <t>Interco Loan - Fee amortisation</t>
  </si>
  <si>
    <t>Budget Segment Accounts as at 8 March 2025</t>
  </si>
  <si>
    <t>Account</t>
  </si>
  <si>
    <t>Acct Description</t>
  </si>
  <si>
    <t>Expense Type / Budget Segment</t>
  </si>
  <si>
    <t>Validation Rules</t>
  </si>
  <si>
    <t>Budget Tree</t>
  </si>
  <si>
    <t>1021-2461</t>
  </si>
  <si>
    <t>Plant and Machinery</t>
  </si>
  <si>
    <t>IT^Information Technology^Unexpected Costs^IC Ad Hoc</t>
  </si>
  <si>
    <t>1021-2481</t>
  </si>
  <si>
    <t>Computer Hardware</t>
  </si>
  <si>
    <t>IT^Information Technology^Treasury^Unexpected Costs^IC Ad Hoc</t>
  </si>
  <si>
    <t>1021-2488</t>
  </si>
  <si>
    <t>Disaster Recovery Costs</t>
  </si>
  <si>
    <t>IT^Unexpected Costs^IC Ad Hoc</t>
  </si>
  <si>
    <t>1021-2501</t>
  </si>
  <si>
    <t>Computer Software</t>
  </si>
  <si>
    <t>IT^Treasury^Unexpected Costs^IC Ad Hoc</t>
  </si>
  <si>
    <t>1031-2421</t>
  </si>
  <si>
    <t>Fixtures and Equipment</t>
  </si>
  <si>
    <t>Facilities^Corp Bldg Serv^VRML O/H^Lvl39^Level39^Unexpected Costs^IC Ad Hoc</t>
  </si>
  <si>
    <t>1031-2501</t>
  </si>
  <si>
    <t>F&amp;F cost oracle legacy</t>
  </si>
  <si>
    <t>Corp Bldg Serv^Unexpected Costs^IC Ad Hoc</t>
  </si>
  <si>
    <t>1108-1320</t>
  </si>
  <si>
    <t>Tenant Inducement Costs</t>
  </si>
  <si>
    <t>Office Leasing^Leasing Office^Leasing Retail^Unexpected Costs^IC Ad Hoc^Retail Projects</t>
  </si>
  <si>
    <t>1108-5012</t>
  </si>
  <si>
    <t>Tenant Construction Retail (without job)</t>
  </si>
  <si>
    <t>CapCon^CapCon Retail^Retail Works^Unexpected Costs^IC Ad Hoc^Retail Projects</t>
  </si>
  <si>
    <t>1108-5013</t>
  </si>
  <si>
    <t>Tenant Construction Office (with job)</t>
  </si>
  <si>
    <t>Leasing Office^Unexpected Costs^IC Ad Hoc</t>
  </si>
  <si>
    <t>1404-9311</t>
  </si>
  <si>
    <t>FFL - Recharges / Claims</t>
  </si>
  <si>
    <t>ELBP/BL/SLPN^IC Ad Hoc^Unexpected Costs</t>
  </si>
  <si>
    <t>1404-9321</t>
  </si>
  <si>
    <t>FFL - Marketing and Publicity</t>
  </si>
  <si>
    <t>1404-9331</t>
  </si>
  <si>
    <t>FFL - External Consultancy Support</t>
  </si>
  <si>
    <t>1404-9341</t>
  </si>
  <si>
    <t>FFL - Events</t>
  </si>
  <si>
    <t>1404-9411</t>
  </si>
  <si>
    <t>Shell Centre Initiative - Payroll (Amts rec)</t>
  </si>
  <si>
    <t>1404-9431</t>
  </si>
  <si>
    <t>Shell Centre Initiative - Catering (Amts rec)</t>
  </si>
  <si>
    <t>1404-9441</t>
  </si>
  <si>
    <t>Shell Centre Initiative - Running Costs (Amts rec)</t>
  </si>
  <si>
    <t>1404-9461</t>
  </si>
  <si>
    <t>Shell Centre Initiative - Marketing (Amts rec)</t>
  </si>
  <si>
    <t>1404-9471</t>
  </si>
  <si>
    <t>Shell Centre Initiative - Events (Amts rec)</t>
  </si>
  <si>
    <t>1404-9481</t>
  </si>
  <si>
    <t>Shell Centre Initiative - Consultancy (Amts rec)</t>
  </si>
  <si>
    <t>1550-1011</t>
  </si>
  <si>
    <t>Office re Agent Com (Deferred negotiation costs)</t>
  </si>
  <si>
    <t>IC Ad Hoc^Office Leasing^Leasing Office^Unexpected Costs</t>
  </si>
  <si>
    <t>1550-1012</t>
  </si>
  <si>
    <t>Legal - Built Office New Lettings (Deferred neg costs)</t>
  </si>
  <si>
    <t>IC Ad Hoc^Legal^Group Legal^Unexpected Costs</t>
  </si>
  <si>
    <t>1550-1013</t>
  </si>
  <si>
    <t>Legal - Built Office Renewals (Deferred neg costs)</t>
  </si>
  <si>
    <t>1550-1014</t>
  </si>
  <si>
    <t>Legal - Dev Office Pre-lets (Deferred neg costs)</t>
  </si>
  <si>
    <t>1550-2011</t>
  </si>
  <si>
    <t>Retail re Agents Com (Deferred negotiation costs)</t>
  </si>
  <si>
    <t>IC Ad Hoc^Leasing Retail^Retail Leasing^Unexpected Costs</t>
  </si>
  <si>
    <t>1550-2012</t>
  </si>
  <si>
    <t>Legal - Built Retail New Lettings (Deferred neg costs)</t>
  </si>
  <si>
    <t>1550-2013</t>
  </si>
  <si>
    <t>Legal - Built Retail Renewals (Deferred neg costs)</t>
  </si>
  <si>
    <t>1550-2014</t>
  </si>
  <si>
    <t>Legal - Dev Retail Pre-lets (Deferred neg costs)</t>
  </si>
  <si>
    <t>1550-3014</t>
  </si>
  <si>
    <t>Legal - Dev Other Pre-lets (Deferred neg costs)</t>
  </si>
  <si>
    <t>2526-0511</t>
  </si>
  <si>
    <t>Agents Fees</t>
  </si>
  <si>
    <t>IC Ad Hoc^Leasing Resi^Residential Sales^Unexpected Costs</t>
  </si>
  <si>
    <t>2810-1026</t>
  </si>
  <si>
    <t>Investment Loan - Borrower Legal Fees</t>
  </si>
  <si>
    <t>2810-1027</t>
  </si>
  <si>
    <t>Investment Loan - Lender Legal Fees</t>
  </si>
  <si>
    <t>2810-1028</t>
  </si>
  <si>
    <t>Investment Loan - Due Diligence Legal Fees</t>
  </si>
  <si>
    <t>2810-1029</t>
  </si>
  <si>
    <t>Investment Loan - Non Legal Fees</t>
  </si>
  <si>
    <t>IC Ad Hoc^Fin and Loan^Taxation^Accounts^Treasury^Unexpected Costs</t>
  </si>
  <si>
    <t>2810-2026</t>
  </si>
  <si>
    <t>Construction Loan 1 - Borrower Legal Fees</t>
  </si>
  <si>
    <t>2810-2027</t>
  </si>
  <si>
    <t>Construction Loan 1 - Lender Legal Fees</t>
  </si>
  <si>
    <t>2810-2028</t>
  </si>
  <si>
    <t>Construction Loan 1 - Due Diligence Legal Fees</t>
  </si>
  <si>
    <t>IC Ad Hoc^Legal^Fin and Loan^Group Legal^Unexpected Costs</t>
  </si>
  <si>
    <t>2810-2029</t>
  </si>
  <si>
    <t>Construction Loan 1 - Non Legal Fees</t>
  </si>
  <si>
    <t>IC Ad Hoc^Fin and Loan^Treasury^Unexpected Costs</t>
  </si>
  <si>
    <t>2810-3026</t>
  </si>
  <si>
    <t>Sec Loan - Borrower Legal Fees</t>
  </si>
  <si>
    <t>2810-3027</t>
  </si>
  <si>
    <t>Sec Loans - Lender Legal Fees</t>
  </si>
  <si>
    <t>Unexpected Costs^IC Ad Hoc^Legal^Group Legal</t>
  </si>
  <si>
    <t>2810-3028</t>
  </si>
  <si>
    <t>Sec Loan - Due Diligence Legal Fees</t>
  </si>
  <si>
    <t>2810-3029</t>
  </si>
  <si>
    <t>Sec Loan - Non Legal Fees</t>
  </si>
  <si>
    <t>Unexpected Costs^IC Ad Hoc^Fin and Loan^Accounts^Treasury</t>
  </si>
  <si>
    <t>2810-3041</t>
  </si>
  <si>
    <t>Sec Loan - Loan Repayment</t>
  </si>
  <si>
    <t>Unexpected Costs^IC Ad Hoc^Fin and Loan</t>
  </si>
  <si>
    <t>2810-4026</t>
  </si>
  <si>
    <t>Other Loan - Borrower Legal Fees</t>
  </si>
  <si>
    <t>2810-4027</t>
  </si>
  <si>
    <t>Other Loan - Lender Legal Fees</t>
  </si>
  <si>
    <t>2810-4028</t>
  </si>
  <si>
    <t>Other Loan - Due Diligence Legal Fees</t>
  </si>
  <si>
    <t>Unexpected Costs^IC Ad Hoc^Legal</t>
  </si>
  <si>
    <t>2810-4029</t>
  </si>
  <si>
    <t>Other Loan - Non Legal Fees</t>
  </si>
  <si>
    <t>Unexpected Costs^IC Ad Hoc^Fin and Loan^Treasury</t>
  </si>
  <si>
    <t>2810-6026</t>
  </si>
  <si>
    <t>Revolving Credit Facility - Borrower Legal Fees</t>
  </si>
  <si>
    <t>2810-6027</t>
  </si>
  <si>
    <t>Revolving Credit Facility - Lender Legal Fees</t>
  </si>
  <si>
    <t>2810-6028</t>
  </si>
  <si>
    <t>Revolving Credit Facility - Due Diligence Legal Fees</t>
  </si>
  <si>
    <t>2810-6029</t>
  </si>
  <si>
    <t>Revolving Credit Facility - Non Legal Fees</t>
  </si>
  <si>
    <t>2811-2026</t>
  </si>
  <si>
    <t>Construction Loan 2 - Borrower Fees</t>
  </si>
  <si>
    <t>Unexpected Costs^IC Ad Hoc</t>
  </si>
  <si>
    <t>2811-2027</t>
  </si>
  <si>
    <t>Construction Loan 2 - Lender Fees</t>
  </si>
  <si>
    <t>2811-2028</t>
  </si>
  <si>
    <t>Construction Loan 2 - Due Diligence Fees</t>
  </si>
  <si>
    <t>2811-2029</t>
  </si>
  <si>
    <t>Construction Loan 2 - Non Legal Fees</t>
  </si>
  <si>
    <t>L24 Office</t>
  </si>
  <si>
    <t>Unexpected Costs^IC Ad Hoc^Lvl39</t>
  </si>
  <si>
    <t>L39 Office</t>
  </si>
  <si>
    <t>L39 Flexible Desks</t>
  </si>
  <si>
    <t>Meeting rooms</t>
  </si>
  <si>
    <t>4211-6011</t>
  </si>
  <si>
    <t>Events Venue Hire</t>
  </si>
  <si>
    <t>Catering Commission</t>
  </si>
  <si>
    <t>Ecosystem Membership (virtual)</t>
  </si>
  <si>
    <t>4239-3421</t>
  </si>
  <si>
    <t>Parking-Credit Charge</t>
  </si>
  <si>
    <t>Unexpected Costs^IC Ad Hoc^CWG Car Parks^Retail &amp;amp; Car Parks Operations</t>
  </si>
  <si>
    <t>4781-3003</t>
  </si>
  <si>
    <t>Event/Activation space income</t>
  </si>
  <si>
    <t>Unexpected Costs^IC Ad Hoc^Mktg Retail</t>
  </si>
  <si>
    <t>5300-1001</t>
  </si>
  <si>
    <t>Insurance Cost - Office</t>
  </si>
  <si>
    <t>Unexpected Costs^Group Insurance^IC Ad Hoc^Insurance</t>
  </si>
  <si>
    <t>5300-1002</t>
  </si>
  <si>
    <t>Insurance Cost - Retail</t>
  </si>
  <si>
    <t>Unexpected Costs^Group Insurance^IC Ad Hoc^Insurance^Residential</t>
  </si>
  <si>
    <t>5300-1011</t>
  </si>
  <si>
    <t>Rates - Unoccupied - Office</t>
  </si>
  <si>
    <t>Unexpected Costs^Rates^IC Ad Hoc^Lvl39</t>
  </si>
  <si>
    <t>5300-1012</t>
  </si>
  <si>
    <t>Rates - Unoccupied -Retail</t>
  </si>
  <si>
    <t>Unexpected Costs^Rates^IC Ad Hoc</t>
  </si>
  <si>
    <t>5300-1014</t>
  </si>
  <si>
    <t>Rates - Car Park</t>
  </si>
  <si>
    <t>5491-1111</t>
  </si>
  <si>
    <t>Lease back property rentals</t>
  </si>
  <si>
    <t>Unexpected Costs^IC Ad Hoc^Accounts</t>
  </si>
  <si>
    <t>5550-0001</t>
  </si>
  <si>
    <t>Office Negotiation Costs Amortisation</t>
  </si>
  <si>
    <t>Unexpected Costs^IC Ad Hoc^Leasing Office</t>
  </si>
  <si>
    <t>5550-0002</t>
  </si>
  <si>
    <t>Retail Negotiation Cost Amortisation</t>
  </si>
  <si>
    <t>Unexpected Costs^IC Ad Hoc^Leasing Retail</t>
  </si>
  <si>
    <t>5739-0431</t>
  </si>
  <si>
    <t>Rent- Ground Rent Payable - Retail</t>
  </si>
  <si>
    <t>Unexpected Costs^IC Ad Hoc^Leasing Retail^Retail Leasing</t>
  </si>
  <si>
    <t>5739-0438</t>
  </si>
  <si>
    <t>Rent- Ground Rent Payable - Corps</t>
  </si>
  <si>
    <t>5781-1011</t>
  </si>
  <si>
    <t>Telecoms Management Contract</t>
  </si>
  <si>
    <t>Telecoms^Unexpected Costs^IC Ad Hoc^Information Technology</t>
  </si>
  <si>
    <t>5781-3111</t>
  </si>
  <si>
    <t>IPTV costs</t>
  </si>
  <si>
    <t>6154-5411</t>
  </si>
  <si>
    <t>INACITVE: Planning General</t>
  </si>
  <si>
    <t>Unexpected Costs^IC Ad Hoc^Leasing Office^Feas/Model/Plan</t>
  </si>
  <si>
    <t>6154-6811</t>
  </si>
  <si>
    <t>Memberships</t>
  </si>
  <si>
    <t>CWRML O/H^Unexpected Costs^IC Ad Hoc^Corp Affairs^Mktg Vertus^Leasing Retail^Customer Experience^VRML O/H^Sustainability^Vertus Mgmt</t>
  </si>
  <si>
    <t>6162-1000</t>
  </si>
  <si>
    <t>Total Payroll Costs - Overheads</t>
  </si>
  <si>
    <t>Unexpected Costs^Payroll^IC Ad Hoc</t>
  </si>
  <si>
    <t>6162-1411</t>
  </si>
  <si>
    <t>BUPA/Life Assurance/Disability</t>
  </si>
  <si>
    <t>CWRML O/H^Payroll^Mktg Vertus^VRML O/H^IC Ad Hoc</t>
  </si>
  <si>
    <t>6162-1501</t>
  </si>
  <si>
    <t>Redundancy</t>
  </si>
  <si>
    <t>6162-2911</t>
  </si>
  <si>
    <t>LTIP Share Option Scheme</t>
  </si>
  <si>
    <t>6162-5821</t>
  </si>
  <si>
    <t>Employee professional subscriptions</t>
  </si>
  <si>
    <t>CWRML O/H^Unexpected Costs^CoSec^Leasing Office^Legal^Payroll^Ppl and Dev^Press Office^Donations^Leasing Resi^Mktg Office^Mktg Resi^Mktg Retail^Mktg Vertus^Leasing Retail^Corp Bldg Serv^Tax^VRML O/H^IT^Insurance^Sustainability^Accounts^IC Ad Hoc</t>
  </si>
  <si>
    <t>6162-5911</t>
  </si>
  <si>
    <t>Hiring and Recruitment</t>
  </si>
  <si>
    <t>Unexpected Costs^Payroll^Ppl and Dev^VRML O/H^Vertus Mgmt^IC Ad Hoc</t>
  </si>
  <si>
    <t>6162-6111</t>
  </si>
  <si>
    <t>Payroll - QIA Non Exec Fees</t>
  </si>
  <si>
    <t>Unexpected Costs^Payroll^Reward and Benefits^IC Ad Hoc</t>
  </si>
  <si>
    <t>6163-0311</t>
  </si>
  <si>
    <t>Audit Fees - Statutory</t>
  </si>
  <si>
    <t>Unexpected Costs^Accounts^IC Ad Hoc</t>
  </si>
  <si>
    <t>6163-0371</t>
  </si>
  <si>
    <t>External valuation fees</t>
  </si>
  <si>
    <t>Valuations^Unexpected Costs^Prop Valuations^Accounts^IC Ad Hoc</t>
  </si>
  <si>
    <t>6163-0411</t>
  </si>
  <si>
    <t>Taxation Fees</t>
  </si>
  <si>
    <t>Tax^IC Ad Hoc</t>
  </si>
  <si>
    <t>6163-0606</t>
  </si>
  <si>
    <t>Legal - Dev Misc</t>
  </si>
  <si>
    <t>Legal^IC Ad Hoc</t>
  </si>
  <si>
    <t>6163-0811</t>
  </si>
  <si>
    <t>Bank Charges (Admin expenses)</t>
  </si>
  <si>
    <t>6163-5011</t>
  </si>
  <si>
    <t>Professional Fees</t>
  </si>
  <si>
    <t>Rates^Legal^Payroll^Ppl and Dev^Mktg Vertus^VRML O/H^Accounts^IC Ad Hoc</t>
  </si>
  <si>
    <t>6164-0411</t>
  </si>
  <si>
    <t>Subscriptions/Manuals</t>
  </si>
  <si>
    <t>CoSec^Legal^Ppl and Dev^Tax^IT^IC Ad Hoc</t>
  </si>
  <si>
    <t>6164-0711</t>
  </si>
  <si>
    <t>Software Maintenance</t>
  </si>
  <si>
    <t>Unexpected Costs^VRML O/H^IT^Vertus Mgmt^IC Ad Hoc</t>
  </si>
  <si>
    <t>6164-2511</t>
  </si>
  <si>
    <t>IT - Consumables</t>
  </si>
  <si>
    <t>CWRML O/H^Unexpected Costs^Mktg Vertus^VRML O/H^IT^Vertus Mgmt^IC Ad Hoc</t>
  </si>
  <si>
    <t>6175-1711</t>
  </si>
  <si>
    <t>Building S/C (Non Elim)</t>
  </si>
  <si>
    <t>Unexpected Costs^Corp Bldg Serv^IC Ad Hoc</t>
  </si>
  <si>
    <t>6210-0511</t>
  </si>
  <si>
    <t>Vertus - Site Staff Costs</t>
  </si>
  <si>
    <t>Mktg Vertus^VRML O/H^IC Ad Hoc</t>
  </si>
  <si>
    <t>6339-9211</t>
  </si>
  <si>
    <t>Insurance claims</t>
  </si>
  <si>
    <t>Group Insurance^Insurance^Unexpected Costs^IC Ad Hoc</t>
  </si>
  <si>
    <t>6400-0001</t>
  </si>
  <si>
    <t>Disposal of property fees</t>
  </si>
  <si>
    <t>Leasing Office^Prop Valuations^Accounts^Property Valuations^Unexpected Costs^IC Ad Hoc</t>
  </si>
  <si>
    <t>8110-0001</t>
  </si>
  <si>
    <t>Bank Charges - Unrestricted Cash</t>
  </si>
  <si>
    <t>Fin and Loan^Unexpected Costs^IC Ad Hoc</t>
  </si>
  <si>
    <t>IC Loan - Ongoing fees (expense)</t>
  </si>
  <si>
    <t>8300-1031</t>
  </si>
  <si>
    <t>Investment Loan - Interest</t>
  </si>
  <si>
    <t>8300-1041</t>
  </si>
  <si>
    <t>Investment Loan - Swap Interest</t>
  </si>
  <si>
    <t>8300-1051</t>
  </si>
  <si>
    <t>Investment Loan - Commitment Fees</t>
  </si>
  <si>
    <t>8300-1064</t>
  </si>
  <si>
    <t>USE 8320-4002; Invest Loan-Ongoing lender legal fees-Office</t>
  </si>
  <si>
    <t>Legal^Unexpected Costs^IC Ad Hoc</t>
  </si>
  <si>
    <t>8300-2031</t>
  </si>
  <si>
    <t>Construction Loan - Interest</t>
  </si>
  <si>
    <t>8300-2041</t>
  </si>
  <si>
    <t>Construction Loan - Swap Interest</t>
  </si>
  <si>
    <t>8300-2051</t>
  </si>
  <si>
    <t>Construction Loan - Commitment fees</t>
  </si>
  <si>
    <t>8300-2060</t>
  </si>
  <si>
    <t>USE 8320-4001; Construction Loan - Ongoing non legal fees</t>
  </si>
  <si>
    <t>8300-3031</t>
  </si>
  <si>
    <t>Sec Loan - Interest</t>
  </si>
  <si>
    <t>8300-3041</t>
  </si>
  <si>
    <t>Sec Loan - Swap Interest</t>
  </si>
  <si>
    <t>8300-3051</t>
  </si>
  <si>
    <t>Sec Loan - Commitment fees</t>
  </si>
  <si>
    <t>8300-3060</t>
  </si>
  <si>
    <t>USE 8320-4001; Sec Loan - Ongoing non legal fees</t>
  </si>
  <si>
    <t>8300-4031</t>
  </si>
  <si>
    <t>Other Loan - Interest</t>
  </si>
  <si>
    <t>8300-4041</t>
  </si>
  <si>
    <t>Other Loan - Swap Interest</t>
  </si>
  <si>
    <t>8300-4051</t>
  </si>
  <si>
    <t>Other Loan - Commitment fees - Office</t>
  </si>
  <si>
    <t>8320-3981</t>
  </si>
  <si>
    <t>General Financing &amp; Monitoring Costs</t>
  </si>
  <si>
    <t>Fin and Loan^Treasury^Unexpected Costs^IC Ad Hoc</t>
  </si>
  <si>
    <t>8320-3988</t>
  </si>
  <si>
    <t>USE 8320-3981; General Financing &amp; Monitoring Costs - Corp</t>
  </si>
  <si>
    <t>Fin and Loan^Prop Valuations^Unexpected Costs^IC Ad Hoc</t>
  </si>
  <si>
    <t>8320-3989</t>
  </si>
  <si>
    <t>USE 8320-3981; General Financing &amp; Monitoring Costs - Resi</t>
  </si>
  <si>
    <t>9110-0111</t>
  </si>
  <si>
    <t>UK Corporation Tax</t>
  </si>
  <si>
    <t>HMRC^Taxation^Unexpected Costs^IC Ad Hoc</t>
  </si>
  <si>
    <t>Tax Rate Lookup</t>
  </si>
  <si>
    <t>Vat Rates</t>
  </si>
  <si>
    <t>AP Tax Types</t>
  </si>
  <si>
    <t>AR Tax Tran Types</t>
  </si>
  <si>
    <t>Tax Rates Codes</t>
  </si>
  <si>
    <t>ukstd20</t>
  </si>
  <si>
    <t>purch</t>
  </si>
  <si>
    <t>sales</t>
  </si>
  <si>
    <t>ukred5</t>
  </si>
  <si>
    <t>ukzero</t>
  </si>
  <si>
    <t>exempt</t>
  </si>
  <si>
    <t>Exempt</t>
  </si>
  <si>
    <t>expurch</t>
  </si>
  <si>
    <t>exsales</t>
  </si>
  <si>
    <t>outside</t>
  </si>
  <si>
    <t>Outside</t>
  </si>
  <si>
    <t>oospurch</t>
  </si>
  <si>
    <t>oossales</t>
  </si>
  <si>
    <t>Chart of Accounts as at 14 Mar 2025</t>
  </si>
  <si>
    <t>Account Name</t>
  </si>
  <si>
    <t>Normal</t>
  </si>
  <si>
    <t>Acct</t>
  </si>
  <si>
    <t>Rpt</t>
  </si>
  <si>
    <t>Line</t>
  </si>
  <si>
    <t>Offset</t>
  </si>
  <si>
    <t>Hold-For</t>
  </si>
  <si>
    <t>Accrual</t>
  </si>
  <si>
    <t>Flags</t>
  </si>
  <si>
    <t>Balance</t>
  </si>
  <si>
    <t>Type</t>
  </si>
  <si>
    <t>Margin</t>
  </si>
  <si>
    <t>Adv.</t>
  </si>
  <si>
    <t>1000-0000</t>
  </si>
  <si>
    <t>BALANCE SHEET</t>
  </si>
  <si>
    <t>Debit</t>
  </si>
  <si>
    <t>Head</t>
  </si>
  <si>
    <t>Bal</t>
  </si>
  <si>
    <t>1001-0000</t>
  </si>
  <si>
    <t>FIXED ASSET</t>
  </si>
  <si>
    <t>1099-9999</t>
  </si>
  <si>
    <t>1002-0000</t>
  </si>
  <si>
    <t>Tangible Fixed Asset</t>
  </si>
  <si>
    <t>1049-9999</t>
  </si>
  <si>
    <t>1010-0000</t>
  </si>
  <si>
    <t>Land and Buildings</t>
  </si>
  <si>
    <t>1019-9999</t>
  </si>
  <si>
    <t>1011-2301</t>
  </si>
  <si>
    <t>Interest in Freehold Land</t>
  </si>
  <si>
    <t>Reg</t>
  </si>
  <si>
    <t>1011-2302</t>
  </si>
  <si>
    <t>Disposal of interest in Freehold Land</t>
  </si>
  <si>
    <t>1011-2303</t>
  </si>
  <si>
    <t>Provision against Freehold Land</t>
  </si>
  <si>
    <t>1011-2304</t>
  </si>
  <si>
    <t>Properties Under Construction</t>
  </si>
  <si>
    <t>1011-2305</t>
  </si>
  <si>
    <t>Development Properties</t>
  </si>
  <si>
    <t>1011-2310</t>
  </si>
  <si>
    <t>Revaluation of Freehold Land</t>
  </si>
  <si>
    <t>1011-2311</t>
  </si>
  <si>
    <t>Interest in Property</t>
  </si>
  <si>
    <t>1011-2312</t>
  </si>
  <si>
    <t>Revaluation of Leasehold Property</t>
  </si>
  <si>
    <t>1011-2313</t>
  </si>
  <si>
    <t>Disposal of interest in investment property</t>
  </si>
  <si>
    <t>1011-2314</t>
  </si>
  <si>
    <t>Stamp Duty Land Tax on property interest (SDLT)</t>
  </si>
  <si>
    <t>1011-2315</t>
  </si>
  <si>
    <t>Provision against leashold property</t>
  </si>
  <si>
    <t>1011-2316</t>
  </si>
  <si>
    <t>Interest in Property fees</t>
  </si>
  <si>
    <t>1011-2421</t>
  </si>
  <si>
    <t>WIP additions to property interests</t>
  </si>
  <si>
    <t>1011-2422</t>
  </si>
  <si>
    <t>Prepay property interest</t>
  </si>
  <si>
    <t>1011-2431</t>
  </si>
  <si>
    <t>Post construction additions to property interest</t>
  </si>
  <si>
    <t>1011-2511</t>
  </si>
  <si>
    <t>Option payments</t>
  </si>
  <si>
    <t>1012-0001</t>
  </si>
  <si>
    <t>Operating lease liability adj</t>
  </si>
  <si>
    <t>1012-0002</t>
  </si>
  <si>
    <t>IC Operating lease liability adj</t>
  </si>
  <si>
    <t>1012-0003</t>
  </si>
  <si>
    <t>IC WIP transferred profit</t>
  </si>
  <si>
    <t>1012-0004</t>
  </si>
  <si>
    <t>Land and Buildings Oracle legacy</t>
  </si>
  <si>
    <t>1012-0005</t>
  </si>
  <si>
    <t>Profit on IC Sale of Fixed Assets</t>
  </si>
  <si>
    <t>1015-0021</t>
  </si>
  <si>
    <t>Revaluation of property - Investment</t>
  </si>
  <si>
    <t>1015-0022</t>
  </si>
  <si>
    <t>Revaluation of property - Development</t>
  </si>
  <si>
    <t>1015-0023</t>
  </si>
  <si>
    <t>Revaluation of property - Under Construction</t>
  </si>
  <si>
    <t>1016-0001</t>
  </si>
  <si>
    <t>Assets held for sale</t>
  </si>
  <si>
    <t>Total Land and Buildings</t>
  </si>
  <si>
    <t>Tot</t>
  </si>
  <si>
    <t>1020-0000</t>
  </si>
  <si>
    <t>1029-9999</t>
  </si>
  <si>
    <t>1021-2401</t>
  </si>
  <si>
    <t>Leasehold Improvements</t>
  </si>
  <si>
    <t>1021-2402</t>
  </si>
  <si>
    <t>Tribe Fit Out PPE</t>
  </si>
  <si>
    <t>1021-2411</t>
  </si>
  <si>
    <t>Leasehold Improvements Depreciation</t>
  </si>
  <si>
    <t>1021-2412</t>
  </si>
  <si>
    <t>Tribe Fit Out PPE Depreciation</t>
  </si>
  <si>
    <t>1021-2471</t>
  </si>
  <si>
    <t>Plant and Machinery Depreciation</t>
  </si>
  <si>
    <t>1021-2489</t>
  </si>
  <si>
    <t>Helpdesk Upgrade</t>
  </si>
  <si>
    <t>1021-2491</t>
  </si>
  <si>
    <t>Computer Hardware Depreciation</t>
  </si>
  <si>
    <t>1021-2511</t>
  </si>
  <si>
    <t>Computer Software Depreciation</t>
  </si>
  <si>
    <t>1021-2541</t>
  </si>
  <si>
    <t>Storage Area Network</t>
  </si>
  <si>
    <t>1021-2551</t>
  </si>
  <si>
    <t>Plant &amp; Machinery cost oracle legacy</t>
  </si>
  <si>
    <t>1021-2561</t>
  </si>
  <si>
    <t>Plant &amp; Machinery depreciation oracle legacy</t>
  </si>
  <si>
    <t>1021-2571</t>
  </si>
  <si>
    <t>Software cost oracle legacy</t>
  </si>
  <si>
    <t>1021-2572</t>
  </si>
  <si>
    <t>ERP System</t>
  </si>
  <si>
    <t>1021-2581</t>
  </si>
  <si>
    <t>Software amortisation oracle legacy</t>
  </si>
  <si>
    <t>Total Plant and Machinery</t>
  </si>
  <si>
    <t>1030-0000</t>
  </si>
  <si>
    <t>Fixtures and Fittings</t>
  </si>
  <si>
    <t>1039-9999</t>
  </si>
  <si>
    <t>1031-2431</t>
  </si>
  <si>
    <t>Fixtures and Equipment Depreciation</t>
  </si>
  <si>
    <t>1031-2441</t>
  </si>
  <si>
    <t>Right of Use Assets - Cost</t>
  </si>
  <si>
    <t>1031-2442</t>
  </si>
  <si>
    <t>Right of Use Assets – Depreciation</t>
  </si>
  <si>
    <t>1031-2451</t>
  </si>
  <si>
    <t>Fixtures and Equipment Depreciation - MadeFor</t>
  </si>
  <si>
    <t>1031-2481</t>
  </si>
  <si>
    <t>Fire alarms</t>
  </si>
  <si>
    <t>1031-2491</t>
  </si>
  <si>
    <t>Mammoth Compressors</t>
  </si>
  <si>
    <t>1031-2511</t>
  </si>
  <si>
    <t>F&amp;F depreciation oracle legacy</t>
  </si>
  <si>
    <t>Total Fixtures and Fittings</t>
  </si>
  <si>
    <t>Total Tangible Fixed Assets</t>
  </si>
  <si>
    <t>1050-0000</t>
  </si>
  <si>
    <t>Investments</t>
  </si>
  <si>
    <t>1059-9999</t>
  </si>
  <si>
    <t>1051-0000</t>
  </si>
  <si>
    <t>Internal - Investments</t>
  </si>
  <si>
    <t>1051-9999</t>
  </si>
  <si>
    <t>Internal Investments - partnership loans</t>
  </si>
  <si>
    <t>Total Internal - Investments</t>
  </si>
  <si>
    <t>1052-0000</t>
  </si>
  <si>
    <t>External - Investments</t>
  </si>
  <si>
    <t>1058-9999</t>
  </si>
  <si>
    <t>1057-0111</t>
  </si>
  <si>
    <t>External Equity investment - equity</t>
  </si>
  <si>
    <t>1057-0121</t>
  </si>
  <si>
    <t>External Equity investment - fees</t>
  </si>
  <si>
    <t>1057-0131</t>
  </si>
  <si>
    <t>External Equity investment - loan</t>
  </si>
  <si>
    <t>1057-0141</t>
  </si>
  <si>
    <t>External Equity investment - share of profit</t>
  </si>
  <si>
    <t>1057-0142</t>
  </si>
  <si>
    <t>External Equity investment – share of hedging reserve</t>
  </si>
  <si>
    <t>1057-0151</t>
  </si>
  <si>
    <t>External Equity investment - share of revaluation</t>
  </si>
  <si>
    <t>1057-0161</t>
  </si>
  <si>
    <t>External Equity investment - distribution received</t>
  </si>
  <si>
    <t>1057-0171</t>
  </si>
  <si>
    <t>External Equity investment - Provision</t>
  </si>
  <si>
    <t>1057-1111</t>
  </si>
  <si>
    <t>External JV investment - Equity</t>
  </si>
  <si>
    <t>1057-1121</t>
  </si>
  <si>
    <t>External JV investment - fees</t>
  </si>
  <si>
    <t>1057-1131</t>
  </si>
  <si>
    <t>External JV investment - loan</t>
  </si>
  <si>
    <t>1057-1141</t>
  </si>
  <si>
    <t>External JV investment - share of profit</t>
  </si>
  <si>
    <t>1057-1151</t>
  </si>
  <si>
    <t>External JV investment - share of revaluation</t>
  </si>
  <si>
    <t>1057-1161</t>
  </si>
  <si>
    <t>External JV investment - distribution received</t>
  </si>
  <si>
    <t>1057-2001</t>
  </si>
  <si>
    <t>Investments less than 20% owned</t>
  </si>
  <si>
    <t>1058-1001</t>
  </si>
  <si>
    <t>Debenture notes</t>
  </si>
  <si>
    <t>Total External - Investments</t>
  </si>
  <si>
    <t>Total Investments</t>
  </si>
  <si>
    <t>1060-0000</t>
  </si>
  <si>
    <t>Goodwill</t>
  </si>
  <si>
    <t>1060-9999</t>
  </si>
  <si>
    <t>1060-0111</t>
  </si>
  <si>
    <t>1060-0112</t>
  </si>
  <si>
    <t>Impairment of Goodwill (BS)</t>
  </si>
  <si>
    <t>Total Goodwill</t>
  </si>
  <si>
    <t>1070-0000</t>
  </si>
  <si>
    <t>Derivative financial instruments</t>
  </si>
  <si>
    <t>1070-9999</t>
  </si>
  <si>
    <t>1070-0111</t>
  </si>
  <si>
    <t>Effective Derivative Asset</t>
  </si>
  <si>
    <t>1070-0121</t>
  </si>
  <si>
    <t>Ineffective Derivative Asset</t>
  </si>
  <si>
    <t>Total Derivative assets</t>
  </si>
  <si>
    <t>1080-0000</t>
  </si>
  <si>
    <t>Non-Current Receivables</t>
  </si>
  <si>
    <t>1080-0099</t>
  </si>
  <si>
    <t>1080-0011</t>
  </si>
  <si>
    <t>Non-current Middle Dock prepayments</t>
  </si>
  <si>
    <t>1080-0021</t>
  </si>
  <si>
    <t>Non-current related party receivable (Consol only)</t>
  </si>
  <si>
    <t>Total Non-Current Receivables</t>
  </si>
  <si>
    <t>TOTAL FIXED ASSET</t>
  </si>
  <si>
    <t>2999-9999</t>
  </si>
  <si>
    <t>1100-0000</t>
  </si>
  <si>
    <t>CURRENT ASSET</t>
  </si>
  <si>
    <t>1199-9999</t>
  </si>
  <si>
    <t>1107-0000</t>
  </si>
  <si>
    <t>Stock</t>
  </si>
  <si>
    <t>1107-9999</t>
  </si>
  <si>
    <t>1107-0001</t>
  </si>
  <si>
    <t>Tribe - Inventory - Food</t>
  </si>
  <si>
    <t>1107-0011</t>
  </si>
  <si>
    <t>Tribe - Inventory - Beverage</t>
  </si>
  <si>
    <t>1107-0021</t>
  </si>
  <si>
    <t>Tribe - Inventory - Other</t>
  </si>
  <si>
    <t>Total Stock</t>
  </si>
  <si>
    <t>1999-9999</t>
  </si>
  <si>
    <t>1108-0000</t>
  </si>
  <si>
    <t>WIP</t>
  </si>
  <si>
    <t>1108-0015</t>
  </si>
  <si>
    <t>WIP Markup (with job)</t>
  </si>
  <si>
    <t>1108-0016</t>
  </si>
  <si>
    <t>WIP Markup (no job)</t>
  </si>
  <si>
    <t>1108-0044</t>
  </si>
  <si>
    <t>INACTIVE: IC WIP Billing (with jobs) - OUT</t>
  </si>
  <si>
    <t>Exclude, WIP</t>
  </si>
  <si>
    <t>1108-0111</t>
  </si>
  <si>
    <t>Construction: Base Building</t>
  </si>
  <si>
    <t>1108-0112</t>
  </si>
  <si>
    <t>Construction retention</t>
  </si>
  <si>
    <t>1108-0211</t>
  </si>
  <si>
    <t>Construction Under Brackendown Contract</t>
  </si>
  <si>
    <t>1108-0411</t>
  </si>
  <si>
    <t>Inter-Company Property Disposals</t>
  </si>
  <si>
    <t>1108-0511</t>
  </si>
  <si>
    <t>External Property Disposals</t>
  </si>
  <si>
    <t>1108-0521</t>
  </si>
  <si>
    <t>External Property Disposals - SSAP9</t>
  </si>
  <si>
    <t>1108-0611</t>
  </si>
  <si>
    <t>IC WIP purchases</t>
  </si>
  <si>
    <t>1108-0811</t>
  </si>
  <si>
    <t>WIP transfers to property (Buildings)</t>
  </si>
  <si>
    <t>1108-0821</t>
  </si>
  <si>
    <t>WIP  - Year end transfers to fixed assets</t>
  </si>
  <si>
    <t>1108-0911</t>
  </si>
  <si>
    <t>External Property Purchases</t>
  </si>
  <si>
    <t>1108-1011</t>
  </si>
  <si>
    <t>External land purchases</t>
  </si>
  <si>
    <t>1108-1021</t>
  </si>
  <si>
    <t>British Waterways Density payment</t>
  </si>
  <si>
    <t>1108-1031</t>
  </si>
  <si>
    <t>Stamp Duty Land Tax (SDLT)</t>
  </si>
  <si>
    <t>1108-1041</t>
  </si>
  <si>
    <t>British Waterways Density agreement fees</t>
  </si>
  <si>
    <t>1108-1051</t>
  </si>
  <si>
    <t>ECC costs to infrastructure</t>
  </si>
  <si>
    <t>1108-1061</t>
  </si>
  <si>
    <t>S106 agreement</t>
  </si>
  <si>
    <t>1108-1071</t>
  </si>
  <si>
    <t>SSAP 9 Legal Fees</t>
  </si>
  <si>
    <t>1108-1081</t>
  </si>
  <si>
    <t>Acquisition legal fees</t>
  </si>
  <si>
    <t>1108-1091</t>
  </si>
  <si>
    <t>Carillion payments HQW and NFL</t>
  </si>
  <si>
    <t>1108-1101</t>
  </si>
  <si>
    <t>Mayoral CIL Payment</t>
  </si>
  <si>
    <t>1108-1121</t>
  </si>
  <si>
    <t>Land Registry</t>
  </si>
  <si>
    <t>1108-1211</t>
  </si>
  <si>
    <t>Contribution to JLE</t>
  </si>
  <si>
    <t>1108-1221</t>
  </si>
  <si>
    <t>Contribution from JLE</t>
  </si>
  <si>
    <t>1108-1311</t>
  </si>
  <si>
    <t>Tenant inducement: takeover properties</t>
  </si>
  <si>
    <t>1108-1321</t>
  </si>
  <si>
    <t>UITF28 WIP</t>
  </si>
  <si>
    <t>1108-1331</t>
  </si>
  <si>
    <t>Aldersgate St UITF 28 WIP adj</t>
  </si>
  <si>
    <t>1108-1341</t>
  </si>
  <si>
    <t>TI on lease backs</t>
  </si>
  <si>
    <t>1108-1411</t>
  </si>
  <si>
    <t>Broadgate payments</t>
  </si>
  <si>
    <t>1108-1501</t>
  </si>
  <si>
    <t>Leadenhall Construction Costs</t>
  </si>
  <si>
    <t>1108-1711</t>
  </si>
  <si>
    <t>License fees</t>
  </si>
  <si>
    <t>1108-2001</t>
  </si>
  <si>
    <t>Costs re Aldersgate St. trans to provisions</t>
  </si>
  <si>
    <t>1108-3111</t>
  </si>
  <si>
    <t>Crossrail WIP trf</t>
  </si>
  <si>
    <t>1108-5011</t>
  </si>
  <si>
    <t>Tenant Construction</t>
  </si>
  <si>
    <t>1108-5014</t>
  </si>
  <si>
    <t>Tenant Construction Office (without job)</t>
  </si>
  <si>
    <t>1108-5021</t>
  </si>
  <si>
    <t>Construction MEES (without job)</t>
  </si>
  <si>
    <t>1108-5111</t>
  </si>
  <si>
    <t>Dilapidation and moves</t>
  </si>
  <si>
    <t>1108-5211</t>
  </si>
  <si>
    <t>SSAP 9 Debtor</t>
  </si>
  <si>
    <t>1108-6011</t>
  </si>
  <si>
    <t>Land Purchases</t>
  </si>
  <si>
    <t>1108-7011</t>
  </si>
  <si>
    <t>Fitting out Costs Recoverable</t>
  </si>
  <si>
    <t>1113-2011</t>
  </si>
  <si>
    <t>Tenant Inducements</t>
  </si>
  <si>
    <t>1122-0311</t>
  </si>
  <si>
    <t>Advance Lease Payments</t>
  </si>
  <si>
    <t>1180-0011</t>
  </si>
  <si>
    <t>Construction Accruals (no Jobs)</t>
  </si>
  <si>
    <t>1180-0012</t>
  </si>
  <si>
    <t>Construction Accruals (with Jobs)</t>
  </si>
  <si>
    <t>1180-0021</t>
  </si>
  <si>
    <t>Tenant Construction Accruals</t>
  </si>
  <si>
    <t>1180-0031</t>
  </si>
  <si>
    <t>CM Certified Accruals</t>
  </si>
  <si>
    <t>1180-0032</t>
  </si>
  <si>
    <t>CM Non-Certified Accruals</t>
  </si>
  <si>
    <t>IC WIP Transfers (with jobs) - OUT</t>
  </si>
  <si>
    <t>IC WIP Transfers (no jobs)</t>
  </si>
  <si>
    <t>IC WIP Billing (with jobs) - IN</t>
  </si>
  <si>
    <t>1180-0051</t>
  </si>
  <si>
    <t>Capitalised interest - Specific</t>
  </si>
  <si>
    <t>1180-0052</t>
  </si>
  <si>
    <t>Capitalised interest - General</t>
  </si>
  <si>
    <t>1180-0061</t>
  </si>
  <si>
    <t>WIP costs legal fees</t>
  </si>
  <si>
    <t>1180-0062</t>
  </si>
  <si>
    <t>Marketing Cost WIP Transfer</t>
  </si>
  <si>
    <t>1180-0071</t>
  </si>
  <si>
    <t>Wood Wharf contribution agreement accrual</t>
  </si>
  <si>
    <t>1180-0081</t>
  </si>
  <si>
    <t>Braeburn Estate costs</t>
  </si>
  <si>
    <t>1180-0082</t>
  </si>
  <si>
    <t>Braeburn Estate setup costs</t>
  </si>
  <si>
    <t>1180-0091</t>
  </si>
  <si>
    <t>WW Resi/Vertus Setup Costs</t>
  </si>
  <si>
    <t>1180-1010</t>
  </si>
  <si>
    <t>Affordable Housing Receipts</t>
  </si>
  <si>
    <t>1180-1011</t>
  </si>
  <si>
    <t>WIP costs finance contra fees</t>
  </si>
  <si>
    <t>1181-0111</t>
  </si>
  <si>
    <t>SQ West CPO costs</t>
  </si>
  <si>
    <t>1181-0121</t>
  </si>
  <si>
    <t>HQ West BWB costs</t>
  </si>
  <si>
    <t>1181-0131</t>
  </si>
  <si>
    <t>HQ West BWB payment</t>
  </si>
  <si>
    <t>1184-9911</t>
  </si>
  <si>
    <t>Irrecoverable VAT-Post 20.06.93 Construction</t>
  </si>
  <si>
    <t>1184-9921</t>
  </si>
  <si>
    <t>Irrecoverable VAT</t>
  </si>
  <si>
    <t>1195-0411</t>
  </si>
  <si>
    <t>Release of WIP on sale of apartments</t>
  </si>
  <si>
    <t>1195-0412</t>
  </si>
  <si>
    <t>Expense non-capital items in construction budgets</t>
  </si>
  <si>
    <t>1198-0111</t>
  </si>
  <si>
    <t>Provision Against WIP (WIP)</t>
  </si>
  <si>
    <t>1199-0011</t>
  </si>
  <si>
    <t>WIP transfers to property (WIP)</t>
  </si>
  <si>
    <t>1199-0021</t>
  </si>
  <si>
    <t>WIP transfers to prepayments</t>
  </si>
  <si>
    <t>1199-0031</t>
  </si>
  <si>
    <t>WIP oracle legacy</t>
  </si>
  <si>
    <t>1199-0041</t>
  </si>
  <si>
    <t>WIP non migrated projects</t>
  </si>
  <si>
    <t>1199-0042</t>
  </si>
  <si>
    <t>Retentions non migrated projects</t>
  </si>
  <si>
    <t>1199-0051</t>
  </si>
  <si>
    <t>Fit out non migrated projects</t>
  </si>
  <si>
    <t>Total WIP</t>
  </si>
  <si>
    <t>1200-0000</t>
  </si>
  <si>
    <t>Debtors &lt; 1 yr</t>
  </si>
  <si>
    <t>1549-9999</t>
  </si>
  <si>
    <t>1201-0000</t>
  </si>
  <si>
    <t>Trade Debtors</t>
  </si>
  <si>
    <t>1299-9999</t>
  </si>
  <si>
    <t>1204-1911</t>
  </si>
  <si>
    <t>Provision For Bad Debts</t>
  </si>
  <si>
    <t>1204-5210</t>
  </si>
  <si>
    <t>IC billing default charge account</t>
  </si>
  <si>
    <t>1204-5211</t>
  </si>
  <si>
    <t>A/R - A/P Contra Offsets</t>
  </si>
  <si>
    <t>1204-5221</t>
  </si>
  <si>
    <t>A/R Contra Re A/P</t>
  </si>
  <si>
    <t>1204-5231</t>
  </si>
  <si>
    <t>A/R (Year End Adjustments)</t>
  </si>
  <si>
    <t>1221-2310</t>
  </si>
  <si>
    <t>A/R Internal Control Account</t>
  </si>
  <si>
    <t>AR, Ctrl</t>
  </si>
  <si>
    <t>1221-2311</t>
  </si>
  <si>
    <t>A/R Control Account</t>
  </si>
  <si>
    <t>1221-2312</t>
  </si>
  <si>
    <t>AR Yardi migration adjustments</t>
  </si>
  <si>
    <t>1221-2321</t>
  </si>
  <si>
    <t>A/R-Unapplied Payment Activity</t>
  </si>
  <si>
    <t>Prepay</t>
  </si>
  <si>
    <t>1221-2322</t>
  </si>
  <si>
    <t>A/R - Unapplied Payment Activity (Contra)</t>
  </si>
  <si>
    <t>1221-2331</t>
  </si>
  <si>
    <t>Clearing Bank Recs - AR Suspense</t>
  </si>
  <si>
    <t>1221-2341</t>
  </si>
  <si>
    <t>A/R Unapplied Payment Year end Adj</t>
  </si>
  <si>
    <t>1221-2351</t>
  </si>
  <si>
    <t>A/R Adjustment re IC Future Invoices</t>
  </si>
  <si>
    <t>1221-2361</t>
  </si>
  <si>
    <t>A/R Control Account - PropMan</t>
  </si>
  <si>
    <t>AR</t>
  </si>
  <si>
    <t>1221-2371</t>
  </si>
  <si>
    <t>INACTIVE: A/R Unapplied Payment Activity - PropMan</t>
  </si>
  <si>
    <t>Exclude</t>
  </si>
  <si>
    <t>1221-2381</t>
  </si>
  <si>
    <t>A/R Oracle legacy</t>
  </si>
  <si>
    <t>1221-2391</t>
  </si>
  <si>
    <t>INACTIVE: Consol rule - Trade debtor creditor set off</t>
  </si>
  <si>
    <t>1231-0001</t>
  </si>
  <si>
    <t>Tribe - Customer receivables</t>
  </si>
  <si>
    <t>1231-0011</t>
  </si>
  <si>
    <t>Tribe - Receivables - Other</t>
  </si>
  <si>
    <t>1231-0021</t>
  </si>
  <si>
    <t>Stripe Account Balance</t>
  </si>
  <si>
    <t>1231-0031</t>
  </si>
  <si>
    <t>Tenant Utilities Agent Account Balance</t>
  </si>
  <si>
    <t>Total Trade Debtors</t>
  </si>
  <si>
    <t>1300-0000</t>
  </si>
  <si>
    <t>Amounts owed by group</t>
  </si>
  <si>
    <t>1399-9999</t>
  </si>
  <si>
    <t>1315-0000</t>
  </si>
  <si>
    <t>Amounts owed by group - General</t>
  </si>
  <si>
    <t>1315-9999</t>
  </si>
  <si>
    <t>IC setoffs</t>
  </si>
  <si>
    <t>Cash</t>
  </si>
  <si>
    <t>IC - Current</t>
  </si>
  <si>
    <t>IC - Loan Interest (receivable)</t>
  </si>
  <si>
    <t>IC - Loans (receivable)</t>
  </si>
  <si>
    <t>IC - Loans Swap Adj. (receivable)</t>
  </si>
  <si>
    <t>IC - Loan Fees (receivable)</t>
  </si>
  <si>
    <t>1315-1008</t>
  </si>
  <si>
    <t>INACTIVE: IC - Loan Fair Value Adjustment (receivable)</t>
  </si>
  <si>
    <t>IC - Finance Rents Payments (receivable)</t>
  </si>
  <si>
    <t>IC - Finance Lease SSAP21 (receivable)</t>
  </si>
  <si>
    <t>IC - Finance Lease Creditor (receivable)</t>
  </si>
  <si>
    <t>IC – Discount on acquisition (receivable)</t>
  </si>
  <si>
    <t>1315-1099</t>
  </si>
  <si>
    <t>INACTIVE: IC – Discount on acquisition (receivable)</t>
  </si>
  <si>
    <t>Inc</t>
  </si>
  <si>
    <t>IC - Incentives (receivable)</t>
  </si>
  <si>
    <t>IC - Voids accruals</t>
  </si>
  <si>
    <t>IC - Wood Wharf contribution agreement</t>
  </si>
  <si>
    <t>Total Amounts owed to group - General</t>
  </si>
  <si>
    <t>1316-0000</t>
  </si>
  <si>
    <t>Amounts owed by group - Loans</t>
  </si>
  <si>
    <t>1316-9999</t>
  </si>
  <si>
    <t>1316-1600</t>
  </si>
  <si>
    <t>Amounts owed by group  Loan</t>
  </si>
  <si>
    <t>1316-1699</t>
  </si>
  <si>
    <t>IC Loans (receivable)</t>
  </si>
  <si>
    <t>IC Loan Interest (receivable)</t>
  </si>
  <si>
    <t>IC Loan Fees (receivable)</t>
  </si>
  <si>
    <t>IC Loan Fair Value Adjustment (receivable)</t>
  </si>
  <si>
    <t>IC Loan Provision (receivable)</t>
  </si>
  <si>
    <t>1316-1651</t>
  </si>
  <si>
    <t>INACTIVE: IC Loan Provision (receivable)</t>
  </si>
  <si>
    <t>IC - Eurobonds (receivable)</t>
  </si>
  <si>
    <t>Total Amounts owed by group  Loan</t>
  </si>
  <si>
    <t>Total Amounts owed by group  - Loans</t>
  </si>
  <si>
    <t>Total Amounts owed by group</t>
  </si>
  <si>
    <t>1400-0000</t>
  </si>
  <si>
    <t>Other Debtors</t>
  </si>
  <si>
    <t>1417-9999</t>
  </si>
  <si>
    <t>1404-0311</t>
  </si>
  <si>
    <t>Sundry Debtors</t>
  </si>
  <si>
    <t>1404-0321</t>
  </si>
  <si>
    <t>Sundry Debtors - Gawor/Howard Kennedy/Legal</t>
  </si>
  <si>
    <t>1404-0322</t>
  </si>
  <si>
    <t>Sundry Debtors – Evinox</t>
  </si>
  <si>
    <t>1404-0323</t>
  </si>
  <si>
    <t>Sundry Debtors - Total Energies</t>
  </si>
  <si>
    <t>1404-0331</t>
  </si>
  <si>
    <t>Reclaimable construction costs</t>
  </si>
  <si>
    <t>1404-0551</t>
  </si>
  <si>
    <t>CBRE Client Account - Vat registered</t>
  </si>
  <si>
    <t>1404-0561</t>
  </si>
  <si>
    <t>CBRE Client Account - Not Vat registered</t>
  </si>
  <si>
    <t>1404-0611</t>
  </si>
  <si>
    <t>Operating Prepayment Debtor</t>
  </si>
  <si>
    <t>1404-2011</t>
  </si>
  <si>
    <t>Season Ticket and other staff loans</t>
  </si>
  <si>
    <t>1404-2311</t>
  </si>
  <si>
    <t>Cycle Loan Deduction</t>
  </si>
  <si>
    <t>1404-7011</t>
  </si>
  <si>
    <t>Tenant Loans</t>
  </si>
  <si>
    <t>1404-7051</t>
  </si>
  <si>
    <t>Tenant Loans Repayment</t>
  </si>
  <si>
    <t>1404-7091</t>
  </si>
  <si>
    <t>Tenant Loans Provision</t>
  </si>
  <si>
    <t>1404-8001</t>
  </si>
  <si>
    <t>Loan to Golden Phoenix Tree Limited (China Life)</t>
  </si>
  <si>
    <t>1404-9741</t>
  </si>
  <si>
    <t>Bishop Sq - Running Costs (Amts rec)</t>
  </si>
  <si>
    <t>1404-9811</t>
  </si>
  <si>
    <t>ELBP - Payroll (Amts recoverable)</t>
  </si>
  <si>
    <t>1404-9931</t>
  </si>
  <si>
    <t>Amts recoverable from Songbird</t>
  </si>
  <si>
    <t>1404-9941</t>
  </si>
  <si>
    <t>Amts recoverable from Wood Wharf</t>
  </si>
  <si>
    <t>1404-9991</t>
  </si>
  <si>
    <t>Amts recoverable from Stork Holdco</t>
  </si>
  <si>
    <t>1404-9992</t>
  </si>
  <si>
    <t>Amts owed by Stork Holdings GP Ltd</t>
  </si>
  <si>
    <t>1405-0111</t>
  </si>
  <si>
    <t>Amts recoverable from Southbank Place (1F 6190905)</t>
  </si>
  <si>
    <t>1405-0211</t>
  </si>
  <si>
    <t>Amts rec from CWRML Mgt Staff</t>
  </si>
  <si>
    <t>1405-0212</t>
  </si>
  <si>
    <t>Amts rec from BELP - CWRML Customer Service Staff</t>
  </si>
  <si>
    <t>1405-0213</t>
  </si>
  <si>
    <t>Amts rec from Wood Wharf - CWRML Customer Service Staff</t>
  </si>
  <si>
    <t>1405-0311</t>
  </si>
  <si>
    <t>INACTIVE: Amts rec from SBP 1 S.a.r.l (Mgt Staff)</t>
  </si>
  <si>
    <t>1405-0411</t>
  </si>
  <si>
    <t>Amts rec from SBP 1 S.a.r.l (Maint Mgt Staff)</t>
  </si>
  <si>
    <t>1405-0511</t>
  </si>
  <si>
    <t>INACTIVE: Amts rec from SBP 1 S.a.r.l (Maint Staff)</t>
  </si>
  <si>
    <t>1405-0521</t>
  </si>
  <si>
    <t>INACTIVE: Amts rec from SBP 1 S.a.r.l (Maint Super Staff)</t>
  </si>
  <si>
    <t>1405-0531</t>
  </si>
  <si>
    <t>INACTIVE: Amts rec from SBP Loading Bay Staff</t>
  </si>
  <si>
    <t>1405-0532</t>
  </si>
  <si>
    <t>Amts rec from SBP Est. Mgt Staff</t>
  </si>
  <si>
    <t>1405-0541</t>
  </si>
  <si>
    <t>INACTIVE: Amts rec from SBP Maint. Staff</t>
  </si>
  <si>
    <t>1405-0542</t>
  </si>
  <si>
    <t>Amts rec. fr 10 Park Dr. Mgt Staff</t>
  </si>
  <si>
    <t>1405-0543</t>
  </si>
  <si>
    <t>Amts rec. fr 10 Park Dr. Concierge Staff</t>
  </si>
  <si>
    <t>1405-0544</t>
  </si>
  <si>
    <t>Amts rec. fr 10 Park Dr. Maint. Staff</t>
  </si>
  <si>
    <t>1405-0545</t>
  </si>
  <si>
    <t>Amts rec. fr One Park Dr. Mgt Staff</t>
  </si>
  <si>
    <t>1405-0546</t>
  </si>
  <si>
    <t>Amts rec. fr One Park Dr. Concierge Staff</t>
  </si>
  <si>
    <t>1405-0547</t>
  </si>
  <si>
    <t>Amts rec. fr One Park Dr. Maint. Staff</t>
  </si>
  <si>
    <t>1405-0551</t>
  </si>
  <si>
    <t>INACTIVE: Amts rec from Wood Wharf Est. Loading Bay Staff</t>
  </si>
  <si>
    <t>1405-0552</t>
  </si>
  <si>
    <t>Amts rec from Wood Wharf Est. Mgt Staff</t>
  </si>
  <si>
    <t>1405-0561</t>
  </si>
  <si>
    <t>INACTIVE: Amts rec from Wood Wharf Est. Maint. Super. Staff</t>
  </si>
  <si>
    <t>1405-0571</t>
  </si>
  <si>
    <t>INACTIVE: Amts rec from Wood Wharf Est. Maint. Staff</t>
  </si>
  <si>
    <t>1405-0611</t>
  </si>
  <si>
    <t>Amts rec from South Bank Resi Blgs (Resi Mgt)</t>
  </si>
  <si>
    <t>1405-0621</t>
  </si>
  <si>
    <t>Amts rec from South Bank Resi Blgs (Resi Con)</t>
  </si>
  <si>
    <t>1405-0631</t>
  </si>
  <si>
    <t>Amts rec from South Bank Resi Blgs (Resi Clean)</t>
  </si>
  <si>
    <t>1405-0700</t>
  </si>
  <si>
    <t>Vertus Salaries Control A/c</t>
  </si>
  <si>
    <t>1405-0701</t>
  </si>
  <si>
    <t>Vertus 10 George St Salaries - Vertus WW Prop Mgmt</t>
  </si>
  <si>
    <t>1405-0711</t>
  </si>
  <si>
    <t>Vertus 10 George St Salaries - Mgmt</t>
  </si>
  <si>
    <t>1405-0721</t>
  </si>
  <si>
    <t>Vertus 10 George St Salaries - Concierge</t>
  </si>
  <si>
    <t>1405-0731</t>
  </si>
  <si>
    <t>Vertus 10 George St Salaries - Janitors</t>
  </si>
  <si>
    <t>1405-0741</t>
  </si>
  <si>
    <t>Vertus 10 George St Salaries - Maint Staff</t>
  </si>
  <si>
    <t>1405-0801</t>
  </si>
  <si>
    <t>VRML Salaries - Vertus CW Communities</t>
  </si>
  <si>
    <t>1405-0811</t>
  </si>
  <si>
    <t>VRML Salaries - Vertus Mgmt Shared</t>
  </si>
  <si>
    <t>1405-0821</t>
  </si>
  <si>
    <t>VRML Salaries - Vertus Concierge</t>
  </si>
  <si>
    <t>1405-0841</t>
  </si>
  <si>
    <t>VRML Salaries - Vertus Maint Staff</t>
  </si>
  <si>
    <t>1405-0851</t>
  </si>
  <si>
    <t>VRML Salaries - Vertus Lettings Staff</t>
  </si>
  <si>
    <t>1405-0861</t>
  </si>
  <si>
    <t>Amts rec. fr VRML (Re Vertus Events)</t>
  </si>
  <si>
    <t>1405-0911</t>
  </si>
  <si>
    <t>Vertus 8 Water St Salaries - Mgmt</t>
  </si>
  <si>
    <t>1405-0921</t>
  </si>
  <si>
    <t>Vertus 8 Water St Salaries - Concierge</t>
  </si>
  <si>
    <t>1405-0931</t>
  </si>
  <si>
    <t>Vertus 8 Water St Salaries - Janitors</t>
  </si>
  <si>
    <t>1405-0941</t>
  </si>
  <si>
    <t>Vertus 8 Water St Salaries - Maint Staff</t>
  </si>
  <si>
    <t>1405-1011</t>
  </si>
  <si>
    <t>VRML Salaries - Vertus NFL Mgmt</t>
  </si>
  <si>
    <t>1405-1021</t>
  </si>
  <si>
    <t>VRML Salaries - Vertus NFL Concierge</t>
  </si>
  <si>
    <t>1405-1031</t>
  </si>
  <si>
    <t>VRML Salaries - Vertus NFL Janitors</t>
  </si>
  <si>
    <t>1405-1041</t>
  </si>
  <si>
    <t>VRML Salaries - Vertus NFL Maint Staff</t>
  </si>
  <si>
    <t>1405-1100</t>
  </si>
  <si>
    <t>Deloitte fees recoverable from partner</t>
  </si>
  <si>
    <t>1405-1101</t>
  </si>
  <si>
    <t>Amts rec from Tribe staff</t>
  </si>
  <si>
    <t>1405-1511</t>
  </si>
  <si>
    <t>Handover payments on formerly managed buildings</t>
  </si>
  <si>
    <t>1416-0001</t>
  </si>
  <si>
    <t>Tribe - Payment clearing</t>
  </si>
  <si>
    <t>Total Other Debtors</t>
  </si>
  <si>
    <t>1418-0000</t>
  </si>
  <si>
    <t>VAT Debtor</t>
  </si>
  <si>
    <t>1418-0999</t>
  </si>
  <si>
    <t>1418-0111</t>
  </si>
  <si>
    <t>VAT Input-Control A/C</t>
  </si>
  <si>
    <t>1418-0121</t>
  </si>
  <si>
    <t>VAT Input Adjustments re Voids</t>
  </si>
  <si>
    <t>1418-0151</t>
  </si>
  <si>
    <t>VAT Input - PropMan</t>
  </si>
  <si>
    <t>1418-0161</t>
  </si>
  <si>
    <t>VAT Control - PropMan</t>
  </si>
  <si>
    <t>1418-0171</t>
  </si>
  <si>
    <t>VAT Adjustments - PropMan</t>
  </si>
  <si>
    <t>1418-0211</t>
  </si>
  <si>
    <t>VAT Adjustment Control A/C</t>
  </si>
  <si>
    <t>1418-0311</t>
  </si>
  <si>
    <t>VAT Adjustments Re Dr/Cr (receivable)</t>
  </si>
  <si>
    <t>1418-0411</t>
  </si>
  <si>
    <t>VAT-Deferred VAT Recoverable re Bad Debts</t>
  </si>
  <si>
    <t>1418-0511</t>
  </si>
  <si>
    <t>Reverse Charge</t>
  </si>
  <si>
    <t>Total VAT Debtor</t>
  </si>
  <si>
    <t>1418-1000</t>
  </si>
  <si>
    <t>Tax Debtor</t>
  </si>
  <si>
    <t>1449-9999</t>
  </si>
  <si>
    <t>1418-1011</t>
  </si>
  <si>
    <t>Deferred Tax Debtor</t>
  </si>
  <si>
    <t>1418-1021</t>
  </si>
  <si>
    <t>Corporation Tax Debtor</t>
  </si>
  <si>
    <t>1425-5011</t>
  </si>
  <si>
    <t>Tax withheld at source</t>
  </si>
  <si>
    <t>Total Tax Debtor</t>
  </si>
  <si>
    <t>1500-0000</t>
  </si>
  <si>
    <t>PP and Accrued Income</t>
  </si>
  <si>
    <t>1539-9999</t>
  </si>
  <si>
    <t>1506-1111</t>
  </si>
  <si>
    <t>Construction Prepayments</t>
  </si>
  <si>
    <t>1506-1201</t>
  </si>
  <si>
    <t>Prepayments and Accrued Inc - PropMan</t>
  </si>
  <si>
    <t>1506-1211</t>
  </si>
  <si>
    <t>Prepayments - General</t>
  </si>
  <si>
    <t>1506-1221</t>
  </si>
  <si>
    <t>Prepayments - Finance Leases</t>
  </si>
  <si>
    <t>1506-1301</t>
  </si>
  <si>
    <t>Prepayment - Unoccupied rates</t>
  </si>
  <si>
    <t>1506-1311</t>
  </si>
  <si>
    <t>Accrued Income</t>
  </si>
  <si>
    <t>1506-1312</t>
  </si>
  <si>
    <t>Accrued Income - Tenant S/C Surcharges</t>
  </si>
  <si>
    <t>1506-1321</t>
  </si>
  <si>
    <t>Accrued interest</t>
  </si>
  <si>
    <t>1506-1322</t>
  </si>
  <si>
    <t>Acrrued Interest - Tenant S/C Surcharge</t>
  </si>
  <si>
    <t>1506-1361</t>
  </si>
  <si>
    <t>Financing Prepayments</t>
  </si>
  <si>
    <t>1506-1362</t>
  </si>
  <si>
    <t>Major Transactions - Deferred to Balance Sheet</t>
  </si>
  <si>
    <t>1506-1411</t>
  </si>
  <si>
    <t>Investment property Prepayment</t>
  </si>
  <si>
    <t>1506-1421</t>
  </si>
  <si>
    <t>Prepayments – Middle Dock</t>
  </si>
  <si>
    <t>1506-3011</t>
  </si>
  <si>
    <t>Amts recoverable under contracts</t>
  </si>
  <si>
    <t>1507-0001</t>
  </si>
  <si>
    <t>Tribe - Advances Given</t>
  </si>
  <si>
    <t>1507-0011</t>
  </si>
  <si>
    <t>Tribe - Suppliers Down Payments</t>
  </si>
  <si>
    <t>1507-0021</t>
  </si>
  <si>
    <t>Tribe - Prepaid Expenses - Operating</t>
  </si>
  <si>
    <t>1507-0031</t>
  </si>
  <si>
    <t>Tribe - Prepaid Expenses - Insurance</t>
  </si>
  <si>
    <t>1507-0041</t>
  </si>
  <si>
    <t>Tribe - Salary Advances</t>
  </si>
  <si>
    <t>1509-1011</t>
  </si>
  <si>
    <t>Profit share (5 percent) share option scheme</t>
  </si>
  <si>
    <t>1509-1021</t>
  </si>
  <si>
    <t>Amoritsation of profit share option cost</t>
  </si>
  <si>
    <t>1511-1111</t>
  </si>
  <si>
    <t>DS7 refurbishment</t>
  </si>
  <si>
    <t>1521-2111</t>
  </si>
  <si>
    <t>Rights to light prepayment to solicitors</t>
  </si>
  <si>
    <t>1521-2121</t>
  </si>
  <si>
    <t>Prepayments oracle legacy</t>
  </si>
  <si>
    <t>Total PP and accrued income</t>
  </si>
  <si>
    <t>Total Debtors &lt; 1 yr</t>
  </si>
  <si>
    <t>1550-0000</t>
  </si>
  <si>
    <t>Debtors &gt; 1 yr</t>
  </si>
  <si>
    <t>1599-9999</t>
  </si>
  <si>
    <t>1550-0001</t>
  </si>
  <si>
    <t>Lease incentive</t>
  </si>
  <si>
    <t>1550-0999</t>
  </si>
  <si>
    <t>1550-0111</t>
  </si>
  <si>
    <t>Lease incentive - cash - Office</t>
  </si>
  <si>
    <t>1550-0112</t>
  </si>
  <si>
    <t>Lease incentive - cash - Retail</t>
  </si>
  <si>
    <t>1550-0121</t>
  </si>
  <si>
    <t>INACTIVE: Lease incentive - Capex</t>
  </si>
  <si>
    <t>1550-0211</t>
  </si>
  <si>
    <t>Lease incentive rent free debtor - Office</t>
  </si>
  <si>
    <t>1550-0212</t>
  </si>
  <si>
    <t>Lease incentive rent free debtor - Retail</t>
  </si>
  <si>
    <t>1550-0219</t>
  </si>
  <si>
    <t>Lease incentive rent free debtor - Residential</t>
  </si>
  <si>
    <t>1550-0299</t>
  </si>
  <si>
    <t>Lease incentive rent free debtor - Misc</t>
  </si>
  <si>
    <t>1550-0311</t>
  </si>
  <si>
    <t>Lease incentive amortisation of debtor - Cash</t>
  </si>
  <si>
    <t>1550-0321</t>
  </si>
  <si>
    <t>Lease incentive amortisation of debtor - Capex</t>
  </si>
  <si>
    <t>1550-0411</t>
  </si>
  <si>
    <t>Lease incentive amortisation of rent free debtor</t>
  </si>
  <si>
    <t>1550-0511</t>
  </si>
  <si>
    <t>Lease incentive write off debtor on disposal internal</t>
  </si>
  <si>
    <t>1550-0521</t>
  </si>
  <si>
    <t>Lease incentive write off debtor on disposal external</t>
  </si>
  <si>
    <t>1550-0611</t>
  </si>
  <si>
    <t>Lease incentive w/o rent free debtor on disposal internal</t>
  </si>
  <si>
    <t>1550-0621</t>
  </si>
  <si>
    <t>Lease incentive w/o rent free debtor on disposal external</t>
  </si>
  <si>
    <t>1550-0911</t>
  </si>
  <si>
    <t>Lease incentive consolidation adjustment - Office</t>
  </si>
  <si>
    <t>1550-0912</t>
  </si>
  <si>
    <t>Lease incentive consolidation adjustment - Retail</t>
  </si>
  <si>
    <t>Total Lease incentive</t>
  </si>
  <si>
    <t>1550-1001</t>
  </si>
  <si>
    <t>Negotiation Cost</t>
  </si>
  <si>
    <t>1550-3999</t>
  </si>
  <si>
    <t>1550-1021</t>
  </si>
  <si>
    <t>Amort. of Deferred negotiation costs - office</t>
  </si>
  <si>
    <t>1550-2021</t>
  </si>
  <si>
    <t>Amort. of Deferred negotiation costs - retail</t>
  </si>
  <si>
    <t>1550-3011</t>
  </si>
  <si>
    <t>Deferred negotiation costs - Non-commercial</t>
  </si>
  <si>
    <t>1550-3021</t>
  </si>
  <si>
    <t>Amort. of Defer negotiation costs - Non commercial</t>
  </si>
  <si>
    <t>Total Negotiation Cost</t>
  </si>
  <si>
    <t>Total Debtors &gt; 1 yr</t>
  </si>
  <si>
    <t>1600-0000</t>
  </si>
  <si>
    <t>Cash at bank</t>
  </si>
  <si>
    <t>1699-9999</t>
  </si>
  <si>
    <t>1610-0000</t>
  </si>
  <si>
    <t>REIT Unrestricted</t>
  </si>
  <si>
    <t>1619-9999</t>
  </si>
  <si>
    <t>1610-1001</t>
  </si>
  <si>
    <t>Petty Cash</t>
  </si>
  <si>
    <t>1610-1010</t>
  </si>
  <si>
    <t>CW Unrestricted A/c 80071935</t>
  </si>
  <si>
    <t>1610-1011</t>
  </si>
  <si>
    <t>Gen 1</t>
  </si>
  <si>
    <t>1610-1021</t>
  </si>
  <si>
    <t>Gen 2</t>
  </si>
  <si>
    <t>1610-1031</t>
  </si>
  <si>
    <t>Gen 3</t>
  </si>
  <si>
    <t>1610-1041</t>
  </si>
  <si>
    <t>Gen 4</t>
  </si>
  <si>
    <t>1610-1051</t>
  </si>
  <si>
    <t>Gen 5</t>
  </si>
  <si>
    <t>1610-1061</t>
  </si>
  <si>
    <t>Gen 6</t>
  </si>
  <si>
    <t>1610-1071</t>
  </si>
  <si>
    <t>Gen 7</t>
  </si>
  <si>
    <t>1610-1081</t>
  </si>
  <si>
    <t>Gen 8</t>
  </si>
  <si>
    <t>1610-1091</t>
  </si>
  <si>
    <t>Gen 9</t>
  </si>
  <si>
    <t>1610-1101</t>
  </si>
  <si>
    <t>Gen 10</t>
  </si>
  <si>
    <t>1610-1111</t>
  </si>
  <si>
    <t>Gen 11</t>
  </si>
  <si>
    <t>1610-1121</t>
  </si>
  <si>
    <t>Gen 12</t>
  </si>
  <si>
    <t>1610-1131</t>
  </si>
  <si>
    <t>Gen 13</t>
  </si>
  <si>
    <t>1610-1141</t>
  </si>
  <si>
    <t>Gen 14</t>
  </si>
  <si>
    <t>1610-1151</t>
  </si>
  <si>
    <t>Gen 15</t>
  </si>
  <si>
    <t>1610-1161</t>
  </si>
  <si>
    <t>Gen 16</t>
  </si>
  <si>
    <t>1610-1171</t>
  </si>
  <si>
    <t>Gen 17</t>
  </si>
  <si>
    <t>1610-1181</t>
  </si>
  <si>
    <t>Gen 18</t>
  </si>
  <si>
    <t>1610-1191</t>
  </si>
  <si>
    <t>Gen 19</t>
  </si>
  <si>
    <t>1610-1201</t>
  </si>
  <si>
    <t>Gen 20</t>
  </si>
  <si>
    <t>1610-1211</t>
  </si>
  <si>
    <t>Gen 21</t>
  </si>
  <si>
    <t>1610-1221</t>
  </si>
  <si>
    <t>Gen 22</t>
  </si>
  <si>
    <t>1610-1231</t>
  </si>
  <si>
    <t>Gen 23</t>
  </si>
  <si>
    <t>1610-1241</t>
  </si>
  <si>
    <t>Gen 24</t>
  </si>
  <si>
    <t>1610-1251</t>
  </si>
  <si>
    <t>Gen 25</t>
  </si>
  <si>
    <t>1610-1261</t>
  </si>
  <si>
    <t>Gen 26</t>
  </si>
  <si>
    <t>1610-1271</t>
  </si>
  <si>
    <t>Gen 27</t>
  </si>
  <si>
    <t>1610-1281</t>
  </si>
  <si>
    <t>Gen 28</t>
  </si>
  <si>
    <t>1610-1291</t>
  </si>
  <si>
    <t>Gen 29</t>
  </si>
  <si>
    <t>1610-1301</t>
  </si>
  <si>
    <t>Gen 30</t>
  </si>
  <si>
    <t>1610-1311</t>
  </si>
  <si>
    <t>Gen 31</t>
  </si>
  <si>
    <t>1610-1321</t>
  </si>
  <si>
    <t>Gen 32</t>
  </si>
  <si>
    <t>1610-1331</t>
  </si>
  <si>
    <t>Canary Wharf Retail Limited A/c 13301508</t>
  </si>
  <si>
    <t>1610-1341</t>
  </si>
  <si>
    <t>Gen 33</t>
  </si>
  <si>
    <t>1610-1351</t>
  </si>
  <si>
    <t>Gen 34</t>
  </si>
  <si>
    <t>1610-1361</t>
  </si>
  <si>
    <t>Gen 35</t>
  </si>
  <si>
    <t>1610-1371</t>
  </si>
  <si>
    <t>Gen 36 (GS general accounts)</t>
  </si>
  <si>
    <t>1619-9998</t>
  </si>
  <si>
    <t>Unrestricted cash recategorisation</t>
  </si>
  <si>
    <t>Total REIT Unrestricted</t>
  </si>
  <si>
    <t>1620-0000</t>
  </si>
  <si>
    <t>Office Security Deposits</t>
  </si>
  <si>
    <t>1620-9999</t>
  </si>
  <si>
    <t>1620-1001</t>
  </si>
  <si>
    <t>Office Security Deposit 1</t>
  </si>
  <si>
    <t>1620-1011</t>
  </si>
  <si>
    <t>Office Security Deposit 2</t>
  </si>
  <si>
    <t>1620-1021</t>
  </si>
  <si>
    <t>Office Security Deposit 3</t>
  </si>
  <si>
    <t>1620-1031</t>
  </si>
  <si>
    <t>Office Security Deposit 4</t>
  </si>
  <si>
    <t>1620-1041</t>
  </si>
  <si>
    <t>Office Security Deposit 5</t>
  </si>
  <si>
    <t>1620-1051</t>
  </si>
  <si>
    <t>Office Security Deposit 6</t>
  </si>
  <si>
    <t>1620-1061</t>
  </si>
  <si>
    <t>Office Security Deposit 7</t>
  </si>
  <si>
    <t>1620-1071</t>
  </si>
  <si>
    <t>Office Security Deposit 8</t>
  </si>
  <si>
    <t>1620-1081</t>
  </si>
  <si>
    <t>Office Security Deposit 9</t>
  </si>
  <si>
    <t>1620-1091</t>
  </si>
  <si>
    <t>Office Security Deposit 10</t>
  </si>
  <si>
    <t>1620-9998</t>
  </si>
  <si>
    <t>Office Security Deposit cash recategorisation</t>
  </si>
  <si>
    <t>Total Office Security Deposits</t>
  </si>
  <si>
    <t>1621-0000</t>
  </si>
  <si>
    <t>Retail Security Deposits</t>
  </si>
  <si>
    <t>1621-9999</t>
  </si>
  <si>
    <t>1621-1001</t>
  </si>
  <si>
    <t>Retail Security Deposits 1</t>
  </si>
  <si>
    <t>1621-1011</t>
  </si>
  <si>
    <t>Retail Security Deposits 2</t>
  </si>
  <si>
    <t>1621-1021</t>
  </si>
  <si>
    <t>Retail Security Deposits 3</t>
  </si>
  <si>
    <t>1621-1031</t>
  </si>
  <si>
    <t>Retail Security Deposits 4</t>
  </si>
  <si>
    <t>1621-1041</t>
  </si>
  <si>
    <t>Retail Security Deposits 5</t>
  </si>
  <si>
    <t>1621-1051</t>
  </si>
  <si>
    <t>Retail Security Deposits 6</t>
  </si>
  <si>
    <t>1621-1061</t>
  </si>
  <si>
    <t>Retail Security Deposits 7</t>
  </si>
  <si>
    <t>1621-1071</t>
  </si>
  <si>
    <t>Retail Security Deposits 8</t>
  </si>
  <si>
    <t>1621-1081</t>
  </si>
  <si>
    <t>Retail Security Deposits 9</t>
  </si>
  <si>
    <t>1621-1091</t>
  </si>
  <si>
    <t>Retail Security Deposits 10</t>
  </si>
  <si>
    <t>1621-1101</t>
  </si>
  <si>
    <t>Retail Security Deposits 11</t>
  </si>
  <si>
    <t>1621-1111</t>
  </si>
  <si>
    <t>Retail Security Deposits 12</t>
  </si>
  <si>
    <t>1621-1121</t>
  </si>
  <si>
    <t>Retail Security Deposits 13</t>
  </si>
  <si>
    <t>1621-1131</t>
  </si>
  <si>
    <t>Retail Security Deposits 14</t>
  </si>
  <si>
    <t>1621-1141</t>
  </si>
  <si>
    <t>Retail Security Deposits 15</t>
  </si>
  <si>
    <t>1621-1151</t>
  </si>
  <si>
    <t>Retail Security Deposits 16</t>
  </si>
  <si>
    <t>1621-1161</t>
  </si>
  <si>
    <t>Retail Security Deposits 17</t>
  </si>
  <si>
    <t>1621-1171</t>
  </si>
  <si>
    <t>Retail Security Deposits 18</t>
  </si>
  <si>
    <t>1621-1181</t>
  </si>
  <si>
    <t>Retail Security Deposits 19</t>
  </si>
  <si>
    <t>1621-1191</t>
  </si>
  <si>
    <t>Retail Security Deposits 20</t>
  </si>
  <si>
    <t>1621-1201</t>
  </si>
  <si>
    <t>Retail Security Deposits 21</t>
  </si>
  <si>
    <t>1621-1211</t>
  </si>
  <si>
    <t>Retail Security Deposits 22</t>
  </si>
  <si>
    <t>1621-1221</t>
  </si>
  <si>
    <t>Retail Security Deposits 23</t>
  </si>
  <si>
    <t>1621-1231</t>
  </si>
  <si>
    <t>Retail Security Deposits 24</t>
  </si>
  <si>
    <t>1621-1241</t>
  </si>
  <si>
    <t>Retail Security Deposits 25</t>
  </si>
  <si>
    <t>1621-1251</t>
  </si>
  <si>
    <t>Retail Security Deposits 26</t>
  </si>
  <si>
    <t>1621-1261</t>
  </si>
  <si>
    <t>Retail Security Deposits 27</t>
  </si>
  <si>
    <t>1621-1271</t>
  </si>
  <si>
    <t>Retail Security Deposits 28</t>
  </si>
  <si>
    <t>1621-1281</t>
  </si>
  <si>
    <t>Retail Security Deposits 29</t>
  </si>
  <si>
    <t>1621-1291</t>
  </si>
  <si>
    <t>Retail Security Deposits 30</t>
  </si>
  <si>
    <t>1621-1301</t>
  </si>
  <si>
    <t>Retail Security Deposits 31</t>
  </si>
  <si>
    <t>1621-1311</t>
  </si>
  <si>
    <t>Retail Security Deposits 32</t>
  </si>
  <si>
    <t>1621-1321</t>
  </si>
  <si>
    <t>Retail Security Deposits 33 (GS parent c0eg rent deposit)</t>
  </si>
  <si>
    <t>1621-1331</t>
  </si>
  <si>
    <t>Retail Security Deposits 34 (GS parent c149 rent deposit)</t>
  </si>
  <si>
    <t>1621-1341</t>
  </si>
  <si>
    <t>Retail Security Deposits 34 (GS parent c101 rent deposit)</t>
  </si>
  <si>
    <t>1621-1351</t>
  </si>
  <si>
    <t>Retail Security Deposits 34 (GS parent c0hl rent deposit)</t>
  </si>
  <si>
    <t>1621-9998</t>
  </si>
  <si>
    <t>Retail Security Deposit cash recategorisation</t>
  </si>
  <si>
    <t>Total Retail Security Deposits</t>
  </si>
  <si>
    <t>1622-0000</t>
  </si>
  <si>
    <t>Resi Rent Deposit</t>
  </si>
  <si>
    <t>1622-9999</t>
  </si>
  <si>
    <t>1622-1001</t>
  </si>
  <si>
    <t>Resi Rent Dep 1</t>
  </si>
  <si>
    <t>Total Resi Rent Deposit</t>
  </si>
  <si>
    <t>1631-1000</t>
  </si>
  <si>
    <t>Retail and WW JV</t>
  </si>
  <si>
    <t>1631-9999</t>
  </si>
  <si>
    <t>1631-1001</t>
  </si>
  <si>
    <t>Retail JV bank accounts</t>
  </si>
  <si>
    <t>1631-1011</t>
  </si>
  <si>
    <t>WW JV bank accounts 1</t>
  </si>
  <si>
    <t>1631-1021</t>
  </si>
  <si>
    <t>WW JV bank accounts 2</t>
  </si>
  <si>
    <t>1631-1031</t>
  </si>
  <si>
    <t>WW JV bank accounts 3</t>
  </si>
  <si>
    <t>1631-1041</t>
  </si>
  <si>
    <t>WW JV bank accounts 4</t>
  </si>
  <si>
    <t>1631-1051</t>
  </si>
  <si>
    <t>WW JV bank accounts 5</t>
  </si>
  <si>
    <t>1631-1061</t>
  </si>
  <si>
    <t>WW JV bank accounts 6</t>
  </si>
  <si>
    <t>Total Retail and WW JV</t>
  </si>
  <si>
    <t>1632-1000</t>
  </si>
  <si>
    <t>Braeburn unrestricted</t>
  </si>
  <si>
    <t>1632-9999</t>
  </si>
  <si>
    <t>1632-1001</t>
  </si>
  <si>
    <t>Braeburn unrestricted JV bank account 1</t>
  </si>
  <si>
    <t>1632-1011</t>
  </si>
  <si>
    <t>Braeburn unrestricted JV bank account 2</t>
  </si>
  <si>
    <t>1632-1021</t>
  </si>
  <si>
    <t>Braeburn unrestricted JV bank account 3</t>
  </si>
  <si>
    <t>1632-1031</t>
  </si>
  <si>
    <t>Braeburn unrestricted JV bank account 4</t>
  </si>
  <si>
    <t>1632-1041</t>
  </si>
  <si>
    <t>Braeburn unrestricted JV bank account 5</t>
  </si>
  <si>
    <t>1632-1051</t>
  </si>
  <si>
    <t>Braeburn unrestricted JV bank account 6</t>
  </si>
  <si>
    <t>1632-1061</t>
  </si>
  <si>
    <t>Braeburn unrestricted JV bank account 7</t>
  </si>
  <si>
    <t>1632-1071</t>
  </si>
  <si>
    <t>Braeburn unrestricted JV bank account 8</t>
  </si>
  <si>
    <t>1632-1081</t>
  </si>
  <si>
    <t>Braeburn unrestricted JV bank account 9</t>
  </si>
  <si>
    <t>1632-1091</t>
  </si>
  <si>
    <t>Braeburn unrestricted JV bank account 10</t>
  </si>
  <si>
    <t>1632-1101</t>
  </si>
  <si>
    <t>Braeburn unrestricted JV bank account 11</t>
  </si>
  <si>
    <t>1632-1111</t>
  </si>
  <si>
    <t>Braeburn unrestricted JV bank account 12</t>
  </si>
  <si>
    <t>1632-1121</t>
  </si>
  <si>
    <t>Braeburn unrestricted JV bank account 13</t>
  </si>
  <si>
    <t>1632-1131</t>
  </si>
  <si>
    <t>Braeburn unrestricted JV bank account 14</t>
  </si>
  <si>
    <t>1632-1141</t>
  </si>
  <si>
    <t>Braeburn unrestricted JV bank account 15</t>
  </si>
  <si>
    <t>1632-1151</t>
  </si>
  <si>
    <t>Braeburn unrestricted JV bank account 16</t>
  </si>
  <si>
    <t>1632-1161</t>
  </si>
  <si>
    <t>Braeburn unrestricted JV bank account 17</t>
  </si>
  <si>
    <t>1632-1171</t>
  </si>
  <si>
    <t>Braeburn unrestricted JV bank account 18</t>
  </si>
  <si>
    <t>1632-1181</t>
  </si>
  <si>
    <t>Braeburn unrestricted JV bank account 19</t>
  </si>
  <si>
    <t>1632-1191</t>
  </si>
  <si>
    <t>Braeburn unrestricted JV bank account 20</t>
  </si>
  <si>
    <t>1632-1201</t>
  </si>
  <si>
    <t>Braeburn unrestricted JV bank account 21</t>
  </si>
  <si>
    <t>1632-1211</t>
  </si>
  <si>
    <t>Braeburn unrestricted JV bank account 22</t>
  </si>
  <si>
    <t>1632-1221</t>
  </si>
  <si>
    <t>Braeburn unrestricted JV bank account 23</t>
  </si>
  <si>
    <t>1632-1231</t>
  </si>
  <si>
    <t>Braeburn unrestricted JV bank account 24</t>
  </si>
  <si>
    <t>1632-1241</t>
  </si>
  <si>
    <t>Braeburn unrestricted JV bank account 25</t>
  </si>
  <si>
    <t>1632-1251</t>
  </si>
  <si>
    <t>Braeburn unrestricted JV bank account 26</t>
  </si>
  <si>
    <t>1632-1261</t>
  </si>
  <si>
    <t>Braeburn unrestricted JV bank account 27</t>
  </si>
  <si>
    <t>1632-1271</t>
  </si>
  <si>
    <t>Braeburn unrestricted JV bank account 28</t>
  </si>
  <si>
    <t>1632-1281</t>
  </si>
  <si>
    <t>Braeburn unrestricted JV bank account 29</t>
  </si>
  <si>
    <t>1632-1291</t>
  </si>
  <si>
    <t>Braeburn unrestricted JV bank account 30</t>
  </si>
  <si>
    <t>1632-1301</t>
  </si>
  <si>
    <t>Braeburn unrestricted JV bank account 31</t>
  </si>
  <si>
    <t>1632-1311</t>
  </si>
  <si>
    <t>Braeburn unrestricted JV bank account 32</t>
  </si>
  <si>
    <t>1632-1321</t>
  </si>
  <si>
    <t>Braeburn unrestricted JV bank account 33</t>
  </si>
  <si>
    <t>1632-1331</t>
  </si>
  <si>
    <t>Braeburn unrestricted JV bank account 34</t>
  </si>
  <si>
    <t>1632-1341</t>
  </si>
  <si>
    <t>Braeburn unrestricted JV bank account 35</t>
  </si>
  <si>
    <t>1632-1351</t>
  </si>
  <si>
    <t>Braeburn unrestricted JV bank account 36</t>
  </si>
  <si>
    <t>1632-1361</t>
  </si>
  <si>
    <t>Braeburn unrestricted JV bank account 37</t>
  </si>
  <si>
    <t>1632-1371</t>
  </si>
  <si>
    <t>Braeburn unrestricted JV bank account 38</t>
  </si>
  <si>
    <t>1632-1381</t>
  </si>
  <si>
    <t>Braeburn unrestricted JV bank account 39</t>
  </si>
  <si>
    <t>1632-1391</t>
  </si>
  <si>
    <t>Braeburn unrestricted JV bank account 40</t>
  </si>
  <si>
    <t>1632-1401</t>
  </si>
  <si>
    <t>Braeburn unrestricted JV bank account 41</t>
  </si>
  <si>
    <t>1632-1411</t>
  </si>
  <si>
    <t>Braeburn unrestricted JV bank account 42</t>
  </si>
  <si>
    <t>1632-1421</t>
  </si>
  <si>
    <t>Braeburn unrestricted JV bank account 43</t>
  </si>
  <si>
    <t>1632-1431</t>
  </si>
  <si>
    <t>Braeburn unrestricted JV bank account 44</t>
  </si>
  <si>
    <t>1632-1441</t>
  </si>
  <si>
    <t>Braeburn unrestricted JV bank account 45</t>
  </si>
  <si>
    <t>1632-1451</t>
  </si>
  <si>
    <t>Braeburn unrestricted JV bank account 46</t>
  </si>
  <si>
    <t>1632-1461</t>
  </si>
  <si>
    <t>Braeburn unrestricted JV bank account 47</t>
  </si>
  <si>
    <t>1632-1471</t>
  </si>
  <si>
    <t>Braeburn unrestricted JV bank account 48</t>
  </si>
  <si>
    <t>1632-1481</t>
  </si>
  <si>
    <t>Braeburn unrestricted JV bank account 49</t>
  </si>
  <si>
    <t>1632-1491</t>
  </si>
  <si>
    <t>Braeburn unrestricted JV bank account 50</t>
  </si>
  <si>
    <t>1632-1501</t>
  </si>
  <si>
    <t>Braeburn unrestricted JV bank account 51</t>
  </si>
  <si>
    <t>Total Braeburn unrestricted</t>
  </si>
  <si>
    <t>1633-0000</t>
  </si>
  <si>
    <t>Braeburn restricted</t>
  </si>
  <si>
    <t>1633-1001</t>
  </si>
  <si>
    <t>Braeburn restricted JV bank account 1</t>
  </si>
  <si>
    <t>1633-9999</t>
  </si>
  <si>
    <t>1633-1011</t>
  </si>
  <si>
    <t>Braeburn restricted JV bank account 2</t>
  </si>
  <si>
    <t>1633-1021</t>
  </si>
  <si>
    <t>Braeburn restricted JV bank account 3</t>
  </si>
  <si>
    <t>1633-1031</t>
  </si>
  <si>
    <t>Braeburn restricted JV bank account 4</t>
  </si>
  <si>
    <t>1633-1041</t>
  </si>
  <si>
    <t>Braeburn restricted JV bank account 5</t>
  </si>
  <si>
    <t>Total Braeburn restricted</t>
  </si>
  <si>
    <t>1634-0000</t>
  </si>
  <si>
    <t>Trustee Accounts</t>
  </si>
  <si>
    <t>1634-9999</t>
  </si>
  <si>
    <t>1634-1001</t>
  </si>
  <si>
    <t>Trustee Type 1</t>
  </si>
  <si>
    <t>1634-1011</t>
  </si>
  <si>
    <t>Trustee Type 2</t>
  </si>
  <si>
    <t>1634-1021</t>
  </si>
  <si>
    <t>Trustee Type 3</t>
  </si>
  <si>
    <t>1634-1031</t>
  </si>
  <si>
    <t>Trustee Type 4</t>
  </si>
  <si>
    <t>Total Trustee Accounts</t>
  </si>
  <si>
    <t>1635-0000</t>
  </si>
  <si>
    <t>Monetary Asset</t>
  </si>
  <si>
    <t>1635-9999</t>
  </si>
  <si>
    <t>1635-1001</t>
  </si>
  <si>
    <t>BP3 Milestone A/c</t>
  </si>
  <si>
    <t>Total Monetary Asset</t>
  </si>
  <si>
    <t>1636-0000</t>
  </si>
  <si>
    <t>Residential unrestricted</t>
  </si>
  <si>
    <t>1636-9999</t>
  </si>
  <si>
    <t>1636-1001</t>
  </si>
  <si>
    <t>Residential unrestricted 1</t>
  </si>
  <si>
    <t>1636-1011</t>
  </si>
  <si>
    <t>Residential unrestricted 2</t>
  </si>
  <si>
    <t>1636-1021</t>
  </si>
  <si>
    <t>Residential unrestricted 3</t>
  </si>
  <si>
    <t>1636-1031</t>
  </si>
  <si>
    <t>Residential unrestricted 4</t>
  </si>
  <si>
    <t>1636-1041</t>
  </si>
  <si>
    <t>Residential unrestricted 5</t>
  </si>
  <si>
    <t>1636-1051</t>
  </si>
  <si>
    <t>Residential unrestricted 6</t>
  </si>
  <si>
    <t>1636-1061</t>
  </si>
  <si>
    <t>Residential unrestricted 7</t>
  </si>
  <si>
    <t>Total Residential unrestricted</t>
  </si>
  <si>
    <t>1637-0000</t>
  </si>
  <si>
    <t>Residential restricted</t>
  </si>
  <si>
    <t>1637-9999</t>
  </si>
  <si>
    <t>1637-1001</t>
  </si>
  <si>
    <t>Residential restricted 1</t>
  </si>
  <si>
    <t>1637-1011</t>
  </si>
  <si>
    <t>Residential restricted 2</t>
  </si>
  <si>
    <t>1637-1021</t>
  </si>
  <si>
    <t>Residential restricted 3</t>
  </si>
  <si>
    <t>1637-1031</t>
  </si>
  <si>
    <t>Residential restricted 4</t>
  </si>
  <si>
    <t>1637-1041</t>
  </si>
  <si>
    <t>Residential restricted 5</t>
  </si>
  <si>
    <t>1637-1051</t>
  </si>
  <si>
    <t>Residential restricted 6</t>
  </si>
  <si>
    <t>Total Residential restricted</t>
  </si>
  <si>
    <t>1638-0000</t>
  </si>
  <si>
    <t>Other REIT</t>
  </si>
  <si>
    <t>1638-9999</t>
  </si>
  <si>
    <t>1638-1001</t>
  </si>
  <si>
    <t>Real' Client Account</t>
  </si>
  <si>
    <t>1638-1002</t>
  </si>
  <si>
    <t>Rent Account</t>
  </si>
  <si>
    <t>1638-1003</t>
  </si>
  <si>
    <t>Service Charge Account</t>
  </si>
  <si>
    <t>1638-1004</t>
  </si>
  <si>
    <t>Reserve Account</t>
  </si>
  <si>
    <t>1638-1005</t>
  </si>
  <si>
    <t>Resi Rent Op Costs Account</t>
  </si>
  <si>
    <t>1638-1011</t>
  </si>
  <si>
    <t>Other restricted REIT 2</t>
  </si>
  <si>
    <t>1638-1021</t>
  </si>
  <si>
    <t>Other restricted REIT 3</t>
  </si>
  <si>
    <t>1638-1031</t>
  </si>
  <si>
    <t>Other restricted REIT 4</t>
  </si>
  <si>
    <t>1638-1041</t>
  </si>
  <si>
    <t>Other restricted REIT 5</t>
  </si>
  <si>
    <t>1638-1051</t>
  </si>
  <si>
    <t>Other restricted REIT 6</t>
  </si>
  <si>
    <t>1638-1061</t>
  </si>
  <si>
    <t>Other restricted REIT 7</t>
  </si>
  <si>
    <t>1638-1071</t>
  </si>
  <si>
    <t>Other restricted REIT 8</t>
  </si>
  <si>
    <t>1638-1081</t>
  </si>
  <si>
    <t>Other restricted REIT 9</t>
  </si>
  <si>
    <t>1638-1091</t>
  </si>
  <si>
    <t>Other restricted REIT 10</t>
  </si>
  <si>
    <t>1638-1101</t>
  </si>
  <si>
    <t>Other restricted REIT 11</t>
  </si>
  <si>
    <t>1638-1111</t>
  </si>
  <si>
    <t>Other restricted REIT 12</t>
  </si>
  <si>
    <t>1638-1121</t>
  </si>
  <si>
    <t>Other restricted REIT 13</t>
  </si>
  <si>
    <t>1638-1131</t>
  </si>
  <si>
    <t>Other restricted REIT 14 (GS cash trap accounts)</t>
  </si>
  <si>
    <t>1638-1141</t>
  </si>
  <si>
    <t>Other restricted REIT 15 (GS finance deposit accounts)</t>
  </si>
  <si>
    <t>1638-9998</t>
  </si>
  <si>
    <t>Other restricted cash recategorisation</t>
  </si>
  <si>
    <t>Total Other REIT</t>
  </si>
  <si>
    <t>1639-0000</t>
  </si>
  <si>
    <t>REIT GP,SLP,LP, Jersey</t>
  </si>
  <si>
    <t>1639-9999</t>
  </si>
  <si>
    <t>1639-1001</t>
  </si>
  <si>
    <t>REIT GP,SLP,LP, Jersey 1</t>
  </si>
  <si>
    <t>1639-1011</t>
  </si>
  <si>
    <t>REIT GP,SLP,LP, Jersey 2</t>
  </si>
  <si>
    <t>1639-1021</t>
  </si>
  <si>
    <t>REIT GP,SLP,LP, Jersey 3</t>
  </si>
  <si>
    <t>1639-1031</t>
  </si>
  <si>
    <t>REIT GP,SLP,LP, Jersey 4</t>
  </si>
  <si>
    <t>1639-1041</t>
  </si>
  <si>
    <t>REIT GP,SLP,LP, Jersey 5</t>
  </si>
  <si>
    <t>1639-1051</t>
  </si>
  <si>
    <t>REIT GP,SLP,LP, Jersey 6</t>
  </si>
  <si>
    <t>1639-1061</t>
  </si>
  <si>
    <t>REIT GP,SLP,LP, Jersey 7</t>
  </si>
  <si>
    <t>1639-1071</t>
  </si>
  <si>
    <t>REIT GP,SLP,LP, Jersey 8</t>
  </si>
  <si>
    <t>1639-1081</t>
  </si>
  <si>
    <t>REIT GP,SLP,LP, Jersey 9</t>
  </si>
  <si>
    <t>Total REIT GP,SLP,LP, Jersey</t>
  </si>
  <si>
    <t>1640-0000</t>
  </si>
  <si>
    <t>JV - Unrestricted</t>
  </si>
  <si>
    <t>1640-9999</t>
  </si>
  <si>
    <t>1640-1001</t>
  </si>
  <si>
    <t>JV - Unrestricted 1</t>
  </si>
  <si>
    <t>1640-1011</t>
  </si>
  <si>
    <t>JV - Unrestricted 2</t>
  </si>
  <si>
    <t>1640-1021</t>
  </si>
  <si>
    <t>JV - Unrestricted 3</t>
  </si>
  <si>
    <t>1640-1031</t>
  </si>
  <si>
    <t>JV - Unrestricted 4</t>
  </si>
  <si>
    <t>1640-1041</t>
  </si>
  <si>
    <t>JV - Unrestricted 5</t>
  </si>
  <si>
    <t>1640-1051</t>
  </si>
  <si>
    <t>JV - Unrestricted 6</t>
  </si>
  <si>
    <t>1640-1061</t>
  </si>
  <si>
    <t>JV - Unrestricted 7</t>
  </si>
  <si>
    <t>1640-1071</t>
  </si>
  <si>
    <t>JV - Unrestricted 8</t>
  </si>
  <si>
    <t>1640-1081</t>
  </si>
  <si>
    <t>JV - Unrestricted 9</t>
  </si>
  <si>
    <t>Total JV - Unrestricted</t>
  </si>
  <si>
    <t>1641-0000</t>
  </si>
  <si>
    <t>JV - Restricted</t>
  </si>
  <si>
    <t>1641-9999</t>
  </si>
  <si>
    <t>1641-1001</t>
  </si>
  <si>
    <t>JV - Restricted 1</t>
  </si>
  <si>
    <t>1641-1002</t>
  </si>
  <si>
    <t>JV - Restricted 2</t>
  </si>
  <si>
    <t>1641-1003</t>
  </si>
  <si>
    <t>JV - Restricted 3</t>
  </si>
  <si>
    <t>1641-1004</t>
  </si>
  <si>
    <t>JV - Restricted 4</t>
  </si>
  <si>
    <t>1641-1005</t>
  </si>
  <si>
    <t>JV - Restricted 5</t>
  </si>
  <si>
    <t>1641-1006</t>
  </si>
  <si>
    <t>JV - Restricted 6</t>
  </si>
  <si>
    <t>1641-1007</t>
  </si>
  <si>
    <t>JV - Restricted 7</t>
  </si>
  <si>
    <t>1641-1008</t>
  </si>
  <si>
    <t>JV - Restricted 8</t>
  </si>
  <si>
    <t>1641-1009</t>
  </si>
  <si>
    <t>JV - Restricted 9</t>
  </si>
  <si>
    <t>Total JV - Restricted</t>
  </si>
  <si>
    <t>1642-0000</t>
  </si>
  <si>
    <t>Rent receipts</t>
  </si>
  <si>
    <t>1642-9999</t>
  </si>
  <si>
    <t>1642-1001</t>
  </si>
  <si>
    <t>Rent receipts 1</t>
  </si>
  <si>
    <t>1642-1011</t>
  </si>
  <si>
    <t>Rent receipts 2</t>
  </si>
  <si>
    <t>1642-1021</t>
  </si>
  <si>
    <t>Rent receipts 3</t>
  </si>
  <si>
    <t>1642-1031</t>
  </si>
  <si>
    <t>Rent receipts 4</t>
  </si>
  <si>
    <t>1642-1041</t>
  </si>
  <si>
    <t>Rent receipts 5</t>
  </si>
  <si>
    <t>1642-1051</t>
  </si>
  <si>
    <t>Rent receipts 6</t>
  </si>
  <si>
    <t>1642-1061</t>
  </si>
  <si>
    <t>Rent receipts 7 (GS rent accounts)</t>
  </si>
  <si>
    <t>1642-9998</t>
  </si>
  <si>
    <t>Rent receipts cash recategorisation</t>
  </si>
  <si>
    <t>Total Rent receipts</t>
  </si>
  <si>
    <t>1643-0000</t>
  </si>
  <si>
    <t>Financing collateral</t>
  </si>
  <si>
    <t>1643-9999</t>
  </si>
  <si>
    <t>1643-1001</t>
  </si>
  <si>
    <t>Financing collateral 1</t>
  </si>
  <si>
    <t>1643-1011</t>
  </si>
  <si>
    <t>Financing collateral 2</t>
  </si>
  <si>
    <t>1643-1021</t>
  </si>
  <si>
    <t>Financing collateral 3</t>
  </si>
  <si>
    <t>1643-1031</t>
  </si>
  <si>
    <t>Financing collateral 4</t>
  </si>
  <si>
    <t>1643-1041</t>
  </si>
  <si>
    <t>Financing collateral 5</t>
  </si>
  <si>
    <t>1643-1051</t>
  </si>
  <si>
    <t>Financing collateral 6</t>
  </si>
  <si>
    <t>Total Financing collateral</t>
  </si>
  <si>
    <t>1699-9995</t>
  </si>
  <si>
    <t>INACTIVE: Propman Cash Balances Phase 1 Account</t>
  </si>
  <si>
    <t>1699-9996</t>
  </si>
  <si>
    <t>CWML Reallocation Contra Account</t>
  </si>
  <si>
    <t>1699-9997</t>
  </si>
  <si>
    <t>Y/E Cash Audit Adj</t>
  </si>
  <si>
    <t>Total Cash at bank</t>
  </si>
  <si>
    <t>TOTAL CURRENT ASSETS</t>
  </si>
  <si>
    <t>2799-9999</t>
  </si>
  <si>
    <t>2000-0000</t>
  </si>
  <si>
    <t>Creditors: amounts due &lt; 1 yr</t>
  </si>
  <si>
    <t>2789-9999</t>
  </si>
  <si>
    <t>2016-0001</t>
  </si>
  <si>
    <t>Liabilities associated with assets held for sale</t>
  </si>
  <si>
    <t>2100-0001</t>
  </si>
  <si>
    <t>Bank Loans and Overdrafts &lt; 1yr</t>
  </si>
  <si>
    <t>2199-9999</t>
  </si>
  <si>
    <t>2100-1000</t>
  </si>
  <si>
    <t>Investment Loans &lt; 1 yr</t>
  </si>
  <si>
    <t>2100-1999</t>
  </si>
  <si>
    <t>2100-1011</t>
  </si>
  <si>
    <t>Investment Loan - Trf from &gt; 1 yr</t>
  </si>
  <si>
    <t>2100-1012</t>
  </si>
  <si>
    <t>Investment Loan - Current derivative liability</t>
  </si>
  <si>
    <t>Total Investment Loans &lt; 1 yr</t>
  </si>
  <si>
    <t>2100-2000</t>
  </si>
  <si>
    <t>Construction Loans &lt; 1 yr</t>
  </si>
  <si>
    <t>2100-2999</t>
  </si>
  <si>
    <t>2100-2011</t>
  </si>
  <si>
    <t>Construction Loan - Trf from &gt; 1 yr</t>
  </si>
  <si>
    <t>2100-2012</t>
  </si>
  <si>
    <t>Construction Loan - Current derivative liability</t>
  </si>
  <si>
    <t>Total Construction Loans &lt; 1 yr</t>
  </si>
  <si>
    <t>2100-3000</t>
  </si>
  <si>
    <t>Sec Loan &lt; 1 yr</t>
  </si>
  <si>
    <t>2100-3999</t>
  </si>
  <si>
    <t>2100-3011</t>
  </si>
  <si>
    <t>Sec Loan - Trf from &gt; 1 yr</t>
  </si>
  <si>
    <t>2100-3012</t>
  </si>
  <si>
    <t>Sec Loan - Current derivative liability</t>
  </si>
  <si>
    <t>Total Sec Loan &lt; 1 yr</t>
  </si>
  <si>
    <t>2100-4000</t>
  </si>
  <si>
    <t>Other Loans &lt; 1 yr</t>
  </si>
  <si>
    <t>2100-4999</t>
  </si>
  <si>
    <t>2100-4011</t>
  </si>
  <si>
    <t>Other Loan - Trf from &gt; 1 yr</t>
  </si>
  <si>
    <t>2100-4012</t>
  </si>
  <si>
    <t>Other Loan - Current derivative liability</t>
  </si>
  <si>
    <t>Total Other Loans &lt; 1 yr</t>
  </si>
  <si>
    <t>Total Bank Loans and Overdrafts &lt; 1yr</t>
  </si>
  <si>
    <t>2220-0000</t>
  </si>
  <si>
    <t>Payments on account &lt; 1 yr</t>
  </si>
  <si>
    <t>2229-9999</t>
  </si>
  <si>
    <t>2222-0311</t>
  </si>
  <si>
    <t>Payments on Account (Capital)</t>
  </si>
  <si>
    <t>2222-0321</t>
  </si>
  <si>
    <t>WIP on Account</t>
  </si>
  <si>
    <t>2222-0331</t>
  </si>
  <si>
    <t>Repayment</t>
  </si>
  <si>
    <t>2222-0351</t>
  </si>
  <si>
    <t>Additional Payments on Account</t>
  </si>
  <si>
    <t>2222-0411</t>
  </si>
  <si>
    <t>Payments on Account (Interest)</t>
  </si>
  <si>
    <t>2222-0481</t>
  </si>
  <si>
    <t>Payments on Account (Interest) &gt; 1 yr</t>
  </si>
  <si>
    <t>Total Payments on account &lt; 1 yr</t>
  </si>
  <si>
    <t>2300-0000</t>
  </si>
  <si>
    <t>Trade Creditors</t>
  </si>
  <si>
    <t>2399-9999</t>
  </si>
  <si>
    <t>2321-0411</t>
  </si>
  <si>
    <t>AP Adjustments</t>
  </si>
  <si>
    <t>2321-0511</t>
  </si>
  <si>
    <t>2321-1910</t>
  </si>
  <si>
    <t>A/P Internal Control Account</t>
  </si>
  <si>
    <t>AP, Ctrl</t>
  </si>
  <si>
    <t>2321-1911</t>
  </si>
  <si>
    <t>A/P Control Account</t>
  </si>
  <si>
    <t>2321-1912</t>
  </si>
  <si>
    <t>AP Yardi migration adjustments</t>
  </si>
  <si>
    <t>2321-1921</t>
  </si>
  <si>
    <t>AP Pre-payment liability control</t>
  </si>
  <si>
    <t>2321-1931</t>
  </si>
  <si>
    <t>HQ Pre-payment liability control</t>
  </si>
  <si>
    <t>2321-1961</t>
  </si>
  <si>
    <t>A/P Control Account - PropMan</t>
  </si>
  <si>
    <t>AP</t>
  </si>
  <si>
    <t>2321-1971</t>
  </si>
  <si>
    <t>INACTIVE: A/P Prepayment Liability Control - PropMan</t>
  </si>
  <si>
    <t>2321-3001</t>
  </si>
  <si>
    <t>INACTIVE: Consol rule - Trade creditor debtor set off</t>
  </si>
  <si>
    <t>Total Trade Creditors</t>
  </si>
  <si>
    <t>2400-0000</t>
  </si>
  <si>
    <t>Amounts due to group</t>
  </si>
  <si>
    <t>2499-9999</t>
  </si>
  <si>
    <t>2415-0000</t>
  </si>
  <si>
    <t>Amounts due to group - General</t>
  </si>
  <si>
    <t>2415-9999</t>
  </si>
  <si>
    <t>IC - Current (payable)</t>
  </si>
  <si>
    <t>IC - Loan Interest (payable)</t>
  </si>
  <si>
    <t>IC - Loans (payable)</t>
  </si>
  <si>
    <t>IC - Loans Swap Adj. (payable)</t>
  </si>
  <si>
    <t>IC - Loan Fees (payable)</t>
  </si>
  <si>
    <t>2415-1008</t>
  </si>
  <si>
    <t>INACTIVE: IC - Loan Fair Value Adjustment (payable)</t>
  </si>
  <si>
    <t>IC - Finance Rents Payments (payable)</t>
  </si>
  <si>
    <t>IC - Finance Lease SSAP21 (payable)</t>
  </si>
  <si>
    <t>IC - Finance Lease Creditor (payable)</t>
  </si>
  <si>
    <t>IC – Discount on acquisition (payable)</t>
  </si>
  <si>
    <t>IC - Incentives (payable)</t>
  </si>
  <si>
    <t>2415-3001</t>
  </si>
  <si>
    <t>Operating lease liability</t>
  </si>
  <si>
    <t>2415-3011</t>
  </si>
  <si>
    <t>IC Operating lease liability</t>
  </si>
  <si>
    <t>2415-4001</t>
  </si>
  <si>
    <t>amortisation of share issue prem (FRS 26)</t>
  </si>
  <si>
    <t>Total Amounts due to group - General</t>
  </si>
  <si>
    <t>2416-0000</t>
  </si>
  <si>
    <t>Amounts due to group - Loans</t>
  </si>
  <si>
    <t>2416-9999</t>
  </si>
  <si>
    <t>2416-1600</t>
  </si>
  <si>
    <t>Amounts due to group Loans</t>
  </si>
  <si>
    <t>2416-1699</t>
  </si>
  <si>
    <t>IC Loans (payable)</t>
  </si>
  <si>
    <t>IC Loan Interest (payable)</t>
  </si>
  <si>
    <t>IC loan accrued interest (payable)</t>
  </si>
  <si>
    <t>IC Loan Fees (payable)</t>
  </si>
  <si>
    <t>IC Loan Fair Value Adjustment (payable)</t>
  </si>
  <si>
    <t>IC Loan Provision (payable)</t>
  </si>
  <si>
    <t>IC - Eurobonds (payable)</t>
  </si>
  <si>
    <t>Total Amounts due to group Loan</t>
  </si>
  <si>
    <t>Total Amounts due to group - Loans</t>
  </si>
  <si>
    <t>Total Amounts due to group</t>
  </si>
  <si>
    <t>2518-0000</t>
  </si>
  <si>
    <t>VAT Creditor</t>
  </si>
  <si>
    <t>2518-9999</t>
  </si>
  <si>
    <t>2518-0151</t>
  </si>
  <si>
    <t>VAT Output - PropMan</t>
  </si>
  <si>
    <t>2518-0211</t>
  </si>
  <si>
    <t>VAT Output-Control (Cr)</t>
  </si>
  <si>
    <t>2518-0311</t>
  </si>
  <si>
    <t>VAT Adjustments Re Dr/Cr (payable)</t>
  </si>
  <si>
    <t>2518-0411</t>
  </si>
  <si>
    <t>VAT Recovered-Re:Insurance Claims</t>
  </si>
  <si>
    <t>2518-0511</t>
  </si>
  <si>
    <t>VAT EC Sales Contra</t>
  </si>
  <si>
    <t>Total VAT Creditor</t>
  </si>
  <si>
    <t>2519-0000</t>
  </si>
  <si>
    <t>Other Creditors</t>
  </si>
  <si>
    <t>2525-9999</t>
  </si>
  <si>
    <t>2520-0001</t>
  </si>
  <si>
    <t>Clearing Bank Recs - AP Suspense</t>
  </si>
  <si>
    <t>2520-0002</t>
  </si>
  <si>
    <t>Clearing Bank Recs - Unknown Receipts</t>
  </si>
  <si>
    <t>2520-0011</t>
  </si>
  <si>
    <t>Misc Charge Suspense</t>
  </si>
  <si>
    <t>LateFee</t>
  </si>
  <si>
    <t>2521-0111</t>
  </si>
  <si>
    <t>Sundry Creditors</t>
  </si>
  <si>
    <t>2521-0121</t>
  </si>
  <si>
    <t>IC Sundry Creditors</t>
  </si>
  <si>
    <t>2521-0511</t>
  </si>
  <si>
    <t>CWML Football Club</t>
  </si>
  <si>
    <t>2521-0512</t>
  </si>
  <si>
    <t>Tool hire rent income for charity</t>
  </si>
  <si>
    <t>2521-1101</t>
  </si>
  <si>
    <t>Customer Deposit</t>
  </si>
  <si>
    <t>2521-1110</t>
  </si>
  <si>
    <t>Commercial Performance Deposits</t>
  </si>
  <si>
    <t>Dep.</t>
  </si>
  <si>
    <t>2521-1111</t>
  </si>
  <si>
    <t>Commercial Rent Deposits</t>
  </si>
  <si>
    <t>Dep., LateFee</t>
  </si>
  <si>
    <t>Level39 Ltd Rent Deposits</t>
  </si>
  <si>
    <t>2521-1211</t>
  </si>
  <si>
    <t>Retail Rent Deposits</t>
  </si>
  <si>
    <t>2521-1212</t>
  </si>
  <si>
    <t>Retail Performance Deposits</t>
  </si>
  <si>
    <t>2521-1311</t>
  </si>
  <si>
    <t>Residential Rent Deposits</t>
  </si>
  <si>
    <t>2521-1411</t>
  </si>
  <si>
    <t>TDS Custodial</t>
  </si>
  <si>
    <t>2521-2111</t>
  </si>
  <si>
    <t>2521-2211</t>
  </si>
  <si>
    <t>Works Deposit</t>
  </si>
  <si>
    <t>2524-0111</t>
  </si>
  <si>
    <t>ECC Finance Lease - Principle</t>
  </si>
  <si>
    <t>2524-0121</t>
  </si>
  <si>
    <t>ECC Finance Lease - SSAP 21 Interest</t>
  </si>
  <si>
    <t>2524-0131</t>
  </si>
  <si>
    <t>ECC Finance Lease - Rental Payments</t>
  </si>
  <si>
    <t>2525-0111</t>
  </si>
  <si>
    <t>Propman suspense</t>
  </si>
  <si>
    <t>Total Other Creditors</t>
  </si>
  <si>
    <t>2526-0000</t>
  </si>
  <si>
    <t>Resi Creditors</t>
  </si>
  <si>
    <t>2526-9999</t>
  </si>
  <si>
    <t>2526-0111</t>
  </si>
  <si>
    <t>Resi - Flat reservation fee</t>
  </si>
  <si>
    <t>2526-0211</t>
  </si>
  <si>
    <t>Resi - Initial deposit</t>
  </si>
  <si>
    <t>2526-0311</t>
  </si>
  <si>
    <t>Resi - 1st Stage payment</t>
  </si>
  <si>
    <t>2526-0321</t>
  </si>
  <si>
    <t>Resi - 2nd Stage payment</t>
  </si>
  <si>
    <t>2526-0411</t>
  </si>
  <si>
    <t>Resi - Final payment</t>
  </si>
  <si>
    <t>2526-0421</t>
  </si>
  <si>
    <t>Resi - Interest accrued on late payment</t>
  </si>
  <si>
    <t>2526-0441</t>
  </si>
  <si>
    <t>Resi - Extra payments re requested mods</t>
  </si>
  <si>
    <t>2526-0451</t>
  </si>
  <si>
    <t>Resi - Parking payment</t>
  </si>
  <si>
    <t>2526-0461</t>
  </si>
  <si>
    <t>Resi - Banking Costs</t>
  </si>
  <si>
    <t>2526-0471</t>
  </si>
  <si>
    <t>Resi - Rescinded Income</t>
  </si>
  <si>
    <t>2526-0521</t>
  </si>
  <si>
    <t>Sales Commission (CWG staff)</t>
  </si>
  <si>
    <t>2526-0611</t>
  </si>
  <si>
    <t>Legal Deferred Fees</t>
  </si>
  <si>
    <t>2526-0711</t>
  </si>
  <si>
    <t>Sold Apartments Revenue to P and L</t>
  </si>
  <si>
    <t>2526-0721</t>
  </si>
  <si>
    <t>Sold Apartments Agents Fees to P and L</t>
  </si>
  <si>
    <t>2526-1001</t>
  </si>
  <si>
    <t>Resi Deferred Inc.</t>
  </si>
  <si>
    <t>Total Resi Creditors</t>
  </si>
  <si>
    <t>2600-0000</t>
  </si>
  <si>
    <t>Tax and Social Security</t>
  </si>
  <si>
    <t>2699-9999</t>
  </si>
  <si>
    <t>2621-0401</t>
  </si>
  <si>
    <t>Payroll Control - PropMan</t>
  </si>
  <si>
    <t>2621-0411</t>
  </si>
  <si>
    <t>Payroll-Control A/C</t>
  </si>
  <si>
    <t>2621-0421</t>
  </si>
  <si>
    <t>GIPS Control A/C</t>
  </si>
  <si>
    <t>2625-4011</t>
  </si>
  <si>
    <t>PID WHT Creditor</t>
  </si>
  <si>
    <t>2625-5011</t>
  </si>
  <si>
    <t>Tax Witheld at Source</t>
  </si>
  <si>
    <t>2625-5211</t>
  </si>
  <si>
    <t>Corporation Tax Provision</t>
  </si>
  <si>
    <t>2625-5311</t>
  </si>
  <si>
    <t>Deferred Taxation Provision</t>
  </si>
  <si>
    <t>2625-5411</t>
  </si>
  <si>
    <t>Jersey Income tax</t>
  </si>
  <si>
    <t>Total Tax and Social Security</t>
  </si>
  <si>
    <t>2700-0000</t>
  </si>
  <si>
    <t>Accruals</t>
  </si>
  <si>
    <t>2723-0599</t>
  </si>
  <si>
    <t>2720-0211</t>
  </si>
  <si>
    <t>Accrued Interest Payable-General</t>
  </si>
  <si>
    <t>2720-0311</t>
  </si>
  <si>
    <t>Accrued Swap Interest Payable</t>
  </si>
  <si>
    <t>2723-0111</t>
  </si>
  <si>
    <t>Construction Accruals (Short term liability)</t>
  </si>
  <si>
    <t>2723-0121</t>
  </si>
  <si>
    <t>Construction Accruals (Dilapidations)</t>
  </si>
  <si>
    <t>2723-0131</t>
  </si>
  <si>
    <t>Construction Accruals - CM Fee</t>
  </si>
  <si>
    <t>2723-0132</t>
  </si>
  <si>
    <t>Construction Accruals - DM Fee</t>
  </si>
  <si>
    <t>2723-0133</t>
  </si>
  <si>
    <t>Construction Retention</t>
  </si>
  <si>
    <t>2723-0134</t>
  </si>
  <si>
    <t>Construction CM Accruals</t>
  </si>
  <si>
    <t>2723-0135</t>
  </si>
  <si>
    <t>Construction Non CM Accruals</t>
  </si>
  <si>
    <t>2723-0136</t>
  </si>
  <si>
    <t>Construction Gen Accruals</t>
  </si>
  <si>
    <t>2723-0491</t>
  </si>
  <si>
    <t>Commitments for Open POs - PropMan</t>
  </si>
  <si>
    <t>2723-0501</t>
  </si>
  <si>
    <t>Accruals and Deferred Inc - PropMan</t>
  </si>
  <si>
    <t>2723-0510</t>
  </si>
  <si>
    <t>Accruals – EZA Citibank</t>
  </si>
  <si>
    <t>2723-0511</t>
  </si>
  <si>
    <t>Accruals - General</t>
  </si>
  <si>
    <t>2723-0512</t>
  </si>
  <si>
    <t>Accruals - Commercial S/C</t>
  </si>
  <si>
    <t>2723-0513</t>
  </si>
  <si>
    <t>Accruals - Resi S/C</t>
  </si>
  <si>
    <t>2723-0514</t>
  </si>
  <si>
    <t>Accruals - Vertus S/C</t>
  </si>
  <si>
    <t>2723-0590</t>
  </si>
  <si>
    <t>Accruals - LTIP Share Option Scheme</t>
  </si>
  <si>
    <t>Total Accruals</t>
  </si>
  <si>
    <t>2723-0600</t>
  </si>
  <si>
    <t>Deferred income</t>
  </si>
  <si>
    <t>2723-9999</t>
  </si>
  <si>
    <t>2723-0601</t>
  </si>
  <si>
    <t>Deferred rental income</t>
  </si>
  <si>
    <t>2723-0999</t>
  </si>
  <si>
    <t>2723-0611</t>
  </si>
  <si>
    <t>Deferred Rent - Retail</t>
  </si>
  <si>
    <t>Deferred Rent - Office</t>
  </si>
  <si>
    <t>2723-0629</t>
  </si>
  <si>
    <t>Deferred Rent - Resi</t>
  </si>
  <si>
    <t>2723-0630</t>
  </si>
  <si>
    <t>Deferred Other - Resi</t>
  </si>
  <si>
    <t>2723-0631</t>
  </si>
  <si>
    <t>Deferred Rent - communications</t>
  </si>
  <si>
    <t>2723-0641</t>
  </si>
  <si>
    <t>Deferred Rent telecomms (CW Telecoms)</t>
  </si>
  <si>
    <t>2723-0651</t>
  </si>
  <si>
    <t>Deferred Office Rent - Internal Income</t>
  </si>
  <si>
    <t>2723-0661</t>
  </si>
  <si>
    <t>Deferred Retail Rent - Internal</t>
  </si>
  <si>
    <t>2723-0671</t>
  </si>
  <si>
    <t>Deferred Rental income from off-site tenants</t>
  </si>
  <si>
    <t>2723-0681</t>
  </si>
  <si>
    <t>Deferred Ground rent</t>
  </si>
  <si>
    <t>2723-0691</t>
  </si>
  <si>
    <t>Deferred Rent - Storage - Retail</t>
  </si>
  <si>
    <t>2723-0701</t>
  </si>
  <si>
    <t>Deferred Rent - Storage - Office</t>
  </si>
  <si>
    <t>2723-0711</t>
  </si>
  <si>
    <t>Deferred Rent - Storage - Car Park</t>
  </si>
  <si>
    <t>2723-0721</t>
  </si>
  <si>
    <t>Deferred Inclusive Rent</t>
  </si>
  <si>
    <t>2723-0731</t>
  </si>
  <si>
    <t>Deferred Rent - Loading Bay - Retail</t>
  </si>
  <si>
    <t>2723-0741</t>
  </si>
  <si>
    <t>Deferred Rent - Pier</t>
  </si>
  <si>
    <t>2723-0801</t>
  </si>
  <si>
    <t>Deferred Rent - PRS Resi</t>
  </si>
  <si>
    <t>2723-0811</t>
  </si>
  <si>
    <t>Deferred Rent - Communities Resi</t>
  </si>
  <si>
    <t>2723-0821</t>
  </si>
  <si>
    <t>Deferred Rent - Furniture</t>
  </si>
  <si>
    <t>2723-0841</t>
  </si>
  <si>
    <t>Rent concession - Office</t>
  </si>
  <si>
    <t>2723-0842</t>
  </si>
  <si>
    <t>Rent concession - Retail</t>
  </si>
  <si>
    <t>2723-0843</t>
  </si>
  <si>
    <t>Rent Concession - PRS Resi</t>
  </si>
  <si>
    <t>2723-0911</t>
  </si>
  <si>
    <t>Deferred Rent Free - Office</t>
  </si>
  <si>
    <t>2723-0912</t>
  </si>
  <si>
    <t>Deferred Rent Free - Retail</t>
  </si>
  <si>
    <t>2723-0919</t>
  </si>
  <si>
    <t>Deferred Rent Free - Residential</t>
  </si>
  <si>
    <t>Total Deferred rental income</t>
  </si>
  <si>
    <t>2723-1001</t>
  </si>
  <si>
    <t>Deferred parking income</t>
  </si>
  <si>
    <t>2723-1999</t>
  </si>
  <si>
    <t>2723-1011</t>
  </si>
  <si>
    <t>Deferred Parking - Per Lease - Retail</t>
  </si>
  <si>
    <t>2723-1021</t>
  </si>
  <si>
    <t>Deferred Parking - Per Lease - Office</t>
  </si>
  <si>
    <t>2723-1031</t>
  </si>
  <si>
    <t>Deferred Parking - Per Agreement/Licence - General</t>
  </si>
  <si>
    <t>2723-1041</t>
  </si>
  <si>
    <t>Deferred Parking - Per Agreement/Licence - Retail</t>
  </si>
  <si>
    <t>2723-1051</t>
  </si>
  <si>
    <t>Deferred Parking - Per Agreement/Licence - Office</t>
  </si>
  <si>
    <t>2723-1061</t>
  </si>
  <si>
    <t>Defer Parking - Concessionary Pass Cards</t>
  </si>
  <si>
    <t>2723-1081</t>
  </si>
  <si>
    <t>Deferred Parking - secure cycle</t>
  </si>
  <si>
    <t>2723-1091</t>
  </si>
  <si>
    <t>Deferred Parking - motorcycle</t>
  </si>
  <si>
    <t>Total Deferred parking income</t>
  </si>
  <si>
    <t>2723-2001</t>
  </si>
  <si>
    <t>Deferred service charge income</t>
  </si>
  <si>
    <t>2723-2999</t>
  </si>
  <si>
    <t>2723-2011</t>
  </si>
  <si>
    <t>Deferred Estate Service Charge - Retail</t>
  </si>
  <si>
    <t>2723-2021</t>
  </si>
  <si>
    <t>Deferred Estate Service Charge - Office</t>
  </si>
  <si>
    <t>2723-2031</t>
  </si>
  <si>
    <t>Deferred Estate Service Charge - Resi</t>
  </si>
  <si>
    <t>2723-2041</t>
  </si>
  <si>
    <t>Defer Recovery Non Denominator Contribution</t>
  </si>
  <si>
    <t>2723-2051</t>
  </si>
  <si>
    <t>Deferred Building Service Charge - Retail</t>
  </si>
  <si>
    <t>2723-2061</t>
  </si>
  <si>
    <t>Deferred Building Service Charge - Office</t>
  </si>
  <si>
    <t>2723-2071</t>
  </si>
  <si>
    <t>Deferred Building Service Charge - Resi</t>
  </si>
  <si>
    <t>2723-2081</t>
  </si>
  <si>
    <t>Deferred Building Service Charge - Off-site</t>
  </si>
  <si>
    <t>2723-2091</t>
  </si>
  <si>
    <t>Deferred Car Park Service Charge - Retail</t>
  </si>
  <si>
    <t>2723-2101</t>
  </si>
  <si>
    <t>Deferred Car Park Service Charge - Office</t>
  </si>
  <si>
    <t>2723-2111</t>
  </si>
  <si>
    <t>Deferred Car Park Service Charge - Resi</t>
  </si>
  <si>
    <t>2723-2121</t>
  </si>
  <si>
    <t>Deferred Loading Dock and Car Park S/C - Office</t>
  </si>
  <si>
    <t>2723-2131</t>
  </si>
  <si>
    <t>Deferred Utilities on Account Income</t>
  </si>
  <si>
    <t>2723-2141</t>
  </si>
  <si>
    <t>Deferred Fixed Expenses Contribution - General</t>
  </si>
  <si>
    <t>2723-2151</t>
  </si>
  <si>
    <t>Deferred Fixed Expenses Contribution - Retail</t>
  </si>
  <si>
    <t>2723-2161</t>
  </si>
  <si>
    <t>Deferred Fixed Expenses Contribution - Office</t>
  </si>
  <si>
    <t>2723-2171</t>
  </si>
  <si>
    <t>Deferred Fixed Expenses Contribution - Resi</t>
  </si>
  <si>
    <t>2723-2201</t>
  </si>
  <si>
    <t>Deferred S/Chg Other Income</t>
  </si>
  <si>
    <t>2723-2202</t>
  </si>
  <si>
    <t>Deferred Income - Tenant S/C Rebate</t>
  </si>
  <si>
    <t>Total Deferred service charge income</t>
  </si>
  <si>
    <t>2723-3001</t>
  </si>
  <si>
    <t>Deferred insurance income</t>
  </si>
  <si>
    <t>2723-3999</t>
  </si>
  <si>
    <t>2723-3011</t>
  </si>
  <si>
    <t>Deferred Operating Income - Insurance</t>
  </si>
  <si>
    <t>Total Deferred insurance income</t>
  </si>
  <si>
    <t>2723-4001</t>
  </si>
  <si>
    <t>Deferred income - Other</t>
  </si>
  <si>
    <t>2723-8999</t>
  </si>
  <si>
    <t>2723-4011</t>
  </si>
  <si>
    <t>Deferred Tool hire rent income for charity</t>
  </si>
  <si>
    <t>2723-4021</t>
  </si>
  <si>
    <t>Deferred Onerous leaseback adjustment</t>
  </si>
  <si>
    <t>2723-4031</t>
  </si>
  <si>
    <t>Deferred Dilapidations</t>
  </si>
  <si>
    <t>2723-4101</t>
  </si>
  <si>
    <t>Hotel - Advance Deposits</t>
  </si>
  <si>
    <t>2723-5011</t>
  </si>
  <si>
    <t>Falcon: Consol Deferred Operating Income</t>
  </si>
  <si>
    <t>2723-6011</t>
  </si>
  <si>
    <t>Other deferred income</t>
  </si>
  <si>
    <t>2723-6012</t>
  </si>
  <si>
    <t>Other Deferred Income for A/R Unapplied Activity</t>
  </si>
  <si>
    <t>2723-6013</t>
  </si>
  <si>
    <t>Deferred Consideration</t>
  </si>
  <si>
    <t>2723-7011</t>
  </si>
  <si>
    <t>Provision re Dividends Payable</t>
  </si>
  <si>
    <t>2723-8011</t>
  </si>
  <si>
    <t>Deferred Operating Income</t>
  </si>
  <si>
    <t>Total Deferred income - Other</t>
  </si>
  <si>
    <t>2723-9000</t>
  </si>
  <si>
    <t>Deferred income - IC</t>
  </si>
  <si>
    <t>2723-9199</t>
  </si>
  <si>
    <t>Deferred IC - Office and Retail Rents</t>
  </si>
  <si>
    <t>Deferred IC - Ground Rents</t>
  </si>
  <si>
    <t>Deferred IC - UITF28 Rent Adjustments</t>
  </si>
  <si>
    <t>Deferred IC - Car Park Rents</t>
  </si>
  <si>
    <t>Deferred IC - Service Charge</t>
  </si>
  <si>
    <t>Deferred IC - Service Charge Voids</t>
  </si>
  <si>
    <t>2723-9052</t>
  </si>
  <si>
    <t>Residential Rent BTR</t>
  </si>
  <si>
    <t>Deferred IC - Management Fee (Income)</t>
  </si>
  <si>
    <t>Deferred IC - provision of services mgmt fee</t>
  </si>
  <si>
    <t>Total Deferred Income - IC</t>
  </si>
  <si>
    <t>2723-9998</t>
  </si>
  <si>
    <t>Historic elimination differences – Consolidation only</t>
  </si>
  <si>
    <t>Total Deferred Income</t>
  </si>
  <si>
    <t>Total Creditors: amounts due &lt; 1yr</t>
  </si>
  <si>
    <t>Total Net Current Asset</t>
  </si>
  <si>
    <t>2800-0000</t>
  </si>
  <si>
    <t>Creditors: amounts due &gt; 1 yr</t>
  </si>
  <si>
    <t>2819-9999</t>
  </si>
  <si>
    <t>2810-0000</t>
  </si>
  <si>
    <t>Bank Loans &gt; 1 yr</t>
  </si>
  <si>
    <t>2810-1000</t>
  </si>
  <si>
    <t>Investment Loans &gt; 1 yr</t>
  </si>
  <si>
    <t>2810-1999</t>
  </si>
  <si>
    <t>2810-1011</t>
  </si>
  <si>
    <t>Investment Loan - Capital</t>
  </si>
  <si>
    <t>2810-1025</t>
  </si>
  <si>
    <t>Investment Loan - Fee Amortisation</t>
  </si>
  <si>
    <t>2810-1031</t>
  </si>
  <si>
    <t>2810-1041</t>
  </si>
  <si>
    <t>Investment Loan - Loan Repayment</t>
  </si>
  <si>
    <t>2810-1051</t>
  </si>
  <si>
    <t>Investment Loan - Premium</t>
  </si>
  <si>
    <t>2810-1061</t>
  </si>
  <si>
    <t>Investment Loan - Hedging</t>
  </si>
  <si>
    <t>2810-1071</t>
  </si>
  <si>
    <t>Spare 3</t>
  </si>
  <si>
    <t>2810-1081</t>
  </si>
  <si>
    <t>Spare 4</t>
  </si>
  <si>
    <t>2810-1091</t>
  </si>
  <si>
    <t>Investment Loan - Swap Fair Value</t>
  </si>
  <si>
    <t>2810-1101</t>
  </si>
  <si>
    <t>Investment Loan - Trf to &lt; 1 yr</t>
  </si>
  <si>
    <t>Total Investment Loans &gt; 1 yr</t>
  </si>
  <si>
    <t>2819-9998</t>
  </si>
  <si>
    <t>2810-2000</t>
  </si>
  <si>
    <t>Construction Loan 1 &gt; 1 yr</t>
  </si>
  <si>
    <t>2810-2999</t>
  </si>
  <si>
    <t>2810-2011</t>
  </si>
  <si>
    <t>Construction Loan 1 - Capital</t>
  </si>
  <si>
    <t>2810-2025</t>
  </si>
  <si>
    <t>Construction Loan 1 - Fee Amortisation</t>
  </si>
  <si>
    <t>2810-2031</t>
  </si>
  <si>
    <t>Construction Loan 1 - Interest</t>
  </si>
  <si>
    <t>2810-2041</t>
  </si>
  <si>
    <t>Construction Loan 1 - Loan Repayment</t>
  </si>
  <si>
    <t>2810-2051</t>
  </si>
  <si>
    <t>Spare 1</t>
  </si>
  <si>
    <t>2810-2061</t>
  </si>
  <si>
    <t>Spare 2</t>
  </si>
  <si>
    <t>2810-2071</t>
  </si>
  <si>
    <t>2810-2081</t>
  </si>
  <si>
    <t>2810-2091</t>
  </si>
  <si>
    <t>Construction Loan 1 - Swap Fair Value</t>
  </si>
  <si>
    <t>2810-2101</t>
  </si>
  <si>
    <t>Construction Loan 1 - Trf to &lt; 1 yr</t>
  </si>
  <si>
    <t>Total Construction Loan 1 &gt; 1 yr</t>
  </si>
  <si>
    <t>2810-3000</t>
  </si>
  <si>
    <t>Sec Loan &gt; 1 yr</t>
  </si>
  <si>
    <t>2810-3999</t>
  </si>
  <si>
    <t>2810-3011</t>
  </si>
  <si>
    <t>Sec Loan - Capital</t>
  </si>
  <si>
    <t>2810-3025</t>
  </si>
  <si>
    <t>Sec Loan - Fee Amortisation</t>
  </si>
  <si>
    <t>2810-3031</t>
  </si>
  <si>
    <t>2810-3051</t>
  </si>
  <si>
    <t>Sec Loan - Hedging</t>
  </si>
  <si>
    <t>2810-3061</t>
  </si>
  <si>
    <t>Sec Loan - Premium</t>
  </si>
  <si>
    <t>2810-3071</t>
  </si>
  <si>
    <t>2810-3081</t>
  </si>
  <si>
    <t>2810-3091</t>
  </si>
  <si>
    <t>Sec Loan - Swap Fair Value</t>
  </si>
  <si>
    <t>2810-3101</t>
  </si>
  <si>
    <t>Sec Loan - Trf to &lt; 1 yr</t>
  </si>
  <si>
    <t>Total Sec Loan &gt; 1 yr</t>
  </si>
  <si>
    <t>2810-4000</t>
  </si>
  <si>
    <t>Other Loans &gt; 1 yr</t>
  </si>
  <si>
    <t>2810-4999</t>
  </si>
  <si>
    <t>2810-4011</t>
  </si>
  <si>
    <t>Other Loan - Capital</t>
  </si>
  <si>
    <t>2810-4012</t>
  </si>
  <si>
    <t>Other Loan - Discount</t>
  </si>
  <si>
    <t>2810-4013</t>
  </si>
  <si>
    <t>Other Loan - Foreign Exchange Movements</t>
  </si>
  <si>
    <t>2810-4025</t>
  </si>
  <si>
    <t>Other Loan - Fee Amortisation</t>
  </si>
  <si>
    <t>2810-4031</t>
  </si>
  <si>
    <t>Other Loan - Capitalised Interest</t>
  </si>
  <si>
    <t>2810-4041</t>
  </si>
  <si>
    <t>Other Loan - Loan Repayment</t>
  </si>
  <si>
    <t>2810-4051</t>
  </si>
  <si>
    <t>2810-4061</t>
  </si>
  <si>
    <t>2810-4071</t>
  </si>
  <si>
    <t>2810-4081</t>
  </si>
  <si>
    <t>2810-4091</t>
  </si>
  <si>
    <t>Other Loan - Swap Fair Value</t>
  </si>
  <si>
    <t>2810-4101</t>
  </si>
  <si>
    <t>Other Loan - Trf to &lt; 1yr</t>
  </si>
  <si>
    <t>Total Other Loans &gt; 1 yr</t>
  </si>
  <si>
    <t>2810-5011</t>
  </si>
  <si>
    <t>Lawyer Client Account</t>
  </si>
  <si>
    <t>2810-6000</t>
  </si>
  <si>
    <t>Revolving Credit Facility &gt; 1 yr</t>
  </si>
  <si>
    <t>2810-6999</t>
  </si>
  <si>
    <t>2810-6011</t>
  </si>
  <si>
    <t>Revolving Credit Facility - Capital</t>
  </si>
  <si>
    <t>2810-6025</t>
  </si>
  <si>
    <t>Revolving Credit Facility - Fee Amortisation</t>
  </si>
  <si>
    <t>2810-6041</t>
  </si>
  <si>
    <t>Revolving Credit Facility - Loan Repayment</t>
  </si>
  <si>
    <t>2810-6101</t>
  </si>
  <si>
    <t>Revolving Credit Facility - Trf to 1 yr</t>
  </si>
  <si>
    <t>Total Revolving Credit Facility &gt; 1 yr</t>
  </si>
  <si>
    <t>2811-2000</t>
  </si>
  <si>
    <t>Construction Loan 2 &gt; 1 yr</t>
  </si>
  <si>
    <t>2811-2999</t>
  </si>
  <si>
    <t>2811-2011</t>
  </si>
  <si>
    <t>Construction Loan 2 - Capital</t>
  </si>
  <si>
    <t>2811-2025</t>
  </si>
  <si>
    <t>Construction Loan 2 - Fee Amortisation</t>
  </si>
  <si>
    <t>2811-2031</t>
  </si>
  <si>
    <t>Construction Loan 2 - Interest</t>
  </si>
  <si>
    <t>2811-2041</t>
  </si>
  <si>
    <t>Construction Loan 2 - Loan 2 Repayment</t>
  </si>
  <si>
    <t>2811-2091</t>
  </si>
  <si>
    <t>Construction Loan 2 - Swap Fair Value</t>
  </si>
  <si>
    <t>2811-2101</t>
  </si>
  <si>
    <t>Construction Loan 2 - Trf to &lt; 1 yr</t>
  </si>
  <si>
    <t>Total Construction Loan 2 &gt; 1 yr</t>
  </si>
  <si>
    <t>Total Bank Loans  &gt; 1 yr</t>
  </si>
  <si>
    <t>Total Creditors: amounts due &gt; 1 yr</t>
  </si>
  <si>
    <t>2820-0001</t>
  </si>
  <si>
    <t>Provision for Liability and Charges</t>
  </si>
  <si>
    <t>2829-9999</t>
  </si>
  <si>
    <t>2820-1001</t>
  </si>
  <si>
    <t>Provision Against Takeover Properties Costs</t>
  </si>
  <si>
    <t>2820-1011</t>
  </si>
  <si>
    <t>Provision Against Onerous Lease Costs</t>
  </si>
  <si>
    <t>Provision against onerous IC leases</t>
  </si>
  <si>
    <t>2820-1021</t>
  </si>
  <si>
    <t>Tribe - Provision For Other Liabilities &amp; Expenses</t>
  </si>
  <si>
    <t>Total Provision for Liability and Charges</t>
  </si>
  <si>
    <t>2900-0000</t>
  </si>
  <si>
    <t>Reserve for Encumbrances</t>
  </si>
  <si>
    <t>2999-9998</t>
  </si>
  <si>
    <t>Total Reserve for Encumbrances</t>
  </si>
  <si>
    <t>Total Net Assets</t>
  </si>
  <si>
    <t>9999-9999</t>
  </si>
  <si>
    <t>3000-0000</t>
  </si>
  <si>
    <t>Equity and Reserves</t>
  </si>
  <si>
    <t>3999-9999</t>
  </si>
  <si>
    <t>3137-0111</t>
  </si>
  <si>
    <t>Ordinary Share Capital</t>
  </si>
  <si>
    <t>3137-0211</t>
  </si>
  <si>
    <t>Deferred Share Capital</t>
  </si>
  <si>
    <t>3137-0311</t>
  </si>
  <si>
    <t>Partners Captial</t>
  </si>
  <si>
    <t>3137-0411</t>
  </si>
  <si>
    <t>Share Premium Accnt</t>
  </si>
  <si>
    <t>3137-0511</t>
  </si>
  <si>
    <t>Preference Share</t>
  </si>
  <si>
    <t>3137-0531</t>
  </si>
  <si>
    <t>B Preference Shares</t>
  </si>
  <si>
    <t>3137-0551</t>
  </si>
  <si>
    <t>B Preference Share Premium</t>
  </si>
  <si>
    <t>3137-0561</t>
  </si>
  <si>
    <t>A Preference Share Distributable Reserve</t>
  </si>
  <si>
    <t>3137-0571</t>
  </si>
  <si>
    <t>B Preference Share Distributable Reserve</t>
  </si>
  <si>
    <t>3137-0581</t>
  </si>
  <si>
    <t>C Preference Shares</t>
  </si>
  <si>
    <t>3137-0591</t>
  </si>
  <si>
    <t>C Preference Share Premium</t>
  </si>
  <si>
    <t>3137-0601</t>
  </si>
  <si>
    <t>C Preference Share Distributable Reserve</t>
  </si>
  <si>
    <t>3137-0711</t>
  </si>
  <si>
    <t>A Shares</t>
  </si>
  <si>
    <t>3137-0721</t>
  </si>
  <si>
    <t>B Shares</t>
  </si>
  <si>
    <t>3137-0811</t>
  </si>
  <si>
    <t>Investor Shares</t>
  </si>
  <si>
    <t>3137-0911</t>
  </si>
  <si>
    <t>Partnership current account</t>
  </si>
  <si>
    <t>3137-1111</t>
  </si>
  <si>
    <t>Equity Partners loans</t>
  </si>
  <si>
    <t>3137-2111</t>
  </si>
  <si>
    <t>Partners Capital</t>
  </si>
  <si>
    <t>3230-0011</t>
  </si>
  <si>
    <t>Capital Reserve</t>
  </si>
  <si>
    <t>3230-0111</t>
  </si>
  <si>
    <t>Capital Redemption Reserve</t>
  </si>
  <si>
    <t>3230-0211</t>
  </si>
  <si>
    <t>Capital Contribution</t>
  </si>
  <si>
    <t>3240-0011</t>
  </si>
  <si>
    <t>Revaluation Reserve</t>
  </si>
  <si>
    <t>3240-0031</t>
  </si>
  <si>
    <t>Hedging Reserve</t>
  </si>
  <si>
    <t>3250-0011</t>
  </si>
  <si>
    <t>Special Reserve</t>
  </si>
  <si>
    <t>3261-1111</t>
  </si>
  <si>
    <t>Cancelled share premium reserve</t>
  </si>
  <si>
    <t>3270-0011</t>
  </si>
  <si>
    <t>Transfer from Special Reserve</t>
  </si>
  <si>
    <t>3271-1111</t>
  </si>
  <si>
    <t>Reserves movement on SG Share conversion</t>
  </si>
  <si>
    <t>3271-1211</t>
  </si>
  <si>
    <t>Cancelled Deferred Shares</t>
  </si>
  <si>
    <t>3290-0011</t>
  </si>
  <si>
    <t>Reval. gains of previous years</t>
  </si>
  <si>
    <t>3290-0111</t>
  </si>
  <si>
    <t>Bonus issue reserves transfer</t>
  </si>
  <si>
    <t>3300-0011</t>
  </si>
  <si>
    <t>Share Option Reserve</t>
  </si>
  <si>
    <t>3300-0021</t>
  </si>
  <si>
    <t>Share Option Reserve LTIP</t>
  </si>
  <si>
    <t>3300-0041</t>
  </si>
  <si>
    <t>Appropriation of Profit Reserve</t>
  </si>
  <si>
    <t>3300-0111</t>
  </si>
  <si>
    <t>Share buy back reserve</t>
  </si>
  <si>
    <t>3300-0211</t>
  </si>
  <si>
    <t>Share buy back fees</t>
  </si>
  <si>
    <t>3300-0311</t>
  </si>
  <si>
    <t>Reserves transfer to CRR</t>
  </si>
  <si>
    <t>3338-0511</t>
  </si>
  <si>
    <t>Retained Earnings</t>
  </si>
  <si>
    <t>Ctrl</t>
  </si>
  <si>
    <t>3338-0512</t>
  </si>
  <si>
    <t>Opening acquisition reserves</t>
  </si>
  <si>
    <t>3338-1111</t>
  </si>
  <si>
    <t>Retained earnings adjustment</t>
  </si>
  <si>
    <t>3338-2001</t>
  </si>
  <si>
    <t>Minority interest</t>
  </si>
  <si>
    <t>Total Equity and Reserves</t>
  </si>
  <si>
    <t>4000-0000</t>
  </si>
  <si>
    <t>PROFIT AND LOSS</t>
  </si>
  <si>
    <t>4001-0000</t>
  </si>
  <si>
    <t>TURNOVER</t>
  </si>
  <si>
    <t>4999-9999</t>
  </si>
  <si>
    <t>4100-0000</t>
  </si>
  <si>
    <t>IC Turnover</t>
  </si>
  <si>
    <t>4199-9999</t>
  </si>
  <si>
    <t>IC - Office and Retail Rents (Turnover)</t>
  </si>
  <si>
    <t>IC - Car park Rents (Turnover)</t>
  </si>
  <si>
    <t>IC - Ground Rents (turnover)</t>
  </si>
  <si>
    <t>IC - UITF28 Rent Adjustments (turnover)</t>
  </si>
  <si>
    <t>4115-1041</t>
  </si>
  <si>
    <t>INACTIVE: IC - Car Park Rents (Turnover)</t>
  </si>
  <si>
    <t>IC - Service Charge (turnover)</t>
  </si>
  <si>
    <t>IC - Service Charge Voids (turnover)</t>
  </si>
  <si>
    <t>IC - Sale of Properties (turnover)</t>
  </si>
  <si>
    <t>IC - Construction Turnover (turnover)</t>
  </si>
  <si>
    <t>IC - Turnover markup</t>
  </si>
  <si>
    <t>IC - IC lease incentives (turnover)</t>
  </si>
  <si>
    <t>4119-1011</t>
  </si>
  <si>
    <t>Apply income to S/C</t>
  </si>
  <si>
    <t>IC - Construction cost recharges (turnover)</t>
  </si>
  <si>
    <t>IC CM - Construction Management Fee</t>
  </si>
  <si>
    <t>IC DM - Development Management Fee</t>
  </si>
  <si>
    <t>IC - Commercial Heat Sales</t>
  </si>
  <si>
    <t>IC - Commercial Heat Sales (NFL)</t>
  </si>
  <si>
    <t>IC - Residential Heat Sales</t>
  </si>
  <si>
    <t>IC - Residential Heat Sales (NFL)</t>
  </si>
  <si>
    <t>IC - Electrical Sales</t>
  </si>
  <si>
    <t>IC - Electrical Sales (NFL)</t>
  </si>
  <si>
    <t>IC - Non Energy Sales</t>
  </si>
  <si>
    <t>IC - Non Energy Sales (NFL)</t>
  </si>
  <si>
    <t>4160-1622</t>
  </si>
  <si>
    <t>Spare</t>
  </si>
  <si>
    <t>Total IC Turnover</t>
  </si>
  <si>
    <t>4200-0000</t>
  </si>
  <si>
    <t>External Turnover</t>
  </si>
  <si>
    <t>4999-9998</t>
  </si>
  <si>
    <t>4200-1000</t>
  </si>
  <si>
    <t>Level39 Income</t>
  </si>
  <si>
    <t>4219-9999</t>
  </si>
  <si>
    <t>Sand box</t>
  </si>
  <si>
    <t>4211-7021</t>
  </si>
  <si>
    <t>Club Lounge39 Annual subscription Standard</t>
  </si>
  <si>
    <t>4211-7041</t>
  </si>
  <si>
    <t>Club Lounge39 Meeting rooms</t>
  </si>
  <si>
    <t>4211-7611</t>
  </si>
  <si>
    <t>Barter income</t>
  </si>
  <si>
    <t>4211-8011</t>
  </si>
  <si>
    <t>Rent-Trading Licences</t>
  </si>
  <si>
    <t>4211-9011</t>
  </si>
  <si>
    <t>L26 Office</t>
  </si>
  <si>
    <t>4211-9021</t>
  </si>
  <si>
    <t>L26 Brookfield Contribution</t>
  </si>
  <si>
    <t>4212-2111</t>
  </si>
  <si>
    <t>Catering recharges</t>
  </si>
  <si>
    <t>4212-2511</t>
  </si>
  <si>
    <t>Sundry Charges</t>
  </si>
  <si>
    <t>4212-2611</t>
  </si>
  <si>
    <t>Sundry recharges</t>
  </si>
  <si>
    <t>Total Level39 Income</t>
  </si>
  <si>
    <t>4220-0000</t>
  </si>
  <si>
    <t>Hotel Turnover</t>
  </si>
  <si>
    <t>4220-9999</t>
  </si>
  <si>
    <t>4220-0001</t>
  </si>
  <si>
    <t>Hotel - Room Revenue</t>
  </si>
  <si>
    <t>4220-0011</t>
  </si>
  <si>
    <t>Hotel - Food &amp; Beverages</t>
  </si>
  <si>
    <t>4220-0021</t>
  </si>
  <si>
    <t>Hotel - Misc Revenue</t>
  </si>
  <si>
    <t>Total Hotel Turnover</t>
  </si>
  <si>
    <t>4239-0000</t>
  </si>
  <si>
    <t>External Rental Income</t>
  </si>
  <si>
    <t>4299-9999</t>
  </si>
  <si>
    <t>4239-0121</t>
  </si>
  <si>
    <t>Rent-Retail</t>
  </si>
  <si>
    <t>4239-0131</t>
  </si>
  <si>
    <t>Rent-Office</t>
  </si>
  <si>
    <t>4239-0141</t>
  </si>
  <si>
    <t>Rent-communications</t>
  </si>
  <si>
    <t>4239-0151</t>
  </si>
  <si>
    <t>Rent telecomms (CW Telecoms)</t>
  </si>
  <si>
    <t>4239-0181</t>
  </si>
  <si>
    <t>Office Rent - Internal Income</t>
  </si>
  <si>
    <t>4239-0191</t>
  </si>
  <si>
    <t>Retail Rent - Internal</t>
  </si>
  <si>
    <t>4239-0321</t>
  </si>
  <si>
    <t>Rental income from off-site tenants</t>
  </si>
  <si>
    <t>4239-0431</t>
  </si>
  <si>
    <t>Ground rent</t>
  </si>
  <si>
    <t>4239-0721</t>
  </si>
  <si>
    <t>Rent-Storage-Retail</t>
  </si>
  <si>
    <t>4239-0731</t>
  </si>
  <si>
    <t>Rent-Storage-Office</t>
  </si>
  <si>
    <t>4239-0741</t>
  </si>
  <si>
    <t>Rent-Storage-Car Park</t>
  </si>
  <si>
    <t>4239-0811</t>
  </si>
  <si>
    <t>Inclusive rent</t>
  </si>
  <si>
    <t>4239-0921</t>
  </si>
  <si>
    <t>Rent - Loading Bay - Retail</t>
  </si>
  <si>
    <t>4239-0931</t>
  </si>
  <si>
    <t>4239-0932</t>
  </si>
  <si>
    <t>4239-0933</t>
  </si>
  <si>
    <t>4239-2021</t>
  </si>
  <si>
    <t>Rent-Turnover-Retail</t>
  </si>
  <si>
    <t>4239-3021</t>
  </si>
  <si>
    <t>Parking-Per Lease-Retail</t>
  </si>
  <si>
    <t>4239-3031</t>
  </si>
  <si>
    <t>Parking-Per Lease-Office</t>
  </si>
  <si>
    <t>4239-3111</t>
  </si>
  <si>
    <t>Parking-Per Agreement/Licence-General</t>
  </si>
  <si>
    <t>4239-3121</t>
  </si>
  <si>
    <t>Parking-Per Agreement/Licence-Retail</t>
  </si>
  <si>
    <t>4239-3131</t>
  </si>
  <si>
    <t>Parking-Per Agreement/Licence-Office</t>
  </si>
  <si>
    <t>4239-3231</t>
  </si>
  <si>
    <t>Parking-Concessionary Pass Cards</t>
  </si>
  <si>
    <t>4239-3411</t>
  </si>
  <si>
    <t>Parking-Visitors</t>
  </si>
  <si>
    <t>4239-3441</t>
  </si>
  <si>
    <t>Parking-Inter-Company Recharge</t>
  </si>
  <si>
    <t>4239-3451</t>
  </si>
  <si>
    <t>Parking-Direct Debit (Public)</t>
  </si>
  <si>
    <t>4239-3461</t>
  </si>
  <si>
    <t>Parking - secure cycle</t>
  </si>
  <si>
    <t>4239-3471</t>
  </si>
  <si>
    <t>Parking - motorcycle</t>
  </si>
  <si>
    <t>4239-3511</t>
  </si>
  <si>
    <t>INACTIVE: Use 2521-0512 - Tool hire rent income for charity</t>
  </si>
  <si>
    <t>4239-3521</t>
  </si>
  <si>
    <t>Onerous leaseback adjustment (turnover)</t>
  </si>
  <si>
    <t>4271-0111</t>
  </si>
  <si>
    <t>INACTIVE: Use 4119-1011 - Apply rent income to S/C</t>
  </si>
  <si>
    <t>4277-0811</t>
  </si>
  <si>
    <t>Rent - Pier</t>
  </si>
  <si>
    <t>4288-9111</t>
  </si>
  <si>
    <t>Sinking Fund Income</t>
  </si>
  <si>
    <t>4288-9211</t>
  </si>
  <si>
    <t>Building Reserves - Resi (Propman)</t>
  </si>
  <si>
    <t>4288-9221</t>
  </si>
  <si>
    <t>Building Reserves - Retail (Propman)</t>
  </si>
  <si>
    <t>4288-9231</t>
  </si>
  <si>
    <t>Apartment Reserves (Propman)</t>
  </si>
  <si>
    <t>4288-9241</t>
  </si>
  <si>
    <t>INACTIVE: Retail Reserves (Propman)</t>
  </si>
  <si>
    <t>4288-9251</t>
  </si>
  <si>
    <t>Estate Reserves</t>
  </si>
  <si>
    <t>4288-9261</t>
  </si>
  <si>
    <t>Car Park Reserves</t>
  </si>
  <si>
    <t>4291-1111</t>
  </si>
  <si>
    <t>Sales Variance - V10 only</t>
  </si>
  <si>
    <t>Total External Rental Income</t>
  </si>
  <si>
    <t>4300-0000</t>
  </si>
  <si>
    <t>Service Charge Voids</t>
  </si>
  <si>
    <t>4399-9999</t>
  </si>
  <si>
    <t>4339-4311</t>
  </si>
  <si>
    <t>Service Charge Voids - Vacant cost</t>
  </si>
  <si>
    <t>4339-4321</t>
  </si>
  <si>
    <t>Service Charge Voids - Capping cost</t>
  </si>
  <si>
    <t>4339-4331</t>
  </si>
  <si>
    <t>Service Charge Voids - Inclusive cost</t>
  </si>
  <si>
    <t>4339-4341</t>
  </si>
  <si>
    <t>Service Charge Voids - Recovery cost</t>
  </si>
  <si>
    <t>4339-4351</t>
  </si>
  <si>
    <t>Building Void Costs - Vacant cost</t>
  </si>
  <si>
    <t>4339-4361</t>
  </si>
  <si>
    <t>Building Void Costs - Capping cost</t>
  </si>
  <si>
    <t>4339-4371</t>
  </si>
  <si>
    <t>Building Void Costs - Inclusive cost</t>
  </si>
  <si>
    <t>4339-4381</t>
  </si>
  <si>
    <t>Building Void Costs - Recovery cost</t>
  </si>
  <si>
    <t>4339-4391</t>
  </si>
  <si>
    <t>Service charge concessions</t>
  </si>
  <si>
    <t>Total Service Charge Voids</t>
  </si>
  <si>
    <t>4400-0000</t>
  </si>
  <si>
    <t>External Service Charge Income</t>
  </si>
  <si>
    <t>4499-9999</t>
  </si>
  <si>
    <t>4439-4121</t>
  </si>
  <si>
    <t>Estate Service Charge-Retail</t>
  </si>
  <si>
    <t>4439-4131</t>
  </si>
  <si>
    <t>Estate Service Charge-Office</t>
  </si>
  <si>
    <t>4439-4141</t>
  </si>
  <si>
    <t>Estate Service Charge - Resi</t>
  </si>
  <si>
    <t>4439-4151</t>
  </si>
  <si>
    <t>Recovery Non Denominator Contribution</t>
  </si>
  <si>
    <t>4439-4161</t>
  </si>
  <si>
    <t>Security Service Charge</t>
  </si>
  <si>
    <t>4439-4171</t>
  </si>
  <si>
    <t>Residential Service Charge</t>
  </si>
  <si>
    <t>4439-4221</t>
  </si>
  <si>
    <t>Building Service Charge-Retail</t>
  </si>
  <si>
    <t>4439-4231</t>
  </si>
  <si>
    <t>Building Service Charge-Office</t>
  </si>
  <si>
    <t>4439-4241</t>
  </si>
  <si>
    <t>Building Service Charge - Resi</t>
  </si>
  <si>
    <t>4439-4251</t>
  </si>
  <si>
    <t>Building Service Charge - Off-site</t>
  </si>
  <si>
    <t>4439-4411</t>
  </si>
  <si>
    <t>Fixed Expenses Contribution-General</t>
  </si>
  <si>
    <t>4439-4421</t>
  </si>
  <si>
    <t>Fixed Expenses Contribution-Retail</t>
  </si>
  <si>
    <t>4439-4431</t>
  </si>
  <si>
    <t>Fixed Expenses Contribution-Office</t>
  </si>
  <si>
    <t>4439-4441</t>
  </si>
  <si>
    <t>Fixed Expenses Contribution - Resi</t>
  </si>
  <si>
    <t>4439-4501</t>
  </si>
  <si>
    <t>Car Park Service Charge – Contribution</t>
  </si>
  <si>
    <t>4439-4511</t>
  </si>
  <si>
    <t>Car Park Service Charge – Other</t>
  </si>
  <si>
    <t>4439-4521</t>
  </si>
  <si>
    <t>Car Park Service Charge-Retail</t>
  </si>
  <si>
    <t>4439-4531</t>
  </si>
  <si>
    <t>Car Park Service Charge-Office</t>
  </si>
  <si>
    <t>4439-4541</t>
  </si>
  <si>
    <t>Car Park Service Charge - Resi</t>
  </si>
  <si>
    <t>4439-4551</t>
  </si>
  <si>
    <t>Citibank S/C Other Income</t>
  </si>
  <si>
    <t>4439-4552</t>
  </si>
  <si>
    <t>CitiBank HQ3 Incentive Amortisation</t>
  </si>
  <si>
    <t>4439-4601</t>
  </si>
  <si>
    <t>Utilities on Account Income</t>
  </si>
  <si>
    <t>4439-4821</t>
  </si>
  <si>
    <t>Loading Dock and Car Park Service Charge-Office</t>
  </si>
  <si>
    <t>4439-5011</t>
  </si>
  <si>
    <t>Service Charge Rebate / Surcharge</t>
  </si>
  <si>
    <t>4439-5211</t>
  </si>
  <si>
    <t>Apartment Service Charge (Propman)</t>
  </si>
  <si>
    <t>4439-5221</t>
  </si>
  <si>
    <t>Health Club Service Charge (Propman)</t>
  </si>
  <si>
    <t>4439-5231</t>
  </si>
  <si>
    <t>INACTIVE: Retail Service Charge (Propman)</t>
  </si>
  <si>
    <t>4439-6111</t>
  </si>
  <si>
    <t>Project recovery</t>
  </si>
  <si>
    <t>Total External Service Charge Income</t>
  </si>
  <si>
    <t>4500-0000</t>
  </si>
  <si>
    <t>Sale of Properties</t>
  </si>
  <si>
    <t>4599-9999</t>
  </si>
  <si>
    <t>4510-0000</t>
  </si>
  <si>
    <t>4510-9999</t>
  </si>
  <si>
    <t>4510-0211</t>
  </si>
  <si>
    <t>Lease incentive rent free - Office</t>
  </si>
  <si>
    <t>4510-0212</t>
  </si>
  <si>
    <t>Lease incentive rent free - Retail</t>
  </si>
  <si>
    <t>4510-0219</t>
  </si>
  <si>
    <t>Lease incentive rent free - Residential</t>
  </si>
  <si>
    <t>4510-0299</t>
  </si>
  <si>
    <t>Lease incentive rent free - Misc</t>
  </si>
  <si>
    <t>4510-0311</t>
  </si>
  <si>
    <t>Lease incentive amortisation of cash incentive - Office</t>
  </si>
  <si>
    <t>4510-0312</t>
  </si>
  <si>
    <t>Lease incentive amortisation of cash incentive - Retail</t>
  </si>
  <si>
    <t>4510-0321</t>
  </si>
  <si>
    <t>Lease incentive amortisation of cash incentive - Capex</t>
  </si>
  <si>
    <t>4510-0411</t>
  </si>
  <si>
    <t>Lease incentive rent free amortisation - Office</t>
  </si>
  <si>
    <t>4510-0412</t>
  </si>
  <si>
    <t>Lease incentive rent free amortisation - Retail</t>
  </si>
  <si>
    <t>4510-0911</t>
  </si>
  <si>
    <t>Lease Incentive consolidation adjustment - Office</t>
  </si>
  <si>
    <t>4510-0912</t>
  </si>
  <si>
    <t>4540-0000</t>
  </si>
  <si>
    <t>Sale of Properties - Other</t>
  </si>
  <si>
    <t>4549-9999</t>
  </si>
  <si>
    <t>4541-0211</t>
  </si>
  <si>
    <t>Grant of Headlease</t>
  </si>
  <si>
    <t>4541-0311</t>
  </si>
  <si>
    <t>Property Sale Proceeds</t>
  </si>
  <si>
    <t>4541-0411</t>
  </si>
  <si>
    <t>External Property Sales</t>
  </si>
  <si>
    <t>4541-0511</t>
  </si>
  <si>
    <t>External property sales DS6</t>
  </si>
  <si>
    <t>4541-0611</t>
  </si>
  <si>
    <t>Grant of Retail UnderleaseLease</t>
  </si>
  <si>
    <t>4541-0711</t>
  </si>
  <si>
    <t>Grant of Affordable Underlease</t>
  </si>
  <si>
    <t>4541-0811</t>
  </si>
  <si>
    <t>Grant/Assignment of Affordable headlease</t>
  </si>
  <si>
    <t>Total Sale of Properties - Other</t>
  </si>
  <si>
    <t>Total Sale of Properties</t>
  </si>
  <si>
    <t>4600-0000</t>
  </si>
  <si>
    <t>Other Services Income</t>
  </si>
  <si>
    <t>4699-9999</t>
  </si>
  <si>
    <t>4639-1311</t>
  </si>
  <si>
    <t>Hall Rent</t>
  </si>
  <si>
    <t>4639-1411</t>
  </si>
  <si>
    <t>External Event</t>
  </si>
  <si>
    <t>4641-0711</t>
  </si>
  <si>
    <t>Tenant Services - Small Works Income</t>
  </si>
  <si>
    <t>4641-0712</t>
  </si>
  <si>
    <t>Tenant Services - Utilities Income</t>
  </si>
  <si>
    <t>4641-0713</t>
  </si>
  <si>
    <t>Tenant Services - Service Contracts income</t>
  </si>
  <si>
    <t>4641-0714</t>
  </si>
  <si>
    <t>Tenant Serivces - External Projects Income</t>
  </si>
  <si>
    <t>4641-0716</t>
  </si>
  <si>
    <t>Tenant Services - Citi Made For Contract Income</t>
  </si>
  <si>
    <t>4641-0717</t>
  </si>
  <si>
    <t>Tenant Services - Made For Contracts Income</t>
  </si>
  <si>
    <t>4641-0718</t>
  </si>
  <si>
    <t>Tenant Serivces - Internal Projects Income</t>
  </si>
  <si>
    <t>4642-0111</t>
  </si>
  <si>
    <t>Refuse Income - Non SC</t>
  </si>
  <si>
    <t>4643-0111</t>
  </si>
  <si>
    <t>Tenant/LL/Building Recovery Income</t>
  </si>
  <si>
    <t>4677-1111</t>
  </si>
  <si>
    <t>Telecoms - WIFI Revenues</t>
  </si>
  <si>
    <t>4677-1211</t>
  </si>
  <si>
    <t>ESCO Distribution Revenues</t>
  </si>
  <si>
    <t>4677-1311</t>
  </si>
  <si>
    <t>ESCO Standing Charge  Revenues</t>
  </si>
  <si>
    <t>4677-1411</t>
  </si>
  <si>
    <t>ESCO Heat Volumentric Revenues</t>
  </si>
  <si>
    <t>4677-1421</t>
  </si>
  <si>
    <t>Commercial Heat Sales</t>
  </si>
  <si>
    <t>4677-1422</t>
  </si>
  <si>
    <t>Commercial Heat Sales (NFL)</t>
  </si>
  <si>
    <t>4677-1431</t>
  </si>
  <si>
    <t>Residential Heat Sales</t>
  </si>
  <si>
    <t>4677-1432</t>
  </si>
  <si>
    <t>Residential Heat Sales (NFL)</t>
  </si>
  <si>
    <t>4677-1511</t>
  </si>
  <si>
    <t>ESCO Cooling Volumentric Revenues</t>
  </si>
  <si>
    <t>4677-1611</t>
  </si>
  <si>
    <t>Electrical Export Sales</t>
  </si>
  <si>
    <t>4677-1612</t>
  </si>
  <si>
    <t>Electrical Export Sales (NFL)</t>
  </si>
  <si>
    <t>4677-1711</t>
  </si>
  <si>
    <t>ESCO Electricity Export Revenues</t>
  </si>
  <si>
    <t>4677-1721</t>
  </si>
  <si>
    <t>Non Energy Sales</t>
  </si>
  <si>
    <t>4677-1722</t>
  </si>
  <si>
    <t>Non Energy Sales (NFL)</t>
  </si>
  <si>
    <t>4680-1211</t>
  </si>
  <si>
    <t>Sponsorship income (A and E)</t>
  </si>
  <si>
    <t>4680-1311</t>
  </si>
  <si>
    <t>Charity turnover income</t>
  </si>
  <si>
    <t>4689-9811</t>
  </si>
  <si>
    <t>Management Fee (turnover)</t>
  </si>
  <si>
    <t>Total Other Services Income</t>
  </si>
  <si>
    <t>4700-0000</t>
  </si>
  <si>
    <t>Other Turnover</t>
  </si>
  <si>
    <t>4799-9999</t>
  </si>
  <si>
    <t>4721-0111</t>
  </si>
  <si>
    <t>External consultants Revenue</t>
  </si>
  <si>
    <t>LateFee, WIP</t>
  </si>
  <si>
    <t>4722-1011</t>
  </si>
  <si>
    <t>Sale of Show flat FF and E</t>
  </si>
  <si>
    <t>4739-4311</t>
  </si>
  <si>
    <t>Promotion Fund</t>
  </si>
  <si>
    <t>4739-7111</t>
  </si>
  <si>
    <t>IC - Insurance Premiums Recoverable</t>
  </si>
  <si>
    <t>4739-7120</t>
  </si>
  <si>
    <t>Insurance Premiums Recoverable - Telecoms</t>
  </si>
  <si>
    <t>4739-7121</t>
  </si>
  <si>
    <t>Insurance Premiums Recoverable-Retail</t>
  </si>
  <si>
    <t>4739-7131</t>
  </si>
  <si>
    <t>Insurance Premiums Recoverable-Office</t>
  </si>
  <si>
    <t>4739-7141</t>
  </si>
  <si>
    <t>Insurance Recoverable - Inspection</t>
  </si>
  <si>
    <t>4739-7151</t>
  </si>
  <si>
    <t>Insurance Premiums Recoverable-Resi</t>
  </si>
  <si>
    <t>4739-7161</t>
  </si>
  <si>
    <t>Insurance Commission Rebate</t>
  </si>
  <si>
    <t>4739-8311</t>
  </si>
  <si>
    <t>Commissions (CH and EWG)</t>
  </si>
  <si>
    <t>4739-8711</t>
  </si>
  <si>
    <t>Satellite farm license</t>
  </si>
  <si>
    <t>4739-9011</t>
  </si>
  <si>
    <t>Grant of Licence</t>
  </si>
  <si>
    <t>4739-9110</t>
  </si>
  <si>
    <t>Surrender premia – One-off items</t>
  </si>
  <si>
    <t>4739-9111</t>
  </si>
  <si>
    <t>Surrender premia - Office</t>
  </si>
  <si>
    <t>4739-9112</t>
  </si>
  <si>
    <t>Surrender premia - Retail</t>
  </si>
  <si>
    <t>4739-9311</t>
  </si>
  <si>
    <t>Dilapidatons received - Office</t>
  </si>
  <si>
    <t>4739-9312</t>
  </si>
  <si>
    <t>Dilapidatons received - Retail</t>
  </si>
  <si>
    <t>4739-9511</t>
  </si>
  <si>
    <t>Hungerford Income</t>
  </si>
  <si>
    <t>4739-9911</t>
  </si>
  <si>
    <t>Interest rent on late payment - Office</t>
  </si>
  <si>
    <t>4739-9912</t>
  </si>
  <si>
    <t>Interest rent on late payment - Retail</t>
  </si>
  <si>
    <t>4740-6011</t>
  </si>
  <si>
    <t>WWP3 Affordable Construction - revenue</t>
  </si>
  <si>
    <t>4742-0011</t>
  </si>
  <si>
    <t>INACTIVE: IC Developers Management Fee</t>
  </si>
  <si>
    <t>4742-0021</t>
  </si>
  <si>
    <t>Edyn - Development Management (DM) Fee</t>
  </si>
  <si>
    <t>4742-0022</t>
  </si>
  <si>
    <t>North Quay – Development Management (DM) Fee</t>
  </si>
  <si>
    <t>4742-1001</t>
  </si>
  <si>
    <t>INACTIVE: IC Construction Management Fee (T/O)</t>
  </si>
  <si>
    <t>4750-1011</t>
  </si>
  <si>
    <t>INACTIVE: Leadenhall Construction Management Fee</t>
  </si>
  <si>
    <t>4750-1031</t>
  </si>
  <si>
    <t>External Asset Management Fee</t>
  </si>
  <si>
    <t>Related Party and JV Asset Mgmt Fee &amp; Admin Serv</t>
  </si>
  <si>
    <t>4750-1041</t>
  </si>
  <si>
    <t>Administrative Service Income</t>
  </si>
  <si>
    <t>4750-1051</t>
  </si>
  <si>
    <t>Infrastructure Income from customers</t>
  </si>
  <si>
    <t>4781-3001</t>
  </si>
  <si>
    <t>Film/Photography income</t>
  </si>
  <si>
    <t>4781-3004</t>
  </si>
  <si>
    <t>Advertising income</t>
  </si>
  <si>
    <t>4781-3111</t>
  </si>
  <si>
    <t>IPTV revenues - Office</t>
  </si>
  <si>
    <t>4781-3112</t>
  </si>
  <si>
    <t>IPTV revenues - Retail</t>
  </si>
  <si>
    <t>4781-3211</t>
  </si>
  <si>
    <t>HSO licence fee revenue</t>
  </si>
  <si>
    <t>4781-3212</t>
  </si>
  <si>
    <t>Optinet CWT revenue</t>
  </si>
  <si>
    <t>4781-3311</t>
  </si>
  <si>
    <t>Occupational licence fee revenues - Office</t>
  </si>
  <si>
    <t>4781-3312</t>
  </si>
  <si>
    <t>Occupational licence fee revenues - Retail</t>
  </si>
  <si>
    <t>Total Other Turnover</t>
  </si>
  <si>
    <t>4800-0000</t>
  </si>
  <si>
    <t>Residential Rental Income</t>
  </si>
  <si>
    <t>4899-9999</t>
  </si>
  <si>
    <t>4812-1011</t>
  </si>
  <si>
    <t>PRS Rent</t>
  </si>
  <si>
    <t>4812-1111</t>
  </si>
  <si>
    <t>BTR - Short Stay Rent Income</t>
  </si>
  <si>
    <t>4812-1211</t>
  </si>
  <si>
    <t>INACTIVE: PRS Rent - 2 Bed</t>
  </si>
  <si>
    <t>4812-1311</t>
  </si>
  <si>
    <t>INACTIVE: PRS Rent - 3 Bed</t>
  </si>
  <si>
    <t>4812-1411</t>
  </si>
  <si>
    <t>INACTIVE: PRS Rent - 4 Bed</t>
  </si>
  <si>
    <t>4812-1511</t>
  </si>
  <si>
    <t>Furniture Rent</t>
  </si>
  <si>
    <t>4812-1611</t>
  </si>
  <si>
    <t>Guest Suite Rent</t>
  </si>
  <si>
    <t>4812-1711</t>
  </si>
  <si>
    <t>Dining Room Hire</t>
  </si>
  <si>
    <t>4813-1011</t>
  </si>
  <si>
    <t>Communities Rent</t>
  </si>
  <si>
    <t>4813-1111</t>
  </si>
  <si>
    <t>Communities Rent - 1 Bed</t>
  </si>
  <si>
    <t>4813-1211</t>
  </si>
  <si>
    <t>Communities Rent - 2 Bed</t>
  </si>
  <si>
    <t>4813-1311</t>
  </si>
  <si>
    <t>Communities Rent - 3 Bed</t>
  </si>
  <si>
    <t>4813-1411</t>
  </si>
  <si>
    <t>Communities Rent - 4 Bed</t>
  </si>
  <si>
    <t>4814-1011</t>
  </si>
  <si>
    <t>Int Rent - Studio</t>
  </si>
  <si>
    <t>4814-1111</t>
  </si>
  <si>
    <t>Int Rent - 1 Bed</t>
  </si>
  <si>
    <t>4814-1211</t>
  </si>
  <si>
    <t>Int Rent - 2 Bed</t>
  </si>
  <si>
    <t>4814-1311</t>
  </si>
  <si>
    <t>Int Rent - 3 Bed</t>
  </si>
  <si>
    <t>4814-1411</t>
  </si>
  <si>
    <t>Int Rent - 4 Bed</t>
  </si>
  <si>
    <t>4815-1011</t>
  </si>
  <si>
    <t>Storage Locker Income</t>
  </si>
  <si>
    <t>4815-1111</t>
  </si>
  <si>
    <t>Health Club Income</t>
  </si>
  <si>
    <t>4815-1211</t>
  </si>
  <si>
    <t>Staff Income (turnover)</t>
  </si>
  <si>
    <t>4815-1311</t>
  </si>
  <si>
    <t>Other Income</t>
  </si>
  <si>
    <t>4815-1411</t>
  </si>
  <si>
    <t>Tenant Utility Recharge Income</t>
  </si>
  <si>
    <t>4850-0011</t>
  </si>
  <si>
    <t>Managing Agent Fee</t>
  </si>
  <si>
    <t>4850-0611</t>
  </si>
  <si>
    <t>Braeburn - DM - Development Management Fee</t>
  </si>
  <si>
    <t>4850-0711</t>
  </si>
  <si>
    <t>Shell Resi Supplementary Fee (turnover)</t>
  </si>
  <si>
    <t>4850-0811</t>
  </si>
  <si>
    <t>Shell DSG Fee (turnover)</t>
  </si>
  <si>
    <t>4850-0911</t>
  </si>
  <si>
    <t>Shell Recharges - Income</t>
  </si>
  <si>
    <t>4850-1011</t>
  </si>
  <si>
    <t>Leadenhall - CM - Construction Management Fee</t>
  </si>
  <si>
    <t>Total Residential Rental Income</t>
  </si>
  <si>
    <t>4900-0000</t>
  </si>
  <si>
    <t>Sold Buildings/Apartments Income</t>
  </si>
  <si>
    <t>4939-9999</t>
  </si>
  <si>
    <t>4930-0011</t>
  </si>
  <si>
    <t>Sold Apartments</t>
  </si>
  <si>
    <t>4930-0012</t>
  </si>
  <si>
    <t>Residential rescinded income</t>
  </si>
  <si>
    <t>4930-0021</t>
  </si>
  <si>
    <t>Turnover reforecasting adjustment - Office</t>
  </si>
  <si>
    <t>4930-0022</t>
  </si>
  <si>
    <t>Turnover reforecasting adjustment - Retail</t>
  </si>
  <si>
    <t>Total Sold buildings/Apartments Income</t>
  </si>
  <si>
    <t>Total External Turnover</t>
  </si>
  <si>
    <t>TOTAL TURNOVER</t>
  </si>
  <si>
    <t>9999-9998</t>
  </si>
  <si>
    <t>5000-0000</t>
  </si>
  <si>
    <t>COST OF SALES</t>
  </si>
  <si>
    <t>5999-9999</t>
  </si>
  <si>
    <t>5100-0000</t>
  </si>
  <si>
    <t>IC Cost of Sales</t>
  </si>
  <si>
    <t>5199-9999</t>
  </si>
  <si>
    <t>IC - Office and Retail Rents (Cost of sales)</t>
  </si>
  <si>
    <t>IC - Car park Rents (Cost of sales)</t>
  </si>
  <si>
    <t>IC - Ground Rents (cost of sales)</t>
  </si>
  <si>
    <t>IC - UITF28 Rent Adjustments (cost of sales)</t>
  </si>
  <si>
    <t>5115-1041</t>
  </si>
  <si>
    <t>INACTIVE: IC - Car Park Rents (cost of sales)</t>
  </si>
  <si>
    <t>IC - Service Charge (cost of sales)</t>
  </si>
  <si>
    <t>IC - Service Charge Voids (cost of sales)</t>
  </si>
  <si>
    <t>IC - Sale of Properties (cost of sales)</t>
  </si>
  <si>
    <t>5115-1072</t>
  </si>
  <si>
    <t>Trf to/from property on IC sales</t>
  </si>
  <si>
    <t>IC - Construction Turnover (cost of sales)</t>
  </si>
  <si>
    <t>IC - Ground rent trf to operating lease liab.</t>
  </si>
  <si>
    <t>5119-1010</t>
  </si>
  <si>
    <t>Allocation of shared IC costs</t>
  </si>
  <si>
    <t>5119-1011</t>
  </si>
  <si>
    <t>Apply cost to S/C</t>
  </si>
  <si>
    <t>5119-1012</t>
  </si>
  <si>
    <t>Apply cost to WIP</t>
  </si>
  <si>
    <t>5119-1013</t>
  </si>
  <si>
    <t>Apply cost to Admin</t>
  </si>
  <si>
    <t>5140-1431</t>
  </si>
  <si>
    <t>INACTIVE: IC - Residential Heat Costs</t>
  </si>
  <si>
    <t>IC - Construction cost recharges (cost of sales)</t>
  </si>
  <si>
    <t>IC - Commercial Heat Costs</t>
  </si>
  <si>
    <t>IC - Commercial Heat Costs (NFL)</t>
  </si>
  <si>
    <t>IC - Residential Heat Costs</t>
  </si>
  <si>
    <t>IC - Residential Heat Costs (NFL)</t>
  </si>
  <si>
    <t>IC - Electrical Costs</t>
  </si>
  <si>
    <t>IC - Electrical Costs (NFL)</t>
  </si>
  <si>
    <t>IC - Non Energy Costs</t>
  </si>
  <si>
    <t>IC - Non Energy Costs (NFL)</t>
  </si>
  <si>
    <t>5183-0051</t>
  </si>
  <si>
    <t>P and L Office Landlord Works Transferred from WIP</t>
  </si>
  <si>
    <t>5183-0101</t>
  </si>
  <si>
    <t>P and L Retail Landlord Works Transferred from WIP</t>
  </si>
  <si>
    <t>5189-9900</t>
  </si>
  <si>
    <t>INACTIVE: USE 5119-1012 - Transfer to WIP</t>
  </si>
  <si>
    <t>5189-9901</t>
  </si>
  <si>
    <t>INACTIVE: USE 5119-1011 - Transfer to S/C</t>
  </si>
  <si>
    <t>5189-9902</t>
  </si>
  <si>
    <t>INACTIVE: USE 5119-1013 - Transfer to Admin</t>
  </si>
  <si>
    <t>Total IC Cost of Sales</t>
  </si>
  <si>
    <t>5200-0000</t>
  </si>
  <si>
    <t>External Cost of Sales</t>
  </si>
  <si>
    <t>5999-9998</t>
  </si>
  <si>
    <t>5260-0000</t>
  </si>
  <si>
    <t>Service Charge Costs</t>
  </si>
  <si>
    <t>5299-9999</t>
  </si>
  <si>
    <t>5260-0111</t>
  </si>
  <si>
    <t>Estate Costs</t>
  </si>
  <si>
    <t>5260-0211</t>
  </si>
  <si>
    <t>Car Park Costs</t>
  </si>
  <si>
    <t>5260-0311</t>
  </si>
  <si>
    <t>Retail Costs</t>
  </si>
  <si>
    <t>5260-0411</t>
  </si>
  <si>
    <t>Storage Lock Costs</t>
  </si>
  <si>
    <t>5260-0511</t>
  </si>
  <si>
    <t>Health Club Costs</t>
  </si>
  <si>
    <t>5260-0611</t>
  </si>
  <si>
    <t>Staff Costs</t>
  </si>
  <si>
    <t>5261-0111</t>
  </si>
  <si>
    <t>Management Fees</t>
  </si>
  <si>
    <t>5261-0211</t>
  </si>
  <si>
    <t>Audit and Accountancy Fees</t>
  </si>
  <si>
    <t>5261-0311</t>
  </si>
  <si>
    <t>Company Secretary Fees</t>
  </si>
  <si>
    <t>5261-0411</t>
  </si>
  <si>
    <t>Bank Charges (cost of sales)</t>
  </si>
  <si>
    <t>5270-0111</t>
  </si>
  <si>
    <t>Management Staff-General</t>
  </si>
  <si>
    <t>5270-0121</t>
  </si>
  <si>
    <t>Management Staff-CWML Payroll</t>
  </si>
  <si>
    <t>5270-0131</t>
  </si>
  <si>
    <t>Management Staff-CWL Payroll</t>
  </si>
  <si>
    <t>5270-0141</t>
  </si>
  <si>
    <t>Apprenticeship Levy</t>
  </si>
  <si>
    <t>5270-0161</t>
  </si>
  <si>
    <t>Management Staff - CWRML</t>
  </si>
  <si>
    <t>5270-0201</t>
  </si>
  <si>
    <t>Temporary Staff</t>
  </si>
  <si>
    <t>5270-0711</t>
  </si>
  <si>
    <t>Estate Salary Apportionment</t>
  </si>
  <si>
    <t>5270-1111</t>
  </si>
  <si>
    <t>Recruitment Costs - Staff Costs</t>
  </si>
  <si>
    <t>5270-1211</t>
  </si>
  <si>
    <t>Uniforms/Overalls</t>
  </si>
  <si>
    <t>5270-1251</t>
  </si>
  <si>
    <t>Dry Cleaning</t>
  </si>
  <si>
    <t>5270-1311</t>
  </si>
  <si>
    <t>Car Running/Leasing Costs 1</t>
  </si>
  <si>
    <t>5270-1411</t>
  </si>
  <si>
    <t>Training/Courses - Staff Costs</t>
  </si>
  <si>
    <t>5270-1511</t>
  </si>
  <si>
    <t>Reception Costs</t>
  </si>
  <si>
    <t>5270-1521</t>
  </si>
  <si>
    <t>Concierge Staff - CWRML</t>
  </si>
  <si>
    <t>5270-1561</t>
  </si>
  <si>
    <t>Concierge Staff- Vertus</t>
  </si>
  <si>
    <t>5270-5611</t>
  </si>
  <si>
    <t>Employee Expenses - Staff Costs</t>
  </si>
  <si>
    <t>5270-7221</t>
  </si>
  <si>
    <t>Telecom Staff-CWML Payroll</t>
  </si>
  <si>
    <t>5270-7231</t>
  </si>
  <si>
    <t>Telecom Staff-CWL</t>
  </si>
  <si>
    <t>5270-7311</t>
  </si>
  <si>
    <t>Kiosk Staff-General</t>
  </si>
  <si>
    <t>5270-7321</t>
  </si>
  <si>
    <t>Courier/Kiosk Staff</t>
  </si>
  <si>
    <t>5270-7411</t>
  </si>
  <si>
    <t>Loading Dock Staff-General</t>
  </si>
  <si>
    <t>5270-7421</t>
  </si>
  <si>
    <t>Loading Dock Staff-CWML Payroll</t>
  </si>
  <si>
    <t>5270-7500</t>
  </si>
  <si>
    <t>Staff Costs Income</t>
  </si>
  <si>
    <t>5271-0111</t>
  </si>
  <si>
    <t>Rent - Property Admin</t>
  </si>
  <si>
    <t>5271-0211</t>
  </si>
  <si>
    <t>Electricity - Prop Admin</t>
  </si>
  <si>
    <t>5271-0311</t>
  </si>
  <si>
    <t>Water - Property Admin</t>
  </si>
  <si>
    <t>5271-0411</t>
  </si>
  <si>
    <t>Telecommunications - Prop Admin</t>
  </si>
  <si>
    <t>5271-0511</t>
  </si>
  <si>
    <t>Repairs and Maintenance</t>
  </si>
  <si>
    <t>5271-0611</t>
  </si>
  <si>
    <t>Office Systems</t>
  </si>
  <si>
    <t>5271-0651</t>
  </si>
  <si>
    <t>Office Equipment (cost of sales)</t>
  </si>
  <si>
    <t>5271-0711</t>
  </si>
  <si>
    <t>Office Consumables</t>
  </si>
  <si>
    <t>5271-0751</t>
  </si>
  <si>
    <t>Top Up Card Expenditure</t>
  </si>
  <si>
    <t>5271-0911</t>
  </si>
  <si>
    <t>Office Cleaning</t>
  </si>
  <si>
    <t>5271-1011</t>
  </si>
  <si>
    <t>Rates</t>
  </si>
  <si>
    <t>5271-1021</t>
  </si>
  <si>
    <t>Rates - Unoccupied - CWML</t>
  </si>
  <si>
    <t>5271-5011</t>
  </si>
  <si>
    <t>Fees &amp; Licences</t>
  </si>
  <si>
    <t>5271-5012</t>
  </si>
  <si>
    <t>Helpdesk Costs</t>
  </si>
  <si>
    <t>5271-5031</t>
  </si>
  <si>
    <t>Legal Salaries - CWL</t>
  </si>
  <si>
    <t>5271-5101</t>
  </si>
  <si>
    <t>Chaplaincy Fees</t>
  </si>
  <si>
    <t>5271-5111</t>
  </si>
  <si>
    <t>Health club operating costs</t>
  </si>
  <si>
    <t>5271-5211</t>
  </si>
  <si>
    <t>Website Costs</t>
  </si>
  <si>
    <t>5271-5231</t>
  </si>
  <si>
    <t>5271523 IT Support</t>
  </si>
  <si>
    <t>5271-5251</t>
  </si>
  <si>
    <t>Bank Interest / Charges</t>
  </si>
  <si>
    <t>5271-5301</t>
  </si>
  <si>
    <t>Residential Manuals</t>
  </si>
  <si>
    <t>5271-5351</t>
  </si>
  <si>
    <t>Move In Gifts</t>
  </si>
  <si>
    <t>5271-5500</t>
  </si>
  <si>
    <t>Property Admin Income</t>
  </si>
  <si>
    <t>5271-6101</t>
  </si>
  <si>
    <t>Staff Lettings</t>
  </si>
  <si>
    <t>5271-6201</t>
  </si>
  <si>
    <t>Recruitment Costs Lettings</t>
  </si>
  <si>
    <t>5271-6301</t>
  </si>
  <si>
    <t>Training</t>
  </si>
  <si>
    <t>5271-6401</t>
  </si>
  <si>
    <t>Employee Expenses - Lettings</t>
  </si>
  <si>
    <t>5271-6501</t>
  </si>
  <si>
    <t>INACTIVE: Parent column ticked</t>
  </si>
  <si>
    <t>5271-6511</t>
  </si>
  <si>
    <t>External Agency Fees</t>
  </si>
  <si>
    <t>5271-6601</t>
  </si>
  <si>
    <t>Rent Free</t>
  </si>
  <si>
    <t>5271-6701</t>
  </si>
  <si>
    <t>Other Incentives</t>
  </si>
  <si>
    <t>5271-6801</t>
  </si>
  <si>
    <t>Tenant Referencing</t>
  </si>
  <si>
    <t>5271-6901</t>
  </si>
  <si>
    <t>Inventory Reporting</t>
  </si>
  <si>
    <t>5271-7601</t>
  </si>
  <si>
    <t>Sundries</t>
  </si>
  <si>
    <t>5272-0110</t>
  </si>
  <si>
    <t>Contract Income</t>
  </si>
  <si>
    <t>5272-0111</t>
  </si>
  <si>
    <t>5272-0211</t>
  </si>
  <si>
    <t>Electricity - Security</t>
  </si>
  <si>
    <t>5272-0311</t>
  </si>
  <si>
    <t>Water - Security</t>
  </si>
  <si>
    <t>5272-0821</t>
  </si>
  <si>
    <t>Security Management-CWML Payroll</t>
  </si>
  <si>
    <t>5272-0910</t>
  </si>
  <si>
    <t>Staff Income (cost of sales)</t>
  </si>
  <si>
    <t>5272-0911</t>
  </si>
  <si>
    <t>Security Staff-General</t>
  </si>
  <si>
    <t>5272-0921</t>
  </si>
  <si>
    <t>Security Staff-CWML Payroll</t>
  </si>
  <si>
    <t>5272-0931</t>
  </si>
  <si>
    <t>Security Staff - Maintenance</t>
  </si>
  <si>
    <t>5272-1110</t>
  </si>
  <si>
    <t>Access Control Income</t>
  </si>
  <si>
    <t>5272-1111</t>
  </si>
  <si>
    <t>Access Control Equipment</t>
  </si>
  <si>
    <t>5272-1210</t>
  </si>
  <si>
    <t>CCTV Income</t>
  </si>
  <si>
    <t>5272-1211</t>
  </si>
  <si>
    <t>Closed Circuit TV</t>
  </si>
  <si>
    <t>5272-1310</t>
  </si>
  <si>
    <t>Radio Income</t>
  </si>
  <si>
    <t>5272-1311</t>
  </si>
  <si>
    <t>Radio Communication System</t>
  </si>
  <si>
    <t>5272-1411</t>
  </si>
  <si>
    <t>Security Vehicles</t>
  </si>
  <si>
    <t>5272-1511</t>
  </si>
  <si>
    <t>Security Equipment</t>
  </si>
  <si>
    <t>5272-1611</t>
  </si>
  <si>
    <t>Fuel - Security</t>
  </si>
  <si>
    <t>5272-1711</t>
  </si>
  <si>
    <t>ECC Costs</t>
  </si>
  <si>
    <t>5272-2111</t>
  </si>
  <si>
    <t>Rent - Security</t>
  </si>
  <si>
    <t>5272-2211</t>
  </si>
  <si>
    <t>DRC Costs</t>
  </si>
  <si>
    <t>5272-2411</t>
  </si>
  <si>
    <t>Telecommunications - Security</t>
  </si>
  <si>
    <t>5272-2511</t>
  </si>
  <si>
    <t>Repairs and Maintenance Building</t>
  </si>
  <si>
    <t>5272-2611</t>
  </si>
  <si>
    <t>Office Equipment+D720</t>
  </si>
  <si>
    <t>5272-2711</t>
  </si>
  <si>
    <t>Consumables - Security</t>
  </si>
  <si>
    <t>5272-2811</t>
  </si>
  <si>
    <t>Identity passes</t>
  </si>
  <si>
    <t>5272-2911</t>
  </si>
  <si>
    <t>Office Cleaning - Security</t>
  </si>
  <si>
    <t>5272-3011</t>
  </si>
  <si>
    <t>Rates - Security</t>
  </si>
  <si>
    <t>5272-5011</t>
  </si>
  <si>
    <t>Fees &amp; Licences - Security</t>
  </si>
  <si>
    <t>5272-8010</t>
  </si>
  <si>
    <t>Uniforms Income</t>
  </si>
  <si>
    <t>5272-8011</t>
  </si>
  <si>
    <t>5272-8111</t>
  </si>
  <si>
    <t>Car Running/Leasing-Costs 2</t>
  </si>
  <si>
    <t>5272-8210</t>
  </si>
  <si>
    <t>Training Income</t>
  </si>
  <si>
    <t>5272-8211</t>
  </si>
  <si>
    <t>Training/Courses - Security</t>
  </si>
  <si>
    <t>5272-8311</t>
  </si>
  <si>
    <t>Recruitment Costs - Security</t>
  </si>
  <si>
    <t>5272-8611</t>
  </si>
  <si>
    <t>Employee Expenses - Security</t>
  </si>
  <si>
    <t>5272-9500</t>
  </si>
  <si>
    <t>Security Income</t>
  </si>
  <si>
    <t>5273-0111</t>
  </si>
  <si>
    <t>Contract Cleaning-Internal</t>
  </si>
  <si>
    <t>5273-0211</t>
  </si>
  <si>
    <t>Window Cleaning</t>
  </si>
  <si>
    <t>5273-0311</t>
  </si>
  <si>
    <t>Pyramid/Atrium</t>
  </si>
  <si>
    <t>5273-0411</t>
  </si>
  <si>
    <t>Contract Cleaning-External</t>
  </si>
  <si>
    <t>5273-0511</t>
  </si>
  <si>
    <t>Snow Clearing</t>
  </si>
  <si>
    <t>5273-0551</t>
  </si>
  <si>
    <t>Cladding Cleaning</t>
  </si>
  <si>
    <t>5273-0611</t>
  </si>
  <si>
    <t>DLR Roof Cleaning</t>
  </si>
  <si>
    <t>5273-0821</t>
  </si>
  <si>
    <t>Cleaning Management-CWML Payroll</t>
  </si>
  <si>
    <t>5273-0911</t>
  </si>
  <si>
    <t>Cleaning Staff - Contract</t>
  </si>
  <si>
    <t>5273-0921</t>
  </si>
  <si>
    <t>Cleaning Staff-General CWML Payroll</t>
  </si>
  <si>
    <t>5273-0961</t>
  </si>
  <si>
    <t>Cleaning Staff</t>
  </si>
  <si>
    <t>5273-1111</t>
  </si>
  <si>
    <t>Cleaning Materials 1</t>
  </si>
  <si>
    <t>5273-1411</t>
  </si>
  <si>
    <t>Toilet Materials</t>
  </si>
  <si>
    <t>5273-1611</t>
  </si>
  <si>
    <t>Fuel - Cleaning</t>
  </si>
  <si>
    <t>5273-3011</t>
  </si>
  <si>
    <t>Equipment Maintenance Costs</t>
  </si>
  <si>
    <t>5273-3111</t>
  </si>
  <si>
    <t>Vehicle Running Costs - Cleaning</t>
  </si>
  <si>
    <t>5273-3401</t>
  </si>
  <si>
    <t>BMU Maintenance</t>
  </si>
  <si>
    <t>5273-4011</t>
  </si>
  <si>
    <t>Refuse Collection</t>
  </si>
  <si>
    <t>5273-4411</t>
  </si>
  <si>
    <t>Residential Refuse Collection</t>
  </si>
  <si>
    <t>5273-4511</t>
  </si>
  <si>
    <t>Refuse Compactor</t>
  </si>
  <si>
    <t>5273-4531</t>
  </si>
  <si>
    <t>Refuse Chutes</t>
  </si>
  <si>
    <t>5273-4532</t>
  </si>
  <si>
    <t>Refuse Staffing/Labour</t>
  </si>
  <si>
    <t>5273-4533</t>
  </si>
  <si>
    <t>Refuse Vehicle</t>
  </si>
  <si>
    <t>5273-4534</t>
  </si>
  <si>
    <t>Refuse Consumables</t>
  </si>
  <si>
    <t>5273-4535</t>
  </si>
  <si>
    <t>Refuse Equipment</t>
  </si>
  <si>
    <t>5273-4591</t>
  </si>
  <si>
    <t>Carpet/Floor Cleaning</t>
  </si>
  <si>
    <t>5273-5111</t>
  </si>
  <si>
    <t>Fees &amp; Licences - Cleaning</t>
  </si>
  <si>
    <t>5273-8011</t>
  </si>
  <si>
    <t>Uniforms and Overalls - Cleaning</t>
  </si>
  <si>
    <t>5273-8211</t>
  </si>
  <si>
    <t>Training/Courses - Cleaning</t>
  </si>
  <si>
    <t>5273-8311</t>
  </si>
  <si>
    <t>Recruitment Costs - Cleaning</t>
  </si>
  <si>
    <t>5273-8611</t>
  </si>
  <si>
    <t>Employee Expenses - Cleaning</t>
  </si>
  <si>
    <t>5273-9500</t>
  </si>
  <si>
    <t>Cleaning Income</t>
  </si>
  <si>
    <t>5274-0110</t>
  </si>
  <si>
    <t>Electricity Income</t>
  </si>
  <si>
    <t>5274-0111</t>
  </si>
  <si>
    <t>Electricity - Utilities</t>
  </si>
  <si>
    <t>5274-0310</t>
  </si>
  <si>
    <t>Water Income</t>
  </si>
  <si>
    <t>5274-0311</t>
  </si>
  <si>
    <t>Water - Utilities</t>
  </si>
  <si>
    <t>5274-0500</t>
  </si>
  <si>
    <t>Utility Income</t>
  </si>
  <si>
    <t>5274-0510</t>
  </si>
  <si>
    <t>Fixed Utility Contribution</t>
  </si>
  <si>
    <t>5274-0911</t>
  </si>
  <si>
    <t>Landlords Heating and Cooling</t>
  </si>
  <si>
    <t>5274-1110</t>
  </si>
  <si>
    <t>Gas Income</t>
  </si>
  <si>
    <t>5274-1111</t>
  </si>
  <si>
    <t>Gas</t>
  </si>
  <si>
    <t>5274-1171</t>
  </si>
  <si>
    <t>Utility Voids</t>
  </si>
  <si>
    <t>5274-1301</t>
  </si>
  <si>
    <t>Additional Services</t>
  </si>
  <si>
    <t>5275-0111</t>
  </si>
  <si>
    <t>Building-Internal</t>
  </si>
  <si>
    <t>5275-0151</t>
  </si>
  <si>
    <t>General Repairs and Maintenance</t>
  </si>
  <si>
    <t>5275-0211</t>
  </si>
  <si>
    <t>Building-External</t>
  </si>
  <si>
    <t>5275-0251</t>
  </si>
  <si>
    <t>Lightening Conductor Maintenance</t>
  </si>
  <si>
    <t>5275-0351</t>
  </si>
  <si>
    <t>Apartment Cleaning &amp; Repairs</t>
  </si>
  <si>
    <t>5275-0910</t>
  </si>
  <si>
    <t>Maintenance Staff - General Income</t>
  </si>
  <si>
    <t>5275-0911</t>
  </si>
  <si>
    <t>Maintenance Staff-General</t>
  </si>
  <si>
    <t>5275-0921</t>
  </si>
  <si>
    <t>Maintenance Staff-CWML Payroll</t>
  </si>
  <si>
    <t>5275-0931</t>
  </si>
  <si>
    <t>Maintenance Rotating Apprentices - CWML Payroll</t>
  </si>
  <si>
    <t>5275-0941</t>
  </si>
  <si>
    <t>Maintenance Staff - CWRML</t>
  </si>
  <si>
    <t>5275-0961</t>
  </si>
  <si>
    <t>Engineering Staff</t>
  </si>
  <si>
    <t>5275-1011</t>
  </si>
  <si>
    <t>Electrical</t>
  </si>
  <si>
    <t>5275-1012</t>
  </si>
  <si>
    <t>IST Costs</t>
  </si>
  <si>
    <t>5275-1111</t>
  </si>
  <si>
    <t>Roads Walkways and Waterways</t>
  </si>
  <si>
    <t>5275-1211</t>
  </si>
  <si>
    <t>Vehicle Running Costs - R&amp;M</t>
  </si>
  <si>
    <t>5275-1301</t>
  </si>
  <si>
    <t>Stone Flooring</t>
  </si>
  <si>
    <t>5275-1411</t>
  </si>
  <si>
    <t>Traffic Control Systems</t>
  </si>
  <si>
    <t>5275-1611</t>
  </si>
  <si>
    <t>Fuel - R&amp;M</t>
  </si>
  <si>
    <t>5275-2011</t>
  </si>
  <si>
    <t>Lamps</t>
  </si>
  <si>
    <t>5275-2111</t>
  </si>
  <si>
    <t>Structural Cabling</t>
  </si>
  <si>
    <t>5275-2511</t>
  </si>
  <si>
    <t>Inspection and Testing</t>
  </si>
  <si>
    <t>5275-2611</t>
  </si>
  <si>
    <t>DLR Roof Maintenance</t>
  </si>
  <si>
    <t>5275-2651</t>
  </si>
  <si>
    <t>Crossrail Roof Costs</t>
  </si>
  <si>
    <t>5275-2811</t>
  </si>
  <si>
    <t>Bridges</t>
  </si>
  <si>
    <t>5275-3311</t>
  </si>
  <si>
    <t>Drains and Sewers</t>
  </si>
  <si>
    <t>5275-3411</t>
  </si>
  <si>
    <t>Plumbing</t>
  </si>
  <si>
    <t>5275-3431</t>
  </si>
  <si>
    <t>Defects Management</t>
  </si>
  <si>
    <t>5275-3451</t>
  </si>
  <si>
    <t>Voltaic</t>
  </si>
  <si>
    <t>5275-3511</t>
  </si>
  <si>
    <t>Telecommunications - R&amp;M</t>
  </si>
  <si>
    <t>5275-4111</t>
  </si>
  <si>
    <t>HVAC</t>
  </si>
  <si>
    <t>5275-4211</t>
  </si>
  <si>
    <t>Tools and Consumables</t>
  </si>
  <si>
    <t>5275-4311</t>
  </si>
  <si>
    <t>Doors and Shutters</t>
  </si>
  <si>
    <t>5275-4511</t>
  </si>
  <si>
    <t>5275-5011</t>
  </si>
  <si>
    <t>Fees &amp; Licences - R&amp;M</t>
  </si>
  <si>
    <t>5275-5111</t>
  </si>
  <si>
    <t>Fountain</t>
  </si>
  <si>
    <t>5275-5210</t>
  </si>
  <si>
    <t>Water Treatment Income</t>
  </si>
  <si>
    <t>5275-5211</t>
  </si>
  <si>
    <t>Water Treatment</t>
  </si>
  <si>
    <t>5275-5251</t>
  </si>
  <si>
    <t>Water Pump Maintenance</t>
  </si>
  <si>
    <t>5275-6111</t>
  </si>
  <si>
    <t>Signs</t>
  </si>
  <si>
    <t>5275-6511</t>
  </si>
  <si>
    <t>Building Control</t>
  </si>
  <si>
    <t>5275-6551</t>
  </si>
  <si>
    <t>BMS Maintenance</t>
  </si>
  <si>
    <t>5275-6911</t>
  </si>
  <si>
    <t>Festive Decorations</t>
  </si>
  <si>
    <t>5275-6951</t>
  </si>
  <si>
    <t>55 Upper Bank Street Costs</t>
  </si>
  <si>
    <t>5275-7021</t>
  </si>
  <si>
    <t>Man Staff-CWML Payroll - R&amp;M</t>
  </si>
  <si>
    <t>5275-7111</t>
  </si>
  <si>
    <t>Supervisory Staff-General</t>
  </si>
  <si>
    <t>5275-7121</t>
  </si>
  <si>
    <t>Supervisory Staff-CWML Payroll</t>
  </si>
  <si>
    <t>5275-8011</t>
  </si>
  <si>
    <t>Uniforms and Overalls - R&amp;M</t>
  </si>
  <si>
    <t>5275-8111</t>
  </si>
  <si>
    <t>Car Running/Leasing Costs 3</t>
  </si>
  <si>
    <t>5275-8211</t>
  </si>
  <si>
    <t>Training/Courses - R&amp;M</t>
  </si>
  <si>
    <t>5275-8311</t>
  </si>
  <si>
    <t>Recruitment Costs - R&amp;M</t>
  </si>
  <si>
    <t>5275-8611</t>
  </si>
  <si>
    <t>Employee Expenses - R&amp;M</t>
  </si>
  <si>
    <t>Repairs &amp; Maint Income</t>
  </si>
  <si>
    <t>5276-0111</t>
  </si>
  <si>
    <t>Fire Alarm Systems</t>
  </si>
  <si>
    <t>5276-0311</t>
  </si>
  <si>
    <t>Sprinklers/Hoses/Extinguishers</t>
  </si>
  <si>
    <t>5276-0351</t>
  </si>
  <si>
    <t>Emergency Lighting</t>
  </si>
  <si>
    <t>5276-0411</t>
  </si>
  <si>
    <t>Safety Equipment</t>
  </si>
  <si>
    <t>5276-0451</t>
  </si>
  <si>
    <t>Smoke Ventilation Plant</t>
  </si>
  <si>
    <t>5276-5011</t>
  </si>
  <si>
    <t>Fees &amp; Licences - H&amp;S</t>
  </si>
  <si>
    <t>5276-7011</t>
  </si>
  <si>
    <t>Staff - H&amp;S General Payroll</t>
  </si>
  <si>
    <t>5276-7021</t>
  </si>
  <si>
    <t>Staff-CWML Payroll - H&amp;S</t>
  </si>
  <si>
    <t>5276-8011</t>
  </si>
  <si>
    <t>Uniforms and Overalls - H&amp;S</t>
  </si>
  <si>
    <t>5276-8211</t>
  </si>
  <si>
    <t>Training/Courses - H&amp;S</t>
  </si>
  <si>
    <t>5276-8311</t>
  </si>
  <si>
    <t>Recruitment Costs - H&amp;S</t>
  </si>
  <si>
    <t>5276-8611</t>
  </si>
  <si>
    <t>Employee Expenses - H&amp;S</t>
  </si>
  <si>
    <t>5276-9511</t>
  </si>
  <si>
    <t>Pest Control</t>
  </si>
  <si>
    <t>5276-9611</t>
  </si>
  <si>
    <t>Environmental Projects</t>
  </si>
  <si>
    <t>5276-9711</t>
  </si>
  <si>
    <t>Risk Assessment Costs</t>
  </si>
  <si>
    <t>5276-9800</t>
  </si>
  <si>
    <t>Health &amp; Safety Income</t>
  </si>
  <si>
    <t>5277-0121</t>
  </si>
  <si>
    <t>Staff - CWML payroll</t>
  </si>
  <si>
    <t>5277-0611</t>
  </si>
  <si>
    <t>Pier Operation</t>
  </si>
  <si>
    <t>5277-0811</t>
  </si>
  <si>
    <t>Pier Revenue</t>
  </si>
  <si>
    <t>5277-5011</t>
  </si>
  <si>
    <t>Fees &amp; Licences - Transport</t>
  </si>
  <si>
    <t>5277-5500</t>
  </si>
  <si>
    <t>Transport Income</t>
  </si>
  <si>
    <t>5278-5011</t>
  </si>
  <si>
    <t>5278-5031</t>
  </si>
  <si>
    <t>Insurance Staff - CWL</t>
  </si>
  <si>
    <t>5278-5051</t>
  </si>
  <si>
    <t>Engineering Insurance</t>
  </si>
  <si>
    <t>5278-5151</t>
  </si>
  <si>
    <t>Public Liability Insurance</t>
  </si>
  <si>
    <t>5278-5201</t>
  </si>
  <si>
    <t>Contents Insurance</t>
  </si>
  <si>
    <t>5278-5500</t>
  </si>
  <si>
    <t>Insurance Income</t>
  </si>
  <si>
    <t>5279-0111</t>
  </si>
  <si>
    <t>Contract Labour</t>
  </si>
  <si>
    <t>5279-0121</t>
  </si>
  <si>
    <t>Contract Labour Landscape - Payroll</t>
  </si>
  <si>
    <t>5279-0211</t>
  </si>
  <si>
    <t>Replacements</t>
  </si>
  <si>
    <t>5279-0311</t>
  </si>
  <si>
    <t>Irrigation System</t>
  </si>
  <si>
    <t>5279-0351</t>
  </si>
  <si>
    <t>Green Roof Maintenance</t>
  </si>
  <si>
    <t>5279-0361</t>
  </si>
  <si>
    <t>Landscaping</t>
  </si>
  <si>
    <t>5279-0411</t>
  </si>
  <si>
    <t>Seasonal Plants</t>
  </si>
  <si>
    <t>5279-0511</t>
  </si>
  <si>
    <t>Consumables - Landscaping</t>
  </si>
  <si>
    <t>5279-0611</t>
  </si>
  <si>
    <t>Equipment</t>
  </si>
  <si>
    <t>5279-0911</t>
  </si>
  <si>
    <t>Floral Decorations</t>
  </si>
  <si>
    <t>5279-5011</t>
  </si>
  <si>
    <t>North and South Colonnades</t>
  </si>
  <si>
    <t>5279-5111</t>
  </si>
  <si>
    <t>Fees &amp; Licences - Landscaping</t>
  </si>
  <si>
    <t>5279-7021</t>
  </si>
  <si>
    <t>Man Staff-CWML Payroll - Landscaping</t>
  </si>
  <si>
    <t>5279-7121</t>
  </si>
  <si>
    <t>Staff-CWML Payroll - Landscaping</t>
  </si>
  <si>
    <t>5279-8011</t>
  </si>
  <si>
    <t>5279-8111</t>
  </si>
  <si>
    <t>Vehicle Running Costs</t>
  </si>
  <si>
    <t>5279-8211</t>
  </si>
  <si>
    <t>Training/Courses - Landscaping</t>
  </si>
  <si>
    <t>5279-8311</t>
  </si>
  <si>
    <t>Recruitment Costs - Landscaping</t>
  </si>
  <si>
    <t>5279-8611</t>
  </si>
  <si>
    <t>Employee Expenses - Landscaping</t>
  </si>
  <si>
    <t>5279-8800</t>
  </si>
  <si>
    <t>Landscaping Income</t>
  </si>
  <si>
    <t>5280-0911</t>
  </si>
  <si>
    <t>Car Park Rates-(Per Space)</t>
  </si>
  <si>
    <t>5280-1111</t>
  </si>
  <si>
    <t>Miscellaneous Items</t>
  </si>
  <si>
    <t>5281-0111</t>
  </si>
  <si>
    <t>Miscellaneous Revenue</t>
  </si>
  <si>
    <t>5282-0111</t>
  </si>
  <si>
    <t>Arts and Events</t>
  </si>
  <si>
    <t>5282-1111</t>
  </si>
  <si>
    <t>Printing</t>
  </si>
  <si>
    <t>5282-2111</t>
  </si>
  <si>
    <t>Advertising/Marketing</t>
  </si>
  <si>
    <t>5282-3111</t>
  </si>
  <si>
    <t>Design</t>
  </si>
  <si>
    <t>5282-4111</t>
  </si>
  <si>
    <t>Mailing</t>
  </si>
  <si>
    <t>5282-5111</t>
  </si>
  <si>
    <t>Consultant Fees</t>
  </si>
  <si>
    <t>5282-7111</t>
  </si>
  <si>
    <t>Promotions and Events</t>
  </si>
  <si>
    <t>5282-7211</t>
  </si>
  <si>
    <t>General Marketing (cost of sales)</t>
  </si>
  <si>
    <t>5282-7311</t>
  </si>
  <si>
    <t>PR Services</t>
  </si>
  <si>
    <t>5282-7411</t>
  </si>
  <si>
    <t>Subscriptions</t>
  </si>
  <si>
    <t>5282-7511</t>
  </si>
  <si>
    <t>Website services</t>
  </si>
  <si>
    <t>5282-7611</t>
  </si>
  <si>
    <t>Surveys (A&amp;E)</t>
  </si>
  <si>
    <t>5283-0111</t>
  </si>
  <si>
    <t>Artists Fees</t>
  </si>
  <si>
    <t>5283-0211</t>
  </si>
  <si>
    <t>Managers/Agents Fees</t>
  </si>
  <si>
    <t>5283-0311</t>
  </si>
  <si>
    <t>Producers Fees</t>
  </si>
  <si>
    <t>5283-0411</t>
  </si>
  <si>
    <t>Artist - per dieums / Accom / Travel (A&amp;E)</t>
  </si>
  <si>
    <t>5283-0611</t>
  </si>
  <si>
    <t>Stage Hands</t>
  </si>
  <si>
    <t>5283-0711</t>
  </si>
  <si>
    <t>Ushers/Stewards</t>
  </si>
  <si>
    <t>5283-0811</t>
  </si>
  <si>
    <t>Technicians Sound/Lighting</t>
  </si>
  <si>
    <t>5283-0911</t>
  </si>
  <si>
    <t>Car Parking Tickets (A&amp;E)</t>
  </si>
  <si>
    <t>5283-1211</t>
  </si>
  <si>
    <t>Flex-e-vouchers</t>
  </si>
  <si>
    <t>5283-1311</t>
  </si>
  <si>
    <t>Customer Services</t>
  </si>
  <si>
    <t>5283-1411</t>
  </si>
  <si>
    <t>Posters / Handouts</t>
  </si>
  <si>
    <t>5283-1511</t>
  </si>
  <si>
    <t>Brand Advertising</t>
  </si>
  <si>
    <t>5283-1611</t>
  </si>
  <si>
    <t>Tactical / Event Advertising</t>
  </si>
  <si>
    <t>5284-0011</t>
  </si>
  <si>
    <t>Hire of Marquees</t>
  </si>
  <si>
    <t>5284-0111</t>
  </si>
  <si>
    <t>Hire of Lighting Equipment</t>
  </si>
  <si>
    <t>5284-0211</t>
  </si>
  <si>
    <t>Hire of Sound Equipment</t>
  </si>
  <si>
    <t>5284-0311</t>
  </si>
  <si>
    <t>Hire of Furniture</t>
  </si>
  <si>
    <t>5284-0411</t>
  </si>
  <si>
    <t>Hire of Staging Equipment</t>
  </si>
  <si>
    <t>5284-0511</t>
  </si>
  <si>
    <t>Licences and Permits (cost of sales)</t>
  </si>
  <si>
    <t>5284-0611</t>
  </si>
  <si>
    <t>Consumables - Arts &amp; Events</t>
  </si>
  <si>
    <t>5284-0811</t>
  </si>
  <si>
    <t>Catering for Performers</t>
  </si>
  <si>
    <t>5284-0911</t>
  </si>
  <si>
    <t>AandE Box office income</t>
  </si>
  <si>
    <t>5284-1111</t>
  </si>
  <si>
    <t>Site managers fees AandE</t>
  </si>
  <si>
    <t>5284-1211</t>
  </si>
  <si>
    <t>Front of house mangers fees</t>
  </si>
  <si>
    <t>5284-1221</t>
  </si>
  <si>
    <t>Duty managers fees</t>
  </si>
  <si>
    <t>5284-1231</t>
  </si>
  <si>
    <t>External crew</t>
  </si>
  <si>
    <t>5284-1311</t>
  </si>
  <si>
    <t>Miscellaneous income</t>
  </si>
  <si>
    <t>5284-1321</t>
  </si>
  <si>
    <t>Charity collections</t>
  </si>
  <si>
    <t>5284-1411</t>
  </si>
  <si>
    <t>Performers Rider (A&amp;E)</t>
  </si>
  <si>
    <t>5284-1511</t>
  </si>
  <si>
    <t>Misc Event infrastructure</t>
  </si>
  <si>
    <t>5284-1611</t>
  </si>
  <si>
    <t>Misc Event services - power distro water</t>
  </si>
  <si>
    <t>5284-1711</t>
  </si>
  <si>
    <t>Laundry</t>
  </si>
  <si>
    <t>5284-1751</t>
  </si>
  <si>
    <t>5284-1771</t>
  </si>
  <si>
    <t>Public Art Repairs</t>
  </si>
  <si>
    <t>5284-1811</t>
  </si>
  <si>
    <t>Hire of Radios</t>
  </si>
  <si>
    <t>5284-1911</t>
  </si>
  <si>
    <t>Hire of AV Equipment</t>
  </si>
  <si>
    <t>5284-2011</t>
  </si>
  <si>
    <t>Filming</t>
  </si>
  <si>
    <t>5284-2021</t>
  </si>
  <si>
    <t>Photography</t>
  </si>
  <si>
    <t>5284-2111</t>
  </si>
  <si>
    <t>Kitchen Facilities</t>
  </si>
  <si>
    <t>5284-2151</t>
  </si>
  <si>
    <t>5284215 Event Cost of Sales</t>
  </si>
  <si>
    <t>5284-2500</t>
  </si>
  <si>
    <t>Arts &amp; Events Income</t>
  </si>
  <si>
    <t>5284-3011</t>
  </si>
  <si>
    <t>Management Staff – CWML Payroll (A&amp;E)</t>
  </si>
  <si>
    <t>5284-3021</t>
  </si>
  <si>
    <t>Uniforms / Overalls (A&amp;E)</t>
  </si>
  <si>
    <t>5284-3031</t>
  </si>
  <si>
    <t>Training / Courses (A&amp;E)</t>
  </si>
  <si>
    <t>5284-3041</t>
  </si>
  <si>
    <t>Employee Expenses (A&amp;E)</t>
  </si>
  <si>
    <t>5284-3051</t>
  </si>
  <si>
    <t>Rent (A&amp;E)</t>
  </si>
  <si>
    <t>5284-3061</t>
  </si>
  <si>
    <t>Telecommunications (A&amp;E)</t>
  </si>
  <si>
    <t>5284-3071</t>
  </si>
  <si>
    <t>Office Consumables (A&amp;E)</t>
  </si>
  <si>
    <t>5284-3081</t>
  </si>
  <si>
    <t>Security Staff – General (A&amp;E)</t>
  </si>
  <si>
    <t>5284-3091</t>
  </si>
  <si>
    <t>Contract Cleaning – Internal (A&amp;E)</t>
  </si>
  <si>
    <t>5284-3101</t>
  </si>
  <si>
    <t>Electricity (A&amp;E)</t>
  </si>
  <si>
    <t>5284-3111</t>
  </si>
  <si>
    <t>Floral Decorations (A&amp;E)</t>
  </si>
  <si>
    <t>5284-3121</t>
  </si>
  <si>
    <t>Inspection &amp; Testing (A&amp;E)</t>
  </si>
  <si>
    <t>5285-2011</t>
  </si>
  <si>
    <t>Lifts</t>
  </si>
  <si>
    <t>5285-3011</t>
  </si>
  <si>
    <t>Escalators</t>
  </si>
  <si>
    <t>5285-3201</t>
  </si>
  <si>
    <t>Bike Lifts - Maintenance</t>
  </si>
  <si>
    <t>5285-5011</t>
  </si>
  <si>
    <t>Fees &amp; Licences - Lifts</t>
  </si>
  <si>
    <t>5285-7011</t>
  </si>
  <si>
    <t>Staff-General Payroll</t>
  </si>
  <si>
    <t>5285-7021</t>
  </si>
  <si>
    <t>Staff-CWML Payroll - Lifts</t>
  </si>
  <si>
    <t>5285-8211</t>
  </si>
  <si>
    <t>Training/Courses - Lifts</t>
  </si>
  <si>
    <t>5285-8311</t>
  </si>
  <si>
    <t>Recruitment Costs</t>
  </si>
  <si>
    <t>5285-8500</t>
  </si>
  <si>
    <t>Lift &amp; Escalator Income</t>
  </si>
  <si>
    <t>5286-0110</t>
  </si>
  <si>
    <t>Service Contract Income</t>
  </si>
  <si>
    <t>5286-0111</t>
  </si>
  <si>
    <t>Service Contract</t>
  </si>
  <si>
    <t>5286-0210</t>
  </si>
  <si>
    <t>Consumables Income</t>
  </si>
  <si>
    <t>5286-0211</t>
  </si>
  <si>
    <t>Consumables - HVAC</t>
  </si>
  <si>
    <t>5286-0311</t>
  </si>
  <si>
    <t>Filters</t>
  </si>
  <si>
    <t>5286-0411</t>
  </si>
  <si>
    <t>Belts</t>
  </si>
  <si>
    <t>5286-0510</t>
  </si>
  <si>
    <t>Repairs/Spares Income</t>
  </si>
  <si>
    <t>5286-0511</t>
  </si>
  <si>
    <t>Repairs/Spares</t>
  </si>
  <si>
    <t>5286-0551</t>
  </si>
  <si>
    <t>Chillers</t>
  </si>
  <si>
    <t>5287-0111</t>
  </si>
  <si>
    <t>Special Projects</t>
  </si>
  <si>
    <t>5287-0500</t>
  </si>
  <si>
    <t>Special Projects Income</t>
  </si>
  <si>
    <t>5287-1011</t>
  </si>
  <si>
    <t>CRC Liability</t>
  </si>
  <si>
    <t>5288-0111</t>
  </si>
  <si>
    <t>Amenity Space Staff</t>
  </si>
  <si>
    <t>5288-0211</t>
  </si>
  <si>
    <t>Third Party Staff Recharges</t>
  </si>
  <si>
    <t>5288-0311</t>
  </si>
  <si>
    <t>Third Party Instructors</t>
  </si>
  <si>
    <t>5288-0411</t>
  </si>
  <si>
    <t>Electricity - Amenity Spaces</t>
  </si>
  <si>
    <t>5288-0511</t>
  </si>
  <si>
    <t>Water - Amenity Spaces</t>
  </si>
  <si>
    <t>5288-0611</t>
  </si>
  <si>
    <t>Heating and Cooling</t>
  </si>
  <si>
    <t>5288-0651</t>
  </si>
  <si>
    <t>5288065 Amenities Telecommunications</t>
  </si>
  <si>
    <t>5288-0711</t>
  </si>
  <si>
    <t>Licences</t>
  </si>
  <si>
    <t>5288-0811</t>
  </si>
  <si>
    <t>Contracts Maintenace and Services</t>
  </si>
  <si>
    <t>5288-0851</t>
  </si>
  <si>
    <t>Temporary Gym Equipment</t>
  </si>
  <si>
    <t>5288-0911</t>
  </si>
  <si>
    <t>Repairs</t>
  </si>
  <si>
    <t>5288-0951</t>
  </si>
  <si>
    <t>5288095 Amenities Consumbles</t>
  </si>
  <si>
    <t>5288-1011</t>
  </si>
  <si>
    <t>Gym and Spa Sundries</t>
  </si>
  <si>
    <t>5288-1021</t>
  </si>
  <si>
    <t>Guest Suite Costs</t>
  </si>
  <si>
    <t>5288-1051</t>
  </si>
  <si>
    <t>Vertus Club</t>
  </si>
  <si>
    <t>5288-1111</t>
  </si>
  <si>
    <t>Cleaning</t>
  </si>
  <si>
    <t>5288-1211</t>
  </si>
  <si>
    <t>Professional Costs</t>
  </si>
  <si>
    <t>5288-1311</t>
  </si>
  <si>
    <t>Health Club Insurance</t>
  </si>
  <si>
    <t>5288-1411</t>
  </si>
  <si>
    <t>Gym Management Costs</t>
  </si>
  <si>
    <t>5288-1451</t>
  </si>
  <si>
    <t>Gym Operating Costs</t>
  </si>
  <si>
    <t>5288-1471</t>
  </si>
  <si>
    <t>5288147 Gym M&amp;E Maintenance</t>
  </si>
  <si>
    <t>5288-2010</t>
  </si>
  <si>
    <t>Wine Income</t>
  </si>
  <si>
    <t>5288-2011</t>
  </si>
  <si>
    <t>Wine Expenditure</t>
  </si>
  <si>
    <t>5288-2110</t>
  </si>
  <si>
    <t>Dry Cleaning Income</t>
  </si>
  <si>
    <t>5288-2210</t>
  </si>
  <si>
    <t>Resident Event Income</t>
  </si>
  <si>
    <t>5288-2211</t>
  </si>
  <si>
    <t>Resident Event Expenditure</t>
  </si>
  <si>
    <t>5288-2310</t>
  </si>
  <si>
    <t>Frozen Food Income</t>
  </si>
  <si>
    <t>5288-2311</t>
  </si>
  <si>
    <t>Frozen Food</t>
  </si>
  <si>
    <t>5288-2320</t>
  </si>
  <si>
    <t>Apartment consumables</t>
  </si>
  <si>
    <t>5288-3001</t>
  </si>
  <si>
    <t>Dry Cleaning (Tenants)</t>
  </si>
  <si>
    <t>5288-9011</t>
  </si>
  <si>
    <t>Amenity Reserve Costs</t>
  </si>
  <si>
    <t>5288-9012</t>
  </si>
  <si>
    <t>Health Club Reserve Costs</t>
  </si>
  <si>
    <t>5288-9111</t>
  </si>
  <si>
    <t>Estate Reserve Costs</t>
  </si>
  <si>
    <t>5288-9211</t>
  </si>
  <si>
    <t>Building Reserve Costs</t>
  </si>
  <si>
    <t>5288-9311</t>
  </si>
  <si>
    <t>Apartment Reserve Costs</t>
  </si>
  <si>
    <t>5288-9411</t>
  </si>
  <si>
    <t>Retail Reserve Costs</t>
  </si>
  <si>
    <t>5288-9511</t>
  </si>
  <si>
    <t>Car Park Reserve Costs</t>
  </si>
  <si>
    <t>5289-2001</t>
  </si>
  <si>
    <t>Lift Project DS7</t>
  </si>
  <si>
    <t>5289-9011</t>
  </si>
  <si>
    <t>Tenant/LandLord/Buildings Recovery</t>
  </si>
  <si>
    <t>5289-9111</t>
  </si>
  <si>
    <t>Retail Cost Contribution</t>
  </si>
  <si>
    <t>5289-9211</t>
  </si>
  <si>
    <t>BZW / MSI specific costs</t>
  </si>
  <si>
    <t>5289-9411</t>
  </si>
  <si>
    <t>Non Denominator Contribution</t>
  </si>
  <si>
    <t>5289-9511</t>
  </si>
  <si>
    <t>Insurance claims awaiting settlement</t>
  </si>
  <si>
    <t>5289-9611</t>
  </si>
  <si>
    <t>DS7 Modernisation Costs</t>
  </si>
  <si>
    <t>5289-9711</t>
  </si>
  <si>
    <t>Reserve fund provisions</t>
  </si>
  <si>
    <t>5289-9811</t>
  </si>
  <si>
    <t>Management Fee (cost of sales)</t>
  </si>
  <si>
    <t>5291-1011</t>
  </si>
  <si>
    <t>IC Costs Recoverable</t>
  </si>
  <si>
    <t>5291-1311</t>
  </si>
  <si>
    <t>Y/E Accruals (accounts only)</t>
  </si>
  <si>
    <t>5291-1411</t>
  </si>
  <si>
    <t>SC Irrecoverable VAT</t>
  </si>
  <si>
    <t>5291-1511</t>
  </si>
  <si>
    <t>Man Fee Contra (accounts only)</t>
  </si>
  <si>
    <t>5291-1611</t>
  </si>
  <si>
    <t>Non Denominator Gross Up</t>
  </si>
  <si>
    <t>5291-2311</t>
  </si>
  <si>
    <t>Braeburn Service charges</t>
  </si>
  <si>
    <t>5299-9971</t>
  </si>
  <si>
    <t>CWML Global Purchasing Contracts</t>
  </si>
  <si>
    <t>5299-9981</t>
  </si>
  <si>
    <t>CWML Yardi YE Contra</t>
  </si>
  <si>
    <t>Total Service Charge Costs</t>
  </si>
  <si>
    <t>5300-0000</t>
  </si>
  <si>
    <t>Void Costs</t>
  </si>
  <si>
    <t>5320-9999</t>
  </si>
  <si>
    <t>5300-1013</t>
  </si>
  <si>
    <t>Rates - Unoccupied - Resi</t>
  </si>
  <si>
    <t>5300-1015</t>
  </si>
  <si>
    <t>Rates - Reimbursed to tenant by landlord - Retail</t>
  </si>
  <si>
    <t>5300-1021</t>
  </si>
  <si>
    <t>SC Voids - Office</t>
  </si>
  <si>
    <t>5300-1022</t>
  </si>
  <si>
    <t>DO NOT USE: SC Voids - Retail</t>
  </si>
  <si>
    <t>5300-1023</t>
  </si>
  <si>
    <t>INACTIVE: SC Voids – Car Parking</t>
  </si>
  <si>
    <t>5300-1031</t>
  </si>
  <si>
    <t>Retail Landlord Works - Void costs</t>
  </si>
  <si>
    <t>5300-1041</t>
  </si>
  <si>
    <t>5320-0011</t>
  </si>
  <si>
    <t>Southbank Place Estate Voids</t>
  </si>
  <si>
    <t>Total Void Costs</t>
  </si>
  <si>
    <t>5350-0000</t>
  </si>
  <si>
    <t>Bad Debts</t>
  </si>
  <si>
    <t>5350-9999</t>
  </si>
  <si>
    <t>5350-1000</t>
  </si>
  <si>
    <t>Bad Debts - Misc Write Offs</t>
  </si>
  <si>
    <t>5350-1001</t>
  </si>
  <si>
    <t>Bad Debts - Office Write Offs</t>
  </si>
  <si>
    <t>5350-1002</t>
  </si>
  <si>
    <t>Bad Debts - Retail Write Offs</t>
  </si>
  <si>
    <t>5350-1003</t>
  </si>
  <si>
    <t>Bad Debts - Lvl39 Write Offs</t>
  </si>
  <si>
    <t>5350-1004</t>
  </si>
  <si>
    <t>Bad Debts - Corp Write Offs</t>
  </si>
  <si>
    <t>5350-1005</t>
  </si>
  <si>
    <t>Bad Debts - Mgmt Write Offs</t>
  </si>
  <si>
    <t>5350-1006</t>
  </si>
  <si>
    <t>INACTIVE: Bad Debts - Propman Write Offs</t>
  </si>
  <si>
    <t>5350-1007</t>
  </si>
  <si>
    <t>Bad Debts - PRS Resi Write Offs</t>
  </si>
  <si>
    <t>5350-1008</t>
  </si>
  <si>
    <t>Quick cleanup</t>
  </si>
  <si>
    <t>5350-1050</t>
  </si>
  <si>
    <t>Bad Debts Provision</t>
  </si>
  <si>
    <t>Total Bad Debts</t>
  </si>
  <si>
    <t>5390-1000</t>
  </si>
  <si>
    <t>Level 39 Payroll costs</t>
  </si>
  <si>
    <t>5400-0000</t>
  </si>
  <si>
    <t>Takeover property costs</t>
  </si>
  <si>
    <t>5499-9999</t>
  </si>
  <si>
    <t>5450-1511</t>
  </si>
  <si>
    <t>Rates - Unoccupied - cost of sales</t>
  </si>
  <si>
    <t>5489-9999</t>
  </si>
  <si>
    <t>5450-1512</t>
  </si>
  <si>
    <t>INACTIVE: Rates - Unoccupied - cost of sales - Retail</t>
  </si>
  <si>
    <t>Total takeover property costs</t>
  </si>
  <si>
    <t>5490-0000</t>
  </si>
  <si>
    <t>Leaseback Costs</t>
  </si>
  <si>
    <t>5491-1121</t>
  </si>
  <si>
    <t>Lease back 3rd Party Building S/C</t>
  </si>
  <si>
    <t>5491-1141</t>
  </si>
  <si>
    <t>Lease back Utilisation</t>
  </si>
  <si>
    <t>5491-1211</t>
  </si>
  <si>
    <t>Lease back property provisions</t>
  </si>
  <si>
    <t>Total Leaseback Costs</t>
  </si>
  <si>
    <t>5500-0000</t>
  </si>
  <si>
    <t>Other Cost of Sales</t>
  </si>
  <si>
    <t>5899-9999</t>
  </si>
  <si>
    <t>5500-0014</t>
  </si>
  <si>
    <t>Leasing costs</t>
  </si>
  <si>
    <t>5550-0009</t>
  </si>
  <si>
    <t>Office Agent Costs (Non-amortising)</t>
  </si>
  <si>
    <t>5550-0010</t>
  </si>
  <si>
    <t>Retail Agent Costs (Non-amortising)</t>
  </si>
  <si>
    <t>5550-0011</t>
  </si>
  <si>
    <t>Office Legal Costs (Non-amortising)</t>
  </si>
  <si>
    <t>5550-0012</t>
  </si>
  <si>
    <t>Retail Legal Costs (Non-amortising)</t>
  </si>
  <si>
    <t>5550-0013</t>
  </si>
  <si>
    <t>Consultancy Costs</t>
  </si>
  <si>
    <t>5550-0014</t>
  </si>
  <si>
    <t>5550-0015</t>
  </si>
  <si>
    <t>Small landlords works</t>
  </si>
  <si>
    <t>5550-0016</t>
  </si>
  <si>
    <t>EPC &amp; metering networks</t>
  </si>
  <si>
    <t>5550-0131</t>
  </si>
  <si>
    <t>Cost  - North Quay Office</t>
  </si>
  <si>
    <t>5550-0181</t>
  </si>
  <si>
    <t>Office Rent - Internal Cost</t>
  </si>
  <si>
    <t>5550-9011</t>
  </si>
  <si>
    <t>Tenant services reallocation control account</t>
  </si>
  <si>
    <t>5551-0511</t>
  </si>
  <si>
    <t>Tenant Services - Small Works</t>
  </si>
  <si>
    <t>5551-0521</t>
  </si>
  <si>
    <t>Tenant Services - Utilities</t>
  </si>
  <si>
    <t>5551-0531</t>
  </si>
  <si>
    <t>Tenant Services - Service Contracts</t>
  </si>
  <si>
    <t>5551-0541</t>
  </si>
  <si>
    <t>Tenant Serivces - External Projects</t>
  </si>
  <si>
    <t>5551-0551</t>
  </si>
  <si>
    <t>Tenant Services - In House Costs</t>
  </si>
  <si>
    <t>5551-0561</t>
  </si>
  <si>
    <t>Tenant Services - Citi Made For Contract</t>
  </si>
  <si>
    <t>5551-0571</t>
  </si>
  <si>
    <t>Tenant Services - Made For Contracts</t>
  </si>
  <si>
    <t>5551-0581</t>
  </si>
  <si>
    <t>Tenant Serivces - Internal Projects</t>
  </si>
  <si>
    <t>5552-0111</t>
  </si>
  <si>
    <t>Refuse Collection Costs – Non SC</t>
  </si>
  <si>
    <t>5552-0112</t>
  </si>
  <si>
    <t>Refuse Compactor Costs – Non SC</t>
  </si>
  <si>
    <t>5552-0113</t>
  </si>
  <si>
    <t>Refuse Staffing/Labour Costs – Non SC</t>
  </si>
  <si>
    <t>5552-0114</t>
  </si>
  <si>
    <t>Refuse Vehicle Costs – Non SC</t>
  </si>
  <si>
    <t>5552-0115</t>
  </si>
  <si>
    <t>Refuse Consumables Costs – Non SC</t>
  </si>
  <si>
    <t>5561-0111</t>
  </si>
  <si>
    <t>Non Recoverable Costs (CWML)</t>
  </si>
  <si>
    <t>5561-1051</t>
  </si>
  <si>
    <t>Infrastructure Costs</t>
  </si>
  <si>
    <t>5563-0511</t>
  </si>
  <si>
    <t>Legal fees-Tenant Services</t>
  </si>
  <si>
    <t>5571-0111</t>
  </si>
  <si>
    <t>5571-5011</t>
  </si>
  <si>
    <t>L39 Fee &amp; Licences</t>
  </si>
  <si>
    <t>5573-1111</t>
  </si>
  <si>
    <t>Cleaning Materials 2</t>
  </si>
  <si>
    <t>5574-0111</t>
  </si>
  <si>
    <t>Electricity</t>
  </si>
  <si>
    <t>5574-0112</t>
  </si>
  <si>
    <t>Electricity (NFL)</t>
  </si>
  <si>
    <t>5574-0211</t>
  </si>
  <si>
    <t>5574-0212</t>
  </si>
  <si>
    <t>Gas (NFL)</t>
  </si>
  <si>
    <t>5574-0311</t>
  </si>
  <si>
    <t>Water</t>
  </si>
  <si>
    <t>5574-0312</t>
  </si>
  <si>
    <t>Water (NFL)</t>
  </si>
  <si>
    <t>5591-0111</t>
  </si>
  <si>
    <t>Service charge costs</t>
  </si>
  <si>
    <t>5610-0011</t>
  </si>
  <si>
    <t>Service charge of off-site buildings</t>
  </si>
  <si>
    <t>5610-0101</t>
  </si>
  <si>
    <t>Income recovered from off-site</t>
  </si>
  <si>
    <t>5610-0201</t>
  </si>
  <si>
    <t>Management fees re off-site tenants</t>
  </si>
  <si>
    <t>5610-0501</t>
  </si>
  <si>
    <t>Irrecoverable VAT re off-site tenants</t>
  </si>
  <si>
    <t>5651-0111</t>
  </si>
  <si>
    <t>Cost of Property Sales (Internal)</t>
  </si>
  <si>
    <t>5651-0121</t>
  </si>
  <si>
    <t>Cost of Property Sales (External)</t>
  </si>
  <si>
    <t>5651-0131</t>
  </si>
  <si>
    <t>Cost of property sales - professional fees</t>
  </si>
  <si>
    <t>5651-0141</t>
  </si>
  <si>
    <t>Cost of property sales - Dilapidation</t>
  </si>
  <si>
    <t>5677-1911</t>
  </si>
  <si>
    <t>ESCO - Gas Purchases</t>
  </si>
  <si>
    <t>5677-1921</t>
  </si>
  <si>
    <t>ESCO - Electricity Purchases</t>
  </si>
  <si>
    <t>5677-1931</t>
  </si>
  <si>
    <t>ESCO - Water Purchases</t>
  </si>
  <si>
    <t>5677-2011</t>
  </si>
  <si>
    <t>ESCO - Customer Billing Costs</t>
  </si>
  <si>
    <t>5677-2111</t>
  </si>
  <si>
    <t>ESCO - Admin &amp; Mgmt Costs</t>
  </si>
  <si>
    <t>5721-0111</t>
  </si>
  <si>
    <t>External Consultants Costs</t>
  </si>
  <si>
    <t>5734-9911</t>
  </si>
  <si>
    <t>5734-9921</t>
  </si>
  <si>
    <t>Vat re Voids Adjustment - Office</t>
  </si>
  <si>
    <t>5734-9922</t>
  </si>
  <si>
    <t>Vat re Voids Adjustment - Retail</t>
  </si>
  <si>
    <t>5734-9923</t>
  </si>
  <si>
    <t>Vat re Voids Adjustment - Resi</t>
  </si>
  <si>
    <t>5739-0432</t>
  </si>
  <si>
    <t>Ground rent payable - Office</t>
  </si>
  <si>
    <t>5739-0435</t>
  </si>
  <si>
    <t>Rent- Ground Rent Payable - Mgmt</t>
  </si>
  <si>
    <t>5739-0441</t>
  </si>
  <si>
    <t>Grd rent trf to operating lease liability</t>
  </si>
  <si>
    <t>5739-3011</t>
  </si>
  <si>
    <t>Rent-Capitalised Revenue Expense</t>
  </si>
  <si>
    <t>5739-8810</t>
  </si>
  <si>
    <t>Dilapidations Paid – Office (Capital/Other Items)</t>
  </si>
  <si>
    <t>5739-8811</t>
  </si>
  <si>
    <t>Dilapidations Paid - Office</t>
  </si>
  <si>
    <t>5739-8812</t>
  </si>
  <si>
    <t>Dilapidations Paid - Retail</t>
  </si>
  <si>
    <t>5740-0991</t>
  </si>
  <si>
    <t>Inter company Construction contract costs</t>
  </si>
  <si>
    <t>5740-6011</t>
  </si>
  <si>
    <t>WWP3 Affordable Construction – cost of sales</t>
  </si>
  <si>
    <t>5742-1001</t>
  </si>
  <si>
    <t>INACTIVE: IC Construction Management Fee (CoS)</t>
  </si>
  <si>
    <t>5751-0510</t>
  </si>
  <si>
    <t>Insurance Expense – Telecoms</t>
  </si>
  <si>
    <t>5751-0511</t>
  </si>
  <si>
    <t>Insurance Expense - Office</t>
  </si>
  <si>
    <t>5751-0512</t>
  </si>
  <si>
    <t>Insurance Expense - Retail</t>
  </si>
  <si>
    <t>5751-0513</t>
  </si>
  <si>
    <t>Insurance Expense - ESCO</t>
  </si>
  <si>
    <t>5751-0514</t>
  </si>
  <si>
    <t>Insurance Expense - ESCO (NFL)</t>
  </si>
  <si>
    <t>5761-1011</t>
  </si>
  <si>
    <t>WIP Revenue costs</t>
  </si>
  <si>
    <t>5763-0611</t>
  </si>
  <si>
    <t>Public Parking Costs</t>
  </si>
  <si>
    <t>5764-0611</t>
  </si>
  <si>
    <t>EWG Costs</t>
  </si>
  <si>
    <t>5764-5011</t>
  </si>
  <si>
    <t>50th Floor Costs</t>
  </si>
  <si>
    <t>5781-2011</t>
  </si>
  <si>
    <t>Telecoms Asset Depreciation</t>
  </si>
  <si>
    <t>5781-3001</t>
  </si>
  <si>
    <t>Film/Photography expenses</t>
  </si>
  <si>
    <t>5781-3002</t>
  </si>
  <si>
    <t>Film/Photography staff expenses</t>
  </si>
  <si>
    <t>5781-3003</t>
  </si>
  <si>
    <t>Event/Activation space expenses</t>
  </si>
  <si>
    <t>5792-1111</t>
  </si>
  <si>
    <t>Rental subsidy sold buildings</t>
  </si>
  <si>
    <t>5800-0001</t>
  </si>
  <si>
    <t>Tribe - Cost of Sales - Rooms</t>
  </si>
  <si>
    <t>5800-0011</t>
  </si>
  <si>
    <t>Tribe - Cost of Sales - Food &amp; Beverage</t>
  </si>
  <si>
    <t>5800-0021</t>
  </si>
  <si>
    <t>Tribe - Cost of Sales</t>
  </si>
  <si>
    <t>5850-0611</t>
  </si>
  <si>
    <t>Shell Development Fee (cost of sales)</t>
  </si>
  <si>
    <t>5850-0711</t>
  </si>
  <si>
    <t>Shell Resi Supplementary Fee (cost of sales)</t>
  </si>
  <si>
    <t>5850-0811</t>
  </si>
  <si>
    <t>Shell DSG Fee (cost of sales)</t>
  </si>
  <si>
    <t>5850-0911</t>
  </si>
  <si>
    <t>Shell Recharges - Cost</t>
  </si>
  <si>
    <t>5850-1011</t>
  </si>
  <si>
    <t>Leadenhall Costs</t>
  </si>
  <si>
    <t>5863-5991</t>
  </si>
  <si>
    <t>Shell Marketing Suite Recharges</t>
  </si>
  <si>
    <t>5864-4991</t>
  </si>
  <si>
    <t>Shell Marketing Costs Recharges</t>
  </si>
  <si>
    <t>5890-0111</t>
  </si>
  <si>
    <t>CW Telecoms depreciation</t>
  </si>
  <si>
    <t>5891-1111</t>
  </si>
  <si>
    <t>Year end finance lease adjustments</t>
  </si>
  <si>
    <t>5891-1115</t>
  </si>
  <si>
    <t>Year end finance lease adjustments - Mgmt</t>
  </si>
  <si>
    <t>5891-2111</t>
  </si>
  <si>
    <t>IC rents adjustments in service charge</t>
  </si>
  <si>
    <t>5893-1000</t>
  </si>
  <si>
    <t>Leasing, Resi Sales, Retail Works &amp; Asset Mgt Staff-Payroll</t>
  </si>
  <si>
    <t>5893-2000</t>
  </si>
  <si>
    <t>Temporary &amp; Contract Staff - Leasing, Resi &amp; Lvl39</t>
  </si>
  <si>
    <t>5893-2001</t>
  </si>
  <si>
    <t>Hiring &amp; Recruitment Fees - Leasing, Resi, &amp; Lvl39</t>
  </si>
  <si>
    <t>Total Other Cost of Sales</t>
  </si>
  <si>
    <t>5900-0000</t>
  </si>
  <si>
    <t>Residential Costs</t>
  </si>
  <si>
    <t>5939-9999</t>
  </si>
  <si>
    <t>5930-0011</t>
  </si>
  <si>
    <t>Sold Apartment Costs</t>
  </si>
  <si>
    <t>5930-0021</t>
  </si>
  <si>
    <t>Sold Apartment Agents Fees</t>
  </si>
  <si>
    <t>5930-0031</t>
  </si>
  <si>
    <t>Cost of sales reforecasting adjustment</t>
  </si>
  <si>
    <t>5930-0041</t>
  </si>
  <si>
    <t>Oracle legacy cost of sales</t>
  </si>
  <si>
    <t>5930-0051</t>
  </si>
  <si>
    <t>Consol adjustment - Level 39 admin costs</t>
  </si>
  <si>
    <t>5930-0061</t>
  </si>
  <si>
    <t>ESCO costs</t>
  </si>
  <si>
    <t>5930-0062</t>
  </si>
  <si>
    <t>Operations &amp; Maintenance</t>
  </si>
  <si>
    <t>5930-0063</t>
  </si>
  <si>
    <t>Operations &amp; Maintenance (NFL)</t>
  </si>
  <si>
    <t>5930-0064</t>
  </si>
  <si>
    <t>Metering and billing</t>
  </si>
  <si>
    <t>5930-0065</t>
  </si>
  <si>
    <t>Metering and billing (NFL)</t>
  </si>
  <si>
    <t>5930-0071</t>
  </si>
  <si>
    <t>Residential misc costs</t>
  </si>
  <si>
    <t>5930-0081</t>
  </si>
  <si>
    <t>Sold Apartment Legal Transaction Fees</t>
  </si>
  <si>
    <t>5930-0091</t>
  </si>
  <si>
    <t>Residential After Care Staff - Payroll</t>
  </si>
  <si>
    <t>Total Residential Costs</t>
  </si>
  <si>
    <t>Total External Cost of Sales</t>
  </si>
  <si>
    <t>Total Cost of Sales</t>
  </si>
  <si>
    <t>6000-0000</t>
  </si>
  <si>
    <t>Admin Expenses</t>
  </si>
  <si>
    <t>6299-9999</t>
  </si>
  <si>
    <t>6000-0001</t>
  </si>
  <si>
    <t>Admin Expenses - non exceptional</t>
  </si>
  <si>
    <t>6239-9999</t>
  </si>
  <si>
    <t>6000-1000</t>
  </si>
  <si>
    <t>IC Admin Expenses - non exceptional</t>
  </si>
  <si>
    <t>6000-9999</t>
  </si>
  <si>
    <t>6000-1011</t>
  </si>
  <si>
    <t>INACTIVE: Admin Facility Fee Recharge</t>
  </si>
  <si>
    <t>6000-1021</t>
  </si>
  <si>
    <t>INACTIVE: IC Management Fee (Cash Manager/Fee Letter)</t>
  </si>
  <si>
    <t>6000-2010</t>
  </si>
  <si>
    <t>IC - Rent</t>
  </si>
  <si>
    <t>6000-2110</t>
  </si>
  <si>
    <t>IC - Building Service Charges</t>
  </si>
  <si>
    <t>6000-2120</t>
  </si>
  <si>
    <t>IC - Estate Service Charges</t>
  </si>
  <si>
    <t>Total IC Admin Expenses - non exceptional</t>
  </si>
  <si>
    <t>6100-0000</t>
  </si>
  <si>
    <t>External Admin Expenses - non exceptional</t>
  </si>
  <si>
    <t>6229-9999</t>
  </si>
  <si>
    <t>6131-1111</t>
  </si>
  <si>
    <t>INACTIVE: Operator fee</t>
  </si>
  <si>
    <t>6143-0811</t>
  </si>
  <si>
    <t>INACTIVE: Provision Against WIP (admin expenses)</t>
  </si>
  <si>
    <t>6143-7010</t>
  </si>
  <si>
    <t>INACTIVE: USE 5350-1000: Bad Debts - Misc Write Offs</t>
  </si>
  <si>
    <t>6143-7011</t>
  </si>
  <si>
    <t>INACTIVE: USE 5350-1050: Bad Debts Provision</t>
  </si>
  <si>
    <t>6143-7012</t>
  </si>
  <si>
    <t>INACTIVE: USE 5350-1002: Bad Debts - Retail</t>
  </si>
  <si>
    <t>6143-7013</t>
  </si>
  <si>
    <t>INACTIVE: USE 5350-1003: Bad Debts - Lvl39</t>
  </si>
  <si>
    <t>6143-7014</t>
  </si>
  <si>
    <t>INACTIVE: USE 5350-1004: Bad Debts - Corp</t>
  </si>
  <si>
    <t>6143-7015</t>
  </si>
  <si>
    <t>INACTIVE: USE 5350-1005: Bad Debts - Mgmt</t>
  </si>
  <si>
    <t>6143-7111</t>
  </si>
  <si>
    <t>INACTIVE: USE 5350-1006: Bad Debts - PropMan</t>
  </si>
  <si>
    <t>6154-2311</t>
  </si>
  <si>
    <t>INACTIVE: Exhibitions</t>
  </si>
  <si>
    <t>6154-4001</t>
  </si>
  <si>
    <t>INACTIVE: CW Branding</t>
  </si>
  <si>
    <t>6154-4002</t>
  </si>
  <si>
    <t>INACTIVE: Content Marketing</t>
  </si>
  <si>
    <t>6154-4003</t>
  </si>
  <si>
    <t>INACTIVE: Web/Online</t>
  </si>
  <si>
    <t>6154-4004</t>
  </si>
  <si>
    <t>INACTIVE: Media (Advertising)</t>
  </si>
  <si>
    <t>6154-4011</t>
  </si>
  <si>
    <t>INACTIVE: General Marketing - GI / CW special requests</t>
  </si>
  <si>
    <t>6154-4021</t>
  </si>
  <si>
    <t>INACTIVE: General Marketing (admin expenses)</t>
  </si>
  <si>
    <t>6154-4111</t>
  </si>
  <si>
    <t>INACTIVE: Tenant Presentation</t>
  </si>
  <si>
    <t>6154-4321</t>
  </si>
  <si>
    <t>INACTIVE: Digital Presentations</t>
  </si>
  <si>
    <t>6154-4331</t>
  </si>
  <si>
    <t>INACTIVE: CGIs</t>
  </si>
  <si>
    <t>6154-4411</t>
  </si>
  <si>
    <t>INACTIVE: Light show</t>
  </si>
  <si>
    <t>6154-4511</t>
  </si>
  <si>
    <t>INACTIVE: Lord Mayors show</t>
  </si>
  <si>
    <t>6154-4801</t>
  </si>
  <si>
    <t>INACTIVE: Agents Commission - Residential Lettings</t>
  </si>
  <si>
    <t>6154-4841</t>
  </si>
  <si>
    <t>INACTIVE: Rent Review Retail Fees</t>
  </si>
  <si>
    <t>6154-4941</t>
  </si>
  <si>
    <t>INACTIVE: Market Research - Agents - Office</t>
  </si>
  <si>
    <t>6154-4942</t>
  </si>
  <si>
    <t>INACTIVE: Market Research - Agents - Retail</t>
  </si>
  <si>
    <t>6154-4943</t>
  </si>
  <si>
    <t>INACTIVE: Brochures - Retail Leasing</t>
  </si>
  <si>
    <t>6154-4951</t>
  </si>
  <si>
    <t>INACTIVE: Market Research - Transport</t>
  </si>
  <si>
    <t>6154-4961</t>
  </si>
  <si>
    <t>INACTIVE: Agents Commission  -  RT2 Leasing</t>
  </si>
  <si>
    <t>6154-4971</t>
  </si>
  <si>
    <t>INACTIVE: Dilapidation fees</t>
  </si>
  <si>
    <t>6154-4972</t>
  </si>
  <si>
    <t>INACTIVE: Damages Settlements</t>
  </si>
  <si>
    <t>6154-4973</t>
  </si>
  <si>
    <t>INACTIVE: Measurement Surveys</t>
  </si>
  <si>
    <t>6154-4991</t>
  </si>
  <si>
    <t>INACTIVE: Marketing Recharges</t>
  </si>
  <si>
    <t>6154-5011</t>
  </si>
  <si>
    <t>INACTIVE: Transport Studies</t>
  </si>
  <si>
    <t>6154-5021</t>
  </si>
  <si>
    <t>INACTIVE: Canary to Euston Rapid Transport</t>
  </si>
  <si>
    <t>6154-5031</t>
  </si>
  <si>
    <t>INACTIVE: Transport and Political Consultants</t>
  </si>
  <si>
    <t>6154-6511</t>
  </si>
  <si>
    <t>INACTIVE: Retail Marketing - General</t>
  </si>
  <si>
    <t>6154-6521</t>
  </si>
  <si>
    <t>INACTIVE: Retail Marketing - Reallocation</t>
  </si>
  <si>
    <t>6154-6711</t>
  </si>
  <si>
    <t>INACTIVE: Marketing Consultancy</t>
  </si>
  <si>
    <t>6154-6721</t>
  </si>
  <si>
    <t>INACTIVE: Marketing SEO (Search engine Optim)</t>
  </si>
  <si>
    <t>6154-6911</t>
  </si>
  <si>
    <t>INACTIVE: Corporate Video</t>
  </si>
  <si>
    <t>6154-7311</t>
  </si>
  <si>
    <t>INACTIVE: Space Planning</t>
  </si>
  <si>
    <t>6154-7411</t>
  </si>
  <si>
    <t>INACTIVE: Corporate Entertainment</t>
  </si>
  <si>
    <t>6154-7511</t>
  </si>
  <si>
    <t>INACTIVE: Entertaining - Retail Tenants</t>
  </si>
  <si>
    <t>6154-7601</t>
  </si>
  <si>
    <t>INACTIVE: Hoardings</t>
  </si>
  <si>
    <t>6154-7611</t>
  </si>
  <si>
    <t>INACTIVE: Advertising - General</t>
  </si>
  <si>
    <t>6154-7661</t>
  </si>
  <si>
    <t>INACTIVE: Commercialisation</t>
  </si>
  <si>
    <t>6154-7671</t>
  </si>
  <si>
    <t>INACTIVE: Advertising - Level 39 (Specific)</t>
  </si>
  <si>
    <t>6154-7721</t>
  </si>
  <si>
    <t>INACTIVE: Marketing Suite - Panels</t>
  </si>
  <si>
    <t>6154-7761</t>
  </si>
  <si>
    <t>INACTIVE: Feasibility studies - Royal St</t>
  </si>
  <si>
    <t>6154-7771</t>
  </si>
  <si>
    <t>INACTIVE: Feasibility studies - China</t>
  </si>
  <si>
    <t>6154-7781</t>
  </si>
  <si>
    <t>INACTIVE: Feasibility studies - Commercial Rd</t>
  </si>
  <si>
    <t>6154-7791</t>
  </si>
  <si>
    <t>INACTIVE: Feasibility studies - LBTH Off-site Opportunities</t>
  </si>
  <si>
    <t>6154-7851</t>
  </si>
  <si>
    <t>INACTIVE: Feasibility Study Future Phases</t>
  </si>
  <si>
    <t>6154-7861</t>
  </si>
  <si>
    <t>INACTIVE: Management feasibility studies</t>
  </si>
  <si>
    <t>6154-7911</t>
  </si>
  <si>
    <t>INACTIVE: Models and Mockups</t>
  </si>
  <si>
    <t>6154-7931</t>
  </si>
  <si>
    <t>INACTIVE: Off - site feasibility studies</t>
  </si>
  <si>
    <t>6154-7941</t>
  </si>
  <si>
    <t>INACTIVE: Retail feasibility studies</t>
  </si>
  <si>
    <t>6154-7971</t>
  </si>
  <si>
    <t>INACTIVE: CW New Line</t>
  </si>
  <si>
    <t>6154-7981</t>
  </si>
  <si>
    <t>INACTIVE: Jubilee Line Upgrade</t>
  </si>
  <si>
    <t>6154-8011</t>
  </si>
  <si>
    <t>INACTIVE: Planned public art activity</t>
  </si>
  <si>
    <t>6154-8021</t>
  </si>
  <si>
    <t>INACTIVE: Unplanned  public art activity</t>
  </si>
  <si>
    <t>6155-0111</t>
  </si>
  <si>
    <t>INACTIVE: Promotions - Funded by CWL</t>
  </si>
  <si>
    <t>6155-0401</t>
  </si>
  <si>
    <t>INACTIVE: Level 31 Events costs</t>
  </si>
  <si>
    <t>6155-4011</t>
  </si>
  <si>
    <t>INACTIVE: Charitable Donations/Sponsorship</t>
  </si>
  <si>
    <t>6155-4111</t>
  </si>
  <si>
    <t>INACTIVE: Political Donations to Political Parties</t>
  </si>
  <si>
    <t>6155-4121</t>
  </si>
  <si>
    <t>INACTIVE: Political Donations to Political Organisations</t>
  </si>
  <si>
    <t>6155-4131</t>
  </si>
  <si>
    <t>INACTIVE: Other Political Costs</t>
  </si>
  <si>
    <t>6155-4231</t>
  </si>
  <si>
    <t>INACTIVE: Level39 Sponsorship</t>
  </si>
  <si>
    <t>6155-4611</t>
  </si>
  <si>
    <t>INACTIVE: Special Projects / CSR</t>
  </si>
  <si>
    <t>6155-4661</t>
  </si>
  <si>
    <t>INACTIVE: Euston Over Site Development marketing costs</t>
  </si>
  <si>
    <t>6155-4671</t>
  </si>
  <si>
    <t>INACTIVE: Carpenters Estate Newham</t>
  </si>
  <si>
    <t>6155-4681</t>
  </si>
  <si>
    <t>INACTIVE: Project Oak</t>
  </si>
  <si>
    <t>6155-4691</t>
  </si>
  <si>
    <t>INACTIVE: Park Place JV / Syndication</t>
  </si>
  <si>
    <t>6155-5111</t>
  </si>
  <si>
    <t>INACTIVE: Marketing suite rent</t>
  </si>
  <si>
    <t>6155-5211</t>
  </si>
  <si>
    <t>INACTIVE: Marketing suite costs</t>
  </si>
  <si>
    <t>6155-5311</t>
  </si>
  <si>
    <t>INACTIVE: Residential Marketing</t>
  </si>
  <si>
    <t>6155-5821</t>
  </si>
  <si>
    <t>INACTIVE: Non Press Office - Photography</t>
  </si>
  <si>
    <t>6155-6411</t>
  </si>
  <si>
    <t>INACTIVE: Corporate marketing</t>
  </si>
  <si>
    <t>6155-6421</t>
  </si>
  <si>
    <t>INACTIVE: Reactive marketing</t>
  </si>
  <si>
    <t>6155-6431</t>
  </si>
  <si>
    <t>INACTIVE: Agent marketing</t>
  </si>
  <si>
    <t>6155-6441</t>
  </si>
  <si>
    <t>INACTIVE: On-floor marketing</t>
  </si>
  <si>
    <t>6155-6451</t>
  </si>
  <si>
    <t>INACTIVE: Digital Media</t>
  </si>
  <si>
    <t>6155-6461</t>
  </si>
  <si>
    <t>INACTIVE: Flexible Space Marketing</t>
  </si>
  <si>
    <t>6155-6811</t>
  </si>
  <si>
    <t>INACTIVE: Consumer Lifestyle</t>
  </si>
  <si>
    <t>6155-6911</t>
  </si>
  <si>
    <t>INACTIVE: Retail - Window Displays/Papering</t>
  </si>
  <si>
    <t>6155-6921</t>
  </si>
  <si>
    <t>INACTIVE: B1 Leaseback space marketing</t>
  </si>
  <si>
    <t>6155-6931</t>
  </si>
  <si>
    <t>INACTIVE: HQ2 Leaseback space marketing</t>
  </si>
  <si>
    <t>6155-6941</t>
  </si>
  <si>
    <t>INACTIVE: HQ3 Leaseback space marketing</t>
  </si>
  <si>
    <t>6155-6951</t>
  </si>
  <si>
    <t>INACTIVE: HQ4 Leaseback space marketing</t>
  </si>
  <si>
    <t>6155-6961</t>
  </si>
  <si>
    <t>INACTIVE: HQ5 Leaseback space marketing</t>
  </si>
  <si>
    <t>6155-6971</t>
  </si>
  <si>
    <t>INACTIVE: BP1 Leaseback space marketing</t>
  </si>
  <si>
    <t>6155-7011</t>
  </si>
  <si>
    <t>INACTIVE: Brochures</t>
  </si>
  <si>
    <t>6155-7021</t>
  </si>
  <si>
    <t>INACTIVE: Brochures (CW)</t>
  </si>
  <si>
    <t>6155-7031</t>
  </si>
  <si>
    <t>INACTIVE: Brochures - Prelet</t>
  </si>
  <si>
    <t>6155-7041</t>
  </si>
  <si>
    <t>INACTIVE: Brochures - Completion</t>
  </si>
  <si>
    <t>6155-7111</t>
  </si>
  <si>
    <t>INACTIVE: Retail Demographics</t>
  </si>
  <si>
    <t>6155-7211</t>
  </si>
  <si>
    <t>INACTIVE: Retail Photography</t>
  </si>
  <si>
    <t>6155-7311</t>
  </si>
  <si>
    <t>INACTIVE: Handbooks</t>
  </si>
  <si>
    <t>6155-7411</t>
  </si>
  <si>
    <t>INACTIVE: Handouts</t>
  </si>
  <si>
    <t>6155-7511</t>
  </si>
  <si>
    <t>INACTIVE: Flyers</t>
  </si>
  <si>
    <t>6155-7611</t>
  </si>
  <si>
    <t>INACTIVE: Special PR</t>
  </si>
  <si>
    <t>6155-9411</t>
  </si>
  <si>
    <t>INACTIVE: Wood Wharf Retail</t>
  </si>
  <si>
    <t>6156-3511</t>
  </si>
  <si>
    <t>INACTIVE: Press Office</t>
  </si>
  <si>
    <t>6156-3611</t>
  </si>
  <si>
    <t>INACTIVE: Gifts and Giveaways</t>
  </si>
  <si>
    <t>6156-3612</t>
  </si>
  <si>
    <t>INACTIVE: Client Gifts</t>
  </si>
  <si>
    <t>6156-3701</t>
  </si>
  <si>
    <t>INACTIVE: Community / S106</t>
  </si>
  <si>
    <t>6156-3711</t>
  </si>
  <si>
    <t>INACTIVE: Community relations</t>
  </si>
  <si>
    <t>6156-3811</t>
  </si>
  <si>
    <t>INACTIVE: Business Liasions PR</t>
  </si>
  <si>
    <t>6156-3821</t>
  </si>
  <si>
    <t>INACTIVE: Wellbeing Engagement</t>
  </si>
  <si>
    <t>6156-3911</t>
  </si>
  <si>
    <t>INACTIVE: Education</t>
  </si>
  <si>
    <t>6156-4611</t>
  </si>
  <si>
    <t>INACTIVE: Film Fund</t>
  </si>
  <si>
    <t>6156-4621</t>
  </si>
  <si>
    <t>INACTIVE: Filming expenses</t>
  </si>
  <si>
    <t>6156-4711</t>
  </si>
  <si>
    <t>INACTIVE: Film Donations</t>
  </si>
  <si>
    <t>6160-0411</t>
  </si>
  <si>
    <t>INACTIVE: Utilities</t>
  </si>
  <si>
    <t>6160-0421</t>
  </si>
  <si>
    <t>INACTIVE: Utilities - General Purpose</t>
  </si>
  <si>
    <t>6160-0431</t>
  </si>
  <si>
    <t>INACTIVE: Utilities - A/C</t>
  </si>
  <si>
    <t>6160-0511</t>
  </si>
  <si>
    <t>INACTIVE: Carbon Allowances</t>
  </si>
  <si>
    <t>6160-1311</t>
  </si>
  <si>
    <t>INACTIVE: Rates - Fees</t>
  </si>
  <si>
    <t>6160-1411</t>
  </si>
  <si>
    <t>INACTIVE: Rates - Corporate</t>
  </si>
  <si>
    <t>6160-1511</t>
  </si>
  <si>
    <t>INACTIVE: Rates - Unoccupied - admin expenses - Office</t>
  </si>
  <si>
    <t>6160-1512</t>
  </si>
  <si>
    <t>INACTIVE: Rates - Unoccupied - admin expenses - Retail</t>
  </si>
  <si>
    <t>6160-1711</t>
  </si>
  <si>
    <t>INACTIVE: USE 5300-1014: Rates - Car Park</t>
  </si>
  <si>
    <t>6160-2411</t>
  </si>
  <si>
    <t>INACTIVE: Telecommunications</t>
  </si>
  <si>
    <t>6160-2511</t>
  </si>
  <si>
    <t>INACTIVE: Telecommunications - Recharges to Citibank</t>
  </si>
  <si>
    <t>6160-2610</t>
  </si>
  <si>
    <t>INACTIVE: Telecommunications recharges to CWCL</t>
  </si>
  <si>
    <t>6160-2611</t>
  </si>
  <si>
    <t>INACTIVE: Telecommunications recharges to CWML</t>
  </si>
  <si>
    <t>6160-2711</t>
  </si>
  <si>
    <t>INACTIVE: Video Equipment</t>
  </si>
  <si>
    <t>6160-3411</t>
  </si>
  <si>
    <t>INACTIVE: Misc Office Improvements</t>
  </si>
  <si>
    <t>6160-3601</t>
  </si>
  <si>
    <t>INACTIVE: Fixed Costs</t>
  </si>
  <si>
    <t>6160-3611</t>
  </si>
  <si>
    <t>INACTIVE: Building Services</t>
  </si>
  <si>
    <t>6160-3621</t>
  </si>
  <si>
    <t>INACTIVE: Out of Hours Air Conditioning</t>
  </si>
  <si>
    <t>6160-3631</t>
  </si>
  <si>
    <t>INACTIVE: Supplementary Cooling</t>
  </si>
  <si>
    <t>6160-3671</t>
  </si>
  <si>
    <t>INACTIVE: Building Services - Supplementary</t>
  </si>
  <si>
    <t>6160-3681</t>
  </si>
  <si>
    <t>INACTIVE: Building Services - Cleaning</t>
  </si>
  <si>
    <t>6160-4211</t>
  </si>
  <si>
    <t>INACTIVE: ISO compliance</t>
  </si>
  <si>
    <t>6160-4611</t>
  </si>
  <si>
    <t>INACTIVE: Plants and Flowers</t>
  </si>
  <si>
    <t>6160-4711</t>
  </si>
  <si>
    <t>INACTIVE: Office Equipment (admin expenses)</t>
  </si>
  <si>
    <t>6160-4721</t>
  </si>
  <si>
    <t>INACTIVE: Office Equipment - Stationery</t>
  </si>
  <si>
    <t>6160-4731</t>
  </si>
  <si>
    <t>INACTIVE: Office Equipment - Signage</t>
  </si>
  <si>
    <t>6160-4811</t>
  </si>
  <si>
    <t>INACTIVE: Artworks</t>
  </si>
  <si>
    <t>6160-4921</t>
  </si>
  <si>
    <t>INACTIVE: Furniture Moves and Changes</t>
  </si>
  <si>
    <t>6160-4951</t>
  </si>
  <si>
    <t>INACTIVE: Space planning feasibility studies</t>
  </si>
  <si>
    <t>6160-4961</t>
  </si>
  <si>
    <t>INACTIVE: Furniture Moves and Changes - Furniture</t>
  </si>
  <si>
    <t>6160-5111</t>
  </si>
  <si>
    <t>INACTIVE: Taxis</t>
  </si>
  <si>
    <t>6160-5511</t>
  </si>
  <si>
    <t>INACTIVE: Travel Expenses</t>
  </si>
  <si>
    <t>6160-5611</t>
  </si>
  <si>
    <t>INACTIVE: Licences and permits (admin expenses)</t>
  </si>
  <si>
    <t>6160-6111</t>
  </si>
  <si>
    <t>INACTIVE: Personal Expenses</t>
  </si>
  <si>
    <t>6160-7111</t>
  </si>
  <si>
    <t>INACTIVE: Reprographics</t>
  </si>
  <si>
    <t>6160-7120</t>
  </si>
  <si>
    <t>INACTIVE: Reprographics recharge to CWCL</t>
  </si>
  <si>
    <t>6160-7121</t>
  </si>
  <si>
    <t>INACTIVE: Reprographics recharge to CWML</t>
  </si>
  <si>
    <t>6160-7211</t>
  </si>
  <si>
    <t>INACTIVE: Photo-Copying</t>
  </si>
  <si>
    <t>6160-7900</t>
  </si>
  <si>
    <t>INACTIVE: G&amp;A recharges to CWCL</t>
  </si>
  <si>
    <t>6160-7901</t>
  </si>
  <si>
    <t>INACTIVE: G&amp;A recharges to CWML</t>
  </si>
  <si>
    <t>6160-7902</t>
  </si>
  <si>
    <t>INACTIVE: G&amp;A recharges to CWRML</t>
  </si>
  <si>
    <t>6160-7903</t>
  </si>
  <si>
    <t>INACTIVE: G&amp;A recharges to VRML</t>
  </si>
  <si>
    <t>6160-8511</t>
  </si>
  <si>
    <t>INACTIVE: Postage and Courier</t>
  </si>
  <si>
    <t>6160-9511</t>
  </si>
  <si>
    <t>INACTIVE: Stationery and Printing</t>
  </si>
  <si>
    <t>6160-9611</t>
  </si>
  <si>
    <t>INACTIVE: AV Costs</t>
  </si>
  <si>
    <t>6161-1811</t>
  </si>
  <si>
    <t>INACTIVE: Catering Overhead</t>
  </si>
  <si>
    <t>6161-1911</t>
  </si>
  <si>
    <t>INACTIVE: Staff Catering and Kitchen Supplies</t>
  </si>
  <si>
    <t>6161-1941</t>
  </si>
  <si>
    <t>INACTIVE: Catering Staff (Events)</t>
  </si>
  <si>
    <t>6161-1951</t>
  </si>
  <si>
    <t>INACTIVE: Food and Beverages (Events)</t>
  </si>
  <si>
    <t>6161-1971</t>
  </si>
  <si>
    <t>INACTIVE: Club Lounge Beverages</t>
  </si>
  <si>
    <t>6161-1981</t>
  </si>
  <si>
    <t>INACTIVE: Club Lounge Food</t>
  </si>
  <si>
    <t>6161-2011</t>
  </si>
  <si>
    <t>INACTIVE: Staff Entertainment</t>
  </si>
  <si>
    <t>6161-2021</t>
  </si>
  <si>
    <t>INACTIVE: Staff Entertainment recharges</t>
  </si>
  <si>
    <t>6161-4111</t>
  </si>
  <si>
    <t>INACTIVE: Executive Travel and Accommodation</t>
  </si>
  <si>
    <t>6161-4211</t>
  </si>
  <si>
    <t>INACTIVE: General Travel and Accommodation</t>
  </si>
  <si>
    <t>6161-4311</t>
  </si>
  <si>
    <t>INACTIVE: Team Entertaining</t>
  </si>
  <si>
    <t>6161-5411</t>
  </si>
  <si>
    <t>INACTIVE: Library/Publications/Archive</t>
  </si>
  <si>
    <t>6161-8111</t>
  </si>
  <si>
    <t>INACTIVE: Launches</t>
  </si>
  <si>
    <t>6161-8311</t>
  </si>
  <si>
    <t>INACTIVE: Model Maintenance</t>
  </si>
  <si>
    <t>6162-0111</t>
  </si>
  <si>
    <t>INACTIVE: Miscellaneous Expenses</t>
  </si>
  <si>
    <t>6162-0501</t>
  </si>
  <si>
    <t>Total Payroll Costs - CWL (c001)</t>
  </si>
  <si>
    <t>6162-0502</t>
  </si>
  <si>
    <t>Total Payroll Costs - CWCL (c002)</t>
  </si>
  <si>
    <t>6162-0503</t>
  </si>
  <si>
    <t>Total Payroll Costs - CWML (c006)</t>
  </si>
  <si>
    <t>6162-0504</t>
  </si>
  <si>
    <t>Total Payroll Costs - CWG (c091)</t>
  </si>
  <si>
    <t>6162-0505</t>
  </si>
  <si>
    <t>Total Payroll Costs - Lvl39 Ltd (c0et)</t>
  </si>
  <si>
    <t>6162-0506</t>
  </si>
  <si>
    <t>Total Payroll Costs - CWRML (c0hc)</t>
  </si>
  <si>
    <t>6162-0507</t>
  </si>
  <si>
    <t>Total Payroll Costs - VRML (c0vm)</t>
  </si>
  <si>
    <t>6162-0508</t>
  </si>
  <si>
    <t>Total Payroll Costs - Vertus 8WS Staffco Ltd (c0re)</t>
  </si>
  <si>
    <t>6162-0509</t>
  </si>
  <si>
    <t>Total Payroll Costs - 10GS Staffco Ltd (c0rf)</t>
  </si>
  <si>
    <t>6162-0510</t>
  </si>
  <si>
    <t>Total Payroll Costs - WW Resi Staffco Ltd (c0rg)</t>
  </si>
  <si>
    <t>6162-0511</t>
  </si>
  <si>
    <t>Total Payroll Costs - CW Telecoms Ltd (c0g8)</t>
  </si>
  <si>
    <t>6162-0512</t>
  </si>
  <si>
    <t>Total Payroll Costs Southbank Place Energy Company Ltd (c0ks</t>
  </si>
  <si>
    <t>6162-0513</t>
  </si>
  <si>
    <t>Total Payroll Costs Canary Wharf Energy Company Ltd (c0hy)</t>
  </si>
  <si>
    <t>6162-0514</t>
  </si>
  <si>
    <t>Total Payroll Costs Vertus Newfoundland Ltd (c0rd)</t>
  </si>
  <si>
    <t>6162-0515</t>
  </si>
  <si>
    <t>Total Payroll Costs Canary Wharf Communities Ltd (c0z9)</t>
  </si>
  <si>
    <t>6162-0516</t>
  </si>
  <si>
    <t>Total Payroll Costs Wood Wharf Estate (c0we)</t>
  </si>
  <si>
    <t>6162-0517</t>
  </si>
  <si>
    <t>Total Payroll Costs Southbank Place Estate (c0ja)</t>
  </si>
  <si>
    <t>6162-0518</t>
  </si>
  <si>
    <t>Total Payroll Costs Braeburn Estates (B4A) LP (c0jj)</t>
  </si>
  <si>
    <t>6162-0519</t>
  </si>
  <si>
    <t>Total Payroll Costs Braeburn Estates (B4B) LP (c0jp)</t>
  </si>
  <si>
    <t>6162-0520</t>
  </si>
  <si>
    <t>Total Payroll Costs Braeburn Estates (B6/7) LP (c0jz)</t>
  </si>
  <si>
    <t>6162-0521</t>
  </si>
  <si>
    <t>Total Payroll Costs Vertus Serviced Apartments OpCo (c136)</t>
  </si>
  <si>
    <t>6162-0522</t>
  </si>
  <si>
    <t>Total Payroll costs Southbank Place Management Ltd (c0kp)</t>
  </si>
  <si>
    <t>6162-0550</t>
  </si>
  <si>
    <t>Recharge of Payroll Costs</t>
  </si>
  <si>
    <t>6162-0551</t>
  </si>
  <si>
    <t>Payroll Costs Trf to Balance Sheet</t>
  </si>
  <si>
    <t>6162-0552</t>
  </si>
  <si>
    <t>Payroll Costs Trf to WIP</t>
  </si>
  <si>
    <t>6162-0553</t>
  </si>
  <si>
    <t>Payroll Costs Trf to SC</t>
  </si>
  <si>
    <t>6162-0554</t>
  </si>
  <si>
    <t>Payroll Costs Trf within Admin</t>
  </si>
  <si>
    <t>6162-0711</t>
  </si>
  <si>
    <t>INACTIVE: Salaries Public Affairs &amp; Strategy</t>
  </si>
  <si>
    <t>6162-0811</t>
  </si>
  <si>
    <t>INACTIVE: Salaries Wood Wharf Estate Management Staff</t>
  </si>
  <si>
    <t>6162-1011</t>
  </si>
  <si>
    <t>INACTIVE: Salaries (South Bank Place Mgt Ltd)</t>
  </si>
  <si>
    <t>6162-1021</t>
  </si>
  <si>
    <t>INACTIVE: Salaries (CW Resi Mgt Ltd)</t>
  </si>
  <si>
    <t>6162-1031</t>
  </si>
  <si>
    <t>INACTIVE: Salaries Residential (CWML) - (Now 1405021)</t>
  </si>
  <si>
    <t>6162-1041</t>
  </si>
  <si>
    <t>INACTIVE: Salaries Resi Management (CWRML) - (Now 1405061)</t>
  </si>
  <si>
    <t>6162-1051</t>
  </si>
  <si>
    <t>INACTIVE: Salaries Resi Concierge (CWRML) - (Now 1405062)</t>
  </si>
  <si>
    <t>6162-1061</t>
  </si>
  <si>
    <t>INACTIVE: Salaries Resi Cleaners  - (Now 1405063)</t>
  </si>
  <si>
    <t>6162-1071</t>
  </si>
  <si>
    <t>INACTIVE: Salaries Agents</t>
  </si>
  <si>
    <t>6162-1091</t>
  </si>
  <si>
    <t>INACTIVE: Salaries - Wood Wharf Customer Service</t>
  </si>
  <si>
    <t>6162-1101</t>
  </si>
  <si>
    <t>INACTIVE: Salaries Wood Wharf Building Managers</t>
  </si>
  <si>
    <t>6162-1111</t>
  </si>
  <si>
    <t>INACTIVE: Salaries (People and Development and Payroll)</t>
  </si>
  <si>
    <t>6162-1121</t>
  </si>
  <si>
    <t>INACTIVE: Salaries (Executive)</t>
  </si>
  <si>
    <t>6162-1131</t>
  </si>
  <si>
    <t>INACTIVE: Salaries (Accounts and Finance and Tax)</t>
  </si>
  <si>
    <t>6162-1141</t>
  </si>
  <si>
    <t>INACTIVE: Salaries (Legal)</t>
  </si>
  <si>
    <t>6162-1151</t>
  </si>
  <si>
    <t>INACTIVE: Salaries (Information Technology)</t>
  </si>
  <si>
    <t>6162-1161</t>
  </si>
  <si>
    <t>INACTIVE: Salaries (Retail Leasing)</t>
  </si>
  <si>
    <t>6162-1171</t>
  </si>
  <si>
    <t>INACTIVE: Salaries (Marketing)</t>
  </si>
  <si>
    <t>6162-1201</t>
  </si>
  <si>
    <t>INACTIVE: Salaries (Office leasing)</t>
  </si>
  <si>
    <t>6162-1211</t>
  </si>
  <si>
    <t>INACTIVE: Salaries (Dev. Administration and Personnel)</t>
  </si>
  <si>
    <t>6162-1221</t>
  </si>
  <si>
    <t>INACTIVE: Salaries (Dev. Executive)</t>
  </si>
  <si>
    <t>6162-1231</t>
  </si>
  <si>
    <t>INACTIVE: Salaries (Dev. Accounts and Finance and Tax)</t>
  </si>
  <si>
    <t>6162-1241</t>
  </si>
  <si>
    <t>INACTIVE: Salaries (Dev. Legal)</t>
  </si>
  <si>
    <t>6162-1281</t>
  </si>
  <si>
    <t>INACTIVE: Salaries Residential (CWL)</t>
  </si>
  <si>
    <t>6162-1291</t>
  </si>
  <si>
    <t>INACTIVE: VRML Salaries - Vertus Mgmt Central</t>
  </si>
  <si>
    <t>6162-1301</t>
  </si>
  <si>
    <t>INACTIVE: Salaries (CWML)</t>
  </si>
  <si>
    <t>6162-1311</t>
  </si>
  <si>
    <t>INACTIVE: Temporary and Contract Staff (Admin and Pers)</t>
  </si>
  <si>
    <t>6162-1321</t>
  </si>
  <si>
    <t>INACTIVE: Temporary and Contract Staff (Executive)</t>
  </si>
  <si>
    <t>6162-1331</t>
  </si>
  <si>
    <t>INACTIVE: Temporary and Contract Staff (Acc and Finance)</t>
  </si>
  <si>
    <t>6162-1341</t>
  </si>
  <si>
    <t>INACTIVE: Temporary and Contract Staff (Legal)</t>
  </si>
  <si>
    <t>6162-1351</t>
  </si>
  <si>
    <t>INACTIVE: Temporary and Contract Staff (IT)</t>
  </si>
  <si>
    <t>6162-1361</t>
  </si>
  <si>
    <t>INACTIVE: Temporary and Contract Staff (Retail Leasing)</t>
  </si>
  <si>
    <t>6162-1371</t>
  </si>
  <si>
    <t>INACTIVE: Temp Staff (Off. Mktg and Press Office)</t>
  </si>
  <si>
    <t>6162-1401</t>
  </si>
  <si>
    <t>INACTIVE: Apprenticeship Tax Levy - Mgmt</t>
  </si>
  <si>
    <t>6162-1408</t>
  </si>
  <si>
    <t>INACTIVE: Apprenticeship Tax Levy - Corps</t>
  </si>
  <si>
    <t>6162-1418</t>
  </si>
  <si>
    <t>INACTIVE: Occupational Health</t>
  </si>
  <si>
    <t>6162-1419</t>
  </si>
  <si>
    <t>INACTIVE: Diversity and Inclusion</t>
  </si>
  <si>
    <t>6162-1420</t>
  </si>
  <si>
    <t>INACTIVE: Sports and Social costs</t>
  </si>
  <si>
    <t>6162-1421</t>
  </si>
  <si>
    <t>INACTIVE: Staff gifts and leaving costs</t>
  </si>
  <si>
    <t>6162-1431</t>
  </si>
  <si>
    <t>INACTIVE: Uniforms</t>
  </si>
  <si>
    <t>6162-1441</t>
  </si>
  <si>
    <t>INACTIVE: Junior Board</t>
  </si>
  <si>
    <t>6162-1451</t>
  </si>
  <si>
    <t>INACTIVE: Customer Experience</t>
  </si>
  <si>
    <t>6162-1461</t>
  </si>
  <si>
    <t>INACTIVE: Employee Engagement</t>
  </si>
  <si>
    <t>6162-1521</t>
  </si>
  <si>
    <t>INACTIVE: Potential Restructuring fees</t>
  </si>
  <si>
    <t>6162-1621</t>
  </si>
  <si>
    <t>INACTIVE: Seconded staff payroll costs</t>
  </si>
  <si>
    <t>6162-1631</t>
  </si>
  <si>
    <t>INACTIVE: External consultants fees</t>
  </si>
  <si>
    <t>6162-1711</t>
  </si>
  <si>
    <t>INACTIVE: Payroll ADP/CMG Product Cost</t>
  </si>
  <si>
    <t>6162-1811</t>
  </si>
  <si>
    <t>INACTIVE: Recharges re Service Charges</t>
  </si>
  <si>
    <t>6162-2010</t>
  </si>
  <si>
    <t>Payroll - Group Life Scheme</t>
  </si>
  <si>
    <t>6162-2020</t>
  </si>
  <si>
    <t>Payroll - Group Income Protection</t>
  </si>
  <si>
    <t>6162-2021</t>
  </si>
  <si>
    <t>Payroll - GIPs claims</t>
  </si>
  <si>
    <t>6162-2030</t>
  </si>
  <si>
    <t>Payroll - CWG Rewards</t>
  </si>
  <si>
    <t>6162-2040</t>
  </si>
  <si>
    <t>Payroll - Professional Fees</t>
  </si>
  <si>
    <t>6162-2041</t>
  </si>
  <si>
    <t>Payroll - Medical Scheme</t>
  </si>
  <si>
    <t>6162-2042</t>
  </si>
  <si>
    <t>Payroll - Dental Scheme</t>
  </si>
  <si>
    <t>6162-2043</t>
  </si>
  <si>
    <t>Payroll - Health Assessments</t>
  </si>
  <si>
    <t>6162-2044</t>
  </si>
  <si>
    <t>Payroll - Gyms</t>
  </si>
  <si>
    <t>6162-2045</t>
  </si>
  <si>
    <t>Payroll - Childcare Vouchers</t>
  </si>
  <si>
    <t>6162-2046</t>
  </si>
  <si>
    <t>Payroll - Emergency Childcare</t>
  </si>
  <si>
    <t>6162-2047</t>
  </si>
  <si>
    <t>Payroll - Electric Vehicles</t>
  </si>
  <si>
    <t>6162-2048</t>
  </si>
  <si>
    <t>Payroll - Cycle to Work</t>
  </si>
  <si>
    <t>6162-2049</t>
  </si>
  <si>
    <t>Payroll - Season Tickets</t>
  </si>
  <si>
    <t>6162-2050</t>
  </si>
  <si>
    <t>6162-2111</t>
  </si>
  <si>
    <t>Payroll - Recharges CWCL</t>
  </si>
  <si>
    <t>6162-2112</t>
  </si>
  <si>
    <t>Payroll - Recharges CWML</t>
  </si>
  <si>
    <t>6162-2113</t>
  </si>
  <si>
    <t>Payroll - Recharges CWRML</t>
  </si>
  <si>
    <t>6162-2114</t>
  </si>
  <si>
    <t>Payroll - Recharges VRML</t>
  </si>
  <si>
    <t>6162-2901</t>
  </si>
  <si>
    <t>INACTIVE: Salary Share Awards</t>
  </si>
  <si>
    <t>6162-5811</t>
  </si>
  <si>
    <t>INACTIVE: Staff Training</t>
  </si>
  <si>
    <t>6162-5812</t>
  </si>
  <si>
    <t>INACTIVE: Executive Training</t>
  </si>
  <si>
    <t>6162-5813</t>
  </si>
  <si>
    <t>INACTIVE: Corporate Training</t>
  </si>
  <si>
    <t>6162-5814</t>
  </si>
  <si>
    <t>INACTIVE: Future Leaders Programme</t>
  </si>
  <si>
    <t>6162-6011</t>
  </si>
  <si>
    <t>INACTIVE: Non exec directors expenses</t>
  </si>
  <si>
    <t>6162-6112</t>
  </si>
  <si>
    <t>Payroll - Brookfield Non Exec Fees</t>
  </si>
  <si>
    <t>6162-6501</t>
  </si>
  <si>
    <t>Ppl and Dev - Temporary and Contract Staff (P&amp;D, CX, Comm)</t>
  </si>
  <si>
    <t>6162-6502</t>
  </si>
  <si>
    <t>Ppl and Dev - Temporary and Contract Staff (Executive)</t>
  </si>
  <si>
    <t>6162-6503</t>
  </si>
  <si>
    <t>Ppl and Dev - Temporary and Contract Staff (Acc and Fin)</t>
  </si>
  <si>
    <t>6162-6504</t>
  </si>
  <si>
    <t>Ppl and Dev - Temporary and Contract Staff (Legal)</t>
  </si>
  <si>
    <t>6162-6505</t>
  </si>
  <si>
    <t>Ppl and Dev - Temporary and Contract Staff (IT)</t>
  </si>
  <si>
    <t>6162-6506</t>
  </si>
  <si>
    <t>INACTIVE: Ppl and Dev-Temp &amp; Contract Staff (Retail Leas)</t>
  </si>
  <si>
    <t>6162-6507</t>
  </si>
  <si>
    <t>INACTIVE: Ppl and Dev - Temp &amp; Contract Staff (Office, L39)</t>
  </si>
  <si>
    <t>6162-6508</t>
  </si>
  <si>
    <t>Ppl and Dev - Temporary and Contract Staff (Mktg, Comms)</t>
  </si>
  <si>
    <t>6162-6509</t>
  </si>
  <si>
    <t>Ppl and Dev - Temporary and Contract Staff (Other)</t>
  </si>
  <si>
    <t>6162-6591</t>
  </si>
  <si>
    <t>Ppl and Dev - Temporary and Contract Staff (CWCL)</t>
  </si>
  <si>
    <t>6162-6592</t>
  </si>
  <si>
    <t>Ppl and Dev - Temporary and Contract Staff (CWML)</t>
  </si>
  <si>
    <t>6162-6593</t>
  </si>
  <si>
    <t>Ppl and Dev - Temporary and Contract Staff (CWRML)</t>
  </si>
  <si>
    <t>6162-6594</t>
  </si>
  <si>
    <t>Ppl and Dev - Temporary and Contract Staff (VRML)</t>
  </si>
  <si>
    <t>6162-7011</t>
  </si>
  <si>
    <t>INACTIVE: Administration Accruals</t>
  </si>
  <si>
    <t>6162-7900</t>
  </si>
  <si>
    <t>INACTIVE: Ppl &amp; Dev Recharges to CWCL</t>
  </si>
  <si>
    <t>6162-7901</t>
  </si>
  <si>
    <t>INACTIVE: Ppl &amp; Dev Recharges to CWML</t>
  </si>
  <si>
    <t>6162-7902</t>
  </si>
  <si>
    <t>INACTIVE: Ppl &amp; Dev Recharges to CWRML</t>
  </si>
  <si>
    <t>6162-7903</t>
  </si>
  <si>
    <t>INACTIVE: Ppl &amp; Dev Recharges to VRML</t>
  </si>
  <si>
    <t>6162-7904</t>
  </si>
  <si>
    <t>INACTIVE: Ppl &amp; Dev Recharge to L39</t>
  </si>
  <si>
    <t>6162-9901</t>
  </si>
  <si>
    <t>INACTIVE: REIT Conversion Costs</t>
  </si>
  <si>
    <t>6162-9931</t>
  </si>
  <si>
    <t>INACTIVE: ESCO JV Fees</t>
  </si>
  <si>
    <t>6162-9941</t>
  </si>
  <si>
    <t>INACTIVE: Service Agreement Fees</t>
  </si>
  <si>
    <t>6162-9951</t>
  </si>
  <si>
    <t>INACTIVE: Internal Audit Fees</t>
  </si>
  <si>
    <t>6162-9981</t>
  </si>
  <si>
    <t>INACTIVE: Cycling Superhighway fees</t>
  </si>
  <si>
    <t>6162-9991</t>
  </si>
  <si>
    <t>INACTIVE: Potential building sale costs</t>
  </si>
  <si>
    <t>6163-0031</t>
  </si>
  <si>
    <t>INACTIVE: Project Sky</t>
  </si>
  <si>
    <t>6163-0041</t>
  </si>
  <si>
    <t>INACTIVE: Project Sky fees on disposal</t>
  </si>
  <si>
    <t>6163-0051</t>
  </si>
  <si>
    <t>INACTIVE: JPut Unwinding</t>
  </si>
  <si>
    <t>6163-0061</t>
  </si>
  <si>
    <t>INACTIVE: Eurobonds issue</t>
  </si>
  <si>
    <t>6163-0168</t>
  </si>
  <si>
    <t>INACTIVE: Legal - Bids</t>
  </si>
  <si>
    <t>6163-0169</t>
  </si>
  <si>
    <t>INACTIVE: Legal - Acquisitions</t>
  </si>
  <si>
    <t>6163-0170</t>
  </si>
  <si>
    <t>INACTIVE: Legal - Sales</t>
  </si>
  <si>
    <t>6163-0171</t>
  </si>
  <si>
    <t>INACTIVE: Legal - Restructuring fees</t>
  </si>
  <si>
    <t>6163-0191</t>
  </si>
  <si>
    <t>INACTIVE: Directorship fees</t>
  </si>
  <si>
    <t>6163-0211</t>
  </si>
  <si>
    <t>INACTIVE: Company Secretarial Expenses</t>
  </si>
  <si>
    <t>6163-0321</t>
  </si>
  <si>
    <t>INACTIVE: General accounting and valuation advice</t>
  </si>
  <si>
    <t>6163-0331</t>
  </si>
  <si>
    <t>INACTIVE: Abortive fees</t>
  </si>
  <si>
    <t>6163-0361</t>
  </si>
  <si>
    <t>INACTIVE: Rent Review Office Fees</t>
  </si>
  <si>
    <t>6163-0372</t>
  </si>
  <si>
    <t>INACTIVE: Special Purpose Valuation Fees</t>
  </si>
  <si>
    <t>6163-0380</t>
  </si>
  <si>
    <t>INACTIVE: Project Backyard</t>
  </si>
  <si>
    <t>6163-0410</t>
  </si>
  <si>
    <t>INACTIVE: External Expense Reimbursement</t>
  </si>
  <si>
    <t>6163-0421</t>
  </si>
  <si>
    <t>INACTIVE: Taxation Deal fees</t>
  </si>
  <si>
    <t>6163-0431</t>
  </si>
  <si>
    <t>INACTIVE: Legal - Telecoms</t>
  </si>
  <si>
    <t>6163-0511</t>
  </si>
  <si>
    <t>INACTIVE: Legal - Corp Misc</t>
  </si>
  <si>
    <t>6163-0521</t>
  </si>
  <si>
    <t>INACTIVE: Legal - Litigation</t>
  </si>
  <si>
    <t>6163-0541</t>
  </si>
  <si>
    <t>INACTIVE: Legal - Title Misc</t>
  </si>
  <si>
    <t>6163-0551</t>
  </si>
  <si>
    <t>INACTIVE: Legal - Built Retail Misc</t>
  </si>
  <si>
    <t>6163-0561</t>
  </si>
  <si>
    <t>INACTIVE: Legal - Built Office Misc</t>
  </si>
  <si>
    <t>6163-0591</t>
  </si>
  <si>
    <t>INACTIVE: Legal Fees - Construction - Dev Mgmt</t>
  </si>
  <si>
    <t>6163-0596</t>
  </si>
  <si>
    <t>INACTIVE: Legal Fees - Construction - Cons Mgmt</t>
  </si>
  <si>
    <t>6163-0601</t>
  </si>
  <si>
    <t>INACTIVE: Legal Fees - Cancelled transactions</t>
  </si>
  <si>
    <t>6163-0602</t>
  </si>
  <si>
    <t>INACTIVE: Legal - Dev Title/Due Diligence</t>
  </si>
  <si>
    <t>6163-0603</t>
  </si>
  <si>
    <t>INACTIVE: Legal - Dev Build to Rent</t>
  </si>
  <si>
    <t>6163-0604</t>
  </si>
  <si>
    <t>INACTIVE: Legal - Dev Sales</t>
  </si>
  <si>
    <t>6163-0605</t>
  </si>
  <si>
    <t>INACTIVE: Legal - Dev Structuring</t>
  </si>
  <si>
    <t>6163-0741</t>
  </si>
  <si>
    <t>INACTIVE: Legal Fees - Planning</t>
  </si>
  <si>
    <t>6163-0761</t>
  </si>
  <si>
    <t>INACTIVE: Legal Fees - Brackendown Consultant</t>
  </si>
  <si>
    <t>6163-0771</t>
  </si>
  <si>
    <t>INACTIVE: Legal Fees - Adjudications</t>
  </si>
  <si>
    <t>6163-0781</t>
  </si>
  <si>
    <t>INACTIVE: Legal Fees - Jubilee Place Expansion RT3</t>
  </si>
  <si>
    <t>6163-0901</t>
  </si>
  <si>
    <t>INACTIVE: Offshore Adminstrative Costs</t>
  </si>
  <si>
    <t>6163-0941</t>
  </si>
  <si>
    <t>INACTIVE: Land Registry fees</t>
  </si>
  <si>
    <t>6163-0951</t>
  </si>
  <si>
    <t>INACTIVE: Legal Fees - Crossrail Retail RT5</t>
  </si>
  <si>
    <t>6163-0961</t>
  </si>
  <si>
    <t>INACTIVE: iXBRL tagging costs</t>
  </si>
  <si>
    <t>6163-1031</t>
  </si>
  <si>
    <t>INACTIVE: Wood Wharf JV Expenses</t>
  </si>
  <si>
    <t>6163-1041</t>
  </si>
  <si>
    <t>INACTIVE: Legal - Joint Venture</t>
  </si>
  <si>
    <t>6163-1111</t>
  </si>
  <si>
    <t>INACTIVE: Fees on surrenders</t>
  </si>
  <si>
    <t>6163-1211</t>
  </si>
  <si>
    <t>INACTIVE: HQ2 restructuring fees</t>
  </si>
  <si>
    <t>6163-1311</t>
  </si>
  <si>
    <t>INACTIVE: Insurance Brokers/Consultants Fees</t>
  </si>
  <si>
    <t>6163-2311</t>
  </si>
  <si>
    <t>INACTIVE: Special Events  - Visits</t>
  </si>
  <si>
    <t>6163-2321</t>
  </si>
  <si>
    <t>INACTIVE: Events</t>
  </si>
  <si>
    <t>6163-2327</t>
  </si>
  <si>
    <t>INACTIVE: Agent Events - Dev Mgmt</t>
  </si>
  <si>
    <t>6163-2811</t>
  </si>
  <si>
    <t>INACTIVE: Legal Fees - Retail Leasing</t>
  </si>
  <si>
    <t>6163-2881</t>
  </si>
  <si>
    <t>INACTIVE: Legal fees - EID fees</t>
  </si>
  <si>
    <t>6163-2941</t>
  </si>
  <si>
    <t>INACTIVE: USE 5550-0001: Office neg costs amortisation</t>
  </si>
  <si>
    <t>6163-2951</t>
  </si>
  <si>
    <t>INACTIVE: USE 5550-0002: Retail neg costs amortisation</t>
  </si>
  <si>
    <t>6163-4011</t>
  </si>
  <si>
    <t>Administrators Fees</t>
  </si>
  <si>
    <t>6163-5111</t>
  </si>
  <si>
    <t>INACTIVE: Monitoring Surveys</t>
  </si>
  <si>
    <t>6163-5121</t>
  </si>
  <si>
    <t>INACTIVE: RT1 Commitment Fees</t>
  </si>
  <si>
    <t>6163-5131</t>
  </si>
  <si>
    <t>INACTIVE: B4 Commitment Fees</t>
  </si>
  <si>
    <t>6163-5141</t>
  </si>
  <si>
    <t>INACTIVE: WF9 Commitment Fees</t>
  </si>
  <si>
    <t>6163-5311</t>
  </si>
  <si>
    <t>INACTIVE: Share price listing advertising</t>
  </si>
  <si>
    <t>6163-5391</t>
  </si>
  <si>
    <t>INACTIVE: Inv Rels - Project Cheetah</t>
  </si>
  <si>
    <t>6163-5411</t>
  </si>
  <si>
    <t>INACTIVE: Inv. Rels  - General</t>
  </si>
  <si>
    <t>6163-5431</t>
  </si>
  <si>
    <t>INACTIVE: Inv. Rels - GDPR</t>
  </si>
  <si>
    <t>6163-5511</t>
  </si>
  <si>
    <t>INACTIVE: Inv. Rels  - AGM</t>
  </si>
  <si>
    <t>6163-5531</t>
  </si>
  <si>
    <t>INACTIVE: Inv Rels - Board Portal</t>
  </si>
  <si>
    <t>6163-5611</t>
  </si>
  <si>
    <t>INACTIVE: Inv. Rels  - Annual Report</t>
  </si>
  <si>
    <t>6163-5951</t>
  </si>
  <si>
    <t>INACTIVE: PR Agency - General</t>
  </si>
  <si>
    <t>6163-5961</t>
  </si>
  <si>
    <t>INACTIVE: PR Agency - Retail</t>
  </si>
  <si>
    <t>6163-5991</t>
  </si>
  <si>
    <t>INACTIVE: Legal Recharges</t>
  </si>
  <si>
    <t>6163-6011</t>
  </si>
  <si>
    <t>INACTIVE: Inv. Rels  - Registrars</t>
  </si>
  <si>
    <t>6163-6021</t>
  </si>
  <si>
    <t>INACTIVE: Companies House</t>
  </si>
  <si>
    <t>6163-6111</t>
  </si>
  <si>
    <t>INACTIVE: Inv. Rels  - Stock Exch Listing</t>
  </si>
  <si>
    <t>6163-6201</t>
  </si>
  <si>
    <t>INACTIVE: Sustainability</t>
  </si>
  <si>
    <t>6163-6211</t>
  </si>
  <si>
    <t>INACTIVE: Environmental Monitoring</t>
  </si>
  <si>
    <t>6163-6301</t>
  </si>
  <si>
    <t>INACTIVE: CWG Consultancy fees to Songbird</t>
  </si>
  <si>
    <t>6163-6311</t>
  </si>
  <si>
    <t>INACTIVE: Green Awards - Environmental Monitoring</t>
  </si>
  <si>
    <t>6163-6321</t>
  </si>
  <si>
    <t>INACTIVE: Sustainability Campaign</t>
  </si>
  <si>
    <t>6163-8061</t>
  </si>
  <si>
    <t>INACTIVE: Braeburn - Forward Sale of B3 fees</t>
  </si>
  <si>
    <t>6163-8071</t>
  </si>
  <si>
    <t>INACTIVE: Braeburn - Residential Sales Documentation fees</t>
  </si>
  <si>
    <t>6163-8081</t>
  </si>
  <si>
    <t>INACTIVE: Braeburn - Legal for JV and Buyers re Resi Sales</t>
  </si>
  <si>
    <t>6163-8091</t>
  </si>
  <si>
    <t>INACTIVE: Braeburn - Construction Financing fees</t>
  </si>
  <si>
    <t>6163-8131</t>
  </si>
  <si>
    <t>INACTIVE: Braeburn - Hungerford Car Park fees</t>
  </si>
  <si>
    <t>6163-8161</t>
  </si>
  <si>
    <t>INACTIVE: Braeburn - Planning (Main) fees</t>
  </si>
  <si>
    <t>6163-8171</t>
  </si>
  <si>
    <t>INACTIVE: Braeburn - Affordable Housing fees</t>
  </si>
  <si>
    <t>6163-8181</t>
  </si>
  <si>
    <t>INACTIVE: Braeburn - Marketing Suite fees</t>
  </si>
  <si>
    <t>6163-8201</t>
  </si>
  <si>
    <t>INACTIVE: Braeburn - Rights of Light fees</t>
  </si>
  <si>
    <t>6163-8211</t>
  </si>
  <si>
    <t>INACTIVE: Braeburn - Building and Defects Insurance fees</t>
  </si>
  <si>
    <t>6163-8231</t>
  </si>
  <si>
    <t>INACTIVE: Braeburn - Construction Docs re Bldgs and Infra</t>
  </si>
  <si>
    <t>6163-8241</t>
  </si>
  <si>
    <t>INACTIVE: Braeburn - Retail Lettings fees</t>
  </si>
  <si>
    <t>6163-8261</t>
  </si>
  <si>
    <t>INACTIVE: Braeburn - Misc fees</t>
  </si>
  <si>
    <t>6163-8271</t>
  </si>
  <si>
    <t>INACTIVE: Braeburn - Marketing suite rent</t>
  </si>
  <si>
    <t>6163-8281</t>
  </si>
  <si>
    <t>INACTIVE: Braeburn - Marketing suite service charge costs</t>
  </si>
  <si>
    <t>6163-8291</t>
  </si>
  <si>
    <t>INACTIVE: Braeburn - Utilities</t>
  </si>
  <si>
    <t>6164-0211</t>
  </si>
  <si>
    <t>INACTIVE: Software - Misc</t>
  </si>
  <si>
    <t>6164-0221</t>
  </si>
  <si>
    <t>INACTIVE: Cybersecurity</t>
  </si>
  <si>
    <t>6164-0611</t>
  </si>
  <si>
    <t>INACTIVE: Hardware Maintenance - Misc</t>
  </si>
  <si>
    <t>6164-1411</t>
  </si>
  <si>
    <t>INACTIVE: Iron Mountain / Citi Data tape storage</t>
  </si>
  <si>
    <t>6164-1711</t>
  </si>
  <si>
    <t>INACTIVE: Hardware Upgrade</t>
  </si>
  <si>
    <t>6164-2311</t>
  </si>
  <si>
    <t>INACTIVE: IT - Service Charge Recharges</t>
  </si>
  <si>
    <t>6164-2711</t>
  </si>
  <si>
    <t>INACTIVE: IT - Wood Wharf fee</t>
  </si>
  <si>
    <t>6164-2751</t>
  </si>
  <si>
    <t>INACTIVE: IT - Consultancy fee</t>
  </si>
  <si>
    <t>6164-3511</t>
  </si>
  <si>
    <t>INACTIVE: Hardware &amp; Software - IT Projects</t>
  </si>
  <si>
    <t>6164-3711</t>
  </si>
  <si>
    <t>INACTIVE: IT costs re Website</t>
  </si>
  <si>
    <t>6164-3721</t>
  </si>
  <si>
    <t>INACTIVE: IT costs re Website Design</t>
  </si>
  <si>
    <t>6164-3731</t>
  </si>
  <si>
    <t>INACTIVE: IT costs re Website Maintenance</t>
  </si>
  <si>
    <t>6164-3741</t>
  </si>
  <si>
    <t>INACTIVE: Research and Development</t>
  </si>
  <si>
    <t>6164-4111</t>
  </si>
  <si>
    <t>INACTIVE: CIS running costs</t>
  </si>
  <si>
    <t>6164-4211</t>
  </si>
  <si>
    <t>INACTIVE: Moves and Changes Contract</t>
  </si>
  <si>
    <t>6164-4311</t>
  </si>
  <si>
    <t>INACTIVE: DRC annual cost</t>
  </si>
  <si>
    <t>6164-4321</t>
  </si>
  <si>
    <t>INACTIVE: DRC peripheral set up costs</t>
  </si>
  <si>
    <t>6164-4611</t>
  </si>
  <si>
    <t>INACTIVE: Salesforce license costs</t>
  </si>
  <si>
    <t>6164-7900</t>
  </si>
  <si>
    <t>INACTIVE: IT recharges to CWCL</t>
  </si>
  <si>
    <t>6164-7901</t>
  </si>
  <si>
    <t>INACTIVE: IT recharges to CWML</t>
  </si>
  <si>
    <t>6164-7902</t>
  </si>
  <si>
    <t>INACTIVE: IT recharges to CWRML</t>
  </si>
  <si>
    <t>6164-7903</t>
  </si>
  <si>
    <t>INACTIVE: IT recharges to VRML</t>
  </si>
  <si>
    <t>6164-8111</t>
  </si>
  <si>
    <t>INACTIVE: Propman Setup Costs</t>
  </si>
  <si>
    <t>6164-8121</t>
  </si>
  <si>
    <t>INACTIVE: Propman Maintenance</t>
  </si>
  <si>
    <t>6164-8131</t>
  </si>
  <si>
    <t>INACTIVE: Propman Consultancy/Training</t>
  </si>
  <si>
    <t>6164-8211</t>
  </si>
  <si>
    <t>INACTIVE: Workday Payroll System Setup Costs</t>
  </si>
  <si>
    <t>6164-8221</t>
  </si>
  <si>
    <t>INACTIVE: Workday Payroll System Maintenance</t>
  </si>
  <si>
    <t>6164-8231</t>
  </si>
  <si>
    <t>INACTIVE: Workday Payroll System Consultancy/Training</t>
  </si>
  <si>
    <t>6164-8301</t>
  </si>
  <si>
    <t>INACTIVE: Project Mercury - Consultancy/Training</t>
  </si>
  <si>
    <t>6164-8311</t>
  </si>
  <si>
    <t>INACTIVE: Project Mercury - Setup Costs</t>
  </si>
  <si>
    <t>6164-8321</t>
  </si>
  <si>
    <t>INACTIVE: Project Mercury - Maintenance</t>
  </si>
  <si>
    <t>6165-0211</t>
  </si>
  <si>
    <t>INACTIVE: NHBC scheme costs - Dev Mgmt</t>
  </si>
  <si>
    <t>6165-0216</t>
  </si>
  <si>
    <t>INACTIVE: NHBC scheme costs - Cons Mgmt</t>
  </si>
  <si>
    <t>6165-0511</t>
  </si>
  <si>
    <t>INACTIVE: Insurance Premium Tax - Office</t>
  </si>
  <si>
    <t>6165-0512</t>
  </si>
  <si>
    <t>INACTIVE: Insurance Premium Tax - Retail</t>
  </si>
  <si>
    <t>6165-1111</t>
  </si>
  <si>
    <t>INACTIVE: Building Insurance - All Risks - Office</t>
  </si>
  <si>
    <t>6165-1112</t>
  </si>
  <si>
    <t>INACTIVE: Building Insurance - All Risks - Retail</t>
  </si>
  <si>
    <t>6165-1211</t>
  </si>
  <si>
    <t>INACTIVE: CW occupied space insurance cost</t>
  </si>
  <si>
    <t>6165-1711</t>
  </si>
  <si>
    <t>INACTIVE: Building Insurance - Terrorism - Office</t>
  </si>
  <si>
    <t>6165-1712</t>
  </si>
  <si>
    <t>INACTIVE: Building Insurance - Terrorism - Retail</t>
  </si>
  <si>
    <t>6165-1811</t>
  </si>
  <si>
    <t>INACTIVE: Insurance Recharges - Construction</t>
  </si>
  <si>
    <t>6165-1812</t>
  </si>
  <si>
    <t>INACTIVE: Insurance Recharges - CWML</t>
  </si>
  <si>
    <t>6165-1813</t>
  </si>
  <si>
    <t>INACTIVE: Insurance Recharges - Lvl39</t>
  </si>
  <si>
    <t>6165-1814</t>
  </si>
  <si>
    <t>INACTIVE: Insurance recharges – Office</t>
  </si>
  <si>
    <t>6165-1815</t>
  </si>
  <si>
    <t>INACTIVE: Insurance recharges – Retail</t>
  </si>
  <si>
    <t>6165-3111</t>
  </si>
  <si>
    <t>INACTIVE: General and Administration Insurance</t>
  </si>
  <si>
    <t>6165-3211</t>
  </si>
  <si>
    <t>INACTIVE: Engineer Inspection Insurance</t>
  </si>
  <si>
    <t>6165-7900</t>
  </si>
  <si>
    <t>INACTIVE: Ins G&amp;A recharges to CWCL</t>
  </si>
  <si>
    <t>6165-7901</t>
  </si>
  <si>
    <t>INACTIVE: Ins G&amp;A recharges to CWML</t>
  </si>
  <si>
    <t>6165-7902</t>
  </si>
  <si>
    <t>INACTIVE: Ins G&amp;A recharges to CWRML</t>
  </si>
  <si>
    <t>6165-7903</t>
  </si>
  <si>
    <t>INACTIVE: Ins G&amp;A recharges to VRML</t>
  </si>
  <si>
    <t>6165-9521</t>
  </si>
  <si>
    <t>INACTIVE: Miscellaneous</t>
  </si>
  <si>
    <t>6166-2111</t>
  </si>
  <si>
    <t>INACTIVE: Requested Patching to be recharged</t>
  </si>
  <si>
    <t>6166-2211</t>
  </si>
  <si>
    <t>INACTIVE: Cabling Services to be recharged</t>
  </si>
  <si>
    <t>6166-2311</t>
  </si>
  <si>
    <t>INACTIVE: Communications - related works to be recharged</t>
  </si>
  <si>
    <t>6166-2411</t>
  </si>
  <si>
    <t>INACTIVE: First Move Building services</t>
  </si>
  <si>
    <t>6166-2511</t>
  </si>
  <si>
    <t>INACTIVE: PPE Gear - to be recharged to CWCL</t>
  </si>
  <si>
    <t>6166-2611</t>
  </si>
  <si>
    <t>INACTIVE: Fit Out to be recharged</t>
  </si>
  <si>
    <t>6175-1211</t>
  </si>
  <si>
    <t>INACTIVE: Write off Cat A materials</t>
  </si>
  <si>
    <t>6175-1411</t>
  </si>
  <si>
    <t>INACTIVE: Rent - Own occupied space</t>
  </si>
  <si>
    <t>6175-1511</t>
  </si>
  <si>
    <t>INACTIVE: Car Park Rent (Non Elim)</t>
  </si>
  <si>
    <t>6175-1611</t>
  </si>
  <si>
    <t>INACTIVE: Estate S/C (Non Elim)</t>
  </si>
  <si>
    <t>6175-1811</t>
  </si>
  <si>
    <t>INACTIVE: Car Park S/C (Non Elim)</t>
  </si>
  <si>
    <t>6175-1911</t>
  </si>
  <si>
    <t>INACTIVE: Rebate /surcharge (Non Elim)</t>
  </si>
  <si>
    <t>6183-0011</t>
  </si>
  <si>
    <t>INACTIVE:Consol Retail Landlord Works Transferred from WIP</t>
  </si>
  <si>
    <t>6183-0051</t>
  </si>
  <si>
    <t>INACTIVE: P and L Office Landlord Works Trfrd from WIP</t>
  </si>
  <si>
    <t>6183-0101</t>
  </si>
  <si>
    <t>INACTIVE: P and L Retail Landlord Works Trfed from WIP</t>
  </si>
  <si>
    <t>6183-1211</t>
  </si>
  <si>
    <t>SH Provision of services</t>
  </si>
  <si>
    <t>6184-9911</t>
  </si>
  <si>
    <t>Irrecoverable VAT - Partial Adjustment</t>
  </si>
  <si>
    <t>6184-9921</t>
  </si>
  <si>
    <t>INACTIVE: Recoverable VAT - Partial Adjustment</t>
  </si>
  <si>
    <t>6190-1011</t>
  </si>
  <si>
    <t>INACTIVE: Non Recoverable Management Fee</t>
  </si>
  <si>
    <t>6190-2011</t>
  </si>
  <si>
    <t>INACTIVE: Provision of Corporate Salaries</t>
  </si>
  <si>
    <t>6190-2111</t>
  </si>
  <si>
    <t>INACTIVE: CWG Mgt Services fee</t>
  </si>
  <si>
    <t>6190-3011</t>
  </si>
  <si>
    <t>INACTIVE: Riverbus Non Recoverable</t>
  </si>
  <si>
    <t>6190-3111</t>
  </si>
  <si>
    <t>INACTIVE: Sundry Income 1 - Office</t>
  </si>
  <si>
    <t>6190-3112</t>
  </si>
  <si>
    <t>INACTIVE: Sundry Income 1 - Retail</t>
  </si>
  <si>
    <t>6190-9011</t>
  </si>
  <si>
    <t>Non Recoverable Costs (Non CWML)</t>
  </si>
  <si>
    <t>6190-9021</t>
  </si>
  <si>
    <t>INACTIVE: Arts &amp; Events</t>
  </si>
  <si>
    <t>6190-9031</t>
  </si>
  <si>
    <t>INACTIVE: Carbon Reduction Commitment fees</t>
  </si>
  <si>
    <t>6190-9051</t>
  </si>
  <si>
    <t>INACTIVE: South Bank Place costs (Now 1405011)</t>
  </si>
  <si>
    <t>6190-9061</t>
  </si>
  <si>
    <t>INACTIVE: ESCO Set Up costs</t>
  </si>
  <si>
    <t>6190-9071</t>
  </si>
  <si>
    <t>INACTIVE: Building 1 South Bank</t>
  </si>
  <si>
    <t>6190-9111</t>
  </si>
  <si>
    <t>INACTIVE: Wood Wharf Estate Set Up Costs</t>
  </si>
  <si>
    <t>6190-9131</t>
  </si>
  <si>
    <t>INACTIVE: Wood Wharf Running Costs</t>
  </si>
  <si>
    <t>6190-9211</t>
  </si>
  <si>
    <t>INACTIVE: CWML Global Purchasing Contracts</t>
  </si>
  <si>
    <t>6190-9251</t>
  </si>
  <si>
    <t>INACTIVE: Southbank Start Up costs</t>
  </si>
  <si>
    <t>6190-9271</t>
  </si>
  <si>
    <t>INACTIVE: 10 Park Drive Set-up Costs</t>
  </si>
  <si>
    <t>6190-9281</t>
  </si>
  <si>
    <t>INACTIVE: 1 Park Drive Set-up Costs</t>
  </si>
  <si>
    <t>6190-9341</t>
  </si>
  <si>
    <t>INACTIVE: Wood Wharf Customer Care costs</t>
  </si>
  <si>
    <t>6190-9401</t>
  </si>
  <si>
    <t>INACTIVE: Management Staff B1 Southbank (Now 1405031)</t>
  </si>
  <si>
    <t>6190-9431</t>
  </si>
  <si>
    <t>INACTIVE: Management Staff Maintenance B1 Southbank</t>
  </si>
  <si>
    <t>6190-9471</t>
  </si>
  <si>
    <t>INACTIVE: Maintenance Staff B1 Southbank (Now 1405051)</t>
  </si>
  <si>
    <t>6190-9500</t>
  </si>
  <si>
    <t>INACTIVE: Other Income</t>
  </si>
  <si>
    <t>6191-1101</t>
  </si>
  <si>
    <t>INACTIVE: Expenses - Executive</t>
  </si>
  <si>
    <t>6191-1111</t>
  </si>
  <si>
    <t>INACTIVE: Expenses - Payroll</t>
  </si>
  <si>
    <t>6191-1121</t>
  </si>
  <si>
    <t>INACTIVE: Expenses - IT</t>
  </si>
  <si>
    <t>6191-1131</t>
  </si>
  <si>
    <t>INACTIVE: Expenses - Office Marketing</t>
  </si>
  <si>
    <t>6191-1141</t>
  </si>
  <si>
    <t>INACTIVE: Expenses - Retail Marketing</t>
  </si>
  <si>
    <t>6191-1151</t>
  </si>
  <si>
    <t>INACTIVE: Expenses - Residential sales Marketing</t>
  </si>
  <si>
    <t>6191-1161</t>
  </si>
  <si>
    <t>INACTIVE: Expenses - Residential sales</t>
  </si>
  <si>
    <t>6191-1171</t>
  </si>
  <si>
    <t>INACTIVE: Expenses - Vertus</t>
  </si>
  <si>
    <t>6191-1181</t>
  </si>
  <si>
    <t>INACTIVE: Expenses - General &amp; Administrative</t>
  </si>
  <si>
    <t>6191-1191</t>
  </si>
  <si>
    <t>INACTIVE: Expenses - Legal</t>
  </si>
  <si>
    <t>6191-1201</t>
  </si>
  <si>
    <t>INACTIVE: Expenses - Office leasing</t>
  </si>
  <si>
    <t>6191-1202</t>
  </si>
  <si>
    <t>INACTIVE: Expenses - Retail leasing</t>
  </si>
  <si>
    <t>6191-1211</t>
  </si>
  <si>
    <t>INACTIVE: Expenses - Corporate communications</t>
  </si>
  <si>
    <t>6191-1221</t>
  </si>
  <si>
    <t>INACTIVE: Expenses - Accounts and Tax</t>
  </si>
  <si>
    <t>6191-1231</t>
  </si>
  <si>
    <t>INACTIVE: Expenses - Insurance</t>
  </si>
  <si>
    <t>6191-1241</t>
  </si>
  <si>
    <t>INACTIVE: Expenses - Rates</t>
  </si>
  <si>
    <t>6191-1251</t>
  </si>
  <si>
    <t>INACTIVE: Expenses - East Wintergarden</t>
  </si>
  <si>
    <t>6191-1261</t>
  </si>
  <si>
    <t>INACTIVE: Expenses - Arts &amp; Events</t>
  </si>
  <si>
    <t>6191-1271</t>
  </si>
  <si>
    <t>INACTIVE: Expenses - Level39</t>
  </si>
  <si>
    <t>6199-0811</t>
  </si>
  <si>
    <t>Depreciation</t>
  </si>
  <si>
    <t>6199-1001</t>
  </si>
  <si>
    <t>INACTIVE: FA Impairment</t>
  </si>
  <si>
    <t>6199-9900</t>
  </si>
  <si>
    <t>INACTIVE: Transfer to WIP</t>
  </si>
  <si>
    <t>6199-9901</t>
  </si>
  <si>
    <t>INACTIVE: Transfer to S/C</t>
  </si>
  <si>
    <t>6200-0011</t>
  </si>
  <si>
    <t>INACTIVE: Resi - Naming and Brand Identity</t>
  </si>
  <si>
    <t>6200-0111</t>
  </si>
  <si>
    <t>INACTIVE: Resi - Host Brochure</t>
  </si>
  <si>
    <t>6200-0211</t>
  </si>
  <si>
    <t>INACTIVE: Resi - Floor Plan Brochure</t>
  </si>
  <si>
    <t>6200-0311</t>
  </si>
  <si>
    <t>INACTIVE: Resi - Additional Brochure</t>
  </si>
  <si>
    <t>6200-0411</t>
  </si>
  <si>
    <t>INACTIVE: Resi - UK Advertising</t>
  </si>
  <si>
    <t>6200-0511</t>
  </si>
  <si>
    <t>INACTIVE: Resi - UK Media</t>
  </si>
  <si>
    <t>6200-0551</t>
  </si>
  <si>
    <t>INACTIVE: Resi - Augmented Reality APP</t>
  </si>
  <si>
    <t>6200-0611</t>
  </si>
  <si>
    <t>INACTIVE: Resi - Website</t>
  </si>
  <si>
    <t>6200-0711</t>
  </si>
  <si>
    <t>INACTIVE: Resi - Information Suite Interactive</t>
  </si>
  <si>
    <t>6200-0811</t>
  </si>
  <si>
    <t>INACTIVE: Resi - Flythro / Film</t>
  </si>
  <si>
    <t>6200-0911</t>
  </si>
  <si>
    <t>INACTIVE: Resi - Public Relations</t>
  </si>
  <si>
    <t>6200-1011</t>
  </si>
  <si>
    <t>INACTIVE: Resi - Stationery</t>
  </si>
  <si>
    <t>6200-1111</t>
  </si>
  <si>
    <t>INACTIVE: Resi - Launch Material</t>
  </si>
  <si>
    <t>6200-1211</t>
  </si>
  <si>
    <t>INACTIVE: Resi - Launch Events</t>
  </si>
  <si>
    <t>6200-1311</t>
  </si>
  <si>
    <t>INACTIVE: Resi - Overseas Advertising</t>
  </si>
  <si>
    <t>6200-1411</t>
  </si>
  <si>
    <t>INACTIVE: Resi - Overseas Exhibitions</t>
  </si>
  <si>
    <t>6200-1511</t>
  </si>
  <si>
    <t>INACTIVE: Resi - Project Management</t>
  </si>
  <si>
    <t>6200-1611</t>
  </si>
  <si>
    <t>INACTIVE: Resi - EDM</t>
  </si>
  <si>
    <t>6200-1711</t>
  </si>
  <si>
    <t>INACTIVE: Resi - Hoardings</t>
  </si>
  <si>
    <t>6200-1811</t>
  </si>
  <si>
    <t>INACTIVE: Resi - Models</t>
  </si>
  <si>
    <t>6200-1911</t>
  </si>
  <si>
    <t>INACTIVE: Resi - CGIs</t>
  </si>
  <si>
    <t>6200-2011</t>
  </si>
  <si>
    <t>INACTIVE: Resi - Marketing Management</t>
  </si>
  <si>
    <t>6200-2111</t>
  </si>
  <si>
    <t>INACTIVE: Resi - Photography</t>
  </si>
  <si>
    <t>6200-2211</t>
  </si>
  <si>
    <t>INACTIVE: Resi - Floorplans</t>
  </si>
  <si>
    <t>6200-2411</t>
  </si>
  <si>
    <t>INACTIVE: Resi - Strategic consultancy</t>
  </si>
  <si>
    <t>6200-2611</t>
  </si>
  <si>
    <t>INACTIVE: Resi -  Visual collateral</t>
  </si>
  <si>
    <t>6200-2711</t>
  </si>
  <si>
    <t>INACTIVE: Resi - Creative application</t>
  </si>
  <si>
    <t>6200-2811</t>
  </si>
  <si>
    <t>INACTIVE: Resi - Literature and magazines</t>
  </si>
  <si>
    <t>6200-3011</t>
  </si>
  <si>
    <t>INACTIVE: Resi - Other Collateral</t>
  </si>
  <si>
    <t>6200-3111</t>
  </si>
  <si>
    <t>INACTIVE: Resi - Marketing consultancy</t>
  </si>
  <si>
    <t>6200-3311</t>
  </si>
  <si>
    <t>INACTIVE: Resi Digital platforms</t>
  </si>
  <si>
    <t>6200-4111</t>
  </si>
  <si>
    <t>INACTIVE: Resi - Overheads/Running Costs</t>
  </si>
  <si>
    <t>6200-4211</t>
  </si>
  <si>
    <t>INACTIVE: Resi - Vitrines / Windows</t>
  </si>
  <si>
    <t>6200-5111</t>
  </si>
  <si>
    <t>INACTIVE: Resi - Agents Fees</t>
  </si>
  <si>
    <t>6200-5211</t>
  </si>
  <si>
    <t>INACTIVE: Resi - Legal Fees</t>
  </si>
  <si>
    <t>6200-6111</t>
  </si>
  <si>
    <t>INACTIVE: Resi - Concierge Fees</t>
  </si>
  <si>
    <t>6200-7111</t>
  </si>
  <si>
    <t>INACTIVE: Resi - Management set up costs</t>
  </si>
  <si>
    <t>6210-0011</t>
  </si>
  <si>
    <t>INACTIVE: Vertus - Cabling</t>
  </si>
  <si>
    <t>6210-0111</t>
  </si>
  <si>
    <t>INACTIVE: Vertus - Capital Costs / Landlord Costs</t>
  </si>
  <si>
    <t>6210-0211</t>
  </si>
  <si>
    <t>INACTIVE: Vertus - Site and Concierge Set Up Costs</t>
  </si>
  <si>
    <t>6210-0311</t>
  </si>
  <si>
    <t>INACTIVE: Vertus - Letting and Management Office Set Up</t>
  </si>
  <si>
    <t>6210-0411</t>
  </si>
  <si>
    <t>INACTIVE: Vertus - Amenity Areas Set Up Costs</t>
  </si>
  <si>
    <t>6210-0611</t>
  </si>
  <si>
    <t>INACTIVE: Vertus - Marketing</t>
  </si>
  <si>
    <t>6210-0612</t>
  </si>
  <si>
    <t>INACTIVE: Vertus - Off-site advertising</t>
  </si>
  <si>
    <t>6210-0613</t>
  </si>
  <si>
    <t>INACTIVE: Vertus - On-site advertising</t>
  </si>
  <si>
    <t>6210-0614</t>
  </si>
  <si>
    <t>INACTIVE: Vertus - Digital advertising</t>
  </si>
  <si>
    <t>6210-0615</t>
  </si>
  <si>
    <t>INACTIVE: Vertus - Portals advertising</t>
  </si>
  <si>
    <t>6210-0616</t>
  </si>
  <si>
    <t>INACTIVE: Vertus - Social advertising</t>
  </si>
  <si>
    <t>6210-0617</t>
  </si>
  <si>
    <t>INACTIVE: Vertus - Social media misc.</t>
  </si>
  <si>
    <t>6210-0618</t>
  </si>
  <si>
    <t>INACTIVE: Vertus - SEO</t>
  </si>
  <si>
    <t>6210-0619</t>
  </si>
  <si>
    <t>INACTIVE: Vertus - Creative positioning</t>
  </si>
  <si>
    <t>6210-1011</t>
  </si>
  <si>
    <t>INACTIVE: Vertus - Tenant Deposit Scheme Fees</t>
  </si>
  <si>
    <t>6210-1012</t>
  </si>
  <si>
    <t>INACTIVE: Admin expenses reforecasting adjustment</t>
  </si>
  <si>
    <t>6210-1201</t>
  </si>
  <si>
    <t>Consol adjustment - Level 39 cost of sales</t>
  </si>
  <si>
    <t>6211-0001</t>
  </si>
  <si>
    <t>Tribe - Other Expenses</t>
  </si>
  <si>
    <t>6211-0011</t>
  </si>
  <si>
    <t>Tribe - Utilities</t>
  </si>
  <si>
    <t>6211-0021</t>
  </si>
  <si>
    <t>Tribe - Management Fees</t>
  </si>
  <si>
    <t>6211-0031</t>
  </si>
  <si>
    <t>Tribe - Non Operating Expenses</t>
  </si>
  <si>
    <t>6211-0041</t>
  </si>
  <si>
    <t>Tribe - Administrative - Sales</t>
  </si>
  <si>
    <t>6211-0051</t>
  </si>
  <si>
    <t>Tribe - Administrative - Brand/marketing</t>
  </si>
  <si>
    <t>6211-0061</t>
  </si>
  <si>
    <t>Tribe - Administrative - Property operation and maintenance</t>
  </si>
  <si>
    <t>6211-0071</t>
  </si>
  <si>
    <t>Tribe - Administrative - Information and Telecommunications</t>
  </si>
  <si>
    <t>6211-0081</t>
  </si>
  <si>
    <t>Tribe - Administrative - General</t>
  </si>
  <si>
    <t>6212-0001</t>
  </si>
  <si>
    <t>Arts and Events - Conferences &amp; Networking</t>
  </si>
  <si>
    <t>6212-0002</t>
  </si>
  <si>
    <t>Arts and Events - Corporate Entertainment</t>
  </si>
  <si>
    <t>6212-0003</t>
  </si>
  <si>
    <t>Arts and Events - Employee Professional Subscriptions</t>
  </si>
  <si>
    <t>6212-0004</t>
  </si>
  <si>
    <t>Arts and Events - Team Entertainment</t>
  </si>
  <si>
    <t>6212-0005</t>
  </si>
  <si>
    <t>Arts and Events - Travel &amp; Accommodation</t>
  </si>
  <si>
    <t>6212-0020</t>
  </si>
  <si>
    <t>Arts and Events - Artist Fees</t>
  </si>
  <si>
    <t>6212-0030</t>
  </si>
  <si>
    <t>Arts and Events - Staffing</t>
  </si>
  <si>
    <t>6212-0040</t>
  </si>
  <si>
    <t>Arts and Events - Production</t>
  </si>
  <si>
    <t>6212-0050</t>
  </si>
  <si>
    <t>Arts and Events - Marketing</t>
  </si>
  <si>
    <t>6212-0060</t>
  </si>
  <si>
    <t>Arts and Events - Administration</t>
  </si>
  <si>
    <t>6212-0070</t>
  </si>
  <si>
    <t>Arts and Events - Miscellaneous</t>
  </si>
  <si>
    <t>6212-0192</t>
  </si>
  <si>
    <t>Arts and Events - Recharges CWML</t>
  </si>
  <si>
    <t>6212-0201</t>
  </si>
  <si>
    <t>Public Art - Conferences &amp; Networking</t>
  </si>
  <si>
    <t>6212-0202</t>
  </si>
  <si>
    <t>Public Art - Corporate Entertainment</t>
  </si>
  <si>
    <t>6212-0203</t>
  </si>
  <si>
    <t>Public Art - Employee Professional Subscriptions</t>
  </si>
  <si>
    <t>6212-0204</t>
  </si>
  <si>
    <t>Public Art - Team Entertainment</t>
  </si>
  <si>
    <t>6212-0205</t>
  </si>
  <si>
    <t>Public Art - Travel &amp; Accommodation</t>
  </si>
  <si>
    <t>6212-0220</t>
  </si>
  <si>
    <t>Public Art - Artist Fees</t>
  </si>
  <si>
    <t>6212-0230</t>
  </si>
  <si>
    <t>Public Art - Production</t>
  </si>
  <si>
    <t>6212-0240</t>
  </si>
  <si>
    <t>Public Art - Marketing</t>
  </si>
  <si>
    <t>6212-0250</t>
  </si>
  <si>
    <t>Public Art - Maintenance</t>
  </si>
  <si>
    <t>6212-0260</t>
  </si>
  <si>
    <t>Public Art - Storage</t>
  </si>
  <si>
    <t>6212-0270</t>
  </si>
  <si>
    <t>Public Art - Staffing</t>
  </si>
  <si>
    <t>6212-0280</t>
  </si>
  <si>
    <t>Public Art - Insurance</t>
  </si>
  <si>
    <t>6212-0290</t>
  </si>
  <si>
    <t>Public Art - Miscellaneous</t>
  </si>
  <si>
    <t>6212-1001</t>
  </si>
  <si>
    <t>Communications - Conferences &amp; Networking</t>
  </si>
  <si>
    <t>6212-1002</t>
  </si>
  <si>
    <t>Communications - Corporate Entertainment</t>
  </si>
  <si>
    <t>6212-1003</t>
  </si>
  <si>
    <t>Communications - Employee Professional Subscriptions</t>
  </si>
  <si>
    <t>6212-1004</t>
  </si>
  <si>
    <t>Communications - Team Entertainment</t>
  </si>
  <si>
    <t>6212-1005</t>
  </si>
  <si>
    <t>Communications - Travel &amp; Accommodation</t>
  </si>
  <si>
    <t>6212-1020</t>
  </si>
  <si>
    <t>Communications - Press Office</t>
  </si>
  <si>
    <t>6212-1030</t>
  </si>
  <si>
    <t>Communications - PR Agencies</t>
  </si>
  <si>
    <t>6212-1040</t>
  </si>
  <si>
    <t>Communications - External Communications</t>
  </si>
  <si>
    <t>6212-1050</t>
  </si>
  <si>
    <t>Communications - Internal Communications</t>
  </si>
  <si>
    <t>6212-1060</t>
  </si>
  <si>
    <t>Communications - Website</t>
  </si>
  <si>
    <t>6212-1501</t>
  </si>
  <si>
    <t>Communities - Conferences &amp; Networking</t>
  </si>
  <si>
    <t>6212-1502</t>
  </si>
  <si>
    <t>Communities - Corporate Entertainment</t>
  </si>
  <si>
    <t>6212-1503</t>
  </si>
  <si>
    <t>Communities - Employee Professional Subscriptions</t>
  </si>
  <si>
    <t>6212-1504</t>
  </si>
  <si>
    <t>Communities - Team Entertainment</t>
  </si>
  <si>
    <t>6212-1505</t>
  </si>
  <si>
    <t>Communities - Travel &amp; Accommodation</t>
  </si>
  <si>
    <t>6212-1520</t>
  </si>
  <si>
    <t>Communities - Charity Donations</t>
  </si>
  <si>
    <t>6212-1530</t>
  </si>
  <si>
    <t>Communities - Reporting</t>
  </si>
  <si>
    <t>6212-1540</t>
  </si>
  <si>
    <t>Communities - Community Relations</t>
  </si>
  <si>
    <t>6212-1550</t>
  </si>
  <si>
    <t>Communities - Community Grant Programme</t>
  </si>
  <si>
    <t>6212-2001</t>
  </si>
  <si>
    <t>Corporate Affairs - Conferences &amp; Networking</t>
  </si>
  <si>
    <t>6212-2002</t>
  </si>
  <si>
    <t>Corporate Affairs - Corporate Entertainment</t>
  </si>
  <si>
    <t>6212-2003</t>
  </si>
  <si>
    <t>Corporate Affairs - Employee Professional Subscriptions</t>
  </si>
  <si>
    <t>6212-2004</t>
  </si>
  <si>
    <t>Corporate Affairs - Team Entertainment</t>
  </si>
  <si>
    <t>6212-2005</t>
  </si>
  <si>
    <t>Corporate Affairs - Travel &amp; Accommodation</t>
  </si>
  <si>
    <t>6212-2020</t>
  </si>
  <si>
    <t>Corporate Affairs - Memberships</t>
  </si>
  <si>
    <t>6212-2030</t>
  </si>
  <si>
    <t>Corporate Affairs - Political Donations - Political Parties</t>
  </si>
  <si>
    <t>6212-2040</t>
  </si>
  <si>
    <t>Corporate Affairs - Political Donations - Political Org</t>
  </si>
  <si>
    <t>6212-2050</t>
  </si>
  <si>
    <t>Corporate Affairs - Charitable Donations/Sponsorship</t>
  </si>
  <si>
    <t>6212-2501</t>
  </si>
  <si>
    <t>CoSec - Conferences &amp; Networking</t>
  </si>
  <si>
    <t>6212-2502</t>
  </si>
  <si>
    <t>CoSec - Corporate Entertainment</t>
  </si>
  <si>
    <t>6212-2503</t>
  </si>
  <si>
    <t>CoSec - Employee Professional Subscriptions</t>
  </si>
  <si>
    <t>6212-2504</t>
  </si>
  <si>
    <t>CoSec - Team Entertainment</t>
  </si>
  <si>
    <t>6212-2505</t>
  </si>
  <si>
    <t>CoSec - Travel &amp; Accommodation</t>
  </si>
  <si>
    <t>6212-2520</t>
  </si>
  <si>
    <t>CoSec - Operator Fees</t>
  </si>
  <si>
    <t>6212-2530</t>
  </si>
  <si>
    <t>CoSec - Legal Corporate Miscellaneous</t>
  </si>
  <si>
    <t>6212-2540</t>
  </si>
  <si>
    <t>CoSec - Offshore Administrative Costs (Jersey)</t>
  </si>
  <si>
    <t>6212-2550</t>
  </si>
  <si>
    <t>CoSec - General</t>
  </si>
  <si>
    <t>6212-2560</t>
  </si>
  <si>
    <t>CoSec - GDPR</t>
  </si>
  <si>
    <t>6212-2570</t>
  </si>
  <si>
    <t>CoSec - Diligent</t>
  </si>
  <si>
    <t>6212-2580</t>
  </si>
  <si>
    <t>CoSec - Registrars</t>
  </si>
  <si>
    <t>6212-2590</t>
  </si>
  <si>
    <t>CoSec - Companies House</t>
  </si>
  <si>
    <t>6212-2600</t>
  </si>
  <si>
    <t>CoSec - Stock Exchange Listing</t>
  </si>
  <si>
    <t>6212-2610</t>
  </si>
  <si>
    <t>CoSec - Subscriptions/Manuals</t>
  </si>
  <si>
    <t>6212-3001</t>
  </si>
  <si>
    <t>Customer Experience - Conferences &amp; Networking</t>
  </si>
  <si>
    <t>6212-3002</t>
  </si>
  <si>
    <t>Customer Experience - Corporate Entertainment</t>
  </si>
  <si>
    <t>6212-3003</t>
  </si>
  <si>
    <t>Customer Experience - Employee Professional Subscriptions</t>
  </si>
  <si>
    <t>6212-3004</t>
  </si>
  <si>
    <t>Customer Experience - Team Entertainment</t>
  </si>
  <si>
    <t>6212-3005</t>
  </si>
  <si>
    <t>Customer Experience - Travel &amp; Accommodation</t>
  </si>
  <si>
    <t>6212-3020</t>
  </si>
  <si>
    <t>Customer Experience - CWG App</t>
  </si>
  <si>
    <t>6212-3030</t>
  </si>
  <si>
    <t>Customer Experience - Consultancy</t>
  </si>
  <si>
    <t>6212-3040</t>
  </si>
  <si>
    <t>Customer Experience - Customer Insights</t>
  </si>
  <si>
    <t>6212-3050</t>
  </si>
  <si>
    <t>Customer Experience - Wharf Connect</t>
  </si>
  <si>
    <t>6212-3501</t>
  </si>
  <si>
    <t>CWRML - Conferences &amp; Networking</t>
  </si>
  <si>
    <t>6212-3502</t>
  </si>
  <si>
    <t>CWRML - Corporate Entertainment</t>
  </si>
  <si>
    <t>6212-3503</t>
  </si>
  <si>
    <t>CWRML - Employee Professional Subscriptions</t>
  </si>
  <si>
    <t>6212-3504</t>
  </si>
  <si>
    <t>CWRML - Team Entertainment</t>
  </si>
  <si>
    <t>6212-3505</t>
  </si>
  <si>
    <t>CWRML - Travel &amp; Accommodation</t>
  </si>
  <si>
    <t>6212-3520</t>
  </si>
  <si>
    <t>CWRML - Legal Fees</t>
  </si>
  <si>
    <t>6212-4001</t>
  </si>
  <si>
    <t>Residential Sales - Conferences &amp; Networking</t>
  </si>
  <si>
    <t>6212-4002</t>
  </si>
  <si>
    <t>Residential Sales - Corporate Entertainment</t>
  </si>
  <si>
    <t>6212-4003</t>
  </si>
  <si>
    <t>Residential Sales - Employee Professional Subscriptions</t>
  </si>
  <si>
    <t>6212-4004</t>
  </si>
  <si>
    <t>Residential Sales - Team Entertainment</t>
  </si>
  <si>
    <t>6212-4005</t>
  </si>
  <si>
    <t>Residential Sales - Travel &amp; Accommodation</t>
  </si>
  <si>
    <t>6212-6001</t>
  </si>
  <si>
    <t>Accounts - Conferences &amp; Networking</t>
  </si>
  <si>
    <t>6212-6002</t>
  </si>
  <si>
    <t>Accounts - Corporate Entertainment</t>
  </si>
  <si>
    <t>6212-6003</t>
  </si>
  <si>
    <t>Accounts - Employee Professional Subscriptions</t>
  </si>
  <si>
    <t>6212-6004</t>
  </si>
  <si>
    <t>Accounts - Team Entertainment</t>
  </si>
  <si>
    <t>6212-6005</t>
  </si>
  <si>
    <t>Accounts - Travel &amp; Accommodation</t>
  </si>
  <si>
    <t>6212-6020</t>
  </si>
  <si>
    <t>Accounts - Internal Audit Fees</t>
  </si>
  <si>
    <t>6212-6030</t>
  </si>
  <si>
    <t>Accounts - External Audit Fees</t>
  </si>
  <si>
    <t>6212-6040</t>
  </si>
  <si>
    <t>Accounts - Consultant Fees</t>
  </si>
  <si>
    <t>6212-6201</t>
  </si>
  <si>
    <t>Prop Valuations - Conferences &amp; Networking</t>
  </si>
  <si>
    <t>6212-6202</t>
  </si>
  <si>
    <t>Prop Valuations - Corporate Entertainment</t>
  </si>
  <si>
    <t>6212-6203</t>
  </si>
  <si>
    <t>Prop Valuations - Employee Professional Subscriptions</t>
  </si>
  <si>
    <t>6212-6204</t>
  </si>
  <si>
    <t>Prop Valuations - Team Entertainment</t>
  </si>
  <si>
    <t>6212-6205</t>
  </si>
  <si>
    <t>Prop Valuations - Travel &amp; Accommodation</t>
  </si>
  <si>
    <t>6212-6220</t>
  </si>
  <si>
    <t>Prop Valuations - External Valuation Fees</t>
  </si>
  <si>
    <t>6212-6301</t>
  </si>
  <si>
    <t>Tax - Conferences &amp; Networking</t>
  </si>
  <si>
    <t>6212-6302</t>
  </si>
  <si>
    <t>Tax - Corporate Entertainment</t>
  </si>
  <si>
    <t>6212-6303</t>
  </si>
  <si>
    <t>Tax - Employee Professional Subscriptions</t>
  </si>
  <si>
    <t>6212-6304</t>
  </si>
  <si>
    <t>Tax - Team Entertainment</t>
  </si>
  <si>
    <t>6212-6305</t>
  </si>
  <si>
    <t>Tax - Travel &amp; Accommodation</t>
  </si>
  <si>
    <t>6212-6320</t>
  </si>
  <si>
    <t>Tax - Subscriptions / Manuals</t>
  </si>
  <si>
    <t>6212-6330</t>
  </si>
  <si>
    <t>Tax - Tax fees general</t>
  </si>
  <si>
    <t>6212-6340</t>
  </si>
  <si>
    <t>Tax - Capital Allowance fees</t>
  </si>
  <si>
    <t>6212-6350</t>
  </si>
  <si>
    <t>Tax - HMRC Enquiry - HQW</t>
  </si>
  <si>
    <t>6212-6360</t>
  </si>
  <si>
    <t>Tax - Penalties</t>
  </si>
  <si>
    <t>6212-7001</t>
  </si>
  <si>
    <t>IT - Conferences &amp; Networking</t>
  </si>
  <si>
    <t>6212-7002</t>
  </si>
  <si>
    <t>IT - Corporate Entertainment</t>
  </si>
  <si>
    <t>6212-7003</t>
  </si>
  <si>
    <t>IT - Employee Professional Subscriptions</t>
  </si>
  <si>
    <t>6212-7004</t>
  </si>
  <si>
    <t>IT - Team Entertainment</t>
  </si>
  <si>
    <t>6212-7005</t>
  </si>
  <si>
    <t>IT - Travel &amp; Accommodation</t>
  </si>
  <si>
    <t>6212-7020</t>
  </si>
  <si>
    <t>IT - Software Maintenance</t>
  </si>
  <si>
    <t>6212-7030</t>
  </si>
  <si>
    <t>IT - Hardware Maintenance</t>
  </si>
  <si>
    <t>6212-7040</t>
  </si>
  <si>
    <t>IT - Software Subscriptions</t>
  </si>
  <si>
    <t>6212-7050</t>
  </si>
  <si>
    <t>IT - Software Purchasing</t>
  </si>
  <si>
    <t>6212-7060</t>
  </si>
  <si>
    <t>IT - Hardware Purchasing</t>
  </si>
  <si>
    <t>6212-7070</t>
  </si>
  <si>
    <t>IT - 3rd Party Services</t>
  </si>
  <si>
    <t>6212-7080</t>
  </si>
  <si>
    <t>IT - Information Security</t>
  </si>
  <si>
    <t>6212-7210</t>
  </si>
  <si>
    <t>IT - CWG Telecoms Voice</t>
  </si>
  <si>
    <t>6212-7250</t>
  </si>
  <si>
    <t>IT - Reprographics, Leases &amp; Copies</t>
  </si>
  <si>
    <t>6212-7300</t>
  </si>
  <si>
    <t>IT - Yardi Consultancy</t>
  </si>
  <si>
    <t>6212-7410</t>
  </si>
  <si>
    <t>IT Projects - Communications</t>
  </si>
  <si>
    <t>6212-7411</t>
  </si>
  <si>
    <t>IT Projects - Customer Experience</t>
  </si>
  <si>
    <t>6212-7412</t>
  </si>
  <si>
    <t>IT Projects - Legal</t>
  </si>
  <si>
    <t>6212-7413</t>
  </si>
  <si>
    <t>IT Projects - Level 39</t>
  </si>
  <si>
    <t>6212-7414</t>
  </si>
  <si>
    <t>IT Projects - Marketing</t>
  </si>
  <si>
    <t>6212-7415</t>
  </si>
  <si>
    <t>IT Projects – P&amp;D</t>
  </si>
  <si>
    <t>6212-7991</t>
  </si>
  <si>
    <t>IT - Recharges CWCL</t>
  </si>
  <si>
    <t>6212-7992</t>
  </si>
  <si>
    <t>IT - Recharges CWML</t>
  </si>
  <si>
    <t>6212-7993</t>
  </si>
  <si>
    <t>IT - Recharges CWRML</t>
  </si>
  <si>
    <t>6212-7994</t>
  </si>
  <si>
    <t>IT - Recharges VRML</t>
  </si>
  <si>
    <t>6212-7995</t>
  </si>
  <si>
    <t>IT - Recharges Lvl 39</t>
  </si>
  <si>
    <t>6212-8001</t>
  </si>
  <si>
    <t>Legal - Conferences &amp; Networking</t>
  </si>
  <si>
    <t>6212-8002</t>
  </si>
  <si>
    <t>Legal - Corporate Entertainment</t>
  </si>
  <si>
    <t>6212-8003</t>
  </si>
  <si>
    <t>Legal - Employee Professional Subscriptions</t>
  </si>
  <si>
    <t>6212-8004</t>
  </si>
  <si>
    <t>Legal - Team Entertainment</t>
  </si>
  <si>
    <t>6212-8005</t>
  </si>
  <si>
    <t>Legal - Travel &amp; Accommodation</t>
  </si>
  <si>
    <t>6212-8020</t>
  </si>
  <si>
    <t>Legal - Joint Ventures</t>
  </si>
  <si>
    <t>6212-8030</t>
  </si>
  <si>
    <t>Legal - Restructuring</t>
  </si>
  <si>
    <t>6212-8040</t>
  </si>
  <si>
    <t>Legal - Miscellaneous</t>
  </si>
  <si>
    <t>6212-8050</t>
  </si>
  <si>
    <t>Legal - Land Registry Fees</t>
  </si>
  <si>
    <t>6212-8060</t>
  </si>
  <si>
    <t>Legal - Sales</t>
  </si>
  <si>
    <t>6212-8070</t>
  </si>
  <si>
    <t>Legal - Bids</t>
  </si>
  <si>
    <t>6212-8080</t>
  </si>
  <si>
    <t>Legal - Acquisitions</t>
  </si>
  <si>
    <t>6212-8090</t>
  </si>
  <si>
    <t>Legal - Litigation</t>
  </si>
  <si>
    <t>6212-8100</t>
  </si>
  <si>
    <t>Legal - Development</t>
  </si>
  <si>
    <t>6212-8110</t>
  </si>
  <si>
    <t>Legal - Due diligence</t>
  </si>
  <si>
    <t>6213-0001</t>
  </si>
  <si>
    <t>Mktg Corp - Conferences &amp; Networking</t>
  </si>
  <si>
    <t>6213-0002</t>
  </si>
  <si>
    <t>Mktg Corp - Corporate Entertainment</t>
  </si>
  <si>
    <t>6213-0003</t>
  </si>
  <si>
    <t>Mktg Corp - Employee Professional Subscriptions</t>
  </si>
  <si>
    <t>6213-0004</t>
  </si>
  <si>
    <t>Mktg Corp - Team Entertainment</t>
  </si>
  <si>
    <t>6213-0005</t>
  </si>
  <si>
    <t>Mktg Corp - Travel &amp; Accommodation</t>
  </si>
  <si>
    <t>6213-0020</t>
  </si>
  <si>
    <t>Mktg Corp - Freelance Support</t>
  </si>
  <si>
    <t>6213-0030</t>
  </si>
  <si>
    <t>Mktg Corp - Website Updates/SEO</t>
  </si>
  <si>
    <t>6213-0040</t>
  </si>
  <si>
    <t>Mktg Corp - Film, Photography, Print</t>
  </si>
  <si>
    <t>6213-0050</t>
  </si>
  <si>
    <t>Mktg Corp - Placemaking/Estate Hoarding</t>
  </si>
  <si>
    <t>6213-0060</t>
  </si>
  <si>
    <t>Mktg Corp - Branded Merchandise</t>
  </si>
  <si>
    <t>6213-0070</t>
  </si>
  <si>
    <t>Mktg Corp - Campaign Support</t>
  </si>
  <si>
    <t>6213-0501</t>
  </si>
  <si>
    <t>Mktg Office - Conferences &amp; Networking</t>
  </si>
  <si>
    <t>6213-0502</t>
  </si>
  <si>
    <t>Mktg Office - Corporate Entertainment</t>
  </si>
  <si>
    <t>6213-0503</t>
  </si>
  <si>
    <t>Mktg Office - Employee Professional Subscriptions</t>
  </si>
  <si>
    <t>6213-0504</t>
  </si>
  <si>
    <t>Mktg Office - Team Entertainment</t>
  </si>
  <si>
    <t>6213-0505</t>
  </si>
  <si>
    <t>Mktg Office - Travel &amp; Accommodation</t>
  </si>
  <si>
    <t>6213-0520</t>
  </si>
  <si>
    <t>Mktg Office - Brochure &amp; Presentation Materials</t>
  </si>
  <si>
    <t>6213-0530</t>
  </si>
  <si>
    <t>Mktg Office - Bespoke Tenant Presentations</t>
  </si>
  <si>
    <t>6213-0540</t>
  </si>
  <si>
    <t>Mktg Office - Events</t>
  </si>
  <si>
    <t>6213-0550</t>
  </si>
  <si>
    <t>Mktg Office - Exhibitions &amp; Events</t>
  </si>
  <si>
    <t>6213-0560</t>
  </si>
  <si>
    <t>Mktg Office - CGI</t>
  </si>
  <si>
    <t>6213-0570</t>
  </si>
  <si>
    <t>Mktg Office - Film &amp; Photography</t>
  </si>
  <si>
    <t>6213-0580</t>
  </si>
  <si>
    <t>Mktg Office - Digital Marketing</t>
  </si>
  <si>
    <t>6213-0590</t>
  </si>
  <si>
    <t>Mktg Office - Paid For Tenant Targetting</t>
  </si>
  <si>
    <t>6213-0600</t>
  </si>
  <si>
    <t>Mktg Office - Physical Campaign / Off-Estate Activation</t>
  </si>
  <si>
    <t>6213-0610</t>
  </si>
  <si>
    <t>Mktg Office - On Floor Marketing</t>
  </si>
  <si>
    <t>6213-0620</t>
  </si>
  <si>
    <t>Mktg Office - Wood Wharf Marketing Suite</t>
  </si>
  <si>
    <t>6213-0630</t>
  </si>
  <si>
    <t>Mktg Office - Level 30 Marketing Suite</t>
  </si>
  <si>
    <t>6213-0640</t>
  </si>
  <si>
    <t>Mktg Office - East London Life Sciences Brand &amp; Website</t>
  </si>
  <si>
    <t>6213-0650</t>
  </si>
  <si>
    <t>Mktg Office - Sponsorship &amp; Events</t>
  </si>
  <si>
    <t>6213-1001</t>
  </si>
  <si>
    <t>Mktg Resi - Conferences &amp; Networking</t>
  </si>
  <si>
    <t>6213-1002</t>
  </si>
  <si>
    <t>Mktg Resi - Corporate Entertainment</t>
  </si>
  <si>
    <t>6213-1003</t>
  </si>
  <si>
    <t>Mktg Resi - Employee Professional Subscriptions</t>
  </si>
  <si>
    <t>6213-1004</t>
  </si>
  <si>
    <t>Mktg Resi - Team Entertainment</t>
  </si>
  <si>
    <t>6213-1005</t>
  </si>
  <si>
    <t>Mktg Resi - Travel &amp; Accommodation</t>
  </si>
  <si>
    <t>6213-1020</t>
  </si>
  <si>
    <t>Mktg Resi - Branding, Strategic &amp; Creative Application</t>
  </si>
  <si>
    <t>6213-1030</t>
  </si>
  <si>
    <t>Mktg Resi - UK Advertising &amp; Media</t>
  </si>
  <si>
    <t>6213-1040</t>
  </si>
  <si>
    <t>Mktg Resi - Overseas Advertising &amp; Media</t>
  </si>
  <si>
    <t>6213-1050</t>
  </si>
  <si>
    <t>Mktg Resi - On Estate Advertising</t>
  </si>
  <si>
    <t>6213-1060</t>
  </si>
  <si>
    <t>Mktg Resi - Hoarding &amp; Signage</t>
  </si>
  <si>
    <t>6213-1070</t>
  </si>
  <si>
    <t>Mktg Resi - Email Marketing</t>
  </si>
  <si>
    <t>6213-1080</t>
  </si>
  <si>
    <t>Mktg Resi - Agent &amp; Introducer Events</t>
  </si>
  <si>
    <t>6213-1090</t>
  </si>
  <si>
    <t>Mktg Resi - Other Marketing Events</t>
  </si>
  <si>
    <t>6213-1100</t>
  </si>
  <si>
    <t>Mktg Resi - Overseas Activity</t>
  </si>
  <si>
    <t>6213-1110</t>
  </si>
  <si>
    <t>Mktg Resi - Residential Website &amp; SEO</t>
  </si>
  <si>
    <t>6213-1120</t>
  </si>
  <si>
    <t>Mktg Resi - Public Relations &amp; Awards</t>
  </si>
  <si>
    <t>6213-1130</t>
  </si>
  <si>
    <t>Mktg Resi - Marketing Collateral</t>
  </si>
  <si>
    <t>6213-1140</t>
  </si>
  <si>
    <t>Mktg Resi - Photography &amp; CGI's</t>
  </si>
  <si>
    <t>6213-1150</t>
  </si>
  <si>
    <t>Mktg Resi - Film</t>
  </si>
  <si>
    <t>6213-1160</t>
  </si>
  <si>
    <t>Mktg Resi - Sales Suite Interactive</t>
  </si>
  <si>
    <t>6213-1170</t>
  </si>
  <si>
    <t>Mktg Resi - Models &amp; Maintenance</t>
  </si>
  <si>
    <t>6213-1180</t>
  </si>
  <si>
    <t>Mktg Resi - Digital Platforms</t>
  </si>
  <si>
    <t>6213-1190</t>
  </si>
  <si>
    <t>Mktg Resi - Show Apartments - Relocation &amp; Furniture Moves</t>
  </si>
  <si>
    <t>6213-1200</t>
  </si>
  <si>
    <t>Mktg Resi - Repairs/Wear &amp; Tear Costs</t>
  </si>
  <si>
    <t>6213-1210</t>
  </si>
  <si>
    <t>Mktg Resi - Marketing Suite Costs</t>
  </si>
  <si>
    <t>6213-1220</t>
  </si>
  <si>
    <t>Mktg Resi - General Running Costs - Show Apts &amp; Mktg Suite</t>
  </si>
  <si>
    <t>6213-1230</t>
  </si>
  <si>
    <t>Mktg Resi - Show Apartments - Interior Design/FF&amp;E</t>
  </si>
  <si>
    <t>6213-1501</t>
  </si>
  <si>
    <t>Mktg Retail - Conferences &amp; Networking</t>
  </si>
  <si>
    <t>6213-1502</t>
  </si>
  <si>
    <t>Mktg Retail - Corporate Entertainment</t>
  </si>
  <si>
    <t>6213-1503</t>
  </si>
  <si>
    <t>Mktg Retail - Employee Professional Subscriptions</t>
  </si>
  <si>
    <t>6213-1504</t>
  </si>
  <si>
    <t>Mktg Retail - Team Entertainment</t>
  </si>
  <si>
    <t>6213-1505</t>
  </si>
  <si>
    <t>Mktg Retail - Travel &amp; Accommodation</t>
  </si>
  <si>
    <t>6213-1520</t>
  </si>
  <si>
    <t>Mktg Retail - Brand: CW Place - Consultant Fees</t>
  </si>
  <si>
    <t>6213-1530</t>
  </si>
  <si>
    <t>Mktg Retail - Brand: CW Place - Film &amp; Photography</t>
  </si>
  <si>
    <t>6213-1540</t>
  </si>
  <si>
    <t>Mktg Retail - Brand: CW Place - Advertising</t>
  </si>
  <si>
    <t>6213-1550</t>
  </si>
  <si>
    <t>Mktg Retail - Brand: Middle Dock - Film &amp; Photography</t>
  </si>
  <si>
    <t>6213-1560</t>
  </si>
  <si>
    <t>Mktg Retail - Brand: Middle Dock - Events</t>
  </si>
  <si>
    <t>6213-1570</t>
  </si>
  <si>
    <t>Mktg Retail - Content Marketing</t>
  </si>
  <si>
    <t>6213-1580</t>
  </si>
  <si>
    <t>Mktg Retail - Email Marketing</t>
  </si>
  <si>
    <t>6213-1590</t>
  </si>
  <si>
    <t>Mktg Retail - Website</t>
  </si>
  <si>
    <t>6213-1600</t>
  </si>
  <si>
    <t>Mktg Retail - Market Research</t>
  </si>
  <si>
    <t>6213-1610</t>
  </si>
  <si>
    <t>Mktg Retail - Reactive Spend</t>
  </si>
  <si>
    <t>6213-1620</t>
  </si>
  <si>
    <t>Mktg Retail - Christmas Decorations (Retail Malls)</t>
  </si>
  <si>
    <t>6213-2001</t>
  </si>
  <si>
    <t>Mktg Transport - Conferences &amp; Networking</t>
  </si>
  <si>
    <t>6213-2002</t>
  </si>
  <si>
    <t>Mktg Transport - Corporate Entertainment</t>
  </si>
  <si>
    <t>6213-2003</t>
  </si>
  <si>
    <t>Mktg Transport - Employee Professional Subscriptions</t>
  </si>
  <si>
    <t>6213-2004</t>
  </si>
  <si>
    <t>Mktg Transport - Team Entertainment</t>
  </si>
  <si>
    <t>6213-2005</t>
  </si>
  <si>
    <t>Mktg Transport - Travel &amp; Accommodation</t>
  </si>
  <si>
    <t>6213-2020</t>
  </si>
  <si>
    <t>Mktg Transport - Market Research &amp; Transport Studies</t>
  </si>
  <si>
    <t>6213-2030</t>
  </si>
  <si>
    <t>Mktg Transport - Transport and Political Consultants</t>
  </si>
  <si>
    <t>6213-2501</t>
  </si>
  <si>
    <t>Mktg Vertus - Conferences &amp; Networking</t>
  </si>
  <si>
    <t>6213-2502</t>
  </si>
  <si>
    <t>Mktg Vertus - Corporate Entertainment</t>
  </si>
  <si>
    <t>6213-2503</t>
  </si>
  <si>
    <t>Mktg Vertus - Employee Professional Subscriptions</t>
  </si>
  <si>
    <t>6213-2504</t>
  </si>
  <si>
    <t>Mktg Vertus - Team Entertainment</t>
  </si>
  <si>
    <t>6213-2505</t>
  </si>
  <si>
    <t>Mktg Vertus - Travel &amp; Accommodation</t>
  </si>
  <si>
    <t>6213-2520</t>
  </si>
  <si>
    <t>Mktg Vertus - Advertising</t>
  </si>
  <si>
    <t>6213-2530</t>
  </si>
  <si>
    <t>Mktg Vertus - App &amp; CRM</t>
  </si>
  <si>
    <t>6213-2540</t>
  </si>
  <si>
    <t>Mktg Vertus - Brand Dev, Content &amp; Creative Application</t>
  </si>
  <si>
    <t>6213-2550</t>
  </si>
  <si>
    <t>Mktg Vertus - Brand Partnerships, Events &amp; Models</t>
  </si>
  <si>
    <t>6213-2560</t>
  </si>
  <si>
    <t>Mktg Vertus - Owned Digital Channels / Digital Platforms</t>
  </si>
  <si>
    <t>6213-2570</t>
  </si>
  <si>
    <t>Mktg Vertus - Marketing Collateral &amp; Merch</t>
  </si>
  <si>
    <t>6213-2580</t>
  </si>
  <si>
    <t>Mktg Vertus - Public Relations &amp; Social Media</t>
  </si>
  <si>
    <t>6213-2590</t>
  </si>
  <si>
    <t>Mktg Vertus - Hoarding &amp; Vinyls</t>
  </si>
  <si>
    <t>6213-2600</t>
  </si>
  <si>
    <t>Mktg Vertus - VRML Brand Partnerships, Sponsorships &amp; Events</t>
  </si>
  <si>
    <t>6213-2610</t>
  </si>
  <si>
    <t>Mktg Vertus - VRML Merchandise</t>
  </si>
  <si>
    <t>6213-4001</t>
  </si>
  <si>
    <t>Office Leasing - Conferences &amp; Networking</t>
  </si>
  <si>
    <t>6213-4002</t>
  </si>
  <si>
    <t>Office Leasing - Corporate Entertainment</t>
  </si>
  <si>
    <t>6213-4003</t>
  </si>
  <si>
    <t>Office Leasing - Employee Professional Subscriptions</t>
  </si>
  <si>
    <t>6213-4004</t>
  </si>
  <si>
    <t>Office Leasing - Team Entertainment</t>
  </si>
  <si>
    <t>6213-4005</t>
  </si>
  <si>
    <t>Office Leasing - Travel &amp; Accommodation</t>
  </si>
  <si>
    <t>6213-4020</t>
  </si>
  <si>
    <t>Office Leasing - Corporate Subscription</t>
  </si>
  <si>
    <t>6213-4030</t>
  </si>
  <si>
    <t>Office Leasing - Exhibitions</t>
  </si>
  <si>
    <t>6213-4520</t>
  </si>
  <si>
    <t>Rates - Rates</t>
  </si>
  <si>
    <t>6213-4530</t>
  </si>
  <si>
    <t>Rates - Rates Fees</t>
  </si>
  <si>
    <t>6213-4591</t>
  </si>
  <si>
    <t>Rates - Recharges CWCL</t>
  </si>
  <si>
    <t>6213-4592</t>
  </si>
  <si>
    <t>Rates - Recharges CWML</t>
  </si>
  <si>
    <t>6213-4593</t>
  </si>
  <si>
    <t>Rates - Recharges CWRML</t>
  </si>
  <si>
    <t>6213-4594</t>
  </si>
  <si>
    <t>Rates - Recharges VRML</t>
  </si>
  <si>
    <t>6213-5001</t>
  </si>
  <si>
    <t>Insurance - Conferences &amp; Networking</t>
  </si>
  <si>
    <t>6213-5002</t>
  </si>
  <si>
    <t>Insurance - Corporate Entertainment</t>
  </si>
  <si>
    <t>6213-5003</t>
  </si>
  <si>
    <t>Insurance - Employee Professional Subscriptions</t>
  </si>
  <si>
    <t>6213-5004</t>
  </si>
  <si>
    <t>Insurance - Team Entertainment</t>
  </si>
  <si>
    <t>6213-5005</t>
  </si>
  <si>
    <t>Insurance - Travel &amp; Accommodation</t>
  </si>
  <si>
    <t>6213-5020</t>
  </si>
  <si>
    <t>Insurance - CW Space: Material Damage/Business Interruption</t>
  </si>
  <si>
    <t>6213-5030</t>
  </si>
  <si>
    <t>Insurance - CW Space: Public/Product Liability</t>
  </si>
  <si>
    <t>6213-5040</t>
  </si>
  <si>
    <t>Insurance - CW Space: Terrorism</t>
  </si>
  <si>
    <t>6213-5050</t>
  </si>
  <si>
    <t>Insurance - CW Space: Engineering Inspection excluding VAT</t>
  </si>
  <si>
    <t>6213-5060</t>
  </si>
  <si>
    <t>Insurance - General: Employer's Liability</t>
  </si>
  <si>
    <t>6213-5070</t>
  </si>
  <si>
    <t>Insurance - General: Professional Indemnity</t>
  </si>
  <si>
    <t>6213-5080</t>
  </si>
  <si>
    <t>Insurance - General: Motor Fleet</t>
  </si>
  <si>
    <t>6213-5090</t>
  </si>
  <si>
    <t>Insurance - General: Construction Annual Policy</t>
  </si>
  <si>
    <t>6213-5100</t>
  </si>
  <si>
    <t>Insurance - General: Marine</t>
  </si>
  <si>
    <t>6213-5110</t>
  </si>
  <si>
    <t>Insurance - General: Personal Accident &amp; Travel</t>
  </si>
  <si>
    <t>6213-5120</t>
  </si>
  <si>
    <t>Insurance - General: Crime</t>
  </si>
  <si>
    <t>6213-5121</t>
  </si>
  <si>
    <t>Insurance - General: Cyber</t>
  </si>
  <si>
    <t>6213-5130</t>
  </si>
  <si>
    <t>Insurance - General: Directors &amp; Officers Liability</t>
  </si>
  <si>
    <t>6213-5140</t>
  </si>
  <si>
    <t>Insurance - General: Pension Trustee Liability</t>
  </si>
  <si>
    <t>6213-5150</t>
  </si>
  <si>
    <t>Insurance - General: Artwork</t>
  </si>
  <si>
    <t>6213-5160</t>
  </si>
  <si>
    <t>Insurance - Broker Fees</t>
  </si>
  <si>
    <t>6213-5491</t>
  </si>
  <si>
    <t>Insurance - Recharges CWCL</t>
  </si>
  <si>
    <t>6213-5492</t>
  </si>
  <si>
    <t>Insurance - Recharges CWML</t>
  </si>
  <si>
    <t>6213-5493</t>
  </si>
  <si>
    <t>Insurance - Recharges CWRML</t>
  </si>
  <si>
    <t>6213-5494</t>
  </si>
  <si>
    <t>Insurance - Recharges VRML</t>
  </si>
  <si>
    <t>6213-5501</t>
  </si>
  <si>
    <t>Facilities Management - Conferences &amp; Networking</t>
  </si>
  <si>
    <t>6213-5502</t>
  </si>
  <si>
    <t>Facilities Management - Corporate Entertainment</t>
  </si>
  <si>
    <t>6213-5503</t>
  </si>
  <si>
    <t>Facilities Management - Employee Professional Subscriptions</t>
  </si>
  <si>
    <t>6213-5504</t>
  </si>
  <si>
    <t>Facilities Management - Team Entertainment</t>
  </si>
  <si>
    <t>6213-5505</t>
  </si>
  <si>
    <t>Facilities Management - Travel &amp; Accommodation</t>
  </si>
  <si>
    <t>6213-5520</t>
  </si>
  <si>
    <t>Facilities Management - Electricity</t>
  </si>
  <si>
    <t>6213-5530</t>
  </si>
  <si>
    <t>Facilities Management - Maintenance</t>
  </si>
  <si>
    <t>6213-5540</t>
  </si>
  <si>
    <t>Facilities Management - Cleaning</t>
  </si>
  <si>
    <t>6213-5550</t>
  </si>
  <si>
    <t>Facilities Management - Plant Maintenance &amp; Flower Displays</t>
  </si>
  <si>
    <t>6213-5560</t>
  </si>
  <si>
    <t>Facilities Management - Office Equipment &amp; Sundries</t>
  </si>
  <si>
    <t>6213-5570</t>
  </si>
  <si>
    <t>Facilities Management - Furniture, Move &amp; Changes</t>
  </si>
  <si>
    <t>6213-5580</t>
  </si>
  <si>
    <t>Facilities Management - Model Maintenance</t>
  </si>
  <si>
    <t>6213-5590</t>
  </si>
  <si>
    <t>Facilities Management - Reception Services</t>
  </si>
  <si>
    <t>6213-5600</t>
  </si>
  <si>
    <t>Facilities Management - Dry Cleaning &amp; New Uniforms</t>
  </si>
  <si>
    <t>6213-5610</t>
  </si>
  <si>
    <t>Facilities Management - Postage Equipment</t>
  </si>
  <si>
    <t>6213-5620</t>
  </si>
  <si>
    <t>Facilities Management - Catering</t>
  </si>
  <si>
    <t>6213-5630</t>
  </si>
  <si>
    <t>Facilities Management - Stationery &amp; Printing</t>
  </si>
  <si>
    <t>6213-5640</t>
  </si>
  <si>
    <t>Facilities Management - Library &amp; Publications</t>
  </si>
  <si>
    <t>6213-5660</t>
  </si>
  <si>
    <t>Facilities Management - Company Subscriptions</t>
  </si>
  <si>
    <t>6213-5991</t>
  </si>
  <si>
    <t>Facilities Management - Recharges CWCL</t>
  </si>
  <si>
    <t>6213-5992</t>
  </si>
  <si>
    <t>Facilities Management - Recharges CWML</t>
  </si>
  <si>
    <t>6213-5993</t>
  </si>
  <si>
    <t>Facilities Management - Recharges CWRML</t>
  </si>
  <si>
    <t>6213-5994</t>
  </si>
  <si>
    <t>Facilities Management - Recharges VRML</t>
  </si>
  <si>
    <t>6213-6004</t>
  </si>
  <si>
    <t>CWML - Team Entertainment</t>
  </si>
  <si>
    <t>6213-6020</t>
  </si>
  <si>
    <t>Other Office Management - Security Costs</t>
  </si>
  <si>
    <t>6213-7001</t>
  </si>
  <si>
    <t>Ppl and Dev - Conferences &amp; Networking</t>
  </si>
  <si>
    <t>6213-7002</t>
  </si>
  <si>
    <t>Ppl and Dev - Corporate Entertainment</t>
  </si>
  <si>
    <t>6213-7003</t>
  </si>
  <si>
    <t>Ppl and Dev - Employee Professional Subscriptions</t>
  </si>
  <si>
    <t>6213-7004</t>
  </si>
  <si>
    <t>Ppl and Dev - Team Entertainment</t>
  </si>
  <si>
    <t>6213-7005</t>
  </si>
  <si>
    <t>Ppl and Dev - Travel &amp; Accommodation</t>
  </si>
  <si>
    <t>6213-7006</t>
  </si>
  <si>
    <t>Ppl and Dev - Staff Gifts &amp; Leaving Costs</t>
  </si>
  <si>
    <t>6213-7007</t>
  </si>
  <si>
    <t>Ppl and Dev - Sports &amp; Social Costs</t>
  </si>
  <si>
    <t>6213-7020</t>
  </si>
  <si>
    <t>Ppl and Dev - HR Information Subscriptions &amp; Networks</t>
  </si>
  <si>
    <t>6213-7030</t>
  </si>
  <si>
    <t>Ppl and Dev - Recruitment Services</t>
  </si>
  <si>
    <t>6213-7040</t>
  </si>
  <si>
    <t>Ppl and Dev - P&amp;D Legal Fees (General Policy Advice)</t>
  </si>
  <si>
    <t>6213-7050</t>
  </si>
  <si>
    <t>Ppl and Dev - CWG Legal Fees Disputes</t>
  </si>
  <si>
    <t>6213-7100</t>
  </si>
  <si>
    <t>Ppl and Dev - Employee Relations (Settlements)</t>
  </si>
  <si>
    <t>6213-7110</t>
  </si>
  <si>
    <t>Ppl and Dev - Employee Relations - Occ Health</t>
  </si>
  <si>
    <t>6213-7130</t>
  </si>
  <si>
    <t>Ppl and Dev - Occupational Health (Benefits)</t>
  </si>
  <si>
    <t>6213-7200</t>
  </si>
  <si>
    <t>Ppl and Dev - Professional Fees (Non Legal)</t>
  </si>
  <si>
    <t>6213-7210</t>
  </si>
  <si>
    <t>Ppl and Dev - External Consultant Fees</t>
  </si>
  <si>
    <t>6213-7310</t>
  </si>
  <si>
    <t>Ppl and Dev - People Engagement</t>
  </si>
  <si>
    <t>6213-7320</t>
  </si>
  <si>
    <t>Ppl and Dev - Junior Board</t>
  </si>
  <si>
    <t>6213-7330</t>
  </si>
  <si>
    <t>Ppl and Dev - ED&amp;I Networks</t>
  </si>
  <si>
    <t>6213-7501</t>
  </si>
  <si>
    <t>Ppl and Dev - Hiring and Recruitment Fees (P&amp;D, CX, Comm)</t>
  </si>
  <si>
    <t>6213-7502</t>
  </si>
  <si>
    <t>Ppl and Dev - Hiring and Recruitment Fees (Executive)</t>
  </si>
  <si>
    <t>6213-7503</t>
  </si>
  <si>
    <t>Ppl and Dev - Hiring and Recruitment Fees (Acc and Fin)</t>
  </si>
  <si>
    <t>6213-7504</t>
  </si>
  <si>
    <t>Ppl and Dev - Hiring and Recruitment Fees (Legal)</t>
  </si>
  <si>
    <t>6213-7505</t>
  </si>
  <si>
    <t>Ppl and Dev - Hiring and Recruitment Fees (IT)</t>
  </si>
  <si>
    <t>6213-7506</t>
  </si>
  <si>
    <t>INACTIVE:Ppl and Dev-Hiring &amp; Recruitment Fees (Retail Leas)</t>
  </si>
  <si>
    <t>6213-7507</t>
  </si>
  <si>
    <t>Ppl and Dev - Hiring and Recruitment Fees (Office, L39)</t>
  </si>
  <si>
    <t>6213-7508</t>
  </si>
  <si>
    <t>Ppl and Dev - Hiring and Recruitment Fees (Mktg, Comms)</t>
  </si>
  <si>
    <t>6213-7509</t>
  </si>
  <si>
    <t>Ppl and Dev - Hiring and Recruitment Fees (Referral Fee)</t>
  </si>
  <si>
    <t>6213-7591</t>
  </si>
  <si>
    <t>Ppl and Dev - Hiring and Recruitment Fees (CWCL)</t>
  </si>
  <si>
    <t>6213-7592</t>
  </si>
  <si>
    <t>Ppl and Dev - Hiring and Recruitment Fees (CWML)</t>
  </si>
  <si>
    <t>6213-7593</t>
  </si>
  <si>
    <t>Ppl and Dev - Hiring and Recruitment Fees (CWRML)</t>
  </si>
  <si>
    <t>6213-7594</t>
  </si>
  <si>
    <t>Ppl and Dev - Hiring and Recruitment Fees (VRML)</t>
  </si>
  <si>
    <t>6213-7691</t>
  </si>
  <si>
    <t>Ppl and Dev - Recharges CWCL</t>
  </si>
  <si>
    <t>6213-7692</t>
  </si>
  <si>
    <t>Ppl and Dev - Recharges CWML</t>
  </si>
  <si>
    <t>6213-7693</t>
  </si>
  <si>
    <t>Ppl and Dev - Recharges CWRML</t>
  </si>
  <si>
    <t>6213-7694</t>
  </si>
  <si>
    <t>Ppl and Dev - Recharges VRML</t>
  </si>
  <si>
    <t>6213-8001</t>
  </si>
  <si>
    <t>Training - Conferences &amp; Networking</t>
  </si>
  <si>
    <t>6213-8002</t>
  </si>
  <si>
    <t>Training - Corporate Entertainment</t>
  </si>
  <si>
    <t>6213-8003</t>
  </si>
  <si>
    <t>Training - Employee Professional Subscriptions</t>
  </si>
  <si>
    <t>6213-8004</t>
  </si>
  <si>
    <t>Training - Team Entertainment</t>
  </si>
  <si>
    <t>6213-8005</t>
  </si>
  <si>
    <t>Training - Travel &amp; Accommodation</t>
  </si>
  <si>
    <t>6213-8020</t>
  </si>
  <si>
    <t>Training - Staff Training</t>
  </si>
  <si>
    <t>6213-8030</t>
  </si>
  <si>
    <t>Training - Future Leadership &amp; Coaching</t>
  </si>
  <si>
    <t>6213-8040</t>
  </si>
  <si>
    <t>Training - Graduate Programme</t>
  </si>
  <si>
    <t>6213-8050</t>
  </si>
  <si>
    <t>Training - Elearning</t>
  </si>
  <si>
    <t>6213-8060</t>
  </si>
  <si>
    <t>Training - Customer Service</t>
  </si>
  <si>
    <t>6213-8070</t>
  </si>
  <si>
    <t>Training - Induction &amp; Onboarding</t>
  </si>
  <si>
    <t>6213-8080</t>
  </si>
  <si>
    <t>Training - Trainer's Travel &amp; Accomodation</t>
  </si>
  <si>
    <t>6213-8090</t>
  </si>
  <si>
    <t>Training - Room Hire &amp; Catering</t>
  </si>
  <si>
    <t>6213-8100</t>
  </si>
  <si>
    <t>Training - Executive Training</t>
  </si>
  <si>
    <t>6213-8110</t>
  </si>
  <si>
    <t>Training - Work Experience</t>
  </si>
  <si>
    <t>6213-8291</t>
  </si>
  <si>
    <t>Training - Recharges CWCL</t>
  </si>
  <si>
    <t>6213-8292</t>
  </si>
  <si>
    <t>Training - Recharges CWML</t>
  </si>
  <si>
    <t>6213-8293</t>
  </si>
  <si>
    <t>Training - Recharges CWRML</t>
  </si>
  <si>
    <t>6213-8294</t>
  </si>
  <si>
    <t>Training - Recharges VRML</t>
  </si>
  <si>
    <t>6213-8501</t>
  </si>
  <si>
    <t>Retail Leasing - Conferences &amp; Networking</t>
  </si>
  <si>
    <t>6213-8502</t>
  </si>
  <si>
    <t>Retail Leasing - Corporate Entertainment</t>
  </si>
  <si>
    <t>6213-8503</t>
  </si>
  <si>
    <t>Retail Leasing - Employee Professional Subscriptions</t>
  </si>
  <si>
    <t>6213-8504</t>
  </si>
  <si>
    <t>Retail Leasing - Team Entertainment</t>
  </si>
  <si>
    <t>6213-8505</t>
  </si>
  <si>
    <t>Retail Leasing - Travel &amp; Accommodation</t>
  </si>
  <si>
    <t>6213-8520</t>
  </si>
  <si>
    <t>Retail Leasing - Legal Fees</t>
  </si>
  <si>
    <t>6213-8530</t>
  </si>
  <si>
    <t>Retail Leasing - Office Miscellaneous Costs</t>
  </si>
  <si>
    <t>6213-8540</t>
  </si>
  <si>
    <t>Retail Leasing - PPE &amp; Site Equipment</t>
  </si>
  <si>
    <t>6213-8550</t>
  </si>
  <si>
    <t>Retail Leasing - Market Research</t>
  </si>
  <si>
    <t>6213-9001</t>
  </si>
  <si>
    <t>Sustainability - Conferences &amp; Networking</t>
  </si>
  <si>
    <t>6213-9002</t>
  </si>
  <si>
    <t>Sustainability - Corporate Entertainment</t>
  </si>
  <si>
    <t>6213-9003</t>
  </si>
  <si>
    <t>Sustainability - Employee Professional Subscriptions</t>
  </si>
  <si>
    <t>6213-9004</t>
  </si>
  <si>
    <t>Sustainability - Team Entertainment</t>
  </si>
  <si>
    <t>6213-9005</t>
  </si>
  <si>
    <t>Sustainability - Travel &amp; Accommodation</t>
  </si>
  <si>
    <t>6213-9020</t>
  </si>
  <si>
    <t>Sustainability - Memberships</t>
  </si>
  <si>
    <t>6213-9030</t>
  </si>
  <si>
    <t>Sustainability - Reporting</t>
  </si>
  <si>
    <t>6213-9040</t>
  </si>
  <si>
    <t>Sustainability - Awards</t>
  </si>
  <si>
    <t>6213-9050</t>
  </si>
  <si>
    <t>Sustainability - Strategy and Delivery</t>
  </si>
  <si>
    <t>6214-0001</t>
  </si>
  <si>
    <t>Vertus - Conferences &amp; Networking</t>
  </si>
  <si>
    <t>6214-0002</t>
  </si>
  <si>
    <t>Vertus - Corporate Entertainment</t>
  </si>
  <si>
    <t>6214-0003</t>
  </si>
  <si>
    <t>Vertus - Employee Professional Subscriptions</t>
  </si>
  <si>
    <t>6214-0004</t>
  </si>
  <si>
    <t>Vertus - Team Entertainment</t>
  </si>
  <si>
    <t>6214-0005</t>
  </si>
  <si>
    <t>Vertus - Travel &amp; Accommodation</t>
  </si>
  <si>
    <t>6214-0006</t>
  </si>
  <si>
    <t>Vertus - Soldo top up</t>
  </si>
  <si>
    <t>6214-0007</t>
  </si>
  <si>
    <t>Vertus - Payment gateway charges</t>
  </si>
  <si>
    <t>6214-0020</t>
  </si>
  <si>
    <t>Vertus - Recruitment</t>
  </si>
  <si>
    <t>6214-0030</t>
  </si>
  <si>
    <t>Vertus - Corporate Memberships</t>
  </si>
  <si>
    <t>6214-0040</t>
  </si>
  <si>
    <t>Vertus - Legal Documentation / Guidance</t>
  </si>
  <si>
    <t>6214-0041</t>
  </si>
  <si>
    <t>Vertus - IT Repairs &amp; Maintenance</t>
  </si>
  <si>
    <t>6214-0042</t>
  </si>
  <si>
    <t>Vertus - Office Stationery and Supplies</t>
  </si>
  <si>
    <t>6214-0050</t>
  </si>
  <si>
    <t>Vertus – G7 Marketing Suite</t>
  </si>
  <si>
    <t>6225-0001</t>
  </si>
  <si>
    <t>6225-0002</t>
  </si>
  <si>
    <t>Staff Subsistence Expenses</t>
  </si>
  <si>
    <t>6225-0003</t>
  </si>
  <si>
    <t>Exec &amp; Director Subsistence Expenses</t>
  </si>
  <si>
    <t>6225-0004</t>
  </si>
  <si>
    <t>Facilities Management - Exec Travel &amp; Accommodation</t>
  </si>
  <si>
    <t>6225-1001</t>
  </si>
  <si>
    <t>Development - Planning General</t>
  </si>
  <si>
    <t>6225-1002</t>
  </si>
  <si>
    <t>Development - Feasibility Study Future Phases</t>
  </si>
  <si>
    <t>6225-1003</t>
  </si>
  <si>
    <t>Office Leasing - Office Feasibility</t>
  </si>
  <si>
    <t>6225-1004</t>
  </si>
  <si>
    <t>Retail Works - Retail Projects Ongoing</t>
  </si>
  <si>
    <t>Total External Admin Expenses - non exceptional</t>
  </si>
  <si>
    <t>Total Admin Expenses - non exceptional</t>
  </si>
  <si>
    <t>6240-0000</t>
  </si>
  <si>
    <t>Admin Expenses - exceptional</t>
  </si>
  <si>
    <t>6243-9999</t>
  </si>
  <si>
    <t>6240-1001</t>
  </si>
  <si>
    <t>Legal - Abort fees on asset disposals</t>
  </si>
  <si>
    <t>6240-1002</t>
  </si>
  <si>
    <t>Legal - Abort fees on financing debt</t>
  </si>
  <si>
    <t>6240-2001</t>
  </si>
  <si>
    <t>Office Leasing - JLABS Partnership</t>
  </si>
  <si>
    <t>6240-2002</t>
  </si>
  <si>
    <t>Tax - Group Simplification</t>
  </si>
  <si>
    <t>6240-2003</t>
  </si>
  <si>
    <t>Tax - HMRC Enquiry - Eurobond (Project Cheetah)</t>
  </si>
  <si>
    <t>6240-2004</t>
  </si>
  <si>
    <t>IT - Project Backyard</t>
  </si>
  <si>
    <t>Total Admin Expenses - exceptional</t>
  </si>
  <si>
    <t>Total Admin Expenses</t>
  </si>
  <si>
    <t>6300-0000</t>
  </si>
  <si>
    <t>Other Operating Income</t>
  </si>
  <si>
    <t>6399-9999</t>
  </si>
  <si>
    <t>6300-1000</t>
  </si>
  <si>
    <t>IC Other Operating Income</t>
  </si>
  <si>
    <t>6329-9999</t>
  </si>
  <si>
    <t>IC P/L on sales of Fixed Assets</t>
  </si>
  <si>
    <t>IC Management Fee (Income)</t>
  </si>
  <si>
    <t>6300-1041</t>
  </si>
  <si>
    <t>INACTIVE: IC provision of services mgt fee</t>
  </si>
  <si>
    <t>6300-1051</t>
  </si>
  <si>
    <t>Songbird / CWG provision of services mgt fee</t>
  </si>
  <si>
    <t>IC Provision against Investments</t>
  </si>
  <si>
    <t>Total IC Other Operating Income</t>
  </si>
  <si>
    <t>6330-0000</t>
  </si>
  <si>
    <t>External Other Operating Income</t>
  </si>
  <si>
    <t>6389-9999</t>
  </si>
  <si>
    <t>6339-4111</t>
  </si>
  <si>
    <t>Management fee for 3rd party services</t>
  </si>
  <si>
    <t>6339-6111</t>
  </si>
  <si>
    <t>Share of an interest in external joint ventures</t>
  </si>
  <si>
    <t>6339-6311</t>
  </si>
  <si>
    <t>Internal Investment Revenue (JV)</t>
  </si>
  <si>
    <t>6339-6321</t>
  </si>
  <si>
    <t>Share of profit from joint ventures and associates</t>
  </si>
  <si>
    <t>6339-8101</t>
  </si>
  <si>
    <t>INACTIVE: USE 4390-0012 Rescinded Resi Contracts Inc</t>
  </si>
  <si>
    <t>6339-8111</t>
  </si>
  <si>
    <t>Sundry Income 2</t>
  </si>
  <si>
    <t>6339-8611</t>
  </si>
  <si>
    <t>Legal income</t>
  </si>
  <si>
    <t>6339-8811</t>
  </si>
  <si>
    <t>INACTIVE: Management Fee - Braeburn</t>
  </si>
  <si>
    <t>6339-8911</t>
  </si>
  <si>
    <t>INACTIVE: Management Fee - Inter company</t>
  </si>
  <si>
    <t>6339-9151</t>
  </si>
  <si>
    <t>Sale of land/property settlement</t>
  </si>
  <si>
    <t>6339-9511</t>
  </si>
  <si>
    <t>INACTIVE: Film/Photography Income</t>
  </si>
  <si>
    <t>6339-9521</t>
  </si>
  <si>
    <t>Arts and Events Income</t>
  </si>
  <si>
    <t>6339-9611</t>
  </si>
  <si>
    <t>INACTIVE: CW media running costs / recovery</t>
  </si>
  <si>
    <t>6339-9711</t>
  </si>
  <si>
    <t>CW media base cost / rent</t>
  </si>
  <si>
    <t>6339-9911</t>
  </si>
  <si>
    <t>Foreign exchange movements</t>
  </si>
  <si>
    <t>6343-0111</t>
  </si>
  <si>
    <t>DO NOT USE: Administrative services</t>
  </si>
  <si>
    <t>6343-0121</t>
  </si>
  <si>
    <t>INACTIVE: Administrative Services - Vertus</t>
  </si>
  <si>
    <t>6343-0131</t>
  </si>
  <si>
    <t>Administrative Services - Resi</t>
  </si>
  <si>
    <t>6343-0211</t>
  </si>
  <si>
    <t>P/L on sales of Fixed Assets (Proceeds)</t>
  </si>
  <si>
    <t>6343-0251</t>
  </si>
  <si>
    <t>INACTIVE: IC - Management Fee</t>
  </si>
  <si>
    <t>6343-0271</t>
  </si>
  <si>
    <t>INACTIVE: IC - Services mgt fee</t>
  </si>
  <si>
    <t>6343-0291</t>
  </si>
  <si>
    <t>Onerous lease provision/release</t>
  </si>
  <si>
    <t>6343-1111</t>
  </si>
  <si>
    <t>INACTIVE: IC - Asset management fee</t>
  </si>
  <si>
    <t>6343-1311</t>
  </si>
  <si>
    <t>DO NOT USE: External asset management fee</t>
  </si>
  <si>
    <t>6343-1321</t>
  </si>
  <si>
    <t>INACTIVE: BEI 35 percent of asset management fee</t>
  </si>
  <si>
    <t>6343-6011</t>
  </si>
  <si>
    <t>DO NOT USE: USE 4739-7161 - Ins Commission Rebate</t>
  </si>
  <si>
    <t>6343-7111</t>
  </si>
  <si>
    <t>INACTIVE: Sale of company</t>
  </si>
  <si>
    <t>6343-9211</t>
  </si>
  <si>
    <t>JPM US settlement</t>
  </si>
  <si>
    <t>6343-9221</t>
  </si>
  <si>
    <t>INACTIVE: LBHI UK settlement</t>
  </si>
  <si>
    <t>6344-0011</t>
  </si>
  <si>
    <t>Revaluation of investment properties</t>
  </si>
  <si>
    <t>6344-0021</t>
  </si>
  <si>
    <t>Revaluation of development properties</t>
  </si>
  <si>
    <t>6344-0031</t>
  </si>
  <si>
    <t>Revaluation of under construction properties</t>
  </si>
  <si>
    <t>6344-0051</t>
  </si>
  <si>
    <t>Impairment of Goodwill (P&amp;L)</t>
  </si>
  <si>
    <t>6350-0031</t>
  </si>
  <si>
    <t>Preference share dividends</t>
  </si>
  <si>
    <t>6350-0411</t>
  </si>
  <si>
    <t>Distribution received</t>
  </si>
  <si>
    <t>6350-0421</t>
  </si>
  <si>
    <t>Distribution accrual</t>
  </si>
  <si>
    <t>6350-0431</t>
  </si>
  <si>
    <t>Share of revaluation</t>
  </si>
  <si>
    <t>6350-0441</t>
  </si>
  <si>
    <t>Share of hedging movements</t>
  </si>
  <si>
    <t>6350-0451</t>
  </si>
  <si>
    <t>Revaluation of investments</t>
  </si>
  <si>
    <t>6350-0611</t>
  </si>
  <si>
    <t>Misc. External Dividend Receivable</t>
  </si>
  <si>
    <t>6360-0111</t>
  </si>
  <si>
    <t>Provision against Investments</t>
  </si>
  <si>
    <t>6360-0121</t>
  </si>
  <si>
    <t>Cost of winding up investment</t>
  </si>
  <si>
    <t>6360-0131</t>
  </si>
  <si>
    <t>Onerous leaseback adjustment (admin expenses)</t>
  </si>
  <si>
    <t>6360-0132</t>
  </si>
  <si>
    <t>Other income reforecasting adjustment</t>
  </si>
  <si>
    <t>Total External Other Operating Income</t>
  </si>
  <si>
    <t>Total Other Operating Income</t>
  </si>
  <si>
    <t>6400-0000</t>
  </si>
  <si>
    <t>Property Disposals</t>
  </si>
  <si>
    <t>6499-9999</t>
  </si>
  <si>
    <t>6400-1000</t>
  </si>
  <si>
    <t>Acquisitions and Disposals - Legal</t>
  </si>
  <si>
    <t>6400-1001</t>
  </si>
  <si>
    <t>Acquisitions and Disposals - Property Valuations</t>
  </si>
  <si>
    <t>6400-1002</t>
  </si>
  <si>
    <t>Acquisitions and Disposals - Accounting Advisory</t>
  </si>
  <si>
    <t>6400-1003</t>
  </si>
  <si>
    <t>Acquisitions and Disposals - Tax Advisory</t>
  </si>
  <si>
    <t>6400-1004</t>
  </si>
  <si>
    <t>Acquisitions and Disposals - Investments</t>
  </si>
  <si>
    <t>6400-2000</t>
  </si>
  <si>
    <t>Major Transactions - Transfer to gain/loss on disposal</t>
  </si>
  <si>
    <t>6400-2001</t>
  </si>
  <si>
    <t>Major Transactions - Transfer to Balance sheet</t>
  </si>
  <si>
    <t>Total Property Disposals</t>
  </si>
  <si>
    <t>7000-0000</t>
  </si>
  <si>
    <t>Interest Receivable</t>
  </si>
  <si>
    <t>7999-9999</t>
  </si>
  <si>
    <t>7100-0000</t>
  </si>
  <si>
    <t>Bank Interest</t>
  </si>
  <si>
    <t>7199-9999</t>
  </si>
  <si>
    <t>7110-0001</t>
  </si>
  <si>
    <t>Bank Interest - Unrestricted Cash</t>
  </si>
  <si>
    <t>7130-0001</t>
  </si>
  <si>
    <t>Bank Interest - Financing Collateral</t>
  </si>
  <si>
    <t>7140-0001</t>
  </si>
  <si>
    <t>Bank Interest - Monetary Asset</t>
  </si>
  <si>
    <t>Total Bank Interest</t>
  </si>
  <si>
    <t>7200-0000</t>
  </si>
  <si>
    <t>IC Interest Receivable</t>
  </si>
  <si>
    <t>7299-9999</t>
  </si>
  <si>
    <t>7200-1011</t>
  </si>
  <si>
    <t>Related Party HCA Interest Receivable (Consol Only)</t>
  </si>
  <si>
    <t>IC Loan - Amortisation DFC Fees (income)</t>
  </si>
  <si>
    <t>IC Loan - Interest (income)</t>
  </si>
  <si>
    <t>IC Loan - Swap Int (income)</t>
  </si>
  <si>
    <t>IC Loan - Commitment fees (income)</t>
  </si>
  <si>
    <t>IC Loan - Ongoing fees (income)</t>
  </si>
  <si>
    <t>IC Loan - Swap MTM (income)</t>
  </si>
  <si>
    <t>IC Loan - Fees on repayment (income)</t>
  </si>
  <si>
    <t>IC Loan - Accelerated amortisation of DFC (income)</t>
  </si>
  <si>
    <t>IC Loan - Amoritisation Premium code</t>
  </si>
  <si>
    <t>IC Loan - Discount accretion</t>
  </si>
  <si>
    <t>IC Loan - Fair value adjustment</t>
  </si>
  <si>
    <t>IC Finance charge on operating lease liability (income)</t>
  </si>
  <si>
    <t>Total IC Interest Receivable</t>
  </si>
  <si>
    <t>7300-0000</t>
  </si>
  <si>
    <t>Other Interest Receivable</t>
  </si>
  <si>
    <t>7999-9998</t>
  </si>
  <si>
    <t>7300-0011</t>
  </si>
  <si>
    <t>Late Fee Income</t>
  </si>
  <si>
    <t>7300-0021</t>
  </si>
  <si>
    <t>Interest on balancing charges</t>
  </si>
  <si>
    <t>7320-3960</t>
  </si>
  <si>
    <t>Corporation tax interest received</t>
  </si>
  <si>
    <t>7330-0011</t>
  </si>
  <si>
    <t>Debenture note interest</t>
  </si>
  <si>
    <t>7330-0012</t>
  </si>
  <si>
    <t>Interest receivable reforecasting adjustment</t>
  </si>
  <si>
    <t>Total Other Interest Receivable</t>
  </si>
  <si>
    <t>Total Interest Receivable</t>
  </si>
  <si>
    <t>8000-0000</t>
  </si>
  <si>
    <t>Interest Payable</t>
  </si>
  <si>
    <t>8999-9999</t>
  </si>
  <si>
    <t>8100-0000</t>
  </si>
  <si>
    <t>Bank Interest/Charges</t>
  </si>
  <si>
    <t>8199-9999</t>
  </si>
  <si>
    <t>8120-0001</t>
  </si>
  <si>
    <t>Bank Charges - Security Deposits</t>
  </si>
  <si>
    <t>8130-0001</t>
  </si>
  <si>
    <t>Bank Charges - Financing Collateral</t>
  </si>
  <si>
    <t>8140-0001</t>
  </si>
  <si>
    <t>Bank Charges - Monetary Asset</t>
  </si>
  <si>
    <t>Total Bank Interest/Charges</t>
  </si>
  <si>
    <t>8200-0000</t>
  </si>
  <si>
    <t>IC Interest Payable</t>
  </si>
  <si>
    <t>8299-9999</t>
  </si>
  <si>
    <t>IC Loan - Amortisation DFC Fees (expense)</t>
  </si>
  <si>
    <t>IC Loan - Interest (expense)</t>
  </si>
  <si>
    <t>IC Loan - Swap Int (expense)</t>
  </si>
  <si>
    <t>IC Loan - Commitment fees (expense)</t>
  </si>
  <si>
    <t>IC Loan - Swap MTM (expense)</t>
  </si>
  <si>
    <t>IC Loan - Fees on repayment (expense)</t>
  </si>
  <si>
    <t>IC Loan - Accelerated amortisation of DFC (expense)</t>
  </si>
  <si>
    <t>IC Loan - Fee amortisation</t>
  </si>
  <si>
    <t>IC Finance charge on operating lease liability (expense)</t>
  </si>
  <si>
    <t>Total IC Interest Payable</t>
  </si>
  <si>
    <t>8300-0000</t>
  </si>
  <si>
    <t>External Interest Payable</t>
  </si>
  <si>
    <t>8999-9998</t>
  </si>
  <si>
    <t>8300-1000</t>
  </si>
  <si>
    <t>External Int Pay - Investment Loans</t>
  </si>
  <si>
    <t>8300-1999</t>
  </si>
  <si>
    <t>8300-1021</t>
  </si>
  <si>
    <t>Investment Loan - Amortisation of Fees</t>
  </si>
  <si>
    <t>8300-1022</t>
  </si>
  <si>
    <t>INACTIVE: Investment Loan - Amortisation DFC Fees - Retail</t>
  </si>
  <si>
    <t>8300-1023</t>
  </si>
  <si>
    <t>INACTIVE: Investment Loan - Amortisation DFC Fees - PRS</t>
  </si>
  <si>
    <t>8300-1032</t>
  </si>
  <si>
    <t>INACTIVE: Investment Loan - Interest - Retail</t>
  </si>
  <si>
    <t>8300-1033</t>
  </si>
  <si>
    <t>INACTIVE: Investment Loan - Interest - PRS</t>
  </si>
  <si>
    <t>8300-1042</t>
  </si>
  <si>
    <t>INACTIVE: Investment Loan - Swap Int – Retail</t>
  </si>
  <si>
    <t>8300-1043</t>
  </si>
  <si>
    <t>INACTIVE: Investment Loan - Swap Int – PRS</t>
  </si>
  <si>
    <t>8300-1052</t>
  </si>
  <si>
    <t>INACTIVE: Investment Loan - Commitment fees – Retail</t>
  </si>
  <si>
    <t>8300-1060</t>
  </si>
  <si>
    <t>INACTIVE - Investment Loan - Ongoing non legal fees - Office</t>
  </si>
  <si>
    <t>8300-1061</t>
  </si>
  <si>
    <t>INACTIVE: Invest Loan-Ongoing borrower legal fees-Office</t>
  </si>
  <si>
    <t>8300-1062</t>
  </si>
  <si>
    <t>INACTIVE:Investment Loan-Ongoing borrower legal fees–Retail</t>
  </si>
  <si>
    <t>8300-1063</t>
  </si>
  <si>
    <t>INACTIVE: Investment Loan - Ongoing non legal fees - PRS</t>
  </si>
  <si>
    <t>8300-1065</t>
  </si>
  <si>
    <t>INACTIVE: Investment Loan - Ongoing lender legal fees–Retail</t>
  </si>
  <si>
    <t>8300-1067</t>
  </si>
  <si>
    <t>INACTIVE:Invest Loan-Ongoing due diligence legal fees-Office</t>
  </si>
  <si>
    <t>8300-1068</t>
  </si>
  <si>
    <t>INACTIVE:Invest Loan-Ongoing due diligence legal fees–Retail</t>
  </si>
  <si>
    <t>8300-1071</t>
  </si>
  <si>
    <t>Investment Loan - Swap MTM</t>
  </si>
  <si>
    <t>8300-1072</t>
  </si>
  <si>
    <t>INACTIVE: Investment Loan - Swap MTM - Retail</t>
  </si>
  <si>
    <t>8300-1073</t>
  </si>
  <si>
    <t>INACTIVE: Investment Loan - Swap MTM - PRS</t>
  </si>
  <si>
    <t>8300-1075</t>
  </si>
  <si>
    <t>INACTIVE: Investment loan – swap break costs</t>
  </si>
  <si>
    <t>8300-1081</t>
  </si>
  <si>
    <t>INACTIVE: Investment Loan - Fees on repayment - Office</t>
  </si>
  <si>
    <t>8300-1082</t>
  </si>
  <si>
    <t>INACTIVE: Investment Loan - Fees on repayment - Retail</t>
  </si>
  <si>
    <t>8300-1091</t>
  </si>
  <si>
    <t>Investment Loan - Accelerated Amortisation</t>
  </si>
  <si>
    <t>8300-1092</t>
  </si>
  <si>
    <t>INACTIVE: Invest Loan-Accelerated amortisation of DFC-Retail</t>
  </si>
  <si>
    <t>8300-1160</t>
  </si>
  <si>
    <t>INACTIVE: Investment Loan - Ongoing non legal fees - Retail</t>
  </si>
  <si>
    <t>8300-1161</t>
  </si>
  <si>
    <t>INACTIVE:Investment Loan - Ongoing borrower legal fees - PRS</t>
  </si>
  <si>
    <t>8300-1162</t>
  </si>
  <si>
    <t>INACTIVE: Investment Loan-Ongoing borrower legal fees–Other</t>
  </si>
  <si>
    <t>8300-1164</t>
  </si>
  <si>
    <t>INACTIVE: Investment Loan - Ongoing lender legal fees - PRS</t>
  </si>
  <si>
    <t>8300-1165</t>
  </si>
  <si>
    <t>INACTIVE:Investment Loan - Ongoing lender legal fees – Other</t>
  </si>
  <si>
    <t>8300-1167</t>
  </si>
  <si>
    <t>INACTIVE: Invest Loan-Ongoing due diligence legal fees-PRS</t>
  </si>
  <si>
    <t>8300-1168</t>
  </si>
  <si>
    <t>INACTIVE: Invest Loan-Ongoing due diligence legal fees–Other</t>
  </si>
  <si>
    <t>Total External Int Pay - Investment Loans</t>
  </si>
  <si>
    <t>8300-2000</t>
  </si>
  <si>
    <t>External Int Pay - Construction Loans</t>
  </si>
  <si>
    <t>8300-2999</t>
  </si>
  <si>
    <t>8300-2021</t>
  </si>
  <si>
    <t>Construction Loan - Amortisation of Fees</t>
  </si>
  <si>
    <t>8300-2063</t>
  </si>
  <si>
    <t>INACTIVE: Construction Loan - Ongoing borrower legal fees</t>
  </si>
  <si>
    <t>8300-2066</t>
  </si>
  <si>
    <t>INACTIVE: Construction Loan - Ongoing lender legal fees</t>
  </si>
  <si>
    <t>8300-2069</t>
  </si>
  <si>
    <t>INACTIVE: Construction Loan-Ongoing due diligence legal fees</t>
  </si>
  <si>
    <t>8300-2071</t>
  </si>
  <si>
    <t>Construction Loan - Swap MTM</t>
  </si>
  <si>
    <t>8300-2081</t>
  </si>
  <si>
    <t>INACTIVE: Construction Loan - Fees on repayment</t>
  </si>
  <si>
    <t>8300-2091</t>
  </si>
  <si>
    <t>Construction Loan - Accelerated Amortisation</t>
  </si>
  <si>
    <t>Total External Int Pay - Construction Loans</t>
  </si>
  <si>
    <t>8300-3000</t>
  </si>
  <si>
    <t>External Int Pay - Sec Loan</t>
  </si>
  <si>
    <t>8300-3999</t>
  </si>
  <si>
    <t>8300-3021</t>
  </si>
  <si>
    <t>Sec Loan - Amortisation of Fees</t>
  </si>
  <si>
    <t>8300-3061</t>
  </si>
  <si>
    <t>INACTIVE: Sec Loan - Ongoing borrower legal fees</t>
  </si>
  <si>
    <t>8300-3064</t>
  </si>
  <si>
    <t>INACTIVE: Sec Loan - Ongoing lender legal fees</t>
  </si>
  <si>
    <t>8300-3067</t>
  </si>
  <si>
    <t>INACTIVE: Sec Loan - Ongoing due diligence legal fees</t>
  </si>
  <si>
    <t>8300-3071</t>
  </si>
  <si>
    <t>Sec Loan - Swap MTM</t>
  </si>
  <si>
    <t>8300-3081</t>
  </si>
  <si>
    <t>INACTIVE: Sec Loan - Fees on repayment</t>
  </si>
  <si>
    <t>8300-3091</t>
  </si>
  <si>
    <t>Sec Loan - Accelerated Amortisation</t>
  </si>
  <si>
    <t>8300-3092</t>
  </si>
  <si>
    <t>Sec Loan - FRS 4 adjustment</t>
  </si>
  <si>
    <t>8300-3093</t>
  </si>
  <si>
    <t>Sec Loan – Stork acquisition adjustment</t>
  </si>
  <si>
    <t>Total External Int Pay - Sec Loan</t>
  </si>
  <si>
    <t>8300-4000</t>
  </si>
  <si>
    <t>External Int Pay - Other Loans</t>
  </si>
  <si>
    <t>8300-4999</t>
  </si>
  <si>
    <t>8300-4021</t>
  </si>
  <si>
    <t>Other Loan - Amortisation of Fees</t>
  </si>
  <si>
    <t>8300-4022</t>
  </si>
  <si>
    <t>INACTIVE: Other Loan - Amortisation Fees - Retail</t>
  </si>
  <si>
    <t>8300-4023</t>
  </si>
  <si>
    <t>INACTIVE: Other Loan - Amortisation Fees - Corporate</t>
  </si>
  <si>
    <t>8300-4026</t>
  </si>
  <si>
    <t>INACTIVE: Other Loan - Amortisation Fees - Dev Mgmt</t>
  </si>
  <si>
    <t>8300-4032</t>
  </si>
  <si>
    <t>INACTIVE: Other Loan - Interest - Retail</t>
  </si>
  <si>
    <t>8300-4033</t>
  </si>
  <si>
    <t>INACTIVE: Other Loan - Interest - Corporate</t>
  </si>
  <si>
    <t>8300-4036</t>
  </si>
  <si>
    <t>INACTIVE: Other Loan - Interest - Dev Mgmt</t>
  </si>
  <si>
    <t>8300-4042</t>
  </si>
  <si>
    <t>INACTIVE: Other Loan - Swap Int - Retail</t>
  </si>
  <si>
    <t>8300-4043</t>
  </si>
  <si>
    <t>INACTIVE: Other Loan - Swap Int - Corporate</t>
  </si>
  <si>
    <t>8300-4046</t>
  </si>
  <si>
    <t>INACTIVE: Other Loan - Swap Int - Dev Mgmt</t>
  </si>
  <si>
    <t>8300-4052</t>
  </si>
  <si>
    <t>INACTIVE: Other Loan - Commitment fees - Retail</t>
  </si>
  <si>
    <t>8300-4056</t>
  </si>
  <si>
    <t>INACTIVE: Other Loan - Commitment fees - Dev Mgmt</t>
  </si>
  <si>
    <t>8300-4060</t>
  </si>
  <si>
    <t>INACTIVE: Other Loan - Ongoing fees – Corporate</t>
  </si>
  <si>
    <t>8300-4061</t>
  </si>
  <si>
    <t>INACTIVE: Other Loan - Ongoing fees - Office</t>
  </si>
  <si>
    <t>8300-4062</t>
  </si>
  <si>
    <t>INACTIVE: Other Loan - Ongoing fees - Retail</t>
  </si>
  <si>
    <t>8300-4066</t>
  </si>
  <si>
    <t>INACTIVE: Other Loan - Ongoing fees - Dev Mgmt</t>
  </si>
  <si>
    <t>8300-4070</t>
  </si>
  <si>
    <t>INACTIVE: Other Loan - Swap MTM - Corp</t>
  </si>
  <si>
    <t>8300-4071</t>
  </si>
  <si>
    <t>Other Loan - Swap MTM</t>
  </si>
  <si>
    <t>8300-4072</t>
  </si>
  <si>
    <t>INACTIVE: Other Loan - Swap MTM - Retail</t>
  </si>
  <si>
    <t>8300-4076</t>
  </si>
  <si>
    <t>INACTIVE: Other Loan - Swap MTM - Dev Mgmt</t>
  </si>
  <si>
    <t>8300-4081</t>
  </si>
  <si>
    <t>INACTIVE: Other Loan - Fees on repayment - Office</t>
  </si>
  <si>
    <t>8300-4082</t>
  </si>
  <si>
    <t>INACTIVE: Other Loan - Fees on repayment - Retail</t>
  </si>
  <si>
    <t>8300-4086</t>
  </si>
  <si>
    <t>INACTIVE: Other Loan - Fees on repayment - Dev Mgmt</t>
  </si>
  <si>
    <t>8300-4091</t>
  </si>
  <si>
    <t>Other Loan - Accelerated Amortisation</t>
  </si>
  <si>
    <t>8300-4092</t>
  </si>
  <si>
    <t>INACTIVE:Other Loan-Accelerated amortisation of DFC - Retail</t>
  </si>
  <si>
    <t>8300-4096</t>
  </si>
  <si>
    <t>INACTIVE:Other Loan-Accelerated amortisation of DFC-Dev Mgmt</t>
  </si>
  <si>
    <t>8300-4123</t>
  </si>
  <si>
    <t>Other Loan - Amortisation of Discount</t>
  </si>
  <si>
    <t>8300-4163</t>
  </si>
  <si>
    <t>INACTIVE: Other Loan - Ongoing borrower legal fees</t>
  </si>
  <si>
    <t>8300-4166</t>
  </si>
  <si>
    <t>INACTIVE: Other Loan - Ongoing lender legal fees</t>
  </si>
  <si>
    <t>8300-4169</t>
  </si>
  <si>
    <t>INACTIVE: Other Loan - Ongoing due diligence legal fees</t>
  </si>
  <si>
    <t>Total External Int Pay - Other Loans</t>
  </si>
  <si>
    <t>8300-5000</t>
  </si>
  <si>
    <t>Int Payable in JV's and associates</t>
  </si>
  <si>
    <t>8300-5999</t>
  </si>
  <si>
    <t>8300-5101</t>
  </si>
  <si>
    <t>Share of interest payable in JV's and associates PL</t>
  </si>
  <si>
    <t>Total Int Payable in JV's and associates</t>
  </si>
  <si>
    <t>8300-6000</t>
  </si>
  <si>
    <t>External Int Pay - Revolving Credit Facility</t>
  </si>
  <si>
    <t>8300-6999</t>
  </si>
  <si>
    <t>8300-6021</t>
  </si>
  <si>
    <t>Revolving Credit Facility - Amortisation of Fees</t>
  </si>
  <si>
    <t>8300-6031</t>
  </si>
  <si>
    <t>Revolving Credit Facility - Interest</t>
  </si>
  <si>
    <t>8300-6051</t>
  </si>
  <si>
    <t>Revolving Credit Facility - Commitment fees</t>
  </si>
  <si>
    <t>8300-6060</t>
  </si>
  <si>
    <t>INACTIVE: Revolving Credit Facility – Ongoing non legal fees</t>
  </si>
  <si>
    <t>8300-6061</t>
  </si>
  <si>
    <t>INACTIVE:Revolve Credit Facility-Ongoing borrower legal fees</t>
  </si>
  <si>
    <t>8300-6062</t>
  </si>
  <si>
    <t>INACTIVE:Revolving Credit Facility–Ongoing lender legal fees</t>
  </si>
  <si>
    <t>8300-6063</t>
  </si>
  <si>
    <t>INACTIVE:Revolve Cr. Fac.–Ongoing due diligence legal fees</t>
  </si>
  <si>
    <t>8300-6081</t>
  </si>
  <si>
    <t>Revolving Credit Facility - Fees on repayment</t>
  </si>
  <si>
    <t>8300-6091</t>
  </si>
  <si>
    <t>INACTIVE: Revolve Credit Facility-Accelerated amort of DFC</t>
  </si>
  <si>
    <t>Total External Int Pay - Revolving Credit Facility</t>
  </si>
  <si>
    <t>8320-0000</t>
  </si>
  <si>
    <t>Other Financing Costs</t>
  </si>
  <si>
    <t>8399-9999</t>
  </si>
  <si>
    <t>8320-3911</t>
  </si>
  <si>
    <t>Late payment of VAT interest</t>
  </si>
  <si>
    <t>8320-3960</t>
  </si>
  <si>
    <t>Corporation tax interest charge</t>
  </si>
  <si>
    <t>8320-3961</t>
  </si>
  <si>
    <t>Corporation tax BP1 interest charge</t>
  </si>
  <si>
    <t>8320-3971</t>
  </si>
  <si>
    <t>INACTIVE: Interest payable reforecasting adjustment - Office</t>
  </si>
  <si>
    <t>8320-3972</t>
  </si>
  <si>
    <t>INACTIVE: Interest payable reforecasting adjustment - Retail</t>
  </si>
  <si>
    <t>8320-3976</t>
  </si>
  <si>
    <t>INACTIVE: Interest payable reforecasting adjustment-Dev Mgmt</t>
  </si>
  <si>
    <t>8320-3978</t>
  </si>
  <si>
    <t>INACTIVE: Interest payable reforecasting adjustment - Corps</t>
  </si>
  <si>
    <t>8320-3982</t>
  </si>
  <si>
    <t>INACTIVE: General Financing &amp; Monitoring Costs - Retail</t>
  </si>
  <si>
    <t>8320-3986</t>
  </si>
  <si>
    <t>INACTIVE: General Financing &amp; Monitoring Costs - Dev Mgmt</t>
  </si>
  <si>
    <t>8320-4001</t>
  </si>
  <si>
    <t>Ongoing Non-Legal Fees</t>
  </si>
  <si>
    <t>8320-4002</t>
  </si>
  <si>
    <t>Ongoing Legal Fees - Lender</t>
  </si>
  <si>
    <t>8320-4003</t>
  </si>
  <si>
    <t>Ongoing Legal Fees - Borrower</t>
  </si>
  <si>
    <t>8320-4004</t>
  </si>
  <si>
    <t>Ongoing Legal Fees - Due Diligence</t>
  </si>
  <si>
    <t>8320-4020</t>
  </si>
  <si>
    <t>Swap Break Costs</t>
  </si>
  <si>
    <t>8320-4021</t>
  </si>
  <si>
    <t>Fees on Repayment</t>
  </si>
  <si>
    <t>8339-0441</t>
  </si>
  <si>
    <t>Finance charge on operating lease liability</t>
  </si>
  <si>
    <t>8339-0451</t>
  </si>
  <si>
    <t>Wood Wharf ground rent</t>
  </si>
  <si>
    <t>8343-1111</t>
  </si>
  <si>
    <t>INACTIVE: Asset management fee payable</t>
  </si>
  <si>
    <t>8350-1001</t>
  </si>
  <si>
    <t>NPV Unwind - DS6</t>
  </si>
  <si>
    <t>8350-1002</t>
  </si>
  <si>
    <t>NPV Unwind - Barclays FC2</t>
  </si>
  <si>
    <t>8350-1201</t>
  </si>
  <si>
    <t>NPV Unwind - Onerous lease provisions</t>
  </si>
  <si>
    <t>8360-1001</t>
  </si>
  <si>
    <t>Hedge reserve recycling – Amort of discontinued reserve</t>
  </si>
  <si>
    <t>8360-1002</t>
  </si>
  <si>
    <t>Hedge reserve recycling (Underlying)  – Amort of cap fees</t>
  </si>
  <si>
    <t>8399-9991</t>
  </si>
  <si>
    <t>Capitalise interest on properties under dev. - Specific</t>
  </si>
  <si>
    <t>8399-9992</t>
  </si>
  <si>
    <t>Capitalise interest on properties under dev. - General</t>
  </si>
  <si>
    <t>Total Other Financing Costs</t>
  </si>
  <si>
    <t>Total External Interest Payable</t>
  </si>
  <si>
    <t>Total Interest Payable</t>
  </si>
  <si>
    <t>9100-0000</t>
  </si>
  <si>
    <t>Taxation</t>
  </si>
  <si>
    <t>9199-9999</t>
  </si>
  <si>
    <t>9110-0211</t>
  </si>
  <si>
    <t>Deferred taxation</t>
  </si>
  <si>
    <t>9110-0311</t>
  </si>
  <si>
    <t>Income tax</t>
  </si>
  <si>
    <t>9110-0411</t>
  </si>
  <si>
    <t>Tax in JV's and associates</t>
  </si>
  <si>
    <t>Total Taxation</t>
  </si>
  <si>
    <t>9500-0000</t>
  </si>
  <si>
    <t>Dividend Payable</t>
  </si>
  <si>
    <t>9559-9999</t>
  </si>
  <si>
    <t>9510-0000</t>
  </si>
  <si>
    <t>IC Dividend Payable</t>
  </si>
  <si>
    <t>9510-9999</t>
  </si>
  <si>
    <t>Total IC Dividends Payable</t>
  </si>
  <si>
    <t>9550-0000</t>
  </si>
  <si>
    <t>External Dividend Payable</t>
  </si>
  <si>
    <t>9550-9999</t>
  </si>
  <si>
    <t>9550-0031</t>
  </si>
  <si>
    <t>Preference share dividend payable</t>
  </si>
  <si>
    <t>9550-0411</t>
  </si>
  <si>
    <t>HQ5 distribution</t>
  </si>
  <si>
    <t>9550-0511</t>
  </si>
  <si>
    <t>INACTIVE: Propman transfer of profits to principal</t>
  </si>
  <si>
    <t>9550-0611</t>
  </si>
  <si>
    <t>Misc. External Dividend Payable</t>
  </si>
  <si>
    <t>9550-0621</t>
  </si>
  <si>
    <t>Share of other comprehensive income in JV's and associates</t>
  </si>
  <si>
    <t>Total External Dividends Payable</t>
  </si>
  <si>
    <t>Total Dividends Payable</t>
  </si>
  <si>
    <t>9560-0000</t>
  </si>
  <si>
    <t>Reserves</t>
  </si>
  <si>
    <t>9969-9999</t>
  </si>
  <si>
    <t>9560-0011</t>
  </si>
  <si>
    <t>Prior year adjustments</t>
  </si>
  <si>
    <t>9570-0011</t>
  </si>
  <si>
    <t>Reduction in Share Capital</t>
  </si>
  <si>
    <t>9611-1111</t>
  </si>
  <si>
    <t>Gain / loss on reorganisation</t>
  </si>
  <si>
    <t>9620-1001</t>
  </si>
  <si>
    <t>Currency Gains/loss</t>
  </si>
  <si>
    <t>9630-1001</t>
  </si>
  <si>
    <t>Revaluation Gains/loss</t>
  </si>
  <si>
    <t>Total Reserves</t>
  </si>
  <si>
    <t>9970-1000</t>
  </si>
  <si>
    <t>9979-9999</t>
  </si>
  <si>
    <t>9970-1001</t>
  </si>
  <si>
    <t>Total Minority Interest</t>
  </si>
  <si>
    <t>9980-0000</t>
  </si>
  <si>
    <t>Default codes</t>
  </si>
  <si>
    <t>9989-9999</t>
  </si>
  <si>
    <t>9980-1001</t>
  </si>
  <si>
    <t>Prepay Income</t>
  </si>
  <si>
    <t>9980-1010</t>
  </si>
  <si>
    <t>ELIMINATION ADJUSTMENT DIFFERENCE</t>
  </si>
  <si>
    <t>9980-1011</t>
  </si>
  <si>
    <t>IM Balancing Account</t>
  </si>
  <si>
    <t>Total Default codes</t>
  </si>
  <si>
    <t>Total Profit and Loss</t>
  </si>
  <si>
    <t>Total All</t>
  </si>
  <si>
    <t>Company Information as at 8 March 2025</t>
  </si>
  <si>
    <t>Oracle Code</t>
  </si>
  <si>
    <t>IM Entity</t>
  </si>
  <si>
    <t>Owner Code</t>
  </si>
  <si>
    <t>Owner Name</t>
  </si>
  <si>
    <t>Tax Authority</t>
  </si>
  <si>
    <t>Tax Point</t>
  </si>
  <si>
    <t>Rate Provider</t>
  </si>
  <si>
    <t>Sales Type</t>
  </si>
  <si>
    <t>Purchase Type</t>
  </si>
  <si>
    <t>Registration Number</t>
  </si>
  <si>
    <t>TAX Last Reported on</t>
  </si>
  <si>
    <t>TAX Reporting Frequency</t>
  </si>
  <si>
    <t>Fiscal Entity Code</t>
  </si>
  <si>
    <t>Fiscal Entity</t>
  </si>
  <si>
    <t>Commerce Reg Number</t>
  </si>
  <si>
    <t>City Of Registration</t>
  </si>
  <si>
    <t>o001</t>
  </si>
  <si>
    <t>uk</t>
  </si>
  <si>
    <t>Invoice</t>
  </si>
  <si>
    <t>blo(spot)</t>
  </si>
  <si>
    <t>512639654</t>
  </si>
  <si>
    <t>2/1/2025</t>
  </si>
  <si>
    <t>Monthly</t>
  </si>
  <si>
    <t>vgrp001</t>
  </si>
  <si>
    <t>VAT Group - Canary Wharf Limited</t>
  </si>
  <si>
    <t>01971312</t>
  </si>
  <si>
    <t>UK</t>
  </si>
  <si>
    <t>o002</t>
  </si>
  <si>
    <t>507034774</t>
  </si>
  <si>
    <t>02352250</t>
  </si>
  <si>
    <t>o003</t>
  </si>
  <si>
    <t>02276627</t>
  </si>
  <si>
    <t>o004</t>
  </si>
  <si>
    <t>02127410</t>
  </si>
  <si>
    <t>o005</t>
  </si>
  <si>
    <t>549233923</t>
  </si>
  <si>
    <t>1/1/2025</t>
  </si>
  <si>
    <t>Quarterly</t>
  </si>
  <si>
    <t>02548110</t>
  </si>
  <si>
    <t>o006</t>
  </si>
  <si>
    <t>02067510</t>
  </si>
  <si>
    <t>o007</t>
  </si>
  <si>
    <t>161772993</t>
  </si>
  <si>
    <t>02830131</t>
  </si>
  <si>
    <t>o008</t>
  </si>
  <si>
    <t>Seven Westferry Circus Limited</t>
  </si>
  <si>
    <t>n/a</t>
  </si>
  <si>
    <t>02732071</t>
  </si>
  <si>
    <t>o014</t>
  </si>
  <si>
    <t>02863616</t>
  </si>
  <si>
    <t>o015</t>
  </si>
  <si>
    <t>02455786</t>
  </si>
  <si>
    <t>o016</t>
  </si>
  <si>
    <t>First Tower T1 Limited</t>
  </si>
  <si>
    <t>02550906</t>
  </si>
  <si>
    <t>o017</t>
  </si>
  <si>
    <t>First Tower T2 Limited</t>
  </si>
  <si>
    <t>02558070</t>
  </si>
  <si>
    <t>o018</t>
  </si>
  <si>
    <t>First Tower GP(1) Limited</t>
  </si>
  <si>
    <t>SC132920</t>
  </si>
  <si>
    <t>SCOTTISH</t>
  </si>
  <si>
    <t>o019</t>
  </si>
  <si>
    <t>First Tower GP(2) Limited</t>
  </si>
  <si>
    <t>SC132921</t>
  </si>
  <si>
    <t>o01a</t>
  </si>
  <si>
    <t>SBP1 Sarl</t>
  </si>
  <si>
    <t>194324890</t>
  </si>
  <si>
    <t>12/1/2024</t>
  </si>
  <si>
    <t>o01b</t>
  </si>
  <si>
    <t>Braeburn Estates (B4A) Limited Partnership Propman Co</t>
  </si>
  <si>
    <t>188636260</t>
  </si>
  <si>
    <t>vgrp0jg</t>
  </si>
  <si>
    <t>VAT Group - Braeburn Estates B4A (GP) Limited</t>
  </si>
  <si>
    <t>o01c</t>
  </si>
  <si>
    <t>Braeburn Estates (B4B) Limited Partnership Propman Co</t>
  </si>
  <si>
    <t>188636554</t>
  </si>
  <si>
    <t>vgrp0jm</t>
  </si>
  <si>
    <t>VAT Group - Braeburn Estates B4B (GP) Limited</t>
  </si>
  <si>
    <t>o01d</t>
  </si>
  <si>
    <t>Braeburn Estates (B5) Limited Partnership Propman Co</t>
  </si>
  <si>
    <t>188637649</t>
  </si>
  <si>
    <t>vgrp0js</t>
  </si>
  <si>
    <t>VAT Group - Braeburn Estates B5 (GP) Limited</t>
  </si>
  <si>
    <t>o01e</t>
  </si>
  <si>
    <t>Braeburn Estates (B6/7) Limited Partnership Propman Co</t>
  </si>
  <si>
    <t>188641271</t>
  </si>
  <si>
    <t>vgrp0jx</t>
  </si>
  <si>
    <t>VAT Group - Braeburn Estates B6/7 (GP) Limited</t>
  </si>
  <si>
    <t>o01f</t>
  </si>
  <si>
    <t>Braeburn Estates Management Company Limited Propman Co</t>
  </si>
  <si>
    <t>210439253</t>
  </si>
  <si>
    <t>vgrp0ja</t>
  </si>
  <si>
    <t>VAT Group - Braeburn Estates Management Company Limited</t>
  </si>
  <si>
    <t>o01g</t>
  </si>
  <si>
    <t>Braeburn Estates Retail Limited Propman Co</t>
  </si>
  <si>
    <t>210278054</t>
  </si>
  <si>
    <t>vgrp0kc</t>
  </si>
  <si>
    <t>VAT Group - Braeburn Estates Retail Limited</t>
  </si>
  <si>
    <t>o01h</t>
  </si>
  <si>
    <t>SBP2 Sarl</t>
  </si>
  <si>
    <t>194324009</t>
  </si>
  <si>
    <t>o01k</t>
  </si>
  <si>
    <t>Vertus 10 George Street Limited Propman Co</t>
  </si>
  <si>
    <t>343829287</t>
  </si>
  <si>
    <t>vgrp0rc</t>
  </si>
  <si>
    <t>VAT Group - Vertus 10 George Street Limited</t>
  </si>
  <si>
    <t>o01l</t>
  </si>
  <si>
    <t>Vertus 8 Water Street Limited Propman Co</t>
  </si>
  <si>
    <t>346742875</t>
  </si>
  <si>
    <t>vgrp0rb</t>
  </si>
  <si>
    <t>VAT Group - Vertus 8 Water Street Limited</t>
  </si>
  <si>
    <t>o01m</t>
  </si>
  <si>
    <t>Vertus Newfoundland Place Limited Propman Co</t>
  </si>
  <si>
    <t>387523660</t>
  </si>
  <si>
    <t>vgrp0vm</t>
  </si>
  <si>
    <t>VAT Group - Vertus Residential Management Limited</t>
  </si>
  <si>
    <t>o01n</t>
  </si>
  <si>
    <t>Wood Wharf Estate Management Limited Propman Co</t>
  </si>
  <si>
    <t>208904508</t>
  </si>
  <si>
    <t>o01p</t>
  </si>
  <si>
    <t>Canary Wharf Residential Management Limited Propman Co</t>
  </si>
  <si>
    <t>o01r</t>
  </si>
  <si>
    <t>CW One Park Drive Limited Propman Co</t>
  </si>
  <si>
    <t>384584749</t>
  </si>
  <si>
    <t>vgrp0rg</t>
  </si>
  <si>
    <t>VAT Group - CW Wood Wharf Residential StaffCo Ltd</t>
  </si>
  <si>
    <t>o01s</t>
  </si>
  <si>
    <t>CW 10 Park Drive Limited Propman Co</t>
  </si>
  <si>
    <t>o032</t>
  </si>
  <si>
    <t>First Tower Limited Partnership</t>
  </si>
  <si>
    <t>LP004097</t>
  </si>
  <si>
    <t>o034</t>
  </si>
  <si>
    <t>02388957</t>
  </si>
  <si>
    <t>o038</t>
  </si>
  <si>
    <t>03123346</t>
  </si>
  <si>
    <t>o039</t>
  </si>
  <si>
    <t>03123311</t>
  </si>
  <si>
    <t>o042</t>
  </si>
  <si>
    <t>03123343</t>
  </si>
  <si>
    <t>o045</t>
  </si>
  <si>
    <t>03123299</t>
  </si>
  <si>
    <t>o046</t>
  </si>
  <si>
    <t>03123286</t>
  </si>
  <si>
    <t>o048</t>
  </si>
  <si>
    <t>CWC SPV HCo Limited</t>
  </si>
  <si>
    <t>03123064</t>
  </si>
  <si>
    <t>o050</t>
  </si>
  <si>
    <t>751849895</t>
  </si>
  <si>
    <t>03123292</t>
  </si>
  <si>
    <t>o056</t>
  </si>
  <si>
    <t>CWC SPVc Limited</t>
  </si>
  <si>
    <t>03253119</t>
  </si>
  <si>
    <t>o057</t>
  </si>
  <si>
    <t>03302741</t>
  </si>
  <si>
    <t>o058</t>
  </si>
  <si>
    <t>03302707</t>
  </si>
  <si>
    <t>o059</t>
  </si>
  <si>
    <t>03302749</t>
  </si>
  <si>
    <t>o060</t>
  </si>
  <si>
    <t>03302682</t>
  </si>
  <si>
    <t>o063</t>
  </si>
  <si>
    <t>Canary Wharf Holdings (B4) Limited</t>
  </si>
  <si>
    <t>03666935</t>
  </si>
  <si>
    <t>o064</t>
  </si>
  <si>
    <t>Canary Wharf (B4) Limited</t>
  </si>
  <si>
    <t>03666185</t>
  </si>
  <si>
    <t>o065</t>
  </si>
  <si>
    <t>03511556</t>
  </si>
  <si>
    <t>o066</t>
  </si>
  <si>
    <t>761031565</t>
  </si>
  <si>
    <t>03666325</t>
  </si>
  <si>
    <t>o068</t>
  </si>
  <si>
    <t>Canary.co.uk Limited</t>
  </si>
  <si>
    <t>03666582</t>
  </si>
  <si>
    <t>o069</t>
  </si>
  <si>
    <t>03941692</t>
  </si>
  <si>
    <t>o075</t>
  </si>
  <si>
    <t>Canary Wharf Contractors (B5) Limited</t>
  </si>
  <si>
    <t>03442704</t>
  </si>
  <si>
    <t>o076</t>
  </si>
  <si>
    <t>Canary Wharf Holdings (B5) Limited</t>
  </si>
  <si>
    <t>03442716</t>
  </si>
  <si>
    <t>o077</t>
  </si>
  <si>
    <t>Canary Wharf (B5) Limited</t>
  </si>
  <si>
    <t>03442708</t>
  </si>
  <si>
    <t>o078</t>
  </si>
  <si>
    <t>Canary Wharf (B5) T1 Limited</t>
  </si>
  <si>
    <t>03442705</t>
  </si>
  <si>
    <t>o079</t>
  </si>
  <si>
    <t>Canary Wharf (B5) T2 Limited</t>
  </si>
  <si>
    <t>03442710</t>
  </si>
  <si>
    <t>o080</t>
  </si>
  <si>
    <t>03194822</t>
  </si>
  <si>
    <t>o082</t>
  </si>
  <si>
    <t>Canary Wharf (DS6) T2 Limited</t>
  </si>
  <si>
    <t>03320957</t>
  </si>
  <si>
    <t>o083</t>
  </si>
  <si>
    <t>Canary Wharf (DS6) T1 Limited</t>
  </si>
  <si>
    <t>03321144</t>
  </si>
  <si>
    <t>o084</t>
  </si>
  <si>
    <t>Canary Wharf (DS6) Limited</t>
  </si>
  <si>
    <t>03321660</t>
  </si>
  <si>
    <t>o085</t>
  </si>
  <si>
    <t>Canary Wharf Holdings (DS6) Limited</t>
  </si>
  <si>
    <t>03321061</t>
  </si>
  <si>
    <t>o086</t>
  </si>
  <si>
    <t>03941678</t>
  </si>
  <si>
    <t>o087</t>
  </si>
  <si>
    <t>CWCB Investments (DS6) Limited</t>
  </si>
  <si>
    <t>03941686</t>
  </si>
  <si>
    <t>o088</t>
  </si>
  <si>
    <t>02798284</t>
  </si>
  <si>
    <t>o090</t>
  </si>
  <si>
    <t>03114622</t>
  </si>
  <si>
    <t>o091</t>
  </si>
  <si>
    <t>04191122</t>
  </si>
  <si>
    <t>o0a2</t>
  </si>
  <si>
    <t>03416151</t>
  </si>
  <si>
    <t>o0a4</t>
  </si>
  <si>
    <t>03441686</t>
  </si>
  <si>
    <t>o0a5</t>
  </si>
  <si>
    <t>03441728</t>
  </si>
  <si>
    <t>o0a7</t>
  </si>
  <si>
    <t>03441707</t>
  </si>
  <si>
    <t>o0a8</t>
  </si>
  <si>
    <t>03441740</t>
  </si>
  <si>
    <t>o0ac</t>
  </si>
  <si>
    <t>One Canada Square (Retail) Unit Trust</t>
  </si>
  <si>
    <t>JERSEY</t>
  </si>
  <si>
    <t>o0af</t>
  </si>
  <si>
    <t>Canada Place (Retail) Unit Trust</t>
  </si>
  <si>
    <t>o0ai</t>
  </si>
  <si>
    <t>Cabot Place (Retail) Unit Trust</t>
  </si>
  <si>
    <t>o0al</t>
  </si>
  <si>
    <t>Canada Place Mall (Retail) Unit Trust</t>
  </si>
  <si>
    <t>o0ao</t>
  </si>
  <si>
    <t>Jubilee Place (Retail) Unit Trust</t>
  </si>
  <si>
    <t>875212325</t>
  </si>
  <si>
    <t>o0ar</t>
  </si>
  <si>
    <t>SL005918</t>
  </si>
  <si>
    <t>o0au</t>
  </si>
  <si>
    <t>2732071</t>
  </si>
  <si>
    <t>o0ax</t>
  </si>
  <si>
    <t>o0b7</t>
  </si>
  <si>
    <t>CWCB Holdings Limited</t>
  </si>
  <si>
    <t>03452890</t>
  </si>
  <si>
    <t>o0b8</t>
  </si>
  <si>
    <t>872547301</t>
  </si>
  <si>
    <t>03452901</t>
  </si>
  <si>
    <t>o0ba</t>
  </si>
  <si>
    <t>o0bd</t>
  </si>
  <si>
    <t>05909641</t>
  </si>
  <si>
    <t>o0bf</t>
  </si>
  <si>
    <t>SC312220</t>
  </si>
  <si>
    <t>o0bg</t>
  </si>
  <si>
    <t>SC312223</t>
  </si>
  <si>
    <t>o0bh</t>
  </si>
  <si>
    <t>o0bj</t>
  </si>
  <si>
    <t>SC312226</t>
  </si>
  <si>
    <t>o0bk</t>
  </si>
  <si>
    <t>SC312216</t>
  </si>
  <si>
    <t>o0bl</t>
  </si>
  <si>
    <t>SL005919</t>
  </si>
  <si>
    <t>o0bm</t>
  </si>
  <si>
    <t>SC312214</t>
  </si>
  <si>
    <t>o0bn</t>
  </si>
  <si>
    <t>SC312228</t>
  </si>
  <si>
    <t>o0bp</t>
  </si>
  <si>
    <t>SL005920</t>
  </si>
  <si>
    <t>o0bq</t>
  </si>
  <si>
    <t>SC312229</t>
  </si>
  <si>
    <t>o0br</t>
  </si>
  <si>
    <t>SC312227</t>
  </si>
  <si>
    <t>o0bs</t>
  </si>
  <si>
    <t>SL005921</t>
  </si>
  <si>
    <t>o0bt</t>
  </si>
  <si>
    <t>SC312210</t>
  </si>
  <si>
    <t>o0bu</t>
  </si>
  <si>
    <t>SC312211</t>
  </si>
  <si>
    <t>o0bv</t>
  </si>
  <si>
    <t>SL005915</t>
  </si>
  <si>
    <t>o0bw</t>
  </si>
  <si>
    <t>SC312212</t>
  </si>
  <si>
    <t>o0bx</t>
  </si>
  <si>
    <t>SC312206</t>
  </si>
  <si>
    <t>o0by</t>
  </si>
  <si>
    <t>SL005914</t>
  </si>
  <si>
    <t>o0bz</t>
  </si>
  <si>
    <t>SC312215</t>
  </si>
  <si>
    <t>o0c1</t>
  </si>
  <si>
    <t>03452952</t>
  </si>
  <si>
    <t>o0c2</t>
  </si>
  <si>
    <t>Canary Wharf Contractors (RT2) Limited</t>
  </si>
  <si>
    <t>03510961</t>
  </si>
  <si>
    <t>o0c4</t>
  </si>
  <si>
    <t>726741426</t>
  </si>
  <si>
    <t>03682170</t>
  </si>
  <si>
    <t>o0c7</t>
  </si>
  <si>
    <t>744351734</t>
  </si>
  <si>
    <t>03719122</t>
  </si>
  <si>
    <t>o0c8</t>
  </si>
  <si>
    <t>03954236</t>
  </si>
  <si>
    <t>o0c9</t>
  </si>
  <si>
    <t>03957445</t>
  </si>
  <si>
    <t>o0ca</t>
  </si>
  <si>
    <t>SC312207</t>
  </si>
  <si>
    <t>o0cb</t>
  </si>
  <si>
    <t>SL005916</t>
  </si>
  <si>
    <t>o0cc</t>
  </si>
  <si>
    <t>SC312225</t>
  </si>
  <si>
    <t>o0cd</t>
  </si>
  <si>
    <t>SC312213</t>
  </si>
  <si>
    <t>o0ce</t>
  </si>
  <si>
    <t>SL005917</t>
  </si>
  <si>
    <t>o0cf</t>
  </si>
  <si>
    <t>SC312209</t>
  </si>
  <si>
    <t>o0cg</t>
  </si>
  <si>
    <t>SC312208</t>
  </si>
  <si>
    <t>o0ch</t>
  </si>
  <si>
    <t>SL005913</t>
  </si>
  <si>
    <t>o0cj</t>
  </si>
  <si>
    <t>Canary Wharf (DS3 East) Limited</t>
  </si>
  <si>
    <t>05942607</t>
  </si>
  <si>
    <t>o0ck</t>
  </si>
  <si>
    <t>Canary Wharf (DS3 West) Limited</t>
  </si>
  <si>
    <t>05942631</t>
  </si>
  <si>
    <t>o0cl</t>
  </si>
  <si>
    <t>Canary Wharf Investment Holdings (BP2) Limited</t>
  </si>
  <si>
    <t>06002177</t>
  </si>
  <si>
    <t>o0cm</t>
  </si>
  <si>
    <t>Canary Wharf (Drapers Gardens) Limited</t>
  </si>
  <si>
    <t>06199029</t>
  </si>
  <si>
    <t>o0cn</t>
  </si>
  <si>
    <t>34236832</t>
  </si>
  <si>
    <t>o0cp</t>
  </si>
  <si>
    <t>06199021</t>
  </si>
  <si>
    <t>o0cq</t>
  </si>
  <si>
    <t>186896728</t>
  </si>
  <si>
    <t>vgrp0cq</t>
  </si>
  <si>
    <t>VAT Group - Heron Quays West GP (Three) Limited</t>
  </si>
  <si>
    <t>06384164</t>
  </si>
  <si>
    <t>o0cr</t>
  </si>
  <si>
    <t>Heron Quays West (T1) Limited</t>
  </si>
  <si>
    <t>06384176</t>
  </si>
  <si>
    <t>o0cs</t>
  </si>
  <si>
    <t>LP012493</t>
  </si>
  <si>
    <t>o0ct</t>
  </si>
  <si>
    <t>SL006268</t>
  </si>
  <si>
    <t>o0cu</t>
  </si>
  <si>
    <t>SL006267</t>
  </si>
  <si>
    <t>o0cv</t>
  </si>
  <si>
    <t>SC326358</t>
  </si>
  <si>
    <t>o0cw</t>
  </si>
  <si>
    <t>SC326359</t>
  </si>
  <si>
    <t>o0cx</t>
  </si>
  <si>
    <t>o0cy</t>
  </si>
  <si>
    <t>o0d1</t>
  </si>
  <si>
    <t>Canary Wharf Holdings (DS2) Limited</t>
  </si>
  <si>
    <t>03605331</t>
  </si>
  <si>
    <t>o0d2</t>
  </si>
  <si>
    <t>Canary Wharf (DS2) Limited</t>
  </si>
  <si>
    <t>03605334</t>
  </si>
  <si>
    <t>o0d3</t>
  </si>
  <si>
    <t>Canary Wharf Contractors (DS2) Limited</t>
  </si>
  <si>
    <t>03605337</t>
  </si>
  <si>
    <t>o0d4</t>
  </si>
  <si>
    <t>03605340</t>
  </si>
  <si>
    <t>o0d5</t>
  </si>
  <si>
    <t>03605344</t>
  </si>
  <si>
    <t>o0d6</t>
  </si>
  <si>
    <t>Canary Wharf Finance Holdings Limited</t>
  </si>
  <si>
    <t>03929240</t>
  </si>
  <si>
    <t>o0d7</t>
  </si>
  <si>
    <t>03929593</t>
  </si>
  <si>
    <t>o0d8</t>
  </si>
  <si>
    <t>03929555</t>
  </si>
  <si>
    <t>o0d9</t>
  </si>
  <si>
    <t>CW Finance Holdings II Limited</t>
  </si>
  <si>
    <t>04007784</t>
  </si>
  <si>
    <t>o0da</t>
  </si>
  <si>
    <t>07496742</t>
  </si>
  <si>
    <t>o0db</t>
  </si>
  <si>
    <t>Canary Wharf (BP4) T1 Limited</t>
  </si>
  <si>
    <t>07724200</t>
  </si>
  <si>
    <t>o0dc</t>
  </si>
  <si>
    <t>Canary Wharf (BP4) T2 Limited</t>
  </si>
  <si>
    <t>07724215</t>
  </si>
  <si>
    <t>o0dd</t>
  </si>
  <si>
    <t>125117939</t>
  </si>
  <si>
    <t>07774523</t>
  </si>
  <si>
    <t>o0de</t>
  </si>
  <si>
    <t>888562068</t>
  </si>
  <si>
    <t>05942617</t>
  </si>
  <si>
    <t>o0df</t>
  </si>
  <si>
    <t>858133511</t>
  </si>
  <si>
    <t>vgrp0df</t>
  </si>
  <si>
    <t>VAT Group - Braeburn Estates (GP) Limited</t>
  </si>
  <si>
    <t>07698559</t>
  </si>
  <si>
    <t>o0dh</t>
  </si>
  <si>
    <t>118275611</t>
  </si>
  <si>
    <t>07698566</t>
  </si>
  <si>
    <t>o0dj</t>
  </si>
  <si>
    <t>118275709</t>
  </si>
  <si>
    <t>07705663</t>
  </si>
  <si>
    <t>o0dk</t>
  </si>
  <si>
    <t>108584</t>
  </si>
  <si>
    <t>o0dl</t>
  </si>
  <si>
    <t>o0dn</t>
  </si>
  <si>
    <t>LP014539</t>
  </si>
  <si>
    <t>o0dp</t>
  </si>
  <si>
    <t>08500776</t>
  </si>
  <si>
    <t>o0dq</t>
  </si>
  <si>
    <t>08500788</t>
  </si>
  <si>
    <t>o0dr</t>
  </si>
  <si>
    <t>193905381</t>
  </si>
  <si>
    <t>09117089</t>
  </si>
  <si>
    <t>o0du</t>
  </si>
  <si>
    <t>193493180</t>
  </si>
  <si>
    <t>09114861</t>
  </si>
  <si>
    <t>o0dw</t>
  </si>
  <si>
    <t>888484647</t>
  </si>
  <si>
    <t>05942639</t>
  </si>
  <si>
    <t>o0e2</t>
  </si>
  <si>
    <t>927118327</t>
  </si>
  <si>
    <t>vgrp0ej</t>
  </si>
  <si>
    <t>VAT Group - Canary Wharf (North Quay) Limited</t>
  </si>
  <si>
    <t>04050460</t>
  </si>
  <si>
    <t>o0e4</t>
  </si>
  <si>
    <t>Canary Wharf (DS5) T1 Limited</t>
  </si>
  <si>
    <t>04093509</t>
  </si>
  <si>
    <t>o0e5</t>
  </si>
  <si>
    <t>Canary Wharf (DS5) T2 Limited</t>
  </si>
  <si>
    <t>04093506</t>
  </si>
  <si>
    <t>o0ea</t>
  </si>
  <si>
    <t>06397018</t>
  </si>
  <si>
    <t>o0eb</t>
  </si>
  <si>
    <t>480550495</t>
  </si>
  <si>
    <t>06398012</t>
  </si>
  <si>
    <t>o0ec</t>
  </si>
  <si>
    <t>CWG (Wood Wharf General Partner One) Limited</t>
  </si>
  <si>
    <t>06398050</t>
  </si>
  <si>
    <t>o0ed</t>
  </si>
  <si>
    <t>Canary Wharf Investments (Crossrail) Limited</t>
  </si>
  <si>
    <t>06468602</t>
  </si>
  <si>
    <t>o0ee</t>
  </si>
  <si>
    <t>935800717</t>
  </si>
  <si>
    <t>06468592</t>
  </si>
  <si>
    <t>o0ef</t>
  </si>
  <si>
    <t>06468603</t>
  </si>
  <si>
    <t>o0eg</t>
  </si>
  <si>
    <t>933172828</t>
  </si>
  <si>
    <t>06468635</t>
  </si>
  <si>
    <t>o0eh</t>
  </si>
  <si>
    <t>06516410</t>
  </si>
  <si>
    <t>o0ej</t>
  </si>
  <si>
    <t>06516372</t>
  </si>
  <si>
    <t>o0ek</t>
  </si>
  <si>
    <t>06516280</t>
  </si>
  <si>
    <t>o0el</t>
  </si>
  <si>
    <t>Canary Wharf Properties (Crossrail Two) Limited</t>
  </si>
  <si>
    <t>06770168</t>
  </si>
  <si>
    <t>o0em</t>
  </si>
  <si>
    <t>06865085</t>
  </si>
  <si>
    <t>o0en</t>
  </si>
  <si>
    <t>02904179</t>
  </si>
  <si>
    <t>o0ep</t>
  </si>
  <si>
    <t>151533926</t>
  </si>
  <si>
    <t>vgrp0ep</t>
  </si>
  <si>
    <t>VAT Group - CWG (Wood Wharf Two) Limited</t>
  </si>
  <si>
    <t>07321420</t>
  </si>
  <si>
    <t>o0eq</t>
  </si>
  <si>
    <t>152645023</t>
  </si>
  <si>
    <t>08305544</t>
  </si>
  <si>
    <t>o0er</t>
  </si>
  <si>
    <t>469044668</t>
  </si>
  <si>
    <t>08302379</t>
  </si>
  <si>
    <t>o0es</t>
  </si>
  <si>
    <t>08302481</t>
  </si>
  <si>
    <t>o0et</t>
  </si>
  <si>
    <t>151632140</t>
  </si>
  <si>
    <t>08302391</t>
  </si>
  <si>
    <t>o0ev</t>
  </si>
  <si>
    <t>08319652</t>
  </si>
  <si>
    <t>o0ew</t>
  </si>
  <si>
    <t>08319657</t>
  </si>
  <si>
    <t>o0ex</t>
  </si>
  <si>
    <t>SC428574</t>
  </si>
  <si>
    <t>o0ey</t>
  </si>
  <si>
    <t>SL011983</t>
  </si>
  <si>
    <t>o0ez</t>
  </si>
  <si>
    <t>CWBC Finance Two (BP1) Limited</t>
  </si>
  <si>
    <t>08591988</t>
  </si>
  <si>
    <t>o0f2</t>
  </si>
  <si>
    <t>04218741</t>
  </si>
  <si>
    <t>o0f4</t>
  </si>
  <si>
    <t>Canary Wharf (WF9) T1 Limited</t>
  </si>
  <si>
    <t>04218760</t>
  </si>
  <si>
    <t>o0f5</t>
  </si>
  <si>
    <t>Canary Wharf (WF9) T2 Limited</t>
  </si>
  <si>
    <t>04218772</t>
  </si>
  <si>
    <t>o0f7</t>
  </si>
  <si>
    <t>Canary Wharf Holdings (WF9) Limited</t>
  </si>
  <si>
    <t>03682184</t>
  </si>
  <si>
    <t>o0f8</t>
  </si>
  <si>
    <t>Canary Wharf (WF9) Limited</t>
  </si>
  <si>
    <t>03682208</t>
  </si>
  <si>
    <t>o0f9</t>
  </si>
  <si>
    <t>Canary Wharf Contractors (WF9) Limited</t>
  </si>
  <si>
    <t>03666379</t>
  </si>
  <si>
    <t>o0fa</t>
  </si>
  <si>
    <t>191480695</t>
  </si>
  <si>
    <t>41</t>
  </si>
  <si>
    <t>o0fb</t>
  </si>
  <si>
    <t>11517</t>
  </si>
  <si>
    <t>o0fc</t>
  </si>
  <si>
    <t>115384</t>
  </si>
  <si>
    <t>o0fd</t>
  </si>
  <si>
    <t>115388</t>
  </si>
  <si>
    <t>o0fh</t>
  </si>
  <si>
    <t>20 Fenchurch Street Developer Limited</t>
  </si>
  <si>
    <t>07761007</t>
  </si>
  <si>
    <t>o0fm</t>
  </si>
  <si>
    <t>Canary Wharf (FS Invest) Limited</t>
  </si>
  <si>
    <t>07321412</t>
  </si>
  <si>
    <t>o0fn</t>
  </si>
  <si>
    <t>07321399</t>
  </si>
  <si>
    <t>o0fp</t>
  </si>
  <si>
    <t>Canary Wharf (FS Jersey GP) Limited</t>
  </si>
  <si>
    <t>106235</t>
  </si>
  <si>
    <t>o0fq</t>
  </si>
  <si>
    <t>Canary Wharf (FS Two) Limited</t>
  </si>
  <si>
    <t>07321433</t>
  </si>
  <si>
    <t>o0fr</t>
  </si>
  <si>
    <t>07321368</t>
  </si>
  <si>
    <t>o0fs</t>
  </si>
  <si>
    <t>Canary Wharf (FS Holdings) Limited Partnership</t>
  </si>
  <si>
    <t>1266</t>
  </si>
  <si>
    <t>o0ft</t>
  </si>
  <si>
    <t>Canary Wharf (FS Trustee) Limited</t>
  </si>
  <si>
    <t>106161</t>
  </si>
  <si>
    <t>o0fx</t>
  </si>
  <si>
    <t>Canary Wharf (FS Holdco) Limited</t>
  </si>
  <si>
    <t>09872457</t>
  </si>
  <si>
    <t>o0fy</t>
  </si>
  <si>
    <t>Canary Wharf (FS Borrower) Limited</t>
  </si>
  <si>
    <t>09872463</t>
  </si>
  <si>
    <t>o0g2</t>
  </si>
  <si>
    <t>04218869</t>
  </si>
  <si>
    <t>o0g3</t>
  </si>
  <si>
    <t>Armoric Investments Limited</t>
  </si>
  <si>
    <t>04218720</t>
  </si>
  <si>
    <t>o0g4</t>
  </si>
  <si>
    <t>04290519</t>
  </si>
  <si>
    <t>o0g5</t>
  </si>
  <si>
    <t>04290511</t>
  </si>
  <si>
    <t>o0g8</t>
  </si>
  <si>
    <t>782549295</t>
  </si>
  <si>
    <t>04278376</t>
  </si>
  <si>
    <t>o0g9</t>
  </si>
  <si>
    <t>00556213</t>
  </si>
  <si>
    <t>o0ga</t>
  </si>
  <si>
    <t>112427</t>
  </si>
  <si>
    <t>JERSEY (but UK tax resident)</t>
  </si>
  <si>
    <t>o0gb</t>
  </si>
  <si>
    <t>112426</t>
  </si>
  <si>
    <t>o0gc</t>
  </si>
  <si>
    <t>8317937</t>
  </si>
  <si>
    <t>o0gd</t>
  </si>
  <si>
    <t>112425</t>
  </si>
  <si>
    <t>o0ge</t>
  </si>
  <si>
    <t>08657861</t>
  </si>
  <si>
    <t>o0gf</t>
  </si>
  <si>
    <t>174472102</t>
  </si>
  <si>
    <t>08719182</t>
  </si>
  <si>
    <t>o0gh</t>
  </si>
  <si>
    <t>Heron Quays West T2 Limited</t>
  </si>
  <si>
    <t>09091936</t>
  </si>
  <si>
    <t>o0gj</t>
  </si>
  <si>
    <t>229670192</t>
  </si>
  <si>
    <t>09896098</t>
  </si>
  <si>
    <t>o0gk</t>
  </si>
  <si>
    <t>229666080</t>
  </si>
  <si>
    <t>09895511</t>
  </si>
  <si>
    <t>o0gl</t>
  </si>
  <si>
    <t>192198186</t>
  </si>
  <si>
    <t>vgrp0gl</t>
  </si>
  <si>
    <t>VAT Group - Heron Quays West GP (Four) Limited</t>
  </si>
  <si>
    <t>09100436</t>
  </si>
  <si>
    <t>o0gm</t>
  </si>
  <si>
    <t>Heron Quays West (1) T1 Limited</t>
  </si>
  <si>
    <t>09100549</t>
  </si>
  <si>
    <t>o0gn</t>
  </si>
  <si>
    <t>Heron Quays West (1) T2 Limited</t>
  </si>
  <si>
    <t>09100571</t>
  </si>
  <si>
    <t>o0gp</t>
  </si>
  <si>
    <t>LP016099</t>
  </si>
  <si>
    <t>o0gq</t>
  </si>
  <si>
    <t>o0gr</t>
  </si>
  <si>
    <t>223946600</t>
  </si>
  <si>
    <t>09782660</t>
  </si>
  <si>
    <t>o0gs</t>
  </si>
  <si>
    <t>223939007</t>
  </si>
  <si>
    <t>09782663</t>
  </si>
  <si>
    <t>o0gt</t>
  </si>
  <si>
    <t>L39 Limited</t>
  </si>
  <si>
    <t>08735302</t>
  </si>
  <si>
    <t>o0gu</t>
  </si>
  <si>
    <t>09777981</t>
  </si>
  <si>
    <t>o0gv</t>
  </si>
  <si>
    <t>119558</t>
  </si>
  <si>
    <t>o0gw</t>
  </si>
  <si>
    <t>119559</t>
  </si>
  <si>
    <t>o0gx</t>
  </si>
  <si>
    <t>227892572</t>
  </si>
  <si>
    <t>09843279</t>
  </si>
  <si>
    <t>o0gy</t>
  </si>
  <si>
    <t>11419896</t>
  </si>
  <si>
    <t>o0gz</t>
  </si>
  <si>
    <t>301666919</t>
  </si>
  <si>
    <t>11421934</t>
  </si>
  <si>
    <t>o0h6</t>
  </si>
  <si>
    <t>Heron Quays Holdings (HQ1) Limited</t>
  </si>
  <si>
    <t>04292532</t>
  </si>
  <si>
    <t>o0h7</t>
  </si>
  <si>
    <t>Heron Quays (HQ1) T1 Limited</t>
  </si>
  <si>
    <t>04290561</t>
  </si>
  <si>
    <t>o0h8</t>
  </si>
  <si>
    <t>Heron Quays (HQ1) T2 Limited</t>
  </si>
  <si>
    <t>04290537</t>
  </si>
  <si>
    <t>o0h9</t>
  </si>
  <si>
    <t>848207807</t>
  </si>
  <si>
    <t>04290533</t>
  </si>
  <si>
    <t>o0ha</t>
  </si>
  <si>
    <t>247665277</t>
  </si>
  <si>
    <t>09192729</t>
  </si>
  <si>
    <t>o0hb</t>
  </si>
  <si>
    <t>Canary Wharf NFLA Limited</t>
  </si>
  <si>
    <t>09442320</t>
  </si>
  <si>
    <t>o0hc</t>
  </si>
  <si>
    <t>300159847</t>
  </si>
  <si>
    <t>09325664</t>
  </si>
  <si>
    <t>o0hd</t>
  </si>
  <si>
    <t>Canary Wharf NQO GP Limited</t>
  </si>
  <si>
    <t>vgrp0hd</t>
  </si>
  <si>
    <t>zzVAT Group - Canary Wharf NQO GP Limited</t>
  </si>
  <si>
    <t>10489624</t>
  </si>
  <si>
    <t>o0he</t>
  </si>
  <si>
    <t>10487037</t>
  </si>
  <si>
    <t>o0hf</t>
  </si>
  <si>
    <t>Canary Wharf NQO HoldCo Limited</t>
  </si>
  <si>
    <t>10489614</t>
  </si>
  <si>
    <t>o0hg</t>
  </si>
  <si>
    <t>Canary Wharf NQO Trustee Limited</t>
  </si>
  <si>
    <t>10649263</t>
  </si>
  <si>
    <t>o0hh</t>
  </si>
  <si>
    <t>LP017937</t>
  </si>
  <si>
    <t>o0hj</t>
  </si>
  <si>
    <t>123341</t>
  </si>
  <si>
    <t>o0hk</t>
  </si>
  <si>
    <t>10992594</t>
  </si>
  <si>
    <t>o0hl</t>
  </si>
  <si>
    <t>337994840</t>
  </si>
  <si>
    <t>11031705</t>
  </si>
  <si>
    <t>o0hm</t>
  </si>
  <si>
    <t>293587845</t>
  </si>
  <si>
    <t>11072559</t>
  </si>
  <si>
    <t>o0hn</t>
  </si>
  <si>
    <t>11091904</t>
  </si>
  <si>
    <t>o0hp</t>
  </si>
  <si>
    <t>11092341</t>
  </si>
  <si>
    <t>o0hq</t>
  </si>
  <si>
    <t>11092359</t>
  </si>
  <si>
    <t>o0hr</t>
  </si>
  <si>
    <t>11093585</t>
  </si>
  <si>
    <t>o0hs</t>
  </si>
  <si>
    <t>LP018985</t>
  </si>
  <si>
    <t>o0ht</t>
  </si>
  <si>
    <t>125659</t>
  </si>
  <si>
    <t>o0hu</t>
  </si>
  <si>
    <t>CW Development Consulting Limited</t>
  </si>
  <si>
    <t>11679440</t>
  </si>
  <si>
    <t>o0hv</t>
  </si>
  <si>
    <t>311702943</t>
  </si>
  <si>
    <t>11735189</t>
  </si>
  <si>
    <t>o0hw</t>
  </si>
  <si>
    <t>Canary Wharf (Earl's Court) Limited</t>
  </si>
  <si>
    <t>12044849</t>
  </si>
  <si>
    <t>o0hx</t>
  </si>
  <si>
    <t>South London Procurement Network Limited</t>
  </si>
  <si>
    <t>12047375</t>
  </si>
  <si>
    <t>o0hy</t>
  </si>
  <si>
    <t>340846796</t>
  </si>
  <si>
    <t>12395303</t>
  </si>
  <si>
    <t>o0j0</t>
  </si>
  <si>
    <t>Heron Quays Holdings (HQ2) Limited</t>
  </si>
  <si>
    <t>04292540</t>
  </si>
  <si>
    <t>o0j1</t>
  </si>
  <si>
    <t>Heron Quays (HQ2) Limited</t>
  </si>
  <si>
    <t>04290532</t>
  </si>
  <si>
    <t>o0j2</t>
  </si>
  <si>
    <t>Heron Quays (HQ2) T1 Limited</t>
  </si>
  <si>
    <t>04290562</t>
  </si>
  <si>
    <t>o0j3</t>
  </si>
  <si>
    <t>Heron Quays (HQ2) T2 Limited</t>
  </si>
  <si>
    <t>04290529</t>
  </si>
  <si>
    <t>o0j4</t>
  </si>
  <si>
    <t>HQCB Properties (HQ2) Limited</t>
  </si>
  <si>
    <t>04290530</t>
  </si>
  <si>
    <t>o0j5</t>
  </si>
  <si>
    <t>Heron Quays Holdings (HQ3) Limited</t>
  </si>
  <si>
    <t>04292543</t>
  </si>
  <si>
    <t>o0j6</t>
  </si>
  <si>
    <t>Heron Quays (HQ3) Limited</t>
  </si>
  <si>
    <t>04290556</t>
  </si>
  <si>
    <t>o0j7</t>
  </si>
  <si>
    <t>Heron Quays (HQ3) T1 Limited</t>
  </si>
  <si>
    <t>04290524</t>
  </si>
  <si>
    <t>o0j8</t>
  </si>
  <si>
    <t>Heron Quays (HQ3) T2 Limited</t>
  </si>
  <si>
    <t>04290523</t>
  </si>
  <si>
    <t>o0ja</t>
  </si>
  <si>
    <t>09216293</t>
  </si>
  <si>
    <t>o0jb</t>
  </si>
  <si>
    <t>177768838</t>
  </si>
  <si>
    <t>vgrp0jb</t>
  </si>
  <si>
    <t>VAT Group - Braeburn Estates B3 (GP) Limited</t>
  </si>
  <si>
    <t>08756476</t>
  </si>
  <si>
    <t>o0jc</t>
  </si>
  <si>
    <t>Braeburn Estates B3 (LP) Limited</t>
  </si>
  <si>
    <t>08756475</t>
  </si>
  <si>
    <t>o0jd</t>
  </si>
  <si>
    <t>LP015776</t>
  </si>
  <si>
    <t>o0je</t>
  </si>
  <si>
    <t>Braeburn Estates (B3) T1 Limited</t>
  </si>
  <si>
    <t>08756677</t>
  </si>
  <si>
    <t>o0jf</t>
  </si>
  <si>
    <t>Braeburn Estates (B3) T2 Limited</t>
  </si>
  <si>
    <t>08756683</t>
  </si>
  <si>
    <t>o0jg</t>
  </si>
  <si>
    <t>08756772</t>
  </si>
  <si>
    <t>o0jh</t>
  </si>
  <si>
    <t>Braeburn Estates B4A (LP) Limited</t>
  </si>
  <si>
    <t>08756746</t>
  </si>
  <si>
    <t>o0jj</t>
  </si>
  <si>
    <t>LP015866</t>
  </si>
  <si>
    <t>o0jk</t>
  </si>
  <si>
    <t>Braeburn Estates (B4A) T1 Limited</t>
  </si>
  <si>
    <t>08757313</t>
  </si>
  <si>
    <t>o0jl</t>
  </si>
  <si>
    <t>Braeburn Estates (B4A) T2 Limited</t>
  </si>
  <si>
    <t>08757308</t>
  </si>
  <si>
    <t>o0jm</t>
  </si>
  <si>
    <t>08756725</t>
  </si>
  <si>
    <t>o0jn</t>
  </si>
  <si>
    <t>Braeburn Estates B4B (LP) Limited</t>
  </si>
  <si>
    <t>08756818</t>
  </si>
  <si>
    <t>o0jp</t>
  </si>
  <si>
    <t>LP015867</t>
  </si>
  <si>
    <t>o0jq</t>
  </si>
  <si>
    <t>Braeburn Estates (B4B) T1 Limited</t>
  </si>
  <si>
    <t>08757363</t>
  </si>
  <si>
    <t>o0jr</t>
  </si>
  <si>
    <t>Braeburn Estates (B4B) T2 Limited</t>
  </si>
  <si>
    <t>08757359</t>
  </si>
  <si>
    <t>o0js</t>
  </si>
  <si>
    <t>08756883</t>
  </si>
  <si>
    <t>o0jt</t>
  </si>
  <si>
    <t>Braeburn Estates B5 (LP) Limited</t>
  </si>
  <si>
    <t>08756810</t>
  </si>
  <si>
    <t>o0ju</t>
  </si>
  <si>
    <t>LP015868</t>
  </si>
  <si>
    <t>o0jv</t>
  </si>
  <si>
    <t>Braeburn Estates (B5) T1 Limited</t>
  </si>
  <si>
    <t>08757351</t>
  </si>
  <si>
    <t>o0jw</t>
  </si>
  <si>
    <t>Braeburn Estates (B5) T2 Limited</t>
  </si>
  <si>
    <t>08757319</t>
  </si>
  <si>
    <t>o0jx</t>
  </si>
  <si>
    <t>08756826</t>
  </si>
  <si>
    <t>o0jy</t>
  </si>
  <si>
    <t>Braeburn Estates B6/7 (LP) Limited</t>
  </si>
  <si>
    <t>08756853</t>
  </si>
  <si>
    <t>o0jz</t>
  </si>
  <si>
    <t>LP015869</t>
  </si>
  <si>
    <t>o0k0</t>
  </si>
  <si>
    <t>04292545</t>
  </si>
  <si>
    <t>o0k1</t>
  </si>
  <si>
    <t>04290559</t>
  </si>
  <si>
    <t>o0k4</t>
  </si>
  <si>
    <t>04290525</t>
  </si>
  <si>
    <t>o0k5</t>
  </si>
  <si>
    <t>Heron Quays Holdings (HQ5) Limited</t>
  </si>
  <si>
    <t>04292549</t>
  </si>
  <si>
    <t>o0k6</t>
  </si>
  <si>
    <t>Heron Quays (HQ5) Limited</t>
  </si>
  <si>
    <t>04290560</t>
  </si>
  <si>
    <t>o0k9</t>
  </si>
  <si>
    <t>04290522</t>
  </si>
  <si>
    <t>o0ka</t>
  </si>
  <si>
    <t>Braeburn Estates (B6/7) T1 Limited</t>
  </si>
  <si>
    <t>08757379</t>
  </si>
  <si>
    <t>o0kb</t>
  </si>
  <si>
    <t>Braeburn Estates (B6/7) T2 Limited</t>
  </si>
  <si>
    <t>08757372</t>
  </si>
  <si>
    <t>o0kc</t>
  </si>
  <si>
    <t>08757098</t>
  </si>
  <si>
    <t>o0kd</t>
  </si>
  <si>
    <t>267109105</t>
  </si>
  <si>
    <t>08756470</t>
  </si>
  <si>
    <t>o0ke</t>
  </si>
  <si>
    <t>190931595</t>
  </si>
  <si>
    <t>08756459</t>
  </si>
  <si>
    <t>o0kg</t>
  </si>
  <si>
    <t>08756466</t>
  </si>
  <si>
    <t>o0kh</t>
  </si>
  <si>
    <t>08757053</t>
  </si>
  <si>
    <t>o0kj</t>
  </si>
  <si>
    <t>08757094</t>
  </si>
  <si>
    <t>o0kk</t>
  </si>
  <si>
    <t>08757077</t>
  </si>
  <si>
    <t>o0kl</t>
  </si>
  <si>
    <t>08757085</t>
  </si>
  <si>
    <t>o0km</t>
  </si>
  <si>
    <t>193474185</t>
  </si>
  <si>
    <t>08756462</t>
  </si>
  <si>
    <t>o0kn</t>
  </si>
  <si>
    <t>08757113</t>
  </si>
  <si>
    <t>o0kp</t>
  </si>
  <si>
    <t>316051147</t>
  </si>
  <si>
    <t>o0ks</t>
  </si>
  <si>
    <t>304214065</t>
  </si>
  <si>
    <t>11493307</t>
  </si>
  <si>
    <t>o0kt</t>
  </si>
  <si>
    <t>310813153</t>
  </si>
  <si>
    <t>vgrp0kt</t>
  </si>
  <si>
    <t>VAT Group - Braeburn Estates Retail (GP) Limited</t>
  </si>
  <si>
    <t>11606460</t>
  </si>
  <si>
    <t>o0ku</t>
  </si>
  <si>
    <t>Braeburn Estates Retail (LP) Limited</t>
  </si>
  <si>
    <t>11606465</t>
  </si>
  <si>
    <t>o0kv</t>
  </si>
  <si>
    <t>Braeburn Estates (Retail) T1 Limited</t>
  </si>
  <si>
    <t>11612850</t>
  </si>
  <si>
    <t>o0kw</t>
  </si>
  <si>
    <t>Braeburn Estates (Retail) T2 Limited</t>
  </si>
  <si>
    <t>11614969</t>
  </si>
  <si>
    <t>o0kx</t>
  </si>
  <si>
    <t>LP019860</t>
  </si>
  <si>
    <t>o0l0</t>
  </si>
  <si>
    <t>02115313</t>
  </si>
  <si>
    <t>o0l1</t>
  </si>
  <si>
    <t>South Quay Management Limited</t>
  </si>
  <si>
    <t>01848094</t>
  </si>
  <si>
    <t>o0l2</t>
  </si>
  <si>
    <t>872547203</t>
  </si>
  <si>
    <t>04353135</t>
  </si>
  <si>
    <t>o0l3</t>
  </si>
  <si>
    <t>50017</t>
  </si>
  <si>
    <t>o0l5</t>
  </si>
  <si>
    <t>03958475</t>
  </si>
  <si>
    <t>o0l6</t>
  </si>
  <si>
    <t>Heron Quays (HQ1) Limited</t>
  </si>
  <si>
    <t>04293673</t>
  </si>
  <si>
    <t>o0l7</t>
  </si>
  <si>
    <t>811534558</t>
  </si>
  <si>
    <t>04525220</t>
  </si>
  <si>
    <t>o0l8</t>
  </si>
  <si>
    <t>HQCB Properties (HQ4(2)) Limited</t>
  </si>
  <si>
    <t>04525215</t>
  </si>
  <si>
    <t>o0l9</t>
  </si>
  <si>
    <t>04525202</t>
  </si>
  <si>
    <t>o0la</t>
  </si>
  <si>
    <t>130029</t>
  </si>
  <si>
    <t>o0lb</t>
  </si>
  <si>
    <t>130030</t>
  </si>
  <si>
    <t>o0lc</t>
  </si>
  <si>
    <t>130028</t>
  </si>
  <si>
    <t>o0m0</t>
  </si>
  <si>
    <t>839532600</t>
  </si>
  <si>
    <t>04525113</t>
  </si>
  <si>
    <t>o0m1</t>
  </si>
  <si>
    <t>Canary Wharf (BP2) Limited</t>
  </si>
  <si>
    <t>04347695</t>
  </si>
  <si>
    <t>o0m2</t>
  </si>
  <si>
    <t>Canary Wharf Holdings (BP2) Limited</t>
  </si>
  <si>
    <t>04347709</t>
  </si>
  <si>
    <t>o0m3</t>
  </si>
  <si>
    <t>864045523</t>
  </si>
  <si>
    <t>04482337</t>
  </si>
  <si>
    <t>o0m4</t>
  </si>
  <si>
    <t>04525138</t>
  </si>
  <si>
    <t>o0m5</t>
  </si>
  <si>
    <t>Canary Wharf Investment Holdings (DS8) Limited</t>
  </si>
  <si>
    <t>04525295</t>
  </si>
  <si>
    <t>o0m6</t>
  </si>
  <si>
    <t>167812192</t>
  </si>
  <si>
    <t>04525147</t>
  </si>
  <si>
    <t>o0m7</t>
  </si>
  <si>
    <t>Canary Wharf (DS8) T1 Limited</t>
  </si>
  <si>
    <t>04525182</t>
  </si>
  <si>
    <t>o0m8</t>
  </si>
  <si>
    <t>Canary Wharf (DS8) T2 Limited</t>
  </si>
  <si>
    <t>04525173</t>
  </si>
  <si>
    <t>o0m9</t>
  </si>
  <si>
    <t>CWCB Properties (DS8) Limited</t>
  </si>
  <si>
    <t>141180648</t>
  </si>
  <si>
    <t>04525110</t>
  </si>
  <si>
    <t>o0n1</t>
  </si>
  <si>
    <t>777974255</t>
  </si>
  <si>
    <t>04184435</t>
  </si>
  <si>
    <t>o0n2</t>
  </si>
  <si>
    <t>839888938</t>
  </si>
  <si>
    <t>04487558</t>
  </si>
  <si>
    <t>o0n4</t>
  </si>
  <si>
    <t>Canary Wharf (BP1) T1 Limited</t>
  </si>
  <si>
    <t>04370722</t>
  </si>
  <si>
    <t>o0n5</t>
  </si>
  <si>
    <t>Canary Wharf (BP1) T2 Limited</t>
  </si>
  <si>
    <t>04370718</t>
  </si>
  <si>
    <t>o0n6</t>
  </si>
  <si>
    <t>Canary Wharf Investment Holdings (BP1) Limited</t>
  </si>
  <si>
    <t>04370808</t>
  </si>
  <si>
    <t>o0n7</t>
  </si>
  <si>
    <t>04373728</t>
  </si>
  <si>
    <t>o0p1</t>
  </si>
  <si>
    <t>783079303</t>
  </si>
  <si>
    <t>04066332</t>
  </si>
  <si>
    <t>o0p2</t>
  </si>
  <si>
    <t>04347713</t>
  </si>
  <si>
    <t>o0p3</t>
  </si>
  <si>
    <t>868075388</t>
  </si>
  <si>
    <t>05601366</t>
  </si>
  <si>
    <t>o0p4</t>
  </si>
  <si>
    <t>868075486</t>
  </si>
  <si>
    <t>05601406</t>
  </si>
  <si>
    <t>o0q1</t>
  </si>
  <si>
    <t>05400447</t>
  </si>
  <si>
    <t>o0q2</t>
  </si>
  <si>
    <t>05400465</t>
  </si>
  <si>
    <t>o0q3</t>
  </si>
  <si>
    <t>05400390</t>
  </si>
  <si>
    <t>o0q4</t>
  </si>
  <si>
    <t>05400420</t>
  </si>
  <si>
    <t>o0q5</t>
  </si>
  <si>
    <t>03025274</t>
  </si>
  <si>
    <t>o0q6</t>
  </si>
  <si>
    <t>02251540</t>
  </si>
  <si>
    <t>o0q7</t>
  </si>
  <si>
    <t>Canary Wharf (BP2) T1 Limited</t>
  </si>
  <si>
    <t>05976899</t>
  </si>
  <si>
    <t>o0q8</t>
  </si>
  <si>
    <t>Canary Wharf (BP2) T2 Limited</t>
  </si>
  <si>
    <t>05976936</t>
  </si>
  <si>
    <t>o0q9</t>
  </si>
  <si>
    <t>05976954</t>
  </si>
  <si>
    <t>o0qa</t>
  </si>
  <si>
    <t>935800815</t>
  </si>
  <si>
    <t>06413202</t>
  </si>
  <si>
    <t>o0r1</t>
  </si>
  <si>
    <t>Canary Wharf (BP1) Limited</t>
  </si>
  <si>
    <t>04066322</t>
  </si>
  <si>
    <t>o0r2</t>
  </si>
  <si>
    <t>Canary Wharf Holdings (BP1) Limited</t>
  </si>
  <si>
    <t>04066771</t>
  </si>
  <si>
    <t>o0r6</t>
  </si>
  <si>
    <t>Canary Wharf (DS3) Limited</t>
  </si>
  <si>
    <t>04075124</t>
  </si>
  <si>
    <t>o0r7</t>
  </si>
  <si>
    <t>Canary Wharf Holdings (DS3) Limited</t>
  </si>
  <si>
    <t>04075639</t>
  </si>
  <si>
    <t>o0r8</t>
  </si>
  <si>
    <t>Canary Wharf (DS1) Limited</t>
  </si>
  <si>
    <t>03757749</t>
  </si>
  <si>
    <t>o0r9</t>
  </si>
  <si>
    <t>Canary Wharf Holdings (DS1) Limited</t>
  </si>
  <si>
    <t>03759376</t>
  </si>
  <si>
    <t>o0ra</t>
  </si>
  <si>
    <t>10675070</t>
  </si>
  <si>
    <t>o0rb</t>
  </si>
  <si>
    <t>12229319</t>
  </si>
  <si>
    <t>o0rc</t>
  </si>
  <si>
    <t>12229329</t>
  </si>
  <si>
    <t>o0rd</t>
  </si>
  <si>
    <t>12229350</t>
  </si>
  <si>
    <t>o0re</t>
  </si>
  <si>
    <t>12437593</t>
  </si>
  <si>
    <t>o0rf</t>
  </si>
  <si>
    <t>12437605</t>
  </si>
  <si>
    <t>o0rg</t>
  </si>
  <si>
    <t>12905417</t>
  </si>
  <si>
    <t>o0s1</t>
  </si>
  <si>
    <t>Canary Wharf Contractors (DS1) Limited</t>
  </si>
  <si>
    <t>03757745</t>
  </si>
  <si>
    <t>o0s3</t>
  </si>
  <si>
    <t>774162912</t>
  </si>
  <si>
    <t>04075126</t>
  </si>
  <si>
    <t>o0s4</t>
  </si>
  <si>
    <t>Canary Wharf Contractors (DS4) Limited</t>
  </si>
  <si>
    <t>04042130</t>
  </si>
  <si>
    <t>o0s5</t>
  </si>
  <si>
    <t>Canary Wharf Contractors (DS5) Limited</t>
  </si>
  <si>
    <t>03719105</t>
  </si>
  <si>
    <t>o0s6</t>
  </si>
  <si>
    <t>Canary Wharf Holdings (DS5) Limited</t>
  </si>
  <si>
    <t>03719043</t>
  </si>
  <si>
    <t>o0s7</t>
  </si>
  <si>
    <t>Canary Wharf (DS5) Limited</t>
  </si>
  <si>
    <t>03719075</t>
  </si>
  <si>
    <t>o0s8</t>
  </si>
  <si>
    <t>Canary Wharf Contractors (DS8) Limited</t>
  </si>
  <si>
    <t>03954242</t>
  </si>
  <si>
    <t>o0sa</t>
  </si>
  <si>
    <t>Songbird Acquisition Limited</t>
  </si>
  <si>
    <t>05075686</t>
  </si>
  <si>
    <t>o0sb</t>
  </si>
  <si>
    <t>Songbird Finance (Two) Limited</t>
  </si>
  <si>
    <t>07020675</t>
  </si>
  <si>
    <t>o0se</t>
  </si>
  <si>
    <t>05043352</t>
  </si>
  <si>
    <t>o0sf</t>
  </si>
  <si>
    <t>06208721</t>
  </si>
  <si>
    <t>o0sg</t>
  </si>
  <si>
    <t>09633199</t>
  </si>
  <si>
    <t>o0sh</t>
  </si>
  <si>
    <t>117628</t>
  </si>
  <si>
    <t>o0sj</t>
  </si>
  <si>
    <t>BERMUDA</t>
  </si>
  <si>
    <t>o0sk</t>
  </si>
  <si>
    <t>CLOSED - Stork Holdco GP Limited</t>
  </si>
  <si>
    <t>49701</t>
  </si>
  <si>
    <t>o0sl</t>
  </si>
  <si>
    <t>o0sm</t>
  </si>
  <si>
    <t>o0t4</t>
  </si>
  <si>
    <t>Canary Wharf (DS1) T1 Limited</t>
  </si>
  <si>
    <t>04218685</t>
  </si>
  <si>
    <t>o0t5</t>
  </si>
  <si>
    <t>Canary Wharf (DS1) T2 Limited</t>
  </si>
  <si>
    <t>04218857</t>
  </si>
  <si>
    <t>o0t7</t>
  </si>
  <si>
    <t>Heron Quays West Properties Limited</t>
  </si>
  <si>
    <t>04521414</t>
  </si>
  <si>
    <t>o0tt</t>
  </si>
  <si>
    <t>338921283</t>
  </si>
  <si>
    <t>vgrp0tt</t>
  </si>
  <si>
    <t>VAT Group - Edyn (Wood Wharf B2) I Limited</t>
  </si>
  <si>
    <t>130259</t>
  </si>
  <si>
    <t>o0tu</t>
  </si>
  <si>
    <t>130260</t>
  </si>
  <si>
    <t>o0tv</t>
  </si>
  <si>
    <t>130261</t>
  </si>
  <si>
    <t>o0tw</t>
  </si>
  <si>
    <t>LP020560</t>
  </si>
  <si>
    <t>o0tx</t>
  </si>
  <si>
    <t>12229332</t>
  </si>
  <si>
    <t>o0ty</t>
  </si>
  <si>
    <t>12229343</t>
  </si>
  <si>
    <t>o0tz</t>
  </si>
  <si>
    <t>Canary Wharf B2 SPV2 Limited</t>
  </si>
  <si>
    <t>12229375</t>
  </si>
  <si>
    <t>o0u1</t>
  </si>
  <si>
    <t>05437962</t>
  </si>
  <si>
    <t>o0u8</t>
  </si>
  <si>
    <t>05437948</t>
  </si>
  <si>
    <t>o0u9</t>
  </si>
  <si>
    <t>Canary Wharf Retail Investments (DS3) Limited</t>
  </si>
  <si>
    <t>05437954</t>
  </si>
  <si>
    <t>o0ua</t>
  </si>
  <si>
    <t>CW Wood Wharf B3 GP Limited</t>
  </si>
  <si>
    <t>209775676</t>
  </si>
  <si>
    <t>vgrp0ua</t>
  </si>
  <si>
    <t>VAT Group - CW Wood Wharf B3 GP Limited</t>
  </si>
  <si>
    <t>09468150</t>
  </si>
  <si>
    <t>o0ub</t>
  </si>
  <si>
    <t>CW Wood Wharf B3 LP Limited</t>
  </si>
  <si>
    <t>117989</t>
  </si>
  <si>
    <t>o0uc</t>
  </si>
  <si>
    <t>CW Wood Wharf B3 T1 Limited</t>
  </si>
  <si>
    <t>09471640</t>
  </si>
  <si>
    <t>o0ud</t>
  </si>
  <si>
    <t>CW Wood Wharf B3 Limited Partnership</t>
  </si>
  <si>
    <t>LP016540</t>
  </si>
  <si>
    <t>o0ue</t>
  </si>
  <si>
    <t>CW Wood Wharf D1/D2 GP Limited</t>
  </si>
  <si>
    <t>209783384</t>
  </si>
  <si>
    <t>vgrp0ue</t>
  </si>
  <si>
    <t>VAT Group - CW Wood Wharf D1/D2 GP Limited</t>
  </si>
  <si>
    <t>09468085</t>
  </si>
  <si>
    <t>o0uf</t>
  </si>
  <si>
    <t>CW Wood Wharf D1/D2 LP Limited</t>
  </si>
  <si>
    <t>117899</t>
  </si>
  <si>
    <t>o0ug</t>
  </si>
  <si>
    <t>CW Wood Wharf D1/D2 T1 Limited</t>
  </si>
  <si>
    <t>09470309</t>
  </si>
  <si>
    <t>o0uh</t>
  </si>
  <si>
    <t>CW Wood Wharf D1/D2 Limited Partnership</t>
  </si>
  <si>
    <t>LP016539</t>
  </si>
  <si>
    <t>o0uj</t>
  </si>
  <si>
    <t>CW Wood Wharf Jersey Limited</t>
  </si>
  <si>
    <t>117897</t>
  </si>
  <si>
    <t>o0uk</t>
  </si>
  <si>
    <t>209775382</t>
  </si>
  <si>
    <t>09442079</t>
  </si>
  <si>
    <t>o0ul</t>
  </si>
  <si>
    <t>209762493</t>
  </si>
  <si>
    <t>09442115</t>
  </si>
  <si>
    <t>o0um</t>
  </si>
  <si>
    <t>209770202</t>
  </si>
  <si>
    <t>09442122</t>
  </si>
  <si>
    <t>o0un</t>
  </si>
  <si>
    <t>209804115</t>
  </si>
  <si>
    <t>09442243</t>
  </si>
  <si>
    <t>o0up</t>
  </si>
  <si>
    <t>CW Wood Wharf J4 Limited</t>
  </si>
  <si>
    <t>10118484</t>
  </si>
  <si>
    <t>o0ur</t>
  </si>
  <si>
    <t>CW Wood Wharf Retail Co Limited</t>
  </si>
  <si>
    <t>09641243</t>
  </si>
  <si>
    <t>o0us</t>
  </si>
  <si>
    <t>278315873</t>
  </si>
  <si>
    <t>10235462</t>
  </si>
  <si>
    <t>o0ut</t>
  </si>
  <si>
    <t>293603394</t>
  </si>
  <si>
    <t>11071989</t>
  </si>
  <si>
    <t>o0uu</t>
  </si>
  <si>
    <t>296603964</t>
  </si>
  <si>
    <t>11069526</t>
  </si>
  <si>
    <t>o0uv</t>
  </si>
  <si>
    <t>293603492</t>
  </si>
  <si>
    <t>11206545</t>
  </si>
  <si>
    <t>o0uw</t>
  </si>
  <si>
    <t>305104460</t>
  </si>
  <si>
    <t>11206568</t>
  </si>
  <si>
    <t>o0ux</t>
  </si>
  <si>
    <t>302730840</t>
  </si>
  <si>
    <t>11206575</t>
  </si>
  <si>
    <t>o0uy</t>
  </si>
  <si>
    <t>293622781</t>
  </si>
  <si>
    <t>11206588</t>
  </si>
  <si>
    <t>o0uz</t>
  </si>
  <si>
    <t>11197678</t>
  </si>
  <si>
    <t>o0v0</t>
  </si>
  <si>
    <t>Heron Quays Holdings (RT3) Limited</t>
  </si>
  <si>
    <t>04525287</t>
  </si>
  <si>
    <t>o0v1</t>
  </si>
  <si>
    <t>Heron Quays (RT3) Limited</t>
  </si>
  <si>
    <t>04525120</t>
  </si>
  <si>
    <t>o0v2</t>
  </si>
  <si>
    <t>Heron Quays (RT3) T1 Limited</t>
  </si>
  <si>
    <t>04525109</t>
  </si>
  <si>
    <t>o0v3</t>
  </si>
  <si>
    <t>Heron Quays (RT3) T2 Limited</t>
  </si>
  <si>
    <t>04525130</t>
  </si>
  <si>
    <t>o0v6</t>
  </si>
  <si>
    <t>04610767</t>
  </si>
  <si>
    <t>o0v7</t>
  </si>
  <si>
    <t>04610749</t>
  </si>
  <si>
    <t>o0v8</t>
  </si>
  <si>
    <t>04610788</t>
  </si>
  <si>
    <t>o0va</t>
  </si>
  <si>
    <t>209811218</t>
  </si>
  <si>
    <t>09441796</t>
  </si>
  <si>
    <t>o0vb</t>
  </si>
  <si>
    <t>10672229</t>
  </si>
  <si>
    <t>o0vd</t>
  </si>
  <si>
    <t>209810907</t>
  </si>
  <si>
    <t>09441803</t>
  </si>
  <si>
    <t>o0ve</t>
  </si>
  <si>
    <t>209808886</t>
  </si>
  <si>
    <t>09441785</t>
  </si>
  <si>
    <t>o0vf</t>
  </si>
  <si>
    <t>10672420</t>
  </si>
  <si>
    <t>o0vg</t>
  </si>
  <si>
    <t>209796959</t>
  </si>
  <si>
    <t>09442322</t>
  </si>
  <si>
    <t>o0vh</t>
  </si>
  <si>
    <t>117896</t>
  </si>
  <si>
    <t>o0vj</t>
  </si>
  <si>
    <t>209758577</t>
  </si>
  <si>
    <t>09463315</t>
  </si>
  <si>
    <t>o0vk</t>
  </si>
  <si>
    <t>209772195</t>
  </si>
  <si>
    <t>09463332</t>
  </si>
  <si>
    <t>o0vl</t>
  </si>
  <si>
    <t>209777866</t>
  </si>
  <si>
    <t>09463277</t>
  </si>
  <si>
    <t>o0vm</t>
  </si>
  <si>
    <t>10070609</t>
  </si>
  <si>
    <t>o0vn</t>
  </si>
  <si>
    <t>208892874</t>
  </si>
  <si>
    <t>09463336</t>
  </si>
  <si>
    <t>o0vp</t>
  </si>
  <si>
    <t>09462240</t>
  </si>
  <si>
    <t>o0vr</t>
  </si>
  <si>
    <t>09320873</t>
  </si>
  <si>
    <t>o0vw</t>
  </si>
  <si>
    <t>09462652</t>
  </si>
  <si>
    <t>o0w2</t>
  </si>
  <si>
    <t>04687755</t>
  </si>
  <si>
    <t>o0w4</t>
  </si>
  <si>
    <t>04882069</t>
  </si>
  <si>
    <t>o0w6</t>
  </si>
  <si>
    <t>05389382</t>
  </si>
  <si>
    <t>o0w7</t>
  </si>
  <si>
    <t>00722624</t>
  </si>
  <si>
    <t>o0w8</t>
  </si>
  <si>
    <t>05289935</t>
  </si>
  <si>
    <t>o0wa</t>
  </si>
  <si>
    <t>09442055</t>
  </si>
  <si>
    <t>o0wb</t>
  </si>
  <si>
    <t>CW Wood Wharf B3 Development Company Limited</t>
  </si>
  <si>
    <t>210083957</t>
  </si>
  <si>
    <t>09442202</t>
  </si>
  <si>
    <t>o0wc</t>
  </si>
  <si>
    <t>09442059</t>
  </si>
  <si>
    <t>o0wd</t>
  </si>
  <si>
    <t>CW Wood Wharf D1/D2 Development Company Limited</t>
  </si>
  <si>
    <t>209566491</t>
  </si>
  <si>
    <t>09462973</t>
  </si>
  <si>
    <t>o0we</t>
  </si>
  <si>
    <t>09442291</t>
  </si>
  <si>
    <t>o0wf</t>
  </si>
  <si>
    <t>09442247</t>
  </si>
  <si>
    <t>o0wg</t>
  </si>
  <si>
    <t>208875971</t>
  </si>
  <si>
    <t>09442294</t>
  </si>
  <si>
    <t>o0wh</t>
  </si>
  <si>
    <t>09461241</t>
  </si>
  <si>
    <t>o0wj</t>
  </si>
  <si>
    <t>05701528</t>
  </si>
  <si>
    <t>o0wk</t>
  </si>
  <si>
    <t>05866500</t>
  </si>
  <si>
    <t>o0wl</t>
  </si>
  <si>
    <t>05604948</t>
  </si>
  <si>
    <t>o0wm</t>
  </si>
  <si>
    <t>01660938</t>
  </si>
  <si>
    <t>o0wn</t>
  </si>
  <si>
    <t>05616851</t>
  </si>
  <si>
    <t>o0wq</t>
  </si>
  <si>
    <t>Wood Wharf (General Partner) Limited</t>
  </si>
  <si>
    <t>05398102</t>
  </si>
  <si>
    <t>o0wr</t>
  </si>
  <si>
    <t>05699327</t>
  </si>
  <si>
    <t>o0ws</t>
  </si>
  <si>
    <t>05699335</t>
  </si>
  <si>
    <t>o0wt</t>
  </si>
  <si>
    <t>o0wu</t>
  </si>
  <si>
    <t>06378694</t>
  </si>
  <si>
    <t>o0wv</t>
  </si>
  <si>
    <t>945849764</t>
  </si>
  <si>
    <t>vgrp0wv</t>
  </si>
  <si>
    <t>VAT Group - Wood Wharf (No. 1B General Partner) Limited</t>
  </si>
  <si>
    <t>06378700</t>
  </si>
  <si>
    <t>o0ww</t>
  </si>
  <si>
    <t>LP010419</t>
  </si>
  <si>
    <t>o0wx</t>
  </si>
  <si>
    <t>LP012506</t>
  </si>
  <si>
    <t>o0wy</t>
  </si>
  <si>
    <t>LP012508</t>
  </si>
  <si>
    <t>o0wz</t>
  </si>
  <si>
    <t>06394526</t>
  </si>
  <si>
    <t>o0x1</t>
  </si>
  <si>
    <t>05389389</t>
  </si>
  <si>
    <t>o0x4</t>
  </si>
  <si>
    <t>05437930</t>
  </si>
  <si>
    <t>o0x5</t>
  </si>
  <si>
    <t>133202076</t>
  </si>
  <si>
    <t>05438064</t>
  </si>
  <si>
    <t>o0x6</t>
  </si>
  <si>
    <t>05437705</t>
  </si>
  <si>
    <t>o0x7</t>
  </si>
  <si>
    <t>Canary Wharf Management (B1/B2) Limited</t>
  </si>
  <si>
    <t>05437920</t>
  </si>
  <si>
    <t>o0x8</t>
  </si>
  <si>
    <t>05437883</t>
  </si>
  <si>
    <t>o0x9</t>
  </si>
  <si>
    <t>05456472</t>
  </si>
  <si>
    <t>o0xd</t>
  </si>
  <si>
    <t>10660495</t>
  </si>
  <si>
    <t>o0xe</t>
  </si>
  <si>
    <t>10663223</t>
  </si>
  <si>
    <t>o0xf</t>
  </si>
  <si>
    <t>10664460</t>
  </si>
  <si>
    <t>o0xg</t>
  </si>
  <si>
    <t>LP017930</t>
  </si>
  <si>
    <t>o0xh</t>
  </si>
  <si>
    <t>10660607</t>
  </si>
  <si>
    <t>o0xj</t>
  </si>
  <si>
    <t>10660483</t>
  </si>
  <si>
    <t>o0xk</t>
  </si>
  <si>
    <t>10664615</t>
  </si>
  <si>
    <t>o0xl</t>
  </si>
  <si>
    <t>LP017929</t>
  </si>
  <si>
    <t>o0xm</t>
  </si>
  <si>
    <t>464132214</t>
  </si>
  <si>
    <t>vgrp134</t>
  </si>
  <si>
    <t>VAT Group - Wood Wharf G1</t>
  </si>
  <si>
    <t>11206646</t>
  </si>
  <si>
    <t>o0xp</t>
  </si>
  <si>
    <t>466484356</t>
  </si>
  <si>
    <t>vgrp135</t>
  </si>
  <si>
    <t>VAT Group - Wood Wharf G5</t>
  </si>
  <si>
    <t>11206651</t>
  </si>
  <si>
    <t>o0xr</t>
  </si>
  <si>
    <t>925538017</t>
  </si>
  <si>
    <t>06468599</t>
  </si>
  <si>
    <t>o0xs</t>
  </si>
  <si>
    <t>302926130</t>
  </si>
  <si>
    <t>11206707</t>
  </si>
  <si>
    <t>o0xu</t>
  </si>
  <si>
    <t>329793750</t>
  </si>
  <si>
    <t>11206719</t>
  </si>
  <si>
    <t>o0xv</t>
  </si>
  <si>
    <t>293635082</t>
  </si>
  <si>
    <t>11206725</t>
  </si>
  <si>
    <t>o0xw</t>
  </si>
  <si>
    <t>329788837</t>
  </si>
  <si>
    <t>11206729</t>
  </si>
  <si>
    <t>o0xx</t>
  </si>
  <si>
    <t>305210365</t>
  </si>
  <si>
    <t>11542869</t>
  </si>
  <si>
    <t>o0xy</t>
  </si>
  <si>
    <t>11758213</t>
  </si>
  <si>
    <t>o0y1</t>
  </si>
  <si>
    <t>05389391</t>
  </si>
  <si>
    <t>o0y2</t>
  </si>
  <si>
    <t>05389386</t>
  </si>
  <si>
    <t>o0y3</t>
  </si>
  <si>
    <t>858801885</t>
  </si>
  <si>
    <t>05389396</t>
  </si>
  <si>
    <t>o0y4</t>
  </si>
  <si>
    <t>05389385</t>
  </si>
  <si>
    <t>o0y5</t>
  </si>
  <si>
    <t>05389384</t>
  </si>
  <si>
    <t>o0y6</t>
  </si>
  <si>
    <t>05389387</t>
  </si>
  <si>
    <t>o0y8</t>
  </si>
  <si>
    <t>Canary Wharf (FC2) Limited</t>
  </si>
  <si>
    <t>05389394</t>
  </si>
  <si>
    <t>o0y9</t>
  </si>
  <si>
    <t>858801787</t>
  </si>
  <si>
    <t>05389395</t>
  </si>
  <si>
    <t>o0ya</t>
  </si>
  <si>
    <t>239892455</t>
  </si>
  <si>
    <t>09941405</t>
  </si>
  <si>
    <t>o0yb</t>
  </si>
  <si>
    <t>352115730</t>
  </si>
  <si>
    <t>131373</t>
  </si>
  <si>
    <t>o0yc</t>
  </si>
  <si>
    <t>354695562</t>
  </si>
  <si>
    <t>131374</t>
  </si>
  <si>
    <t>o0yd</t>
  </si>
  <si>
    <t>354698063</t>
  </si>
  <si>
    <t>131375</t>
  </si>
  <si>
    <t>o0ye</t>
  </si>
  <si>
    <t>348599244</t>
  </si>
  <si>
    <t>131378</t>
  </si>
  <si>
    <t>o0yf</t>
  </si>
  <si>
    <t>354390886</t>
  </si>
  <si>
    <t>131379</t>
  </si>
  <si>
    <t>o0yg</t>
  </si>
  <si>
    <t>131376</t>
  </si>
  <si>
    <t>o0yh</t>
  </si>
  <si>
    <t>354515110</t>
  </si>
  <si>
    <t>131377</t>
  </si>
  <si>
    <t>o0yj</t>
  </si>
  <si>
    <t>357360684</t>
  </si>
  <si>
    <t>12733831</t>
  </si>
  <si>
    <t>o0z5</t>
  </si>
  <si>
    <t>Canary Wharf Holdings (BP3) Limited</t>
  </si>
  <si>
    <t>05601363</t>
  </si>
  <si>
    <t>o0z6</t>
  </si>
  <si>
    <t>Canary Wharf (BP3) Limited</t>
  </si>
  <si>
    <t>05601364</t>
  </si>
  <si>
    <t>o0z7</t>
  </si>
  <si>
    <t>05601373</t>
  </si>
  <si>
    <t>o0z8</t>
  </si>
  <si>
    <t>05601402</t>
  </si>
  <si>
    <t>o0z9</t>
  </si>
  <si>
    <t>08986040</t>
  </si>
  <si>
    <t>o0zs</t>
  </si>
  <si>
    <t>157510</t>
  </si>
  <si>
    <t>o0zt</t>
  </si>
  <si>
    <t>10492227</t>
  </si>
  <si>
    <t>o0zw</t>
  </si>
  <si>
    <t>o0zx</t>
  </si>
  <si>
    <t>123456789</t>
  </si>
  <si>
    <t>34272372</t>
  </si>
  <si>
    <t>o100</t>
  </si>
  <si>
    <t>Canary Wharf Communities Two Limited</t>
  </si>
  <si>
    <t>13432878</t>
  </si>
  <si>
    <t>o101</t>
  </si>
  <si>
    <t>396853828</t>
  </si>
  <si>
    <t>13591921</t>
  </si>
  <si>
    <t>o102</t>
  </si>
  <si>
    <t>Canary Wharf Properties (BP4) Limited</t>
  </si>
  <si>
    <t>396134378</t>
  </si>
  <si>
    <t>13689837</t>
  </si>
  <si>
    <t>o103</t>
  </si>
  <si>
    <t>404772308</t>
  </si>
  <si>
    <t>13831404</t>
  </si>
  <si>
    <t>o104</t>
  </si>
  <si>
    <t>404784004</t>
  </si>
  <si>
    <t>13831411</t>
  </si>
  <si>
    <t>o105</t>
  </si>
  <si>
    <t>404791009</t>
  </si>
  <si>
    <t>13831398</t>
  </si>
  <si>
    <t>o106</t>
  </si>
  <si>
    <t>404924018</t>
  </si>
  <si>
    <t>13831388</t>
  </si>
  <si>
    <t>o107</t>
  </si>
  <si>
    <t>13876393</t>
  </si>
  <si>
    <t>o108</t>
  </si>
  <si>
    <t>409144902</t>
  </si>
  <si>
    <t>13877799</t>
  </si>
  <si>
    <t>o109</t>
  </si>
  <si>
    <t>13882721</t>
  </si>
  <si>
    <t>o110</t>
  </si>
  <si>
    <t>13888700</t>
  </si>
  <si>
    <t>o111</t>
  </si>
  <si>
    <t>LP22436</t>
  </si>
  <si>
    <t>o112</t>
  </si>
  <si>
    <t>13923769</t>
  </si>
  <si>
    <t>o113</t>
  </si>
  <si>
    <t>409157105</t>
  </si>
  <si>
    <t>13924305</t>
  </si>
  <si>
    <t>o114</t>
  </si>
  <si>
    <t>410808036</t>
  </si>
  <si>
    <t>13928636</t>
  </si>
  <si>
    <t>o115</t>
  </si>
  <si>
    <t>DO NOT USE - moved to ozxz</t>
  </si>
  <si>
    <t>o116</t>
  </si>
  <si>
    <t>14128497</t>
  </si>
  <si>
    <t>o117</t>
  </si>
  <si>
    <t>14126849</t>
  </si>
  <si>
    <t>o118</t>
  </si>
  <si>
    <t>LP22670</t>
  </si>
  <si>
    <t>o119</t>
  </si>
  <si>
    <t>144106</t>
  </si>
  <si>
    <t>o120</t>
  </si>
  <si>
    <t>14209752</t>
  </si>
  <si>
    <t>o121</t>
  </si>
  <si>
    <t>447816954</t>
  </si>
  <si>
    <t>vgrp121</t>
  </si>
  <si>
    <t>VAT Group - Vertus J1-J3</t>
  </si>
  <si>
    <t>14233173</t>
  </si>
  <si>
    <t>o122</t>
  </si>
  <si>
    <t>14232483</t>
  </si>
  <si>
    <t>o123</t>
  </si>
  <si>
    <t>434779069</t>
  </si>
  <si>
    <t>vgrp123</t>
  </si>
  <si>
    <t>VAT Group - Vertus E3/4</t>
  </si>
  <si>
    <t>14233288</t>
  </si>
  <si>
    <t>o124</t>
  </si>
  <si>
    <t>14232095</t>
  </si>
  <si>
    <t>o125</t>
  </si>
  <si>
    <t>433170427</t>
  </si>
  <si>
    <t>14246638</t>
  </si>
  <si>
    <t>o126</t>
  </si>
  <si>
    <t>14342178</t>
  </si>
  <si>
    <t>o127</t>
  </si>
  <si>
    <t>432048132</t>
  </si>
  <si>
    <t>14345439</t>
  </si>
  <si>
    <t>o128</t>
  </si>
  <si>
    <t>14445923</t>
  </si>
  <si>
    <t>o129</t>
  </si>
  <si>
    <t>14448775</t>
  </si>
  <si>
    <t>o130</t>
  </si>
  <si>
    <t>14453326</t>
  </si>
  <si>
    <t>o131</t>
  </si>
  <si>
    <t>147609</t>
  </si>
  <si>
    <t>o132</t>
  </si>
  <si>
    <t>148710</t>
  </si>
  <si>
    <t>o133</t>
  </si>
  <si>
    <t>14985267</t>
  </si>
  <si>
    <t>o134</t>
  </si>
  <si>
    <t>15232409</t>
  </si>
  <si>
    <t>o135</t>
  </si>
  <si>
    <t>15232816</t>
  </si>
  <si>
    <t>o136</t>
  </si>
  <si>
    <t>460435900</t>
  </si>
  <si>
    <t>15235307</t>
  </si>
  <si>
    <t>o137</t>
  </si>
  <si>
    <t>15240296</t>
  </si>
  <si>
    <t>o138</t>
  </si>
  <si>
    <t>460574783</t>
  </si>
  <si>
    <t>15252007</t>
  </si>
  <si>
    <t>o139</t>
  </si>
  <si>
    <t>460604023</t>
  </si>
  <si>
    <t>15252370</t>
  </si>
  <si>
    <t>o140</t>
  </si>
  <si>
    <t>460592977</t>
  </si>
  <si>
    <t>15251335</t>
  </si>
  <si>
    <t>o141</t>
  </si>
  <si>
    <t>15764927</t>
  </si>
  <si>
    <t>o142</t>
  </si>
  <si>
    <t>15765452</t>
  </si>
  <si>
    <t>o143</t>
  </si>
  <si>
    <t>15765457</t>
  </si>
  <si>
    <t>o144</t>
  </si>
  <si>
    <t>CW NQ D1-D2 Proprety Limited</t>
  </si>
  <si>
    <t>15765469</t>
  </si>
  <si>
    <t>o145</t>
  </si>
  <si>
    <t>15765428</t>
  </si>
  <si>
    <t>o146</t>
  </si>
  <si>
    <t>15765479</t>
  </si>
  <si>
    <t>o147</t>
  </si>
  <si>
    <t>15718993</t>
  </si>
  <si>
    <t>o148</t>
  </si>
  <si>
    <t>15722319</t>
  </si>
  <si>
    <t>o149</t>
  </si>
  <si>
    <t>73550484</t>
  </si>
  <si>
    <t>15857137</t>
  </si>
  <si>
    <t>ozxz</t>
  </si>
  <si>
    <t>ozyw</t>
  </si>
  <si>
    <t>ozyx</t>
  </si>
  <si>
    <t>ozyy</t>
  </si>
  <si>
    <t>ozyz</t>
  </si>
  <si>
    <t>ozzy</t>
  </si>
  <si>
    <t>Dummy Entity set up Resi Web Testing (Use ONLY for Resi App)</t>
  </si>
  <si>
    <t>TBC</t>
  </si>
  <si>
    <t>265211034</t>
  </si>
  <si>
    <t>Property Listing by Legal Entity as at 8 March 2025</t>
  </si>
  <si>
    <t xml:space="preserve"> Legal Entity </t>
  </si>
  <si>
    <t xml:space="preserve"> Property </t>
  </si>
  <si>
    <t xml:space="preserve"> Property Name </t>
  </si>
  <si>
    <t xml:space="preserve"> Property Address </t>
  </si>
  <si>
    <t xml:space="preserve"> City </t>
  </si>
  <si>
    <t xml:space="preserve"> County </t>
  </si>
  <si>
    <t xml:space="preserve"> PostCode </t>
  </si>
  <si>
    <t xml:space="preserve"> Units </t>
  </si>
  <si>
    <t xml:space="preserve"> TAX Authority </t>
  </si>
  <si>
    <t xml:space="preserve"> TAX Point </t>
  </si>
  <si>
    <t xml:space="preserve"> Currency </t>
  </si>
  <si>
    <t xml:space="preserve"> Rate Provider </t>
  </si>
  <si>
    <t xml:space="preserve"> Primary Contact </t>
  </si>
  <si>
    <t xml:space="preserve"> Phone </t>
  </si>
  <si>
    <t xml:space="preserve"> E-mail </t>
  </si>
  <si>
    <t xml:space="preserve"> Contact Role </t>
  </si>
  <si>
    <t xml:space="preserve"> Contact Company Name </t>
  </si>
  <si>
    <t xml:space="preserve"> Contact Address </t>
  </si>
  <si>
    <t xml:space="preserve"> Contact City </t>
  </si>
  <si>
    <t>1120T020, 112OT010</t>
  </si>
  <si>
    <t>11500010, 11500020, 11500030, 115OS010, 115OS015, 115OS050, 115OTH10, 115OTH20, 115OTH30, 115OTH40, 115ST010</t>
  </si>
  <si>
    <t>20 Columbus Courtyard</t>
  </si>
  <si>
    <t>London</t>
  </si>
  <si>
    <t>E14 4DA</t>
  </si>
  <si>
    <t>14100010, 141OT010, 141P1010, 141P1020, 141P1030, 141P1095</t>
  </si>
  <si>
    <t>8 - 14 Canada Square</t>
  </si>
  <si>
    <t>E14 5HQ</t>
  </si>
  <si>
    <t>15200010, 152OT010</t>
  </si>
  <si>
    <t>20 Canada Square</t>
  </si>
  <si>
    <t>E14 5NN</t>
  </si>
  <si>
    <t>15500008, 15500010, 15500020, 15500030, 15500040, 15500050, 1550006A, 15500070, 15500100, 15501010, 15502010, 15503010, 15504010, 15505010, 15505020, 15505030, 15505040, 15506010, 15506020, 15507010, 15508010, 15509010, 15510010, 15511010, 15512010, 155B1010, 155B1020, 155ECC01, 155ECC02, 155ECC03, 155OT010, 155P1001, 155P1002, 155P1003, 155P1004, 155P1005, 155P1006, 155P1007, 155P1008, 155P1009, 155P1010, 155P1011, 155P1012, 155P1013, 155P1014, 155P1015, 155P1016, 155P1017, 155P1018, 155P1019, 155P1020, 155P1021, 155P1022, 155PR010, 155ST010, 155ST020, 155ST030, 155ST040, 155ST050, 155ST060, 155ST070, 155ST080, 155ST090, 155ST100, 155ST110</t>
  </si>
  <si>
    <t>25 Churchill Place</t>
  </si>
  <si>
    <t>E14 5RE</t>
  </si>
  <si>
    <t>16301010, 16302010, 16303010, 16304010, 16305010, 16306010, 16307010, 16308010, 16309010, 16310010, 16311010, 16313010, 16314010, 16315010, 16316010, 16317010, 16318010, 16319010, 16320010, 16321010, 16322010, 163ENE10, 163GR010, 163GR020, 163PR010, 163ST010, 163ST020</t>
  </si>
  <si>
    <t>Reuters Plaza</t>
  </si>
  <si>
    <t>231000K1, 231000K2, 231000K3, 231000K4, 231000K5, 23100K2A, 231OS0K5, 231OTH10</t>
  </si>
  <si>
    <t>22 Churchill Place</t>
  </si>
  <si>
    <t>E14</t>
  </si>
  <si>
    <t>24600010</t>
  </si>
  <si>
    <t>Leasing Administration</t>
  </si>
  <si>
    <t>346OS010</t>
  </si>
  <si>
    <t>43 Bank Street, Heron Quay</t>
  </si>
  <si>
    <t>E14 5NX</t>
  </si>
  <si>
    <t>13200010, 13200020, 132OS010, 132OT010, 132ST010, 132ST020, 132ST030</t>
  </si>
  <si>
    <t>35 Bank Street, Heron Quay</t>
  </si>
  <si>
    <t>E14 5NW</t>
  </si>
  <si>
    <t>13300010, 13300020, 13300030</t>
  </si>
  <si>
    <t>40 Bank Street</t>
  </si>
  <si>
    <t>E14 5NR</t>
  </si>
  <si>
    <t>23203010, 23205010, 23206010, 23207010, 232P1010</t>
  </si>
  <si>
    <t>122ST001, 122ST002, 122ST003, 122ST004, 122ST005</t>
  </si>
  <si>
    <t>123000K1</t>
  </si>
  <si>
    <t>6 Chancellor Passage</t>
  </si>
  <si>
    <t>E14 5EA</t>
  </si>
  <si>
    <t>12500030, 12500040, 125OS010</t>
  </si>
  <si>
    <t>1-10 Montgomery Square</t>
  </si>
  <si>
    <t>13000001, 13000002, 130OTH01</t>
  </si>
  <si>
    <t>1 Park Place</t>
  </si>
  <si>
    <t>11 Westferry Circus</t>
  </si>
  <si>
    <t>E14 4HE</t>
  </si>
  <si>
    <t>13900001, 139OT010, 139P1001</t>
  </si>
  <si>
    <t>30 North Colonnade</t>
  </si>
  <si>
    <t>E14 5GN</t>
  </si>
  <si>
    <t>15300001, 15301010, 15302010, 15303010, 15304010, 15305010, 15306010, 15307010, 15308010, 15309010, 15310010, 15311010, 15312010, 15313010, 15313020, 153ENE10, 153GR010, 153GR020, 153OT010, 153OT020, 153ST010, 153ST014, 153ST015, 153ST020, 153ST030, 153ST040</t>
  </si>
  <si>
    <t>15 Canada Square</t>
  </si>
  <si>
    <t>E14 5EQ</t>
  </si>
  <si>
    <t>15401010, 15402010, 15403010, 15404010, 15405010, 15406010, 15407010, 15408010, 15409010, 15410010, 15411010, 15412010, 15413010, 15414010, 154GR010, 154GR020, 154OT010, 154ST020, 154ST030, 154ST040, 158OT020</t>
  </si>
  <si>
    <t>20 Churchill Place</t>
  </si>
  <si>
    <t>E14 5HJ</t>
  </si>
  <si>
    <t>16201010, 16202010, 16203010, 16204010, 16205010, 16206010, 16207010, 16208010, 16209010, 16210010, 16211010, 16212010, 162B1010, 162ENE10, 162GR010, 162OT010, 162OT020, 162PR010</t>
  </si>
  <si>
    <t>Suite 1, Beatty House Admirals Way</t>
  </si>
  <si>
    <t>E14 9UD</t>
  </si>
  <si>
    <t>Suite 3, Cochrane House Admirals Way</t>
  </si>
  <si>
    <t>Suite 3, Parker House Admirals Way</t>
  </si>
  <si>
    <t>E14 9UQ</t>
  </si>
  <si>
    <t>Suite 4, Parker House Admirals Way</t>
  </si>
  <si>
    <t>Suite 4, Raleigh House Admirals Way</t>
  </si>
  <si>
    <t>E14 9SN</t>
  </si>
  <si>
    <t>Suite 39, Beaufort Court Admirals Way</t>
  </si>
  <si>
    <t>E14 9XL</t>
  </si>
  <si>
    <t>2 Churchill Place</t>
  </si>
  <si>
    <t>E14 5HU</t>
  </si>
  <si>
    <t>233000A1, 233000B1, 23300CON, 23300PRA, 233P1001</t>
  </si>
  <si>
    <t>Churchill Place Car Park</t>
  </si>
  <si>
    <t>E14 5HP</t>
  </si>
  <si>
    <t>5 Frobisher Passage</t>
  </si>
  <si>
    <t>E14 4EE</t>
  </si>
  <si>
    <t>27400010, 274OS010</t>
  </si>
  <si>
    <t>6 Frobisher Passage</t>
  </si>
  <si>
    <t>27500010, 27500020, 27500030, 27500040, 275OS010</t>
  </si>
  <si>
    <t>15500008, 15500010, 15500020, 15500030, 15500040, 15500050, 1550006A, 15500070, 15500100, 15501010, 15502010, 15503010, 15504010, 15505010, 15505020, 15505030, 15505040, 15507010, 15508010, 15509010, 15510010, 15511010, 15512010, 155ECC01, 155ECC02, 155ECC03, 155OT010, 155P1001, 155P1002, 155P1003, 155P1004, 155P1005, 155P1006, 155P1007, 155P1008, 155P1009, 155P1010, 155P1011, 155P1012, 155P1013, 155P1014, 155P1015, 155P1016, 155P1017, 155P1018, 155P1019, 155P1020, 155P1021, 155P1022, 155PR010, 155ST010, 155ST020, 155ST030, 155ST040, 155ST050, 155ST060, 155ST070, 155ST080, 155ST090, 155ST100, 155ST110, 284OT010</t>
  </si>
  <si>
    <t>341OS010</t>
  </si>
  <si>
    <t>15 Cabot Square</t>
  </si>
  <si>
    <t>E14 4QT</t>
  </si>
  <si>
    <t>11600001, 11600002, 11600003, 11600004, 11600005, 11600006, 11600007, 11600008, 1160000A, 1160000B, 11600010, 11600012, 11600013, 11600019, 1160004A, 1160004B, 1160008A, 11600100, 1160010A, 11600200, 11600210, 11600214, 11600220, 11600230, 11600250, 11600255, 11600260, 11600270, 11600300, 11600330, 11600365, 11600380, 11600390, 11600398, 11600400, 11601101, 11601102, 11601214, 11601301, 11601305, 11601310, 11601315, 11601320, 11601330, 11601331, 11601340, 11601355, 11601360, 11602100, 11602150, 11602200, 11602210, 11602250, 11602300, 11602350, 11602400, 116ATM01, 116ENE10, 116GR009, 116GR130, 116GR145, 116GR150, 116GR155, 116GR160, 116GR165, 116GR190, 116GR311, 116GR315, 116GR320, 116GR330, 116GR335, 116GR340, 116GR350, 116GR360, 116GR370, 116IPT10, 116M1ERO, 116M1ERR, 116OS010, 116OS020, 116OS030, 116OS040, 116OTH01, 116P1002, 116ST001, 116ST004, 116ST005, 116ST00A, 116ST00B, 116ST00C, 116ST00D, 116ST00E, 116ST00F, 116ST00G, 116ST00H, 116ST00I, 116ST00J, 116ST00N, 116ST010, 116ST01B, 116ST020, 116ST02A, 116ST02B, 116ST035, 116ST03A, 116ST040, 116ST050, 116ST060, 116ST0LB, 116ST100, 116ST101, 116ST10B, 116ST16A, 116ST1P2, 116ST201, 116ST202, 116ST203, 116ST204, 116ST206, 116ST207, 116ST217, 116ST22A, 116ST23B, 116ST23C, 116ST23D, 116ST25A, 116ST270, 116ST2P2, 116ST301, 116ST305, 116ST306, 116ST307, 116ST308, 116ST310, 116ST311, 116ST312, 116ST31B, 116ST320, 116ST33A, 116ST33B, 116ST34A, 116ST34B, 116ST370, 116ST401, 116ST402, 116ST403, 116ST404, 116ST405, 116ST406, 116ST407, 116ST408, 116ST409, 116ST411, 116ST412, 116ST413, 116ST414, 116ST415, 116ST416, 116ST418, 116ST419, 116ST41A, 116ST41B, 116ST420, 116ST421, 116ST422, 116ST470</t>
  </si>
  <si>
    <t>One Canada Square (Concourse)</t>
  </si>
  <si>
    <t>E14 5AX</t>
  </si>
  <si>
    <t>129OS020, 15900001, 15900002, 15900040, 15900050, 15900410, 15900420, 15900430, 15900431, 15900440, 15900443, 15900445, 15900450, 15900452, 15900456, 15900457, 15900462, 15900463, 15900464, 15900470, 15900472, 15900475, 15900480, 15900485, 15900490, 15900491, 15900600, 15900652, 159OS010, 159ST020, 159ST040, 159ST050, 159ST452, 159ST457</t>
  </si>
  <si>
    <t>10100010, 10100020, 10100030, 10100040, 10100050, 10100060</t>
  </si>
  <si>
    <t>11000010, 11000020, 11000030, 11000040, 11000050, 11000060, 11000070, 11000080, 11000090, 11000100, 11000110, 11000120, 11000130</t>
  </si>
  <si>
    <t>5 Chancellor Passage</t>
  </si>
  <si>
    <t>E14 4PA</t>
  </si>
  <si>
    <t>12400010, 124OS010</t>
  </si>
  <si>
    <t>1 Cabot Square</t>
  </si>
  <si>
    <t>E14 4QF</t>
  </si>
  <si>
    <t>14200010, 142OT010</t>
  </si>
  <si>
    <t>25 Cabot Square</t>
  </si>
  <si>
    <t>14800010</t>
  </si>
  <si>
    <t>43 Bank Street Heron Quay</t>
  </si>
  <si>
    <t>One Canada Square Canary Wharf</t>
  </si>
  <si>
    <t>E145AB</t>
  </si>
  <si>
    <t>Westferry Circus Car Park</t>
  </si>
  <si>
    <t>E14 4HD</t>
  </si>
  <si>
    <t>Level 3 CW Facilities Management</t>
  </si>
  <si>
    <t>Churchill Place Car Park - Co. 06 (15308)</t>
  </si>
  <si>
    <t>Level 3 Car Parks - Columbus</t>
  </si>
  <si>
    <t>Level 3 Retail - Churchill Place</t>
  </si>
  <si>
    <t>c/o One Canada Square Canary Wharf</t>
  </si>
  <si>
    <t>E14 5AB</t>
  </si>
  <si>
    <t>Level 3 Estate Retail</t>
  </si>
  <si>
    <t>Level 3 1-5 Bank Street</t>
  </si>
  <si>
    <t>Level 3 One Canada Square</t>
  </si>
  <si>
    <t>North Quay</t>
  </si>
  <si>
    <t>5 &amp; 10 Newfoundland Place</t>
  </si>
  <si>
    <t>E14 4BH</t>
  </si>
  <si>
    <t>1 Water Street</t>
  </si>
  <si>
    <t>E14 5GX</t>
  </si>
  <si>
    <t>20 Water Street</t>
  </si>
  <si>
    <t>10 Bank Street Canary Wharf</t>
  </si>
  <si>
    <t>15 Water Street</t>
  </si>
  <si>
    <t>Cabot Square Car Park</t>
  </si>
  <si>
    <t>Canada Square Car park</t>
  </si>
  <si>
    <t>E14 5EW</t>
  </si>
  <si>
    <t>Jubilee Place Car Park</t>
  </si>
  <si>
    <t>E14 5NY</t>
  </si>
  <si>
    <t>5 Water Street</t>
  </si>
  <si>
    <t>Payment</t>
  </si>
  <si>
    <t>20 York Road</t>
  </si>
  <si>
    <t>SE1 7ND</t>
  </si>
  <si>
    <t>25500002, 25500003, 25500004, 25500005, 25500006, 25500007, 25500008, 25500009, 25500010, 25560001</t>
  </si>
  <si>
    <t>27700011, 27700012, 27700013, 27700014, 27700015, 277ST011, 277ST012</t>
  </si>
  <si>
    <t>10 York Road</t>
  </si>
  <si>
    <t>25400001</t>
  </si>
  <si>
    <t>27600011, 27600012, 27600013, 27600014, 27600015, 27600016</t>
  </si>
  <si>
    <t>30 South Colonnade</t>
  </si>
  <si>
    <t>E14 5EZ</t>
  </si>
  <si>
    <t>14900015, 14900025, 14900200, 14900300, 14900400, 14901010, 14902010, 14903010, 14904010, 14905010, 14906010, 14907010, 14908010, 14909010, 14910010, 14911010, 14912010, 14913010, 14914010, 149AD010, 149OT010, 149P1001, 149P1002, 149P1003, 149P1004, 149P1005, 149PL010, 149PL030, 149PR020, 149ST010, 149ST020</t>
  </si>
  <si>
    <t>One Canada Square</t>
  </si>
  <si>
    <t>E14 5AA</t>
  </si>
  <si>
    <t>230ENE10, 230ENE20, 230ENE30, 230ENE40, 230IPT10, 230OTH10, 230P1001, 230P1002, 230ST0B2, 230ST101, 230ST103</t>
  </si>
  <si>
    <t>25 The North Colonnade</t>
  </si>
  <si>
    <t>E14 5HZ</t>
  </si>
  <si>
    <t>14501010, 14502010, 14503010, 14504010, 14505010, 14506010, 14507010, 14508010, 14509010, 14510010, 14511010, 14512010, 14513010, 14514010, 145GR010, 145OT010, 145P1001, 145P1002, 145P1003, 145P1004, 145P1005, 145PL010, 145PL020, 145ST010, 145ST030, 145ST040, 145ST050, 145ST060, 145ST070, 145ST080, 145ST090, 145ST100, 145ST120, 145ST140, 145ST150</t>
  </si>
  <si>
    <t>16 - 19 Canada Square</t>
  </si>
  <si>
    <t>12800012, 12800014, 1280008B, 128000K4, 128000K6, 128000K8, 128000K9, 128005BE, 12800K4C, 12800K5A, 12800K5B, 12800K5C, 12801010, 12802010, 12803010, 12804010, 12804020, 1280TH02, 128GR001, 128OTH01, 128P0002, 128P1001, 128ST010, 128ST020, 128ST100, 128ST101, 128ST102, 128ST103, 128ST104, 128ST105, 128ST106, 128ST107, 128ST108, 128ST109, 128ST110, 128ST202, 128ST203, 128ST204, 128ST205, 128ST206, 128ST207, 128ST208, 128ST209, 128ST210, 128ST211, 128ST21A, 128ST21B, 128ST250, 128VAT01, 128VAT02, 27800010</t>
  </si>
  <si>
    <t>31 - 37 Canada Square</t>
  </si>
  <si>
    <t>15700010, 15701010, 15702010, 15703010, 15704010, 15705010, 15706010, 15707010, 15708010, 15709010, 15710010, 15711010, 15712010, 15713010, 15714010, 15715010, 15716010, 157B1010, 157M1010, 157P1001, 157ST020, 157ST030, 157ST040</t>
  </si>
  <si>
    <t>CW Cost Manager 1</t>
  </si>
  <si>
    <t>10 Cabot Square</t>
  </si>
  <si>
    <t>E14 4QQ</t>
  </si>
  <si>
    <t>14301010, 14302010, 14303010, 14303020, 14304010, 14305010, 14306010, 14307010, 14308010, 14309010, 14310010, 143ENE10, 143P1001, 143P1002, 143PL010, 143R1040</t>
  </si>
  <si>
    <t>20 Cabot Square</t>
  </si>
  <si>
    <t>14601010, 14602010, 14603010, 14604010, 14605010, 14606010, 14607010, 14608010, 14609010, 14610010, 146M1010, 146P1011, 146P1012, 146PL010, 146R1002, 146ST010</t>
  </si>
  <si>
    <t>1 Westferry Circus</t>
  </si>
  <si>
    <t>13600020, 13600030, 13601010, 13602010, 13603010, 13604010, 13605010, 13606010, 13607010, 13608010, 136OT010, 136P1001, 136P1002, 136PL010, 136PL020, 136ST010, 136ST020, 136ST030</t>
  </si>
  <si>
    <t>102P1001, 102P1002, 102P1003, 102P1004, 102P1005, 102P1006, 102P1007, 102P1008, 102P1009, 102P1010, 102P1012, 102P1013, 102P1014, 102P1015, 102P1016, 102P1017, 102P1018, 102P1019, 102P1020, 102P1021, 102P1022, 102P1023, 102P1024, 102P1025, 102P1026, 102P1027, 102P1028, 102P1029, 102P1030, 102P1031, 102P1032, 102P1033, 102P1034, 102P1036, 102P1037, 102P1038, 102P1039, 102P1040, 102P1041, 102P1044, 102P1045, 102P1046, 102P1047, 102P1048, 102P1049, 102P1050, 102P1051, 102P1052, 102P1053, 102P1054, 102P1055, 102P1056, 102P1057, 102P1058, 102P1059, 102P1060, 102P1061, 102P1062, 102P1064, 102P1065, 102P1066, 102P1067, 102P1068, 102P1069, 102P1070</t>
  </si>
  <si>
    <t>103P1001, 103P1002, 103P1003, 103P1004, 103P1005, 103P1006</t>
  </si>
  <si>
    <t>E14 4AP</t>
  </si>
  <si>
    <t>104OT010, 104P1001, 104P1002, 104P1003, 104P1004, 104P1005, 104P2001, 104P3010, 104P4001</t>
  </si>
  <si>
    <t>10500010, 105P1001, 105P1002, 105P1003, 105P1004, 105P1005, 105P1006, 105P1007, 105P1008, 105P1010, 105P1011, 105P1012, 105P2009</t>
  </si>
  <si>
    <t>Canada Square Car Park</t>
  </si>
  <si>
    <t>10600001, 106OT010, 106P1001, 106P1002, 106P1003, 106P1004, 106P1005, 106P1006, 106P1007, 106P1008, 106P1009, 106P1010, 106P1011, 106P1012, 106P1013, 106P1014, 106P1015, 106P1016, 106P1017, 106P1018, 106P1019, 106P1020, 106P1021, 106P1022, 106P1023, 106P1024, 106P1026, 106P1027, 106P1028, 106P1029, 106P1030, 106ST001</t>
  </si>
  <si>
    <t>108000KA, 108OT010, 108P1001, 108P1002, 108P1003, 108P1004, 108P1005, 108P1006, 108P1007, 108P1008, 108P1009, 108P1010, 108P1011, 108P1012, 108P1013, 108P1014, 108P1015, 108P1016</t>
  </si>
  <si>
    <t>17 Columbus Courtyard</t>
  </si>
  <si>
    <t>14000010, 14000020, 14001010, 14002010, 14003010, 14004010, 14005010, 14006010, 14007010, 14008010, 14009010, 140BR010, 140OTH10, 140P1010, 140PR010, 140ST010</t>
  </si>
  <si>
    <t>5 Canada Square</t>
  </si>
  <si>
    <t>E14 5AQ</t>
  </si>
  <si>
    <t>15100001, 151P1001</t>
  </si>
  <si>
    <t>25 Canada Square</t>
  </si>
  <si>
    <t>E14 5LL</t>
  </si>
  <si>
    <t>15603010, 15604010, 15605010, 15606010, 15607010, 15608010, 15609010, 15610010, 15611010, 15612010, 15613010, 15614010, 15617010, 15618010, 15619010, 15620010, 15621010, 15622010, 15623010, 15624010, 15625010, 15626010, 15627010, 15628010, 15629010, 15630010, 15631010, 15632010, 15633010, 15634010, 15635010, 15636010, 15637010, 15638010, 15639010, 15640010, 15641010, 15642010, 156P1001, 156P1002, 156P1003, 156P1004, 156P1005, 156T1010, 156T2010</t>
  </si>
  <si>
    <t>Canada Place</t>
  </si>
  <si>
    <t>E14 5AH</t>
  </si>
  <si>
    <t>11700001, 11700002, 11700004, 11700005, 11700006, 11700007, 11700008, 11700010, 11700011, 11700013, 11700014, 11700016, 11700017, 11700018, 11700019, 11700020, 11700021, 11700022, 11700023, 11700024, 11700026, 11700027, 11700028, 11700029, 11700030, 11700031, 1170003A, 1170003B, 11700050, 11700051, 11700052, 11700053, 117000K2, 117000K3, 117000K7, 117000K8, 1170017A, 1170022A, 1170023A, 11700-27, 1170027A, 11700A27, 11700B27, 11700K3B, 1170T010, 117OTH01</t>
  </si>
  <si>
    <t>10 Bank Street</t>
  </si>
  <si>
    <t>28100010</t>
  </si>
  <si>
    <t>Canada Square Park Canary Wharf</t>
  </si>
  <si>
    <t>28000010, 28000020, 280OT010, 280ST010</t>
  </si>
  <si>
    <t>50 Bank Street</t>
  </si>
  <si>
    <t>E14 5NS</t>
  </si>
  <si>
    <t>17000010, 17001010, 17002010, 17003010, 17004010, 17005010, 17006010, 17007010, 17008010, 17009010, 17010010, 17011010, 170GR010, 170IPT10, 170OT010, 170OT020, 170OT030, 170OT040, 170P1001, 170P1002, 170P1003, 170P1004, 170P1005, 170R1010, 170R1020, 170ST010, 170ST020, 170ST02A, 170ST030, 170ST03A, 170ST03B, 170ST040, 170ST050</t>
  </si>
  <si>
    <t>171GR020</t>
  </si>
  <si>
    <t>4 Charter Street Woof Wharf</t>
  </si>
  <si>
    <t>34200010</t>
  </si>
  <si>
    <t>1 Crossrail Place</t>
  </si>
  <si>
    <t>E14 5AR</t>
  </si>
  <si>
    <t>12000004, 12000006, 12000008, 12000010, 12000012, 12000014, 12000020, 12000024, 12000026, 12000028, 12000030, 12000032, 12000034, 12000035, 12000036, 12000038, 12000040, 12000042, 12000044, 12000046, 12000048, 12000052, 12000054, 12000056, 12000058, 12000060, 12000062, 12000064, 12000066, 12000068, 12000070, 120000O6, 12000320, 12000K10, 12001001, 120ENE10, 120OS002, 120OS006, 120OS025, 120OS028, 120OS030, 120OS050, 120OS051, 120OS111, 120OSO40, 120OTH01, 120OTH02, 120ST001, 120ST002, 120ST00A, 120ST00B, 120ST010, 120ST012, 120ST020, 120ST050, 120ST060, 120ST0A1, 120ST0B1, 120ST301</t>
  </si>
  <si>
    <t>zp330</t>
  </si>
  <si>
    <t>INACTIVE - Crossrail Retail - Co. 149 (RT5 60011)</t>
  </si>
  <si>
    <t>12000004, 12000006, 12000008, 12000010, 12000012, 12000014, 12000020, 12000024, 12000026, 12000028, 12000030, 12000032, 12000034, 12000035, 12000036, 12000038, 12000040, 12000042, 12000044, 12000046, 12000048, 12000052, 12000054, 12000056, 12000058, 12000060, 12000062, 12000064, 12000066, 12000068, 12000070, 120000O6, 12000320, 12000K10, 12001001, 120ENE10, 120OS002, 120OS006, 120OS025, 120OS028, 120OS030, 120OS050, 120OS051, 120OS111, 120OSO40, 120OTH01, 120OTH02, 120ST001, 120ST002, 120ST00A, 120ST00B, 120ST010, 120ST012, 120ST050, 120ST060, 120ST0A1, 120ST0B1, 120ST301</t>
  </si>
  <si>
    <t>13400010, 13400020, 13400030, 13400040, 13400050, 13400060, 134OT010</t>
  </si>
  <si>
    <t>16400001, 16400010, 16400020, 16400030, 16401010, 164OT010, 164OT020</t>
  </si>
  <si>
    <t>16500010, 16501010</t>
  </si>
  <si>
    <t>Wood Wharf</t>
  </si>
  <si>
    <t>Wood Wharf Estate</t>
  </si>
  <si>
    <t>24900010, 24900020, 249IPT01, 249OT010</t>
  </si>
  <si>
    <t>10 Union Square Wood Wharf</t>
  </si>
  <si>
    <t>25000010</t>
  </si>
  <si>
    <t>15 Westferry Circus</t>
  </si>
  <si>
    <t>17401010, 17402010, 17403010, 17404010, 17405010, 17406010, 17407010, 17408010, 174GR010, 174GR020, 174P1001, 174ST010, 174ST020</t>
  </si>
  <si>
    <t>28302010, 28303010, 28304010, 28305010, 28306010, 28307010</t>
  </si>
  <si>
    <t>10 Upper Bank Street</t>
  </si>
  <si>
    <t>E14 5NP</t>
  </si>
  <si>
    <t>17201010, 17202010, 17203010, 17204010, 17205010, 17206010, 17207010, 17208010, 17209010, 17210010, 17211010, 17212010, 17213010, 17214010, 17215010, 17216010, 17217010, 17218010, 17219010, 17220010, 17221010, 17222010, 17223010, 17224010, 17225010, 17226010, 17227010, 17228010, 17229010, 17230010, 172B1010, 172B2010, 172GR010, 172GR020, 172OT010, 172P1006</t>
  </si>
  <si>
    <t>17300010</t>
  </si>
  <si>
    <t>CEO</t>
  </si>
  <si>
    <t>101OT010, 111IPT01, 111IPT03, 111IPT04, 111IPT05, 111IPT06, 111IPT07, 111IPT08, 111IPT09, 111IPT10, 111IPT11, 111IPT12, 111IPT13, 111IPT14, 111IPT15, 111IPT16, 111IPT17, 111IPT18, 111IPT19, 111IPT20, 111IPT21, 111IPT22, 111IPT23, 111IPT24, 111IPT25, 111IPT26, 111IPT27, 111IPT55, 111T1112, 111T1113, 111T1115, 111TI001, 111TI002, 111TI003, 111TI004, 111TI005, 111TI006, 111TI007, 111TI008, 111TI009, 111TI010, 111TI011, 111TI012, 111TI013, 111TI014, 111TI015, 111TI016, 111TI017, 111TI018, 111TI019, 111TI020, 111TI021, 111TI022, 111TI023, 111TI024, 111TI025, 111TI026, 111TI027, 111TI028, 111TI029, 111TI030, 111TI031, 111TI032, 111TI033, 111TI034, 111TI035, 111TI036, 111TI037, 111TI038, 111TI039, 111TI040, 111TI041, 111TI042, 111TI043, 111TI044, 111TI045, 111TI046, 111TI047, 111TI048, 111TI049, 111TI050, 111TI051, 111TI052, 111TI053, 111TI054, 111TI055, 111TI056, 111TI057, 111TI058, 111TI059, 111TI060, 111TI061, 111TI062, 111TI063, 111TI064, 111TI065, 111TI066, 111TI067, 111TI068, 111TI069, 111TI070, 111TI071, 111TI072, 111TI073, 111TI074, 111TI075, 111TI076, 111TI077, 111TI078, 111TI079, 111TI080, 111TI081, 111TI082, 111TI083, 111TI084, 111TI085, 111TI086, 111TI087, 111TI088, 111TI089, 111TI090, 111TI091, 111TI092, 111TI093, 111TI094, 111TI095, 111TI096, 111TI097, 111TI098, 111TI099, 111TI100, 111TI101, 111TI102, 111TI103, 111TI104, 111TI105, 111TI106, 111TI107, 111TI108, 111TI109, 111TI110, 111TI111, 111TI114, 111TI116, 111TI117, 111TI118, 111TI119</t>
  </si>
  <si>
    <t>83 Barchester Street</t>
  </si>
  <si>
    <t>E14 6BE</t>
  </si>
  <si>
    <t>1 Bank Street</t>
  </si>
  <si>
    <t>E14 4SG</t>
  </si>
  <si>
    <t>17501010, 17502010, 17503010, 17504010, 17505010, 17506010, 17507010, 17508010, 17509010, 17512010, 17513010, 17514010, 17515010, 17516010, 17517010, 17518010, 17519010, 17520010, 17521010, 17522010, 17523010, 17524010, 175ENE10, 175ENE20, 175GR001, 175GR010, 175P1001, 175P1002, 175P1003, 175P1004, 175P1005, 175P1006, 175P1007, 175P1008, 175P1009, 175P1011, 175ST010, 175ST016, 175ST018, 175ST019, 175ST020, 175ST021, 175ST022, 175ST023, 175ST024, 175STB10, 175STB15, 175STB20, 175STB30, 175STB35</t>
  </si>
  <si>
    <t>E14 5SG</t>
  </si>
  <si>
    <t>28500010, 285OS010</t>
  </si>
  <si>
    <t>50 Canada Square</t>
  </si>
  <si>
    <t>E14 5FW</t>
  </si>
  <si>
    <t>12600001, 12600002, 12600003</t>
  </si>
  <si>
    <t>7 Westferry Circus</t>
  </si>
  <si>
    <t>13701020, 13701030, 13702010, 13703010, 13704010, 13705010, 13706010, 13707010, 13708010, 137P1014, 137P1015, 137ST010</t>
  </si>
  <si>
    <t>13800010, 13800020, 13800040, 13800050, 13800085, 13800090, 138LIC01, 138OS050</t>
  </si>
  <si>
    <t>20 Bank Street</t>
  </si>
  <si>
    <t>E14 4AD</t>
  </si>
  <si>
    <t>16601010, 16602010, 16603010, 16604010, 16605010, 16606010, 16607010, 16608010, 16609010, 16610010, 16611010, 16612010, 166B1010, 166B2010, 166B3010, 166GR010, 166M1010, 166M2010, 166P1001</t>
  </si>
  <si>
    <t>12 Bank Street</t>
  </si>
  <si>
    <t>E14 4DD</t>
  </si>
  <si>
    <t>12900010, 12900T10, 12901010, 12902010, 12903010, 12904010, 129ENE10</t>
  </si>
  <si>
    <t>228000K2, 22800K10, 22800K20, 22800K30, 22800K40, 228OS010</t>
  </si>
  <si>
    <t>22800K10, 22800K20, 22800K30, 22800K40, 228OS010, 295000K2, 2950K210, 2950K220, 2950K230, 2950K240, 295OSK21, 295OSK22</t>
  </si>
  <si>
    <t>Southbank Place Management Limited Unit 1, 6 Chicheley Street</t>
  </si>
  <si>
    <t>SE1 7PY</t>
  </si>
  <si>
    <t>25200001, 25200002, 25200003, 25200004, 25200005, 25200006, 25200007, 25200008, 25200009, 25200010, 25200020, 25200025, 25200030, 25200031, 25200032, 25200033, 25200034, 25200040, 25200050, 25200060, 25200070, 25200080</t>
  </si>
  <si>
    <t>8 Casson Square</t>
  </si>
  <si>
    <t>SE1 7GU</t>
  </si>
  <si>
    <t>1980003A</t>
  </si>
  <si>
    <t>1 Casson Square</t>
  </si>
  <si>
    <t>SE1 7GT</t>
  </si>
  <si>
    <t>20002001, 20002002, 20002003, 20003001, 20003002, 20003003, 20003004, 20003005, 20003006, 20003007, 20003008, 20004001, 20004002, 20004003, 20004004, 20004005, 20004006, 20004007, 20004008, 20005001, 20005002, 20005003, 20005004, 20005005, 20005006, 20005007, 20005008, 20006001, 20006002, 20006003, 20006004, 20006005, 20006006, 20006007, 20006008, 20007001, 20007002, 20007003, 20007004, 20007005, 20007006, 20007007, 20007008, 20008001, 20008002, 20008003, 20008004, 20008005, 20008006, 20008007, 20008008, 20009001, 20009002, 20009003, 20009004, 20009005, 20009006, 20009007, 20009008, 20010001, 20010002, 20010003, 20010004, 20010005, 20010006, 20010007, 20010008, 20011001, 20011002, 20011003, 20011004, 20011005, 20011006, 20011007, 20011008, 20012001, 20012002, 20012003, 20012004, 20012005, 20012006, 20012007, 20012008, 20013001, 20013002, 20013003, 20013004, 20013005, 20013006, 20013007, 20013008, 20014001, 20014002, 20014003, 20014004, 20014005, 20014006, 20014007, 20014008, 20015001, 20015002, 20015003, 20015004, 20015005, 20015006, 20015007, 20015008, 20016001, 20016002, 20016003, 20016004, 20016005, 20016006, 20016007, 20016008, 20017001, 20017002, 20017003, 20017004, 20017005, 20017006, 20017007, 20018001, 20018002, 20018003, 20018004, 20018005, 20018006, 20018007, 20019001, 20019002, 20019003, 20019004, 20019005, 20019006, 20019007, 20020001, 20020002, 20020003, 20020004, 20020005, 20020006, 20020007, 20021001, 20021002, 20021003, 20021004, 20021005, 20021006, 20021007, 20022001, 20022002, 20022003, 20022004, 20022005, 20022006, 20022007, 20023001, 20023002, 20023003, 20023004, 20023005, 20023006, 20023007, 20024001, 20024002, 20024003, 20024004, 20024005, 20024006, 20024007, 20025001, 20025002, 20025003, 20025004, 20026001, 20026002, 20026003, 20026004, 20027001, 20027002, 20027003, 20027004, 20028001, 20028002, 20028003, 20028004, 20029001, 20029002, 20029003, 20029004, 20030001, 20030002, 20030003, 20030004, 20031001, 20031002, 20031003, 20031004, 20032001, 20032002, 20032003, 20032004, 20033001, 20033002, 20033003, 20033004, 20034001, 20034002, 20034003, 20034004, 20035001, 20035002</t>
  </si>
  <si>
    <t>201040AA, 201OS4AA</t>
  </si>
  <si>
    <t>r200</t>
  </si>
  <si>
    <t>1 Casson Square (Resident) - JJ:SHB4A</t>
  </si>
  <si>
    <t>30 Casson Square</t>
  </si>
  <si>
    <t>SE1 7GY</t>
  </si>
  <si>
    <t>20302001, 20302002, 20302003, 20302004, 20302005, 20303001, 20303002, 20303003, 20303004, 20303005, 20303006, 20303007, 20303008, 20304001, 20304002, 20304003, 20304004, 20304005, 20304006, 20304007, 20304008, 20305001, 20305002, 20305003, 20305004, 20305005, 20305006, 20305007, 20305008, 20306001, 20306002, 20306003, 20306004, 20306005, 20306006, 20306007, 20306008, 20307001, 20307002, 20307003, 20307004, 20307005, 20307006, 20307007, 20307008, 20308001, 20308002, 20308003, 20308004, 20308005, 20308006, 20308007, 20308008, 20309001, 20309002, 20309003, 20309004, 20309005, 20309006, 20309007, 20309008, 20310001, 20310002, 20310003, 20310004, 20310005, 20310006, 20310007, 20310008, 20311001, 20311002, 20311003, 20311004, 20311005, 20311006, 20311007, 20311008, 20312001, 20312002, 20312003, 20312004, 20312005, 20312006, 20312007, 20312008, 20313001, 20313002, 20313003, 20313004, 20313005, 20313006, 20313007, 20313008, 20314001, 20314002, 20314003, 20314004, 20314005, 20314006, 20314007, 20314008, 20315001, 20315002, 20315003, 20315004, 20315005, 20315006, 20315007, 20315008, 20316001, 20316002, 20316003, 20316004, 20316005, 20316006, 20317001, 20317002, 20317003, 20317004, 20317005, 20317006, 20318001, 20318002, 20318003, 20318004, 20318005, 20318006, 20319001, 20319002, 20319003, 20319004, 20319005, 20319006, 20320001, 20320002, 20320003, 20320004, 20320005, 20320006, 20321001, 20321002, 20321003, 20321004, 20321005, 20322001, 20322002, 20322003, 20322004, 20323001, 20323002, 20323003, 20323004, 20324001, 20324002, 20324003, 20324004, 20325001, 20325002, 20325003, 20325004, 20326001, 20326002, 20327001, 20327002, 20328001</t>
  </si>
  <si>
    <t>204040BA</t>
  </si>
  <si>
    <t>r203</t>
  </si>
  <si>
    <t>30 Casson Square (Resident) - JP:SHB4B</t>
  </si>
  <si>
    <t>7 Belvedere Road</t>
  </si>
  <si>
    <t>SE1 7GZ</t>
  </si>
  <si>
    <t>r206</t>
  </si>
  <si>
    <t>7 Belvedere Road (Resident) - JU:SHB51</t>
  </si>
  <si>
    <t>5 Belvedere Road</t>
  </si>
  <si>
    <t>SE1 7AF</t>
  </si>
  <si>
    <t>20801001, 20801002, 20801003, 20801004, 20801005, 20801006, 20801007, 20802001, 20802002, 20802003, 20802004, 20802005, 20802006, 20802007, 20802008, 20803001, 20803002, 20803003, 20803004, 20803005, 20803006, 20803007, 20803008, 20804001, 20804002, 20804003, 20804004, 20804005, 20804006, 20804007, 20804008, 20805001, 20805002, 20805003, 20805004, 20805005, 20805006, 20805007, 20806001, 20806002, 20806003, 20806004, 20806005, 20806006, 20806007, 20807001, 20807002, 20807003, 20807004, 20807005, 20807006, 20807007, 20808001, 20808002, 20808003, 20808004, 20808005, 20808006, 20808007, 20809001, 20809002, 20809003, 20809004, 20809005, 20809006, 20810001, 20810002, 20810003, 20810004, 20810005, 20811001, 20811002, 20811003, 20812001, 20812002, 20812003, 20813001, 20813002, 20813003, 20814001, 20814002, 20814003, 20815001, 20815002, 20815003, 20816001, 20816002, 20816003, 20817001, 20817002, 20817003, 20818001, 20818002, 20818003, 20819001, 20819002, 20820001</t>
  </si>
  <si>
    <t>2090006A, 2090006B, 2090007A</t>
  </si>
  <si>
    <t>r208</t>
  </si>
  <si>
    <t>5 Belvedere Road (Resident) - JZ:SHB61</t>
  </si>
  <si>
    <t>2120001D, 212ST011, 212ST012, 212ST013</t>
  </si>
  <si>
    <t>Southbank</t>
  </si>
  <si>
    <t>31400010</t>
  </si>
  <si>
    <t>337040AA, 337OS4AA</t>
  </si>
  <si>
    <t>338040BA</t>
  </si>
  <si>
    <t>3390006A, 3390006B, 3390007A</t>
  </si>
  <si>
    <t>25 Bank Street</t>
  </si>
  <si>
    <t>E14 5JP</t>
  </si>
  <si>
    <t>16701010, 16702010, 16703010, 16704010, 16705010, 16706010, 16707010, 16708010, 16709010, 16710010, 16711010, 16712010, 16714010, 16715010, 16716010, 16717010, 16718010, 16719010, 16720010, 16720020, 16721010, 16722010, 16723010, 16724010, 16725010, 16726010, 16727010, 16728010, 16729010, 16730010, 16731010, 167B1010, 167B1020, 167B2010, 167GR010, 167OT010, 167P1001, 167P1002, 167P1003, 167P1004, 167P1005, 167P1006, 167P1007, 167P1008</t>
  </si>
  <si>
    <t>297OT010</t>
  </si>
  <si>
    <t>16801010, 16801020, 16802010, 16802020, 16802030, 16802040, 16803010, 16803020, 16803030, 16804010, 16805010, 16805015, 16806010, 16807010, 16808010, 16809010, 16810010, 16811010, 16812010, 16813010, 16814010, 16815010, 16816010, 16817010, 16818010, 16818020, 16818030, 16819010, 16819020, 16819030, 16819040, 16820010, 16821010, 16822010, 16823010, 16824010, 16825010, 16826010, 16826020, 16826030, 16826040, 16827010, 16828010, 16829010, 16830010, 16831010, 16831020, 16831030, 16832010, 168GR010, 168P1001, 168P1002, 168P1003, 168P1004, 168P1005, 168P1006, 168P1022, 168P1023, 168P1024, 168ST000, 168ST010, 168ST020, 168ST021, 168ST022, 168ST023</t>
  </si>
  <si>
    <t>16900010, 16900020, 16900030, 169OS010, 169OS020, 169ST001</t>
  </si>
  <si>
    <t>Jubilee Place</t>
  </si>
  <si>
    <t>11800001, 11800003, 11800004, 11800006, 11800007, 11800008, 11800010, 11800013, 11800014, 11800015, 11800016, 11800017, 11800018, 11800019, 11800020, 11800021, 11800022, 11800024, 11800025, 11800027, 11800028, 11800029, 11800030, 11800031, 11800032, 11800033, 11800034, 11800035, 11800036, 11800039, 11800040, 11800041, 11800042, 11800044, 11800047, 11800048, 11800050, 11800052, 11800056, 11800057, 11800058, 11800060, 11800062, 11800064, 1180006A, 11800070, 11800074, 11800075, 11800076, 11800078, 11800080, 11800082, 11800084, 11800086, 11800088, 11800092, 11800094, 1180009A, 1180009B, 118000K4, 118000K5, 1180028A, 1180038A, 1180038B, 1180038C, 1180038D, 1180038E, 11800WK1, 11800WK2, 11800WK3, 11800WK4, 11800WK5, 11800WK6, 11800WK7, 11801015, 11801016, 1180T010, 118ENE10, 118OS010, 118OS020, 118OS030, 118OS040, 118OTH01, 118OTH02, 118OTH03, 118ST001, 118ST002, 118ST004, 118ST007, 118ST00A, 118ST00B, 118ST010, 118ST011, 118ST014, 118ST015, 118ST016, 118ST017, 118ST018, 118ST020, 118ST040, 118ST052, 118ST0C1, 118ST0C2, 118ST0S3, 118STC01, 118STC05, 118STC0B, 118STC0C, 118STC19, 118STLB2</t>
  </si>
  <si>
    <t>12100001, 12100002, 12100003, 12100005, 12100006, 12100007, 12100008, 12100009, 12100010, 12100012, 12100014, 12100016, 12100018, 12100020, 1210018A, 1210018B, 121ENE10, 121OS010, 121OS018, 121OS185</t>
  </si>
  <si>
    <t>E14 5AJ</t>
  </si>
  <si>
    <t>11300010, 11300020, 113OS010, 113OS020</t>
  </si>
  <si>
    <t>11900001, 11900002, 11900004, 11900005, 1190000B, 1190000C, 11900010, 11900011, 11900012, 11900013, 11900015, 1190001A, 11900031, 119000A1, 119000B1, 119000BC, 119000K1, 11900CON, 11900EXT, 11900PRA, 1190100B, 119OS010, 119OS020, 119OTH01, 119ST001, 119ST002, 119ST003, 119ST004, 119ST005, 119ST006, 119ST007, 119ST008, 119ST009, 119ST010, 119ST020, 119VAT10</t>
  </si>
  <si>
    <t>5 Churchill Place</t>
  </si>
  <si>
    <t>16100010, 16100020, 16101010, 16102010, 16103010, 16104010, 16105010, 16106010, 16107010, 16108010, 16109010, 16110010, 16111010, 16112010, 161ENE10, 161OT010, 161OTH02, 161ST010</t>
  </si>
  <si>
    <t>30200010</t>
  </si>
  <si>
    <t>40 Canada Square</t>
  </si>
  <si>
    <t>12700010, 12700020, 12700030, 12701040, 12701050, 12702040, 12702050, 127OS010, 127OS020, 127OS030, 127OTH01, 127ST00A, 127ST00I</t>
  </si>
  <si>
    <t>8 Water Street</t>
  </si>
  <si>
    <t>21701001, 21701002, 21701003, 21701004, 21701005, 21701006, 21701007, 21701008, 21701009, 21701010, 21701011, 21701012, 21701013, 21701014, 21702001, 21702002, 21702003, 21702004, 21702005, 21702006, 21702007, 21702008, 21702009, 21702010, 21702011, 21702012, 21702013, 21702014, 21703001, 21703002, 21703003, 21703004, 21703005, 21703006, 21703007, 21703008, 21703009, 21703010, 21703011, 21703012, 21703013, 21703014, 21704001, 21704002, 21704003, 21704004, 21704005, 21704006, 21704007, 21704008, 21704009, 21704010, 21704011, 21704012, 21704013, 21704014, 21705001, 21705002, 21705003, 21705004, 21705005, 21705006, 21705007, 21705008, 21705009, 21705010, 21705011, 21705012, 21705013, 21705014, 21706001, 21706002, 21706003, 21706004, 21706005, 21706006, 21706007, 21706008, 21706009, 21706010, 21706011, 21706012, 21706013, 21706014, 21707001, 21707002, 21707003, 21707004, 21707005, 21707006, 21707007, 21707008, 21707009, 21707010, 21707011, 21707012, 21707013, 21707014, 21708001, 21708002, 21708003, 21708004, 21708005, 21708006, 21708007, 21708008, 21708009, 21708010, 21708011, 21708012, 21708013, 21708014, 21709001, 21709002, 21709003, 21709004, 21709005, 21709006, 21709007, 21709008, 21709009, 21709010, 21709011, 21709012, 21709013, 21709014, 21710001, 21710002, 21710003, 21710004, 21710005, 21710006, 21710007, 21710008, 21710009, 21710010, 21710011, 21710012, 21710013, 21710014, 21711001, 21711002, 21711003, 21711004, 21711005, 21711006, 21711007, 21711008, 21711009, 21711010, 21711011, 21711012, 21711013, 21711014, 21712001, 21712002, 21712003, 21712004, 21712005, 21712006, 21712007, 21712008, 21712009, 21712010, 21712011, 21712012, 21712013, 21712014, 21713001, 21713002, 21713003, 21713004, 21713005, 21713006</t>
  </si>
  <si>
    <t>24200010, 24200020</t>
  </si>
  <si>
    <t>10 George Street</t>
  </si>
  <si>
    <t>E14 9QG</t>
  </si>
  <si>
    <t>22301001, 22301002, 22301003, 22301004, 22301005, 22301006, 22301007, 22302001, 22302002, 22302003, 22302004, 22302005, 22302006, 22302007, 22302008, 22302009, 22302010, 22302011, 22302012, 22302013, 22303001, 22303002, 22303003, 22303004, 22303005, 22303006, 22303007, 22303008, 22303009, 22303010, 22303011, 22303012, 22303013, 22304001, 22304002, 22304003, 22304004, 22304005, 22304006, 22304007, 22304008, 22304009, 22304010, 22304011, 22304012, 22304013, 22305001, 22305002, 22305003, 22305004, 22305005, 22305006, 22305007, 22305008, 22305009, 22305010, 22305011, 22305012, 22305013, 22306001, 22306002, 22306003, 22306004, 22306005, 22306006, 22306007, 22306008, 22306009, 22307001, 22307002, 22307003, 22307004, 22307005, 22307006, 22307007, 22307008, 22307009, 22308001, 22308002, 22308003, 22308004, 22308005, 22308006, 22308007, 22308008, 22308009, 22309001, 22309002, 22309003, 22309004, 22309005, 22309006, 22309007, 22309008, 22309009, 22310001, 22310002, 22310003, 22310004, 22310005, 22310006, 22310007, 22310008, 22310009, 22311001, 22311002, 22311003, 22311004, 22311005, 22311006, 22311007, 22311008, 22311009, 22312001, 22312002, 22312003, 22312004, 22312005, 22312006, 22312007, 22312008, 22312009, 22313001, 22313002, 22313003, 22313004, 22313005, 22313006, 22313007, 22313008, 22313009, 22314001, 22314002, 22314003, 22314004, 22314005, 22314006, 22314007, 22314008, 22314009, 22315001, 22315002, 22315003, 22315004, 22315005, 22315006, 22315007, 22315008, 22315009, 22316001, 22316002, 22316003, 22316004, 22316005, 22316006, 22316007, 22316008, 22316009, 22317001, 22317002, 22317003, 22317004, 22317005, 22317006, 22317007, 22317008, 22317009, 22318001, 22318002, 22318003, 22318004, 22318005, 22318006, 22318007, 22318008, 22318009, 22319001, 22319002, 22319003, 22319004, 22319005, 22319006, 22319007, 22319008, 22319009, 22320001, 22320002, 22320003, 22320004, 22320005, 22320006, 22320007, 22320008, 22320009, 22321001, 22321002, 22321003, 22321004, 22321005, 22321006, 22321007, 22321008, 22321009, 22322001, 22322002, 22322003, 22322004, 22322005, 22322006, 22322007, 22322008, 22322009, 22323001, 22323002, 22323003, 22323004, 22323005, 22323006, 22323007, 22323008, 22323009, 22324001, 22324002, 22324003, 22324004, 22324005, 22324006, 22324007, 22324008, 22324009, 22325001, 22325002, 22325003, 22325004, 22325005, 22325006, 22325007, 22325008, 22325009, 22326001, 22326002, 22326003, 22326004, 22326005, 22326006, 22326007, 22326008, 22326009, 22327001, 22327002, 22327003, 22327004, 22327005, 22327006, 22327007, 22327008, 22327009, 22328001, 22328002, 22328003, 22328004, 22328005, 22328006, 22328007, 22328008, 22328009, 22329001, 22329002, 22329003, 22329004, 22329005, 22329006, 22329007, 22329008, 22329009, 22330001, 22330002, 22330003, 22330004, 22330005, 22330006, 22330007, 22330008, 22330009, 22331001, 22331002, 22331003, 22331004, 22331005, 22331006, 22331007, 22331008, 22331009, 22332001, 22332002, 22332003, 22332004, 22332005, 22332006, 22332007, 22332008, 22332009, 22333001, 22333002, 22333003, 22333004, 22333005, 22333006, 22333007, 22333008, 22333009, 22334001, 22334002, 22334003, 22334004, 22334005, 22334006, 22334007, 22334008, 22334009, 22335001, 22335002, 22335003, 22335004, 22335005, 22335006, 22335007, 22335008, 22335009</t>
  </si>
  <si>
    <t>24300010, 24300020</t>
  </si>
  <si>
    <t>1 Newfoundland Place</t>
  </si>
  <si>
    <t>17803001, 17803002, 17803003, 17803004, 17803005, 17803006, 17803007, 17803008, 17803009, 17803010, 17803011, 17803012, 17804001, 17804002, 17804003, 17804004, 17804005, 17804006, 17804007, 17804008, 17804009, 17804010, 17804011, 17804012, 17804013, 17804014, 17805001, 17805002, 17805003, 17805004, 17805005, 17805006, 17805007, 17805008, 17805009, 17805010, 17805011, 17805012, 17806001, 17806002, 17806003, 17806004, 17806005, 17806006, 17806007, 17806008, 17806009, 17806010, 17807001, 17807002, 17807003, 17807004, 17807005, 17807006, 17807007, 17807008, 17807009, 17807010, 17808001, 17808002, 17808003, 17808004, 17808005, 17808006, 17808007, 17808008, 17808009, 17808010, 17808011, 17808012, 17809001, 17809002, 17809003, 17809004, 17809005, 17809006, 17809007, 17809008, 17809009, 17809010, 17809011, 17809012, 17809013, 17809014, 17810001, 17810002, 17810003, 17810004, 17810005, 17810006, 17810007, 17810008, 17810009, 17810010, 17810011, 17810012, 17811001, 17811002, 17811003, 17811004, 17811005, 17811006, 17811007, 17811008, 17811009, 17811010, 17811011, 17811012, 17812001, 17812002, 17812003, 17812004, 17812005, 17812006, 17812007, 17812008, 17812009, 17812010, 17812011, 17812012, 17812013, 17812014, 17813001, 17813002, 17813003, 17813004, 17813005, 17813006, 17813007, 17813008, 17813009, 17813010, 17813011, 17813012, 17814001, 17814002, 17814003, 17814004, 17814005, 17814006, 17814007, 17814008, 17814009, 17814010, 17815001, 17815002, 17815003, 17815004, 17815005, 17815006, 17815007, 17815008, 17815009, 17815010, 17816001, 17816002, 17816003, 17816004, 17816005, 17816006, 17816007, 17816008, 17816009, 17816010, 17816011, 17816012, 17817001, 17817002, 17817003, 17817004, 17817005, 17817006, 17817007, 17817008, 17817009, 17817010, 17817011, 17817012, 17817013, 17817014, 17818001, 17818002, 17818003, 17818004, 17818005, 17818006, 17818007, 17818008, 17818009, 17818010, 17818011, 17818012, 17819001, 17819002, 17819003, 17819004, 17819005, 17819006, 17819007, 17819008, 17819009, 17819010, 17819011, 17819012, 17820001, 17820002, 17820003, 17820004, 17820005, 17820006, 17820007, 17820008, 17820009, 17820010, 17820011, 17820012, 17820013, 17820014, 17821001, 17821002, 17821003, 17821004, 17821005, 17821006, 17821007, 17821008, 17821009, 17821010, 17821011, 17821012, 17822001, 17822002, 17822003, 17822004, 17822005, 17822006, 17822007, 17822008, 17822009, 17822010, 17823001, 17823002, 17823003, 17823004, 17823005, 17823006, 17823007, 17823008, 17823009, 17823010, 17824001, 17824002, 17824003, 17824004, 17824005, 17824006, 17824007, 17824008, 17824009, 17824010, 17824011, 17824012, 17825001, 17825002, 17825003, 17825004, 17825005, 17825006, 17825007, 17825008, 17825009, 17825010, 17825011, 17825012, 17826001, 17826002, 17826003, 17826004, 17826005, 17826006, 17826007, 17826008, 17826009, 17826010, 17827001, 17827002, 17827003, 17827004, 17827005, 17827006, 17827007, 17827008, 17827009, 17827010, 17828001, 17828002, 17828003, 17828004, 17828005, 17828006, 17828007, 17828008, 17828009, 17828010, 17828011, 17828012, 17829001, 17829002, 17829003, 17829004, 17829005, 17829006, 17829007, 17829008, 17829009, 17829010, 17829011, 17829012, 17830001, 17830002, 17830003, 17830004, 17830005, 17830006, 17830007, 17830008, 17830009, 17830010, 17831001, 17831002, 17831003, 17831004, 17831005, 17831006, 17831007, 17831008, 17831009, 17831010, 17832001, 17832002, 17832003, 17832004, 17832005, 17832006, 17832007, 17832008, 17832009, 17832010, 17832011, 17832012, 17833001, 17833002, 17833003, 17833004, 17833005, 17833006, 17833007, 17833008, 17833009, 17833010, 17833011, 17833012, 17834001, 17834002, 17834003, 17834004, 17834005, 17834006, 17834007, 17834008, 17834009, 17834010, 17835001, 17835002, 17835003, 17835004, 17835005, 17835006, 17835007, 17835008, 17835009, 17835010, 17836001, 17836002, 17836003, 17836004, 17836005, 17836006, 17836007, 17836008, 17836009, 17836010, 17836011, 17836012, 17837001, 17837002, 17837003, 17837004, 17837005, 17837006, 17837007, 17837008, 17837009, 17837010, 17837011, 17837012, 17838001, 17838002, 17838003, 17838004, 17838005, 17838006, 17838007, 17838008, 17838009, 17838010, 17839001, 17839002, 17839003, 17839004, 17839005, 17839006, 17839007, 17839008, 17839009, 17839010, 17840001, 17840002, 17840003, 17840004, 17840005, 17840006, 17840007, 17840008, 17840009, 17840010, 17840011, 17840012, 17841001, 17841002, 17841003, 17841004, 17841005, 17841006, 17841007, 17841008, 17841009, 17841010, 17841011, 17841012, 17842001, 17842002, 17842003, 17842004, 17842005, 17842006, 17842007, 17842008, 17842009, 17842010, 17843001, 17843002, 17843003, 17843004, 17843005, 17843006, 17843007, 17843008, 17843009, 17843010, 17844001, 17844002, 17844003, 17844004, 17844005, 17844006, 17844007, 17844008, 17844009, 17844010, 17844011, 17844012, 17845001, 17845002, 17845003, 17845004, 17845005, 17845006, 17845007, 17845008, 17845009, 17845010, 17845011, 17845012, 17846001, 17846002, 17846003, 17846004, 17846005, 17846006, 17846007, 17846008, 17846009, 17846010, 17847001, 17847002, 17847003, 17847004, 17847005, 17847006, 17847007, 17847008, 17847009, 17847010, 17848001, 17848002, 17848003, 17848004, 17848005, 17848006, 17848007, 17848008, 17848009, 17848010, 17848011, 17848012, 17849001, 17849002, 17849003, 17849004, 17849005, 17849006, 17849007, 17849008, 17849009, 17849010, 17849011, 17849012, 17850001, 17850002, 17850003, 17850004, 17850005, 17850006, 17850007, 17850008, 17850009, 17850010, 17851001, 17851002, 17851003, 17851004, 17851005, 17851006, 17851007, 17851008, 17851009, 17851010, 17852001, 17852002, 17852003, 17852004, 17852005, 17852006, 17852007, 17852008, 17852009, 17852010, 17852011, 17852012, 17853001, 17853002, 17853003, 17853004, 17853005, 17853006, 17853007, 17853008, 17853009, 17853010, 17853011, 17853012, 17854001, 17854002, 17854003, 17854004, 17854005, 17854006, 17854007, 17854008, 17854009, 17854010, 17855001, 17855002, 17855003, 17855004, 17855005, 17855006, 17855007, 17855008, 17855009, 17855010, 17856001, 17856002, 17856003, 17856004, 17856005, 17856006, 17856007, 17856008, 17856009, 17856010, 17856011, 17856012, 17857001, 17857002, 17857003, 17857004, 17857005, 17857006, 17857007, 17857008, 17857009, 17857010, 17857011, 17857012, 17858001, 17858002, 17858003, 17858004, 17858005, 17858006, 17858007, 17858008, 17858009, 17858010</t>
  </si>
  <si>
    <t>24100010, 24100020</t>
  </si>
  <si>
    <t>28700010</t>
  </si>
  <si>
    <t>25100010, 25100020, 25100030</t>
  </si>
  <si>
    <t>150OT010, 150OT020</t>
  </si>
  <si>
    <t>13 Water Street</t>
  </si>
  <si>
    <t>22500010, 22500020, 22500030, 22500040, 22500050, 22501010, 22501020, 22501030, 22502010, 22502020, 22503010, 22504010, 22505010, 22506010, 22507010, 22508010, 22509010, 225B1010, 225B1020, 225OS010, 225ST010, 225ST020</t>
  </si>
  <si>
    <t>28210010, 28211010, 28212010, 28213010, 282B3010</t>
  </si>
  <si>
    <t>29600010, 29600020, 29601020, 29604010, 29605010, 29606010, 29607010, 29608010, 29609010, 296B1010</t>
  </si>
  <si>
    <t>22600010, 22600020, 22600030, 22600040, 22600050, 2260005B, 22601030, 22601040, 22601050, 226OS010, 226OS015, 226OS020, 226OS030, 226OS040, 226OS050, 226OS060, 226OS070, 226ST001</t>
  </si>
  <si>
    <t>22901010, 22902010, 22903010, 22904010, 22905010, 22906010, 22906015, 22907010, 22908010, 22909010, 22910010, 22911010, 22912010, 22913010</t>
  </si>
  <si>
    <t>50 Harbord Square</t>
  </si>
  <si>
    <t>E!4</t>
  </si>
  <si>
    <t>26800010, 268B1010, 268B2010, 268GR010</t>
  </si>
  <si>
    <t>45 Harbord Square / 55 Harbord Square Canary Wharf</t>
  </si>
  <si>
    <t>E14 9QH</t>
  </si>
  <si>
    <t>27200010, 27200020</t>
  </si>
  <si>
    <t>65 Harbord Square</t>
  </si>
  <si>
    <t>60 &amp; 70 Harbord Square</t>
  </si>
  <si>
    <t>27300010, 27300020</t>
  </si>
  <si>
    <t>20 Brannan Street</t>
  </si>
  <si>
    <t>E14 9ZR</t>
  </si>
  <si>
    <t>75 Harbord Square</t>
  </si>
  <si>
    <t>22700010</t>
  </si>
  <si>
    <t>Property Manager</t>
  </si>
  <si>
    <t>4/10 Water Street</t>
  </si>
  <si>
    <t>21800010, 21800020, 21801010, 2180S010, 218OS020</t>
  </si>
  <si>
    <t>6/10 George Street</t>
  </si>
  <si>
    <t>22400010, 22400020, 22400030, 22400035, 22400040, 22400050, 22400060, 224OS010, 224ST010</t>
  </si>
  <si>
    <t>25 Harbord Square</t>
  </si>
  <si>
    <t>E14 9TH</t>
  </si>
  <si>
    <t>26500010, 26501020</t>
  </si>
  <si>
    <t>18001010, 18001020, 180OS010, 180OS020, 180OTH10</t>
  </si>
  <si>
    <t>1 Churchill Place</t>
  </si>
  <si>
    <t>E14 5HW</t>
  </si>
  <si>
    <t>16000010, 16001010, 16001020, 16002010, 16003010, 16006010, 16006020, 16007010, 16007020, 16008010, 16008020, 16009010, 16009020, 16010010, 16010020, 16011010, 16011020, 16012010, 16012020, 16013010, 16013020, 16014010, 16014020, 16015010, 16015020, 16016010, 16016020, 16017010, 16017020, 16018010, 16018020, 16019010, 16019020, 16020010, 16020020, 16021010, 16021020, 16022010, 16023010, 16024010, 16025010, 16026010, 16026020, 16027010, 16027020, 16028010, 16028020, 16029010, 16029020, 16030010, 16031010, 16031020, 16032010, 160B3010, 160B3020, 160B4010, 160B5010, 160GR010, 160M1010, 160OTH10, 160OTH20, 160P1001, 160P1010, 160PR020, 160PR030, 160ST020</t>
  </si>
  <si>
    <t>One Park Drive</t>
  </si>
  <si>
    <t>E14 9GG</t>
  </si>
  <si>
    <t>21402001, 21402002, 21402003, 21402004, 21402005, 21402006, 21402007, 21402008, 21403001, 21403002, 21403003, 21403004, 21403005, 21403006, 21403007, 21403008, 21404001, 21404002, 21404003, 21404004, 21404005, 21404006, 21404007, 21404008, 21405001, 21405002, 21405003, 21405004, 21405005, 21405006, 21405007, 21405008, 21406001, 21406002, 21406003, 21406004, 21406005, 21406006, 21406007, 21406008, 21407001, 21407002, 21407003, 21407004, 21407005, 21407006, 21407007, 21407008, 21408001, 21408002, 21408003, 21408004, 21408005, 21408006, 21408007, 21408008, 21409001, 21409002, 21409003, 21409004, 21410001, 21410002, 21410003, 21410004, 21410005, 21410006, 21410007, 21410008, 21410009, 21410010, 21410011, 21410012, 21411001, 21411002, 21411003, 21411004, 21411005, 21411006, 21411007, 21411008, 21411009, 21411010, 21411011, 21411012, 21412001, 21412002, 21412003, 21412004, 21412005, 21412006, 21412007, 21412008, 21412009, 21412010, 21412011, 21412012, 21413001, 21413002, 21413003, 21413004, 21413005, 21413006, 21413007, 21413008, 21413009, 21413010, 21413011, 21413012, 21414001, 21414002, 21414003, 21414004, 21414005, 21414006, 21414007, 21414008, 21414009, 21414010, 21414011, 21414012, 21415001, 21415002, 21415003, 21415004, 21415005, 21415006, 21415007, 21415008, 21415009, 21415010, 21415011, 21415012, 21416001, 21416002, 21416003, 21416004, 21416005, 21416006, 21416007, 21416008, 21416009, 21416010, 21416011, 21416012, 21417001, 21417002, 21417003, 21417004, 21417005, 21417006, 21417007, 21417008, 21417009, 21417010, 21417011, 21417012, 21418001, 21418002, 21418003, 21418004, 21418005, 21418006, 21418007, 21418008, 21418009, 21418010, 21418011, 21418012, 21419001, 21419002, 21419003, 21419004, 21419005, 21419006, 21419007, 21419008, 21419009, 21419010, 21419011, 21419012, 21420001, 21420002, 21420003, 21420004, 21420005, 21420006, 21420007, 21420008, 21420009, 21420010, 21420011, 21420012, 21421001, 21421002, 21421003, 21421004, 21421005, 21421006, 21421007, 21421008, 21421009, 21421010, 21421011, 21421012, 21422001, 21422002, 21422003, 21422004, 21422005, 21422006, 21422007, 21422008, 21422009, 21422010, 21422011, 21422012, 21423001, 21423002, 21423003, 21423004, 21423005, 21423006, 21423007, 21423008, 21423009, 21423010, 21423011, 21423012, 21424001, 21424002, 21424003, 21424004, 21424005, 21424006, 21424007, 21424008, 21424009, 21424010, 21424011, 21424012, 21425001, 21425002, 21425003, 21425004, 21425005, 21425006, 21425007, 21425008, 21425009, 21425010, 21425011, 21425012, 21426001, 21426002, 21426003, 21426004, 21426005, 21426006, 21426007, 21426008, 21426009, 21426010, 21426011, 21426012, 21427001, 21427002, 21427003, 21427004, 21427005, 21427006, 21427007, 21427008, 21427009, 21427010, 21427011, 21427012, 21428001, 21428002, 21428003, 21428004, 21428005, 21428006, 21428007, 21428008, 21428009, 21428010, 21428011, 21428012, 21429001, 21429002, 21429003, 21429004, 21429005, 21429006, 21429007, 21429008, 21429009, 21429010, 21429011, 21429012, 21430001, 21430002, 21430003, 21430004, 21430005, 21430006, 21430007, 21430008, 21430009, 21430010, 21430011, 21430012, 21431001, 21431002, 21431003, 21431004, 21431005, 21431006, 21431007, 21431008, 21431009, 21431010, 21431011, 21431012, 21432001, 21432002, 21432003, 21433001, 21433002, 21433003, 21433004, 21433005, 21433006, 21434001, 21434002, 21434003, 21434004, 21434005, 21434006, 21435001, 21435002, 21435003, 21435004, 21435005, 21435006, 21435007, 21435008, 21436001, 21436002, 21436003, 21436004, 21436005, 21436006, 21437001, 21437002, 21437003, 21437004, 21437005, 21437006, 21438001, 21438002, 21438003, 21438004, 21438005, 21438006, 21438007, 21438008, 21439001, 21439002, 21439003, 21439004, 21439005, 21439006, 21440001, 21440002, 21440003, 21440004, 21440005, 21440006, 21441001, 21441002, 21441003, 21441004, 21441005, 21441006, 21441007, 21441008, 21442001, 21442002, 21442003, 21442004, 21442005, 21442006, 21443001, 21443002, 21443003, 21443004, 21443005, 21443006, 21444001, 21444002, 21444003, 21444004, 21444005, 21444006, 21444007, 21444008, 21445001, 21445002, 21445003, 21445004, 21445005, 21445006, 21446001, 21446002, 21446003, 21446004, 21446005, 21446006, 21447001, 21447002, 21447003, 21447004, 21447005, 21447006, 21447007, 21447008, 21448001, 21448002, 21448003, 21448004, 21448005, 21448006, 21449001, 21449002, 21449003, 21449004, 21449005, 21449006, 21450001, 21450002, 21450003, 21450004, 21450005, 21450006, 21450007, 21450008, 21451001, 21451002, 21451003, 21451004, 21451005, 21451006, 21452001, 21452002, 21452003, 21452004, 21452005, 21452006, 21453001, 21453002, 21453003, 21453004, 21453005, 21453006, 21453007, 21453008, 21454001, 21454002, 21454003, 21454004, 21454005, 21454006, 21455001, 21455002, 21455003, 21455004, 21456001, 21456002, 21456003, 21456004, 21456005, 21456006, 21456007</t>
  </si>
  <si>
    <t>5 Park Drive</t>
  </si>
  <si>
    <t>21500010, 21500020, 21500040, 215OS040, 215ST0B2, 215ST0BC, 215STLB2</t>
  </si>
  <si>
    <t>r214</t>
  </si>
  <si>
    <t>One Park Drive (Resident) - WA:WWA1 W3001</t>
  </si>
  <si>
    <t>10 Park Drive</t>
  </si>
  <si>
    <t>E14 9ZW</t>
  </si>
  <si>
    <t>22001001, 22001002, 22001003, 22001004, 22001005, 22001006, 22001007, 22001008, 22001009, 22001010, 22001011, 22001012, 22001013, 22001014, 22002001, 22002002, 22002003, 22002004, 22002005, 22002006, 22002007, 22002008, 22002009, 22002010, 22002011, 22002012, 22002013, 22002014, 22003001, 22003002, 22003003, 22003004, 22003005, 22003006, 22003007, 22003008, 22003009, 22003010, 22003011, 22003012, 22003013, 22003014, 22004001, 22004002, 22004003, 22004004, 22004005, 22004006, 22004007, 22004008, 22004009, 22004010, 22004011, 22004012, 22004013, 22004014, 22005001, 22005002, 22005003, 22005004, 22005005, 22005006, 22005007, 22005008, 22005009, 22005010, 22005011, 22005012, 22005013, 22005014, 22006001, 22006002, 22006003, 22006004, 22006005, 22006006, 22006007, 22006008, 22006009, 22006010, 22006011, 22006012, 22006013, 22006014, 22007001, 22007002, 22007003, 22007004, 22007005, 22007006, 22007007, 22007008, 22007009, 22007010, 22007011, 22007012, 22007013, 22007014, 22008001, 22008002, 22008003, 22008004, 22008005, 22008006, 22008007, 22008008, 22008009, 22008010, 22008011, 22008012, 22008013, 22008014, 22009001, 22009002, 22009003, 22009004, 22009005, 22009006, 22009007, 22009008, 22009009, 22009010, 22009011, 22009012, 22009013, 22009014, 22010001, 22010002, 22010003, 22010004, 22010005, 22010006, 22010007, 22010008, 22010009, 22010010, 22010011, 22010012, 22010013, 22010014, 22011001, 22011002, 22011003, 22011004, 22011005, 22011006, 22011007, 22011008, 22011009, 22011010, 22011011, 22011012, 22011013, 22011014, 22012001, 22012002, 22012003, 22012004, 22012005, 22012006, 22012007, 22012008, 22012009, 22012010, 22012011, 22012012, 22012013, 22013001, 22013002, 22013003, 22013004, 22013005, 22014001, 22014002, 22014003, 22014004, 22014005, 22014006, 22014007, 22015001, 22015002, 22015003, 22015004, 22015005, 22015006, 22015007, 22016001, 22016002, 22016003, 22016004, 22016005, 22016006, 22016007, 22017001, 22017002, 22017003, 22017004, 22017005, 22017006, 22017007, 22018001, 22018002, 22018003, 22018004, 22018005, 22018006, 22018007, 22019001, 22019002, 22019003, 22019004, 22019005, 22019006, 22019007, 22020001, 22020002, 22020003, 22020004, 22020005, 22020006, 22020007, 22021001, 22021002, 22021003, 22021004, 22021005, 22021006, 22021007, 22022001, 22022002, 22022003, 22022004, 22022005, 22022006, 22022007, 22023001, 22023002, 22023003, 22023004, 22023005, 22023006, 22023007, 22024001, 22024002, 22024003, 22024004, 22024005, 22024006, 22024007, 22025001, 22025002, 22025003, 22025004, 22025005, 22025006, 22025007, 22026001, 22026002, 22026003, 22026004, 22026005, 22026006, 22026007, 22027001, 22027002, 22027003, 22027004, 22027005, 22027006, 22027007, 22028001, 22028002, 22028003, 22028004, 22028005, 22028006, 22029001, 22029002, 22029003, 22029004, 22029005, 22029006, 22030001, 22030002, 22030003, 22030004, 22030005, 22030006, 22031001, 22031002, 22031003, 22031004, 22031005, 22031006, 22032001, 22032002, 22032003, 22032004, 22032005, 22032006, 22033001, 22033002, 22033003, 22033004, 22033005, 22033006, 22034001, 22034002, 22034003, 22034004, 22034005, 22034006, 22035001, 22035002, 22035003, 22035004, 22035005, 22035006, 22036001, 22036002, 22036003, 22036004, 22036005, 22036006, 22037001, 22037002, 22037003, 22037004, 22037005, 22037006, 22038001, 22038002, 22038003, 22038004, 22038005, 22038006, 22039001, 22039002, 22039003, 22039004, 22039005, 22039006, 22040001, 22040002, 22041001, 22041002</t>
  </si>
  <si>
    <t>Canary Wharf Residential Management</t>
  </si>
  <si>
    <t>BTStenantaccountqueries@canarywharf.com</t>
  </si>
  <si>
    <t>8 - 12 Park Drive</t>
  </si>
  <si>
    <t>22100010, 2210001B, 22100020, 22100050, 22100060, 22100070, 22101010, 22101020, 2210T040, 221OS010</t>
  </si>
  <si>
    <t>r220</t>
  </si>
  <si>
    <t>10 Park Drive (Resident) - WC:WWA3 W3201</t>
  </si>
  <si>
    <t>25300010, 25300020, 25300030, 25300040, 25300050, 25300060, 25300070, 25302010, 25302020, 25302030, 25302050, 25302060, 25302070, 25302080, 25305010, 25305020, 25305030, 25305040, 25305050, 25305060, 25305070, 25305080, 25305090, 25306000, 25306010</t>
  </si>
  <si>
    <t>Accounts Receivable Manager</t>
  </si>
  <si>
    <t>5 Oliffe Street</t>
  </si>
  <si>
    <t>E14 3NL</t>
  </si>
  <si>
    <t>3 Jamestown Way</t>
  </si>
  <si>
    <t>E14 2DE</t>
  </si>
  <si>
    <t>82 Lockesfield Place</t>
  </si>
  <si>
    <t>E14 3AJ</t>
  </si>
  <si>
    <t>78 Barnsfield Place</t>
  </si>
  <si>
    <t>E14 9YB</t>
  </si>
  <si>
    <t>236ENE10</t>
  </si>
  <si>
    <t>o0x6/o042/o0A5/o0A8</t>
  </si>
  <si>
    <t>15805010, 15805020, 15805030, 15806010, 15806015, 15806020, 15806030, 15806035, 15806040, 15807010, 15808010, 15809010, 15810010, 15810011, 15810020, 15810030, 15810040, 15810050, 15810060, 15810070, 15810080, 15810090, 15811010, 15812010, 15814010, 15815010, 15816010, 15817010, 15818010, 15819010, 15820010, 15821010, 15821020, 15821030, 15822010, 15823010, 15824010, 15824020, 15825010, 15826010, 15826020, 15826030, 15827010, 15828010, 15828020, 15828030, 15828040, 15828050, 15829010, 15829020, 15829030, 15829040, 15830010, 15831010, 15832010, 15832020, 15832030, 15833010, 15834010, 15834020, 15834030, 15834040, 15834050, 15835010, 15836010, 15836020, 15836030, 15837010, 15838010, 15839010, 15840010, 15841010, 15842010, 15843010, 15844010, 15845010, 15845020, 15846010, 15847010, 15848010, 15849010, 15850010, 158B2010, 158ENE10, 158IPT10, 158P1087, 158P1089, 158ST020, 158ST027, 158ST031, 158ST037, 158ST040</t>
  </si>
  <si>
    <t>8 Harbord Square Canary Wharf</t>
  </si>
  <si>
    <t>E149QH</t>
  </si>
  <si>
    <t>30400001, 30400002, 30400003, 30400004, 30400005, 30400006, 30400007, 30400008, 30400009, 30400010</t>
  </si>
  <si>
    <t>30501001, 30501002, 30501003, 30501004, 30501005, 30501006, 30501007, 30501008, 30502001, 30502002, 30502003, 30502004, 30502005, 30502006, 30502007, 30502008, 30503001, 30503002, 30503003, 30503004, 30503005, 30503006, 30503007, 30503008, 30504001, 30504002, 30504003, 30504004, 30504005, 30504006, 30504007, 30504008, 30505001, 30505002, 30505003, 30505004, 30505005, 30505006, 30505007, 30505008, 30506001, 30506002, 30506003, 30506004, 30506005, 30506006, 30506007, 30506008, 30507001, 30507002, 30507003, 30507004, 30507005, 30507006, 30507007, 30507008, 30508001, 30508002, 30508003, 30508004, 30508005, 30508006, 30508007, 30508008, 30509001, 30509002, 30509003, 30509004, 30509005, 30509006, 30509007, 30509008, 30510001, 30510002, 30510003, 30510004, 30510005, 30510006, 30510007, 30510008, 30511001, 30511002</t>
  </si>
  <si>
    <t>r305</t>
  </si>
  <si>
    <t>8 Harbord Square (Resident)</t>
  </si>
  <si>
    <t>8 Harbord Square</t>
  </si>
  <si>
    <t>14700010, 14700050, 14700080, 14700300, 14700400, 14700500, 14700550, 14700600, 14701040, 147OS010, 147OTH01, 147P1001, 147P1009, 147P1010, 147P1013</t>
  </si>
  <si>
    <t>14400010, 14400035, 14400070, 14400100, 14400200, 14400300, 1440T110, 144OS001, 144OS002, 144OS003, 144OTH01, 144P1010</t>
  </si>
  <si>
    <t>28600010, 28600020, 28601010, 28604010, 28605010, 28606010, 28607010, 28608010, 28609010, 286B1010, 286OS010</t>
  </si>
  <si>
    <t>30 Harbord Square</t>
  </si>
  <si>
    <t>24800201, 24800202, 24800203, 24800204, 24800205, 24800301, 24800302, 24800303, 24800304, 24800305, 24800306, 24800401, 24800402, 24800403, 24800404, 24800405, 24800406, 24800501, 24800502, 24800503, 24800504, 24800505, 24800506, 24800601, 24800602, 24800603, 24800604, 24800605, 24800606, 24800701, 24800702, 24800703, 24800704, 24800705, 24800706, 24800707, 24800801, 24800802, 24800803, 24800804, 24800805, 24800806, 24800807, 24800901, 24800902, 24800903, 24800904, 24800905, 24800906, 24800907, 24801001, 24801002, 24801003, 24801004, 24801005, 24801006, 24801007, 24801101, 24801102, 24801103, 24801104, 24801105, 24801106, 24801107, 24801201, 24801202, 24801203, 24801204, 24801205, 24801206, 24801207, 24801301, 24801302, 24801303, 24801304, 24801305, 24801306, 24801307, 24801401, 24801402, 24801403, 24801404, 24801405, 24801406, 24801407, 24801501, 24801502, 24801503, 24801504, 24801505, 24801506, 24801507, 24801601, 24801602, 24801603, 24801604, 24801605, 24801606, 24801607, 24801701, 24801702, 24801703, 24801704, 24801705, 24801706, 24801707, 24801801, 24801802, 24801803, 24801804, 24801805, 24801806, 24801807, 24801901, 24801902, 24801903, 24801904, 24801905, 24801906, 24801907, 24802001, 24802002, 24802003, 24802004, 24802005, 24802006, 24802007, 24802101, 24802102, 24802103, 24802104, 24802105, 24802106, 24802107, 24802201, 24802202, 24802203, 24802204, 24802205, 24802206, 24802207, 24802301, 24802302, 24802303, 24802304, 24802305, 24802306, 24802307, 24802401, 24802402, 24802403, 24802404, 24802405, 24802406, 24802407, 24802501, 24802502, 24802503, 24802504, 24802505, 24802506, 24802507, 24802601, 24802602, 24802603, 24802604, 24802605, 24802606, 24802607, 24802701, 24802702, 24802703, 24802704, 24802705, 24802706, 24802707</t>
  </si>
  <si>
    <t>26320000</t>
  </si>
  <si>
    <t>50 - 65 Harbord Square</t>
  </si>
  <si>
    <t>27800010, 27800012, 27800014, 27800020, 2780008B, 278000K4, 278000K6, 278000K8, 278000K9, 278005BE, 27800K4C, 27800K5A, 27800K5B, 27800K5C, 27801010, 27802010, 27803010, 27804010, 27804020, 278GR001, 278OTH02, 278OTH10, 278P0002, 278P1001, 278ST010, 278ST020, 278ST100, 278ST101, 278ST102, 278ST103, 278ST104, 278ST105, 278ST106, 278ST107, 278ST108, 278ST109, 278ST110, 278ST202, 278ST203, 278ST204, 278ST205, 278ST206, 278ST207, 278ST208, 278ST209, 278ST210, 278ST211, 278ST21A, 278ST21B, 278ST250, 278VAT01, 278VAT02</t>
  </si>
  <si>
    <t>27900001, 27900002, 27900040, 27900050, 27900410, 27900420, 27900430, 27900431, 27900440, 27900443, 27900445, 27900450, 27900452, 27900456, 27900457, 27900462, 27900463, 27900464, 27900470, 27900472, 27900475, 27900480, 27900485, 27900490, 27900491, 27900600, 27900652, 2790TH01, 279OS010, 279OS020, 279OS030, 279OS040, 279OS050, 279ST020, 279ST040, 279ST050, 279ST452, 279ST457</t>
  </si>
  <si>
    <t>288P1001, 288P1002, 288P1003, 288P1004, 288P1005, 288P1006, 288P1007, 288P1008, 288P1009, 288P1010, 288P1012, 288P1013, 288P1014, 288P1015, 288P1016, 288P1017, 288P1018, 288P1019, 288P1020, 288P1021, 288P1022, 288P1023, 288P1024, 288P1025, 288P1026, 288P1027, 288P1028, 288P1029, 288P1030, 288P1031, 288P1032, 288P1033, 288P1034, 288P1036, 288P1037, 288P1038, 288P1039, 288P1040, 288P1041, 288P1044, 288P1045, 288P1046, 288P1047, 288P1048, 288P1049, 288P1050, 288P1051, 288P1052, 288P1053, 288P1054, 288P1055, 288P1056, 288P1057, 288P1058, 288P1059, 288P1060, 288P1061, 288P1062, 288P1064, 288P1065, 288P1066, 288P1067, 288P1068, 288P1069, 288P1070</t>
  </si>
  <si>
    <t>289OT010, 289P1001, 289P1002, 289P1003, 289P1004, 289P1005, 289P2001, 289P3010, 289P4001</t>
  </si>
  <si>
    <t>29000001, 290OT010, 290P1001, 290P1004, 290P1005, 290P1006, 290P1007, 290P1009, 290P1010, 290P1011, 290P1012, 290P1013, 290P1014, 290P1015, 290P1016, 290P1017, 290P1018, 290P1019, 290P1020, 290P1021, 290P1022, 290P1023, 290P1024, 290P1026, 290P1027, 290P1028, 290P1029, 290P3001, 290P3003, 290P3008, 290P3030, 290ST001</t>
  </si>
  <si>
    <t>291000KA, 291OT010, 291P1001, 291P1002, 291P1003, 291P1004, 291P1005, 291P1006, 291P1007, 291P1008, 291P1009, 291P1010, 291P1011, 291P1012, 291P1013, 291P1014, 291P1015, 291P1016</t>
  </si>
  <si>
    <t>29200001, 29200002, 29200003, 29200004, 29200005, 29200006, 29200007, 29200008, 2920000A, 2920000B, 29200010, 29200012, 29200013, 29200019, 2920004A, 2920004B, 2920008A, 29200100, 2920010A, 29200200, 29200210, 29200214, 29200220, 29200230, 29200250, 29200255, 29200260, 29200270, 29200300, 29200330, 29200365, 29200380, 29200390, 29200398, 29200400, 29201101, 29201102, 29201214, 29201301, 29201305, 29201310, 29201315, 29201320, 29201330, 29201331, 29201340, 29201355, 29201360, 29202100, 29202150, 29202200, 29202210, 29202250, 29202300, 29202350, 29202400, 2920240A, 292ATM01, 292ENE10, 292GR009, 292GR135, 292GR145, 292GR150, 292GR155, 292GR160, 292GR165, 292GR190, 292GR310, 292GR315, 292GR320, 292GR330, 292GR335, 292GR340, 292GR350, 292GR360, 292GR370, 292IPT10, 292M1ERO, 292M1ERR, 292OS010, 292OS020, 292OS030, 292OS040, 292OS135, 292OS165, 292OTH01, 292OTH02, 292OTH03, 292P1002, 292ST001, 292ST004, 292ST00A, 292ST00B, 292ST00C, 292ST00D, 292ST00E, 292ST00F, 292ST00G, 292ST00H, 292ST00I, 292ST00J, 292ST00N, 292ST010, 292ST01B, 292ST020, 292ST02A, 292ST02B, 292ST035, 292ST03A, 292ST040, 292ST050, 292ST060, 292ST0LB, 292ST100, 292ST101, 292ST10B, 292ST16A, 292ST1P2, 292ST201, 292ST202, 292ST203, 292ST204, 292ST205, 292ST206, 292ST207, 292ST217, 292ST22A, 292ST23B, 292ST23C, 292ST23D, 292ST25A, 292ST270, 292ST2P2, 292ST301, 292ST302, 292ST303, 292ST305, 292ST306, 292ST307, 292ST308, 292ST309, 292ST310, 292ST311, 292ST312, 292ST31B, 292ST33A, 292ST33B, 292ST34A, 292ST34B, 292ST370, 292ST401, 292ST402, 292ST403, 292ST404, 292ST405, 292ST406, 292ST407, 292ST408, 292ST409, 292ST411, 292ST412, 292ST413, 292ST414, 292ST415, 292ST416, 292ST418, 292ST419, 292ST41A, 292ST41B, 292ST420, 292ST421, 292ST422, 292ST470</t>
  </si>
  <si>
    <t>29300001, 29300002, 29300004, 29300005, 29300006, 29300007, 29300008, 29300010, 29300011, 29300012, 29300013, 29300014, 29300016, 29300017, 29300018, 29300019, 29300020, 29300021, 29300022, 29300023, 29300024, 29300026, 29300027, 29300028, 29300029, 29300030, 29300031, 2930003A, 2930003B, 29300050, 29300051, 29300052, 29300053, 293000K2, 293000K3, 293000K7, 293000K8, 2930017A, 2930022A, 2930023A, 2930027A, 29300B27, 29300K3B, 29300K3C, 29300K3D, 29300K3E, 2930T010, 2930TH03, 293OT22A, 293OTH01, 293OTH02</t>
  </si>
  <si>
    <t>29400001, 29400003, 29400004, 29400006, 29400007, 29400008, 29400010, 29400013, 29400014, 29400015, 29400016, 29400017, 29400018, 29400019, 29400020, 29400021, 29400022, 29400024, 29400025, 29400027, 29400028, 29400029, 29400030, 29400031, 29400032, 29400033, 29400034, 29400035, 29400036, 29400039, 29400040, 29400041, 29400042, 29400044, 29400047, 29400048, 29400050, 29400052, 29400056, 29400057, 29400058, 29400060, 29400062, 29400064, 2940006A, 29400070, 29400074, 29400075, 29400076, 29400078, 29400080, 29400082, 29400084, 29400086, 29400088, 29400092, 29400094, 2940009A, 2940009B, 294000B1, 294000K4, 294000K5, 2940028A, 2940038A, 2940038B, 2940038C, 2940038D, 2940038E, 29400WK1, 29400WK2, 29400WK3, 29400WK4, 29400WK5, 29400WK6, 29400WK7, 29401015, 29401016, 2940TH10, 294ENE10, 294OS010, 294OS020, 294OS025, 294OS030, 294OS035, 294OS040, 294OS075, 294OTH01, 294OTH02, 294OTH03, 294OTH04, 294ST001, 294ST002, 294ST004, 294ST007, 294ST00A, 294ST00B, 294ST010, 294ST011, 294ST012, 294ST014, 294ST015, 294ST016, 294ST017, 294ST018, 294ST020, 294ST040, 294ST052, 294ST0B2, 294ST0C1, 294ST0C2, 294ST0L1, 294ST0S3, 294ST0WC, 294ST321, 294STC01, 294STC05, 294STC0B, 294STC0C, 294STC19, 294STLB2</t>
  </si>
  <si>
    <t>28000020, 30600010, 306OT010, 306OT020, 306ST010</t>
  </si>
  <si>
    <t>322P1001, 322P1002, 322P1003, 322P1004, 322P1005, 322P1006</t>
  </si>
  <si>
    <t>32300001, 32300002, 32300004, 32300005, 3230000B, 3230000C, 32300010, 32300011, 32300012, 32300013, 32300015, 3230001A, 32300031, 323000A1, 323000B1, 323000BC, 323000K1, 32300CON, 32300EXT, 32300PRA, 3230100B, 323OS010, 323OS020, 323OTH01, 323ST001, 323ST002, 323ST003, 323ST004, 323ST005, 323ST006, 323ST007, 323ST008, 323ST009, 323ST010, 323ST020, 323VAT10</t>
  </si>
  <si>
    <t>32400010, 324P1001, 324P1002, 324P1003, 324P1004, 324P1005, 324P1006, 324P1007, 324P1008, 324P1010, 324P1011, 324P1012, 324P2009</t>
  </si>
  <si>
    <t>BTS Customer E-mail</t>
  </si>
  <si>
    <t>0</t>
  </si>
  <si>
    <t>50 - 60 Charter Street</t>
  </si>
  <si>
    <t>3 West Lane Canary Wharf</t>
  </si>
  <si>
    <t>E22 3AA</t>
  </si>
  <si>
    <t>31600010, 31601010, 31602010, 31602020, 31603010, 31604010, 31605010, 31606010, 31607010, 31608010, 31609010, 31610010, 31611010, 31612010</t>
  </si>
  <si>
    <t>31700010, 31700020, 31700030, 31700040, 31700050, 31700060</t>
  </si>
  <si>
    <t>15 West Lane Canary Wharf</t>
  </si>
  <si>
    <t>31900010, 31901010, 31902010, 31903010, 31904010, 31905010, 31906010, 31907010, 31908010, 31909010, 31910010, 31911010, 31912010, 31912020</t>
  </si>
  <si>
    <t>32000010, 32000020, 32000030, 32000040, 32000050, 32000060, 32001050, 32001060</t>
  </si>
  <si>
    <t>15 West Lane</t>
  </si>
  <si>
    <t>30910010, 30911010, 30912010, 30913010, 309B1010, 309B3010, 309B3020</t>
  </si>
  <si>
    <t>31000010, 31000020, 31000030, 31000040, 31000050, 31001010, 31001020, 31001030, 31002010, 31002020, 31003010, 31004010, 31005010, 31006010, 31007010, 31008010, 31009010, 310B1010, 310B1020, 310OS010, 310ST010, 310ST020</t>
  </si>
  <si>
    <t>31100010, 31100020, 31101020, 31104010, 31105010, 31106010, 31107010, 31108010, 31109010, 311B1010</t>
  </si>
  <si>
    <t>31201010, 31202010, 31203010, 31204010, 31205010, 31206010, 31206015, 31207010, 31208010, 31209010, 31210010, 31211010, 31212010, 31213010</t>
  </si>
  <si>
    <t>31300010, 31300020, 31300030, 31300040, 31300050, 3130005B, 31301030, 31301040, 31301050, 313OS010, 313OS015, 313OS020, 313OS030, 313OS040, 313OS050, 313OS060, 313OS070, 313ST001</t>
  </si>
  <si>
    <t>340P1010, 340P1020</t>
  </si>
  <si>
    <t>32500010, 32500020, 325OS010, 325OS020</t>
  </si>
  <si>
    <t>326000K1, 326000K2, 326000K3, 326000K4, 326000K5, 32600K2A, 326OS0K5, 326OTH10</t>
  </si>
  <si>
    <t>32700001, 32700002, 32700003, 32700005, 32700006, 32700007, 32700008, 32700009, 32700010, 32700012, 32700014, 32700016, 32700018, 32700020, 3270018A, 3270018B, 327ENE10, 327OS010, 327OS018, 327OS185</t>
  </si>
  <si>
    <t>328ST001, 328ST002, 328ST003, 328ST004, 328ST005</t>
  </si>
  <si>
    <t>32900010, 329OS010</t>
  </si>
  <si>
    <t>33000030, 33000040, 330OS010</t>
  </si>
  <si>
    <t>33100001, 33100002, 33100003</t>
  </si>
  <si>
    <t>33200010, 33200020, 33200030, 33201040, 33201050, 33202040, 33202050, 332OS010, 332OS020, 332OS030, 332OTH01, 332ST00A, 332ST00I</t>
  </si>
  <si>
    <t>33300010, 33300020, 333OS010, 333OT010, 333ST010, 333ST020, 333ST030</t>
  </si>
  <si>
    <t>33400010, 33400020, 33400030</t>
  </si>
  <si>
    <t>33500010, 335OS010</t>
  </si>
  <si>
    <t>33600010, 33600020, 33600030, 33600040, 336OS010</t>
  </si>
  <si>
    <t>27101010, 27102010, 27103010, 27104010, 27105010, 27106010, 27107010, 27108010, 27109010, 27110010, 27111010, 27112010, 271B1010, 271ENE10, 271GR010, 271OTH10, 271PR010</t>
  </si>
  <si>
    <t>TEST1, TEST2, TEST3, UNIT104, UNIT105, UNIT106</t>
  </si>
  <si>
    <t>UNIT1</t>
  </si>
  <si>
    <t>TEST_001</t>
  </si>
  <si>
    <t>TEST1, TEST2, TEST3</t>
  </si>
  <si>
    <t>APT_1001, RC3_U002, RC3_U003, RC3_U004, RC3_U005</t>
  </si>
  <si>
    <t>TEST1, TEST2, TEST3, TEST401</t>
  </si>
  <si>
    <t>TEST1, TEST2, TEST3, TEST501</t>
  </si>
  <si>
    <t>TEST601</t>
  </si>
  <si>
    <t>TEST1, TEST2, TEST3, TEST701</t>
  </si>
  <si>
    <t>TEST1, TEST2, TEST3, TEST801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</si>
</sst>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dd/mm/yyyy;@"/>
    <numFmt numFmtId="165" formatCode="mm/yyyy"/>
  </numFmts>
  <fonts count="38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0000"/>
      <name val="Calibri"/>
      <family val="2"/>
    </font>
    <font>
      <b/>
      <sz val="10"/>
      <color rgb="FFFF0000"/>
      <name val="Arial"/>
      <family val="2"/>
    </font>
    <font>
      <sz val="11"/>
      <name val="Calibri"/>
      <family val="2"/>
    </font>
    <font>
      <sz val="11"/>
      <color theme="4"/>
      <name val="Calibri"/>
      <family val="2"/>
    </font>
    <font>
      <sz val="11"/>
      <color rgb="FF00B050"/>
      <name val="Calibri"/>
      <family val="2"/>
    </font>
    <font>
      <sz val="11"/>
      <color rgb="FF0070C0"/>
      <name val="Calibri"/>
      <family val="2"/>
    </font>
    <font>
      <b/>
      <sz val="8"/>
      <name val="Tahoma"/>
      <family val="2"/>
    </font>
    <font>
      <sz val="8"/>
      <name val="Tahoma"/>
      <family val="2"/>
    </font>
    <font>
      <b/>
      <sz val="12"/>
      <name val="Tahoma"/>
      <family val="2"/>
    </font>
    <font>
      <b/>
      <u/>
      <sz val="9"/>
      <color indexed="81"/>
      <name val="Tahoma"/>
      <family val="2"/>
    </font>
    <font>
      <sz val="8"/>
      <color rgb="FFFF0000"/>
      <name val="Tahoma"/>
      <family val="2"/>
    </font>
    <font>
      <sz val="8"/>
      <name val="Arial"/>
      <family val="2"/>
    </font>
    <font>
      <sz val="10"/>
      <name val="Tahoma"/>
      <family val="2"/>
    </font>
    <font>
      <b/>
      <sz val="10"/>
      <name val="Tahoma"/>
      <family val="2"/>
    </font>
    <font>
      <sz val="10"/>
      <color theme="1"/>
      <name val="Tahoma"/>
      <family val="2"/>
    </font>
    <font>
      <b/>
      <sz val="12"/>
      <color theme="1"/>
      <name val="Tahoma"/>
      <family val="2"/>
    </font>
    <font>
      <b/>
      <sz val="10"/>
      <color theme="1"/>
      <name val="Tahoma"/>
      <family val="2"/>
    </font>
    <font>
      <sz val="9"/>
      <name val="Tahoma"/>
      <family val="2"/>
    </font>
    <font>
      <u/>
      <sz val="10"/>
      <color theme="10"/>
      <name val="Arial"/>
      <family val="2"/>
    </font>
    <font>
      <b/>
      <sz val="11"/>
      <color indexed="81"/>
      <name val="Tahoma"/>
      <family val="2"/>
    </font>
    <font>
      <sz val="11"/>
      <color indexed="81"/>
      <name val="Tahoma"/>
      <family val="2"/>
    </font>
    <font>
      <u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sz val="10"/>
      <name val="Arial"/>
      <family val="2"/>
    </font>
    <font>
      <sz val="10"/>
      <color theme="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FFFFD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7">
    <xf numFmtId="0" fontId="0" fillId="0" borderId="0">
      <alignment vertical="center"/>
    </xf>
    <xf numFmtId="0" fontId="9" fillId="0" borderId="0"/>
    <xf numFmtId="0" fontId="5" fillId="0" borderId="0"/>
    <xf numFmtId="0" fontId="11" fillId="0" borderId="0"/>
    <xf numFmtId="0" fontId="11" fillId="0" borderId="0"/>
    <xf numFmtId="0" fontId="9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7" fillId="0" borderId="0" applyNumberFormat="0" applyFill="0" applyBorder="0" applyAlignment="0" applyProtection="0">
      <alignment vertical="center"/>
    </xf>
    <xf numFmtId="0" fontId="1" fillId="0" borderId="0"/>
    <xf numFmtId="0" fontId="5" fillId="0" borderId="0"/>
    <xf numFmtId="0" fontId="31" fillId="0" borderId="0"/>
    <xf numFmtId="0" fontId="34" fillId="0" borderId="0"/>
    <xf numFmtId="44" fontId="5" fillId="0" borderId="0" applyFont="0" applyFill="0" applyBorder="0" applyAlignment="0" applyProtection="0"/>
  </cellStyleXfs>
  <cellXfs count="168">
    <xf numFmtId="0" fontId="0" fillId="0" borderId="0" xfId="0">
      <alignment vertical="center"/>
    </xf>
    <xf numFmtId="2" fontId="0" fillId="0" borderId="0" xfId="0" applyNumberFormat="1">
      <alignment vertical="center"/>
    </xf>
    <xf numFmtId="0" fontId="0" fillId="0" borderId="0" xfId="0" applyAlignment="1">
      <alignment vertical="top" wrapText="1"/>
    </xf>
    <xf numFmtId="0" fontId="6" fillId="0" borderId="0" xfId="0" applyFont="1">
      <alignment vertical="center"/>
    </xf>
    <xf numFmtId="0" fontId="6" fillId="2" borderId="0" xfId="0" applyFont="1" applyFill="1">
      <alignment vertical="center"/>
    </xf>
    <xf numFmtId="0" fontId="6" fillId="5" borderId="0" xfId="0" applyFont="1" applyFill="1">
      <alignment vertical="center"/>
    </xf>
    <xf numFmtId="0" fontId="6" fillId="0" borderId="1" xfId="0" applyFont="1" applyBorder="1">
      <alignment vertical="center"/>
    </xf>
    <xf numFmtId="0" fontId="6" fillId="5" borderId="1" xfId="0" applyFont="1" applyFill="1" applyBorder="1">
      <alignment vertical="center"/>
    </xf>
    <xf numFmtId="0" fontId="6" fillId="4" borderId="0" xfId="0" applyFont="1" applyFill="1">
      <alignment vertical="center"/>
    </xf>
    <xf numFmtId="0" fontId="6" fillId="4" borderId="1" xfId="0" applyFont="1" applyFill="1" applyBorder="1">
      <alignment vertical="center"/>
    </xf>
    <xf numFmtId="9" fontId="0" fillId="0" borderId="1" xfId="0" applyNumberFormat="1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0" fontId="6" fillId="2" borderId="1" xfId="0" applyFont="1" applyFill="1" applyBorder="1">
      <alignment vertical="center"/>
    </xf>
    <xf numFmtId="0" fontId="0" fillId="5" borderId="1" xfId="0" applyFill="1" applyBorder="1">
      <alignment vertical="center"/>
    </xf>
    <xf numFmtId="0" fontId="11" fillId="0" borderId="0" xfId="4"/>
    <xf numFmtId="0" fontId="12" fillId="0" borderId="0" xfId="4" applyFont="1"/>
    <xf numFmtId="0" fontId="11" fillId="0" borderId="0" xfId="4" applyAlignment="1">
      <alignment horizontal="left"/>
    </xf>
    <xf numFmtId="0" fontId="13" fillId="0" borderId="0" xfId="4" applyFont="1"/>
    <xf numFmtId="0" fontId="0" fillId="0" borderId="0" xfId="0" applyAlignment="1"/>
    <xf numFmtId="0" fontId="14" fillId="0" borderId="0" xfId="4" applyFont="1"/>
    <xf numFmtId="0" fontId="5" fillId="0" borderId="0" xfId="6"/>
    <xf numFmtId="0" fontId="15" fillId="6" borderId="6" xfId="0" applyFont="1" applyFill="1" applyBorder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6" fillId="0" borderId="7" xfId="0" applyFont="1" applyBorder="1" applyAlignment="1">
      <alignment horizontal="left" vertical="center"/>
    </xf>
    <xf numFmtId="0" fontId="13" fillId="4" borderId="0" xfId="4" applyFont="1" applyFill="1"/>
    <xf numFmtId="0" fontId="0" fillId="0" borderId="0" xfId="0" applyAlignment="1">
      <alignment horizontal="center"/>
    </xf>
    <xf numFmtId="14" fontId="0" fillId="0" borderId="0" xfId="0" applyNumberFormat="1" applyAlignment="1"/>
    <xf numFmtId="0" fontId="16" fillId="0" borderId="3" xfId="0" applyFont="1" applyBorder="1" applyAlignment="1">
      <alignment horizontal="left" vertical="center"/>
    </xf>
    <xf numFmtId="0" fontId="15" fillId="6" borderId="6" xfId="0" applyFont="1" applyFill="1" applyBorder="1" applyAlignment="1">
      <alignment horizontal="center" vertical="center"/>
    </xf>
    <xf numFmtId="0" fontId="15" fillId="5" borderId="9" xfId="0" applyFont="1" applyFill="1" applyBorder="1" applyAlignment="1">
      <alignment horizontal="center" vertical="top" wrapText="1"/>
    </xf>
    <xf numFmtId="0" fontId="15" fillId="6" borderId="6" xfId="0" applyFont="1" applyFill="1" applyBorder="1" applyAlignment="1">
      <alignment horizontal="center" vertical="top" wrapText="1"/>
    </xf>
    <xf numFmtId="0" fontId="15" fillId="6" borderId="6" xfId="0" applyFont="1" applyFill="1" applyBorder="1" applyAlignment="1">
      <alignment horizontal="left" vertical="top" wrapText="1"/>
    </xf>
    <xf numFmtId="0" fontId="16" fillId="0" borderId="0" xfId="0" applyFont="1" applyAlignment="1">
      <alignment horizontal="center" vertical="center" wrapText="1"/>
    </xf>
    <xf numFmtId="0" fontId="16" fillId="0" borderId="10" xfId="0" applyFont="1" applyBorder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0" fillId="2" borderId="1" xfId="0" applyFont="1" applyFill="1" applyBorder="1">
      <alignment vertical="center"/>
    </xf>
    <xf numFmtId="0" fontId="0" fillId="7" borderId="0" xfId="0" applyFill="1">
      <alignment vertical="center"/>
    </xf>
    <xf numFmtId="2" fontId="0" fillId="7" borderId="0" xfId="0" applyNumberFormat="1" applyFill="1">
      <alignment vertical="center"/>
    </xf>
    <xf numFmtId="14" fontId="0" fillId="0" borderId="0" xfId="0" applyNumberFormat="1" applyAlignment="1">
      <alignment horizontal="center"/>
    </xf>
    <xf numFmtId="0" fontId="16" fillId="0" borderId="3" xfId="0" applyFont="1" applyBorder="1" applyAlignment="1">
      <alignment horizontal="center" vertical="center"/>
    </xf>
    <xf numFmtId="2" fontId="6" fillId="2" borderId="0" xfId="0" applyNumberFormat="1" applyFont="1" applyFill="1">
      <alignment vertical="center"/>
    </xf>
    <xf numFmtId="0" fontId="17" fillId="5" borderId="0" xfId="0" applyFont="1" applyFill="1">
      <alignment vertical="center"/>
    </xf>
    <xf numFmtId="0" fontId="6" fillId="2" borderId="5" xfId="0" applyFont="1" applyFill="1" applyBorder="1">
      <alignment vertical="center"/>
    </xf>
    <xf numFmtId="2" fontId="6" fillId="2" borderId="1" xfId="0" applyNumberFormat="1" applyFont="1" applyFill="1" applyBorder="1">
      <alignment vertical="center"/>
    </xf>
    <xf numFmtId="0" fontId="0" fillId="2" borderId="0" xfId="0" applyFill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2" fontId="0" fillId="0" borderId="0" xfId="0" applyNumberFormat="1" applyProtection="1">
      <alignment vertical="center"/>
      <protection locked="0"/>
    </xf>
    <xf numFmtId="0" fontId="0" fillId="0" borderId="0" xfId="0" applyAlignment="1" applyProtection="1">
      <alignment vertical="top" wrapText="1"/>
      <protection locked="0"/>
    </xf>
    <xf numFmtId="0" fontId="6" fillId="2" borderId="4" xfId="0" applyFont="1" applyFill="1" applyBorder="1" applyProtection="1">
      <alignment vertical="center"/>
      <protection locked="0"/>
    </xf>
    <xf numFmtId="0" fontId="17" fillId="5" borderId="8" xfId="0" applyFont="1" applyFill="1" applyBorder="1">
      <alignment vertical="center"/>
    </xf>
    <xf numFmtId="0" fontId="17" fillId="0" borderId="0" xfId="0" applyFont="1">
      <alignment vertical="center"/>
    </xf>
    <xf numFmtId="0" fontId="6" fillId="2" borderId="0" xfId="0" applyFont="1" applyFill="1" applyAlignment="1"/>
    <xf numFmtId="0" fontId="15" fillId="6" borderId="1" xfId="0" applyFont="1" applyFill="1" applyBorder="1" applyAlignment="1">
      <alignment horizontal="left" vertical="center"/>
    </xf>
    <xf numFmtId="0" fontId="16" fillId="0" borderId="1" xfId="0" applyFont="1" applyBorder="1" applyAlignment="1">
      <alignment horizontal="left"/>
    </xf>
    <xf numFmtId="0" fontId="21" fillId="0" borderId="0" xfId="0" applyFont="1" applyAlignment="1"/>
    <xf numFmtId="0" fontId="16" fillId="0" borderId="0" xfId="0" applyFont="1" applyAlignment="1"/>
    <xf numFmtId="0" fontId="16" fillId="0" borderId="0" xfId="0" applyFont="1" applyAlignment="1">
      <alignment wrapText="1"/>
    </xf>
    <xf numFmtId="0" fontId="21" fillId="0" borderId="0" xfId="2" applyFont="1"/>
    <xf numFmtId="0" fontId="21" fillId="0" borderId="0" xfId="2" applyFont="1" applyAlignment="1">
      <alignment horizontal="left"/>
    </xf>
    <xf numFmtId="0" fontId="21" fillId="0" borderId="0" xfId="2" applyFont="1" applyAlignment="1">
      <alignment horizontal="center"/>
    </xf>
    <xf numFmtId="0" fontId="22" fillId="5" borderId="0" xfId="0" applyFont="1" applyFill="1">
      <alignment vertical="center"/>
    </xf>
    <xf numFmtId="0" fontId="22" fillId="6" borderId="6" xfId="0" applyFont="1" applyFill="1" applyBorder="1" applyAlignment="1">
      <alignment horizontal="left" vertical="center"/>
    </xf>
    <xf numFmtId="0" fontId="22" fillId="6" borderId="6" xfId="0" applyFont="1" applyFill="1" applyBorder="1" applyAlignment="1">
      <alignment horizontal="right" vertical="center"/>
    </xf>
    <xf numFmtId="0" fontId="23" fillId="0" borderId="0" xfId="10" applyFont="1"/>
    <xf numFmtId="0" fontId="24" fillId="5" borderId="0" xfId="0" applyFont="1" applyFill="1">
      <alignment vertical="center"/>
    </xf>
    <xf numFmtId="0" fontId="21" fillId="0" borderId="0" xfId="0" applyFont="1" applyAlignment="1">
      <alignment horizontal="center"/>
    </xf>
    <xf numFmtId="0" fontId="23" fillId="0" borderId="0" xfId="10" applyFont="1" applyAlignment="1">
      <alignment horizontal="center"/>
    </xf>
    <xf numFmtId="0" fontId="0" fillId="0" borderId="0" xfId="0" applyAlignment="1" applyProtection="1">
      <alignment vertical="top"/>
      <protection locked="0"/>
    </xf>
    <xf numFmtId="0" fontId="0" fillId="7" borderId="0" xfId="0" applyFill="1" applyAlignment="1">
      <alignment vertical="top"/>
    </xf>
    <xf numFmtId="0" fontId="26" fillId="0" borderId="0" xfId="0" applyFont="1" applyAlignment="1">
      <alignment vertical="top" wrapText="1"/>
    </xf>
    <xf numFmtId="0" fontId="26" fillId="0" borderId="0" xfId="0" applyFont="1" applyAlignment="1">
      <alignment vertical="top"/>
    </xf>
    <xf numFmtId="0" fontId="16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16" fillId="0" borderId="0" xfId="0" applyFont="1">
      <alignment vertical="center"/>
    </xf>
    <xf numFmtId="0" fontId="15" fillId="0" borderId="0" xfId="0" applyFont="1" applyAlignment="1">
      <alignment vertical="center" wrapText="1"/>
    </xf>
    <xf numFmtId="0" fontId="15" fillId="0" borderId="10" xfId="0" applyFont="1" applyBorder="1" applyAlignment="1">
      <alignment vertical="center" wrapText="1"/>
    </xf>
    <xf numFmtId="0" fontId="15" fillId="6" borderId="1" xfId="0" applyFont="1" applyFill="1" applyBorder="1" applyAlignment="1">
      <alignment horizontal="left" vertical="top" wrapText="1"/>
    </xf>
    <xf numFmtId="0" fontId="16" fillId="0" borderId="1" xfId="0" applyFont="1" applyBorder="1" applyAlignment="1">
      <alignment horizontal="left" vertical="top" wrapText="1"/>
    </xf>
    <xf numFmtId="0" fontId="5" fillId="0" borderId="0" xfId="6" applyAlignment="1">
      <alignment vertical="top" wrapText="1"/>
    </xf>
    <xf numFmtId="164" fontId="6" fillId="5" borderId="0" xfId="0" applyNumberFormat="1" applyFont="1" applyFill="1">
      <alignment vertical="center"/>
    </xf>
    <xf numFmtId="164" fontId="6" fillId="2" borderId="0" xfId="0" applyNumberFormat="1" applyFont="1" applyFill="1">
      <alignment vertical="center"/>
    </xf>
    <xf numFmtId="164" fontId="6" fillId="5" borderId="1" xfId="0" applyNumberFormat="1" applyFont="1" applyFill="1" applyBorder="1">
      <alignment vertical="center"/>
    </xf>
    <xf numFmtId="164" fontId="6" fillId="2" borderId="5" xfId="0" applyNumberFormat="1" applyFont="1" applyFill="1" applyBorder="1">
      <alignment vertical="center"/>
    </xf>
    <xf numFmtId="164" fontId="0" fillId="7" borderId="0" xfId="0" applyNumberFormat="1" applyFill="1">
      <alignment vertical="center"/>
    </xf>
    <xf numFmtId="164" fontId="0" fillId="0" borderId="0" xfId="0" applyNumberFormat="1">
      <alignment vertical="center"/>
    </xf>
    <xf numFmtId="164" fontId="6" fillId="0" borderId="1" xfId="0" applyNumberFormat="1" applyFont="1" applyBorder="1">
      <alignment vertical="center"/>
    </xf>
    <xf numFmtId="0" fontId="23" fillId="0" borderId="0" xfId="7" applyFont="1" applyAlignment="1">
      <alignment horizontal="left"/>
    </xf>
    <xf numFmtId="0" fontId="23" fillId="0" borderId="0" xfId="0" applyFont="1" applyAlignment="1"/>
    <xf numFmtId="0" fontId="23" fillId="0" borderId="0" xfId="7" applyFont="1"/>
    <xf numFmtId="0" fontId="11" fillId="0" borderId="0" xfId="3"/>
    <xf numFmtId="3" fontId="16" fillId="0" borderId="10" xfId="0" applyNumberFormat="1" applyFont="1" applyBorder="1" applyAlignment="1">
      <alignment horizontal="right" vertical="center"/>
    </xf>
    <xf numFmtId="3" fontId="16" fillId="0" borderId="0" xfId="0" applyNumberFormat="1" applyFont="1" applyAlignment="1">
      <alignment horizontal="right" vertical="center"/>
    </xf>
    <xf numFmtId="3" fontId="16" fillId="0" borderId="7" xfId="0" applyNumberFormat="1" applyFont="1" applyBorder="1" applyAlignment="1">
      <alignment horizontal="right" vertical="center"/>
    </xf>
    <xf numFmtId="0" fontId="15" fillId="6" borderId="8" xfId="0" applyFont="1" applyFill="1" applyBorder="1" applyAlignment="1">
      <alignment horizontal="center" vertical="center"/>
    </xf>
    <xf numFmtId="0" fontId="0" fillId="4" borderId="0" xfId="0" applyFill="1">
      <alignment vertical="center"/>
    </xf>
    <xf numFmtId="0" fontId="6" fillId="4" borderId="0" xfId="0" applyFont="1" applyFill="1" applyAlignment="1">
      <alignment horizontal="center" vertical="center"/>
    </xf>
    <xf numFmtId="0" fontId="30" fillId="4" borderId="0" xfId="0" applyFont="1" applyFill="1" applyAlignment="1">
      <alignment vertical="top"/>
    </xf>
    <xf numFmtId="0" fontId="27" fillId="0" borderId="0" xfId="11">
      <alignment vertical="center"/>
    </xf>
    <xf numFmtId="0" fontId="23" fillId="0" borderId="0" xfId="0" applyFont="1">
      <alignment vertical="center"/>
    </xf>
    <xf numFmtId="0" fontId="25" fillId="5" borderId="2" xfId="7" applyFont="1" applyFill="1" applyBorder="1" applyAlignment="1">
      <alignment horizontal="left" vertical="top" wrapText="1"/>
    </xf>
    <xf numFmtId="0" fontId="25" fillId="5" borderId="2" xfId="7" applyFont="1" applyFill="1" applyBorder="1" applyAlignment="1">
      <alignment vertical="top" wrapText="1"/>
    </xf>
    <xf numFmtId="0" fontId="23" fillId="5" borderId="2" xfId="0" applyFont="1" applyFill="1" applyBorder="1" applyAlignment="1">
      <alignment vertical="top" wrapText="1"/>
    </xf>
    <xf numFmtId="0" fontId="23" fillId="0" borderId="0" xfId="0" applyFont="1" applyAlignment="1">
      <alignment vertical="top" wrapText="1"/>
    </xf>
    <xf numFmtId="0" fontId="25" fillId="8" borderId="2" xfId="7" applyFont="1" applyFill="1" applyBorder="1" applyAlignment="1">
      <alignment horizontal="left" vertical="top" wrapText="1"/>
    </xf>
    <xf numFmtId="0" fontId="23" fillId="8" borderId="0" xfId="0" applyFont="1" applyFill="1" applyAlignment="1">
      <alignment vertical="top" wrapText="1"/>
    </xf>
    <xf numFmtId="0" fontId="23" fillId="0" borderId="0" xfId="0" applyFont="1" applyAlignment="1">
      <alignment horizontal="left"/>
    </xf>
    <xf numFmtId="0" fontId="23" fillId="9" borderId="0" xfId="0" applyFont="1" applyFill="1" applyAlignment="1"/>
    <xf numFmtId="0" fontId="6" fillId="0" borderId="0" xfId="0" applyFont="1" applyAlignment="1"/>
    <xf numFmtId="14" fontId="6" fillId="0" borderId="0" xfId="0" applyNumberFormat="1" applyFont="1" applyAlignment="1"/>
    <xf numFmtId="14" fontId="22" fillId="0" borderId="0" xfId="0" applyNumberFormat="1" applyFont="1" applyAlignment="1">
      <alignment horizontal="center"/>
    </xf>
    <xf numFmtId="0" fontId="25" fillId="0" borderId="0" xfId="10" applyFont="1"/>
    <xf numFmtId="0" fontId="22" fillId="0" borderId="0" xfId="0" applyFont="1" applyAlignment="1"/>
    <xf numFmtId="1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right"/>
    </xf>
    <xf numFmtId="0" fontId="16" fillId="0" borderId="10" xfId="0" applyFont="1" applyBorder="1" applyAlignment="1">
      <alignment horizontal="center" vertical="center"/>
    </xf>
    <xf numFmtId="0" fontId="15" fillId="6" borderId="8" xfId="0" applyFont="1" applyFill="1" applyBorder="1" applyAlignment="1">
      <alignment horizontal="left" vertical="top" wrapText="1"/>
    </xf>
    <xf numFmtId="0" fontId="15" fillId="6" borderId="8" xfId="0" applyFont="1" applyFill="1" applyBorder="1" applyAlignment="1">
      <alignment horizontal="center" vertical="top" wrapText="1"/>
    </xf>
    <xf numFmtId="0" fontId="15" fillId="0" borderId="0" xfId="0" applyFont="1" applyAlignment="1">
      <alignment horizontal="left" vertical="top" wrapText="1"/>
    </xf>
    <xf numFmtId="0" fontId="11" fillId="0" borderId="0" xfId="4" applyAlignment="1">
      <alignment vertical="top" wrapText="1"/>
    </xf>
    <xf numFmtId="0" fontId="15" fillId="6" borderId="6" xfId="0" applyFont="1" applyFill="1" applyBorder="1" applyAlignment="1">
      <alignment horizontal="right" vertical="center"/>
    </xf>
    <xf numFmtId="0" fontId="20" fillId="0" borderId="0" xfId="12" applyFont="1" applyAlignment="1">
      <alignment vertical="center"/>
    </xf>
    <xf numFmtId="165" fontId="0" fillId="7" borderId="0" xfId="0" applyNumberFormat="1" applyFill="1">
      <alignment vertical="center"/>
    </xf>
    <xf numFmtId="0" fontId="0" fillId="12" borderId="0" xfId="0" applyFill="1">
      <alignment vertical="center"/>
    </xf>
    <xf numFmtId="0" fontId="0" fillId="10" borderId="0" xfId="0" applyFill="1">
      <alignment vertical="center"/>
    </xf>
    <xf numFmtId="0" fontId="32" fillId="11" borderId="11" xfId="0" applyFont="1" applyFill="1" applyBorder="1">
      <alignment vertical="center"/>
    </xf>
    <xf numFmtId="0" fontId="32" fillId="0" borderId="11" xfId="0" applyFont="1" applyBorder="1">
      <alignment vertical="center"/>
    </xf>
    <xf numFmtId="14" fontId="0" fillId="0" borderId="0" xfId="0" applyNumberFormat="1">
      <alignment vertical="center"/>
    </xf>
    <xf numFmtId="0" fontId="33" fillId="13" borderId="0" xfId="0" applyFont="1" applyFill="1">
      <alignment vertical="center"/>
    </xf>
    <xf numFmtId="2" fontId="33" fillId="13" borderId="0" xfId="0" applyNumberFormat="1" applyFont="1" applyFill="1">
      <alignment vertical="center"/>
    </xf>
    <xf numFmtId="164" fontId="33" fillId="13" borderId="0" xfId="0" applyNumberFormat="1" applyFont="1" applyFill="1">
      <alignment vertical="center"/>
    </xf>
    <xf numFmtId="0" fontId="33" fillId="13" borderId="1" xfId="0" applyFont="1" applyFill="1" applyBorder="1">
      <alignment vertical="center"/>
    </xf>
    <xf numFmtId="2" fontId="33" fillId="13" borderId="1" xfId="0" applyNumberFormat="1" applyFont="1" applyFill="1" applyBorder="1">
      <alignment vertical="center"/>
    </xf>
    <xf numFmtId="164" fontId="33" fillId="13" borderId="1" xfId="0" applyNumberFormat="1" applyFont="1" applyFill="1" applyBorder="1">
      <alignment vertical="center"/>
    </xf>
    <xf numFmtId="164" fontId="33" fillId="13" borderId="5" xfId="0" applyNumberFormat="1" applyFont="1" applyFill="1" applyBorder="1">
      <alignment vertical="center"/>
    </xf>
    <xf numFmtId="0" fontId="33" fillId="13" borderId="5" xfId="0" applyFont="1" applyFill="1" applyBorder="1">
      <alignment vertical="center"/>
    </xf>
    <xf numFmtId="0" fontId="5" fillId="3" borderId="0" xfId="0" applyFont="1" applyFill="1" applyAlignment="1" applyProtection="1">
      <alignment vertical="top"/>
      <protection locked="0"/>
    </xf>
    <xf numFmtId="164" fontId="6" fillId="2" borderId="1" xfId="0" applyNumberFormat="1" applyFont="1" applyFill="1" applyBorder="1">
      <alignment vertical="center"/>
    </xf>
    <xf numFmtId="164" fontId="0" fillId="0" borderId="0" xfId="0" applyNumberFormat="1" applyProtection="1">
      <alignment vertical="center"/>
      <protection locked="0"/>
    </xf>
    <xf numFmtId="0" fontId="35" fillId="14" borderId="14" xfId="0" applyFont="1" applyFill="1" applyBorder="1">
      <alignment vertical="center"/>
    </xf>
    <xf numFmtId="0" fontId="35" fillId="14" borderId="16" xfId="0" applyFont="1" applyFill="1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44" fontId="0" fillId="0" borderId="0" xfId="16" applyFont="1" applyBorder="1" applyAlignment="1">
      <alignment vertical="center"/>
    </xf>
    <xf numFmtId="0" fontId="0" fillId="0" borderId="19" xfId="0" applyBorder="1">
      <alignment vertical="center"/>
    </xf>
    <xf numFmtId="44" fontId="0" fillId="0" borderId="20" xfId="16" applyFont="1" applyBorder="1" applyAlignment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33" fillId="14" borderId="12" xfId="0" applyFont="1" applyFill="1" applyBorder="1">
      <alignment vertical="center"/>
    </xf>
    <xf numFmtId="0" fontId="33" fillId="14" borderId="13" xfId="0" applyFont="1" applyFill="1" applyBorder="1">
      <alignment vertical="center"/>
    </xf>
    <xf numFmtId="0" fontId="33" fillId="14" borderId="15" xfId="0" applyFont="1" applyFill="1" applyBorder="1">
      <alignment vertical="center"/>
    </xf>
    <xf numFmtId="0" fontId="33" fillId="14" borderId="2" xfId="0" applyFont="1" applyFill="1" applyBorder="1">
      <alignment vertical="center"/>
    </xf>
    <xf numFmtId="44" fontId="0" fillId="0" borderId="0" xfId="16" applyFont="1" applyBorder="1" applyAlignment="1">
      <alignment horizontal="center" vertical="center"/>
    </xf>
    <xf numFmtId="165" fontId="0" fillId="0" borderId="0" xfId="0" applyNumberFormat="1">
      <alignment vertical="center"/>
    </xf>
    <xf numFmtId="44" fontId="0" fillId="0" borderId="0" xfId="16" applyFont="1" applyAlignment="1">
      <alignment vertical="center"/>
    </xf>
    <xf numFmtId="44" fontId="0" fillId="0" borderId="0" xfId="0" applyNumberFormat="1">
      <alignment vertical="center"/>
    </xf>
    <xf numFmtId="43" fontId="0" fillId="0" borderId="0" xfId="0" applyNumberFormat="1">
      <alignment vertical="center"/>
    </xf>
    <xf numFmtId="164" fontId="0" fillId="7" borderId="0" xfId="0" quotePrefix="1" applyNumberFormat="1" applyFill="1">
      <alignment vertical="center"/>
    </xf>
    <xf numFmtId="165" fontId="0" fillId="7" borderId="0" xfId="0" applyNumberFormat="1" applyFill="1" applyProtection="1">
      <alignment vertical="center"/>
      <protection locked="0"/>
    </xf>
    <xf numFmtId="44" fontId="0" fillId="2" borderId="0" xfId="16" applyFont="1" applyFill="1" applyBorder="1" applyAlignment="1">
      <alignment horizontal="center" vertical="center"/>
    </xf>
    <xf numFmtId="0" fontId="0" fillId="2" borderId="0" xfId="0" applyFill="1">
      <alignment vertical="center"/>
    </xf>
    <xf numFmtId="0" fontId="0" fillId="2" borderId="0" xfId="0" applyFill="1" applyAlignment="1">
      <alignment vertical="center" wrapText="1"/>
    </xf>
    <xf numFmtId="0" fontId="0" fillId="7" borderId="0" xfId="0" applyFill="1" applyProtection="1">
      <alignment vertical="center"/>
      <protection locked="0"/>
    </xf>
    <xf numFmtId="0" fontId="1" fillId="0" borderId="0" xfId="1" applyFont="1"/>
    <xf numFmtId="0" fontId="15" fillId="0" borderId="0" xfId="0" applyFont="1" applyAlignment="1">
      <alignment horizontal="left" vertical="center" wrapText="1"/>
    </xf>
    <xf numFmtId="0" fontId="16" fillId="0" borderId="0" xfId="0" applyFont="1" applyAlignment="1">
      <alignment horizontal="center" vertical="center"/>
    </xf>
    <xf numFmtId="0" fontId="15" fillId="0" borderId="10" xfId="0" applyFont="1" applyBorder="1" applyAlignment="1">
      <alignment horizontal="left" vertical="center" wrapText="1"/>
    </xf>
  </cellXfs>
  <cellStyles count="17">
    <cellStyle name="Currency" xfId="16" builtinId="4"/>
    <cellStyle name="Hyperlink" xfId="11" builtinId="8"/>
    <cellStyle name="Normal" xfId="0" builtinId="0"/>
    <cellStyle name="Normal 12" xfId="5" xr:uid="{09C5C411-985C-4159-8B61-1D5252202480}"/>
    <cellStyle name="Normal 2" xfId="1" xr:uid="{7838E072-B469-4B09-A68F-6E4997A915A2}"/>
    <cellStyle name="Normal 2 2" xfId="4" xr:uid="{2323083E-CC5A-43D8-BC2F-195FAD40C2C8}"/>
    <cellStyle name="Normal 2 3" xfId="13" xr:uid="{091D097B-CF3C-43E5-835C-1E24F8EE5150}"/>
    <cellStyle name="Normal 3" xfId="2" xr:uid="{CB4CCD91-16E7-43B7-9A94-1C8EB3CAC1DE}"/>
    <cellStyle name="Normal 3 2" xfId="3" xr:uid="{4BBA9685-BB95-4E1D-9AA9-3FE5978CA359}"/>
    <cellStyle name="Normal 30" xfId="6" xr:uid="{658DA2F9-8AAF-4B1E-863E-4AE886340BAF}"/>
    <cellStyle name="Normal 4" xfId="7" xr:uid="{6FDE1520-60B8-409E-8756-1CCC9564F2A9}"/>
    <cellStyle name="Normal 4 2" xfId="9" xr:uid="{6F37B0CE-9A85-494F-A0B3-61D0569B5459}"/>
    <cellStyle name="Normal 4 3" xfId="10" xr:uid="{B77FB045-EE87-423C-A075-AA1AC5C8E11D}"/>
    <cellStyle name="Normal 5" xfId="8" xr:uid="{276CE7D1-0005-4FA4-BAD7-9C14A4A3BAF0}"/>
    <cellStyle name="Normal 6" xfId="12" xr:uid="{03EB1FB3-98D4-4710-B587-F3E88349B346}"/>
    <cellStyle name="Normal 7" xfId="14" xr:uid="{454F17CC-F1D9-4365-ADDF-5188903DF551}"/>
    <cellStyle name="Normal 8" xfId="15" xr:uid="{CC1E835C-DEC0-440F-8C27-10940A27558A}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35" formatCode="_-* #,##0.00_-;\-* #,##0.00_-;_-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colors>
    <mruColors>
      <color rgb="FFFFFFD9"/>
      <color rgb="FFFF9999"/>
      <color rgb="FFCCFFFF"/>
      <color rgb="FFB2DE82"/>
      <color rgb="FFFFCCFF"/>
      <color rgb="FFCCCCFF"/>
      <color rgb="FFFFFFFF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26" Type="http://schemas.openxmlformats.org/officeDocument/2006/relationships/externalLink" Target="externalLinks/externalLink10.xml"/><Relationship Id="rId39" Type="http://schemas.openxmlformats.org/officeDocument/2006/relationships/customXml" Target="../customXml/item1.xml"/><Relationship Id="rId21" Type="http://schemas.openxmlformats.org/officeDocument/2006/relationships/externalLink" Target="externalLinks/externalLink5.xml"/><Relationship Id="rId34" Type="http://schemas.openxmlformats.org/officeDocument/2006/relationships/connections" Target="connections.xml"/><Relationship Id="rId42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4.xml"/><Relationship Id="rId29" Type="http://schemas.openxmlformats.org/officeDocument/2006/relationships/externalLink" Target="externalLinks/externalLink13.xml"/><Relationship Id="rId41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8.xml"/><Relationship Id="rId32" Type="http://schemas.openxmlformats.org/officeDocument/2006/relationships/externalLink" Target="externalLinks/externalLink16.xml"/><Relationship Id="rId37" Type="http://schemas.openxmlformats.org/officeDocument/2006/relationships/sheetMetadata" Target="metadata.xml"/><Relationship Id="rId40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7.xml"/><Relationship Id="rId28" Type="http://schemas.openxmlformats.org/officeDocument/2006/relationships/externalLink" Target="externalLinks/externalLink12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31" Type="http://schemas.openxmlformats.org/officeDocument/2006/relationships/externalLink" Target="externalLinks/externalLink1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6.xml"/><Relationship Id="rId27" Type="http://schemas.openxmlformats.org/officeDocument/2006/relationships/externalLink" Target="externalLinks/externalLink11.xml"/><Relationship Id="rId30" Type="http://schemas.openxmlformats.org/officeDocument/2006/relationships/externalLink" Target="externalLinks/externalLink14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externalLink" Target="externalLinks/externalLink9.xml"/><Relationship Id="rId33" Type="http://schemas.openxmlformats.org/officeDocument/2006/relationships/theme" Target="theme/theme1.xml"/><Relationship Id="rId38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114300</xdr:colOff>
      <xdr:row>11</xdr:row>
      <xdr:rowOff>130765</xdr:rowOff>
    </xdr:from>
    <xdr:to>
      <xdr:col>24</xdr:col>
      <xdr:colOff>78290</xdr:colOff>
      <xdr:row>17</xdr:row>
      <xdr:rowOff>114518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4AAA2A-4175-C5E1-1499-6233823E3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62725" y="1911940"/>
          <a:ext cx="9107990" cy="955303"/>
        </a:xfrm>
        <a:prstGeom prst="rect">
          <a:avLst/>
        </a:prstGeom>
      </xdr:spPr>
    </xdr:pic>
    <xdr:clientData/>
  </xdr:twoCellAnchor>
  <xdr:twoCellAnchor>
    <xdr:from>
      <xdr:col>9</xdr:col>
      <xdr:colOff>161925</xdr:colOff>
      <xdr:row>11</xdr:row>
      <xdr:rowOff>152400</xdr:rowOff>
    </xdr:from>
    <xdr:to>
      <xdr:col>12</xdr:col>
      <xdr:colOff>9525</xdr:colOff>
      <xdr:row>13</xdr:row>
      <xdr:rowOff>53975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2E2370F-76C2-CC66-C93B-BE1B62CF54F9}"/>
            </a:ext>
          </a:extLst>
        </xdr:cNvPr>
        <xdr:cNvSpPr/>
      </xdr:nvSpPr>
      <xdr:spPr>
        <a:xfrm>
          <a:off x="6610350" y="1933575"/>
          <a:ext cx="1676400" cy="225425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9</xdr:col>
      <xdr:colOff>85725</xdr:colOff>
      <xdr:row>19</xdr:row>
      <xdr:rowOff>82550</xdr:rowOff>
    </xdr:from>
    <xdr:to>
      <xdr:col>23</xdr:col>
      <xdr:colOff>520700</xdr:colOff>
      <xdr:row>20</xdr:row>
      <xdr:rowOff>101654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82166DF-9A23-329B-3BB0-AA9B569A59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0" y="3159125"/>
          <a:ext cx="8969375" cy="333429"/>
        </a:xfrm>
        <a:prstGeom prst="rect">
          <a:avLst/>
        </a:prstGeom>
      </xdr:spPr>
    </xdr:pic>
    <xdr:clientData/>
  </xdr:twoCellAnchor>
  <xdr:twoCellAnchor>
    <xdr:from>
      <xdr:col>9</xdr:col>
      <xdr:colOff>38100</xdr:colOff>
      <xdr:row>19</xdr:row>
      <xdr:rowOff>85724</xdr:rowOff>
    </xdr:from>
    <xdr:to>
      <xdr:col>11</xdr:col>
      <xdr:colOff>9526</xdr:colOff>
      <xdr:row>19</xdr:row>
      <xdr:rowOff>295275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AC9875FF-80B0-4761-B8EB-D9806D289AE9}"/>
            </a:ext>
          </a:extLst>
        </xdr:cNvPr>
        <xdr:cNvSpPr/>
      </xdr:nvSpPr>
      <xdr:spPr>
        <a:xfrm>
          <a:off x="6619875" y="3162299"/>
          <a:ext cx="1190626" cy="209551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anarywharf-my.sharepoint.com/Manacs/Payroll/01PAY0102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anacs\Payroll\01PAY0102a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Manacs\AvB\avbcc48.xls" TargetMode="External"/><Relationship Id="rId1" Type="http://schemas.openxmlformats.org/officeDocument/2006/relationships/externalLinkPath" Target="file:///H:\Manacs\AvB\avbcc4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anarywharf-my.sharepoint.com/sites/Treasury/CashDepositsAndMgt/Cash%20Movement/FINISHED%20Cash%20Movement%20-%20March%20Month-End%2031.03.2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anacs\Intercompany\Sec%20II%20RIL%202014%20Q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anacs\Other\E-journals\026099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Group\Accounts\FORECAST\ARREC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anarywharf-my.sharepoint.com/Manacs/Payroll/02PAY010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anacs\Payroll\02PAY0105.xls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Manacs\Other\FADec21%20v3.xls" TargetMode="External"/><Relationship Id="rId1" Type="http://schemas.openxmlformats.org/officeDocument/2006/relationships/externalLinkPath" Target="file:///H:\Manacs\Other\FADec21%20v3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anarywharf-my.sharepoint.com/Manacs/Payroll/Apr%2021%20Payroll%20-%20WORKDA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anacs\Payroll\Apr%2021%20Payroll%20-%20WORKDAY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xfiles\Current\bp9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anacs\Other\FAJun02old.xls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anarywharf.sharepoint.com/sites/FinancialGroupAccounts/Balance%20Sheet/Intercompany/Billings/Templates/IC%20Billing%20Request%20Template%20with%20IC,%20Budget%20&amp;%20Recoverability%20v6.xlsx" TargetMode="External"/><Relationship Id="rId1" Type="http://schemas.openxmlformats.org/officeDocument/2006/relationships/externalLinkPath" Target="https://canarywharf-my.sharepoint.com/sites/MercuryProject/YardiShared/References/IC%20Billing%20Request%20Template%20with%20IC,%20Budget%20&amp;%20Recoverability%20v6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anarywharf.sharepoint.com/sites/FinancialGroupAccounts/Balance%20Sheet/Intercompany/Project%20Backyard/UAT%203.11/Re-test%202/Re-run/IC%20Billing%20Request%20Template%20PBY.xlsx" TargetMode="External"/><Relationship Id="rId1" Type="http://schemas.openxmlformats.org/officeDocument/2006/relationships/externalLinkPath" Target="https://canarywharf-my.sharepoint.com/sites/MercuryProject/YardiShared/References/IC%20Billing%20Request%20Template%20PB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TIP"/>
      <sheetName val="Ltips"/>
      <sheetName val="div"/>
      <sheetName val="div (2)"/>
      <sheetName val="div (3)"/>
      <sheetName val="divpen"/>
      <sheetName val="Pension"/>
      <sheetName val="06shares"/>
      <sheetName val="CRITERIA3"/>
      <sheetName val="IC Salaries"/>
      <sheetName val="CWL 2005"/>
      <sheetName val="CWL Jnl"/>
      <sheetName val="CRITERIA2"/>
      <sheetName val="CRITERIA4"/>
      <sheetName val="CODE"/>
      <sheetName val="CWG 2005"/>
      <sheetName val="CRITERIA1"/>
      <sheetName val="CWG Jnl"/>
      <sheetName val="dis1208"/>
      <sheetName val="dis1207"/>
      <sheetName val="dis1206"/>
      <sheetName val="dis1205"/>
      <sheetName val="sondis1204"/>
      <sheetName val="dis1204"/>
      <sheetName val="dis04"/>
      <sheetName val="dis03"/>
      <sheetName val="dis02"/>
      <sheetName val="dis01"/>
      <sheetName val="dis00"/>
      <sheetName val="dis99"/>
      <sheetName val="0299d"/>
      <sheetName val="Journal 1"/>
      <sheetName val="01PAY0102a"/>
      <sheetName val="div_(2)"/>
      <sheetName val="div_(3)"/>
      <sheetName val="IC_Salaries"/>
      <sheetName val="CWL_2005"/>
      <sheetName val="CWL_Jnl"/>
      <sheetName val="CWG_2005"/>
      <sheetName val="CWG_Jnl"/>
      <sheetName val="Journal_1"/>
      <sheetName val="div_(2)2"/>
      <sheetName val="div_(3)2"/>
      <sheetName val="IC_Salaries2"/>
      <sheetName val="CWL_20052"/>
      <sheetName val="CWL_Jnl2"/>
      <sheetName val="CWG_20052"/>
      <sheetName val="CWG_Jnl2"/>
      <sheetName val="Journal_12"/>
      <sheetName val="div_(2)1"/>
      <sheetName val="div_(3)1"/>
      <sheetName val="IC_Salaries1"/>
      <sheetName val="CWL_20051"/>
      <sheetName val="CWL_Jnl1"/>
      <sheetName val="CWG_20051"/>
      <sheetName val="CWG_Jnl1"/>
      <sheetName val="Journal_11"/>
      <sheetName val="div_(2)3"/>
      <sheetName val="div_(3)3"/>
      <sheetName val="IC_Salaries3"/>
      <sheetName val="CWL_20053"/>
      <sheetName val="CWL_Jnl3"/>
      <sheetName val="CWG_20053"/>
      <sheetName val="CWG_Jnl3"/>
      <sheetName val="Journal_13"/>
      <sheetName val="div_(2)4"/>
      <sheetName val="div_(3)4"/>
      <sheetName val="IC_Salaries4"/>
      <sheetName val="CWL_20054"/>
      <sheetName val="CWL_Jnl4"/>
      <sheetName val="CWG_20054"/>
      <sheetName val="CWG_Jnl4"/>
      <sheetName val="Journal_14"/>
      <sheetName val="div_(2)6"/>
      <sheetName val="div_(3)6"/>
      <sheetName val="IC_Salaries6"/>
      <sheetName val="CWL_20056"/>
      <sheetName val="CWL_Jnl6"/>
      <sheetName val="CWG_20056"/>
      <sheetName val="CWG_Jnl6"/>
      <sheetName val="Journal_16"/>
      <sheetName val="div_(2)5"/>
      <sheetName val="div_(3)5"/>
      <sheetName val="IC_Salaries5"/>
      <sheetName val="CWL_20055"/>
      <sheetName val="CWL_Jnl5"/>
      <sheetName val="CWG_20055"/>
      <sheetName val="CWG_Jnl5"/>
      <sheetName val="Journal_15"/>
      <sheetName val="div_(2)7"/>
      <sheetName val="div_(3)7"/>
      <sheetName val="IC_Salaries7"/>
      <sheetName val="CWL_20057"/>
      <sheetName val="CWL_Jnl7"/>
      <sheetName val="CWG_20057"/>
      <sheetName val="CWG_Jnl7"/>
      <sheetName val="Journal_17"/>
      <sheetName val="div_(2)8"/>
      <sheetName val="div_(3)8"/>
      <sheetName val="IC_Salaries8"/>
      <sheetName val="CWL_20058"/>
      <sheetName val="CWL_Jnl8"/>
      <sheetName val="CWG_20058"/>
      <sheetName val="CWG_Jnl8"/>
      <sheetName val="Journal_18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 refreshError="1"/>
      <sheetData sheetId="27"/>
      <sheetData sheetId="28"/>
      <sheetData sheetId="29"/>
      <sheetData sheetId="30"/>
      <sheetData sheetId="3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TIP"/>
      <sheetName val="Ltips"/>
      <sheetName val="div"/>
      <sheetName val="div (2)"/>
      <sheetName val="div (3)"/>
      <sheetName val="divpen"/>
      <sheetName val="Pension"/>
      <sheetName val="06shares"/>
      <sheetName val="CRITERIA3"/>
      <sheetName val="IC Salaries"/>
      <sheetName val="CWL 2005"/>
      <sheetName val="CWL Jnl"/>
      <sheetName val="CRITERIA2"/>
      <sheetName val="CRITERIA4"/>
      <sheetName val="CODE"/>
      <sheetName val="CWG 2005"/>
      <sheetName val="CRITERIA1"/>
      <sheetName val="CWG Jnl"/>
      <sheetName val="dis1208"/>
      <sheetName val="dis1207"/>
      <sheetName val="dis1206"/>
      <sheetName val="dis1205"/>
      <sheetName val="sondis1204"/>
      <sheetName val="dis1204"/>
      <sheetName val="dis04"/>
      <sheetName val="dis03"/>
      <sheetName val="dis02"/>
      <sheetName val="dis01"/>
      <sheetName val="dis00"/>
      <sheetName val="dis99"/>
      <sheetName val="0299d"/>
      <sheetName val="Journal 1"/>
      <sheetName val="CWL_2005"/>
      <sheetName val="div_(2)"/>
      <sheetName val="div_(3)"/>
      <sheetName val="IC_Salaries"/>
      <sheetName val="CWL_20051"/>
      <sheetName val="CWL_Jnl"/>
      <sheetName val="CWG_2005"/>
      <sheetName val="CWG_Jnl"/>
      <sheetName val="Journal_1"/>
      <sheetName val="div_(2)1"/>
      <sheetName val="div_(3)1"/>
      <sheetName val="IC_Salaries1"/>
      <sheetName val="CWL_20052"/>
      <sheetName val="CWL_Jnl1"/>
      <sheetName val="CWG_20051"/>
      <sheetName val="CWG_Jnl1"/>
      <sheetName val="Journal_11"/>
      <sheetName val="div_(2)2"/>
      <sheetName val="div_(3)2"/>
      <sheetName val="IC_Salaries2"/>
      <sheetName val="CWL_20053"/>
      <sheetName val="CWL_Jnl2"/>
      <sheetName val="CWG_20052"/>
      <sheetName val="CWG_Jnl2"/>
      <sheetName val="Journal_12"/>
      <sheetName val="div_(2)4"/>
      <sheetName val="div_(3)4"/>
      <sheetName val="IC_Salaries4"/>
      <sheetName val="CWL_20055"/>
      <sheetName val="CWL_Jnl4"/>
      <sheetName val="CWG_20054"/>
      <sheetName val="CWG_Jnl4"/>
      <sheetName val="Journal_14"/>
      <sheetName val="div_(2)3"/>
      <sheetName val="div_(3)3"/>
      <sheetName val="IC_Salaries3"/>
      <sheetName val="CWL_20054"/>
      <sheetName val="CWL_Jnl3"/>
      <sheetName val="CWG_20053"/>
      <sheetName val="CWG_Jnl3"/>
      <sheetName val="Journal_13"/>
      <sheetName val="div_(2)5"/>
      <sheetName val="div_(3)5"/>
      <sheetName val="IC_Salaries5"/>
      <sheetName val="CWL_20056"/>
      <sheetName val="CWL_Jnl5"/>
      <sheetName val="CWG_20055"/>
      <sheetName val="CWG_Jnl5"/>
      <sheetName val="Journal_15"/>
      <sheetName val="div_(2)6"/>
      <sheetName val="div_(3)6"/>
      <sheetName val="IC_Salaries6"/>
      <sheetName val="CWL_20057"/>
      <sheetName val="CWL_Jnl6"/>
      <sheetName val="CWG_20056"/>
      <sheetName val="CWG_Jnl6"/>
      <sheetName val="Journal_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tRentLatPay"/>
      <sheetName val="FTLP"/>
      <sheetName val="cc48Intjun03"/>
      <sheetName val="cc48IntCAjun03"/>
      <sheetName val="cc48jun03"/>
      <sheetName val="CRITERIA2"/>
      <sheetName val="CRITERIA3"/>
      <sheetName val="CRITERIA4"/>
      <sheetName val="cc48mar03"/>
      <sheetName val="cc48Intmar03"/>
      <sheetName val="cc48dec02"/>
      <sheetName val="cc48Intdec02"/>
      <sheetName val="cc48Intsep02"/>
      <sheetName val="cc48sep02"/>
      <sheetName val="cc48Intmar02"/>
      <sheetName val="CRITERIA1"/>
      <sheetName val="cc48mar02"/>
      <sheetName val="cc48jun02"/>
      <sheetName val="cc48IntCAjun02"/>
      <sheetName val="cc48Intjun02"/>
      <sheetName val="cc48Intsep03"/>
      <sheetName val="cc48sep03"/>
      <sheetName val="CRITERIA5"/>
      <sheetName val="CRITERIA6"/>
      <sheetName val="cc48Intdec03"/>
      <sheetName val="cc48dec03"/>
      <sheetName val="cc48IntMar14 (2)"/>
      <sheetName val="cc48Intmar04"/>
      <sheetName val="cc48mar04"/>
      <sheetName val="cc48Jun04"/>
      <sheetName val="cc48IntJun04"/>
      <sheetName val="cc48IntCAjun04"/>
      <sheetName val="cc48Sep04"/>
      <sheetName val="cc48IntSep04"/>
      <sheetName val="cc48Dec04"/>
      <sheetName val="cc48IntDec04"/>
      <sheetName val="cc48IntCAdec04"/>
      <sheetName val="cc48Mar05"/>
      <sheetName val="cc48IntMar05"/>
      <sheetName val="cc48Jun05"/>
      <sheetName val="cc48IntJun05"/>
      <sheetName val="cc48IntSep05"/>
      <sheetName val="cc48Sep05"/>
      <sheetName val="cc48IntDec05"/>
      <sheetName val="cc48Dec05"/>
      <sheetName val="cc48IntMar06"/>
      <sheetName val="cc48Mar06"/>
      <sheetName val="cc48Intjun06"/>
      <sheetName val="cc48jun06"/>
      <sheetName val="cc48Intsep06"/>
      <sheetName val="cc48sep06"/>
      <sheetName val="cc48dec06"/>
      <sheetName val="cc48Intdec06"/>
      <sheetName val="cc48Intmar07"/>
      <sheetName val="cc48mar07"/>
      <sheetName val="cc48IntJun07"/>
      <sheetName val="cc48Jun07"/>
      <sheetName val="cc48IntSep07"/>
      <sheetName val="cc48Sep07"/>
      <sheetName val="cc48IntDec07"/>
      <sheetName val="cc48Dec07"/>
      <sheetName val="cc48IntMar08"/>
      <sheetName val="cc48Mar08"/>
      <sheetName val="cc48IntJun08"/>
      <sheetName val="cc48Jun08"/>
      <sheetName val="cc48Sep08"/>
      <sheetName val="cc48IntSep08"/>
      <sheetName val="cc48IntDec08"/>
      <sheetName val="cc48Dec08"/>
      <sheetName val="cc48IntMar09"/>
      <sheetName val="cc48Mar09"/>
      <sheetName val="cc48IntJun09"/>
      <sheetName val="cc48Jun09"/>
      <sheetName val="cc48IntSep09"/>
      <sheetName val="cc48Sep09"/>
      <sheetName val="cc48IntDec09"/>
      <sheetName val="cc48Dec09"/>
      <sheetName val="cc48IntMar10"/>
      <sheetName val="cc48Mar10"/>
      <sheetName val="cc48IntJun10"/>
      <sheetName val="cc48Jun10"/>
      <sheetName val="cc48Sep10"/>
      <sheetName val="cc48IntSep10"/>
      <sheetName val="cc48IntDec10"/>
      <sheetName val="cc48Dec10"/>
      <sheetName val="cc48IntMar11"/>
      <sheetName val="cc48Mar11"/>
      <sheetName val="cc48Jun11"/>
      <sheetName val="cc48IntJun11"/>
      <sheetName val="cc48Sep11"/>
      <sheetName val="cc48IntSep11"/>
      <sheetName val="cc48Dec11"/>
      <sheetName val="cc48IntDec11"/>
      <sheetName val="cc48IntMar12"/>
      <sheetName val="cc48Mar12"/>
      <sheetName val="cc48IntJun12"/>
      <sheetName val="cc48Jun12"/>
      <sheetName val="cash by company query"/>
      <sheetName val="Cash by Company"/>
      <sheetName val="cc48IntSep12"/>
      <sheetName val="cc48Sep12"/>
      <sheetName val="cashbyconew"/>
      <sheetName val="cc48DailyInt"/>
      <sheetName val="cc48IntDec12"/>
      <sheetName val="cc48Dec12"/>
      <sheetName val="cc48IntMar13"/>
      <sheetName val="cc48Mar13"/>
      <sheetName val="cc48Jun13"/>
      <sheetName val="cc48IntJun13"/>
      <sheetName val="cc48IntSep13"/>
      <sheetName val="cc48Sep13"/>
      <sheetName val="cc48IntDec13"/>
      <sheetName val="cc48Dec13avb"/>
      <sheetName val="cc48Dec13"/>
      <sheetName val="cc48IntMar14"/>
      <sheetName val="cc48Mar14"/>
      <sheetName val="cc48Jun14 "/>
      <sheetName val="cc48IntJun14"/>
      <sheetName val="cc48IntSep14 "/>
      <sheetName val="cc48Sep14"/>
      <sheetName val="cc48IntDec14"/>
      <sheetName val="cc48Dec14"/>
      <sheetName val="cc48IntMar15"/>
      <sheetName val="cc48Mar15"/>
      <sheetName val="cc48IntJun15"/>
      <sheetName val="cc48Jun15"/>
      <sheetName val="cc48IntSep15"/>
      <sheetName val="cc48Sep15"/>
      <sheetName val="cc48IntDec15"/>
      <sheetName val="cc48Dec15"/>
      <sheetName val="cc48IntMar16"/>
      <sheetName val="cc48Mar16"/>
      <sheetName val="cc48Jun16 "/>
      <sheetName val="cc48IntJun16"/>
      <sheetName val="cc48Sep16"/>
      <sheetName val="cc48IntSep16"/>
      <sheetName val="cc48Dec16"/>
      <sheetName val="cc48Mar17"/>
      <sheetName val="cc48Jun17"/>
      <sheetName val="cc48Sep17"/>
      <sheetName val="cc48Dec17"/>
      <sheetName val="cc48Mar18"/>
      <sheetName val="cc48Jun18"/>
      <sheetName val="cc48Dec18"/>
      <sheetName val="cc48Sep18"/>
      <sheetName val="cc48Mar19"/>
      <sheetName val="cc48Jun19"/>
      <sheetName val="cc48Sep19"/>
      <sheetName val="cc48Dec19"/>
      <sheetName val="cc48Mar20"/>
      <sheetName val="cc48Jun20 (2)"/>
      <sheetName val="cc48Sep20"/>
      <sheetName val="cc48Dec20"/>
      <sheetName val="cc48Mar21"/>
      <sheetName val="insight"/>
      <sheetName val="data"/>
      <sheetName val="V11 Jnl"/>
      <sheetName val="JNL UPLOADED"/>
      <sheetName val="specs"/>
      <sheetName val="NORTH  QUAY"/>
      <sheetName val="WO Legal Income"/>
      <sheetName val="30 Colonnade"/>
      <sheetName val="LEHMANS FX EXCHANG"/>
      <sheetName val="Telecom Exp"/>
      <sheetName val="Telecom 2021"/>
      <sheetName val="DM FEE 2020"/>
      <sheetName val="FEES 2021"/>
      <sheetName val="HSS Charity 2020"/>
      <sheetName val="CW Media"/>
      <sheetName val="WW  G Rent &amp; SC"/>
      <sheetName val="SunInc 2020"/>
      <sheetName val="SunInc"/>
      <sheetName val="Lehmans Claim US$ 2020"/>
      <sheetName val="Lehmans Claim US$ 2019"/>
      <sheetName val="Licence Breakdown"/>
      <sheetName val="Other Breakdown"/>
      <sheetName val="DM FEES 2019"/>
      <sheetName val="FN FEES 2019"/>
      <sheetName val="Lehmans Claim US$ 2018"/>
      <sheetName val="CODE"/>
      <sheetName val="Lehmans UK Claim 2017"/>
      <sheetName val="Lehmans Claim US$ 2017 (2)"/>
      <sheetName val="Lehmans Claim"/>
      <sheetName val="Lehmans 2016"/>
      <sheetName val="Check list"/>
      <sheetName val="globals"/>
      <sheetName val="RecVATcalc"/>
      <sheetName val="V11 Int Jnl"/>
      <sheetName val="Sale of HQ4"/>
      <sheetName val="Sale of HQ5"/>
      <sheetName val="Sale of HQ2"/>
      <sheetName val="Sale of HQ2 fees"/>
      <sheetName val="Sale of BP2"/>
      <sheetName val="DefintBP3"/>
      <sheetName val="defintDS3"/>
      <sheetName val="PropSale6343024"/>
      <sheetName val="B4Sale"/>
      <sheetName val="AldersgateSale"/>
      <sheetName val="MileIntBackup"/>
      <sheetName val="Sheet3"/>
      <sheetName val="BDOWN16 2018"/>
      <sheetName val="Telecom 2020"/>
      <sheetName val="FEES 2020"/>
      <sheetName val="ohdcc63"/>
      <sheetName val="cc48Jun20"/>
      <sheetName val="Vat 1217 "/>
      <sheetName val="Telecom Jun"/>
      <sheetName val="DM FEES"/>
      <sheetName val="FN FEES"/>
      <sheetName val="FEES"/>
      <sheetName val="Sheet1"/>
      <sheetName val="Lehmans Claim (2)"/>
      <sheetName val="Income - EJ"/>
      <sheetName val="Gant of Licences"/>
      <sheetName val="RecVATcalcinp"/>
      <sheetName val="G-Rent"/>
      <sheetName val="Satellite Licences"/>
      <sheetName val="Tel Income"/>
      <sheetName val="Telecom Rent"/>
      <sheetName val=" HSO Licences"/>
      <sheetName val="Notes"/>
      <sheetName val="Vat6343001"/>
      <sheetName val="SaleProceeds6343021"/>
      <sheetName val="Bud2011"/>
      <sheetName val="Bud2012"/>
      <sheetName val="newavbsum"/>
      <sheetName val="Lehmans"/>
      <sheetName val="Lehmans UK Claim "/>
      <sheetName val="FM FN FEES"/>
      <sheetName val="bp3rec"/>
      <sheetName val="HSO Licence"/>
      <sheetName val="Unders&amp;Overs"/>
      <sheetName val="Telecom Costs"/>
      <sheetName val="Telecom"/>
      <sheetName val="Int on late pymt"/>
      <sheetName val="CoSale6339932"/>
      <sheetName val="Sundry Inc"/>
      <sheetName val="cc48Dec16 "/>
      <sheetName val="Breakdown"/>
      <sheetName val="cc48IntMar14_(2)"/>
      <sheetName val="cash_by_company_query"/>
      <sheetName val="Cash_by_Company"/>
      <sheetName val="cc48Jun14_"/>
      <sheetName val="cc48IntSep14_"/>
      <sheetName val="cc48Jun16_"/>
      <sheetName val="Vat_1217_"/>
      <sheetName val="V11_Jnl"/>
      <sheetName val="LEHMANS_FX_EXCHANG"/>
      <sheetName val="Telecom_Exp"/>
      <sheetName val="DM_FEES"/>
      <sheetName val="CW_Media"/>
      <sheetName val="WW__G_Rent_&amp;_SC"/>
      <sheetName val="Lehmans_Claim_US$_2018"/>
      <sheetName val="Lehmans_UK_Claim_2017"/>
      <sheetName val="Lehmans_Claim_US$_2017_(2)"/>
      <sheetName val="Lehmans_Claim"/>
      <sheetName val="Lehmans_2016"/>
      <sheetName val="Check_list"/>
      <sheetName val="V11_Int_Jnl"/>
      <sheetName val="Sale_of_HQ4"/>
      <sheetName val="Sale_of_HQ5"/>
      <sheetName val="Sale_of_HQ2"/>
      <sheetName val="Sale_of_HQ2_fees"/>
      <sheetName val="Sale_of_BP2"/>
      <sheetName val="BDOWN16_2018"/>
      <sheetName val="Lehmans_UK_Claim_"/>
      <sheetName val="Lehmans_Claim_(2)"/>
      <sheetName val="Income_-_EJ"/>
      <sheetName val="Gant_of_Licences"/>
      <sheetName val="Satellite_Licences"/>
      <sheetName val="Tel_Income"/>
      <sheetName val="Telecom_Rent"/>
      <sheetName val="_HSO_Licences"/>
      <sheetName val="HSO_Licence"/>
      <sheetName val="Telecom_Costs"/>
      <sheetName val="Int_on_late_pymt"/>
      <sheetName val="Sundry_Inc"/>
      <sheetName val="cc48Dec16_"/>
      <sheetName val="Lehmans_Claim_US$_2019"/>
      <sheetName val="cc48Jun20_(2)"/>
      <sheetName val="NORTH__QUAY"/>
      <sheetName val="WO_Legal_Income"/>
      <sheetName val="30_Colonnade"/>
      <sheetName val="Telecom_2020"/>
      <sheetName val="DM_FEE_2020"/>
      <sheetName val="FEES_2020"/>
      <sheetName val="SunInc_2020"/>
      <sheetName val="Licence_Breakdown"/>
      <sheetName val="Other_Breakdown"/>
      <sheetName val="DM_FEES_2019"/>
      <sheetName val="FN_FEES_2019"/>
      <sheetName val="JNL_UPLOADED"/>
      <sheetName val="Telecom_2021"/>
      <sheetName val="FEES_2021"/>
      <sheetName val="HSS_Charity_2020"/>
      <sheetName val="Lehmans_Claim_US$_2020"/>
      <sheetName val="Telecom_Jun"/>
      <sheetName val="FN_FEES"/>
      <sheetName val="FM_FN_FEES"/>
      <sheetName val="cc48IntMar14_(2)1"/>
      <sheetName val="cash_by_company_query1"/>
      <sheetName val="Cash_by_Company1"/>
      <sheetName val="cc48Jun14_1"/>
      <sheetName val="cc48IntSep14_1"/>
      <sheetName val="cc48Jun16_1"/>
      <sheetName val="cc48Jun20_(2)1"/>
      <sheetName val="V11_Jnl1"/>
      <sheetName val="JNL_UPLOADED1"/>
      <sheetName val="NORTH__QUAY1"/>
      <sheetName val="WO_Legal_Income1"/>
      <sheetName val="30_Colonnade1"/>
      <sheetName val="LEHMANS_FX_EXCHANG1"/>
      <sheetName val="Telecom_Exp1"/>
      <sheetName val="Telecom_20211"/>
      <sheetName val="DM_FEE_20201"/>
      <sheetName val="FEES_20211"/>
      <sheetName val="HSS_Charity_20201"/>
      <sheetName val="CW_Media1"/>
      <sheetName val="WW__G_Rent_&amp;_SC1"/>
      <sheetName val="SunInc_20201"/>
      <sheetName val="Lehmans_Claim_US$_20201"/>
      <sheetName val="Lehmans_Claim_US$_20191"/>
      <sheetName val="Licence_Breakdown1"/>
      <sheetName val="Other_Breakdown1"/>
      <sheetName val="DM_FEES_20191"/>
      <sheetName val="FN_FEES_20191"/>
      <sheetName val="Lehmans_Claim_US$_20181"/>
      <sheetName val="Lehmans_UK_Claim_20171"/>
      <sheetName val="Lehmans_Claim_US$_2017_(2)1"/>
      <sheetName val="Lehmans_Claim1"/>
      <sheetName val="Lehmans_20161"/>
      <sheetName val="Check_list1"/>
      <sheetName val="V11_Int_Jnl1"/>
      <sheetName val="Sale_of_HQ41"/>
      <sheetName val="Sale_of_HQ51"/>
      <sheetName val="Sale_of_HQ21"/>
      <sheetName val="Sale_of_HQ2_fees1"/>
      <sheetName val="Sale_of_BP21"/>
      <sheetName val="BDOWN16_20181"/>
      <sheetName val="Telecom_20201"/>
      <sheetName val="FEES_20201"/>
      <sheetName val="Vat_1217_1"/>
      <sheetName val="Telecom_Jun1"/>
      <sheetName val="DM_FEES1"/>
      <sheetName val="FN_FEES1"/>
      <sheetName val="Lehmans_Claim_(2)1"/>
      <sheetName val="Income_-_EJ1"/>
      <sheetName val="Gant_of_Licences1"/>
      <sheetName val="Satellite_Licences1"/>
      <sheetName val="Tel_Income1"/>
      <sheetName val="Telecom_Rent1"/>
      <sheetName val="_HSO_Licences1"/>
      <sheetName val="Lehmans_UK_Claim_1"/>
      <sheetName val="FM_FN_FEES1"/>
      <sheetName val="HSO_Licence1"/>
      <sheetName val="Telecom_Costs1"/>
      <sheetName val="Int_on_late_pymt1"/>
      <sheetName val="Sundry_Inc1"/>
      <sheetName val="cc48Dec16_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s"/>
      <sheetName val="Globals"/>
      <sheetName val="Summary"/>
      <sheetName val="01"/>
      <sheetName val="02 to 10"/>
      <sheetName val="11 to 20"/>
      <sheetName val="51 to 60"/>
      <sheetName val="31 to 40"/>
      <sheetName val="41 to 50"/>
      <sheetName val="61 to 70"/>
      <sheetName val="71 to 80"/>
      <sheetName val="81 to 90"/>
      <sheetName val="91 to 100"/>
      <sheetName val="A'Co"/>
      <sheetName val="B'Co"/>
      <sheetName val="C'Co"/>
      <sheetName val="D'Co"/>
      <sheetName val=" 'E'Co."/>
      <sheetName val=" 'F'Co"/>
      <sheetName val=" 'G'Co"/>
      <sheetName val="H'Co"/>
      <sheetName val="J'Co"/>
      <sheetName val="K'Co"/>
      <sheetName val="L'Co"/>
      <sheetName val="M'Co"/>
      <sheetName val="N'Co"/>
      <sheetName val="P'Co"/>
      <sheetName val="Q'Co"/>
      <sheetName val="R'Co"/>
      <sheetName val="S Co"/>
      <sheetName val="U"/>
      <sheetName val="V'Co"/>
      <sheetName val="W'Co"/>
      <sheetName val="X'Co"/>
      <sheetName val="Y'Co"/>
      <sheetName val="Z'Co"/>
      <sheetName val="Manual Recs (old)"/>
      <sheetName val="Manual Recs"/>
      <sheetName val="Manual Recs - 22 Lloyds acc"/>
      <sheetName val="TEMP"/>
      <sheetName val="Barclays"/>
      <sheetName val="Lloyds"/>
      <sheetName val="LloydsJ"/>
      <sheetName val="RBS"/>
      <sheetName val="USBANK"/>
      <sheetName val="Wells Fargo"/>
      <sheetName val="RBS International"/>
      <sheetName val="Metrobank"/>
      <sheetName val="Jersey Barc"/>
      <sheetName val="Sheet1"/>
      <sheetName val="Oracle"/>
      <sheetName val="OutstandingChqsCleared"/>
      <sheetName val="OutstandingChqsUncleared"/>
      <sheetName val="NOTES "/>
      <sheetName val="Sheet2"/>
      <sheetName val="LIST OF ACCOUNTS "/>
      <sheetName val="FINISHED Cash Movement - March "/>
      <sheetName val="02_to_10"/>
      <sheetName val="11_to_20"/>
      <sheetName val="51_to_60"/>
      <sheetName val="31_to_40"/>
      <sheetName val="41_to_50"/>
      <sheetName val="61_to_70"/>
      <sheetName val="71_to_80"/>
      <sheetName val="81_to_90"/>
      <sheetName val="91_to_100"/>
      <sheetName val="_'E'Co_"/>
      <sheetName val="_'F'Co"/>
      <sheetName val="_'G'Co"/>
      <sheetName val="S_Co"/>
      <sheetName val="Manual_Recs_(old)"/>
      <sheetName val="Manual_Recs"/>
      <sheetName val="Manual_Recs_-_22_Lloyds_acc"/>
      <sheetName val="Wells_Fargo"/>
      <sheetName val="RBS_International"/>
      <sheetName val="Jersey_Barc"/>
      <sheetName val="NOTES_"/>
      <sheetName val="LIST_OF_ACCOUNTS_"/>
      <sheetName val="FINISHED_Cash_Movement_-_March_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"/>
      <sheetName val="Template"/>
      <sheetName val="Jnl1 VAT"/>
      <sheetName val="Jnl2 Securitised Rents"/>
      <sheetName val="Jnl3 Expenses deducted"/>
      <sheetName val="Jnl4 Errors"/>
      <sheetName val="Jnl5 Unapplied cash"/>
      <sheetName val="Landlord Companies"/>
      <sheetName val="JPUTS"/>
      <sheetName val="Management Co's"/>
      <sheetName val="Other Companies"/>
      <sheetName val="Co. 01"/>
      <sheetName val="Jnl1_VAT"/>
      <sheetName val="Jnl2_Securitised_Rents"/>
      <sheetName val="Jnl3_Expenses_deducted"/>
      <sheetName val="Jnl4_Errors"/>
      <sheetName val="Jnl5_Unapplied_cash"/>
      <sheetName val="Landlord_Companies"/>
      <sheetName val="Management_Co's"/>
      <sheetName val="Other_Companies"/>
      <sheetName val="Co__01"/>
      <sheetName val="Jnl1_VAT1"/>
      <sheetName val="Jnl2_Securitised_Rents1"/>
      <sheetName val="Jnl3_Expenses_deducted1"/>
      <sheetName val="Jnl4_Errors1"/>
      <sheetName val="Jnl5_Unapplied_cash1"/>
      <sheetName val="Landlord_Companies1"/>
      <sheetName val="Management_Co's1"/>
      <sheetName val="Other_Companies1"/>
      <sheetName val="Co__011"/>
      <sheetName val="Jnl1_VAT2"/>
      <sheetName val="Jnl2_Securitised_Rents2"/>
      <sheetName val="Jnl3_Expenses_deducted2"/>
      <sheetName val="Jnl4_Errors2"/>
      <sheetName val="Jnl5_Unapplied_cash2"/>
      <sheetName val="Landlord_Companies2"/>
      <sheetName val="Management_Co's2"/>
      <sheetName val="Other_Companies2"/>
      <sheetName val="Co__012"/>
      <sheetName val="Jnl1_VAT3"/>
      <sheetName val="Jnl2_Securitised_Rents3"/>
      <sheetName val="Jnl3_Expenses_deducted3"/>
      <sheetName val="Jnl4_Errors3"/>
      <sheetName val="Jnl5_Unapplied_cash3"/>
      <sheetName val="Landlord_Companies3"/>
      <sheetName val="Management_Co's3"/>
      <sheetName val="Other_Companies3"/>
      <sheetName val="Co__013"/>
      <sheetName val="Jnl1_VAT4"/>
      <sheetName val="Jnl2_Securitised_Rents4"/>
      <sheetName val="Jnl3_Expenses_deducted4"/>
      <sheetName val="Jnl4_Errors4"/>
      <sheetName val="Jnl5_Unapplied_cash4"/>
      <sheetName val="Landlord_Companies4"/>
      <sheetName val="Management_Co's4"/>
      <sheetName val="Other_Companies4"/>
      <sheetName val="Co__014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 SHEET (2)"/>
      <sheetName val="PAYABLE-RECOVERABLE"/>
      <sheetName val="REPORTS"/>
      <sheetName val="FRONT SHEET"/>
      <sheetName val="Assumptions"/>
      <sheetName val="REVERSE"/>
      <sheetName val="NON REG"/>
      <sheetName val="IC INVOICES"/>
      <sheetName val="EXCEPTION NOTE"/>
      <sheetName val="IC INVOICES (new)"/>
      <sheetName val="Notes"/>
      <sheetName val="Contents"/>
      <sheetName val="Consolidation"/>
      <sheetName val="Sheet1"/>
      <sheetName val="CWCL Realloc"/>
      <sheetName val="CWI(3) 15"/>
      <sheetName val="CWCB LEASING (B1) B9"/>
      <sheetName val="Braeburn Ests DG - DON'T USE"/>
      <sheetName val="CWG (W Wharf Two) EP"/>
      <sheetName val="W Wharf Ltd Ptner WW"/>
      <sheetName val="Wood Wharf (Gen Ptnr) WQ"/>
      <sheetName val="W Wharf Vat Grp Summary"/>
      <sheetName val="DATE"/>
      <sheetName val="GL Bals Propman Aug 20"/>
      <sheetName val="GL INPUT"/>
      <sheetName val="GL OUTPUT"/>
      <sheetName val="AR OUTPUT INV"/>
      <sheetName val="AP IPUT INV"/>
      <sheetName val="Sheet5"/>
      <sheetName val="Jnl"/>
      <sheetName val="CW W Wharf B3 (GP) UA"/>
      <sheetName val="CW W Wharf B3 Ltd Ptner UD"/>
      <sheetName val="CW W Wharf B3 Summ UA &amp; UD"/>
      <sheetName val="CW W Wharf D1-D2 GP UE"/>
      <sheetName val="CW W Wharf D1-D2 Ltd Ptner UH"/>
      <sheetName val="CW W Wharf D1-D2 Summ UE &amp; UH"/>
      <sheetName val="CW W Wharf D3D4 Dev Co UY"/>
      <sheetName val="CW W Wharf C2 Dev Co Ltd UW"/>
      <sheetName val="CW W Wharf B3 Develop Co WB"/>
      <sheetName val="Vertus A2 Develop Ltd VA"/>
      <sheetName val="Vertus NFL Ltd VN"/>
      <sheetName val="CW 10 Park Drive Ltd WC"/>
      <sheetName val="CW 10 Park Drive Ltd Propman 1S"/>
      <sheetName val="CW 10 Park Drive Summ (WC &amp; 1S)"/>
      <sheetName val="CW W W D1-D2 Develop Co WD"/>
      <sheetName val="W W Infra Develop Co1 WG"/>
      <sheetName val="CW One Park Drive Ltd WA"/>
      <sheetName val="CW One Park Drive Propman 1R"/>
      <sheetName val="CW One Park Drive Summary  "/>
      <sheetName val="CW W Wharf G10 Dev Co XV"/>
      <sheetName val="Vertus A2 Ltd VJ"/>
      <sheetName val="W Wharf Infra Dev Co 2 Ltd YA"/>
      <sheetName val="CW Water Sq Ltd HL"/>
      <sheetName val="CW WWharf B2 Ltd XY"/>
      <sheetName val="CW Wood Wharf G1 G4 Ltd XM"/>
      <sheetName val="CW WWharf G10 Ltd XU"/>
      <sheetName val="CW WWharf L1 Ltd XW"/>
      <sheetName val="CW W Wharf F2 Ltd UK"/>
      <sheetName val="Vertus E1-E2 Develop Co VE"/>
      <sheetName val="CW W Wharf H1 Ltd UL"/>
      <sheetName val="CW W Wharf H4 Ltd UM"/>
      <sheetName val="Vertus G3 Develop Co Ltd VG"/>
      <sheetName val="CW W Wharf H2 Ltd UN"/>
      <sheetName val="Vertus G3 Ltd VL"/>
      <sheetName val="Vertus E1-E2 Ltd VK"/>
      <sheetName val="Vertus NFL Develop Co Ltd VD"/>
      <sheetName val="WW No1 B Ptner WV"/>
      <sheetName val="WW (No 1B) Ptnrship WY"/>
      <sheetName val="WW No 1B Ptnr Summ WV &amp; WY"/>
      <sheetName val="W Wharf H3 Ltd US"/>
      <sheetName val="CW W Wharf D3-D4 Ltd UX"/>
      <sheetName val="CW W Wharf L1 Dev Co Ltd XX"/>
      <sheetName val="W W Est Mgt Ltd WE"/>
      <sheetName val="WWMCo  WM"/>
      <sheetName val="CW Water Sq Develop Co Ltd HM"/>
      <sheetName val="CW Prop Burdett Rd EQ"/>
      <sheetName val="CW Prop (Barchester) GF"/>
      <sheetName val="CW W Wharf H3 Develop Co Ltd UT"/>
      <sheetName val="CW W Wharf C2 Ltd UV"/>
      <sheetName val="VM Resi MGT Ltd VM"/>
      <sheetName val="W Wharf Prop Holdings WN"/>
      <sheetName val="W Wharf Prop Co Ltd WP"/>
      <sheetName val="W Wharf Prop Summary "/>
      <sheetName val="CWC B3 Hotel UU"/>
      <sheetName val="Pymt Summary"/>
      <sheetName val="1418041 Bad Debts"/>
      <sheetName val="Adjustments"/>
      <sheetName val="Clear Reconciling Bals"/>
      <sheetName val="CW W Wharf G5-6 Ltd XP"/>
      <sheetName val="CW W Wharf G7 Ltd XS"/>
      <sheetName val="Edyn (Wood Wharf B2) I Ltd TT"/>
      <sheetName val="Edyn (Wood Wharf B2) II Ltd TU"/>
      <sheetName val="Edyn (W Wharf I &amp; II SummTT &amp;TU"/>
      <sheetName val="CHAPS FORM Co UA &amp; UD"/>
      <sheetName val="CHAPS FORM Co UE &amp; UH"/>
      <sheetName val="CHAPS FORM Co VA"/>
      <sheetName val="CHAPS FORM Co WB"/>
      <sheetName val="CHAPS FORM Co WD"/>
      <sheetName val="CHAPS FORM Co WG"/>
      <sheetName val="CHAPS FORM Co VE"/>
      <sheetName val="CHAPS FORM Co VJ"/>
      <sheetName val="Sheet3"/>
      <sheetName val="Vertus Resi Mgt Ltd NO USE"/>
      <sheetName val="Guidecourt &amp; Jolly ZA"/>
      <sheetName val="WLCo WL (CW Wood Wharf C2 Ltd)"/>
      <sheetName val="Jollygate &amp; Hplan ZB"/>
      <sheetName val="Jollygate Ltd WJ"/>
      <sheetName val="Manual Adjs"/>
      <sheetName val="Sheet2"/>
      <sheetName val="Sheet4"/>
      <sheetName val="FRONT_SHEET_(2)"/>
      <sheetName val="FRONT_SHEET"/>
      <sheetName val="NON_REG"/>
      <sheetName val="IC_INVOICES"/>
      <sheetName val="EXCEPTION_NOTE"/>
      <sheetName val="IC_INVOICES_(new)"/>
      <sheetName val="CWCL_Realloc"/>
      <sheetName val="CWI(3)_15"/>
      <sheetName val="CWCB_LEASING_(B1)_B9"/>
      <sheetName val="Braeburn_Ests_DG_-_DON'T_USE"/>
      <sheetName val="CWG_(W_Wharf_Two)_EP"/>
      <sheetName val="W_Wharf_Ltd_Ptner_WW"/>
      <sheetName val="Wood_Wharf_(Gen_Ptnr)_WQ"/>
      <sheetName val="W_Wharf_Vat_Grp_Summary"/>
      <sheetName val="GL_Bals_Propman_Aug_20"/>
      <sheetName val="GL_INPUT"/>
      <sheetName val="GL_OUTPUT"/>
      <sheetName val="AR_OUTPUT_INV"/>
      <sheetName val="AP_IPUT_INV"/>
      <sheetName val="CW_W_Wharf_B3_(GP)_UA"/>
      <sheetName val="CW_W_Wharf_B3_Ltd_Ptner_UD"/>
      <sheetName val="CW_W_Wharf_B3_Summ_UA_&amp;_UD"/>
      <sheetName val="CW_W_Wharf_D1-D2_GP_UE"/>
      <sheetName val="CW_W_Wharf_D1-D2_Ltd_Ptner_UH"/>
      <sheetName val="CW_W_Wharf_D1-D2_Summ_UE_&amp;_UH"/>
      <sheetName val="CW_W_Wharf_D3D4_Dev_Co_UY"/>
      <sheetName val="CW_W_Wharf_C2_Dev_Co_Ltd_UW"/>
      <sheetName val="CW_W_Wharf_B3_Develop_Co_WB"/>
      <sheetName val="Vertus_A2_Develop_Ltd_VA"/>
      <sheetName val="Vertus_NFL_Ltd_VN"/>
      <sheetName val="CW_10_Park_Drive_Ltd_WC"/>
      <sheetName val="CW_10_Park_Drive_Ltd_Propman_1S"/>
      <sheetName val="CW_10_Park_Drive_Summ_(WC_&amp;_1S)"/>
      <sheetName val="CW_W_W_D1-D2_Develop_Co_WD"/>
      <sheetName val="W_W_Infra_Develop_Co1_WG"/>
      <sheetName val="CW_One_Park_Drive_Ltd_WA"/>
      <sheetName val="CW_One_Park_Drive_Propman_1R"/>
      <sheetName val="CW_One_Park_Drive_Summary__"/>
      <sheetName val="CW_W_Wharf_G10_Dev_Co_XV"/>
      <sheetName val="Vertus_A2_Ltd_VJ"/>
      <sheetName val="W_Wharf_Infra_Dev_Co_2_Ltd_YA"/>
      <sheetName val="CW_Water_Sq_Ltd_HL"/>
      <sheetName val="CW_WWharf_B2_Ltd_XY"/>
      <sheetName val="CW_Wood_Wharf_G1_G4_Ltd_XM"/>
      <sheetName val="CW_WWharf_G10_Ltd_XU"/>
      <sheetName val="CW_WWharf_L1_Ltd_XW"/>
      <sheetName val="CW_W_Wharf_F2_Ltd_UK"/>
      <sheetName val="Vertus_E1-E2_Develop_Co_VE"/>
      <sheetName val="CW_W_Wharf_H1_Ltd_UL"/>
      <sheetName val="CW_W_Wharf_H4_Ltd_UM"/>
      <sheetName val="Vertus_G3_Develop_Co_Ltd_VG"/>
      <sheetName val="CW_W_Wharf_H2_Ltd_UN"/>
      <sheetName val="Vertus_G3_Ltd_VL"/>
      <sheetName val="Vertus_E1-E2_Ltd_VK"/>
      <sheetName val="Vertus_NFL_Develop_Co_Ltd_VD"/>
      <sheetName val="WW_No1_B_Ptner_WV"/>
      <sheetName val="WW_(No_1B)_Ptnrship_WY"/>
      <sheetName val="WW_No_1B_Ptnr_Summ_WV_&amp;_WY"/>
      <sheetName val="W_Wharf_H3_Ltd_US"/>
      <sheetName val="CW_W_Wharf_D3-D4_Ltd_UX"/>
      <sheetName val="CW_W_Wharf_L1_Dev_Co_Ltd_XX"/>
      <sheetName val="W_W_Est_Mgt_Ltd_WE"/>
      <sheetName val="WWMCo__WM"/>
      <sheetName val="CW_Water_Sq_Develop_Co_Ltd_HM"/>
      <sheetName val="CW_Prop_Burdett_Rd_EQ"/>
      <sheetName val="CW_Prop_(Barchester)_GF"/>
      <sheetName val="CW_W_Wharf_H3_Develop_Co_Ltd_UT"/>
      <sheetName val="CW_W_Wharf_C2_Ltd_UV"/>
      <sheetName val="VM_Resi_MGT_Ltd_VM"/>
      <sheetName val="W_Wharf_Prop_Holdings_WN"/>
      <sheetName val="W_Wharf_Prop_Co_Ltd_WP"/>
      <sheetName val="W_Wharf_Prop_Summary_"/>
      <sheetName val="CWC_B3_Hotel_UU"/>
      <sheetName val="Pymt_Summary"/>
      <sheetName val="1418041_Bad_Debts"/>
      <sheetName val="Clear_Reconciling_Bals"/>
      <sheetName val="CW_W_Wharf_G5-6_Ltd_XP"/>
      <sheetName val="CW_W_Wharf_G7_Ltd_XS"/>
      <sheetName val="Edyn_(Wood_Wharf_B2)_I_Ltd_TT"/>
      <sheetName val="Edyn_(Wood_Wharf_B2)_II_Ltd_TU"/>
      <sheetName val="Edyn_(W_Wharf_I_&amp;_II_SummTT_&amp;TU"/>
      <sheetName val="CHAPS_FORM_Co_UA_&amp;_UD"/>
      <sheetName val="CHAPS_FORM_Co_UE_&amp;_UH"/>
      <sheetName val="CHAPS_FORM_Co_VA"/>
      <sheetName val="CHAPS_FORM_Co_WB"/>
      <sheetName val="CHAPS_FORM_Co_WD"/>
      <sheetName val="CHAPS_FORM_Co_WG"/>
      <sheetName val="CHAPS_FORM_Co_VE"/>
      <sheetName val="CHAPS_FORM_Co_VJ"/>
      <sheetName val="Vertus_Resi_Mgt_Ltd_NO_USE"/>
      <sheetName val="Guidecourt_&amp;_Jolly_ZA"/>
      <sheetName val="WLCo_WL_(CW_Wood_Wharf_C2_Ltd)"/>
      <sheetName val="Jollygate_&amp;_Hplan_ZB"/>
      <sheetName val="Jollygate_Ltd_WJ"/>
      <sheetName val="Manual_Adjs"/>
      <sheetName val="FRONT_SHEET_(2)1"/>
      <sheetName val="FRONT_SHEET1"/>
      <sheetName val="NON_REG1"/>
      <sheetName val="IC_INVOICES1"/>
      <sheetName val="EXCEPTION_NOTE1"/>
      <sheetName val="IC_INVOICES_(new)1"/>
      <sheetName val="CWCL_Realloc1"/>
      <sheetName val="CWI(3)_151"/>
      <sheetName val="CWCB_LEASING_(B1)_B91"/>
      <sheetName val="Braeburn_Ests_DG_-_DON'T_USE1"/>
      <sheetName val="CWG_(W_Wharf_Two)_EP1"/>
      <sheetName val="W_Wharf_Ltd_Ptner_WW1"/>
      <sheetName val="Wood_Wharf_(Gen_Ptnr)_WQ1"/>
      <sheetName val="W_Wharf_Vat_Grp_Summary1"/>
      <sheetName val="GL_Bals_Propman_Aug_201"/>
      <sheetName val="GL_INPUT1"/>
      <sheetName val="GL_OUTPUT1"/>
      <sheetName val="AR_OUTPUT_INV1"/>
      <sheetName val="AP_IPUT_INV1"/>
      <sheetName val="CW_W_Wharf_B3_(GP)_UA1"/>
      <sheetName val="CW_W_Wharf_B3_Ltd_Ptner_UD1"/>
      <sheetName val="CW_W_Wharf_B3_Summ_UA_&amp;_UD1"/>
      <sheetName val="CW_W_Wharf_D1-D2_GP_UE1"/>
      <sheetName val="CW_W_Wharf_D1-D2_Ltd_Ptner_UH1"/>
      <sheetName val="CW_W_Wharf_D1-D2_Summ_UE_&amp;_UH1"/>
      <sheetName val="CW_W_Wharf_D3D4_Dev_Co_UY1"/>
      <sheetName val="CW_W_Wharf_C2_Dev_Co_Ltd_UW1"/>
      <sheetName val="CW_W_Wharf_B3_Develop_Co_WB1"/>
      <sheetName val="Vertus_A2_Develop_Ltd_VA1"/>
      <sheetName val="Vertus_NFL_Ltd_VN1"/>
      <sheetName val="CW_10_Park_Drive_Ltd_WC1"/>
      <sheetName val="CW_10_Park_Drive_Ltd_Propman_11"/>
      <sheetName val="CW_10_Park_Drive_Summ_(WC_&amp;_1S1"/>
      <sheetName val="CW_W_W_D1-D2_Develop_Co_WD1"/>
      <sheetName val="W_W_Infra_Develop_Co1_WG1"/>
      <sheetName val="CW_One_Park_Drive_Ltd_WA1"/>
      <sheetName val="CW_One_Park_Drive_Propman_1R1"/>
      <sheetName val="CW_One_Park_Drive_Summary__1"/>
      <sheetName val="CW_W_Wharf_G10_Dev_Co_XV1"/>
      <sheetName val="Vertus_A2_Ltd_VJ1"/>
      <sheetName val="W_Wharf_Infra_Dev_Co_2_Ltd_YA1"/>
      <sheetName val="CW_Water_Sq_Ltd_HL1"/>
      <sheetName val="CW_WWharf_B2_Ltd_XY1"/>
      <sheetName val="CW_Wood_Wharf_G1_G4_Ltd_XM1"/>
      <sheetName val="CW_WWharf_G10_Ltd_XU1"/>
      <sheetName val="CW_WWharf_L1_Ltd_XW1"/>
      <sheetName val="CW_W_Wharf_F2_Ltd_UK1"/>
      <sheetName val="Vertus_E1-E2_Develop_Co_VE1"/>
      <sheetName val="CW_W_Wharf_H1_Ltd_UL1"/>
      <sheetName val="CW_W_Wharf_H4_Ltd_UM1"/>
      <sheetName val="Vertus_G3_Develop_Co_Ltd_VG1"/>
      <sheetName val="CW_W_Wharf_H2_Ltd_UN1"/>
      <sheetName val="Vertus_G3_Ltd_VL1"/>
      <sheetName val="Vertus_E1-E2_Ltd_VK1"/>
      <sheetName val="Vertus_NFL_Develop_Co_Ltd_VD1"/>
      <sheetName val="WW_No1_B_Ptner_WV1"/>
      <sheetName val="WW_(No_1B)_Ptnrship_WY1"/>
      <sheetName val="WW_No_1B_Ptnr_Summ_WV_&amp;_WY1"/>
      <sheetName val="W_Wharf_H3_Ltd_US1"/>
      <sheetName val="CW_W_Wharf_D3-D4_Ltd_UX1"/>
      <sheetName val="CW_W_Wharf_L1_Dev_Co_Ltd_XX1"/>
      <sheetName val="W_W_Est_Mgt_Ltd_WE1"/>
      <sheetName val="WWMCo__WM1"/>
      <sheetName val="CW_Water_Sq_Develop_Co_Ltd_HM1"/>
      <sheetName val="CW_Prop_Burdett_Rd_EQ1"/>
      <sheetName val="CW_Prop_(Barchester)_GF1"/>
      <sheetName val="CW_W_Wharf_H3_Develop_Co_Ltd_U1"/>
      <sheetName val="CW_W_Wharf_C2_Ltd_UV1"/>
      <sheetName val="VM_Resi_MGT_Ltd_VM1"/>
      <sheetName val="W_Wharf_Prop_Holdings_WN1"/>
      <sheetName val="W_Wharf_Prop_Co_Ltd_WP1"/>
      <sheetName val="W_Wharf_Prop_Summary_1"/>
      <sheetName val="CWC_B3_Hotel_UU1"/>
      <sheetName val="Pymt_Summary1"/>
      <sheetName val="1418041_Bad_Debts1"/>
      <sheetName val="Clear_Reconciling_Bals1"/>
      <sheetName val="CW_W_Wharf_G5-6_Ltd_XP1"/>
      <sheetName val="CW_W_Wharf_G7_Ltd_XS1"/>
      <sheetName val="Edyn_(Wood_Wharf_B2)_I_Ltd_TT1"/>
      <sheetName val="Edyn_(Wood_Wharf_B2)_II_Ltd_TU1"/>
      <sheetName val="Edyn_(W_Wharf_I_&amp;_II_SummTT_&amp;T1"/>
      <sheetName val="CHAPS_FORM_Co_UA_&amp;_UD1"/>
      <sheetName val="CHAPS_FORM_Co_UE_&amp;_UH1"/>
      <sheetName val="CHAPS_FORM_Co_VA1"/>
      <sheetName val="CHAPS_FORM_Co_WB1"/>
      <sheetName val="CHAPS_FORM_Co_WD1"/>
      <sheetName val="CHAPS_FORM_Co_WG1"/>
      <sheetName val="CHAPS_FORM_Co_VE1"/>
      <sheetName val="CHAPS_FORM_Co_VJ1"/>
      <sheetName val="Vertus_Resi_Mgt_Ltd_NO_USE1"/>
      <sheetName val="Guidecourt_&amp;_Jolly_ZA1"/>
      <sheetName val="WLCo_WL_(CW_Wood_Wharf_C2_Ltd)1"/>
      <sheetName val="Jollygate_&amp;_Hplan_ZB1"/>
      <sheetName val="Jollygate_Ltd_WJ1"/>
      <sheetName val="Manual_Adjs1"/>
      <sheetName val="FRONT_SHEET_(2)2"/>
      <sheetName val="FRONT_SHEET2"/>
      <sheetName val="NON_REG2"/>
      <sheetName val="IC_INVOICES2"/>
      <sheetName val="EXCEPTION_NOTE2"/>
      <sheetName val="IC_INVOICES_(new)2"/>
      <sheetName val="CWCL_Realloc2"/>
      <sheetName val="CWI(3)_152"/>
      <sheetName val="CWCB_LEASING_(B1)_B92"/>
      <sheetName val="Braeburn_Ests_DG_-_DON'T_USE2"/>
      <sheetName val="CWG_(W_Wharf_Two)_EP2"/>
      <sheetName val="W_Wharf_Ltd_Ptner_WW2"/>
      <sheetName val="Wood_Wharf_(Gen_Ptnr)_WQ2"/>
      <sheetName val="W_Wharf_Vat_Grp_Summary2"/>
      <sheetName val="GL_Bals_Propman_Aug_202"/>
      <sheetName val="GL_INPUT2"/>
      <sheetName val="GL_OUTPUT2"/>
      <sheetName val="AR_OUTPUT_INV2"/>
      <sheetName val="AP_IPUT_INV2"/>
      <sheetName val="CW_W_Wharf_B3_(GP)_UA2"/>
      <sheetName val="CW_W_Wharf_B3_Ltd_Ptner_UD2"/>
      <sheetName val="CW_W_Wharf_B3_Summ_UA_&amp;_UD2"/>
      <sheetName val="CW_W_Wharf_D1-D2_GP_UE2"/>
      <sheetName val="CW_W_Wharf_D1-D2_Ltd_Ptner_UH2"/>
      <sheetName val="CW_W_Wharf_D1-D2_Summ_UE_&amp;_UH2"/>
      <sheetName val="CW_W_Wharf_D3D4_Dev_Co_UY2"/>
      <sheetName val="CW_W_Wharf_C2_Dev_Co_Ltd_UW2"/>
      <sheetName val="CW_W_Wharf_B3_Develop_Co_WB2"/>
      <sheetName val="Vertus_A2_Develop_Ltd_VA2"/>
      <sheetName val="Vertus_NFL_Ltd_VN2"/>
      <sheetName val="CW_10_Park_Drive_Ltd_WC2"/>
      <sheetName val="CW_10_Park_Drive_Ltd_Propman_12"/>
      <sheetName val="CW_10_Park_Drive_Summ_(WC_&amp;_1S2"/>
      <sheetName val="CW_W_W_D1-D2_Develop_Co_WD2"/>
      <sheetName val="W_W_Infra_Develop_Co1_WG2"/>
      <sheetName val="CW_One_Park_Drive_Ltd_WA2"/>
      <sheetName val="CW_One_Park_Drive_Propman_1R2"/>
      <sheetName val="CW_One_Park_Drive_Summary__2"/>
      <sheetName val="CW_W_Wharf_G10_Dev_Co_XV2"/>
      <sheetName val="Vertus_A2_Ltd_VJ2"/>
      <sheetName val="W_Wharf_Infra_Dev_Co_2_Ltd_YA2"/>
      <sheetName val="CW_Water_Sq_Ltd_HL2"/>
      <sheetName val="CW_WWharf_B2_Ltd_XY2"/>
      <sheetName val="CW_Wood_Wharf_G1_G4_Ltd_XM2"/>
      <sheetName val="CW_WWharf_G10_Ltd_XU2"/>
      <sheetName val="CW_WWharf_L1_Ltd_XW2"/>
      <sheetName val="CW_W_Wharf_F2_Ltd_UK2"/>
      <sheetName val="Vertus_E1-E2_Develop_Co_VE2"/>
      <sheetName val="CW_W_Wharf_H1_Ltd_UL2"/>
      <sheetName val="CW_W_Wharf_H4_Ltd_UM2"/>
      <sheetName val="Vertus_G3_Develop_Co_Ltd_VG2"/>
      <sheetName val="CW_W_Wharf_H2_Ltd_UN2"/>
      <sheetName val="Vertus_G3_Ltd_VL2"/>
      <sheetName val="Vertus_E1-E2_Ltd_VK2"/>
      <sheetName val="Vertus_NFL_Develop_Co_Ltd_VD2"/>
      <sheetName val="WW_No1_B_Ptner_WV2"/>
      <sheetName val="WW_(No_1B)_Ptnrship_WY2"/>
      <sheetName val="WW_No_1B_Ptnr_Summ_WV_&amp;_WY2"/>
      <sheetName val="W_Wharf_H3_Ltd_US2"/>
      <sheetName val="CW_W_Wharf_D3-D4_Ltd_UX2"/>
      <sheetName val="CW_W_Wharf_L1_Dev_Co_Ltd_XX2"/>
      <sheetName val="W_W_Est_Mgt_Ltd_WE2"/>
      <sheetName val="WWMCo__WM2"/>
      <sheetName val="CW_Water_Sq_Develop_Co_Ltd_HM2"/>
      <sheetName val="CW_Prop_Burdett_Rd_EQ2"/>
      <sheetName val="CW_Prop_(Barchester)_GF2"/>
      <sheetName val="CW_W_Wharf_H3_Develop_Co_Ltd_U2"/>
      <sheetName val="CW_W_Wharf_C2_Ltd_UV2"/>
      <sheetName val="VM_Resi_MGT_Ltd_VM2"/>
      <sheetName val="W_Wharf_Prop_Holdings_WN2"/>
      <sheetName val="W_Wharf_Prop_Co_Ltd_WP2"/>
      <sheetName val="W_Wharf_Prop_Summary_2"/>
      <sheetName val="CWC_B3_Hotel_UU2"/>
      <sheetName val="Pymt_Summary2"/>
      <sheetName val="1418041_Bad_Debts2"/>
      <sheetName val="Clear_Reconciling_Bals2"/>
      <sheetName val="CW_W_Wharf_G5-6_Ltd_XP2"/>
      <sheetName val="CW_W_Wharf_G7_Ltd_XS2"/>
      <sheetName val="Edyn_(Wood_Wharf_B2)_I_Ltd_TT2"/>
      <sheetName val="Edyn_(Wood_Wharf_B2)_II_Ltd_TU2"/>
      <sheetName val="Edyn_(W_Wharf_I_&amp;_II_SummTT_&amp;T2"/>
      <sheetName val="CHAPS_FORM_Co_UA_&amp;_UD2"/>
      <sheetName val="CHAPS_FORM_Co_UE_&amp;_UH2"/>
      <sheetName val="CHAPS_FORM_Co_VA2"/>
      <sheetName val="CHAPS_FORM_Co_WB2"/>
      <sheetName val="CHAPS_FORM_Co_WD2"/>
      <sheetName val="CHAPS_FORM_Co_WG2"/>
      <sheetName val="CHAPS_FORM_Co_VE2"/>
      <sheetName val="CHAPS_FORM_Co_VJ2"/>
      <sheetName val="Vertus_Resi_Mgt_Ltd_NO_USE2"/>
      <sheetName val="Guidecourt_&amp;_Jolly_ZA2"/>
      <sheetName val="WLCo_WL_(CW_Wood_Wharf_C2_Ltd)2"/>
      <sheetName val="Jollygate_&amp;_Hplan_ZB2"/>
      <sheetName val="Jollygate_Ltd_WJ2"/>
      <sheetName val="Manual_Adjs2"/>
      <sheetName val="FRONT_SHEET_(2)3"/>
      <sheetName val="FRONT_SHEET3"/>
      <sheetName val="NON_REG3"/>
      <sheetName val="IC_INVOICES3"/>
      <sheetName val="EXCEPTION_NOTE3"/>
      <sheetName val="IC_INVOICES_(new)3"/>
      <sheetName val="CWCL_Realloc3"/>
      <sheetName val="CWI(3)_153"/>
      <sheetName val="CWCB_LEASING_(B1)_B93"/>
      <sheetName val="Braeburn_Ests_DG_-_DON'T_USE3"/>
      <sheetName val="CWG_(W_Wharf_Two)_EP3"/>
      <sheetName val="W_Wharf_Ltd_Ptner_WW3"/>
      <sheetName val="Wood_Wharf_(Gen_Ptnr)_WQ3"/>
      <sheetName val="W_Wharf_Vat_Grp_Summary3"/>
      <sheetName val="GL_Bals_Propman_Aug_203"/>
      <sheetName val="GL_INPUT3"/>
      <sheetName val="GL_OUTPUT3"/>
      <sheetName val="AR_OUTPUT_INV3"/>
      <sheetName val="AP_IPUT_INV3"/>
      <sheetName val="CW_W_Wharf_B3_(GP)_UA3"/>
      <sheetName val="CW_W_Wharf_B3_Ltd_Ptner_UD3"/>
      <sheetName val="CW_W_Wharf_B3_Summ_UA_&amp;_UD3"/>
      <sheetName val="CW_W_Wharf_D1-D2_GP_UE3"/>
      <sheetName val="CW_W_Wharf_D1-D2_Ltd_Ptner_UH3"/>
      <sheetName val="CW_W_Wharf_D1-D2_Summ_UE_&amp;_UH3"/>
      <sheetName val="CW_W_Wharf_D3D4_Dev_Co_UY3"/>
      <sheetName val="CW_W_Wharf_C2_Dev_Co_Ltd_UW3"/>
      <sheetName val="CW_W_Wharf_B3_Develop_Co_WB3"/>
      <sheetName val="Vertus_A2_Develop_Ltd_VA3"/>
      <sheetName val="Vertus_NFL_Ltd_VN3"/>
      <sheetName val="CW_10_Park_Drive_Ltd_WC3"/>
      <sheetName val="CW_10_Park_Drive_Ltd_Propman_13"/>
      <sheetName val="CW_10_Park_Drive_Summ_(WC_&amp;_1S3"/>
      <sheetName val="CW_W_W_D1-D2_Develop_Co_WD3"/>
      <sheetName val="W_W_Infra_Develop_Co1_WG3"/>
      <sheetName val="CW_One_Park_Drive_Ltd_WA3"/>
      <sheetName val="CW_One_Park_Drive_Propman_1R3"/>
      <sheetName val="CW_One_Park_Drive_Summary__3"/>
      <sheetName val="CW_W_Wharf_G10_Dev_Co_XV3"/>
      <sheetName val="Vertus_A2_Ltd_VJ3"/>
      <sheetName val="W_Wharf_Infra_Dev_Co_2_Ltd_YA3"/>
      <sheetName val="CW_Water_Sq_Ltd_HL3"/>
      <sheetName val="CW_WWharf_B2_Ltd_XY3"/>
      <sheetName val="CW_Wood_Wharf_G1_G4_Ltd_XM3"/>
      <sheetName val="CW_WWharf_G10_Ltd_XU3"/>
      <sheetName val="CW_WWharf_L1_Ltd_XW3"/>
      <sheetName val="CW_W_Wharf_F2_Ltd_UK3"/>
      <sheetName val="Vertus_E1-E2_Develop_Co_VE3"/>
      <sheetName val="CW_W_Wharf_H1_Ltd_UL3"/>
      <sheetName val="CW_W_Wharf_H4_Ltd_UM3"/>
      <sheetName val="Vertus_G3_Develop_Co_Ltd_VG3"/>
      <sheetName val="CW_W_Wharf_H2_Ltd_UN3"/>
      <sheetName val="Vertus_G3_Ltd_VL3"/>
      <sheetName val="Vertus_E1-E2_Ltd_VK3"/>
      <sheetName val="Vertus_NFL_Develop_Co_Ltd_VD3"/>
      <sheetName val="WW_No1_B_Ptner_WV3"/>
      <sheetName val="WW_(No_1B)_Ptnrship_WY3"/>
      <sheetName val="WW_No_1B_Ptnr_Summ_WV_&amp;_WY3"/>
      <sheetName val="W_Wharf_H3_Ltd_US3"/>
      <sheetName val="CW_W_Wharf_D3-D4_Ltd_UX3"/>
      <sheetName val="CW_W_Wharf_L1_Dev_Co_Ltd_XX3"/>
      <sheetName val="W_W_Est_Mgt_Ltd_WE3"/>
      <sheetName val="WWMCo__WM3"/>
      <sheetName val="CW_Water_Sq_Develop_Co_Ltd_HM3"/>
      <sheetName val="CW_Prop_Burdett_Rd_EQ3"/>
      <sheetName val="CW_Prop_(Barchester)_GF3"/>
      <sheetName val="CW_W_Wharf_H3_Develop_Co_Ltd_U3"/>
      <sheetName val="CW_W_Wharf_C2_Ltd_UV3"/>
      <sheetName val="VM_Resi_MGT_Ltd_VM3"/>
      <sheetName val="W_Wharf_Prop_Holdings_WN3"/>
      <sheetName val="W_Wharf_Prop_Co_Ltd_WP3"/>
      <sheetName val="W_Wharf_Prop_Summary_3"/>
      <sheetName val="CWC_B3_Hotel_UU3"/>
      <sheetName val="Pymt_Summary3"/>
      <sheetName val="1418041_Bad_Debts3"/>
      <sheetName val="Clear_Reconciling_Bals3"/>
      <sheetName val="CW_W_Wharf_G5-6_Ltd_XP3"/>
      <sheetName val="CW_W_Wharf_G7_Ltd_XS3"/>
      <sheetName val="Edyn_(Wood_Wharf_B2)_I_Ltd_TT3"/>
      <sheetName val="Edyn_(Wood_Wharf_B2)_II_Ltd_TU3"/>
      <sheetName val="Edyn_(W_Wharf_I_&amp;_II_SummTT_&amp;T3"/>
      <sheetName val="CHAPS_FORM_Co_UA_&amp;_UD3"/>
      <sheetName val="CHAPS_FORM_Co_UE_&amp;_UH3"/>
      <sheetName val="CHAPS_FORM_Co_VA3"/>
      <sheetName val="CHAPS_FORM_Co_WB3"/>
      <sheetName val="CHAPS_FORM_Co_WD3"/>
      <sheetName val="CHAPS_FORM_Co_WG3"/>
      <sheetName val="CHAPS_FORM_Co_VE3"/>
      <sheetName val="CHAPS_FORM_Co_VJ3"/>
      <sheetName val="Vertus_Resi_Mgt_Ltd_NO_USE3"/>
      <sheetName val="Guidecourt_&amp;_Jolly_ZA3"/>
      <sheetName val="WLCo_WL_(CW_Wood_Wharf_C2_Ltd)3"/>
      <sheetName val="Jollygate_&amp;_Hplan_ZB3"/>
      <sheetName val="Jollygate_Ltd_WJ3"/>
      <sheetName val="Manual_Adjs3"/>
      <sheetName val="FRONT_SHEET_(2)4"/>
      <sheetName val="FRONT_SHEET4"/>
      <sheetName val="NON_REG4"/>
      <sheetName val="IC_INVOICES4"/>
      <sheetName val="EXCEPTION_NOTE4"/>
      <sheetName val="IC_INVOICES_(new)4"/>
      <sheetName val="CWCL_Realloc4"/>
      <sheetName val="CWI(3)_154"/>
      <sheetName val="CWCB_LEASING_(B1)_B94"/>
      <sheetName val="Braeburn_Ests_DG_-_DON'T_USE4"/>
      <sheetName val="CWG_(W_Wharf_Two)_EP4"/>
      <sheetName val="W_Wharf_Ltd_Ptner_WW4"/>
      <sheetName val="Wood_Wharf_(Gen_Ptnr)_WQ4"/>
      <sheetName val="W_Wharf_Vat_Grp_Summary4"/>
      <sheetName val="GL_Bals_Propman_Aug_204"/>
      <sheetName val="GL_INPUT4"/>
      <sheetName val="GL_OUTPUT4"/>
      <sheetName val="AR_OUTPUT_INV4"/>
      <sheetName val="AP_IPUT_INV4"/>
      <sheetName val="CW_W_Wharf_B3_(GP)_UA4"/>
      <sheetName val="CW_W_Wharf_B3_Ltd_Ptner_UD4"/>
      <sheetName val="CW_W_Wharf_B3_Summ_UA_&amp;_UD4"/>
      <sheetName val="CW_W_Wharf_D1-D2_GP_UE4"/>
      <sheetName val="CW_W_Wharf_D1-D2_Ltd_Ptner_UH4"/>
      <sheetName val="CW_W_Wharf_D1-D2_Summ_UE_&amp;_UH4"/>
      <sheetName val="CW_W_Wharf_D3D4_Dev_Co_UY4"/>
      <sheetName val="CW_W_Wharf_C2_Dev_Co_Ltd_UW4"/>
      <sheetName val="CW_W_Wharf_B3_Develop_Co_WB4"/>
      <sheetName val="Vertus_A2_Develop_Ltd_VA4"/>
      <sheetName val="Vertus_NFL_Ltd_VN4"/>
      <sheetName val="CW_10_Park_Drive_Ltd_WC4"/>
      <sheetName val="CW_10_Park_Drive_Ltd_Propman_14"/>
      <sheetName val="CW_10_Park_Drive_Summ_(WC_&amp;_1S4"/>
      <sheetName val="CW_W_W_D1-D2_Develop_Co_WD4"/>
      <sheetName val="W_W_Infra_Develop_Co1_WG4"/>
      <sheetName val="CW_One_Park_Drive_Ltd_WA4"/>
      <sheetName val="CW_One_Park_Drive_Propman_1R4"/>
      <sheetName val="CW_One_Park_Drive_Summary__4"/>
      <sheetName val="CW_W_Wharf_G10_Dev_Co_XV4"/>
      <sheetName val="Vertus_A2_Ltd_VJ4"/>
      <sheetName val="W_Wharf_Infra_Dev_Co_2_Ltd_YA4"/>
      <sheetName val="CW_Water_Sq_Ltd_HL4"/>
      <sheetName val="CW_WWharf_B2_Ltd_XY4"/>
      <sheetName val="CW_Wood_Wharf_G1_G4_Ltd_XM4"/>
      <sheetName val="CW_WWharf_G10_Ltd_XU4"/>
      <sheetName val="CW_WWharf_L1_Ltd_XW4"/>
      <sheetName val="CW_W_Wharf_F2_Ltd_UK4"/>
      <sheetName val="Vertus_E1-E2_Develop_Co_VE4"/>
      <sheetName val="CW_W_Wharf_H1_Ltd_UL4"/>
      <sheetName val="CW_W_Wharf_H4_Ltd_UM4"/>
      <sheetName val="Vertus_G3_Develop_Co_Ltd_VG4"/>
      <sheetName val="CW_W_Wharf_H2_Ltd_UN4"/>
      <sheetName val="Vertus_G3_Ltd_VL4"/>
      <sheetName val="Vertus_E1-E2_Ltd_VK4"/>
      <sheetName val="Vertus_NFL_Develop_Co_Ltd_VD4"/>
      <sheetName val="WW_No1_B_Ptner_WV4"/>
      <sheetName val="WW_(No_1B)_Ptnrship_WY4"/>
      <sheetName val="WW_No_1B_Ptnr_Summ_WV_&amp;_WY4"/>
      <sheetName val="W_Wharf_H3_Ltd_US4"/>
      <sheetName val="CW_W_Wharf_D3-D4_Ltd_UX4"/>
      <sheetName val="CW_W_Wharf_L1_Dev_Co_Ltd_XX4"/>
      <sheetName val="W_W_Est_Mgt_Ltd_WE4"/>
      <sheetName val="WWMCo__WM4"/>
      <sheetName val="CW_Water_Sq_Develop_Co_Ltd_HM4"/>
      <sheetName val="CW_Prop_Burdett_Rd_EQ4"/>
      <sheetName val="CW_Prop_(Barchester)_GF4"/>
      <sheetName val="CW_W_Wharf_H3_Develop_Co_Ltd_U4"/>
      <sheetName val="CW_W_Wharf_C2_Ltd_UV4"/>
      <sheetName val="VM_Resi_MGT_Ltd_VM4"/>
      <sheetName val="W_Wharf_Prop_Holdings_WN4"/>
      <sheetName val="W_Wharf_Prop_Co_Ltd_WP4"/>
      <sheetName val="W_Wharf_Prop_Summary_4"/>
      <sheetName val="CWC_B3_Hotel_UU4"/>
      <sheetName val="Pymt_Summary4"/>
      <sheetName val="1418041_Bad_Debts4"/>
      <sheetName val="Clear_Reconciling_Bals4"/>
      <sheetName val="CW_W_Wharf_G5-6_Ltd_XP4"/>
      <sheetName val="CW_W_Wharf_G7_Ltd_XS4"/>
      <sheetName val="Edyn_(Wood_Wharf_B2)_I_Ltd_TT4"/>
      <sheetName val="Edyn_(Wood_Wharf_B2)_II_Ltd_TU4"/>
      <sheetName val="Edyn_(W_Wharf_I_&amp;_II_SummTT_&amp;T4"/>
      <sheetName val="CHAPS_FORM_Co_UA_&amp;_UD4"/>
      <sheetName val="CHAPS_FORM_Co_UE_&amp;_UH4"/>
      <sheetName val="CHAPS_FORM_Co_VA4"/>
      <sheetName val="CHAPS_FORM_Co_WB4"/>
      <sheetName val="CHAPS_FORM_Co_WD4"/>
      <sheetName val="CHAPS_FORM_Co_WG4"/>
      <sheetName val="CHAPS_FORM_Co_VE4"/>
      <sheetName val="CHAPS_FORM_Co_VJ4"/>
      <sheetName val="Vertus_Resi_Mgt_Ltd_NO_USE4"/>
      <sheetName val="Guidecourt_&amp;_Jolly_ZA4"/>
      <sheetName val="WLCo_WL_(CW_Wood_Wharf_C2_Ltd)4"/>
      <sheetName val="Jollygate_&amp;_Hplan_ZB4"/>
      <sheetName val="Jollygate_Ltd_WJ4"/>
      <sheetName val="Manual_Adjs4"/>
      <sheetName val="Globa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"/>
      <sheetName val="MACROS"/>
      <sheetName val="SUMMARY"/>
      <sheetName val="AR-GL CONTROL AC'S"/>
      <sheetName val="AR-GL CONTROL AC'S 1,5 &amp;6"/>
      <sheetName val="GL CONTROL AC'S"/>
      <sheetName val="GL CONTROL CO'S 1,5 &amp;6"/>
      <sheetName val="AR-GL UNAP PAY "/>
      <sheetName val="GL UNAPPLIED"/>
      <sheetName val="AR CONTRA RE AP REC"/>
      <sheetName val="ON AC GL"/>
      <sheetName val="OTHER AC RECS"/>
      <sheetName val="UNAPPLIED"/>
      <sheetName val="NO SALES CREDITS"/>
      <sheetName val="AR-GL_CONTROL_AC'S"/>
      <sheetName val="AR-GL_CONTROL_AC'S_1,5_&amp;6"/>
      <sheetName val="GL_CONTROL_AC'S"/>
      <sheetName val="GL_CONTROL_CO'S_1,5_&amp;6"/>
      <sheetName val="AR-GL_UNAP_PAY_"/>
      <sheetName val="GL_UNAPPLIED"/>
      <sheetName val="AR_CONTRA_RE_AP_REC"/>
      <sheetName val="ON_AC_GL"/>
      <sheetName val="OTHER_AC_RECS"/>
      <sheetName val="NO_SALES_CREDITS"/>
      <sheetName val="AR-GL_CONTROL_AC'S1"/>
      <sheetName val="AR-GL_CONTROL_AC'S_1,5_&amp;61"/>
      <sheetName val="GL_CONTROL_AC'S1"/>
      <sheetName val="GL_CONTROL_CO'S_1,5_&amp;61"/>
      <sheetName val="AR-GL_UNAP_PAY_1"/>
      <sheetName val="GL_UNAPPLIED1"/>
      <sheetName val="AR_CONTRA_RE_AP_REC1"/>
      <sheetName val="ON_AC_GL1"/>
      <sheetName val="OTHER_AC_RECS1"/>
      <sheetName val="NO_SALES_CREDITS1"/>
      <sheetName val="AR-GL_CONTROL_AC'S2"/>
      <sheetName val="AR-GL_CONTROL_AC'S_1,5_&amp;62"/>
      <sheetName val="GL_CONTROL_AC'S2"/>
      <sheetName val="GL_CONTROL_CO'S_1,5_&amp;62"/>
      <sheetName val="AR-GL_UNAP_PAY_2"/>
      <sheetName val="GL_UNAPPLIED2"/>
      <sheetName val="AR_CONTRA_RE_AP_REC2"/>
      <sheetName val="ON_AC_GL2"/>
      <sheetName val="OTHER_AC_RECS2"/>
      <sheetName val="NO_SALES_CREDITS2"/>
      <sheetName val="AR-GL_CONTROL_AC'S3"/>
      <sheetName val="AR-GL_CONTROL_AC'S_1,5_&amp;63"/>
      <sheetName val="GL_CONTROL_AC'S3"/>
      <sheetName val="GL_CONTROL_CO'S_1,5_&amp;63"/>
      <sheetName val="AR-GL_UNAP_PAY_3"/>
      <sheetName val="GL_UNAPPLIED3"/>
      <sheetName val="AR_CONTRA_RE_AP_REC3"/>
      <sheetName val="ON_AC_GL3"/>
      <sheetName val="OTHER_AC_RECS3"/>
      <sheetName val="NO_SALES_CREDITS3"/>
      <sheetName val="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199a"/>
      <sheetName val="0299b"/>
      <sheetName val="0399c"/>
      <sheetName val="0499d"/>
      <sheetName val="0599e"/>
      <sheetName val="0699"/>
      <sheetName val="0799"/>
      <sheetName val="0899"/>
      <sheetName val="0999"/>
      <sheetName val="1099"/>
      <sheetName val="1199"/>
      <sheetName val="1299"/>
      <sheetName val="jan00"/>
      <sheetName val="feb00"/>
      <sheetName val="mar00"/>
      <sheetName val="apr00"/>
      <sheetName val="CRITERIA1"/>
      <sheetName val="may00"/>
      <sheetName val="jun00"/>
      <sheetName val="DIVIDERS"/>
      <sheetName val="jul00"/>
      <sheetName val="aug00"/>
      <sheetName val="sep00"/>
      <sheetName val="oct00"/>
      <sheetName val="nov00"/>
      <sheetName val="dec00"/>
      <sheetName val="jan01"/>
      <sheetName val="feb01"/>
      <sheetName val="mar01"/>
      <sheetName val="apr01"/>
      <sheetName val="may01"/>
      <sheetName val="jun01"/>
      <sheetName val="jul01"/>
      <sheetName val="aug01"/>
      <sheetName val="sep01"/>
      <sheetName val="oct01"/>
      <sheetName val="nov01"/>
      <sheetName val="dec01"/>
      <sheetName val="Jan02"/>
      <sheetName val="feb02"/>
      <sheetName val="Mar02"/>
      <sheetName val="Apr02"/>
      <sheetName val="May02"/>
      <sheetName val="Jun02"/>
      <sheetName val="Jul02"/>
      <sheetName val="Aug02"/>
      <sheetName val="Sep02"/>
      <sheetName val="Oct02"/>
      <sheetName val="Nov02"/>
      <sheetName val="Dec02"/>
      <sheetName val="Jan03"/>
      <sheetName val="CRITERIA2"/>
      <sheetName val="Feb03"/>
      <sheetName val="Mar03"/>
      <sheetName val="Apr03"/>
      <sheetName val="May03"/>
      <sheetName val="Jun03"/>
      <sheetName val="Jul03"/>
      <sheetName val="aug03"/>
      <sheetName val="sep03"/>
      <sheetName val="oct03"/>
      <sheetName val="nov03"/>
      <sheetName val="dec03"/>
      <sheetName val="Jan04"/>
      <sheetName val="Feb04"/>
      <sheetName val="Mar04"/>
      <sheetName val="Apr04"/>
      <sheetName val="May04"/>
      <sheetName val="Jun04"/>
      <sheetName val="Jul04"/>
      <sheetName val="Aug04"/>
      <sheetName val="Sep04"/>
      <sheetName val="CRITERIA3"/>
      <sheetName val="Oct04"/>
      <sheetName val="Nov04"/>
      <sheetName val="Dec04"/>
      <sheetName val="Jan05"/>
      <sheetName val="Feb05"/>
      <sheetName val="Mar05"/>
      <sheetName val="Apr05"/>
      <sheetName val="May05"/>
      <sheetName val="June05"/>
      <sheetName val="Jul05"/>
      <sheetName val="Aug05 "/>
      <sheetName val="Sep05"/>
      <sheetName val="Oct05 "/>
      <sheetName val="Nov05"/>
      <sheetName val="Dec05"/>
      <sheetName val="Jan06"/>
      <sheetName val="Feb06"/>
      <sheetName val="Mar06"/>
      <sheetName val="Apr06"/>
      <sheetName val="May06"/>
      <sheetName val="Jun06"/>
      <sheetName val="Jul06"/>
      <sheetName val="Aug06"/>
      <sheetName val="Sep06"/>
      <sheetName val="Oct06"/>
      <sheetName val="Nov06"/>
      <sheetName val="Dec06"/>
      <sheetName val="Jan07"/>
      <sheetName val="Feb07"/>
      <sheetName val="Mar07"/>
      <sheetName val="Apr07"/>
      <sheetName val="May07"/>
      <sheetName val="Jun07"/>
      <sheetName val="Jul07"/>
      <sheetName val="Aug07"/>
      <sheetName val="Sep07"/>
      <sheetName val="Oct07"/>
      <sheetName val="Nov07"/>
      <sheetName val="Dec07"/>
      <sheetName val="Jan08"/>
      <sheetName val="Feb08"/>
      <sheetName val="Mar08"/>
      <sheetName val="Apr08"/>
      <sheetName val="May08"/>
      <sheetName val="Jun08"/>
      <sheetName val="Jul08"/>
      <sheetName val="Aug08"/>
      <sheetName val="Sep08"/>
      <sheetName val="Oct08"/>
      <sheetName val="Nov08"/>
      <sheetName val="Dec08"/>
      <sheetName val="Jan09"/>
      <sheetName val="Feb09"/>
      <sheetName val="Mar09"/>
      <sheetName val="Apr09"/>
      <sheetName val="May09"/>
      <sheetName val="Jun09"/>
      <sheetName val="Jul09"/>
      <sheetName val="Aug09"/>
      <sheetName val="Sep09"/>
      <sheetName val="Oct09"/>
      <sheetName val="Nov09"/>
      <sheetName val="Dec09"/>
      <sheetName val="Jan10"/>
      <sheetName val="Feb10"/>
      <sheetName val="Mar10"/>
      <sheetName val="Apr10"/>
      <sheetName val="May10"/>
      <sheetName val="Jun10"/>
      <sheetName val="Jul10"/>
      <sheetName val="Aug10"/>
      <sheetName val="Sep10"/>
      <sheetName val="Oct10"/>
      <sheetName val="Nov10"/>
      <sheetName val="Dec10"/>
      <sheetName val="Jan11"/>
      <sheetName val="Feb11"/>
      <sheetName val="Mar11"/>
      <sheetName val="Apr11"/>
      <sheetName val="May11"/>
      <sheetName val="Jun11"/>
      <sheetName val="Jul11"/>
      <sheetName val="Aug11"/>
      <sheetName val="Sep11"/>
      <sheetName val="Oct11"/>
      <sheetName val="Nov11"/>
      <sheetName val="Dec11"/>
      <sheetName val=" Jan12"/>
      <sheetName val="Feb12"/>
      <sheetName val="CODE"/>
      <sheetName val="Mar12"/>
      <sheetName val="Apr12"/>
      <sheetName val="May12"/>
      <sheetName val="Jun12"/>
      <sheetName val="Jul12"/>
      <sheetName val="Aug12"/>
      <sheetName val="Sep12"/>
      <sheetName val="Oct12"/>
      <sheetName val="Nov12"/>
      <sheetName val="Dec12"/>
      <sheetName val="Jan13"/>
      <sheetName val="Feb13"/>
      <sheetName val="Mar13"/>
      <sheetName val="Apr13"/>
      <sheetName val="May13"/>
      <sheetName val="Jun13"/>
      <sheetName val="Jul13"/>
      <sheetName val="Aug13"/>
      <sheetName val="Sep13"/>
      <sheetName val="Oct13"/>
      <sheetName val="Nov13"/>
      <sheetName val="Dec13"/>
      <sheetName val="Jan14"/>
      <sheetName val="Feb14"/>
      <sheetName val="Mar14"/>
      <sheetName val="Apr14"/>
      <sheetName val="May14"/>
      <sheetName val="Jun14"/>
      <sheetName val="Jul14"/>
      <sheetName val="Aug14"/>
      <sheetName val="Sep14"/>
      <sheetName val="Oct14"/>
      <sheetName val="Nov14"/>
      <sheetName val="Dec14"/>
      <sheetName val="Jan15"/>
      <sheetName val="Feb15"/>
      <sheetName val="Mar15"/>
      <sheetName val="Apr15"/>
      <sheetName val="May15"/>
      <sheetName val="Jun15"/>
      <sheetName val="Jul15"/>
      <sheetName val="Aug15"/>
      <sheetName val="Sep15"/>
      <sheetName val="Oct15"/>
      <sheetName val="Nov15"/>
      <sheetName val="Dec15"/>
      <sheetName val="Jan16"/>
      <sheetName val="Feb16"/>
      <sheetName val="Mar16"/>
      <sheetName val="Apr16"/>
      <sheetName val="May16"/>
      <sheetName val="Jun16"/>
      <sheetName val="Jul16"/>
      <sheetName val="Aug16"/>
      <sheetName val="Aug16a"/>
      <sheetName val="Sep16"/>
      <sheetName val="Oct16"/>
      <sheetName val="Nov16"/>
      <sheetName val="Dec16"/>
      <sheetName val="Jan17"/>
      <sheetName val="Feb17"/>
      <sheetName val="Mar17"/>
      <sheetName val="Apr17"/>
      <sheetName val="May17"/>
      <sheetName val="Jun17"/>
      <sheetName val="Jul17"/>
      <sheetName val="Aug17"/>
      <sheetName val="Sep17"/>
      <sheetName val="Oct17"/>
      <sheetName val="Nov17"/>
      <sheetName val="Dec17"/>
      <sheetName val="Jan18"/>
      <sheetName val="Feb18"/>
      <sheetName val="Mar18"/>
      <sheetName val="Apr18"/>
      <sheetName val="May18"/>
      <sheetName val="Jun18"/>
      <sheetName val="Jul18"/>
      <sheetName val="Aug18"/>
      <sheetName val="Sep18"/>
      <sheetName val="Oct18"/>
      <sheetName val="Nov18"/>
      <sheetName val="Dec18"/>
      <sheetName val="Jan19"/>
      <sheetName val="Jan19 (2)"/>
      <sheetName val="Feb19"/>
      <sheetName val="Mar19"/>
      <sheetName val="Apr19"/>
      <sheetName val="May19"/>
      <sheetName val="Jun19"/>
      <sheetName val="Jul19"/>
      <sheetName val="Aug19"/>
      <sheetName val="Sep19"/>
      <sheetName val="Oct19"/>
      <sheetName val="JNL"/>
      <sheetName val="Terms"/>
      <sheetName val="Ltips"/>
      <sheetName val="Sheet1"/>
      <sheetName val="Nov19"/>
      <sheetName val="Aug05_"/>
      <sheetName val="Oct05_"/>
      <sheetName val="_Jan12"/>
      <sheetName val="Jan19_(2)"/>
      <sheetName val="Aug05_2"/>
      <sheetName val="Oct05_2"/>
      <sheetName val="_Jan122"/>
      <sheetName val="Jan19_(2)2"/>
      <sheetName val="Aug05_1"/>
      <sheetName val="Oct05_1"/>
      <sheetName val="_Jan121"/>
      <sheetName val="Jan19_(2)1"/>
      <sheetName val="Aug05_3"/>
      <sheetName val="Oct05_3"/>
      <sheetName val="_Jan123"/>
      <sheetName val="Jan19_(2)3"/>
      <sheetName val="Aug05_4"/>
      <sheetName val="Oct05_4"/>
      <sheetName val="_Jan124"/>
      <sheetName val="Jan19_(2)4"/>
      <sheetName val="Aug05_6"/>
      <sheetName val="Oct05_6"/>
      <sheetName val="_Jan126"/>
      <sheetName val="Jan19_(2)6"/>
      <sheetName val="Aug05_5"/>
      <sheetName val="Oct05_5"/>
      <sheetName val="_Jan125"/>
      <sheetName val="Jan19_(2)5"/>
      <sheetName val="Aug05_7"/>
      <sheetName val="Oct05_7"/>
      <sheetName val="_Jan127"/>
      <sheetName val="Jan19_(2)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199a"/>
      <sheetName val="0299b"/>
      <sheetName val="0399c"/>
      <sheetName val="0499d"/>
      <sheetName val="0599e"/>
      <sheetName val="0699"/>
      <sheetName val="0799"/>
      <sheetName val="0899"/>
      <sheetName val="0999"/>
      <sheetName val="1099"/>
      <sheetName val="1199"/>
      <sheetName val="1299"/>
      <sheetName val="jan00"/>
      <sheetName val="feb00"/>
      <sheetName val="mar00"/>
      <sheetName val="apr00"/>
      <sheetName val="CRITERIA1"/>
      <sheetName val="may00"/>
      <sheetName val="jun00"/>
      <sheetName val="DIVIDERS"/>
      <sheetName val="jul00"/>
      <sheetName val="aug00"/>
      <sheetName val="sep00"/>
      <sheetName val="oct00"/>
      <sheetName val="nov00"/>
      <sheetName val="dec00"/>
      <sheetName val="jan01"/>
      <sheetName val="feb01"/>
      <sheetName val="mar01"/>
      <sheetName val="apr01"/>
      <sheetName val="may01"/>
      <sheetName val="jun01"/>
      <sheetName val="jul01"/>
      <sheetName val="aug01"/>
      <sheetName val="sep01"/>
      <sheetName val="oct01"/>
      <sheetName val="nov01"/>
      <sheetName val="dec01"/>
      <sheetName val="Jan02"/>
      <sheetName val="feb02"/>
      <sheetName val="Mar02"/>
      <sheetName val="Apr02"/>
      <sheetName val="May02"/>
      <sheetName val="Jun02"/>
      <sheetName val="Jul02"/>
      <sheetName val="Aug02"/>
      <sheetName val="Sep02"/>
      <sheetName val="Oct02"/>
      <sheetName val="Nov02"/>
      <sheetName val="Dec02"/>
      <sheetName val="Jan03"/>
      <sheetName val="CRITERIA2"/>
      <sheetName val="Feb03"/>
      <sheetName val="Mar03"/>
      <sheetName val="Apr03"/>
      <sheetName val="May03"/>
      <sheetName val="Jun03"/>
      <sheetName val="Jul03"/>
      <sheetName val="aug03"/>
      <sheetName val="sep03"/>
      <sheetName val="oct03"/>
      <sheetName val="nov03"/>
      <sheetName val="dec03"/>
      <sheetName val="Jan04"/>
      <sheetName val="Feb04"/>
      <sheetName val="Mar04"/>
      <sheetName val="Apr04"/>
      <sheetName val="May04"/>
      <sheetName val="Jun04"/>
      <sheetName val="Jul04"/>
      <sheetName val="Aug04"/>
      <sheetName val="Sep04"/>
      <sheetName val="CRITERIA3"/>
      <sheetName val="Oct04"/>
      <sheetName val="Nov04"/>
      <sheetName val="Dec04"/>
      <sheetName val="Jan05"/>
      <sheetName val="Feb05"/>
      <sheetName val="Mar05"/>
      <sheetName val="Apr05"/>
      <sheetName val="May05"/>
      <sheetName val="June05"/>
      <sheetName val="Jul05"/>
      <sheetName val="Aug05 "/>
      <sheetName val="Sep05"/>
      <sheetName val="Oct05 "/>
      <sheetName val="Nov05"/>
      <sheetName val="Dec05"/>
      <sheetName val="Jan06"/>
      <sheetName val="Feb06"/>
      <sheetName val="Mar06"/>
      <sheetName val="Apr06"/>
      <sheetName val="May06"/>
      <sheetName val="Jun06"/>
      <sheetName val="Jul06"/>
      <sheetName val="Aug06"/>
      <sheetName val="Sep06"/>
      <sheetName val="Oct06"/>
      <sheetName val="Nov06"/>
      <sheetName val="Dec06"/>
      <sheetName val="Jan07"/>
      <sheetName val="Feb07"/>
      <sheetName val="Mar07"/>
      <sheetName val="Apr07"/>
      <sheetName val="May07"/>
      <sheetName val="Jun07"/>
      <sheetName val="Jul07"/>
      <sheetName val="Aug07"/>
      <sheetName val="Sep07"/>
      <sheetName val="Oct07"/>
      <sheetName val="Nov07"/>
      <sheetName val="Dec07"/>
      <sheetName val="Jan08"/>
      <sheetName val="Feb08"/>
      <sheetName val="Mar08"/>
      <sheetName val="Apr08"/>
      <sheetName val="May08"/>
      <sheetName val="Jun08"/>
      <sheetName val="Jul08"/>
      <sheetName val="Aug08"/>
      <sheetName val="Sep08"/>
      <sheetName val="Oct08"/>
      <sheetName val="Nov08"/>
      <sheetName val="Dec08"/>
      <sheetName val="Jan09"/>
      <sheetName val="Feb09"/>
      <sheetName val="Mar09"/>
      <sheetName val="Apr09"/>
      <sheetName val="May09"/>
      <sheetName val="Jun09"/>
      <sheetName val="Jul09"/>
      <sheetName val="Aug09"/>
      <sheetName val="Sep09"/>
      <sheetName val="Oct09"/>
      <sheetName val="Nov09"/>
      <sheetName val="Dec09"/>
      <sheetName val="Jan10"/>
      <sheetName val="Feb10"/>
      <sheetName val="Mar10"/>
      <sheetName val="Apr10"/>
      <sheetName val="May10"/>
      <sheetName val="Jun10"/>
      <sheetName val="Jul10"/>
      <sheetName val="Aug10"/>
      <sheetName val="Sep10"/>
      <sheetName val="Oct10"/>
      <sheetName val="Nov10"/>
      <sheetName val="Dec10"/>
      <sheetName val="Jan11"/>
      <sheetName val="Feb11"/>
      <sheetName val="Mar11"/>
      <sheetName val="Apr11"/>
      <sheetName val="May11"/>
      <sheetName val="Jun11"/>
      <sheetName val="Jul11"/>
      <sheetName val="Aug11"/>
      <sheetName val="Sep11"/>
      <sheetName val="Oct11"/>
      <sheetName val="Nov11"/>
      <sheetName val="Dec11"/>
      <sheetName val=" Jan12"/>
      <sheetName val="Feb12"/>
      <sheetName val="CODE"/>
      <sheetName val="Mar12"/>
      <sheetName val="Apr12"/>
      <sheetName val="May12"/>
      <sheetName val="Jun12"/>
      <sheetName val="Jul12"/>
      <sheetName val="Aug12"/>
      <sheetName val="Sep12"/>
      <sheetName val="Oct12"/>
      <sheetName val="Nov12"/>
      <sheetName val="Dec12"/>
      <sheetName val="Jan13"/>
      <sheetName val="Feb13"/>
      <sheetName val="Mar13"/>
      <sheetName val="Apr13"/>
      <sheetName val="May13"/>
      <sheetName val="Jun13"/>
      <sheetName val="Jul13"/>
      <sheetName val="Aug13"/>
      <sheetName val="Sep13"/>
      <sheetName val="Oct13"/>
      <sheetName val="Nov13"/>
      <sheetName val="Dec13"/>
      <sheetName val="Jan14"/>
      <sheetName val="Feb14"/>
      <sheetName val="Mar14"/>
      <sheetName val="Apr14"/>
      <sheetName val="May14"/>
      <sheetName val="Jun14"/>
      <sheetName val="Jul14"/>
      <sheetName val="Aug14"/>
      <sheetName val="Sep14"/>
      <sheetName val="Oct14"/>
      <sheetName val="Nov14"/>
      <sheetName val="Dec14"/>
      <sheetName val="Jan15"/>
      <sheetName val="Feb15"/>
      <sheetName val="Mar15"/>
      <sheetName val="Apr15"/>
      <sheetName val="May15"/>
      <sheetName val="Jun15"/>
      <sheetName val="Jul15"/>
      <sheetName val="Aug15"/>
      <sheetName val="Sep15"/>
      <sheetName val="Oct15"/>
      <sheetName val="Nov15"/>
      <sheetName val="Dec15"/>
      <sheetName val="Jan16"/>
      <sheetName val="Feb16"/>
      <sheetName val="Mar16"/>
      <sheetName val="Apr16"/>
      <sheetName val="May16"/>
      <sheetName val="Jun16"/>
      <sheetName val="Jul16"/>
      <sheetName val="Aug16"/>
      <sheetName val="Aug16a"/>
      <sheetName val="Sep16"/>
      <sheetName val="Oct16"/>
      <sheetName val="Nov16"/>
      <sheetName val="Dec16"/>
      <sheetName val="Jan17"/>
      <sheetName val="Feb17"/>
      <sheetName val="Mar17"/>
      <sheetName val="Apr17"/>
      <sheetName val="May17"/>
      <sheetName val="Jun17"/>
      <sheetName val="Jul17"/>
      <sheetName val="Aug17"/>
      <sheetName val="Sep17"/>
      <sheetName val="Oct17"/>
      <sheetName val="Nov17"/>
      <sheetName val="Dec17"/>
      <sheetName val="Jan18"/>
      <sheetName val="Feb18"/>
      <sheetName val="Mar18"/>
      <sheetName val="Apr18"/>
      <sheetName val="May18"/>
      <sheetName val="Jun18"/>
      <sheetName val="Jul18"/>
      <sheetName val="Aug18"/>
      <sheetName val="Sep18"/>
      <sheetName val="Oct18"/>
      <sheetName val="Nov18"/>
      <sheetName val="Dec18"/>
      <sheetName val="Jan19"/>
      <sheetName val="Jan19 (2)"/>
      <sheetName val="Feb19"/>
      <sheetName val="Mar19"/>
      <sheetName val="Apr19"/>
      <sheetName val="May19"/>
      <sheetName val="Jun19"/>
      <sheetName val="Jul19"/>
      <sheetName val="Aug19"/>
      <sheetName val="Sep19"/>
      <sheetName val="Oct19"/>
      <sheetName val="JNL"/>
      <sheetName val="Terms"/>
      <sheetName val="Ltips"/>
      <sheetName val="Sheet1"/>
      <sheetName val="Nov19"/>
      <sheetName val="Aug05_"/>
      <sheetName val="Oct05_"/>
      <sheetName val="_Jan12"/>
      <sheetName val="Jan19_(2)"/>
      <sheetName val="Aug05_1"/>
      <sheetName val="Oct05_1"/>
      <sheetName val="_Jan121"/>
      <sheetName val="Jan19_(2)1"/>
      <sheetName val="Aug05_2"/>
      <sheetName val="Oct05_2"/>
      <sheetName val="_Jan122"/>
      <sheetName val="Jan19_(2)2"/>
      <sheetName val="Aug05_4"/>
      <sheetName val="Oct05_4"/>
      <sheetName val="_Jan124"/>
      <sheetName val="Jan19_(2)4"/>
      <sheetName val="Aug05_3"/>
      <sheetName val="Oct05_3"/>
      <sheetName val="_Jan123"/>
      <sheetName val="Jan19_(2)3"/>
      <sheetName val="Aug05_5"/>
      <sheetName val="Oct05_5"/>
      <sheetName val="_Jan125"/>
      <sheetName val="Jan19_(2)5"/>
      <sheetName val="Aug05_6"/>
      <sheetName val="Oct05_6"/>
      <sheetName val="_Jan126"/>
      <sheetName val="Jan19_(2)6"/>
      <sheetName val="DC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7 Covers"/>
      <sheetName val="Dec 17 Bals"/>
      <sheetName val="Jun 18 Cover"/>
      <sheetName val="Jun 18 Bals"/>
      <sheetName val="Sep 18 Bals"/>
      <sheetName val="Sep 18 Cover"/>
      <sheetName val="Sep18 close cover"/>
      <sheetName val="Sep18 close"/>
      <sheetName val="Dec 18 Close cover"/>
      <sheetName val="Dec 18 close"/>
      <sheetName val="Mar 19 close"/>
      <sheetName val="Mar 19 close FA"/>
      <sheetName val="Mar 19 avb review"/>
      <sheetName val="Mar 19 Downloads"/>
      <sheetName val="All Cos FA Jun 19 "/>
      <sheetName val="All Cos FA Sep19"/>
      <sheetName val="Cover sheet GL030001 - GL Balan"/>
      <sheetName val="All Cos FA Dec19"/>
      <sheetName val="Cover sheet Dec19"/>
      <sheetName val="Bal Sheet All Cos detail"/>
      <sheetName val="0316 Detail"/>
      <sheetName val="Depn GL Bals Mar 16"/>
      <sheetName val="FA GL Bals Mar16"/>
      <sheetName val="Co01 cc63 Dload"/>
      <sheetName val="Co ET Cover 2018"/>
      <sheetName val="Co ET 2018 Bals"/>
      <sheetName val="Notes"/>
      <sheetName val="Asset Count"/>
      <sheetName val="Data Update"/>
      <sheetName val="GL Codes"/>
      <sheetName val="Recon totals"/>
      <sheetName val="Recon Detail"/>
      <sheetName val="Additions 2013"/>
      <sheetName val="Additions 2014"/>
      <sheetName val="Additions 2015"/>
      <sheetName val="Additions 2016"/>
      <sheetName val="Sheet5"/>
      <sheetName val="Dec 16 Bals"/>
      <sheetName val="Oracle Input"/>
      <sheetName val="2017 Totals"/>
      <sheetName val="Rpt details"/>
      <sheetName val="2017 Co 01 0312421"/>
      <sheetName val="Dec 17 Other Dloads"/>
      <sheetName val="Consolidated"/>
      <sheetName val="CWL"/>
      <sheetName val="CWL Pivot"/>
      <sheetName val="HQPL"/>
      <sheetName val="HQPL Pivot"/>
      <sheetName val="HQCB "/>
      <sheetName val="HQCB Pivot"/>
      <sheetName val="CWCL"/>
      <sheetName val="CWCL Pivot"/>
      <sheetName val="CWIL"/>
      <sheetName val="CWIL Pivot"/>
      <sheetName val="Co ET Bals for Consol"/>
      <sheetName val="Sep 18 Bals (2)"/>
      <sheetName val="CWCPL"/>
      <sheetName val="CWCPL Pivot"/>
      <sheetName val="Lvl 39 Rvsd "/>
      <sheetName val="ET Balances"/>
      <sheetName val="0312425 Dload"/>
      <sheetName val="Lvl 39 Refurb"/>
      <sheetName val="Lvl 39 Kitchen"/>
      <sheetName val="Lvl 42"/>
      <sheetName val="CWG WW2 Download"/>
      <sheetName val="WWLP"/>
      <sheetName val="CWG WW Two"/>
      <sheetName val="CW B3 Wood Wharf Ltd "/>
      <sheetName val="CWT"/>
      <sheetName val="Insight 2014 Co G8"/>
      <sheetName val="2014 Telecom Exp"/>
      <sheetName val="2013 Telecom Exp"/>
      <sheetName val="2012 Telecom Exp"/>
      <sheetName val="2011 Telecom Exp"/>
      <sheetName val="Telecom 2009 Exp"/>
      <sheetName val="G8 5781101 2007 Analysis"/>
      <sheetName val="G8 2008 Telecom Costs"/>
      <sheetName val="G8 5781311 2007 Analysis"/>
      <sheetName val="Sheet1"/>
      <sheetName val="DOC"/>
      <sheetName val="cwcl1112hqsum"/>
      <sheetName val="CWCLanalysis"/>
      <sheetName val="RedShedsanalysis"/>
      <sheetName val="Furniture Moves"/>
      <sheetName val="FA Mar 08"/>
      <sheetName val="DS7 Lvl 5 Refit"/>
      <sheetName val="Sheet2"/>
      <sheetName val="EWG HRH 2010 HQPL"/>
      <sheetName val="Sheet1 (2)"/>
      <sheetName val="RT3 Unit 80 Costs from Jan 2014"/>
      <sheetName val="RT3 Unit Rent etc"/>
      <sheetName val="Lvl 39"/>
      <sheetName val="F Accts chk"/>
      <sheetName val="F Accts rpts"/>
      <sheetName val="2017 F Accts "/>
      <sheetName val="F Asset Dec15"/>
      <sheetName val="Depn Dec 15"/>
      <sheetName val="Yardi All Cos GL Dec 20"/>
      <sheetName val="Yardi All Cos GL Dec 21"/>
      <sheetName val="CWG "/>
      <sheetName val="ET Lvl 39 New"/>
      <sheetName val="Property Comparison(TB) 2021"/>
      <sheetName val="TB Rec 2021"/>
      <sheetName val="TB Dec 2021 Detailed"/>
      <sheetName val="Dec 21 Variance Chk"/>
      <sheetName val="Sheet6"/>
      <sheetName val="Bal Sheet Bals Dec 21 by co"/>
      <sheetName val="Sheet4"/>
      <sheetName val="Sheet3"/>
      <sheetName val="All BSheet Bals to Sep 21"/>
      <sheetName val="Yardi ET to Sep 21 P&amp;L Dload"/>
      <sheetName val="Yardi to Sep 21 P&amp;L Dload"/>
      <sheetName val="Invoices Sep 2021"/>
      <sheetName val="Oracle 2021 Dload"/>
      <sheetName val="Yardi Jan to Jun 21 P&amp;L Dload"/>
      <sheetName val="Invoice Queries"/>
      <sheetName val="2021 All Cos cc63"/>
      <sheetName val="2021 Additions"/>
      <sheetName val="All Co ccs detail"/>
      <sheetName val="All cos cc63"/>
      <sheetName val="All Cos 2021 TB"/>
      <sheetName val="2020 Additions"/>
      <sheetName val="All Cos 2020 TB"/>
      <sheetName val="Dec19 All Cos"/>
      <sheetName val="Dec19 YTD Chk"/>
      <sheetName val="Cover sheets"/>
      <sheetName val="Dividers"/>
      <sheetName val="Dec_17_Covers"/>
      <sheetName val="Dec_17_Bals"/>
      <sheetName val="Jun_18_Cover"/>
      <sheetName val="Jun_18_Bals"/>
      <sheetName val="Sep_18_Bals"/>
      <sheetName val="Sep_18_Cover"/>
      <sheetName val="Sep18_close_cover"/>
      <sheetName val="Sep18_close"/>
      <sheetName val="Dec_18_Close_cover"/>
      <sheetName val="Dec_18_close"/>
      <sheetName val="Mar_19_close"/>
      <sheetName val="Mar_19_close_FA"/>
      <sheetName val="Mar_19_avb_review"/>
      <sheetName val="Mar_19_Downloads"/>
      <sheetName val="All_Cos_FA_Jun_19_"/>
      <sheetName val="All_Cos_FA_Sep19"/>
      <sheetName val="Cover_sheet_GL030001_-_GL_Balan"/>
      <sheetName val="All_Cos_FA_Dec19"/>
      <sheetName val="Cover_sheet_Dec19"/>
      <sheetName val="Bal_Sheet_All_Cos_detail"/>
      <sheetName val="0316_Detail"/>
      <sheetName val="Depn_GL_Bals_Mar_16"/>
      <sheetName val="FA_GL_Bals_Mar16"/>
      <sheetName val="Co01_cc63_Dload"/>
      <sheetName val="Co_ET_Cover_2018"/>
      <sheetName val="Co_ET_2018_Bals"/>
      <sheetName val="Asset_Count"/>
      <sheetName val="Data_Update"/>
      <sheetName val="GL_Codes"/>
      <sheetName val="Recon_totals"/>
      <sheetName val="Recon_Detail"/>
      <sheetName val="Additions_2013"/>
      <sheetName val="Additions_2014"/>
      <sheetName val="Additions_2015"/>
      <sheetName val="Additions_2016"/>
      <sheetName val="Dec_16_Bals"/>
      <sheetName val="Oracle_Input"/>
      <sheetName val="2017_Totals"/>
      <sheetName val="Rpt_details"/>
      <sheetName val="2017_Co_01_0312421"/>
      <sheetName val="Dec_17_Other_Dloads"/>
      <sheetName val="CWL_Pivot"/>
      <sheetName val="HQPL_Pivot"/>
      <sheetName val="HQCB_"/>
      <sheetName val="HQCB_Pivot"/>
      <sheetName val="CWCL_Pivot"/>
      <sheetName val="CWIL_Pivot"/>
      <sheetName val="Co_ET_Bals_for_Consol"/>
      <sheetName val="Sep_18_Bals_(2)"/>
      <sheetName val="CWCPL_Pivot"/>
      <sheetName val="Lvl_39_Rvsd_"/>
      <sheetName val="ET_Balances"/>
      <sheetName val="0312425_Dload"/>
      <sheetName val="Lvl_39_Refurb"/>
      <sheetName val="Lvl_39_Kitchen"/>
      <sheetName val="Lvl_42"/>
      <sheetName val="CWG_WW2_Download"/>
      <sheetName val="CWG_WW_Two"/>
      <sheetName val="CW_B3_Wood_Wharf_Ltd_"/>
      <sheetName val="Insight_2014_Co_G8"/>
      <sheetName val="2014_Telecom_Exp"/>
      <sheetName val="2013_Telecom_Exp"/>
      <sheetName val="2012_Telecom_Exp"/>
      <sheetName val="2011_Telecom_Exp"/>
      <sheetName val="Telecom_2009_Exp"/>
      <sheetName val="G8_5781101_2007_Analysis"/>
      <sheetName val="G8_2008_Telecom_Costs"/>
      <sheetName val="G8_5781311_2007_Analysis"/>
      <sheetName val="Furniture_Moves"/>
      <sheetName val="FA_Mar_08"/>
      <sheetName val="DS7_Lvl_5_Refit"/>
      <sheetName val="EWG_HRH_2010_HQPL"/>
      <sheetName val="Sheet1_(2)"/>
      <sheetName val="RT3_Unit_80_Costs_from_Jan_2014"/>
      <sheetName val="RT3_Unit_Rent_etc"/>
      <sheetName val="Lvl_39"/>
      <sheetName val="F_Accts_chk"/>
      <sheetName val="F_Accts_rpts"/>
      <sheetName val="2017_F_Accts_"/>
      <sheetName val="F_Asset_Dec15"/>
      <sheetName val="Depn_Dec_15"/>
      <sheetName val="Yardi_All_Cos_GL_Dec_20"/>
      <sheetName val="Yardi_All_Cos_GL_Dec_21"/>
      <sheetName val="CWG_"/>
      <sheetName val="ET_Lvl_39_New"/>
      <sheetName val="Property_Comparison(TB)_2021"/>
      <sheetName val="TB_Rec_2021"/>
      <sheetName val="TB_Dec_2021_Detailed"/>
      <sheetName val="Dec_21_Variance_Chk"/>
      <sheetName val="Bal_Sheet_Bals_Dec_21_by_co"/>
      <sheetName val="All_BSheet_Bals_to_Sep_21"/>
      <sheetName val="Yardi_ET_to_Sep_21_P&amp;L_Dload"/>
      <sheetName val="Yardi_to_Sep_21_P&amp;L_Dload"/>
      <sheetName val="Invoices_Sep_2021"/>
      <sheetName val="Oracle_2021_Dload"/>
      <sheetName val="Yardi_Jan_to_Jun_21_P&amp;L_Dload"/>
      <sheetName val="Invoice_Queries"/>
      <sheetName val="2021_All_Cos_cc63"/>
      <sheetName val="2021_Additions"/>
      <sheetName val="All_Co_ccs_detail"/>
      <sheetName val="All_cos_cc63"/>
      <sheetName val="All_Cos_2021_TB"/>
      <sheetName val="2020_Additions"/>
      <sheetName val="All_Cos_2020_TB"/>
      <sheetName val="Dec19_All_Cos"/>
      <sheetName val="Dec19_YTD_Chk"/>
      <sheetName val="Cover_shee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FWD.24.01.20"/>
      <sheetName val="M_24.01.20"/>
      <sheetName val="Bacs Monthly"/>
      <sheetName val="Pension"/>
      <sheetName val="DEDS-26.02.20"/>
      <sheetName val="SC-26.02.20"/>
      <sheetName val="PFWD-26.02.20"/>
      <sheetName val="M-26.03.20"/>
      <sheetName val="Revised M_NET_24.04.20"/>
      <sheetName val="Apr 20 Pension"/>
      <sheetName val="M_24.04.20"/>
      <sheetName val="Apr 20 BACS"/>
      <sheetName val="Apr 20 v1"/>
      <sheetName val="Apr 20 diff"/>
      <sheetName val="FORACCS3"/>
      <sheetName val="Change log"/>
      <sheetName val="Nom &amp; Cost Cat codes"/>
      <sheetName val="M_PFWD_26.05.20"/>
      <sheetName val="May 20 BACS"/>
      <sheetName val="PAY-SUMM-26.05.20"/>
      <sheetName val="M_26.05.20"/>
      <sheetName val="May 20 GL"/>
      <sheetName val="Jun 20 BACS"/>
      <sheetName val="Jun 20 Pension"/>
      <sheetName val="M_26.06.20"/>
      <sheetName val="02 by Project"/>
      <sheetName val="Jul 20 BACS"/>
      <sheetName val="Jul 20 Pension"/>
      <sheetName val="M_24.07.20"/>
      <sheetName val="Aug 20 Pension"/>
      <sheetName val="Aug 20 BACS"/>
      <sheetName val="M_26.08.20"/>
      <sheetName val="Sep 20 Bacs"/>
      <sheetName val="Sep 20 Pension"/>
      <sheetName val="M_25.09.2020"/>
      <sheetName val="Oct 20 Pension"/>
      <sheetName val="Oct 20 Bacs"/>
      <sheetName val="M_26.10.2020"/>
      <sheetName val="Nov 20 Bacs"/>
      <sheetName val="Nov 20 Pension"/>
      <sheetName val="M_26.11.20"/>
      <sheetName val="Journal File"/>
      <sheetName val="Dec 20 bonus"/>
      <sheetName val="Dec 20 Pension"/>
      <sheetName val="Dec 20 Bacs"/>
      <sheetName val="Dec 20 AC"/>
      <sheetName val="Jan 21 Pension"/>
      <sheetName val="Jan 21 Bacs"/>
      <sheetName val="M_26.01.21"/>
      <sheetName val="Feb 21 Bacs"/>
      <sheetName val="Feb 21 Pension"/>
      <sheetName val="M_26.02.2021"/>
      <sheetName val="Mar 21 Pension"/>
      <sheetName val="Mar 21 Bacs"/>
      <sheetName val="M_26.03.2021"/>
      <sheetName val="Yardi code mapping"/>
      <sheetName val="Oracle GL mapping"/>
      <sheetName val="Apr 21 Pension"/>
      <sheetName val="Apr 21 Bacs"/>
      <sheetName val="M_26.04.2021"/>
      <sheetName val="Rec"/>
      <sheetName val="Lvl39 ETL"/>
      <sheetName val="CWG ETL"/>
      <sheetName val="Jnl"/>
      <sheetName val="Globals"/>
      <sheetName val="01 Control"/>
      <sheetName val="02 Control"/>
      <sheetName val="91 Control"/>
      <sheetName val="ET Control"/>
      <sheetName val="02ER"/>
      <sheetName val="01 "/>
      <sheetName val="01 Jnl"/>
      <sheetName val="02"/>
      <sheetName val="02 Jnl"/>
      <sheetName val="91"/>
      <sheetName val="91 Jnl"/>
      <sheetName val="ET"/>
      <sheetName val="ET Jnl"/>
      <sheetName val="Terms"/>
      <sheetName val="Sheet1"/>
      <sheetName val="PFWD_24_01_20"/>
      <sheetName val="M_24_01_20"/>
      <sheetName val="Bacs_Monthly"/>
      <sheetName val="DEDS-26_02_20"/>
      <sheetName val="SC-26_02_20"/>
      <sheetName val="PFWD-26_02_20"/>
      <sheetName val="M-26_03_20"/>
      <sheetName val="Revised_M_NET_24_04_20"/>
      <sheetName val="Apr_20_Pension"/>
      <sheetName val="M_24_04_20"/>
      <sheetName val="Apr_20_BACS"/>
      <sheetName val="Apr_20_v1"/>
      <sheetName val="Apr_20_diff"/>
      <sheetName val="Change_log"/>
      <sheetName val="Nom_&amp;_Cost_Cat_codes"/>
      <sheetName val="M_PFWD_26_05_20"/>
      <sheetName val="May_20_BACS"/>
      <sheetName val="PAY-SUMM-26_05_20"/>
      <sheetName val="M_26_05_20"/>
      <sheetName val="May_20_GL"/>
      <sheetName val="Jun_20_BACS"/>
      <sheetName val="Jun_20_Pension"/>
      <sheetName val="M_26_06_20"/>
      <sheetName val="02_by_Project"/>
      <sheetName val="Jul_20_BACS"/>
      <sheetName val="Jul_20_Pension"/>
      <sheetName val="M_24_07_20"/>
      <sheetName val="Aug_20_Pension"/>
      <sheetName val="Aug_20_BACS"/>
      <sheetName val="M_26_08_20"/>
      <sheetName val="Sep_20_Bacs"/>
      <sheetName val="Sep_20_Pension"/>
      <sheetName val="M_25_09_2020"/>
      <sheetName val="Oct_20_Pension"/>
      <sheetName val="Oct_20_Bacs"/>
      <sheetName val="M_26_10_2020"/>
      <sheetName val="Nov_20_Bacs"/>
      <sheetName val="Nov_20_Pension"/>
      <sheetName val="M_26_11_20"/>
      <sheetName val="Journal_File"/>
      <sheetName val="Dec_20_bonus"/>
      <sheetName val="Dec_20_Pension"/>
      <sheetName val="Dec_20_Bacs"/>
      <sheetName val="Dec_20_AC"/>
      <sheetName val="Jan_21_Pension"/>
      <sheetName val="Jan_21_Bacs"/>
      <sheetName val="M_26_01_21"/>
      <sheetName val="Feb_21_Bacs"/>
      <sheetName val="Feb_21_Pension"/>
      <sheetName val="M_26_02_2021"/>
      <sheetName val="Mar_21_Pension"/>
      <sheetName val="Mar_21_Bacs"/>
      <sheetName val="M_26_03_2021"/>
      <sheetName val="Yardi_code_mapping"/>
      <sheetName val="Oracle_GL_mapping"/>
      <sheetName val="Apr_21_Pension"/>
      <sheetName val="Apr_21_Bacs"/>
      <sheetName val="M_26_04_2021"/>
      <sheetName val="Lvl39_ETL"/>
      <sheetName val="CWG_ETL"/>
      <sheetName val="01_Control"/>
      <sheetName val="02_Control"/>
      <sheetName val="91_Control"/>
      <sheetName val="ET_Control"/>
      <sheetName val="01_"/>
      <sheetName val="01_Jnl"/>
      <sheetName val="02_Jnl"/>
      <sheetName val="91_Jnl"/>
      <sheetName val="ET_Jnl"/>
      <sheetName val="PFWD_24_01_201"/>
      <sheetName val="M_24_01_201"/>
      <sheetName val="Bacs_Monthly1"/>
      <sheetName val="DEDS-26_02_201"/>
      <sheetName val="SC-26_02_201"/>
      <sheetName val="PFWD-26_02_201"/>
      <sheetName val="M-26_03_201"/>
      <sheetName val="Revised_M_NET_24_04_201"/>
      <sheetName val="Apr_20_Pension1"/>
      <sheetName val="M_24_04_201"/>
      <sheetName val="Apr_20_BACS1"/>
      <sheetName val="Apr_20_v11"/>
      <sheetName val="Apr_20_diff1"/>
      <sheetName val="Change_log1"/>
      <sheetName val="Nom_&amp;_Cost_Cat_codes1"/>
      <sheetName val="M_PFWD_26_05_201"/>
      <sheetName val="May_20_BACS1"/>
      <sheetName val="PAY-SUMM-26_05_201"/>
      <sheetName val="M_26_05_201"/>
      <sheetName val="May_20_GL1"/>
      <sheetName val="Jun_20_BACS1"/>
      <sheetName val="Jun_20_Pension1"/>
      <sheetName val="M_26_06_201"/>
      <sheetName val="02_by_Project1"/>
      <sheetName val="Jul_20_BACS1"/>
      <sheetName val="Jul_20_Pension1"/>
      <sheetName val="M_24_07_201"/>
      <sheetName val="Aug_20_Pension1"/>
      <sheetName val="Aug_20_BACS1"/>
      <sheetName val="M_26_08_201"/>
      <sheetName val="Sep_20_Bacs1"/>
      <sheetName val="Sep_20_Pension1"/>
      <sheetName val="M_25_09_20201"/>
      <sheetName val="Oct_20_Pension1"/>
      <sheetName val="Oct_20_Bacs1"/>
      <sheetName val="M_26_10_20201"/>
      <sheetName val="Nov_20_Bacs1"/>
      <sheetName val="Nov_20_Pension1"/>
      <sheetName val="M_26_11_201"/>
      <sheetName val="Journal_File1"/>
      <sheetName val="Dec_20_bonus1"/>
      <sheetName val="Dec_20_Pension1"/>
      <sheetName val="Dec_20_Bacs1"/>
      <sheetName val="Dec_20_AC1"/>
      <sheetName val="Jan_21_Pension1"/>
      <sheetName val="Jan_21_Bacs1"/>
      <sheetName val="M_26_01_211"/>
      <sheetName val="Feb_21_Bacs1"/>
      <sheetName val="Feb_21_Pension1"/>
      <sheetName val="M_26_02_20211"/>
      <sheetName val="Mar_21_Pension1"/>
      <sheetName val="Mar_21_Bacs1"/>
      <sheetName val="M_26_03_20211"/>
      <sheetName val="Yardi_code_mapping1"/>
      <sheetName val="Oracle_GL_mapping1"/>
      <sheetName val="Apr_21_Pension1"/>
      <sheetName val="Apr_21_Bacs1"/>
      <sheetName val="M_26_04_20211"/>
      <sheetName val="Lvl39_ETL1"/>
      <sheetName val="CWG_ETL1"/>
      <sheetName val="01_Control1"/>
      <sheetName val="02_Control1"/>
      <sheetName val="91_Control1"/>
      <sheetName val="ET_Control1"/>
      <sheetName val="01_1"/>
      <sheetName val="01_Jnl1"/>
      <sheetName val="02_Jnl1"/>
      <sheetName val="91_Jnl1"/>
      <sheetName val="ET_Jnl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FWD.24.01.20"/>
      <sheetName val="M_24.01.20"/>
      <sheetName val="Bacs Monthly"/>
      <sheetName val="Pension"/>
      <sheetName val="DEDS-26.02.20"/>
      <sheetName val="SC-26.02.20"/>
      <sheetName val="PFWD-26.02.20"/>
      <sheetName val="M-26.03.20"/>
      <sheetName val="Revised M_NET_24.04.20"/>
      <sheetName val="Apr 20 Pension"/>
      <sheetName val="M_24.04.20"/>
      <sheetName val="Apr 20 BACS"/>
      <sheetName val="Apr 20 v1"/>
      <sheetName val="Apr 20 diff"/>
      <sheetName val="FORACCS3"/>
      <sheetName val="Change log"/>
      <sheetName val="Nom &amp; Cost Cat codes"/>
      <sheetName val="M_PFWD_26.05.20"/>
      <sheetName val="May 20 BACS"/>
      <sheetName val="PAY-SUMM-26.05.20"/>
      <sheetName val="M_26.05.20"/>
      <sheetName val="May 20 GL"/>
      <sheetName val="Jun 20 BACS"/>
      <sheetName val="Jun 20 Pension"/>
      <sheetName val="M_26.06.20"/>
      <sheetName val="02 by Project"/>
      <sheetName val="Jul 20 BACS"/>
      <sheetName val="Jul 20 Pension"/>
      <sheetName val="M_24.07.20"/>
      <sheetName val="Aug 20 Pension"/>
      <sheetName val="Aug 20 BACS"/>
      <sheetName val="M_26.08.20"/>
      <sheetName val="Sep 20 Bacs"/>
      <sheetName val="Sep 20 Pension"/>
      <sheetName val="M_25.09.2020"/>
      <sheetName val="Oct 20 Pension"/>
      <sheetName val="Oct 20 Bacs"/>
      <sheetName val="M_26.10.2020"/>
      <sheetName val="Nov 20 Bacs"/>
      <sheetName val="Nov 20 Pension"/>
      <sheetName val="M_26.11.20"/>
      <sheetName val="Journal File"/>
      <sheetName val="Dec 20 bonus"/>
      <sheetName val="Dec 20 Pension"/>
      <sheetName val="Dec 20 Bacs"/>
      <sheetName val="Dec 20 AC"/>
      <sheetName val="Jan 21 Pension"/>
      <sheetName val="Jan 21 Bacs"/>
      <sheetName val="M_26.01.21"/>
      <sheetName val="Feb 21 Bacs"/>
      <sheetName val="Feb 21 Pension"/>
      <sheetName val="M_26.02.2021"/>
      <sheetName val="Mar 21 Pension"/>
      <sheetName val="Mar 21 Bacs"/>
      <sheetName val="M_26.03.2021"/>
      <sheetName val="Yardi code mapping"/>
      <sheetName val="Oracle GL mapping"/>
      <sheetName val="Apr 21 Pension"/>
      <sheetName val="Apr 21 Bacs"/>
      <sheetName val="M_26.04.2021"/>
      <sheetName val="Rec"/>
      <sheetName val="Lvl39 ETL"/>
      <sheetName val="CWG ETL"/>
      <sheetName val="Jnl"/>
      <sheetName val="Globals"/>
      <sheetName val="01 Control"/>
      <sheetName val="02 Control"/>
      <sheetName val="91 Control"/>
      <sheetName val="ET Control"/>
      <sheetName val="02ER"/>
      <sheetName val="01 "/>
      <sheetName val="01 Jnl"/>
      <sheetName val="02"/>
      <sheetName val="02 Jnl"/>
      <sheetName val="91"/>
      <sheetName val="91 Jnl"/>
      <sheetName val="ET"/>
      <sheetName val="ET Jnl"/>
      <sheetName val="Terms"/>
      <sheetName val="Sheet1"/>
      <sheetName val="PFWD_24_01_20"/>
      <sheetName val="M_24_01_20"/>
      <sheetName val="Bacs_Monthly"/>
      <sheetName val="DEDS-26_02_20"/>
      <sheetName val="SC-26_02_20"/>
      <sheetName val="PFWD-26_02_20"/>
      <sheetName val="M-26_03_20"/>
      <sheetName val="Revised_M_NET_24_04_20"/>
      <sheetName val="Apr_20_Pension"/>
      <sheetName val="M_24_04_20"/>
      <sheetName val="Apr_20_BACS"/>
      <sheetName val="Apr_20_v1"/>
      <sheetName val="Apr_20_diff"/>
      <sheetName val="Change_log"/>
      <sheetName val="Nom_&amp;_Cost_Cat_codes"/>
      <sheetName val="M_PFWD_26_05_20"/>
      <sheetName val="May_20_BACS"/>
      <sheetName val="PAY-SUMM-26_05_20"/>
      <sheetName val="M_26_05_20"/>
      <sheetName val="May_20_GL"/>
      <sheetName val="Jun_20_BACS"/>
      <sheetName val="Jun_20_Pension"/>
      <sheetName val="M_26_06_20"/>
      <sheetName val="02_by_Project"/>
      <sheetName val="Jul_20_BACS"/>
      <sheetName val="Jul_20_Pension"/>
      <sheetName val="M_24_07_20"/>
      <sheetName val="Aug_20_Pension"/>
      <sheetName val="Aug_20_BACS"/>
      <sheetName val="M_26_08_20"/>
      <sheetName val="Sep_20_Bacs"/>
      <sheetName val="Sep_20_Pension"/>
      <sheetName val="M_25_09_2020"/>
      <sheetName val="Oct_20_Pension"/>
      <sheetName val="Oct_20_Bacs"/>
      <sheetName val="M_26_10_2020"/>
      <sheetName val="Nov_20_Bacs"/>
      <sheetName val="Nov_20_Pension"/>
      <sheetName val="M_26_11_20"/>
      <sheetName val="Journal_File"/>
      <sheetName val="Dec_20_bonus"/>
      <sheetName val="Dec_20_Pension"/>
      <sheetName val="Dec_20_Bacs"/>
      <sheetName val="Dec_20_AC"/>
      <sheetName val="Jan_21_Pension"/>
      <sheetName val="Jan_21_Bacs"/>
      <sheetName val="M_26_01_21"/>
      <sheetName val="Feb_21_Bacs"/>
      <sheetName val="Feb_21_Pension"/>
      <sheetName val="M_26_02_2021"/>
      <sheetName val="Mar_21_Pension"/>
      <sheetName val="Mar_21_Bacs"/>
      <sheetName val="M_26_03_2021"/>
      <sheetName val="Yardi_code_mapping"/>
      <sheetName val="Oracle_GL_mapping"/>
      <sheetName val="Apr_21_Pension"/>
      <sheetName val="Apr_21_Bacs"/>
      <sheetName val="M_26_04_2021"/>
      <sheetName val="Lvl39_ETL"/>
      <sheetName val="CWG_ETL"/>
      <sheetName val="01_Control"/>
      <sheetName val="02_Control"/>
      <sheetName val="91_Control"/>
      <sheetName val="ET_Control"/>
      <sheetName val="01_"/>
      <sheetName val="01_Jnl"/>
      <sheetName val="02_Jnl"/>
      <sheetName val="91_Jnl"/>
      <sheetName val="ET_Jnl"/>
      <sheetName val="PFWD_24_01_201"/>
      <sheetName val="M_24_01_201"/>
      <sheetName val="Bacs_Monthly1"/>
      <sheetName val="DEDS-26_02_201"/>
      <sheetName val="SC-26_02_201"/>
      <sheetName val="PFWD-26_02_201"/>
      <sheetName val="M-26_03_201"/>
      <sheetName val="Revised_M_NET_24_04_201"/>
      <sheetName val="Apr_20_Pension1"/>
      <sheetName val="M_24_04_201"/>
      <sheetName val="Apr_20_BACS1"/>
      <sheetName val="Apr_20_v11"/>
      <sheetName val="Apr_20_diff1"/>
      <sheetName val="Change_log1"/>
      <sheetName val="Nom_&amp;_Cost_Cat_codes1"/>
      <sheetName val="M_PFWD_26_05_201"/>
      <sheetName val="May_20_BACS1"/>
      <sheetName val="PAY-SUMM-26_05_201"/>
      <sheetName val="M_26_05_201"/>
      <sheetName val="May_20_GL1"/>
      <sheetName val="Jun_20_BACS1"/>
      <sheetName val="Jun_20_Pension1"/>
      <sheetName val="M_26_06_201"/>
      <sheetName val="02_by_Project1"/>
      <sheetName val="Jul_20_BACS1"/>
      <sheetName val="Jul_20_Pension1"/>
      <sheetName val="M_24_07_201"/>
      <sheetName val="Aug_20_Pension1"/>
      <sheetName val="Aug_20_BACS1"/>
      <sheetName val="M_26_08_201"/>
      <sheetName val="Sep_20_Bacs1"/>
      <sheetName val="Sep_20_Pension1"/>
      <sheetName val="M_25_09_20201"/>
      <sheetName val="Oct_20_Pension1"/>
      <sheetName val="Oct_20_Bacs1"/>
      <sheetName val="M_26_10_20201"/>
      <sheetName val="Nov_20_Bacs1"/>
      <sheetName val="Nov_20_Pension1"/>
      <sheetName val="M_26_11_201"/>
      <sheetName val="Journal_File1"/>
      <sheetName val="Dec_20_bonus1"/>
      <sheetName val="Dec_20_Pension1"/>
      <sheetName val="Dec_20_Bacs1"/>
      <sheetName val="Dec_20_AC1"/>
      <sheetName val="Jan_21_Pension1"/>
      <sheetName val="Jan_21_Bacs1"/>
      <sheetName val="M_26_01_211"/>
      <sheetName val="Feb_21_Bacs1"/>
      <sheetName val="Feb_21_Pension1"/>
      <sheetName val="M_26_02_20211"/>
      <sheetName val="Mar_21_Pension1"/>
      <sheetName val="Mar_21_Bacs1"/>
      <sheetName val="M_26_03_20211"/>
      <sheetName val="Yardi_code_mapping1"/>
      <sheetName val="Oracle_GL_mapping1"/>
      <sheetName val="Apr_21_Pension1"/>
      <sheetName val="Apr_21_Bacs1"/>
      <sheetName val="M_26_04_20211"/>
      <sheetName val="Lvl39_ETL1"/>
      <sheetName val="CWG_ETL1"/>
      <sheetName val="01_Control1"/>
      <sheetName val="02_Control1"/>
      <sheetName val="91_Control1"/>
      <sheetName val="ET_Control1"/>
      <sheetName val="01_1"/>
      <sheetName val="01_Jnl1"/>
      <sheetName val="02_Jnl1"/>
      <sheetName val="91_Jnl1"/>
      <sheetName val="ET_Jnl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SHEET"/>
      <sheetName val="NOTES"/>
      <sheetName val="SWITCHES"/>
      <sheetName val="Compare"/>
      <sheetName val="ChartCash"/>
      <sheetName val="ReturnOfCapital"/>
      <sheetName val="DCFValuation"/>
      <sheetName val="LoanBals"/>
      <sheetName val="PRSum"/>
      <sheetName val="Summary"/>
      <sheetName val="KeyAss"/>
      <sheetName val="OfficeRents1"/>
      <sheetName val="OfficeRents2"/>
      <sheetName val="OfficeRents3"/>
      <sheetName val="RetailRents"/>
      <sheetName val="ParkingRents"/>
      <sheetName val="OfficeServiceCharge1"/>
      <sheetName val="OfficeServiceCharge2"/>
      <sheetName val="OfficeServiceCharge3"/>
      <sheetName val="RetailServiceCharge"/>
      <sheetName val="PropertyManagementCosts"/>
      <sheetName val="TakeoverCosts"/>
      <sheetName val="Overheads"/>
      <sheetName val="FinanceLeases1"/>
      <sheetName val="FinanceLeases2"/>
      <sheetName val="ExSec"/>
      <sheetName val="FutSec"/>
      <sheetName val="TermLoans"/>
      <sheetName val="FinMonitoring"/>
      <sheetName val="IntRec"/>
      <sheetName val="TIs1"/>
      <sheetName val="TIs2"/>
      <sheetName val="TIs3"/>
      <sheetName val="RetailCosts"/>
      <sheetName val="Construction"/>
      <sheetName val="OtherCapitalItems"/>
      <sheetName val="JLEIPO"/>
      <sheetName val="Riverside"/>
      <sheetName val="B4CSFB"/>
      <sheetName val="B5CSFB"/>
      <sheetName val="RT2Bdg"/>
      <sheetName val="DS1Bdg"/>
      <sheetName val="DS2HSBC"/>
      <sheetName val="DS3Bdg"/>
      <sheetName val="DS4Bdg"/>
      <sheetName val="DS5Bdg"/>
      <sheetName val="DS6Citibank"/>
      <sheetName val="DS8Bdg"/>
      <sheetName val="WF9MS"/>
      <sheetName val="HQ1Bdg"/>
      <sheetName val="HQ2Bdg"/>
      <sheetName val="HQ3Bdg"/>
      <sheetName val="HQ4Bdg"/>
      <sheetName val="HQ5Bdg"/>
      <sheetName val="RT3Bdg"/>
      <sheetName val="BP1Bdg"/>
      <sheetName val="BP2Bdg"/>
      <sheetName val="BP3Bdg"/>
      <sheetName val="BP4Bdg"/>
      <sheetName val="Shed35Bdg"/>
      <sheetName val="ProjectA"/>
      <sheetName val="CWSInfra"/>
      <sheetName val="ChPlInfra"/>
      <sheetName val="OtherDevelopment"/>
      <sheetName val="BdgAcq"/>
      <sheetName val="VAT"/>
      <sheetName val="ExCap"/>
      <sheetName val="FutCap"/>
      <sheetName val="UnSpecFac"/>
      <sheetName val="CTax"/>
      <sheetName val="Distributions"/>
      <sheetName val="EndBusPlan"/>
      <sheetName val="TXIBreak"/>
      <sheetName val="TXCBreak"/>
      <sheetName val="ManualAdj"/>
      <sheetName val="SHEETHEIGHT"/>
      <sheetName val="AUTOPRINT"/>
      <sheetName val="DOC"/>
      <sheetName val="GLOBALS"/>
      <sheetName val="DS7Tenants"/>
      <sheetName val="Tenancies"/>
      <sheetName val="TXC"/>
      <sheetName val="TXI"/>
      <sheetName val="QS_DEF"/>
      <sheetName val="SPECS"/>
      <sheetName val="OHDS"/>
      <sheetName val="FINLEASES"/>
      <sheetName val="DEVDATA"/>
      <sheetName val="BP"/>
      <sheetName val="FUTDEV"/>
      <sheetName val="DSDEV"/>
      <sheetName val="HQDEV"/>
      <sheetName val="LOANS"/>
      <sheetName val="MISC"/>
      <sheetName val="NEWTAX"/>
      <sheetName val="SEC2"/>
      <sheetName val="RRR"/>
      <sheetName val="ORR"/>
      <sheetName val="CON"/>
      <sheetName val="PMC"/>
      <sheetName val="SCR"/>
      <sheetName val="SEC"/>
      <sheetName val="TIS"/>
      <sheetName val="TOP"/>
      <sheetName val="SECF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obals"/>
      <sheetName val="AUTOPRINT"/>
      <sheetName val="ConNote"/>
      <sheetName val="00"/>
      <sheetName val="01"/>
      <sheetName val="02"/>
      <sheetName val="04"/>
      <sheetName val="C4"/>
      <sheetName val="G2"/>
      <sheetName val="Properties"/>
      <sheetName val="StartNotes"/>
      <sheetName val="Sheet2"/>
      <sheetName val="FRONT"/>
      <sheetName val="Codes"/>
      <sheetName val="Pot Cap"/>
      <sheetName val="DS6"/>
      <sheetName val="HQ Additions 2001"/>
      <sheetName val="HQ 11&amp;12 Purchase"/>
      <sheetName val="B1 Purchase"/>
      <sheetName val="Sheet1"/>
      <sheetName val="Oracle"/>
      <sheetName val="Pot_Cap"/>
      <sheetName val="HQ_Additions_2001"/>
      <sheetName val="HQ_11&amp;12_Purchase"/>
      <sheetName val="B1_Purcha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quest Form"/>
      <sheetName val="FinCharges"/>
      <sheetName val="FinPayables"/>
      <sheetName val="Instructions"/>
      <sheetName val="Vat"/>
      <sheetName val="Budget"/>
      <sheetName val="Recoverability"/>
      <sheetName val="IC"/>
      <sheetName val="CoA"/>
      <sheetName val="Co Info"/>
      <sheetName val="Property Listing by 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ctions"/>
      <sheetName val="FinCharges"/>
      <sheetName val="Request Form"/>
      <sheetName val="VAT"/>
      <sheetName val="Budget"/>
      <sheetName val="Recoverability"/>
      <sheetName val="IC Codes"/>
      <sheetName val="CoA"/>
      <sheetName val="Co Info"/>
      <sheetName val="Prop Listing by 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04374213-5085-494E-ACAA-029A3219852B}" autoFormatId="16" applyNumberFormats="0" applyBorderFormats="0" applyFontFormats="0" applyPatternFormats="0" applyAlignmentFormats="0" applyWidthHeightFormats="0">
  <queryTableRefresh nextId="18">
    <queryTableFields count="16">
      <queryTableField id="1" name="Invoice #" tableColumnId="1"/>
      <queryTableField id="2" name="Name" tableColumnId="2"/>
      <queryTableField id="3" name="Email" tableColumnId="3"/>
      <queryTableField id="4" name="Invoice From" tableColumnId="4"/>
      <queryTableField id="5" name="Invoice To " tableColumnId="5"/>
      <queryTableField id="6" name="Raised on" tableColumnId="6"/>
      <queryTableField id="7" name="Due on" tableColumnId="7"/>
      <queryTableField id="8" name="Paid On" tableColumnId="8"/>
      <queryTableField id="9" name="Total Tax" tableColumnId="9"/>
      <queryTableField id="16" dataBound="0" tableColumnId="15"/>
      <queryTableField id="17" dataBound="0" tableColumnId="16"/>
      <queryTableField id="15" dataBound="0" tableColumnId="14"/>
      <queryTableField id="10" name="Total" tableColumnId="10"/>
      <queryTableField id="11" name="Paid" tableColumnId="11"/>
      <queryTableField id="12" name="Attribute" tableColumnId="12"/>
      <queryTableField id="13" name="Value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1DAFA6B-2C9E-46D6-8CEF-2065963FAFC3}" name="Table1__4" displayName="Table1__4" ref="A1:P3" tableType="queryTable" totalsRowCount="1">
  <autoFilter ref="A1:P2" xr:uid="{B1DAFA6B-2C9E-46D6-8CEF-2065963FAFC3}"/>
  <tableColumns count="16">
    <tableColumn id="1" xr3:uid="{8E6CD840-A67A-4531-96A2-EBED3DC29F3C}" uniqueName="1" name="Invoice #" queryTableFieldId="1"/>
    <tableColumn id="2" xr3:uid="{1BFA42AD-2795-4F68-A661-53D40BE768D6}" uniqueName="2" name="Name" queryTableFieldId="2"/>
    <tableColumn id="3" xr3:uid="{50FF0615-E75F-4240-8993-AB36C4DE13E4}" uniqueName="3" name="Email" queryTableFieldId="3"/>
    <tableColumn id="4" xr3:uid="{B51C4F85-C32D-414B-B86D-AFDD569D69CB}" uniqueName="4" name="Invoice From" queryTableFieldId="4" dataDxfId="19" totalsRowDxfId="18"/>
    <tableColumn id="5" xr3:uid="{9075FB67-456A-4CBD-8ACE-5B31BE5736FD}" uniqueName="5" name="Invoice To " queryTableFieldId="5" dataDxfId="17" totalsRowDxfId="16"/>
    <tableColumn id="6" xr3:uid="{A8D48024-F562-4490-B6E4-91E30F58448A}" uniqueName="6" name="Raised on" queryTableFieldId="6" dataDxfId="15" totalsRowDxfId="14"/>
    <tableColumn id="7" xr3:uid="{3C231D49-81AB-447B-805F-2E50E9C5E93A}" uniqueName="7" name="Due on" queryTableFieldId="7" dataDxfId="13" totalsRowDxfId="12"/>
    <tableColumn id="8" xr3:uid="{16D03DC7-0BC8-4BA6-9C27-EDFF0F5FB1F8}" uniqueName="8" name="Paid On" queryTableFieldId="8" dataDxfId="11" totalsRowDxfId="10"/>
    <tableColumn id="9" xr3:uid="{BF62B3D8-1710-4CE4-8EDF-7421999F1EB9}" uniqueName="9" name="Total Tax" totalsRowFunction="custom" queryTableFieldId="9">
      <totalsRowFormula>SUM(Table1__4[Total Tax])</totalsRowFormula>
    </tableColumn>
    <tableColumn id="15" xr3:uid="{B2E19499-0A1E-46F7-9868-C5E5ADBC1E59}" uniqueName="15" name="Column2" queryTableFieldId="16" dataDxfId="9">
      <calculatedColumnFormula>Table1__4[[#This Row],[Value]]*0.2</calculatedColumnFormula>
    </tableColumn>
    <tableColumn id="16" xr3:uid="{D9B385E8-6EB4-45F9-B852-49B948FF5370}" uniqueName="16" name="Column3" queryTableFieldId="17" dataDxfId="8">
      <calculatedColumnFormula>Table1__4[[#This Row],[Total Tax]]-Table1__4[[#This Row],[Column2]]</calculatedColumnFormula>
    </tableColumn>
    <tableColumn id="14" xr3:uid="{B7DECC9A-FA05-45F6-92D3-84FE959BC787}" uniqueName="14" name="Column1" queryTableFieldId="15" dataDxfId="7">
      <calculatedColumnFormula>Table1__4[[#This Row],[Value]]*1.2</calculatedColumnFormula>
    </tableColumn>
    <tableColumn id="10" xr3:uid="{E6E7E018-9E39-4EF7-A126-FEDB99451497}" uniqueName="10" name="Total" totalsRowFunction="custom" queryTableFieldId="10" totalsRowDxfId="6">
      <totalsRowFormula>SUM(Table1__4[Total])</totalsRowFormula>
    </tableColumn>
    <tableColumn id="11" xr3:uid="{19C316B8-B42B-4FB8-BC6D-FB89A7CB486A}" uniqueName="11" name="Paid" queryTableFieldId="11"/>
    <tableColumn id="12" xr3:uid="{5187B5A5-C3F4-4696-ADFF-83A46052075A}" uniqueName="12" name="Attribute" queryTableFieldId="12" dataDxfId="5"/>
    <tableColumn id="13" xr3:uid="{6FAA9ED7-9651-4351-9EA2-5FC6F0BF863C}" uniqueName="13" name="Value" queryTableFieldId="13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../../../../MercuryProject/YardiShared/References/Forms/AllItems.asp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17" Type="http://schemas.openxmlformats.org/officeDocument/2006/relationships/hyperlink" Target="javascript:OpenNewWindow('../pages/CommonProperty.aspx?PropertyId=2679')" TargetMode="External"/><Relationship Id="rId671" Type="http://schemas.openxmlformats.org/officeDocument/2006/relationships/hyperlink" Target="javascript:OpenNewWindow('../pages/CommonProperty.aspx?PropertyId=449')" TargetMode="External"/><Relationship Id="rId769" Type="http://schemas.openxmlformats.org/officeDocument/2006/relationships/hyperlink" Target="javascript:OpenNewWindow('../pages/CommonProperty.aspx?PropertyId=451')" TargetMode="External"/><Relationship Id="rId21" Type="http://schemas.openxmlformats.org/officeDocument/2006/relationships/hyperlink" Target="javascript:OpenNewWindow('../pages/CommonProperty.aspx?PropertyId=545')" TargetMode="External"/><Relationship Id="rId324" Type="http://schemas.openxmlformats.org/officeDocument/2006/relationships/hyperlink" Target="javascript:OpenNewWindow('../pages/CommonProperty.aspx?PropertyId=540')" TargetMode="External"/><Relationship Id="rId531" Type="http://schemas.openxmlformats.org/officeDocument/2006/relationships/hyperlink" Target="javascript:OpenNewWindow('../pages/CommonProperty.aspx?PropertyId=587')" TargetMode="External"/><Relationship Id="rId629" Type="http://schemas.openxmlformats.org/officeDocument/2006/relationships/hyperlink" Target="javascript:OpenNewWindow('../pages/CommonProperty.aspx?PropertyId=505')" TargetMode="External"/><Relationship Id="rId170" Type="http://schemas.openxmlformats.org/officeDocument/2006/relationships/hyperlink" Target="javascript:OpenNewWindow('../pages/CommonProperty.aspx?PropertyId=565')" TargetMode="External"/><Relationship Id="rId836" Type="http://schemas.openxmlformats.org/officeDocument/2006/relationships/hyperlink" Target="javascript:OpenNewWindow('../pages/CommonProperty.aspx?PropertyId=1999')" TargetMode="External"/><Relationship Id="rId268" Type="http://schemas.openxmlformats.org/officeDocument/2006/relationships/hyperlink" Target="javascript:OpenNewWindow('../pages/CommonProperty.aspx?PropertyId=269')" TargetMode="External"/><Relationship Id="rId475" Type="http://schemas.openxmlformats.org/officeDocument/2006/relationships/hyperlink" Target="javascript:OpenNewWindow('../pages/CommonProperty.aspx?PropertyId=624')" TargetMode="External"/><Relationship Id="rId682" Type="http://schemas.openxmlformats.org/officeDocument/2006/relationships/hyperlink" Target="javascript:OpenNewWindow('../pages/CommonProperty.aspx?PropertyId=400')" TargetMode="External"/><Relationship Id="rId903" Type="http://schemas.openxmlformats.org/officeDocument/2006/relationships/hyperlink" Target="javascript:OpenNewWindow('../pages/CommonProperty.aspx?PropertyId=1978')" TargetMode="External"/><Relationship Id="rId32" Type="http://schemas.openxmlformats.org/officeDocument/2006/relationships/hyperlink" Target="javascript:OpenNewWindow('../pages/CommonProperty.aspx?PropertyId=611')" TargetMode="External"/><Relationship Id="rId128" Type="http://schemas.openxmlformats.org/officeDocument/2006/relationships/hyperlink" Target="javascript:OpenNewWindow('../pages/CommonProperty.aspx?PropertyId=2673')" TargetMode="External"/><Relationship Id="rId335" Type="http://schemas.openxmlformats.org/officeDocument/2006/relationships/hyperlink" Target="javascript:OpenNewWindow('../pages/CommonProperty.aspx?PropertyId=98')" TargetMode="External"/><Relationship Id="rId542" Type="http://schemas.openxmlformats.org/officeDocument/2006/relationships/hyperlink" Target="javascript:OpenNewWindow('../pages/CommonProperty.aspx?PropertyId=513')" TargetMode="External"/><Relationship Id="rId181" Type="http://schemas.openxmlformats.org/officeDocument/2006/relationships/hyperlink" Target="javascript:OpenNewWindow('../pages/CommonProperty.aspx?PropertyId=250')" TargetMode="External"/><Relationship Id="rId402" Type="http://schemas.openxmlformats.org/officeDocument/2006/relationships/hyperlink" Target="javascript:OpenNewWindow('../pages/CommonProperty.aspx?PropertyId=426')" TargetMode="External"/><Relationship Id="rId847" Type="http://schemas.openxmlformats.org/officeDocument/2006/relationships/hyperlink" Target="javascript:OpenNewWindow('../pages/CommonProperty.aspx?PropertyId=2659')" TargetMode="External"/><Relationship Id="rId279" Type="http://schemas.openxmlformats.org/officeDocument/2006/relationships/hyperlink" Target="javascript:OpenNewWindow('../pages/CommonProperty.aspx?PropertyId=261')" TargetMode="External"/><Relationship Id="rId486" Type="http://schemas.openxmlformats.org/officeDocument/2006/relationships/hyperlink" Target="javascript:OpenNewWindow('../pages/CommonProperty.aspx?PropertyId=209')" TargetMode="External"/><Relationship Id="rId693" Type="http://schemas.openxmlformats.org/officeDocument/2006/relationships/hyperlink" Target="javascript:OpenNewWindow('../pages/CommonProperty.aspx?PropertyId=1963')" TargetMode="External"/><Relationship Id="rId707" Type="http://schemas.openxmlformats.org/officeDocument/2006/relationships/hyperlink" Target="javascript:OpenNewWindow('../pages/CommonProperty.aspx?PropertyId=56')" TargetMode="External"/><Relationship Id="rId914" Type="http://schemas.openxmlformats.org/officeDocument/2006/relationships/hyperlink" Target="javascript:OpenNewWindow('../pages/CommonProperty.aspx?PropertyId=2047')" TargetMode="External"/><Relationship Id="rId43" Type="http://schemas.openxmlformats.org/officeDocument/2006/relationships/hyperlink" Target="javascript:OpenNewWindow('../pages/CommonProperty.aspx?PropertyId=5')" TargetMode="External"/><Relationship Id="rId139" Type="http://schemas.openxmlformats.org/officeDocument/2006/relationships/hyperlink" Target="javascript:OpenNewWindow('../pages/CommonProperty.aspx?PropertyId=1936')" TargetMode="External"/><Relationship Id="rId346" Type="http://schemas.openxmlformats.org/officeDocument/2006/relationships/hyperlink" Target="javascript:OpenNewWindow('../pages/CommonProperty.aspx?PropertyId=78')" TargetMode="External"/><Relationship Id="rId553" Type="http://schemas.openxmlformats.org/officeDocument/2006/relationships/hyperlink" Target="javascript:OpenNewWindow('../pages/CommonProperty.aspx?PropertyId=349')" TargetMode="External"/><Relationship Id="rId760" Type="http://schemas.openxmlformats.org/officeDocument/2006/relationships/hyperlink" Target="javascript:OpenNewWindow('../pages/CommonProperty.aspx?PropertyId=467')" TargetMode="External"/><Relationship Id="rId192" Type="http://schemas.openxmlformats.org/officeDocument/2006/relationships/hyperlink" Target="javascript:OpenNewWindow('../pages/CommonProperty.aspx?PropertyId=118')" TargetMode="External"/><Relationship Id="rId206" Type="http://schemas.openxmlformats.org/officeDocument/2006/relationships/hyperlink" Target="javascript:OpenNewWindow('../pages/CommonProperty.aspx?PropertyId=180')" TargetMode="External"/><Relationship Id="rId413" Type="http://schemas.openxmlformats.org/officeDocument/2006/relationships/hyperlink" Target="javascript:OpenNewWindow('../pages/CommonProperty.aspx?PropertyId=333')" TargetMode="External"/><Relationship Id="rId858" Type="http://schemas.openxmlformats.org/officeDocument/2006/relationships/hyperlink" Target="javascript:OpenNewWindow('../pages/CommonProperty.aspx?PropertyId=2915')" TargetMode="External"/><Relationship Id="rId497" Type="http://schemas.openxmlformats.org/officeDocument/2006/relationships/hyperlink" Target="javascript:OpenNewWindow('../pages/CommonProperty.aspx?PropertyId=215')" TargetMode="External"/><Relationship Id="rId620" Type="http://schemas.openxmlformats.org/officeDocument/2006/relationships/hyperlink" Target="javascript:OpenNewWindow('../pages/CommonProperty.aspx?PropertyId=520')" TargetMode="External"/><Relationship Id="rId718" Type="http://schemas.openxmlformats.org/officeDocument/2006/relationships/hyperlink" Target="javascript:OpenNewWindow('../pages/CommonProperty.aspx?PropertyId=640')" TargetMode="External"/><Relationship Id="rId357" Type="http://schemas.openxmlformats.org/officeDocument/2006/relationships/hyperlink" Target="javascript:OpenNewWindow('../pages/CommonProperty.aspx?PropertyId=232')" TargetMode="External"/><Relationship Id="rId54" Type="http://schemas.openxmlformats.org/officeDocument/2006/relationships/hyperlink" Target="javascript:OpenNewWindow('../pages/CommonProperty.aspx?PropertyId=673')" TargetMode="External"/><Relationship Id="rId217" Type="http://schemas.openxmlformats.org/officeDocument/2006/relationships/hyperlink" Target="javascript:OpenNewWindow('../pages/CommonProperty.aspx?PropertyId=142')" TargetMode="External"/><Relationship Id="rId564" Type="http://schemas.openxmlformats.org/officeDocument/2006/relationships/hyperlink" Target="javascript:OpenNewWindow('../pages/CommonProperty.aspx?PropertyId=295')" TargetMode="External"/><Relationship Id="rId771" Type="http://schemas.openxmlformats.org/officeDocument/2006/relationships/hyperlink" Target="javascript:OpenNewWindow('../pages/CommonProperty.aspx?PropertyId=2913')" TargetMode="External"/><Relationship Id="rId869" Type="http://schemas.openxmlformats.org/officeDocument/2006/relationships/hyperlink" Target="javascript:OpenNewWindow('../pages/CommonProperty.aspx?PropertyId=2918')" TargetMode="External"/><Relationship Id="rId424" Type="http://schemas.openxmlformats.org/officeDocument/2006/relationships/hyperlink" Target="javascript:OpenNewWindow('../pages/CommonProperty.aspx?PropertyId=376')" TargetMode="External"/><Relationship Id="rId631" Type="http://schemas.openxmlformats.org/officeDocument/2006/relationships/hyperlink" Target="javascript:OpenNewWindow('../pages/CommonProperty.aspx?PropertyId=503')" TargetMode="External"/><Relationship Id="rId729" Type="http://schemas.openxmlformats.org/officeDocument/2006/relationships/hyperlink" Target="javascript:OpenNewWindow('../pages/CommonProperty.aspx?PropertyId=105')" TargetMode="External"/><Relationship Id="rId270" Type="http://schemas.openxmlformats.org/officeDocument/2006/relationships/hyperlink" Target="javascript:OpenNewWindow('../pages/CommonProperty.aspx?PropertyId=271')" TargetMode="External"/><Relationship Id="rId65" Type="http://schemas.openxmlformats.org/officeDocument/2006/relationships/hyperlink" Target="javascript:OpenNewWindow('../pages/CommonProperty.aspx?PropertyId=2726')" TargetMode="External"/><Relationship Id="rId130" Type="http://schemas.openxmlformats.org/officeDocument/2006/relationships/hyperlink" Target="javascript:OpenNewWindow('../pages/CommonProperty.aspx?PropertyId=7')" TargetMode="External"/><Relationship Id="rId368" Type="http://schemas.openxmlformats.org/officeDocument/2006/relationships/hyperlink" Target="javascript:OpenNewWindow('../pages/CommonProperty.aspx?PropertyId=289')" TargetMode="External"/><Relationship Id="rId575" Type="http://schemas.openxmlformats.org/officeDocument/2006/relationships/hyperlink" Target="javascript:OpenNewWindow('../pages/CommonProperty.aspx?PropertyId=145')" TargetMode="External"/><Relationship Id="rId782" Type="http://schemas.openxmlformats.org/officeDocument/2006/relationships/hyperlink" Target="javascript:OpenNewWindow('../pages/CommonProperty.aspx?PropertyId=37')" TargetMode="External"/><Relationship Id="rId228" Type="http://schemas.openxmlformats.org/officeDocument/2006/relationships/hyperlink" Target="javascript:OpenNewWindow('../pages/CommonProperty.aspx?PropertyId=159')" TargetMode="External"/><Relationship Id="rId435" Type="http://schemas.openxmlformats.org/officeDocument/2006/relationships/hyperlink" Target="javascript:OpenNewWindow('../pages/CommonProperty.aspx?PropertyId=396')" TargetMode="External"/><Relationship Id="rId642" Type="http://schemas.openxmlformats.org/officeDocument/2006/relationships/hyperlink" Target="javascript:OpenNewWindow('../pages/CommonProperty.aspx?PropertyId=2781')" TargetMode="External"/><Relationship Id="rId281" Type="http://schemas.openxmlformats.org/officeDocument/2006/relationships/hyperlink" Target="javascript:OpenNewWindow('../pages/CommonProperty.aspx?PropertyId=134')" TargetMode="External"/><Relationship Id="rId502" Type="http://schemas.openxmlformats.org/officeDocument/2006/relationships/hyperlink" Target="javascript:OpenNewWindow('../pages/CommonProperty.aspx?PropertyId=312')" TargetMode="External"/><Relationship Id="rId76" Type="http://schemas.openxmlformats.org/officeDocument/2006/relationships/hyperlink" Target="javascript:OpenNewWindow('../pages/CommonProperty.aspx?PropertyId=2682')" TargetMode="External"/><Relationship Id="rId141" Type="http://schemas.openxmlformats.org/officeDocument/2006/relationships/hyperlink" Target="javascript:OpenNewWindow('../pages/CommonProperty.aspx?PropertyId=474')" TargetMode="External"/><Relationship Id="rId379" Type="http://schemas.openxmlformats.org/officeDocument/2006/relationships/hyperlink" Target="javascript:OpenNewWindow('../pages/CommonProperty.aspx?PropertyId=316')" TargetMode="External"/><Relationship Id="rId586" Type="http://schemas.openxmlformats.org/officeDocument/2006/relationships/hyperlink" Target="javascript:OpenNewWindow('../pages/CommonProperty.aspx?PropertyId=241')" TargetMode="External"/><Relationship Id="rId793" Type="http://schemas.openxmlformats.org/officeDocument/2006/relationships/hyperlink" Target="javascript:OpenNewWindow('../pages/CommonProperty.aspx?PropertyId=493')" TargetMode="External"/><Relationship Id="rId807" Type="http://schemas.openxmlformats.org/officeDocument/2006/relationships/hyperlink" Target="javascript:OpenNewWindow('../pages/CommonProperty.aspx?PropertyId=3095')" TargetMode="External"/><Relationship Id="rId7" Type="http://schemas.openxmlformats.org/officeDocument/2006/relationships/hyperlink" Target="javascript:OpenNewWindow('../pages/CommonProperty.aspx?PropertyId=583')" TargetMode="External"/><Relationship Id="rId239" Type="http://schemas.openxmlformats.org/officeDocument/2006/relationships/hyperlink" Target="javascript:OpenNewWindow('../pages/CommonProperty.aspx?PropertyId=127')" TargetMode="External"/><Relationship Id="rId446" Type="http://schemas.openxmlformats.org/officeDocument/2006/relationships/hyperlink" Target="javascript:OpenNewWindow('../pages/CommonProperty.aspx?PropertyId=321')" TargetMode="External"/><Relationship Id="rId653" Type="http://schemas.openxmlformats.org/officeDocument/2006/relationships/hyperlink" Target="javascript:OpenNewWindow('../pages/CommonProperty.aspx?PropertyId=1966')" TargetMode="External"/><Relationship Id="rId292" Type="http://schemas.openxmlformats.org/officeDocument/2006/relationships/hyperlink" Target="javascript:OpenNewWindow('../pages/CommonProperty.aspx?PropertyId=590')" TargetMode="External"/><Relationship Id="rId306" Type="http://schemas.openxmlformats.org/officeDocument/2006/relationships/hyperlink" Target="javascript:OpenNewWindow('../pages/CommonProperty.aspx?PropertyId=74')" TargetMode="External"/><Relationship Id="rId860" Type="http://schemas.openxmlformats.org/officeDocument/2006/relationships/hyperlink" Target="javascript:OpenNewWindow('../pages/CommonProperty.aspx?PropertyId=2991')" TargetMode="External"/><Relationship Id="rId87" Type="http://schemas.openxmlformats.org/officeDocument/2006/relationships/hyperlink" Target="javascript:OpenNewWindow('../pages/CommonProperty.aspx?PropertyId=2704')" TargetMode="External"/><Relationship Id="rId513" Type="http://schemas.openxmlformats.org/officeDocument/2006/relationships/hyperlink" Target="javascript:OpenNewWindow('../pages/CommonProperty.aspx?PropertyId=223')" TargetMode="External"/><Relationship Id="rId597" Type="http://schemas.openxmlformats.org/officeDocument/2006/relationships/hyperlink" Target="javascript:OpenNewWindow('../pages/CommonProperty.aspx?PropertyId=598')" TargetMode="External"/><Relationship Id="rId720" Type="http://schemas.openxmlformats.org/officeDocument/2006/relationships/hyperlink" Target="javascript:OpenNewWindow('../pages/CommonProperty.aspx?PropertyId=1219')" TargetMode="External"/><Relationship Id="rId818" Type="http://schemas.openxmlformats.org/officeDocument/2006/relationships/hyperlink" Target="javascript:OpenNewWindow('../pages/CommonProperty.aspx?PropertyId=2745')" TargetMode="External"/><Relationship Id="rId152" Type="http://schemas.openxmlformats.org/officeDocument/2006/relationships/hyperlink" Target="javascript:OpenNewWindow('../pages/CommonProperty.aspx?PropertyId=488')" TargetMode="External"/><Relationship Id="rId457" Type="http://schemas.openxmlformats.org/officeDocument/2006/relationships/hyperlink" Target="javascript:OpenNewWindow('../pages/CommonProperty.aspx?PropertyId=618')" TargetMode="External"/><Relationship Id="rId664" Type="http://schemas.openxmlformats.org/officeDocument/2006/relationships/hyperlink" Target="javascript:OpenNewWindow('../pages/CommonProperty.aspx?PropertyId=647')" TargetMode="External"/><Relationship Id="rId871" Type="http://schemas.openxmlformats.org/officeDocument/2006/relationships/hyperlink" Target="javascript:OpenNewWindow('../pages/CommonProperty.aspx?PropertyId=2946')" TargetMode="External"/><Relationship Id="rId14" Type="http://schemas.openxmlformats.org/officeDocument/2006/relationships/hyperlink" Target="javascript:OpenNewWindow('../pages/CommonProperty.aspx?PropertyId=3')" TargetMode="External"/><Relationship Id="rId317" Type="http://schemas.openxmlformats.org/officeDocument/2006/relationships/hyperlink" Target="javascript:OpenNewWindow('../pages/CommonProperty.aspx?PropertyId=264')" TargetMode="External"/><Relationship Id="rId524" Type="http://schemas.openxmlformats.org/officeDocument/2006/relationships/hyperlink" Target="javascript:OpenNewWindow('../pages/CommonProperty.aspx?PropertyId=459')" TargetMode="External"/><Relationship Id="rId731" Type="http://schemas.openxmlformats.org/officeDocument/2006/relationships/hyperlink" Target="javascript:OpenNewWindow('../pages/CommonProperty.aspx?PropertyId=106')" TargetMode="External"/><Relationship Id="rId98" Type="http://schemas.openxmlformats.org/officeDocument/2006/relationships/hyperlink" Target="javascript:OpenNewWindow('../pages/CommonProperty.aspx?PropertyId=2714')" TargetMode="External"/><Relationship Id="rId163" Type="http://schemas.openxmlformats.org/officeDocument/2006/relationships/hyperlink" Target="javascript:OpenNewWindow('../pages/CommonProperty.aspx?PropertyId=27')" TargetMode="External"/><Relationship Id="rId370" Type="http://schemas.openxmlformats.org/officeDocument/2006/relationships/hyperlink" Target="javascript:OpenNewWindow('../pages/CommonProperty.aspx?PropertyId=291')" TargetMode="External"/><Relationship Id="rId829" Type="http://schemas.openxmlformats.org/officeDocument/2006/relationships/hyperlink" Target="javascript:OpenNewWindow('../pages/CommonProperty.aspx?PropertyId=1974')" TargetMode="External"/><Relationship Id="rId230" Type="http://schemas.openxmlformats.org/officeDocument/2006/relationships/hyperlink" Target="javascript:OpenNewWindow('../pages/CommonProperty.aspx?PropertyId=161')" TargetMode="External"/><Relationship Id="rId468" Type="http://schemas.openxmlformats.org/officeDocument/2006/relationships/hyperlink" Target="javascript:OpenNewWindow('../pages/CommonProperty.aspx?PropertyId=199')" TargetMode="External"/><Relationship Id="rId675" Type="http://schemas.openxmlformats.org/officeDocument/2006/relationships/hyperlink" Target="javascript:OpenNewWindow('../pages/CommonProperty.aspx?PropertyId=358')" TargetMode="External"/><Relationship Id="rId882" Type="http://schemas.openxmlformats.org/officeDocument/2006/relationships/hyperlink" Target="javascript:OpenNewWindow('../pages/CommonProperty.aspx?PropertyId=2971')" TargetMode="External"/><Relationship Id="rId25" Type="http://schemas.openxmlformats.org/officeDocument/2006/relationships/hyperlink" Target="javascript:OpenNewWindow('../pages/CommonProperty.aspx?PropertyId=573')" TargetMode="External"/><Relationship Id="rId328" Type="http://schemas.openxmlformats.org/officeDocument/2006/relationships/hyperlink" Target="javascript:OpenNewWindow('../pages/CommonProperty.aspx?PropertyId=275')" TargetMode="External"/><Relationship Id="rId535" Type="http://schemas.openxmlformats.org/officeDocument/2006/relationships/hyperlink" Target="javascript:OpenNewWindow('../pages/CommonProperty.aspx?PropertyId=343')" TargetMode="External"/><Relationship Id="rId742" Type="http://schemas.openxmlformats.org/officeDocument/2006/relationships/hyperlink" Target="javascript:OpenNewWindow('../pages/CommonProperty.aspx?PropertyId=91')" TargetMode="External"/><Relationship Id="rId174" Type="http://schemas.openxmlformats.org/officeDocument/2006/relationships/hyperlink" Target="javascript:OpenNewWindow('../pages/CommonProperty.aspx?PropertyId=113')" TargetMode="External"/><Relationship Id="rId381" Type="http://schemas.openxmlformats.org/officeDocument/2006/relationships/hyperlink" Target="javascript:OpenNewWindow('../pages/CommonProperty.aspx?PropertyId=317')" TargetMode="External"/><Relationship Id="rId602" Type="http://schemas.openxmlformats.org/officeDocument/2006/relationships/hyperlink" Target="javascript:OpenNewWindow('../pages/CommonProperty.aspx?PropertyId=502')" TargetMode="External"/><Relationship Id="rId241" Type="http://schemas.openxmlformats.org/officeDocument/2006/relationships/hyperlink" Target="javascript:OpenNewWindow('../pages/CommonProperty.aspx?PropertyId=522')" TargetMode="External"/><Relationship Id="rId479" Type="http://schemas.openxmlformats.org/officeDocument/2006/relationships/hyperlink" Target="javascript:OpenNewWindow('../pages/CommonProperty.aspx?PropertyId=205')" TargetMode="External"/><Relationship Id="rId686" Type="http://schemas.openxmlformats.org/officeDocument/2006/relationships/hyperlink" Target="javascript:OpenNewWindow('../pages/CommonProperty.aspx?PropertyId=403')" TargetMode="External"/><Relationship Id="rId893" Type="http://schemas.openxmlformats.org/officeDocument/2006/relationships/hyperlink" Target="javascript:OpenNewWindow('../pages/CommonProperty.aspx?PropertyId=3012')" TargetMode="External"/><Relationship Id="rId907" Type="http://schemas.openxmlformats.org/officeDocument/2006/relationships/hyperlink" Target="javascript:OpenNewWindow('../pages/CommonProperty.aspx?PropertyId=2850')" TargetMode="External"/><Relationship Id="rId36" Type="http://schemas.openxmlformats.org/officeDocument/2006/relationships/hyperlink" Target="javascript:OpenNewWindow('../pages/CommonProperty.aspx?PropertyId=1991')" TargetMode="External"/><Relationship Id="rId339" Type="http://schemas.openxmlformats.org/officeDocument/2006/relationships/hyperlink" Target="javascript:OpenNewWindow('../pages/CommonProperty.aspx?PropertyId=1932')" TargetMode="External"/><Relationship Id="rId546" Type="http://schemas.openxmlformats.org/officeDocument/2006/relationships/hyperlink" Target="javascript:OpenNewWindow('../pages/CommonProperty.aspx?PropertyId=341')" TargetMode="External"/><Relationship Id="rId753" Type="http://schemas.openxmlformats.org/officeDocument/2006/relationships/hyperlink" Target="javascript:OpenNewWindow('../pages/CommonProperty.aspx?PropertyId=59')" TargetMode="External"/><Relationship Id="rId101" Type="http://schemas.openxmlformats.org/officeDocument/2006/relationships/hyperlink" Target="javascript:OpenNewWindow('../pages/CommonProperty.aspx?PropertyId=2715')" TargetMode="External"/><Relationship Id="rId185" Type="http://schemas.openxmlformats.org/officeDocument/2006/relationships/hyperlink" Target="javascript:OpenNewWindow('../pages/CommonProperty.aspx?PropertyId=130')" TargetMode="External"/><Relationship Id="rId406" Type="http://schemas.openxmlformats.org/officeDocument/2006/relationships/hyperlink" Target="javascript:OpenNewWindow('../pages/CommonProperty.aspx?PropertyId=546')" TargetMode="External"/><Relationship Id="rId392" Type="http://schemas.openxmlformats.org/officeDocument/2006/relationships/hyperlink" Target="javascript:OpenNewWindow('../pages/CommonProperty.aspx?PropertyId=418')" TargetMode="External"/><Relationship Id="rId613" Type="http://schemas.openxmlformats.org/officeDocument/2006/relationships/hyperlink" Target="javascript:OpenNewWindow('../pages/CommonProperty.aspx?PropertyId=51')" TargetMode="External"/><Relationship Id="rId697" Type="http://schemas.openxmlformats.org/officeDocument/2006/relationships/hyperlink" Target="javascript:OpenNewWindow('../pages/CommonProperty.aspx?PropertyId=599')" TargetMode="External"/><Relationship Id="rId820" Type="http://schemas.openxmlformats.org/officeDocument/2006/relationships/hyperlink" Target="javascript:OpenNewWindow('../pages/CommonProperty.aspx?PropertyId=2747')" TargetMode="External"/><Relationship Id="rId918" Type="http://schemas.openxmlformats.org/officeDocument/2006/relationships/hyperlink" Target="javascript:OpenNewWindow('../pages/CommonProperty.aspx?PropertyId=2627')" TargetMode="External"/><Relationship Id="rId252" Type="http://schemas.openxmlformats.org/officeDocument/2006/relationships/hyperlink" Target="javascript:OpenNewWindow('../pages/CommonProperty.aspx?PropertyId=534')" TargetMode="External"/><Relationship Id="rId47" Type="http://schemas.openxmlformats.org/officeDocument/2006/relationships/hyperlink" Target="javascript:OpenNewWindow('../pages/CommonProperty.aspx?PropertyId=2724')" TargetMode="External"/><Relationship Id="rId112" Type="http://schemas.openxmlformats.org/officeDocument/2006/relationships/hyperlink" Target="javascript:OpenNewWindow('../pages/CommonProperty.aspx?PropertyId=2784')" TargetMode="External"/><Relationship Id="rId557" Type="http://schemas.openxmlformats.org/officeDocument/2006/relationships/hyperlink" Target="javascript:OpenNewWindow('../pages/CommonProperty.aspx?PropertyId=533')" TargetMode="External"/><Relationship Id="rId764" Type="http://schemas.openxmlformats.org/officeDocument/2006/relationships/hyperlink" Target="javascript:OpenNewWindow('../pages/CommonProperty.aspx?PropertyId=471')" TargetMode="External"/><Relationship Id="rId196" Type="http://schemas.openxmlformats.org/officeDocument/2006/relationships/hyperlink" Target="javascript:OpenNewWindow('../pages/CommonProperty.aspx?PropertyId=30')" TargetMode="External"/><Relationship Id="rId417" Type="http://schemas.openxmlformats.org/officeDocument/2006/relationships/hyperlink" Target="javascript:OpenNewWindow('../pages/CommonProperty.aspx?PropertyId=549')" TargetMode="External"/><Relationship Id="rId624" Type="http://schemas.openxmlformats.org/officeDocument/2006/relationships/hyperlink" Target="javascript:OpenNewWindow('../pages/CommonProperty.aspx?PropertyId=517')" TargetMode="External"/><Relationship Id="rId831" Type="http://schemas.openxmlformats.org/officeDocument/2006/relationships/hyperlink" Target="javascript:OpenNewWindow('../pages/CommonProperty.aspx?PropertyId=1994')" TargetMode="External"/><Relationship Id="rId263" Type="http://schemas.openxmlformats.org/officeDocument/2006/relationships/hyperlink" Target="javascript:OpenNewWindow('../pages/CommonProperty.aspx?PropertyId=174')" TargetMode="External"/><Relationship Id="rId470" Type="http://schemas.openxmlformats.org/officeDocument/2006/relationships/hyperlink" Target="javascript:OpenNewWindow('../pages/CommonProperty.aspx?PropertyId=201')" TargetMode="External"/><Relationship Id="rId58" Type="http://schemas.openxmlformats.org/officeDocument/2006/relationships/hyperlink" Target="javascript:OpenNewWindow('../pages/CommonProperty.aspx?PropertyId=2669')" TargetMode="External"/><Relationship Id="rId123" Type="http://schemas.openxmlformats.org/officeDocument/2006/relationships/hyperlink" Target="javascript:OpenNewWindow('../pages/CommonProperty.aspx?PropertyId=2952')" TargetMode="External"/><Relationship Id="rId330" Type="http://schemas.openxmlformats.org/officeDocument/2006/relationships/hyperlink" Target="javascript:OpenNewWindow('../pages/CommonProperty.aspx?PropertyId=585')" TargetMode="External"/><Relationship Id="rId568" Type="http://schemas.openxmlformats.org/officeDocument/2006/relationships/hyperlink" Target="javascript:OpenNewWindow('../pages/CommonProperty.aspx?PropertyId=53')" TargetMode="External"/><Relationship Id="rId775" Type="http://schemas.openxmlformats.org/officeDocument/2006/relationships/hyperlink" Target="javascript:OpenNewWindow('../pages/CommonProperty.aspx?PropertyId=454')" TargetMode="External"/><Relationship Id="rId428" Type="http://schemas.openxmlformats.org/officeDocument/2006/relationships/hyperlink" Target="javascript:OpenNewWindow('../pages/CommonProperty.aspx?PropertyId=392')" TargetMode="External"/><Relationship Id="rId635" Type="http://schemas.openxmlformats.org/officeDocument/2006/relationships/hyperlink" Target="javascript:OpenNewWindow('../pages/CommonProperty.aspx?PropertyId=63')" TargetMode="External"/><Relationship Id="rId842" Type="http://schemas.openxmlformats.org/officeDocument/2006/relationships/hyperlink" Target="javascript:OpenNewWindow('../pages/CommonProperty.aspx?PropertyId=2069')" TargetMode="External"/><Relationship Id="rId274" Type="http://schemas.openxmlformats.org/officeDocument/2006/relationships/hyperlink" Target="javascript:OpenNewWindow('../pages/CommonProperty.aspx?PropertyId=273')" TargetMode="External"/><Relationship Id="rId481" Type="http://schemas.openxmlformats.org/officeDocument/2006/relationships/hyperlink" Target="javascript:OpenNewWindow('../pages/CommonProperty.aspx?PropertyId=207')" TargetMode="External"/><Relationship Id="rId702" Type="http://schemas.openxmlformats.org/officeDocument/2006/relationships/hyperlink" Target="javascript:OpenNewWindow('../pages/CommonProperty.aspx?PropertyId=21')" TargetMode="External"/><Relationship Id="rId69" Type="http://schemas.openxmlformats.org/officeDocument/2006/relationships/hyperlink" Target="javascript:OpenNewWindow('../pages/CommonProperty.aspx?PropertyId=2773')" TargetMode="External"/><Relationship Id="rId134" Type="http://schemas.openxmlformats.org/officeDocument/2006/relationships/hyperlink" Target="javascript:OpenNewWindow('../pages/CommonProperty.aspx?PropertyId=11')" TargetMode="External"/><Relationship Id="rId579" Type="http://schemas.openxmlformats.org/officeDocument/2006/relationships/hyperlink" Target="javascript:OpenNewWindow('../pages/CommonProperty.aspx?PropertyId=277')" TargetMode="External"/><Relationship Id="rId786" Type="http://schemas.openxmlformats.org/officeDocument/2006/relationships/hyperlink" Target="javascript:OpenNewWindow('../pages/CommonProperty.aspx?PropertyId=41')" TargetMode="External"/><Relationship Id="rId341" Type="http://schemas.openxmlformats.org/officeDocument/2006/relationships/hyperlink" Target="javascript:OpenNewWindow('../pages/CommonProperty.aspx?PropertyId=75')" TargetMode="External"/><Relationship Id="rId439" Type="http://schemas.openxmlformats.org/officeDocument/2006/relationships/hyperlink" Target="javascript:OpenNewWindow('../pages/CommonProperty.aspx?PropertyId=462')" TargetMode="External"/><Relationship Id="rId646" Type="http://schemas.openxmlformats.org/officeDocument/2006/relationships/hyperlink" Target="javascript:OpenNewWindow('../pages/CommonProperty.aspx?PropertyId=385')" TargetMode="External"/><Relationship Id="rId201" Type="http://schemas.openxmlformats.org/officeDocument/2006/relationships/hyperlink" Target="javascript:OpenNewWindow('../pages/CommonProperty.aspx?PropertyId=121')" TargetMode="External"/><Relationship Id="rId285" Type="http://schemas.openxmlformats.org/officeDocument/2006/relationships/hyperlink" Target="javascript:OpenNewWindow('../pages/CommonProperty.aspx?PropertyId=138')" TargetMode="External"/><Relationship Id="rId506" Type="http://schemas.openxmlformats.org/officeDocument/2006/relationships/hyperlink" Target="javascript:OpenNewWindow('../pages/CommonProperty.aspx?PropertyId=218')" TargetMode="External"/><Relationship Id="rId853" Type="http://schemas.openxmlformats.org/officeDocument/2006/relationships/hyperlink" Target="javascript:OpenNewWindow('../pages/CommonProperty.aspx?PropertyId=2776')" TargetMode="External"/><Relationship Id="rId492" Type="http://schemas.openxmlformats.org/officeDocument/2006/relationships/hyperlink" Target="javascript:OpenNewWindow('../pages/CommonProperty.aspx?PropertyId=628')" TargetMode="External"/><Relationship Id="rId713" Type="http://schemas.openxmlformats.org/officeDocument/2006/relationships/hyperlink" Target="javascript:OpenNewWindow('../pages/CommonProperty.aspx?PropertyId=1218')" TargetMode="External"/><Relationship Id="rId797" Type="http://schemas.openxmlformats.org/officeDocument/2006/relationships/hyperlink" Target="javascript:OpenNewWindow('../pages/CommonProperty.aspx?PropertyId=2667')" TargetMode="External"/><Relationship Id="rId145" Type="http://schemas.openxmlformats.org/officeDocument/2006/relationships/hyperlink" Target="javascript:OpenNewWindow('../pages/CommonProperty.aspx?PropertyId=478')" TargetMode="External"/><Relationship Id="rId352" Type="http://schemas.openxmlformats.org/officeDocument/2006/relationships/hyperlink" Target="javascript:OpenNewWindow('../pages/CommonProperty.aspx?PropertyId=83')" TargetMode="External"/><Relationship Id="rId212" Type="http://schemas.openxmlformats.org/officeDocument/2006/relationships/hyperlink" Target="javascript:OpenNewWindow('../pages/CommonProperty.aspx?PropertyId=566')" TargetMode="External"/><Relationship Id="rId657" Type="http://schemas.openxmlformats.org/officeDocument/2006/relationships/hyperlink" Target="javascript:OpenNewWindow('../pages/CommonProperty.aspx?PropertyId=1968')" TargetMode="External"/><Relationship Id="rId864" Type="http://schemas.openxmlformats.org/officeDocument/2006/relationships/hyperlink" Target="javascript:OpenNewWindow('../pages/CommonProperty.aspx?PropertyId=2994')" TargetMode="External"/><Relationship Id="rId296" Type="http://schemas.openxmlformats.org/officeDocument/2006/relationships/hyperlink" Target="javascript:OpenNewWindow('../pages/CommonProperty.aspx?PropertyId=99')" TargetMode="External"/><Relationship Id="rId517" Type="http://schemas.openxmlformats.org/officeDocument/2006/relationships/hyperlink" Target="javascript:OpenNewWindow('../pages/CommonProperty.aspx?PropertyId=190')" TargetMode="External"/><Relationship Id="rId724" Type="http://schemas.openxmlformats.org/officeDocument/2006/relationships/hyperlink" Target="javascript:OpenNewWindow('../pages/CommonProperty.aspx?PropertyId=1934')" TargetMode="External"/><Relationship Id="rId60" Type="http://schemas.openxmlformats.org/officeDocument/2006/relationships/hyperlink" Target="javascript:OpenNewWindow('../pages/CommonProperty.aspx?PropertyId=2690')" TargetMode="External"/><Relationship Id="rId156" Type="http://schemas.openxmlformats.org/officeDocument/2006/relationships/hyperlink" Target="javascript:OpenNewWindow('../pages/CommonProperty.aspx?PropertyId=497')" TargetMode="External"/><Relationship Id="rId363" Type="http://schemas.openxmlformats.org/officeDocument/2006/relationships/hyperlink" Target="javascript:OpenNewWindow('../pages/CommonProperty.aspx?PropertyId=187')" TargetMode="External"/><Relationship Id="rId570" Type="http://schemas.openxmlformats.org/officeDocument/2006/relationships/hyperlink" Target="javascript:OpenNewWindow('../pages/CommonProperty.aspx?PropertyId=42')" TargetMode="External"/><Relationship Id="rId223" Type="http://schemas.openxmlformats.org/officeDocument/2006/relationships/hyperlink" Target="javascript:OpenNewWindow('../pages/CommonProperty.aspx?PropertyId=154')" TargetMode="External"/><Relationship Id="rId430" Type="http://schemas.openxmlformats.org/officeDocument/2006/relationships/hyperlink" Target="javascript:OpenNewWindow('../pages/CommonProperty.aspx?PropertyId=2774')" TargetMode="External"/><Relationship Id="rId668" Type="http://schemas.openxmlformats.org/officeDocument/2006/relationships/hyperlink" Target="javascript:OpenNewWindow('../pages/CommonProperty.aspx?PropertyId=464')" TargetMode="External"/><Relationship Id="rId875" Type="http://schemas.openxmlformats.org/officeDocument/2006/relationships/hyperlink" Target="javascript:OpenNewWindow('../pages/CommonProperty.aspx?PropertyId=2949')" TargetMode="External"/><Relationship Id="rId18" Type="http://schemas.openxmlformats.org/officeDocument/2006/relationships/hyperlink" Target="javascript:OpenNewWindow('../pages/CommonProperty.aspx?PropertyId=4')" TargetMode="External"/><Relationship Id="rId528" Type="http://schemas.openxmlformats.org/officeDocument/2006/relationships/hyperlink" Target="javascript:OpenNewWindow('../pages/CommonProperty.aspx?PropertyId=327')" TargetMode="External"/><Relationship Id="rId735" Type="http://schemas.openxmlformats.org/officeDocument/2006/relationships/hyperlink" Target="javascript:OpenNewWindow('../pages/CommonProperty.aspx?PropertyId=605')" TargetMode="External"/><Relationship Id="rId167" Type="http://schemas.openxmlformats.org/officeDocument/2006/relationships/hyperlink" Target="javascript:OpenNewWindow('../pages/CommonProperty.aspx?PropertyId=663')" TargetMode="External"/><Relationship Id="rId374" Type="http://schemas.openxmlformats.org/officeDocument/2006/relationships/hyperlink" Target="javascript:OpenNewWindow('../pages/CommonProperty.aspx?PropertyId=434')" TargetMode="External"/><Relationship Id="rId581" Type="http://schemas.openxmlformats.org/officeDocument/2006/relationships/hyperlink" Target="javascript:OpenNewWindow('../pages/CommonProperty.aspx?PropertyId=296')" TargetMode="External"/><Relationship Id="rId71" Type="http://schemas.openxmlformats.org/officeDocument/2006/relationships/hyperlink" Target="javascript:OpenNewWindow('../pages/CommonProperty.aspx?PropertyId=2680')" TargetMode="External"/><Relationship Id="rId234" Type="http://schemas.openxmlformats.org/officeDocument/2006/relationships/hyperlink" Target="javascript:OpenNewWindow('../pages/CommonProperty.aspx?PropertyId=165')" TargetMode="External"/><Relationship Id="rId679" Type="http://schemas.openxmlformats.org/officeDocument/2006/relationships/hyperlink" Target="javascript:OpenNewWindow('../pages/CommonProperty.aspx?PropertyId=398')" TargetMode="External"/><Relationship Id="rId802" Type="http://schemas.openxmlformats.org/officeDocument/2006/relationships/hyperlink" Target="javascript:OpenNewWindow('../pages/CommonProperty.aspx?PropertyId=413')" TargetMode="External"/><Relationship Id="rId886" Type="http://schemas.openxmlformats.org/officeDocument/2006/relationships/hyperlink" Target="javascript:OpenNewWindow('../pages/CommonProperty.aspx?PropertyId=2981')" TargetMode="External"/><Relationship Id="rId2" Type="http://schemas.openxmlformats.org/officeDocument/2006/relationships/hyperlink" Target="javascript:OpenNewWindow('../pages/CommonProperty.aspx?PropertyId=532')" TargetMode="External"/><Relationship Id="rId29" Type="http://schemas.openxmlformats.org/officeDocument/2006/relationships/hyperlink" Target="javascript:OpenNewWindow('../pages/CommonProperty.aspx?PropertyId=608')" TargetMode="External"/><Relationship Id="rId441" Type="http://schemas.openxmlformats.org/officeDocument/2006/relationships/hyperlink" Target="javascript:OpenNewWindow('../pages/CommonProperty.aspx?PropertyId=515')" TargetMode="External"/><Relationship Id="rId539" Type="http://schemas.openxmlformats.org/officeDocument/2006/relationships/hyperlink" Target="javascript:OpenNewWindow('../pages/CommonProperty.aspx?PropertyId=345')" TargetMode="External"/><Relationship Id="rId746" Type="http://schemas.openxmlformats.org/officeDocument/2006/relationships/hyperlink" Target="javascript:OpenNewWindow('../pages/CommonProperty.aspx?PropertyId=95')" TargetMode="External"/><Relationship Id="rId178" Type="http://schemas.openxmlformats.org/officeDocument/2006/relationships/hyperlink" Target="javascript:OpenNewWindow('../pages/CommonProperty.aspx?PropertyId=235')" TargetMode="External"/><Relationship Id="rId301" Type="http://schemas.openxmlformats.org/officeDocument/2006/relationships/hyperlink" Target="javascript:OpenNewWindow('../pages/CommonProperty.aspx?PropertyId=630')" TargetMode="External"/><Relationship Id="rId82" Type="http://schemas.openxmlformats.org/officeDocument/2006/relationships/hyperlink" Target="javascript:OpenNewWindow('../pages/CommonProperty.aspx?PropertyId=2700')" TargetMode="External"/><Relationship Id="rId385" Type="http://schemas.openxmlformats.org/officeDocument/2006/relationships/hyperlink" Target="javascript:OpenNewWindow('../pages/CommonProperty.aspx?PropertyId=68')" TargetMode="External"/><Relationship Id="rId592" Type="http://schemas.openxmlformats.org/officeDocument/2006/relationships/hyperlink" Target="javascript:OpenNewWindow('../pages/CommonProperty.aspx?PropertyId=507')" TargetMode="External"/><Relationship Id="rId606" Type="http://schemas.openxmlformats.org/officeDocument/2006/relationships/hyperlink" Target="javascript:OpenNewWindow('../pages/CommonProperty.aspx?PropertyId=254')" TargetMode="External"/><Relationship Id="rId813" Type="http://schemas.openxmlformats.org/officeDocument/2006/relationships/hyperlink" Target="javascript:OpenNewWindow('../pages/CommonProperty.aspx?PropertyId=2018')" TargetMode="External"/><Relationship Id="rId245" Type="http://schemas.openxmlformats.org/officeDocument/2006/relationships/hyperlink" Target="javascript:OpenNewWindow('../pages/CommonProperty.aspx?PropertyId=526')" TargetMode="External"/><Relationship Id="rId452" Type="http://schemas.openxmlformats.org/officeDocument/2006/relationships/hyperlink" Target="javascript:OpenNewWindow('../pages/CommonProperty.aspx?PropertyId=193')" TargetMode="External"/><Relationship Id="rId897" Type="http://schemas.openxmlformats.org/officeDocument/2006/relationships/hyperlink" Target="javascript:OpenNewWindow('../pages/CommonProperty.aspx?PropertyId=3016')" TargetMode="External"/><Relationship Id="rId105" Type="http://schemas.openxmlformats.org/officeDocument/2006/relationships/hyperlink" Target="javascript:OpenNewWindow('../pages/CommonProperty.aspx?PropertyId=2718')" TargetMode="External"/><Relationship Id="rId312" Type="http://schemas.openxmlformats.org/officeDocument/2006/relationships/hyperlink" Target="javascript:OpenNewWindow('../pages/CommonProperty.aspx?PropertyId=140')" TargetMode="External"/><Relationship Id="rId757" Type="http://schemas.openxmlformats.org/officeDocument/2006/relationships/hyperlink" Target="javascript:OpenNewWindow('../pages/CommonProperty.aspx?PropertyId=33')" TargetMode="External"/><Relationship Id="rId93" Type="http://schemas.openxmlformats.org/officeDocument/2006/relationships/hyperlink" Target="javascript:OpenNewWindow('../pages/CommonProperty.aspx?PropertyId=2710')" TargetMode="External"/><Relationship Id="rId189" Type="http://schemas.openxmlformats.org/officeDocument/2006/relationships/hyperlink" Target="javascript:OpenNewWindow('../pages/CommonProperty.aspx?PropertyId=115')" TargetMode="External"/><Relationship Id="rId396" Type="http://schemas.openxmlformats.org/officeDocument/2006/relationships/hyperlink" Target="javascript:OpenNewWindow('../pages/CommonProperty.aspx?PropertyId=420')" TargetMode="External"/><Relationship Id="rId617" Type="http://schemas.openxmlformats.org/officeDocument/2006/relationships/hyperlink" Target="javascript:OpenNewWindow('../pages/CommonProperty.aspx?PropertyId=442')" TargetMode="External"/><Relationship Id="rId824" Type="http://schemas.openxmlformats.org/officeDocument/2006/relationships/hyperlink" Target="javascript:OpenNewWindow('../pages/CommonProperty.aspx?PropertyId=2999')" TargetMode="External"/><Relationship Id="rId256" Type="http://schemas.openxmlformats.org/officeDocument/2006/relationships/hyperlink" Target="javascript:OpenNewWindow('../pages/CommonProperty.aspx?PropertyId=167')" TargetMode="External"/><Relationship Id="rId463" Type="http://schemas.openxmlformats.org/officeDocument/2006/relationships/hyperlink" Target="javascript:OpenNewWindow('../pages/CommonProperty.aspx?PropertyId=619')" TargetMode="External"/><Relationship Id="rId670" Type="http://schemas.openxmlformats.org/officeDocument/2006/relationships/hyperlink" Target="javascript:OpenNewWindow('../pages/CommonProperty.aspx?PropertyId=448')" TargetMode="External"/><Relationship Id="rId116" Type="http://schemas.openxmlformats.org/officeDocument/2006/relationships/hyperlink" Target="javascript:OpenNewWindow('../pages/CommonProperty.aspx?PropertyId=2966')" TargetMode="External"/><Relationship Id="rId323" Type="http://schemas.openxmlformats.org/officeDocument/2006/relationships/hyperlink" Target="javascript:OpenNewWindow('../pages/CommonProperty.aspx?PropertyId=281')" TargetMode="External"/><Relationship Id="rId530" Type="http://schemas.openxmlformats.org/officeDocument/2006/relationships/hyperlink" Target="javascript:OpenNewWindow('../pages/CommonProperty.aspx?PropertyId=329')" TargetMode="External"/><Relationship Id="rId768" Type="http://schemas.openxmlformats.org/officeDocument/2006/relationships/hyperlink" Target="javascript:OpenNewWindow('../pages/CommonProperty.aspx?PropertyId=266')" TargetMode="External"/><Relationship Id="rId20" Type="http://schemas.openxmlformats.org/officeDocument/2006/relationships/hyperlink" Target="javascript:OpenNewWindow('../pages/CommonProperty.aspx?PropertyId=543')" TargetMode="External"/><Relationship Id="rId628" Type="http://schemas.openxmlformats.org/officeDocument/2006/relationships/hyperlink" Target="javascript:OpenNewWindow('../pages/CommonProperty.aspx?PropertyId=485')" TargetMode="External"/><Relationship Id="rId835" Type="http://schemas.openxmlformats.org/officeDocument/2006/relationships/hyperlink" Target="javascript:OpenNewWindow('../pages/CommonProperty.aspx?PropertyId=1998')" TargetMode="External"/><Relationship Id="rId267" Type="http://schemas.openxmlformats.org/officeDocument/2006/relationships/hyperlink" Target="javascript:OpenNewWindow('../pages/CommonProperty.aspx?PropertyId=268')" TargetMode="External"/><Relationship Id="rId474" Type="http://schemas.openxmlformats.org/officeDocument/2006/relationships/hyperlink" Target="javascript:OpenNewWindow('../pages/CommonProperty.aspx?PropertyId=623')" TargetMode="External"/><Relationship Id="rId127" Type="http://schemas.openxmlformats.org/officeDocument/2006/relationships/hyperlink" Target="javascript:OpenNewWindow('../pages/CommonProperty.aspx?PropertyId=2672')" TargetMode="External"/><Relationship Id="rId681" Type="http://schemas.openxmlformats.org/officeDocument/2006/relationships/hyperlink" Target="javascript:OpenNewWindow('../pages/CommonProperty.aspx?PropertyId=399')" TargetMode="External"/><Relationship Id="rId779" Type="http://schemas.openxmlformats.org/officeDocument/2006/relationships/hyperlink" Target="javascript:OpenNewWindow('../pages/CommonProperty.aspx?PropertyId=35')" TargetMode="External"/><Relationship Id="rId902" Type="http://schemas.openxmlformats.org/officeDocument/2006/relationships/hyperlink" Target="javascript:OpenNewWindow('../pages/CommonProperty.aspx?PropertyId=1979')" TargetMode="External"/><Relationship Id="rId31" Type="http://schemas.openxmlformats.org/officeDocument/2006/relationships/hyperlink" Target="javascript:OpenNewWindow('../pages/CommonProperty.aspx?PropertyId=610')" TargetMode="External"/><Relationship Id="rId334" Type="http://schemas.openxmlformats.org/officeDocument/2006/relationships/hyperlink" Target="javascript:OpenNewWindow('../pages/CommonProperty.aspx?PropertyId=69')" TargetMode="External"/><Relationship Id="rId541" Type="http://schemas.openxmlformats.org/officeDocument/2006/relationships/hyperlink" Target="javascript:OpenNewWindow('../pages/CommonProperty.aspx?PropertyId=512')" TargetMode="External"/><Relationship Id="rId639" Type="http://schemas.openxmlformats.org/officeDocument/2006/relationships/hyperlink" Target="javascript:OpenNewWindow('../pages/CommonProperty.aspx?PropertyId=381')" TargetMode="External"/><Relationship Id="rId180" Type="http://schemas.openxmlformats.org/officeDocument/2006/relationships/hyperlink" Target="javascript:OpenNewWindow('../pages/CommonProperty.aspx?PropertyId=236')" TargetMode="External"/><Relationship Id="rId278" Type="http://schemas.openxmlformats.org/officeDocument/2006/relationships/hyperlink" Target="javascript:OpenNewWindow('../pages/CommonProperty.aspx?PropertyId=260')" TargetMode="External"/><Relationship Id="rId401" Type="http://schemas.openxmlformats.org/officeDocument/2006/relationships/hyperlink" Target="javascript:OpenNewWindow('../pages/CommonProperty.aspx?PropertyId=425')" TargetMode="External"/><Relationship Id="rId846" Type="http://schemas.openxmlformats.org/officeDocument/2006/relationships/hyperlink" Target="javascript:OpenNewWindow('../pages/CommonProperty.aspx?PropertyId=2658')" TargetMode="External"/><Relationship Id="rId485" Type="http://schemas.openxmlformats.org/officeDocument/2006/relationships/hyperlink" Target="javascript:OpenNewWindow('../pages/CommonProperty.aspx?PropertyId=1924')" TargetMode="External"/><Relationship Id="rId692" Type="http://schemas.openxmlformats.org/officeDocument/2006/relationships/hyperlink" Target="javascript:OpenNewWindow('../pages/CommonProperty.aspx?PropertyId=405')" TargetMode="External"/><Relationship Id="rId706" Type="http://schemas.openxmlformats.org/officeDocument/2006/relationships/hyperlink" Target="javascript:OpenNewWindow('../pages/CommonProperty.aspx?PropertyId=55')" TargetMode="External"/><Relationship Id="rId913" Type="http://schemas.openxmlformats.org/officeDocument/2006/relationships/hyperlink" Target="javascript:OpenNewWindow('../pages/CommonProperty.aspx?PropertyId=2046')" TargetMode="External"/><Relationship Id="rId42" Type="http://schemas.openxmlformats.org/officeDocument/2006/relationships/hyperlink" Target="javascript:OpenNewWindow('../pages/CommonProperty.aspx?PropertyId=3112')" TargetMode="External"/><Relationship Id="rId138" Type="http://schemas.openxmlformats.org/officeDocument/2006/relationships/hyperlink" Target="javascript:OpenNewWindow('../pages/CommonProperty.aspx?PropertyId=473')" TargetMode="External"/><Relationship Id="rId345" Type="http://schemas.openxmlformats.org/officeDocument/2006/relationships/hyperlink" Target="javascript:OpenNewWindow('../pages/CommonProperty.aspx?PropertyId=77')" TargetMode="External"/><Relationship Id="rId552" Type="http://schemas.openxmlformats.org/officeDocument/2006/relationships/hyperlink" Target="javascript:OpenNewWindow('../pages/CommonProperty.aspx?PropertyId=348')" TargetMode="External"/><Relationship Id="rId191" Type="http://schemas.openxmlformats.org/officeDocument/2006/relationships/hyperlink" Target="javascript:OpenNewWindow('../pages/CommonProperty.aspx?PropertyId=117')" TargetMode="External"/><Relationship Id="rId205" Type="http://schemas.openxmlformats.org/officeDocument/2006/relationships/hyperlink" Target="javascript:OpenNewWindow('../pages/CommonProperty.aspx?PropertyId=179')" TargetMode="External"/><Relationship Id="rId412" Type="http://schemas.openxmlformats.org/officeDocument/2006/relationships/hyperlink" Target="javascript:OpenNewWindow('../pages/CommonProperty.aspx?PropertyId=332')" TargetMode="External"/><Relationship Id="rId857" Type="http://schemas.openxmlformats.org/officeDocument/2006/relationships/hyperlink" Target="javascript:OpenNewWindow('../pages/CommonProperty.aspx?PropertyId=2902')" TargetMode="External"/><Relationship Id="rId289" Type="http://schemas.openxmlformats.org/officeDocument/2006/relationships/hyperlink" Target="javascript:OpenNewWindow('../pages/CommonProperty.aspx?PropertyId=246')" TargetMode="External"/><Relationship Id="rId496" Type="http://schemas.openxmlformats.org/officeDocument/2006/relationships/hyperlink" Target="javascript:OpenNewWindow('../pages/CommonProperty.aspx?PropertyId=214')" TargetMode="External"/><Relationship Id="rId717" Type="http://schemas.openxmlformats.org/officeDocument/2006/relationships/hyperlink" Target="javascript:OpenNewWindow('../pages/CommonProperty.aspx?PropertyId=639')" TargetMode="External"/><Relationship Id="rId53" Type="http://schemas.openxmlformats.org/officeDocument/2006/relationships/hyperlink" Target="javascript:OpenNewWindow('../pages/CommonProperty.aspx?PropertyId=672')" TargetMode="External"/><Relationship Id="rId149" Type="http://schemas.openxmlformats.org/officeDocument/2006/relationships/hyperlink" Target="javascript:OpenNewWindow('../pages/CommonProperty.aspx?PropertyId=2015')" TargetMode="External"/><Relationship Id="rId356" Type="http://schemas.openxmlformats.org/officeDocument/2006/relationships/hyperlink" Target="javascript:OpenNewWindow('../pages/CommonProperty.aspx?PropertyId=231')" TargetMode="External"/><Relationship Id="rId563" Type="http://schemas.openxmlformats.org/officeDocument/2006/relationships/hyperlink" Target="javascript:OpenNewWindow('../pages/CommonProperty.aspx?PropertyId=340')" TargetMode="External"/><Relationship Id="rId770" Type="http://schemas.openxmlformats.org/officeDocument/2006/relationships/hyperlink" Target="javascript:OpenNewWindow('../pages/CommonProperty.aspx?PropertyId=2912')" TargetMode="External"/><Relationship Id="rId216" Type="http://schemas.openxmlformats.org/officeDocument/2006/relationships/hyperlink" Target="javascript:OpenNewWindow('../pages/CommonProperty.aspx?PropertyId=186')" TargetMode="External"/><Relationship Id="rId423" Type="http://schemas.openxmlformats.org/officeDocument/2006/relationships/hyperlink" Target="javascript:OpenNewWindow('../pages/CommonProperty.aspx?PropertyId=374')" TargetMode="External"/><Relationship Id="rId868" Type="http://schemas.openxmlformats.org/officeDocument/2006/relationships/hyperlink" Target="javascript:OpenNewWindow('../pages/CommonProperty.aspx?PropertyId=2944')" TargetMode="External"/><Relationship Id="rId630" Type="http://schemas.openxmlformats.org/officeDocument/2006/relationships/hyperlink" Target="javascript:OpenNewWindow('../pages/CommonProperty.aspx?PropertyId=504')" TargetMode="External"/><Relationship Id="rId728" Type="http://schemas.openxmlformats.org/officeDocument/2006/relationships/hyperlink" Target="javascript:OpenNewWindow('../pages/CommonProperty.aspx?PropertyId=412')" TargetMode="External"/><Relationship Id="rId64" Type="http://schemas.openxmlformats.org/officeDocument/2006/relationships/hyperlink" Target="javascript:OpenNewWindow('../pages/CommonProperty.aspx?PropertyId=2691')" TargetMode="External"/><Relationship Id="rId367" Type="http://schemas.openxmlformats.org/officeDocument/2006/relationships/hyperlink" Target="javascript:OpenNewWindow('../pages/CommonProperty.aspx?PropertyId=288')" TargetMode="External"/><Relationship Id="rId574" Type="http://schemas.openxmlformats.org/officeDocument/2006/relationships/hyperlink" Target="javascript:OpenNewWindow('../pages/CommonProperty.aspx?PropertyId=144')" TargetMode="External"/><Relationship Id="rId227" Type="http://schemas.openxmlformats.org/officeDocument/2006/relationships/hyperlink" Target="javascript:OpenNewWindow('../pages/CommonProperty.aspx?PropertyId=158')" TargetMode="External"/><Relationship Id="rId781" Type="http://schemas.openxmlformats.org/officeDocument/2006/relationships/hyperlink" Target="javascript:OpenNewWindow('../pages/CommonProperty.aspx?PropertyId=567')" TargetMode="External"/><Relationship Id="rId879" Type="http://schemas.openxmlformats.org/officeDocument/2006/relationships/hyperlink" Target="javascript:OpenNewWindow('../pages/CommonProperty.aspx?PropertyId=2968')" TargetMode="External"/><Relationship Id="rId434" Type="http://schemas.openxmlformats.org/officeDocument/2006/relationships/hyperlink" Target="javascript:OpenNewWindow('../pages/CommonProperty.aspx?PropertyId=480')" TargetMode="External"/><Relationship Id="rId641" Type="http://schemas.openxmlformats.org/officeDocument/2006/relationships/hyperlink" Target="javascript:OpenNewWindow('../pages/CommonProperty.aspx?PropertyId=2024')" TargetMode="External"/><Relationship Id="rId739" Type="http://schemas.openxmlformats.org/officeDocument/2006/relationships/hyperlink" Target="javascript:OpenNewWindow('../pages/CommonProperty.aspx?PropertyId=88')" TargetMode="External"/><Relationship Id="rId280" Type="http://schemas.openxmlformats.org/officeDocument/2006/relationships/hyperlink" Target="javascript:OpenNewWindow('../pages/CommonProperty.aspx?PropertyId=262')" TargetMode="External"/><Relationship Id="rId501" Type="http://schemas.openxmlformats.org/officeDocument/2006/relationships/hyperlink" Target="javascript:OpenNewWindow('../pages/CommonProperty.aspx?PropertyId=311')" TargetMode="External"/><Relationship Id="rId75" Type="http://schemas.openxmlformats.org/officeDocument/2006/relationships/hyperlink" Target="javascript:OpenNewWindow('../pages/CommonProperty.aspx?PropertyId=2695')" TargetMode="External"/><Relationship Id="rId140" Type="http://schemas.openxmlformats.org/officeDocument/2006/relationships/hyperlink" Target="javascript:OpenNewWindow('../pages/CommonProperty.aspx?PropertyId=2016')" TargetMode="External"/><Relationship Id="rId378" Type="http://schemas.openxmlformats.org/officeDocument/2006/relationships/hyperlink" Target="javascript:OpenNewWindow('../pages/CommonProperty.aspx?PropertyId=315')" TargetMode="External"/><Relationship Id="rId585" Type="http://schemas.openxmlformats.org/officeDocument/2006/relationships/hyperlink" Target="javascript:OpenNewWindow('../pages/CommonProperty.aspx?PropertyId=240')" TargetMode="External"/><Relationship Id="rId792" Type="http://schemas.openxmlformats.org/officeDocument/2006/relationships/hyperlink" Target="javascript:OpenNewWindow('../pages/CommonProperty.aspx?PropertyId=492')" TargetMode="External"/><Relationship Id="rId806" Type="http://schemas.openxmlformats.org/officeDocument/2006/relationships/hyperlink" Target="javascript:OpenNewWindow('../pages/CommonProperty.aspx?PropertyId=1964')" TargetMode="External"/><Relationship Id="rId6" Type="http://schemas.openxmlformats.org/officeDocument/2006/relationships/hyperlink" Target="javascript:OpenNewWindow('../pages/CommonProperty.aspx?PropertyId=575')" TargetMode="External"/><Relationship Id="rId238" Type="http://schemas.openxmlformats.org/officeDocument/2006/relationships/hyperlink" Target="javascript:OpenNewWindow('../pages/CommonProperty.aspx?PropertyId=2898')" TargetMode="External"/><Relationship Id="rId445" Type="http://schemas.openxmlformats.org/officeDocument/2006/relationships/hyperlink" Target="javascript:OpenNewWindow('../pages/CommonProperty.aspx?PropertyId=320')" TargetMode="External"/><Relationship Id="rId652" Type="http://schemas.openxmlformats.org/officeDocument/2006/relationships/hyperlink" Target="javascript:OpenNewWindow('../pages/CommonProperty.aspx?PropertyId=1965')" TargetMode="External"/><Relationship Id="rId291" Type="http://schemas.openxmlformats.org/officeDocument/2006/relationships/hyperlink" Target="javascript:OpenNewWindow('../pages/CommonProperty.aspx?PropertyId=285')" TargetMode="External"/><Relationship Id="rId305" Type="http://schemas.openxmlformats.org/officeDocument/2006/relationships/hyperlink" Target="javascript:OpenNewWindow('../pages/CommonProperty.aspx?PropertyId=73')" TargetMode="External"/><Relationship Id="rId512" Type="http://schemas.openxmlformats.org/officeDocument/2006/relationships/hyperlink" Target="javascript:OpenNewWindow('../pages/CommonProperty.aspx?PropertyId=222')" TargetMode="External"/><Relationship Id="rId86" Type="http://schemas.openxmlformats.org/officeDocument/2006/relationships/hyperlink" Target="javascript:OpenNewWindow('../pages/CommonProperty.aspx?PropertyId=2703')" TargetMode="External"/><Relationship Id="rId151" Type="http://schemas.openxmlformats.org/officeDocument/2006/relationships/hyperlink" Target="javascript:OpenNewWindow('../pages/CommonProperty.aspx?PropertyId=487')" TargetMode="External"/><Relationship Id="rId389" Type="http://schemas.openxmlformats.org/officeDocument/2006/relationships/hyperlink" Target="javascript:OpenNewWindow('../pages/CommonProperty.aspx?PropertyId=415')" TargetMode="External"/><Relationship Id="rId596" Type="http://schemas.openxmlformats.org/officeDocument/2006/relationships/hyperlink" Target="javascript:OpenNewWindow('../pages/CommonProperty.aspx?PropertyId=508')" TargetMode="External"/><Relationship Id="rId817" Type="http://schemas.openxmlformats.org/officeDocument/2006/relationships/hyperlink" Target="javascript:OpenNewWindow('../pages/CommonProperty.aspx?PropertyId=2744')" TargetMode="External"/><Relationship Id="rId249" Type="http://schemas.openxmlformats.org/officeDocument/2006/relationships/hyperlink" Target="javascript:OpenNewWindow('../pages/CommonProperty.aspx?PropertyId=571')" TargetMode="External"/><Relationship Id="rId456" Type="http://schemas.openxmlformats.org/officeDocument/2006/relationships/hyperlink" Target="javascript:OpenNewWindow('../pages/CommonProperty.aspx?PropertyId=617')" TargetMode="External"/><Relationship Id="rId663" Type="http://schemas.openxmlformats.org/officeDocument/2006/relationships/hyperlink" Target="javascript:OpenNewWindow('../pages/CommonProperty.aspx?PropertyId=444')" TargetMode="External"/><Relationship Id="rId870" Type="http://schemas.openxmlformats.org/officeDocument/2006/relationships/hyperlink" Target="javascript:OpenNewWindow('../pages/CommonProperty.aspx?PropertyId=2925')" TargetMode="External"/><Relationship Id="rId13" Type="http://schemas.openxmlformats.org/officeDocument/2006/relationships/hyperlink" Target="javascript:OpenNewWindow('../pages/CommonProperty.aspx?PropertyId=2')" TargetMode="External"/><Relationship Id="rId109" Type="http://schemas.openxmlformats.org/officeDocument/2006/relationships/hyperlink" Target="javascript:OpenNewWindow('../pages/CommonProperty.aspx?PropertyId=2722')" TargetMode="External"/><Relationship Id="rId316" Type="http://schemas.openxmlformats.org/officeDocument/2006/relationships/hyperlink" Target="javascript:OpenNewWindow('../pages/CommonProperty.aspx?PropertyId=263')" TargetMode="External"/><Relationship Id="rId523" Type="http://schemas.openxmlformats.org/officeDocument/2006/relationships/hyperlink" Target="javascript:OpenNewWindow('../pages/CommonProperty.aspx?PropertyId=483')" TargetMode="External"/><Relationship Id="rId97" Type="http://schemas.openxmlformats.org/officeDocument/2006/relationships/hyperlink" Target="javascript:OpenNewWindow('../pages/CommonProperty.aspx?PropertyId=2713')" TargetMode="External"/><Relationship Id="rId730" Type="http://schemas.openxmlformats.org/officeDocument/2006/relationships/hyperlink" Target="javascript:OpenNewWindow('../pages/CommonProperty.aspx?PropertyId=613')" TargetMode="External"/><Relationship Id="rId828" Type="http://schemas.openxmlformats.org/officeDocument/2006/relationships/hyperlink" Target="javascript:OpenNewWindow('../pages/CommonProperty.aspx?PropertyId=1973')" TargetMode="External"/><Relationship Id="rId162" Type="http://schemas.openxmlformats.org/officeDocument/2006/relationships/hyperlink" Target="javascript:OpenNewWindow('../pages/CommonProperty.aspx?PropertyId=26')" TargetMode="External"/><Relationship Id="rId467" Type="http://schemas.openxmlformats.org/officeDocument/2006/relationships/hyperlink" Target="javascript:OpenNewWindow('../pages/CommonProperty.aspx?PropertyId=1927')" TargetMode="External"/><Relationship Id="rId674" Type="http://schemas.openxmlformats.org/officeDocument/2006/relationships/hyperlink" Target="javascript:OpenNewWindow('../pages/CommonProperty.aspx?PropertyId=357')" TargetMode="External"/><Relationship Id="rId881" Type="http://schemas.openxmlformats.org/officeDocument/2006/relationships/hyperlink" Target="javascript:OpenNewWindow('../pages/CommonProperty.aspx?PropertyId=2970')" TargetMode="External"/><Relationship Id="rId24" Type="http://schemas.openxmlformats.org/officeDocument/2006/relationships/hyperlink" Target="javascript:OpenNewWindow('../pages/CommonProperty.aspx?PropertyId=559')" TargetMode="External"/><Relationship Id="rId327" Type="http://schemas.openxmlformats.org/officeDocument/2006/relationships/hyperlink" Target="javascript:OpenNewWindow('../pages/CommonProperty.aspx?PropertyId=554')" TargetMode="External"/><Relationship Id="rId534" Type="http://schemas.openxmlformats.org/officeDocument/2006/relationships/hyperlink" Target="javascript:OpenNewWindow('../pages/CommonProperty.aspx?PropertyId=336')" TargetMode="External"/><Relationship Id="rId741" Type="http://schemas.openxmlformats.org/officeDocument/2006/relationships/hyperlink" Target="javascript:OpenNewWindow('../pages/CommonProperty.aspx?PropertyId=90')" TargetMode="External"/><Relationship Id="rId839" Type="http://schemas.openxmlformats.org/officeDocument/2006/relationships/hyperlink" Target="javascript:OpenNewWindow('../pages/CommonProperty.aspx?PropertyId=2072')" TargetMode="External"/><Relationship Id="rId173" Type="http://schemas.openxmlformats.org/officeDocument/2006/relationships/hyperlink" Target="javascript:OpenNewWindow('../pages/CommonProperty.aspx?PropertyId=112')" TargetMode="External"/><Relationship Id="rId380" Type="http://schemas.openxmlformats.org/officeDocument/2006/relationships/hyperlink" Target="javascript:OpenNewWindow('../pages/CommonProperty.aspx?PropertyId=531')" TargetMode="External"/><Relationship Id="rId601" Type="http://schemas.openxmlformats.org/officeDocument/2006/relationships/hyperlink" Target="javascript:OpenNewWindow('../pages/CommonProperty.aspx?PropertyId=501')" TargetMode="External"/><Relationship Id="rId240" Type="http://schemas.openxmlformats.org/officeDocument/2006/relationships/hyperlink" Target="javascript:OpenNewWindow('../pages/CommonProperty.aspx?PropertyId=230')" TargetMode="External"/><Relationship Id="rId478" Type="http://schemas.openxmlformats.org/officeDocument/2006/relationships/hyperlink" Target="javascript:OpenNewWindow('../pages/CommonProperty.aspx?PropertyId=204')" TargetMode="External"/><Relationship Id="rId685" Type="http://schemas.openxmlformats.org/officeDocument/2006/relationships/hyperlink" Target="javascript:OpenNewWindow('../pages/CommonProperty.aspx?PropertyId=402')" TargetMode="External"/><Relationship Id="rId892" Type="http://schemas.openxmlformats.org/officeDocument/2006/relationships/hyperlink" Target="javascript:OpenNewWindow('../pages/CommonProperty.aspx?PropertyId=3005')" TargetMode="External"/><Relationship Id="rId906" Type="http://schemas.openxmlformats.org/officeDocument/2006/relationships/hyperlink" Target="javascript:OpenNewWindow('../pages/CommonProperty.aspx?PropertyId=1970')" TargetMode="External"/><Relationship Id="rId35" Type="http://schemas.openxmlformats.org/officeDocument/2006/relationships/hyperlink" Target="javascript:OpenNewWindow('../pages/CommonProperty.aspx?PropertyId=667')" TargetMode="External"/><Relationship Id="rId100" Type="http://schemas.openxmlformats.org/officeDocument/2006/relationships/hyperlink" Target="javascript:OpenNewWindow('../pages/CommonProperty.aspx?PropertyId=3038')" TargetMode="External"/><Relationship Id="rId338" Type="http://schemas.openxmlformats.org/officeDocument/2006/relationships/hyperlink" Target="javascript:OpenNewWindow('../pages/CommonProperty.aspx?PropertyId=668')" TargetMode="External"/><Relationship Id="rId545" Type="http://schemas.openxmlformats.org/officeDocument/2006/relationships/hyperlink" Target="javascript:OpenNewWindow('../pages/CommonProperty.aspx?PropertyId=538')" TargetMode="External"/><Relationship Id="rId752" Type="http://schemas.openxmlformats.org/officeDocument/2006/relationships/hyperlink" Target="javascript:OpenNewWindow('../pages/CommonProperty.aspx?PropertyId=58')" TargetMode="External"/><Relationship Id="rId184" Type="http://schemas.openxmlformats.org/officeDocument/2006/relationships/hyperlink" Target="javascript:OpenNewWindow('../pages/CommonProperty.aspx?PropertyId=129')" TargetMode="External"/><Relationship Id="rId391" Type="http://schemas.openxmlformats.org/officeDocument/2006/relationships/hyperlink" Target="javascript:OpenNewWindow('../pages/CommonProperty.aspx?PropertyId=417')" TargetMode="External"/><Relationship Id="rId405" Type="http://schemas.openxmlformats.org/officeDocument/2006/relationships/hyperlink" Target="javascript:OpenNewWindow('../pages/CommonProperty.aspx?PropertyId=436')" TargetMode="External"/><Relationship Id="rId612" Type="http://schemas.openxmlformats.org/officeDocument/2006/relationships/hyperlink" Target="javascript:OpenNewWindow('../pages/CommonProperty.aspx?PropertyId=284')" TargetMode="External"/><Relationship Id="rId251" Type="http://schemas.openxmlformats.org/officeDocument/2006/relationships/hyperlink" Target="javascript:OpenNewWindow('../pages/CommonProperty.aspx?PropertyId=239')" TargetMode="External"/><Relationship Id="rId489" Type="http://schemas.openxmlformats.org/officeDocument/2006/relationships/hyperlink" Target="javascript:OpenNewWindow('../pages/CommonProperty.aspx?PropertyId=212')" TargetMode="External"/><Relationship Id="rId696" Type="http://schemas.openxmlformats.org/officeDocument/2006/relationships/hyperlink" Target="javascript:OpenNewWindow('../pages/CommonProperty.aspx?PropertyId=597')" TargetMode="External"/><Relationship Id="rId917" Type="http://schemas.openxmlformats.org/officeDocument/2006/relationships/hyperlink" Target="javascript:OpenNewWindow('../pages/CommonProperty.aspx?PropertyId=2849')" TargetMode="External"/><Relationship Id="rId46" Type="http://schemas.openxmlformats.org/officeDocument/2006/relationships/hyperlink" Target="javascript:OpenNewWindow('../pages/CommonProperty.aspx?PropertyId=6')" TargetMode="External"/><Relationship Id="rId349" Type="http://schemas.openxmlformats.org/officeDocument/2006/relationships/hyperlink" Target="javascript:OpenNewWindow('../pages/CommonProperty.aspx?PropertyId=80')" TargetMode="External"/><Relationship Id="rId556" Type="http://schemas.openxmlformats.org/officeDocument/2006/relationships/hyperlink" Target="javascript:OpenNewWindow('../pages/CommonProperty.aspx?PropertyId=300')" TargetMode="External"/><Relationship Id="rId763" Type="http://schemas.openxmlformats.org/officeDocument/2006/relationships/hyperlink" Target="javascript:OpenNewWindow('../pages/CommonProperty.aspx?PropertyId=470')" TargetMode="External"/><Relationship Id="rId111" Type="http://schemas.openxmlformats.org/officeDocument/2006/relationships/hyperlink" Target="javascript:OpenNewWindow('../pages/CommonProperty.aspx?PropertyId=3020')" TargetMode="External"/><Relationship Id="rId195" Type="http://schemas.openxmlformats.org/officeDocument/2006/relationships/hyperlink" Target="javascript:OpenNewWindow('../pages/CommonProperty.aspx?PropertyId=17')" TargetMode="External"/><Relationship Id="rId209" Type="http://schemas.openxmlformats.org/officeDocument/2006/relationships/hyperlink" Target="javascript:OpenNewWindow('../pages/CommonProperty.aspx?PropertyId=563')" TargetMode="External"/><Relationship Id="rId416" Type="http://schemas.openxmlformats.org/officeDocument/2006/relationships/hyperlink" Target="javascript:OpenNewWindow('../pages/CommonProperty.aspx?PropertyId=432')" TargetMode="External"/><Relationship Id="rId623" Type="http://schemas.openxmlformats.org/officeDocument/2006/relationships/hyperlink" Target="javascript:OpenNewWindow('../pages/CommonProperty.aspx?PropertyId=354')" TargetMode="External"/><Relationship Id="rId830" Type="http://schemas.openxmlformats.org/officeDocument/2006/relationships/hyperlink" Target="javascript:OpenNewWindow('../pages/CommonProperty.aspx?PropertyId=1975')" TargetMode="External"/><Relationship Id="rId57" Type="http://schemas.openxmlformats.org/officeDocument/2006/relationships/hyperlink" Target="javascript:OpenNewWindow('../pages/CommonProperty.aspx?PropertyId=2964')" TargetMode="External"/><Relationship Id="rId262" Type="http://schemas.openxmlformats.org/officeDocument/2006/relationships/hyperlink" Target="javascript:OpenNewWindow('../pages/CommonProperty.aspx?PropertyId=173')" TargetMode="External"/><Relationship Id="rId567" Type="http://schemas.openxmlformats.org/officeDocument/2006/relationships/hyperlink" Target="javascript:OpenNewWindow('../pages/CommonProperty.aspx?PropertyId=141')" TargetMode="External"/><Relationship Id="rId122" Type="http://schemas.openxmlformats.org/officeDocument/2006/relationships/hyperlink" Target="javascript:OpenNewWindow('../pages/CommonProperty.aspx?PropertyId=2668')" TargetMode="External"/><Relationship Id="rId774" Type="http://schemas.openxmlformats.org/officeDocument/2006/relationships/hyperlink" Target="javascript:OpenNewWindow('../pages/CommonProperty.aspx?PropertyId=453')" TargetMode="External"/><Relationship Id="rId427" Type="http://schemas.openxmlformats.org/officeDocument/2006/relationships/hyperlink" Target="javascript:OpenNewWindow('../pages/CommonProperty.aspx?PropertyId=391')" TargetMode="External"/><Relationship Id="rId634" Type="http://schemas.openxmlformats.org/officeDocument/2006/relationships/hyperlink" Target="javascript:OpenNewWindow('../pages/CommonProperty.aspx?PropertyId=570')" TargetMode="External"/><Relationship Id="rId841" Type="http://schemas.openxmlformats.org/officeDocument/2006/relationships/hyperlink" Target="javascript:OpenNewWindow('../pages/CommonProperty.aspx?PropertyId=2070')" TargetMode="External"/><Relationship Id="rId273" Type="http://schemas.openxmlformats.org/officeDocument/2006/relationships/hyperlink" Target="javascript:OpenNewWindow('../pages/CommonProperty.aspx?PropertyId=272')" TargetMode="External"/><Relationship Id="rId480" Type="http://schemas.openxmlformats.org/officeDocument/2006/relationships/hyperlink" Target="javascript:OpenNewWindow('../pages/CommonProperty.aspx?PropertyId=206')" TargetMode="External"/><Relationship Id="rId701" Type="http://schemas.openxmlformats.org/officeDocument/2006/relationships/hyperlink" Target="javascript:OpenNewWindow('../pages/CommonProperty.aspx?PropertyId=370')" TargetMode="External"/><Relationship Id="rId68" Type="http://schemas.openxmlformats.org/officeDocument/2006/relationships/hyperlink" Target="javascript:OpenNewWindow('../pages/CommonProperty.aspx?PropertyId=2692')" TargetMode="External"/><Relationship Id="rId133" Type="http://schemas.openxmlformats.org/officeDocument/2006/relationships/hyperlink" Target="javascript:OpenNewWindow('../pages/CommonProperty.aspx?PropertyId=10')" TargetMode="External"/><Relationship Id="rId340" Type="http://schemas.openxmlformats.org/officeDocument/2006/relationships/hyperlink" Target="javascript:OpenNewWindow('../pages/CommonProperty.aspx?PropertyId=1921')" TargetMode="External"/><Relationship Id="rId578" Type="http://schemas.openxmlformats.org/officeDocument/2006/relationships/hyperlink" Target="javascript:OpenNewWindow('../pages/CommonProperty.aspx?PropertyId=2897')" TargetMode="External"/><Relationship Id="rId785" Type="http://schemas.openxmlformats.org/officeDocument/2006/relationships/hyperlink" Target="javascript:OpenNewWindow('../pages/CommonProperty.aspx?PropertyId=40')" TargetMode="External"/><Relationship Id="rId200" Type="http://schemas.openxmlformats.org/officeDocument/2006/relationships/hyperlink" Target="javascript:OpenNewWindow('../pages/CommonProperty.aspx?PropertyId=122')" TargetMode="External"/><Relationship Id="rId438" Type="http://schemas.openxmlformats.org/officeDocument/2006/relationships/hyperlink" Target="javascript:OpenNewWindow('../pages/CommonProperty.aspx?PropertyId=458')" TargetMode="External"/><Relationship Id="rId645" Type="http://schemas.openxmlformats.org/officeDocument/2006/relationships/hyperlink" Target="javascript:OpenNewWindow('../pages/CommonProperty.aspx?PropertyId=384')" TargetMode="External"/><Relationship Id="rId852" Type="http://schemas.openxmlformats.org/officeDocument/2006/relationships/hyperlink" Target="javascript:OpenNewWindow('../pages/CommonProperty.aspx?PropertyId=2775')" TargetMode="External"/><Relationship Id="rId284" Type="http://schemas.openxmlformats.org/officeDocument/2006/relationships/hyperlink" Target="javascript:OpenNewWindow('../pages/CommonProperty.aspx?PropertyId=137')" TargetMode="External"/><Relationship Id="rId491" Type="http://schemas.openxmlformats.org/officeDocument/2006/relationships/hyperlink" Target="javascript:OpenNewWindow('../pages/CommonProperty.aspx?PropertyId=627')" TargetMode="External"/><Relationship Id="rId505" Type="http://schemas.openxmlformats.org/officeDocument/2006/relationships/hyperlink" Target="javascript:OpenNewWindow('../pages/CommonProperty.aspx?PropertyId=217')" TargetMode="External"/><Relationship Id="rId712" Type="http://schemas.openxmlformats.org/officeDocument/2006/relationships/hyperlink" Target="javascript:OpenNewWindow('../pages/CommonProperty.aspx?PropertyId=671')" TargetMode="External"/><Relationship Id="rId79" Type="http://schemas.openxmlformats.org/officeDocument/2006/relationships/hyperlink" Target="javascript:OpenNewWindow('../pages/CommonProperty.aspx?PropertyId=2698')" TargetMode="External"/><Relationship Id="rId144" Type="http://schemas.openxmlformats.org/officeDocument/2006/relationships/hyperlink" Target="javascript:OpenNewWindow('../pages/CommonProperty.aspx?PropertyId=477')" TargetMode="External"/><Relationship Id="rId589" Type="http://schemas.openxmlformats.org/officeDocument/2006/relationships/hyperlink" Target="javascript:OpenNewWindow('../pages/CommonProperty.aspx?PropertyId=637')" TargetMode="External"/><Relationship Id="rId796" Type="http://schemas.openxmlformats.org/officeDocument/2006/relationships/hyperlink" Target="javascript:OpenNewWindow('../pages/CommonProperty.aspx?PropertyId=498')" TargetMode="External"/><Relationship Id="rId351" Type="http://schemas.openxmlformats.org/officeDocument/2006/relationships/hyperlink" Target="javascript:OpenNewWindow('../pages/CommonProperty.aspx?PropertyId=82')" TargetMode="External"/><Relationship Id="rId449" Type="http://schemas.openxmlformats.org/officeDocument/2006/relationships/hyperlink" Target="javascript:OpenNewWindow('../pages/CommonProperty.aspx?PropertyId=324')" TargetMode="External"/><Relationship Id="rId656" Type="http://schemas.openxmlformats.org/officeDocument/2006/relationships/hyperlink" Target="javascript:OpenNewWindow('../pages/CommonProperty.aspx?PropertyId=1967')" TargetMode="External"/><Relationship Id="rId863" Type="http://schemas.openxmlformats.org/officeDocument/2006/relationships/hyperlink" Target="javascript:OpenNewWindow('../pages/CommonProperty.aspx?PropertyId=2993')" TargetMode="External"/><Relationship Id="rId211" Type="http://schemas.openxmlformats.org/officeDocument/2006/relationships/hyperlink" Target="javascript:OpenNewWindow('../pages/CommonProperty.aspx?PropertyId=184')" TargetMode="External"/><Relationship Id="rId253" Type="http://schemas.openxmlformats.org/officeDocument/2006/relationships/hyperlink" Target="javascript:OpenNewWindow('../pages/CommonProperty.aspx?PropertyId=537')" TargetMode="External"/><Relationship Id="rId295" Type="http://schemas.openxmlformats.org/officeDocument/2006/relationships/hyperlink" Target="javascript:OpenNewWindow('../pages/CommonProperty.aspx?PropertyId=103')" TargetMode="External"/><Relationship Id="rId309" Type="http://schemas.openxmlformats.org/officeDocument/2006/relationships/hyperlink" Target="javascript:OpenNewWindow('../pages/CommonProperty.aspx?PropertyId=102')" TargetMode="External"/><Relationship Id="rId460" Type="http://schemas.openxmlformats.org/officeDocument/2006/relationships/hyperlink" Target="javascript:OpenNewWindow('../pages/CommonProperty.aspx?PropertyId=197')" TargetMode="External"/><Relationship Id="rId516" Type="http://schemas.openxmlformats.org/officeDocument/2006/relationships/hyperlink" Target="javascript:OpenNewWindow('../pages/CommonProperty.aspx?PropertyId=226')" TargetMode="External"/><Relationship Id="rId698" Type="http://schemas.openxmlformats.org/officeDocument/2006/relationships/hyperlink" Target="javascript:OpenNewWindow('../pages/CommonProperty.aspx?PropertyId=600')" TargetMode="External"/><Relationship Id="rId919" Type="http://schemas.openxmlformats.org/officeDocument/2006/relationships/printerSettings" Target="../printerSettings/printerSettings7.bin"/><Relationship Id="rId48" Type="http://schemas.openxmlformats.org/officeDocument/2006/relationships/hyperlink" Target="javascript:OpenNewWindow('../pages/CommonProperty.aspx?PropertyId=521')" TargetMode="External"/><Relationship Id="rId113" Type="http://schemas.openxmlformats.org/officeDocument/2006/relationships/hyperlink" Target="javascript:OpenNewWindow('../pages/CommonProperty.aspx?PropertyId=2767')" TargetMode="External"/><Relationship Id="rId320" Type="http://schemas.openxmlformats.org/officeDocument/2006/relationships/hyperlink" Target="javascript:OpenNewWindow('../pages/CommonProperty.aspx?PropertyId=278')" TargetMode="External"/><Relationship Id="rId558" Type="http://schemas.openxmlformats.org/officeDocument/2006/relationships/hyperlink" Target="javascript:OpenNewWindow('../pages/CommonProperty.aspx?PropertyId=360')" TargetMode="External"/><Relationship Id="rId723" Type="http://schemas.openxmlformats.org/officeDocument/2006/relationships/hyperlink" Target="javascript:OpenNewWindow('../pages/CommonProperty.aspx?PropertyId=365')" TargetMode="External"/><Relationship Id="rId765" Type="http://schemas.openxmlformats.org/officeDocument/2006/relationships/hyperlink" Target="javascript:OpenNewWindow('../pages/CommonProperty.aspx?PropertyId=472')" TargetMode="External"/><Relationship Id="rId155" Type="http://schemas.openxmlformats.org/officeDocument/2006/relationships/hyperlink" Target="javascript:OpenNewWindow('../pages/CommonProperty.aspx?PropertyId=496')" TargetMode="External"/><Relationship Id="rId197" Type="http://schemas.openxmlformats.org/officeDocument/2006/relationships/hyperlink" Target="javascript:OpenNewWindow('../pages/CommonProperty.aspx?PropertyId=114')" TargetMode="External"/><Relationship Id="rId362" Type="http://schemas.openxmlformats.org/officeDocument/2006/relationships/hyperlink" Target="javascript:OpenNewWindow('../pages/CommonProperty.aspx?PropertyId=85')" TargetMode="External"/><Relationship Id="rId418" Type="http://schemas.openxmlformats.org/officeDocument/2006/relationships/hyperlink" Target="javascript:OpenNewWindow('../pages/CommonProperty.aspx?PropertyId=414')" TargetMode="External"/><Relationship Id="rId625" Type="http://schemas.openxmlformats.org/officeDocument/2006/relationships/hyperlink" Target="javascript:OpenNewWindow('../pages/CommonProperty.aspx?PropertyId=1931')" TargetMode="External"/><Relationship Id="rId832" Type="http://schemas.openxmlformats.org/officeDocument/2006/relationships/hyperlink" Target="javascript:OpenNewWindow('../pages/CommonProperty.aspx?PropertyId=1995')" TargetMode="External"/><Relationship Id="rId222" Type="http://schemas.openxmlformats.org/officeDocument/2006/relationships/hyperlink" Target="javascript:OpenNewWindow('../pages/CommonProperty.aspx?PropertyId=153')" TargetMode="External"/><Relationship Id="rId264" Type="http://schemas.openxmlformats.org/officeDocument/2006/relationships/hyperlink" Target="javascript:OpenNewWindow('../pages/CommonProperty.aspx?PropertyId=175')" TargetMode="External"/><Relationship Id="rId471" Type="http://schemas.openxmlformats.org/officeDocument/2006/relationships/hyperlink" Target="javascript:OpenNewWindow('../pages/CommonProperty.aspx?PropertyId=202')" TargetMode="External"/><Relationship Id="rId667" Type="http://schemas.openxmlformats.org/officeDocument/2006/relationships/hyperlink" Target="javascript:OpenNewWindow('../pages/CommonProperty.aspx?PropertyId=446')" TargetMode="External"/><Relationship Id="rId874" Type="http://schemas.openxmlformats.org/officeDocument/2006/relationships/hyperlink" Target="javascript:OpenNewWindow('../pages/CommonProperty.aspx?PropertyId=2926')" TargetMode="External"/><Relationship Id="rId17" Type="http://schemas.openxmlformats.org/officeDocument/2006/relationships/hyperlink" Target="javascript:OpenNewWindow('../pages/CommonProperty.aspx?PropertyId=665')" TargetMode="External"/><Relationship Id="rId59" Type="http://schemas.openxmlformats.org/officeDocument/2006/relationships/hyperlink" Target="javascript:OpenNewWindow('../pages/CommonProperty.aspx?PropertyId=2670')" TargetMode="External"/><Relationship Id="rId124" Type="http://schemas.openxmlformats.org/officeDocument/2006/relationships/hyperlink" Target="javascript:OpenNewWindow('../pages/CommonProperty.aspx?PropertyId=2954')" TargetMode="External"/><Relationship Id="rId527" Type="http://schemas.openxmlformats.org/officeDocument/2006/relationships/hyperlink" Target="javascript:OpenNewWindow('../pages/CommonProperty.aspx?PropertyId=3049')" TargetMode="External"/><Relationship Id="rId569" Type="http://schemas.openxmlformats.org/officeDocument/2006/relationships/hyperlink" Target="javascript:OpenNewWindow('../pages/CommonProperty.aspx?PropertyId=54')" TargetMode="External"/><Relationship Id="rId734" Type="http://schemas.openxmlformats.org/officeDocument/2006/relationships/hyperlink" Target="javascript:OpenNewWindow('../pages/CommonProperty.aspx?PropertyId=604')" TargetMode="External"/><Relationship Id="rId776" Type="http://schemas.openxmlformats.org/officeDocument/2006/relationships/hyperlink" Target="javascript:OpenNewWindow('../pages/CommonProperty.aspx?PropertyId=455')" TargetMode="External"/><Relationship Id="rId70" Type="http://schemas.openxmlformats.org/officeDocument/2006/relationships/hyperlink" Target="javascript:OpenNewWindow('../pages/CommonProperty.aspx?PropertyId=2963')" TargetMode="External"/><Relationship Id="rId166" Type="http://schemas.openxmlformats.org/officeDocument/2006/relationships/hyperlink" Target="javascript:OpenNewWindow('../pages/CommonProperty.aspx?PropertyId=29')" TargetMode="External"/><Relationship Id="rId331" Type="http://schemas.openxmlformats.org/officeDocument/2006/relationships/hyperlink" Target="javascript:OpenNewWindow('../pages/CommonProperty.aspx?PropertyId=276')" TargetMode="External"/><Relationship Id="rId373" Type="http://schemas.openxmlformats.org/officeDocument/2006/relationships/hyperlink" Target="javascript:OpenNewWindow('../pages/CommonProperty.aspx?PropertyId=433')" TargetMode="External"/><Relationship Id="rId429" Type="http://schemas.openxmlformats.org/officeDocument/2006/relationships/hyperlink" Target="javascript:OpenNewWindow('../pages/CommonProperty.aspx?PropertyId=648')" TargetMode="External"/><Relationship Id="rId580" Type="http://schemas.openxmlformats.org/officeDocument/2006/relationships/hyperlink" Target="javascript:OpenNewWindow('../pages/CommonProperty.aspx?PropertyId=547')" TargetMode="External"/><Relationship Id="rId636" Type="http://schemas.openxmlformats.org/officeDocument/2006/relationships/hyperlink" Target="javascript:OpenNewWindow('../pages/CommonProperty.aspx?PropertyId=378')" TargetMode="External"/><Relationship Id="rId801" Type="http://schemas.openxmlformats.org/officeDocument/2006/relationships/hyperlink" Target="javascript:OpenNewWindow('../pages/CommonProperty.aspx?PropertyId=47')" TargetMode="External"/><Relationship Id="rId1" Type="http://schemas.openxmlformats.org/officeDocument/2006/relationships/hyperlink" Target="javascript:OpenNewWindow('../pages/CommonProperty.aspx?PropertyId=1')" TargetMode="External"/><Relationship Id="rId233" Type="http://schemas.openxmlformats.org/officeDocument/2006/relationships/hyperlink" Target="javascript:OpenNewWindow('../pages/CommonProperty.aspx?PropertyId=164')" TargetMode="External"/><Relationship Id="rId440" Type="http://schemas.openxmlformats.org/officeDocument/2006/relationships/hyperlink" Target="javascript:OpenNewWindow('../pages/CommonProperty.aspx?PropertyId=393')" TargetMode="External"/><Relationship Id="rId678" Type="http://schemas.openxmlformats.org/officeDocument/2006/relationships/hyperlink" Target="javascript:OpenNewWindow('../pages/CommonProperty.aspx?PropertyId=20')" TargetMode="External"/><Relationship Id="rId843" Type="http://schemas.openxmlformats.org/officeDocument/2006/relationships/hyperlink" Target="javascript:OpenNewWindow('../pages/CommonProperty.aspx?PropertyId=2076')" TargetMode="External"/><Relationship Id="rId885" Type="http://schemas.openxmlformats.org/officeDocument/2006/relationships/hyperlink" Target="javascript:OpenNewWindow('../pages/CommonProperty.aspx?PropertyId=2980')" TargetMode="External"/><Relationship Id="rId28" Type="http://schemas.openxmlformats.org/officeDocument/2006/relationships/hyperlink" Target="javascript:OpenNewWindow('../pages/CommonProperty.aspx?PropertyId=607')" TargetMode="External"/><Relationship Id="rId275" Type="http://schemas.openxmlformats.org/officeDocument/2006/relationships/hyperlink" Target="javascript:OpenNewWindow('../pages/CommonProperty.aspx?PropertyId=257')" TargetMode="External"/><Relationship Id="rId300" Type="http://schemas.openxmlformats.org/officeDocument/2006/relationships/hyperlink" Target="javascript:OpenNewWindow('../pages/CommonProperty.aspx?PropertyId=615')" TargetMode="External"/><Relationship Id="rId482" Type="http://schemas.openxmlformats.org/officeDocument/2006/relationships/hyperlink" Target="javascript:OpenNewWindow('../pages/CommonProperty.aspx?PropertyId=208')" TargetMode="External"/><Relationship Id="rId538" Type="http://schemas.openxmlformats.org/officeDocument/2006/relationships/hyperlink" Target="javascript:OpenNewWindow('../pages/CommonProperty.aspx?PropertyId=589')" TargetMode="External"/><Relationship Id="rId703" Type="http://schemas.openxmlformats.org/officeDocument/2006/relationships/hyperlink" Target="javascript:OpenNewWindow('../pages/CommonProperty.aspx?PropertyId=22')" TargetMode="External"/><Relationship Id="rId745" Type="http://schemas.openxmlformats.org/officeDocument/2006/relationships/hyperlink" Target="javascript:OpenNewWindow('../pages/CommonProperty.aspx?PropertyId=94')" TargetMode="External"/><Relationship Id="rId910" Type="http://schemas.openxmlformats.org/officeDocument/2006/relationships/hyperlink" Target="javascript:OpenNewWindow('../pages/CommonProperty.aspx?PropertyId=1976')" TargetMode="External"/><Relationship Id="rId81" Type="http://schemas.openxmlformats.org/officeDocument/2006/relationships/hyperlink" Target="javascript:OpenNewWindow('../pages/CommonProperty.aspx?PropertyId=2699')" TargetMode="External"/><Relationship Id="rId135" Type="http://schemas.openxmlformats.org/officeDocument/2006/relationships/hyperlink" Target="javascript:OpenNewWindow('../pages/CommonProperty.aspx?PropertyId=12')" TargetMode="External"/><Relationship Id="rId177" Type="http://schemas.openxmlformats.org/officeDocument/2006/relationships/hyperlink" Target="javascript:OpenNewWindow('../pages/CommonProperty.aspx?PropertyId=133')" TargetMode="External"/><Relationship Id="rId342" Type="http://schemas.openxmlformats.org/officeDocument/2006/relationships/hyperlink" Target="javascript:OpenNewWindow('../pages/CommonProperty.aspx?PropertyId=602')" TargetMode="External"/><Relationship Id="rId384" Type="http://schemas.openxmlformats.org/officeDocument/2006/relationships/hyperlink" Target="javascript:OpenNewWindow('../pages/CommonProperty.aspx?PropertyId=67')" TargetMode="External"/><Relationship Id="rId591" Type="http://schemas.openxmlformats.org/officeDocument/2006/relationships/hyperlink" Target="javascript:OpenNewWindow('../pages/CommonProperty.aspx?PropertyId=1959')" TargetMode="External"/><Relationship Id="rId605" Type="http://schemas.openxmlformats.org/officeDocument/2006/relationships/hyperlink" Target="javascript:OpenNewWindow('../pages/CommonProperty.aspx?PropertyId=255')" TargetMode="External"/><Relationship Id="rId787" Type="http://schemas.openxmlformats.org/officeDocument/2006/relationships/hyperlink" Target="javascript:OpenNewWindow('../pages/CommonProperty.aspx?PropertyId=564')" TargetMode="External"/><Relationship Id="rId812" Type="http://schemas.openxmlformats.org/officeDocument/2006/relationships/hyperlink" Target="javascript:OpenNewWindow('../pages/CommonProperty.aspx?PropertyId=1922')" TargetMode="External"/><Relationship Id="rId202" Type="http://schemas.openxmlformats.org/officeDocument/2006/relationships/hyperlink" Target="javascript:OpenNewWindow('../pages/CommonProperty.aspx?PropertyId=123')" TargetMode="External"/><Relationship Id="rId244" Type="http://schemas.openxmlformats.org/officeDocument/2006/relationships/hyperlink" Target="javascript:OpenNewWindow('../pages/CommonProperty.aspx?PropertyId=525')" TargetMode="External"/><Relationship Id="rId647" Type="http://schemas.openxmlformats.org/officeDocument/2006/relationships/hyperlink" Target="javascript:OpenNewWindow('../pages/CommonProperty.aspx?PropertyId=646')" TargetMode="External"/><Relationship Id="rId689" Type="http://schemas.openxmlformats.org/officeDocument/2006/relationships/hyperlink" Target="javascript:OpenNewWindow('../pages/CommonProperty.aspx?PropertyId=404')" TargetMode="External"/><Relationship Id="rId854" Type="http://schemas.openxmlformats.org/officeDocument/2006/relationships/hyperlink" Target="javascript:OpenNewWindow('../pages/CommonProperty.aspx?PropertyId=2777')" TargetMode="External"/><Relationship Id="rId896" Type="http://schemas.openxmlformats.org/officeDocument/2006/relationships/hyperlink" Target="javascript:OpenNewWindow('../pages/CommonProperty.aspx?PropertyId=3015')" TargetMode="External"/><Relationship Id="rId39" Type="http://schemas.openxmlformats.org/officeDocument/2006/relationships/hyperlink" Target="javascript:OpenNewWindow('../pages/CommonProperty.aspx?PropertyId=2893')" TargetMode="External"/><Relationship Id="rId286" Type="http://schemas.openxmlformats.org/officeDocument/2006/relationships/hyperlink" Target="javascript:OpenNewWindow('../pages/CommonProperty.aspx?PropertyId=2022')" TargetMode="External"/><Relationship Id="rId451" Type="http://schemas.openxmlformats.org/officeDocument/2006/relationships/hyperlink" Target="javascript:OpenNewWindow('../pages/CommonProperty.aspx?PropertyId=326')" TargetMode="External"/><Relationship Id="rId493" Type="http://schemas.openxmlformats.org/officeDocument/2006/relationships/hyperlink" Target="javascript:OpenNewWindow('../pages/CommonProperty.aspx?PropertyId=629')" TargetMode="External"/><Relationship Id="rId507" Type="http://schemas.openxmlformats.org/officeDocument/2006/relationships/hyperlink" Target="javascript:OpenNewWindow('../pages/CommonProperty.aspx?PropertyId=632')" TargetMode="External"/><Relationship Id="rId549" Type="http://schemas.openxmlformats.org/officeDocument/2006/relationships/hyperlink" Target="javascript:OpenNewWindow('../pages/CommonProperty.aspx?PropertyId=541')" TargetMode="External"/><Relationship Id="rId714" Type="http://schemas.openxmlformats.org/officeDocument/2006/relationships/hyperlink" Target="javascript:OpenNewWindow('../pages/CommonProperty.aspx?PropertyId=1928')" TargetMode="External"/><Relationship Id="rId756" Type="http://schemas.openxmlformats.org/officeDocument/2006/relationships/hyperlink" Target="javascript:OpenNewWindow('../pages/CommonProperty.aspx?PropertyId=32')" TargetMode="External"/><Relationship Id="rId50" Type="http://schemas.openxmlformats.org/officeDocument/2006/relationships/hyperlink" Target="javascript:OpenNewWindow('../pages/CommonProperty.aspx?PropertyId=544')" TargetMode="External"/><Relationship Id="rId104" Type="http://schemas.openxmlformats.org/officeDocument/2006/relationships/hyperlink" Target="javascript:OpenNewWindow('../pages/CommonProperty.aspx?PropertyId=2717')" TargetMode="External"/><Relationship Id="rId146" Type="http://schemas.openxmlformats.org/officeDocument/2006/relationships/hyperlink" Target="javascript:OpenNewWindow('../pages/CommonProperty.aspx?PropertyId=479')" TargetMode="External"/><Relationship Id="rId188" Type="http://schemas.openxmlformats.org/officeDocument/2006/relationships/hyperlink" Target="javascript:OpenNewWindow('../pages/CommonProperty.aspx?PropertyId=108')" TargetMode="External"/><Relationship Id="rId311" Type="http://schemas.openxmlformats.org/officeDocument/2006/relationships/hyperlink" Target="javascript:OpenNewWindow('../pages/CommonProperty.aspx?PropertyId=431')" TargetMode="External"/><Relationship Id="rId353" Type="http://schemas.openxmlformats.org/officeDocument/2006/relationships/hyperlink" Target="javascript:OpenNewWindow('../pages/CommonProperty.aspx?PropertyId=301')" TargetMode="External"/><Relationship Id="rId395" Type="http://schemas.openxmlformats.org/officeDocument/2006/relationships/hyperlink" Target="javascript:OpenNewWindow('../pages/CommonProperty.aspx?PropertyId=419')" TargetMode="External"/><Relationship Id="rId409" Type="http://schemas.openxmlformats.org/officeDocument/2006/relationships/hyperlink" Target="javascript:OpenNewWindow('../pages/CommonProperty.aspx?PropertyId=557')" TargetMode="External"/><Relationship Id="rId560" Type="http://schemas.openxmlformats.org/officeDocument/2006/relationships/hyperlink" Target="javascript:OpenNewWindow('../pages/CommonProperty.aspx?PropertyId=337')" TargetMode="External"/><Relationship Id="rId798" Type="http://schemas.openxmlformats.org/officeDocument/2006/relationships/hyperlink" Target="javascript:OpenNewWindow('../pages/CommonProperty.aspx?PropertyId=44')" TargetMode="External"/><Relationship Id="rId92" Type="http://schemas.openxmlformats.org/officeDocument/2006/relationships/hyperlink" Target="javascript:OpenNewWindow('../pages/CommonProperty.aspx?PropertyId=2709')" TargetMode="External"/><Relationship Id="rId213" Type="http://schemas.openxmlformats.org/officeDocument/2006/relationships/hyperlink" Target="javascript:OpenNewWindow('../pages/CommonProperty.aspx?PropertyId=124')" TargetMode="External"/><Relationship Id="rId420" Type="http://schemas.openxmlformats.org/officeDocument/2006/relationships/hyperlink" Target="javascript:OpenNewWindow('../pages/CommonProperty.aspx?PropertyId=371')" TargetMode="External"/><Relationship Id="rId616" Type="http://schemas.openxmlformats.org/officeDocument/2006/relationships/hyperlink" Target="javascript:OpenNewWindow('../pages/CommonProperty.aspx?PropertyId=441')" TargetMode="External"/><Relationship Id="rId658" Type="http://schemas.openxmlformats.org/officeDocument/2006/relationships/hyperlink" Target="javascript:OpenNewWindow('../pages/CommonProperty.aspx?PropertyId=1988')" TargetMode="External"/><Relationship Id="rId823" Type="http://schemas.openxmlformats.org/officeDocument/2006/relationships/hyperlink" Target="javascript:OpenNewWindow('../pages/CommonProperty.aspx?PropertyId=2998')" TargetMode="External"/><Relationship Id="rId865" Type="http://schemas.openxmlformats.org/officeDocument/2006/relationships/hyperlink" Target="javascript:OpenNewWindow('../pages/CommonProperty.aspx?PropertyId=2995')" TargetMode="External"/><Relationship Id="rId255" Type="http://schemas.openxmlformats.org/officeDocument/2006/relationships/hyperlink" Target="javascript:OpenNewWindow('../pages/CommonProperty.aspx?PropertyId=252')" TargetMode="External"/><Relationship Id="rId297" Type="http://schemas.openxmlformats.org/officeDocument/2006/relationships/hyperlink" Target="javascript:OpenNewWindow('../pages/CommonProperty.aspx?PropertyId=139')" TargetMode="External"/><Relationship Id="rId462" Type="http://schemas.openxmlformats.org/officeDocument/2006/relationships/hyperlink" Target="javascript:OpenNewWindow('../pages/CommonProperty.aspx?PropertyId=227')" TargetMode="External"/><Relationship Id="rId518" Type="http://schemas.openxmlformats.org/officeDocument/2006/relationships/hyperlink" Target="javascript:OpenNewWindow('../pages/CommonProperty.aspx?PropertyId=191')" TargetMode="External"/><Relationship Id="rId725" Type="http://schemas.openxmlformats.org/officeDocument/2006/relationships/hyperlink" Target="javascript:OpenNewWindow('../pages/CommonProperty.aspx?PropertyId=1957')" TargetMode="External"/><Relationship Id="rId115" Type="http://schemas.openxmlformats.org/officeDocument/2006/relationships/hyperlink" Target="javascript:OpenNewWindow('../pages/CommonProperty.aspx?PropertyId=2958')" TargetMode="External"/><Relationship Id="rId157" Type="http://schemas.openxmlformats.org/officeDocument/2006/relationships/hyperlink" Target="javascript:OpenNewWindow('../pages/CommonProperty.aspx?PropertyId=15')" TargetMode="External"/><Relationship Id="rId322" Type="http://schemas.openxmlformats.org/officeDocument/2006/relationships/hyperlink" Target="javascript:OpenNewWindow('../pages/CommonProperty.aspx?PropertyId=280')" TargetMode="External"/><Relationship Id="rId364" Type="http://schemas.openxmlformats.org/officeDocument/2006/relationships/hyperlink" Target="javascript:OpenNewWindow('../pages/CommonProperty.aspx?PropertyId=188')" TargetMode="External"/><Relationship Id="rId767" Type="http://schemas.openxmlformats.org/officeDocument/2006/relationships/hyperlink" Target="javascript:OpenNewWindow('../pages/CommonProperty.aspx?PropertyId=450')" TargetMode="External"/><Relationship Id="rId61" Type="http://schemas.openxmlformats.org/officeDocument/2006/relationships/hyperlink" Target="javascript:OpenNewWindow('../pages/CommonProperty.aspx?PropertyId=2674')" TargetMode="External"/><Relationship Id="rId199" Type="http://schemas.openxmlformats.org/officeDocument/2006/relationships/hyperlink" Target="javascript:OpenNewWindow('../pages/CommonProperty.aspx?PropertyId=120')" TargetMode="External"/><Relationship Id="rId571" Type="http://schemas.openxmlformats.org/officeDocument/2006/relationships/hyperlink" Target="javascript:OpenNewWindow('../pages/CommonProperty.aspx?PropertyId=43')" TargetMode="External"/><Relationship Id="rId627" Type="http://schemas.openxmlformats.org/officeDocument/2006/relationships/hyperlink" Target="javascript:OpenNewWindow('../pages/CommonProperty.aspx?PropertyId=519')" TargetMode="External"/><Relationship Id="rId669" Type="http://schemas.openxmlformats.org/officeDocument/2006/relationships/hyperlink" Target="javascript:OpenNewWindow('../pages/CommonProperty.aspx?PropertyId=447')" TargetMode="External"/><Relationship Id="rId834" Type="http://schemas.openxmlformats.org/officeDocument/2006/relationships/hyperlink" Target="javascript:OpenNewWindow('../pages/CommonProperty.aspx?PropertyId=1997')" TargetMode="External"/><Relationship Id="rId876" Type="http://schemas.openxmlformats.org/officeDocument/2006/relationships/hyperlink" Target="javascript:OpenNewWindow('../pages/CommonProperty.aspx?PropertyId=2950')" TargetMode="External"/><Relationship Id="rId19" Type="http://schemas.openxmlformats.org/officeDocument/2006/relationships/hyperlink" Target="javascript:OpenNewWindow('../pages/CommonProperty.aspx?PropertyId=542')" TargetMode="External"/><Relationship Id="rId224" Type="http://schemas.openxmlformats.org/officeDocument/2006/relationships/hyperlink" Target="javascript:OpenNewWindow('../pages/CommonProperty.aspx?PropertyId=155')" TargetMode="External"/><Relationship Id="rId266" Type="http://schemas.openxmlformats.org/officeDocument/2006/relationships/hyperlink" Target="javascript:OpenNewWindow('../pages/CommonProperty.aspx?PropertyId=267')" TargetMode="External"/><Relationship Id="rId431" Type="http://schemas.openxmlformats.org/officeDocument/2006/relationships/hyperlink" Target="javascript:OpenNewWindow('../pages/CommonProperty.aspx?PropertyId=397')" TargetMode="External"/><Relationship Id="rId473" Type="http://schemas.openxmlformats.org/officeDocument/2006/relationships/hyperlink" Target="javascript:OpenNewWindow('../pages/CommonProperty.aspx?PropertyId=622')" TargetMode="External"/><Relationship Id="rId529" Type="http://schemas.openxmlformats.org/officeDocument/2006/relationships/hyperlink" Target="javascript:OpenNewWindow('../pages/CommonProperty.aspx?PropertyId=328')" TargetMode="External"/><Relationship Id="rId680" Type="http://schemas.openxmlformats.org/officeDocument/2006/relationships/hyperlink" Target="javascript:OpenNewWindow('../pages/CommonProperty.aspx?PropertyId=409')" TargetMode="External"/><Relationship Id="rId736" Type="http://schemas.openxmlformats.org/officeDocument/2006/relationships/hyperlink" Target="javascript:OpenNewWindow('../pages/CommonProperty.aspx?PropertyId=606')" TargetMode="External"/><Relationship Id="rId901" Type="http://schemas.openxmlformats.org/officeDocument/2006/relationships/hyperlink" Target="javascript:OpenNewWindow('../pages/CommonProperty.aspx?PropertyId=2043')" TargetMode="External"/><Relationship Id="rId30" Type="http://schemas.openxmlformats.org/officeDocument/2006/relationships/hyperlink" Target="javascript:OpenNewWindow('../pages/CommonProperty.aspx?PropertyId=609')" TargetMode="External"/><Relationship Id="rId126" Type="http://schemas.openxmlformats.org/officeDocument/2006/relationships/hyperlink" Target="javascript:OpenNewWindow('../pages/CommonProperty.aspx?PropertyId=2671')" TargetMode="External"/><Relationship Id="rId168" Type="http://schemas.openxmlformats.org/officeDocument/2006/relationships/hyperlink" Target="javascript:OpenNewWindow('../pages/CommonProperty.aspx?PropertyId=109')" TargetMode="External"/><Relationship Id="rId333" Type="http://schemas.openxmlformats.org/officeDocument/2006/relationships/hyperlink" Target="javascript:OpenNewWindow('../pages/CommonProperty.aspx?PropertyId=283')" TargetMode="External"/><Relationship Id="rId540" Type="http://schemas.openxmlformats.org/officeDocument/2006/relationships/hyperlink" Target="javascript:OpenNewWindow('../pages/CommonProperty.aspx?PropertyId=346')" TargetMode="External"/><Relationship Id="rId778" Type="http://schemas.openxmlformats.org/officeDocument/2006/relationships/hyperlink" Target="javascript:OpenNewWindow('../pages/CommonProperty.aspx?PropertyId=34')" TargetMode="External"/><Relationship Id="rId72" Type="http://schemas.openxmlformats.org/officeDocument/2006/relationships/hyperlink" Target="javascript:OpenNewWindow('../pages/CommonProperty.aspx?PropertyId=2693')" TargetMode="External"/><Relationship Id="rId375" Type="http://schemas.openxmlformats.org/officeDocument/2006/relationships/hyperlink" Target="javascript:OpenNewWindow('../pages/CommonProperty.aspx?PropertyId=304')" TargetMode="External"/><Relationship Id="rId582" Type="http://schemas.openxmlformats.org/officeDocument/2006/relationships/hyperlink" Target="javascript:OpenNewWindow('../pages/CommonProperty.aspx?PropertyId=297')" TargetMode="External"/><Relationship Id="rId638" Type="http://schemas.openxmlformats.org/officeDocument/2006/relationships/hyperlink" Target="javascript:OpenNewWindow('../pages/CommonProperty.aspx?PropertyId=380')" TargetMode="External"/><Relationship Id="rId803" Type="http://schemas.openxmlformats.org/officeDocument/2006/relationships/hyperlink" Target="javascript:OpenNewWindow('../pages/CommonProperty.aspx?PropertyId=1920')" TargetMode="External"/><Relationship Id="rId845" Type="http://schemas.openxmlformats.org/officeDocument/2006/relationships/hyperlink" Target="javascript:OpenNewWindow('../pages/CommonProperty.aspx?PropertyId=3101')" TargetMode="External"/><Relationship Id="rId3" Type="http://schemas.openxmlformats.org/officeDocument/2006/relationships/hyperlink" Target="javascript:OpenNewWindow('../pages/CommonProperty.aspx?PropertyId=535')" TargetMode="External"/><Relationship Id="rId235" Type="http://schemas.openxmlformats.org/officeDocument/2006/relationships/hyperlink" Target="javascript:OpenNewWindow('../pages/CommonProperty.aspx?PropertyId=166')" TargetMode="External"/><Relationship Id="rId277" Type="http://schemas.openxmlformats.org/officeDocument/2006/relationships/hyperlink" Target="javascript:OpenNewWindow('../pages/CommonProperty.aspx?PropertyId=259')" TargetMode="External"/><Relationship Id="rId400" Type="http://schemas.openxmlformats.org/officeDocument/2006/relationships/hyperlink" Target="javascript:OpenNewWindow('../pages/CommonProperty.aspx?PropertyId=424')" TargetMode="External"/><Relationship Id="rId442" Type="http://schemas.openxmlformats.org/officeDocument/2006/relationships/hyperlink" Target="javascript:OpenNewWindow('../pages/CommonProperty.aspx?PropertyId=500')" TargetMode="External"/><Relationship Id="rId484" Type="http://schemas.openxmlformats.org/officeDocument/2006/relationships/hyperlink" Target="javascript:OpenNewWindow('../pages/CommonProperty.aspx?PropertyId=626')" TargetMode="External"/><Relationship Id="rId705" Type="http://schemas.openxmlformats.org/officeDocument/2006/relationships/hyperlink" Target="javascript:OpenNewWindow('../pages/CommonProperty.aspx?PropertyId=52')" TargetMode="External"/><Relationship Id="rId887" Type="http://schemas.openxmlformats.org/officeDocument/2006/relationships/hyperlink" Target="javascript:OpenNewWindow('../pages/CommonProperty.aspx?PropertyId=2986')" TargetMode="External"/><Relationship Id="rId137" Type="http://schemas.openxmlformats.org/officeDocument/2006/relationships/hyperlink" Target="javascript:OpenNewWindow('../pages/CommonProperty.aspx?PropertyId=14')" TargetMode="External"/><Relationship Id="rId302" Type="http://schemas.openxmlformats.org/officeDocument/2006/relationships/hyperlink" Target="javascript:OpenNewWindow('../pages/CommonProperty.aspx?PropertyId=631')" TargetMode="External"/><Relationship Id="rId344" Type="http://schemas.openxmlformats.org/officeDocument/2006/relationships/hyperlink" Target="javascript:OpenNewWindow('../pages/CommonProperty.aspx?PropertyId=594')" TargetMode="External"/><Relationship Id="rId691" Type="http://schemas.openxmlformats.org/officeDocument/2006/relationships/hyperlink" Target="javascript:OpenNewWindow('../pages/CommonProperty.aspx?PropertyId=644')" TargetMode="External"/><Relationship Id="rId747" Type="http://schemas.openxmlformats.org/officeDocument/2006/relationships/hyperlink" Target="javascript:OpenNewWindow('../pages/CommonProperty.aspx?PropertyId=96')" TargetMode="External"/><Relationship Id="rId789" Type="http://schemas.openxmlformats.org/officeDocument/2006/relationships/hyperlink" Target="javascript:OpenNewWindow('../pages/CommonProperty.aspx?PropertyId=489')" TargetMode="External"/><Relationship Id="rId912" Type="http://schemas.openxmlformats.org/officeDocument/2006/relationships/hyperlink" Target="javascript:OpenNewWindow('../pages/CommonProperty.aspx?PropertyId=2045')" TargetMode="External"/><Relationship Id="rId41" Type="http://schemas.openxmlformats.org/officeDocument/2006/relationships/hyperlink" Target="javascript:OpenNewWindow('../pages/CommonProperty.aspx?PropertyId=3111')" TargetMode="External"/><Relationship Id="rId83" Type="http://schemas.openxmlformats.org/officeDocument/2006/relationships/hyperlink" Target="javascript:OpenNewWindow('../pages/CommonProperty.aspx?PropertyId=2684')" TargetMode="External"/><Relationship Id="rId179" Type="http://schemas.openxmlformats.org/officeDocument/2006/relationships/hyperlink" Target="javascript:OpenNewWindow('../pages/CommonProperty.aspx?PropertyId=548')" TargetMode="External"/><Relationship Id="rId386" Type="http://schemas.openxmlformats.org/officeDocument/2006/relationships/hyperlink" Target="javascript:OpenNewWindow('../pages/CommonProperty.aspx?PropertyId=189')" TargetMode="External"/><Relationship Id="rId551" Type="http://schemas.openxmlformats.org/officeDocument/2006/relationships/hyperlink" Target="javascript:OpenNewWindow('../pages/CommonProperty.aspx?PropertyId=352')" TargetMode="External"/><Relationship Id="rId593" Type="http://schemas.openxmlformats.org/officeDocument/2006/relationships/hyperlink" Target="javascript:OpenNewWindow('../pages/CommonProperty.aspx?PropertyId=643')" TargetMode="External"/><Relationship Id="rId607" Type="http://schemas.openxmlformats.org/officeDocument/2006/relationships/hyperlink" Target="javascript:OpenNewWindow('../pages/CommonProperty.aspx?PropertyId=238')" TargetMode="External"/><Relationship Id="rId649" Type="http://schemas.openxmlformats.org/officeDocument/2006/relationships/hyperlink" Target="javascript:OpenNewWindow('../pages/CommonProperty.aspx?PropertyId=377')" TargetMode="External"/><Relationship Id="rId814" Type="http://schemas.openxmlformats.org/officeDocument/2006/relationships/hyperlink" Target="javascript:OpenNewWindow('../pages/CommonProperty.aspx?PropertyId=2019')" TargetMode="External"/><Relationship Id="rId856" Type="http://schemas.openxmlformats.org/officeDocument/2006/relationships/hyperlink" Target="javascript:OpenNewWindow('../pages/CommonProperty.aspx?PropertyId=2900')" TargetMode="External"/><Relationship Id="rId190" Type="http://schemas.openxmlformats.org/officeDocument/2006/relationships/hyperlink" Target="javascript:OpenNewWindow('../pages/CommonProperty.aspx?PropertyId=116')" TargetMode="External"/><Relationship Id="rId204" Type="http://schemas.openxmlformats.org/officeDocument/2006/relationships/hyperlink" Target="javascript:OpenNewWindow('../pages/CommonProperty.aspx?PropertyId=178')" TargetMode="External"/><Relationship Id="rId246" Type="http://schemas.openxmlformats.org/officeDocument/2006/relationships/hyperlink" Target="javascript:OpenNewWindow('../pages/CommonProperty.aspx?PropertyId=527')" TargetMode="External"/><Relationship Id="rId288" Type="http://schemas.openxmlformats.org/officeDocument/2006/relationships/hyperlink" Target="javascript:OpenNewWindow('../pages/CommonProperty.aspx?PropertyId=244')" TargetMode="External"/><Relationship Id="rId411" Type="http://schemas.openxmlformats.org/officeDocument/2006/relationships/hyperlink" Target="javascript:OpenNewWindow('../pages/CommonProperty.aspx?PropertyId=331')" TargetMode="External"/><Relationship Id="rId453" Type="http://schemas.openxmlformats.org/officeDocument/2006/relationships/hyperlink" Target="javascript:OpenNewWindow('../pages/CommonProperty.aspx?PropertyId=1933')" TargetMode="External"/><Relationship Id="rId509" Type="http://schemas.openxmlformats.org/officeDocument/2006/relationships/hyperlink" Target="javascript:OpenNewWindow('../pages/CommonProperty.aspx?PropertyId=2953')" TargetMode="External"/><Relationship Id="rId660" Type="http://schemas.openxmlformats.org/officeDocument/2006/relationships/hyperlink" Target="javascript:OpenNewWindow('../pages/CommonProperty.aspx?PropertyId=1919')" TargetMode="External"/><Relationship Id="rId898" Type="http://schemas.openxmlformats.org/officeDocument/2006/relationships/hyperlink" Target="javascript:OpenNewWindow('../pages/CommonProperty.aspx?PropertyId=3017')" TargetMode="External"/><Relationship Id="rId106" Type="http://schemas.openxmlformats.org/officeDocument/2006/relationships/hyperlink" Target="javascript:OpenNewWindow('../pages/CommonProperty.aspx?PropertyId=2719')" TargetMode="External"/><Relationship Id="rId313" Type="http://schemas.openxmlformats.org/officeDocument/2006/relationships/hyperlink" Target="javascript:OpenNewWindow('../pages/CommonProperty.aspx?PropertyId=256')" TargetMode="External"/><Relationship Id="rId495" Type="http://schemas.openxmlformats.org/officeDocument/2006/relationships/hyperlink" Target="javascript:OpenNewWindow('../pages/CommonProperty.aspx?PropertyId=1930')" TargetMode="External"/><Relationship Id="rId716" Type="http://schemas.openxmlformats.org/officeDocument/2006/relationships/hyperlink" Target="javascript:OpenNewWindow('../pages/CommonProperty.aspx?PropertyId=368')" TargetMode="External"/><Relationship Id="rId758" Type="http://schemas.openxmlformats.org/officeDocument/2006/relationships/hyperlink" Target="javascript:OpenNewWindow('../pages/CommonProperty.aspx?PropertyId=465')" TargetMode="External"/><Relationship Id="rId10" Type="http://schemas.openxmlformats.org/officeDocument/2006/relationships/hyperlink" Target="javascript:OpenNewWindow('../pages/CommonProperty.aspx?PropertyId=2895')" TargetMode="External"/><Relationship Id="rId52" Type="http://schemas.openxmlformats.org/officeDocument/2006/relationships/hyperlink" Target="javascript:OpenNewWindow('../pages/CommonProperty.aspx?PropertyId=568')" TargetMode="External"/><Relationship Id="rId94" Type="http://schemas.openxmlformats.org/officeDocument/2006/relationships/hyperlink" Target="javascript:OpenNewWindow('../pages/CommonProperty.aspx?PropertyId=2711')" TargetMode="External"/><Relationship Id="rId148" Type="http://schemas.openxmlformats.org/officeDocument/2006/relationships/hyperlink" Target="javascript:OpenNewWindow('../pages/CommonProperty.aspx?PropertyId=1935')" TargetMode="External"/><Relationship Id="rId355" Type="http://schemas.openxmlformats.org/officeDocument/2006/relationships/hyperlink" Target="javascript:OpenNewWindow('../pages/CommonProperty.aspx?PropertyId=303')" TargetMode="External"/><Relationship Id="rId397" Type="http://schemas.openxmlformats.org/officeDocument/2006/relationships/hyperlink" Target="javascript:OpenNewWindow('../pages/CommonProperty.aspx?PropertyId=421')" TargetMode="External"/><Relationship Id="rId520" Type="http://schemas.openxmlformats.org/officeDocument/2006/relationships/hyperlink" Target="javascript:OpenNewWindow('../pages/CommonProperty.aspx?PropertyId=430')" TargetMode="External"/><Relationship Id="rId562" Type="http://schemas.openxmlformats.org/officeDocument/2006/relationships/hyperlink" Target="javascript:OpenNewWindow('../pages/CommonProperty.aspx?PropertyId=339')" TargetMode="External"/><Relationship Id="rId618" Type="http://schemas.openxmlformats.org/officeDocument/2006/relationships/hyperlink" Target="javascript:OpenNewWindow('../pages/CommonProperty.aspx?PropertyId=438')" TargetMode="External"/><Relationship Id="rId825" Type="http://schemas.openxmlformats.org/officeDocument/2006/relationships/hyperlink" Target="javascript:OpenNewWindow('../pages/CommonProperty.aspx?PropertyId=3000')" TargetMode="External"/><Relationship Id="rId215" Type="http://schemas.openxmlformats.org/officeDocument/2006/relationships/hyperlink" Target="javascript:OpenNewWindow('../pages/CommonProperty.aspx?PropertyId=185')" TargetMode="External"/><Relationship Id="rId257" Type="http://schemas.openxmlformats.org/officeDocument/2006/relationships/hyperlink" Target="javascript:OpenNewWindow('../pages/CommonProperty.aspx?PropertyId=168')" TargetMode="External"/><Relationship Id="rId422" Type="http://schemas.openxmlformats.org/officeDocument/2006/relationships/hyperlink" Target="javascript:OpenNewWindow('../pages/CommonProperty.aspx?PropertyId=373')" TargetMode="External"/><Relationship Id="rId464" Type="http://schemas.openxmlformats.org/officeDocument/2006/relationships/hyperlink" Target="javascript:OpenNewWindow('../pages/CommonProperty.aspx?PropertyId=620')" TargetMode="External"/><Relationship Id="rId867" Type="http://schemas.openxmlformats.org/officeDocument/2006/relationships/hyperlink" Target="javascript:OpenNewWindow('../pages/CommonProperty.aspx?PropertyId=2943')" TargetMode="External"/><Relationship Id="rId299" Type="http://schemas.openxmlformats.org/officeDocument/2006/relationships/hyperlink" Target="javascript:OpenNewWindow('../pages/CommonProperty.aspx?PropertyId=614')" TargetMode="External"/><Relationship Id="rId727" Type="http://schemas.openxmlformats.org/officeDocument/2006/relationships/hyperlink" Target="javascript:OpenNewWindow('../pages/CommonProperty.aspx?PropertyId=369')" TargetMode="External"/><Relationship Id="rId63" Type="http://schemas.openxmlformats.org/officeDocument/2006/relationships/hyperlink" Target="javascript:OpenNewWindow('../pages/CommonProperty.aspx?PropertyId=2676')" TargetMode="External"/><Relationship Id="rId159" Type="http://schemas.openxmlformats.org/officeDocument/2006/relationships/hyperlink" Target="javascript:OpenNewWindow('../pages/CommonProperty.aspx?PropertyId=23')" TargetMode="External"/><Relationship Id="rId366" Type="http://schemas.openxmlformats.org/officeDocument/2006/relationships/hyperlink" Target="javascript:OpenNewWindow('../pages/CommonProperty.aspx?PropertyId=286')" TargetMode="External"/><Relationship Id="rId573" Type="http://schemas.openxmlformats.org/officeDocument/2006/relationships/hyperlink" Target="javascript:OpenNewWindow('../pages/CommonProperty.aspx?PropertyId=49')" TargetMode="External"/><Relationship Id="rId780" Type="http://schemas.openxmlformats.org/officeDocument/2006/relationships/hyperlink" Target="javascript:OpenNewWindow('../pages/CommonProperty.aspx?PropertyId=36')" TargetMode="External"/><Relationship Id="rId226" Type="http://schemas.openxmlformats.org/officeDocument/2006/relationships/hyperlink" Target="javascript:OpenNewWindow('../pages/CommonProperty.aspx?PropertyId=157')" TargetMode="External"/><Relationship Id="rId433" Type="http://schemas.openxmlformats.org/officeDocument/2006/relationships/hyperlink" Target="javascript:OpenNewWindow('../pages/CommonProperty.aspx?PropertyId=395')" TargetMode="External"/><Relationship Id="rId878" Type="http://schemas.openxmlformats.org/officeDocument/2006/relationships/hyperlink" Target="javascript:OpenNewWindow('../pages/CommonProperty.aspx?PropertyId=3051')" TargetMode="External"/><Relationship Id="rId640" Type="http://schemas.openxmlformats.org/officeDocument/2006/relationships/hyperlink" Target="javascript:OpenNewWindow('../pages/CommonProperty.aspx?PropertyId=645')" TargetMode="External"/><Relationship Id="rId738" Type="http://schemas.openxmlformats.org/officeDocument/2006/relationships/hyperlink" Target="javascript:OpenNewWindow('../pages/CommonProperty.aspx?PropertyId=87')" TargetMode="External"/><Relationship Id="rId74" Type="http://schemas.openxmlformats.org/officeDocument/2006/relationships/hyperlink" Target="javascript:OpenNewWindow('../pages/CommonProperty.aspx?PropertyId=2681')" TargetMode="External"/><Relationship Id="rId377" Type="http://schemas.openxmlformats.org/officeDocument/2006/relationships/hyperlink" Target="javascript:OpenNewWindow('../pages/CommonProperty.aspx?PropertyId=314')" TargetMode="External"/><Relationship Id="rId500" Type="http://schemas.openxmlformats.org/officeDocument/2006/relationships/hyperlink" Target="javascript:OpenNewWindow('../pages/CommonProperty.aspx?PropertyId=310')" TargetMode="External"/><Relationship Id="rId584" Type="http://schemas.openxmlformats.org/officeDocument/2006/relationships/hyperlink" Target="javascript:OpenNewWindow('../pages/CommonProperty.aspx?PropertyId=299')" TargetMode="External"/><Relationship Id="rId805" Type="http://schemas.openxmlformats.org/officeDocument/2006/relationships/hyperlink" Target="javascript:OpenNewWindow('../pages/CommonProperty.aspx?PropertyId=1962')" TargetMode="External"/><Relationship Id="rId5" Type="http://schemas.openxmlformats.org/officeDocument/2006/relationships/hyperlink" Target="javascript:OpenNewWindow('../pages/CommonProperty.aspx?PropertyId=572')" TargetMode="External"/><Relationship Id="rId237" Type="http://schemas.openxmlformats.org/officeDocument/2006/relationships/hyperlink" Target="javascript:OpenNewWindow('../pages/CommonProperty.aspx?PropertyId=556')" TargetMode="External"/><Relationship Id="rId791" Type="http://schemas.openxmlformats.org/officeDocument/2006/relationships/hyperlink" Target="javascript:OpenNewWindow('../pages/CommonProperty.aspx?PropertyId=491')" TargetMode="External"/><Relationship Id="rId889" Type="http://schemas.openxmlformats.org/officeDocument/2006/relationships/hyperlink" Target="javascript:OpenNewWindow('../pages/CommonProperty.aspx?PropertyId=3002')" TargetMode="External"/><Relationship Id="rId444" Type="http://schemas.openxmlformats.org/officeDocument/2006/relationships/hyperlink" Target="javascript:OpenNewWindow('../pages/CommonProperty.aspx?PropertyId=319')" TargetMode="External"/><Relationship Id="rId651" Type="http://schemas.openxmlformats.org/officeDocument/2006/relationships/hyperlink" Target="javascript:OpenNewWindow('../pages/CommonProperty.aspx?PropertyId=387')" TargetMode="External"/><Relationship Id="rId749" Type="http://schemas.openxmlformats.org/officeDocument/2006/relationships/hyperlink" Target="javascript:OpenNewWindow('../pages/CommonProperty.aspx?PropertyId=31')" TargetMode="External"/><Relationship Id="rId290" Type="http://schemas.openxmlformats.org/officeDocument/2006/relationships/hyperlink" Target="javascript:OpenNewWindow('../pages/CommonProperty.aspx?PropertyId=253')" TargetMode="External"/><Relationship Id="rId304" Type="http://schemas.openxmlformats.org/officeDocument/2006/relationships/hyperlink" Target="javascript:OpenNewWindow('../pages/CommonProperty.aspx?PropertyId=72')" TargetMode="External"/><Relationship Id="rId388" Type="http://schemas.openxmlformats.org/officeDocument/2006/relationships/hyperlink" Target="javascript:OpenNewWindow('../pages/CommonProperty.aspx?PropertyId=601')" TargetMode="External"/><Relationship Id="rId511" Type="http://schemas.openxmlformats.org/officeDocument/2006/relationships/hyperlink" Target="javascript:OpenNewWindow('../pages/CommonProperty.aspx?PropertyId=221')" TargetMode="External"/><Relationship Id="rId609" Type="http://schemas.openxmlformats.org/officeDocument/2006/relationships/hyperlink" Target="javascript:OpenNewWindow('../pages/CommonProperty.aspx?PropertyId=243')" TargetMode="External"/><Relationship Id="rId85" Type="http://schemas.openxmlformats.org/officeDocument/2006/relationships/hyperlink" Target="javascript:OpenNewWindow('../pages/CommonProperty.aspx?PropertyId=2702')" TargetMode="External"/><Relationship Id="rId150" Type="http://schemas.openxmlformats.org/officeDocument/2006/relationships/hyperlink" Target="javascript:OpenNewWindow('../pages/CommonProperty.aspx?PropertyId=486')" TargetMode="External"/><Relationship Id="rId595" Type="http://schemas.openxmlformats.org/officeDocument/2006/relationships/hyperlink" Target="javascript:OpenNewWindow('../pages/CommonProperty.aspx?PropertyId=1958')" TargetMode="External"/><Relationship Id="rId816" Type="http://schemas.openxmlformats.org/officeDocument/2006/relationships/hyperlink" Target="javascript:OpenNewWindow('../pages/CommonProperty.aspx?PropertyId=2743')" TargetMode="External"/><Relationship Id="rId248" Type="http://schemas.openxmlformats.org/officeDocument/2006/relationships/hyperlink" Target="javascript:OpenNewWindow('../pages/CommonProperty.aspx?PropertyId=560')" TargetMode="External"/><Relationship Id="rId455" Type="http://schemas.openxmlformats.org/officeDocument/2006/relationships/hyperlink" Target="javascript:OpenNewWindow('../pages/CommonProperty.aspx?PropertyId=616')" TargetMode="External"/><Relationship Id="rId662" Type="http://schemas.openxmlformats.org/officeDocument/2006/relationships/hyperlink" Target="javascript:OpenNewWindow('../pages/CommonProperty.aspx?PropertyId=362')" TargetMode="External"/><Relationship Id="rId12" Type="http://schemas.openxmlformats.org/officeDocument/2006/relationships/hyperlink" Target="javascript:OpenNewWindow('../pages/CommonProperty.aspx?PropertyId=3113')" TargetMode="External"/><Relationship Id="rId108" Type="http://schemas.openxmlformats.org/officeDocument/2006/relationships/hyperlink" Target="javascript:OpenNewWindow('../pages/CommonProperty.aspx?PropertyId=2721')" TargetMode="External"/><Relationship Id="rId315" Type="http://schemas.openxmlformats.org/officeDocument/2006/relationships/hyperlink" Target="javascript:OpenNewWindow('../pages/CommonProperty.aspx?PropertyId=294')" TargetMode="External"/><Relationship Id="rId522" Type="http://schemas.openxmlformats.org/officeDocument/2006/relationships/hyperlink" Target="javascript:OpenNewWindow('../pages/CommonProperty.aspx?PropertyId=482')" TargetMode="External"/><Relationship Id="rId96" Type="http://schemas.openxmlformats.org/officeDocument/2006/relationships/hyperlink" Target="javascript:OpenNewWindow('../pages/CommonProperty.aspx?PropertyId=2712')" TargetMode="External"/><Relationship Id="rId161" Type="http://schemas.openxmlformats.org/officeDocument/2006/relationships/hyperlink" Target="javascript:OpenNewWindow('../pages/CommonProperty.aspx?PropertyId=25')" TargetMode="External"/><Relationship Id="rId399" Type="http://schemas.openxmlformats.org/officeDocument/2006/relationships/hyperlink" Target="javascript:OpenNewWindow('../pages/CommonProperty.aspx?PropertyId=423')" TargetMode="External"/><Relationship Id="rId827" Type="http://schemas.openxmlformats.org/officeDocument/2006/relationships/hyperlink" Target="javascript:OpenNewWindow('../pages/CommonProperty.aspx?PropertyId=1972')" TargetMode="External"/><Relationship Id="rId259" Type="http://schemas.openxmlformats.org/officeDocument/2006/relationships/hyperlink" Target="javascript:OpenNewWindow('../pages/CommonProperty.aspx?PropertyId=170')" TargetMode="External"/><Relationship Id="rId466" Type="http://schemas.openxmlformats.org/officeDocument/2006/relationships/hyperlink" Target="javascript:OpenNewWindow('../pages/CommonProperty.aspx?PropertyId=1954')" TargetMode="External"/><Relationship Id="rId673" Type="http://schemas.openxmlformats.org/officeDocument/2006/relationships/hyperlink" Target="javascript:OpenNewWindow('../pages/CommonProperty.aspx?PropertyId=356')" TargetMode="External"/><Relationship Id="rId880" Type="http://schemas.openxmlformats.org/officeDocument/2006/relationships/hyperlink" Target="javascript:OpenNewWindow('../pages/CommonProperty.aspx?PropertyId=2969')" TargetMode="External"/><Relationship Id="rId23" Type="http://schemas.openxmlformats.org/officeDocument/2006/relationships/hyperlink" Target="javascript:OpenNewWindow('../pages/CommonProperty.aspx?PropertyId=555')" TargetMode="External"/><Relationship Id="rId119" Type="http://schemas.openxmlformats.org/officeDocument/2006/relationships/hyperlink" Target="javascript:OpenNewWindow('../pages/CommonProperty.aspx?PropertyId=2962')" TargetMode="External"/><Relationship Id="rId326" Type="http://schemas.openxmlformats.org/officeDocument/2006/relationships/hyperlink" Target="javascript:OpenNewWindow('../pages/CommonProperty.aspx?PropertyId=274')" TargetMode="External"/><Relationship Id="rId533" Type="http://schemas.openxmlformats.org/officeDocument/2006/relationships/hyperlink" Target="javascript:OpenNewWindow('../pages/CommonProperty.aspx?PropertyId=330')" TargetMode="External"/><Relationship Id="rId740" Type="http://schemas.openxmlformats.org/officeDocument/2006/relationships/hyperlink" Target="javascript:OpenNewWindow('../pages/CommonProperty.aspx?PropertyId=89')" TargetMode="External"/><Relationship Id="rId838" Type="http://schemas.openxmlformats.org/officeDocument/2006/relationships/hyperlink" Target="javascript:OpenNewWindow('../pages/CommonProperty.aspx?PropertyId=2001')" TargetMode="External"/><Relationship Id="rId172" Type="http://schemas.openxmlformats.org/officeDocument/2006/relationships/hyperlink" Target="javascript:OpenNewWindow('../pages/CommonProperty.aspx?PropertyId=111')" TargetMode="External"/><Relationship Id="rId477" Type="http://schemas.openxmlformats.org/officeDocument/2006/relationships/hyperlink" Target="javascript:OpenNewWindow('../pages/CommonProperty.aspx?PropertyId=1926')" TargetMode="External"/><Relationship Id="rId600" Type="http://schemas.openxmlformats.org/officeDocument/2006/relationships/hyperlink" Target="javascript:OpenNewWindow('../pages/CommonProperty.aspx?PropertyId=2729')" TargetMode="External"/><Relationship Id="rId684" Type="http://schemas.openxmlformats.org/officeDocument/2006/relationships/hyperlink" Target="javascript:OpenNewWindow('../pages/CommonProperty.aspx?PropertyId=401')" TargetMode="External"/><Relationship Id="rId337" Type="http://schemas.openxmlformats.org/officeDocument/2006/relationships/hyperlink" Target="javascript:OpenNewWindow('../pages/CommonProperty.aspx?PropertyId=551')" TargetMode="External"/><Relationship Id="rId891" Type="http://schemas.openxmlformats.org/officeDocument/2006/relationships/hyperlink" Target="javascript:OpenNewWindow('../pages/CommonProperty.aspx?PropertyId=3004')" TargetMode="External"/><Relationship Id="rId905" Type="http://schemas.openxmlformats.org/officeDocument/2006/relationships/hyperlink" Target="javascript:OpenNewWindow('../pages/CommonProperty.aspx?PropertyId=1981')" TargetMode="External"/><Relationship Id="rId34" Type="http://schemas.openxmlformats.org/officeDocument/2006/relationships/hyperlink" Target="javascript:OpenNewWindow('../pages/CommonProperty.aspx?PropertyId=666')" TargetMode="External"/><Relationship Id="rId544" Type="http://schemas.openxmlformats.org/officeDocument/2006/relationships/hyperlink" Target="javascript:OpenNewWindow('../pages/CommonProperty.aspx?PropertyId=347')" TargetMode="External"/><Relationship Id="rId751" Type="http://schemas.openxmlformats.org/officeDocument/2006/relationships/hyperlink" Target="javascript:OpenNewWindow('../pages/CommonProperty.aspx?PropertyId=57')" TargetMode="External"/><Relationship Id="rId849" Type="http://schemas.openxmlformats.org/officeDocument/2006/relationships/hyperlink" Target="javascript:OpenNewWindow('../pages/CommonProperty.aspx?PropertyId=2661')" TargetMode="External"/><Relationship Id="rId183" Type="http://schemas.openxmlformats.org/officeDocument/2006/relationships/hyperlink" Target="javascript:OpenNewWindow('../pages/CommonProperty.aspx?PropertyId=128')" TargetMode="External"/><Relationship Id="rId390" Type="http://schemas.openxmlformats.org/officeDocument/2006/relationships/hyperlink" Target="javascript:OpenNewWindow('../pages/CommonProperty.aspx?PropertyId=416')" TargetMode="External"/><Relationship Id="rId404" Type="http://schemas.openxmlformats.org/officeDocument/2006/relationships/hyperlink" Target="javascript:OpenNewWindow('../pages/CommonProperty.aspx?PropertyId=428')" TargetMode="External"/><Relationship Id="rId611" Type="http://schemas.openxmlformats.org/officeDocument/2006/relationships/hyperlink" Target="javascript:OpenNewWindow('../pages/CommonProperty.aspx?PropertyId=50')" TargetMode="External"/><Relationship Id="rId250" Type="http://schemas.openxmlformats.org/officeDocument/2006/relationships/hyperlink" Target="javascript:OpenNewWindow('../pages/CommonProperty.aspx?PropertyId=576')" TargetMode="External"/><Relationship Id="rId488" Type="http://schemas.openxmlformats.org/officeDocument/2006/relationships/hyperlink" Target="javascript:OpenNewWindow('../pages/CommonProperty.aspx?PropertyId=211')" TargetMode="External"/><Relationship Id="rId695" Type="http://schemas.openxmlformats.org/officeDocument/2006/relationships/hyperlink" Target="javascript:OpenNewWindow('../pages/CommonProperty.aspx?PropertyId=406')" TargetMode="External"/><Relationship Id="rId709" Type="http://schemas.openxmlformats.org/officeDocument/2006/relationships/hyperlink" Target="javascript:OpenNewWindow('../pages/CommonProperty.aspx?PropertyId=633')" TargetMode="External"/><Relationship Id="rId916" Type="http://schemas.openxmlformats.org/officeDocument/2006/relationships/hyperlink" Target="javascript:OpenNewWindow('../pages/CommonProperty.aspx?PropertyId=2050')" TargetMode="External"/><Relationship Id="rId45" Type="http://schemas.openxmlformats.org/officeDocument/2006/relationships/hyperlink" Target="javascript:OpenNewWindow('../pages/CommonProperty.aspx?PropertyId=579')" TargetMode="External"/><Relationship Id="rId110" Type="http://schemas.openxmlformats.org/officeDocument/2006/relationships/hyperlink" Target="javascript:OpenNewWindow('../pages/CommonProperty.aspx?PropertyId=2689')" TargetMode="External"/><Relationship Id="rId348" Type="http://schemas.openxmlformats.org/officeDocument/2006/relationships/hyperlink" Target="javascript:OpenNewWindow('../pages/CommonProperty.aspx?PropertyId=79')" TargetMode="External"/><Relationship Id="rId555" Type="http://schemas.openxmlformats.org/officeDocument/2006/relationships/hyperlink" Target="javascript:OpenNewWindow('../pages/CommonProperty.aspx?PropertyId=351')" TargetMode="External"/><Relationship Id="rId762" Type="http://schemas.openxmlformats.org/officeDocument/2006/relationships/hyperlink" Target="javascript:OpenNewWindow('../pages/CommonProperty.aspx?PropertyId=469')" TargetMode="External"/><Relationship Id="rId194" Type="http://schemas.openxmlformats.org/officeDocument/2006/relationships/hyperlink" Target="javascript:OpenNewWindow('../pages/CommonProperty.aspx?PropertyId=249')" TargetMode="External"/><Relationship Id="rId208" Type="http://schemas.openxmlformats.org/officeDocument/2006/relationships/hyperlink" Target="javascript:OpenNewWindow('../pages/CommonProperty.aspx?PropertyId=182')" TargetMode="External"/><Relationship Id="rId415" Type="http://schemas.openxmlformats.org/officeDocument/2006/relationships/hyperlink" Target="javascript:OpenNewWindow('../pages/CommonProperty.aspx?PropertyId=586')" TargetMode="External"/><Relationship Id="rId622" Type="http://schemas.openxmlformats.org/officeDocument/2006/relationships/hyperlink" Target="javascript:OpenNewWindow('../pages/CommonProperty.aspx?PropertyId=307')" TargetMode="External"/><Relationship Id="rId261" Type="http://schemas.openxmlformats.org/officeDocument/2006/relationships/hyperlink" Target="javascript:OpenNewWindow('../pages/CommonProperty.aspx?PropertyId=172')" TargetMode="External"/><Relationship Id="rId499" Type="http://schemas.openxmlformats.org/officeDocument/2006/relationships/hyperlink" Target="javascript:OpenNewWindow('../pages/CommonProperty.aspx?PropertyId=309')" TargetMode="External"/><Relationship Id="rId56" Type="http://schemas.openxmlformats.org/officeDocument/2006/relationships/hyperlink" Target="javascript:OpenNewWindow('../pages/CommonProperty.aspx?PropertyId=2960')" TargetMode="External"/><Relationship Id="rId359" Type="http://schemas.openxmlformats.org/officeDocument/2006/relationships/hyperlink" Target="javascript:OpenNewWindow('../pages/CommonProperty.aspx?PropertyId=84')" TargetMode="External"/><Relationship Id="rId566" Type="http://schemas.openxmlformats.org/officeDocument/2006/relationships/hyperlink" Target="javascript:OpenNewWindow('../pages/CommonProperty.aspx?PropertyId=148')" TargetMode="External"/><Relationship Id="rId773" Type="http://schemas.openxmlformats.org/officeDocument/2006/relationships/hyperlink" Target="javascript:OpenNewWindow('../pages/CommonProperty.aspx?PropertyId=452')" TargetMode="External"/><Relationship Id="rId121" Type="http://schemas.openxmlformats.org/officeDocument/2006/relationships/hyperlink" Target="javascript:OpenNewWindow('../pages/CommonProperty.aspx?PropertyId=2955')" TargetMode="External"/><Relationship Id="rId219" Type="http://schemas.openxmlformats.org/officeDocument/2006/relationships/hyperlink" Target="javascript:OpenNewWindow('../pages/CommonProperty.aspx?PropertyId=150')" TargetMode="External"/><Relationship Id="rId426" Type="http://schemas.openxmlformats.org/officeDocument/2006/relationships/hyperlink" Target="javascript:OpenNewWindow('../pages/CommonProperty.aspx?PropertyId=375')" TargetMode="External"/><Relationship Id="rId633" Type="http://schemas.openxmlformats.org/officeDocument/2006/relationships/hyperlink" Target="javascript:OpenNewWindow('../pages/CommonProperty.aspx?PropertyId=62')" TargetMode="External"/><Relationship Id="rId840" Type="http://schemas.openxmlformats.org/officeDocument/2006/relationships/hyperlink" Target="javascript:OpenNewWindow('../pages/CommonProperty.aspx?PropertyId=2071')" TargetMode="External"/><Relationship Id="rId67" Type="http://schemas.openxmlformats.org/officeDocument/2006/relationships/hyperlink" Target="javascript:OpenNewWindow('../pages/CommonProperty.aspx?PropertyId=2678')" TargetMode="External"/><Relationship Id="rId272" Type="http://schemas.openxmlformats.org/officeDocument/2006/relationships/hyperlink" Target="javascript:OpenNewWindow('../pages/CommonProperty.aspx?PropertyId=2023')" TargetMode="External"/><Relationship Id="rId577" Type="http://schemas.openxmlformats.org/officeDocument/2006/relationships/hyperlink" Target="javascript:OpenNewWindow('../pages/CommonProperty.aspx?PropertyId=581')" TargetMode="External"/><Relationship Id="rId700" Type="http://schemas.openxmlformats.org/officeDocument/2006/relationships/hyperlink" Target="javascript:OpenNewWindow('../pages/CommonProperty.aspx?PropertyId=408')" TargetMode="External"/><Relationship Id="rId132" Type="http://schemas.openxmlformats.org/officeDocument/2006/relationships/hyperlink" Target="javascript:OpenNewWindow('../pages/CommonProperty.aspx?PropertyId=9')" TargetMode="External"/><Relationship Id="rId784" Type="http://schemas.openxmlformats.org/officeDocument/2006/relationships/hyperlink" Target="javascript:OpenNewWindow('../pages/CommonProperty.aspx?PropertyId=39')" TargetMode="External"/><Relationship Id="rId437" Type="http://schemas.openxmlformats.org/officeDocument/2006/relationships/hyperlink" Target="javascript:OpenNewWindow('../pages/CommonProperty.aspx?PropertyId=484')" TargetMode="External"/><Relationship Id="rId644" Type="http://schemas.openxmlformats.org/officeDocument/2006/relationships/hyperlink" Target="javascript:OpenNewWindow('../pages/CommonProperty.aspx?PropertyId=383')" TargetMode="External"/><Relationship Id="rId851" Type="http://schemas.openxmlformats.org/officeDocument/2006/relationships/hyperlink" Target="javascript:OpenNewWindow('../pages/CommonProperty.aspx?PropertyId=2731')" TargetMode="External"/><Relationship Id="rId283" Type="http://schemas.openxmlformats.org/officeDocument/2006/relationships/hyperlink" Target="javascript:OpenNewWindow('../pages/CommonProperty.aspx?PropertyId=136')" TargetMode="External"/><Relationship Id="rId490" Type="http://schemas.openxmlformats.org/officeDocument/2006/relationships/hyperlink" Target="javascript:OpenNewWindow('../pages/CommonProperty.aspx?PropertyId=213')" TargetMode="External"/><Relationship Id="rId504" Type="http://schemas.openxmlformats.org/officeDocument/2006/relationships/hyperlink" Target="javascript:OpenNewWindow('../pages/CommonProperty.aspx?PropertyId=216')" TargetMode="External"/><Relationship Id="rId711" Type="http://schemas.openxmlformats.org/officeDocument/2006/relationships/hyperlink" Target="javascript:OpenNewWindow('../pages/CommonProperty.aspx?PropertyId=635')" TargetMode="External"/><Relationship Id="rId78" Type="http://schemas.openxmlformats.org/officeDocument/2006/relationships/hyperlink" Target="javascript:OpenNewWindow('../pages/CommonProperty.aspx?PropertyId=2697')" TargetMode="External"/><Relationship Id="rId143" Type="http://schemas.openxmlformats.org/officeDocument/2006/relationships/hyperlink" Target="javascript:OpenNewWindow('../pages/CommonProperty.aspx?PropertyId=476')" TargetMode="External"/><Relationship Id="rId350" Type="http://schemas.openxmlformats.org/officeDocument/2006/relationships/hyperlink" Target="javascript:OpenNewWindow('../pages/CommonProperty.aspx?PropertyId=81')" TargetMode="External"/><Relationship Id="rId588" Type="http://schemas.openxmlformats.org/officeDocument/2006/relationships/hyperlink" Target="javascript:OpenNewWindow('../pages/CommonProperty.aspx?PropertyId=506')" TargetMode="External"/><Relationship Id="rId795" Type="http://schemas.openxmlformats.org/officeDocument/2006/relationships/hyperlink" Target="javascript:OpenNewWindow('../pages/CommonProperty.aspx?PropertyId=495')" TargetMode="External"/><Relationship Id="rId809" Type="http://schemas.openxmlformats.org/officeDocument/2006/relationships/hyperlink" Target="javascript:OpenNewWindow('../pages/CommonProperty.aspx?PropertyId=437')" TargetMode="External"/><Relationship Id="rId9" Type="http://schemas.openxmlformats.org/officeDocument/2006/relationships/hyperlink" Target="javascript:OpenNewWindow('../pages/CommonProperty.aspx?PropertyId=1918')" TargetMode="External"/><Relationship Id="rId210" Type="http://schemas.openxmlformats.org/officeDocument/2006/relationships/hyperlink" Target="javascript:OpenNewWindow('../pages/CommonProperty.aspx?PropertyId=183')" TargetMode="External"/><Relationship Id="rId448" Type="http://schemas.openxmlformats.org/officeDocument/2006/relationships/hyperlink" Target="javascript:OpenNewWindow('../pages/CommonProperty.aspx?PropertyId=323')" TargetMode="External"/><Relationship Id="rId655" Type="http://schemas.openxmlformats.org/officeDocument/2006/relationships/hyperlink" Target="javascript:OpenNewWindow('../pages/CommonProperty.aspx?PropertyId=388')" TargetMode="External"/><Relationship Id="rId862" Type="http://schemas.openxmlformats.org/officeDocument/2006/relationships/hyperlink" Target="javascript:OpenNewWindow('../pages/CommonProperty.aspx?PropertyId=2916')" TargetMode="External"/><Relationship Id="rId294" Type="http://schemas.openxmlformats.org/officeDocument/2006/relationships/hyperlink" Target="javascript:OpenNewWindow('../pages/CommonProperty.aspx?PropertyId=64')" TargetMode="External"/><Relationship Id="rId308" Type="http://schemas.openxmlformats.org/officeDocument/2006/relationships/hyperlink" Target="javascript:OpenNewWindow('../pages/CommonProperty.aspx?PropertyId=101')" TargetMode="External"/><Relationship Id="rId515" Type="http://schemas.openxmlformats.org/officeDocument/2006/relationships/hyperlink" Target="javascript:OpenNewWindow('../pages/CommonProperty.aspx?PropertyId=225')" TargetMode="External"/><Relationship Id="rId722" Type="http://schemas.openxmlformats.org/officeDocument/2006/relationships/hyperlink" Target="javascript:OpenNewWindow('../pages/CommonProperty.aspx?PropertyId=364')" TargetMode="External"/><Relationship Id="rId89" Type="http://schemas.openxmlformats.org/officeDocument/2006/relationships/hyperlink" Target="javascript:OpenNewWindow('../pages/CommonProperty.aspx?PropertyId=2706')" TargetMode="External"/><Relationship Id="rId154" Type="http://schemas.openxmlformats.org/officeDocument/2006/relationships/hyperlink" Target="javascript:OpenNewWindow('../pages/CommonProperty.aspx?PropertyId=510')" TargetMode="External"/><Relationship Id="rId361" Type="http://schemas.openxmlformats.org/officeDocument/2006/relationships/hyperlink" Target="javascript:OpenNewWindow('../pages/CommonProperty.aspx?PropertyId=593')" TargetMode="External"/><Relationship Id="rId599" Type="http://schemas.openxmlformats.org/officeDocument/2006/relationships/hyperlink" Target="javascript:OpenNewWindow('../pages/CommonProperty.aspx?PropertyId=1960')" TargetMode="External"/><Relationship Id="rId459" Type="http://schemas.openxmlformats.org/officeDocument/2006/relationships/hyperlink" Target="javascript:OpenNewWindow('../pages/CommonProperty.aspx?PropertyId=196')" TargetMode="External"/><Relationship Id="rId666" Type="http://schemas.openxmlformats.org/officeDocument/2006/relationships/hyperlink" Target="javascript:OpenNewWindow('../pages/CommonProperty.aspx?PropertyId=463')" TargetMode="External"/><Relationship Id="rId873" Type="http://schemas.openxmlformats.org/officeDocument/2006/relationships/hyperlink" Target="javascript:OpenNewWindow('../pages/CommonProperty.aspx?PropertyId=2948')" TargetMode="External"/><Relationship Id="rId16" Type="http://schemas.openxmlformats.org/officeDocument/2006/relationships/hyperlink" Target="javascript:OpenNewWindow('../pages/CommonProperty.aspx?PropertyId=553')" TargetMode="External"/><Relationship Id="rId221" Type="http://schemas.openxmlformats.org/officeDocument/2006/relationships/hyperlink" Target="javascript:OpenNewWindow('../pages/CommonProperty.aspx?PropertyId=152')" TargetMode="External"/><Relationship Id="rId319" Type="http://schemas.openxmlformats.org/officeDocument/2006/relationships/hyperlink" Target="javascript:OpenNewWindow('../pages/CommonProperty.aspx?PropertyId=265')" TargetMode="External"/><Relationship Id="rId526" Type="http://schemas.openxmlformats.org/officeDocument/2006/relationships/hyperlink" Target="javascript:OpenNewWindow('../pages/CommonProperty.aspx?PropertyId=3048')" TargetMode="External"/><Relationship Id="rId733" Type="http://schemas.openxmlformats.org/officeDocument/2006/relationships/hyperlink" Target="javascript:OpenNewWindow('../pages/CommonProperty.aspx?PropertyId=603')" TargetMode="External"/><Relationship Id="rId165" Type="http://schemas.openxmlformats.org/officeDocument/2006/relationships/hyperlink" Target="javascript:OpenNewWindow('../pages/CommonProperty.aspx?PropertyId=28')" TargetMode="External"/><Relationship Id="rId372" Type="http://schemas.openxmlformats.org/officeDocument/2006/relationships/hyperlink" Target="javascript:OpenNewWindow('../pages/CommonProperty.aspx?PropertyId=292')" TargetMode="External"/><Relationship Id="rId677" Type="http://schemas.openxmlformats.org/officeDocument/2006/relationships/hyperlink" Target="javascript:OpenNewWindow('../pages/CommonProperty.aspx?PropertyId=19')" TargetMode="External"/><Relationship Id="rId800" Type="http://schemas.openxmlformats.org/officeDocument/2006/relationships/hyperlink" Target="javascript:OpenNewWindow('../pages/CommonProperty.aspx?PropertyId=46')" TargetMode="External"/><Relationship Id="rId232" Type="http://schemas.openxmlformats.org/officeDocument/2006/relationships/hyperlink" Target="javascript:OpenNewWindow('../pages/CommonProperty.aspx?PropertyId=163')" TargetMode="External"/><Relationship Id="rId884" Type="http://schemas.openxmlformats.org/officeDocument/2006/relationships/hyperlink" Target="javascript:OpenNewWindow('../pages/CommonProperty.aspx?PropertyId=2973')" TargetMode="External"/><Relationship Id="rId27" Type="http://schemas.openxmlformats.org/officeDocument/2006/relationships/hyperlink" Target="javascript:OpenNewWindow('../pages/CommonProperty.aspx?PropertyId=582')" TargetMode="External"/><Relationship Id="rId537" Type="http://schemas.openxmlformats.org/officeDocument/2006/relationships/hyperlink" Target="javascript:OpenNewWindow('../pages/CommonProperty.aspx?PropertyId=588')" TargetMode="External"/><Relationship Id="rId744" Type="http://schemas.openxmlformats.org/officeDocument/2006/relationships/hyperlink" Target="javascript:OpenNewWindow('../pages/CommonProperty.aspx?PropertyId=93')" TargetMode="External"/><Relationship Id="rId80" Type="http://schemas.openxmlformats.org/officeDocument/2006/relationships/hyperlink" Target="javascript:OpenNewWindow('../pages/CommonProperty.aspx?PropertyId=2683')" TargetMode="External"/><Relationship Id="rId176" Type="http://schemas.openxmlformats.org/officeDocument/2006/relationships/hyperlink" Target="javascript:OpenNewWindow('../pages/CommonProperty.aspx?PropertyId=234')" TargetMode="External"/><Relationship Id="rId383" Type="http://schemas.openxmlformats.org/officeDocument/2006/relationships/hyperlink" Target="javascript:OpenNewWindow('../pages/CommonProperty.aspx?PropertyId=66')" TargetMode="External"/><Relationship Id="rId590" Type="http://schemas.openxmlformats.org/officeDocument/2006/relationships/hyperlink" Target="javascript:OpenNewWindow('../pages/CommonProperty.aspx?PropertyId=1216')" TargetMode="External"/><Relationship Id="rId604" Type="http://schemas.openxmlformats.org/officeDocument/2006/relationships/hyperlink" Target="javascript:OpenNewWindow('../pages/CommonProperty.aspx?PropertyId=237')" TargetMode="External"/><Relationship Id="rId811" Type="http://schemas.openxmlformats.org/officeDocument/2006/relationships/hyperlink" Target="javascript:OpenNewWindow('../pages/CommonProperty.aspx?PropertyId=1221')" TargetMode="External"/><Relationship Id="rId243" Type="http://schemas.openxmlformats.org/officeDocument/2006/relationships/hyperlink" Target="javascript:OpenNewWindow('../pages/CommonProperty.aspx?PropertyId=524')" TargetMode="External"/><Relationship Id="rId450" Type="http://schemas.openxmlformats.org/officeDocument/2006/relationships/hyperlink" Target="javascript:OpenNewWindow('../pages/CommonProperty.aspx?PropertyId=325')" TargetMode="External"/><Relationship Id="rId688" Type="http://schemas.openxmlformats.org/officeDocument/2006/relationships/hyperlink" Target="javascript:OpenNewWindow('../pages/CommonProperty.aspx?PropertyId=638')" TargetMode="External"/><Relationship Id="rId895" Type="http://schemas.openxmlformats.org/officeDocument/2006/relationships/hyperlink" Target="javascript:OpenNewWindow('../pages/CommonProperty.aspx?PropertyId=3014')" TargetMode="External"/><Relationship Id="rId909" Type="http://schemas.openxmlformats.org/officeDocument/2006/relationships/hyperlink" Target="javascript:OpenNewWindow('../pages/CommonProperty.aspx?PropertyId=2852')" TargetMode="External"/><Relationship Id="rId38" Type="http://schemas.openxmlformats.org/officeDocument/2006/relationships/hyperlink" Target="javascript:OpenNewWindow('../pages/CommonProperty.aspx?PropertyId=2051')" TargetMode="External"/><Relationship Id="rId103" Type="http://schemas.openxmlformats.org/officeDocument/2006/relationships/hyperlink" Target="javascript:OpenNewWindow('../pages/CommonProperty.aspx?PropertyId=2688')" TargetMode="External"/><Relationship Id="rId310" Type="http://schemas.openxmlformats.org/officeDocument/2006/relationships/hyperlink" Target="javascript:OpenNewWindow('../pages/CommonProperty.aspx?PropertyId=192')" TargetMode="External"/><Relationship Id="rId548" Type="http://schemas.openxmlformats.org/officeDocument/2006/relationships/hyperlink" Target="javascript:OpenNewWindow('../pages/CommonProperty.aspx?PropertyId=359')" TargetMode="External"/><Relationship Id="rId755" Type="http://schemas.openxmlformats.org/officeDocument/2006/relationships/hyperlink" Target="javascript:OpenNewWindow('../pages/CommonProperty.aspx?PropertyId=60')" TargetMode="External"/><Relationship Id="rId91" Type="http://schemas.openxmlformats.org/officeDocument/2006/relationships/hyperlink" Target="javascript:OpenNewWindow('../pages/CommonProperty.aspx?PropertyId=2708')" TargetMode="External"/><Relationship Id="rId187" Type="http://schemas.openxmlformats.org/officeDocument/2006/relationships/hyperlink" Target="javascript:OpenNewWindow('../pages/CommonProperty.aspx?PropertyId=132')" TargetMode="External"/><Relationship Id="rId394" Type="http://schemas.openxmlformats.org/officeDocument/2006/relationships/hyperlink" Target="javascript:OpenNewWindow('../pages/CommonProperty.aspx?PropertyId=2067')" TargetMode="External"/><Relationship Id="rId408" Type="http://schemas.openxmlformats.org/officeDocument/2006/relationships/hyperlink" Target="javascript:OpenNewWindow('../pages/CommonProperty.aspx?PropertyId=457')" TargetMode="External"/><Relationship Id="rId615" Type="http://schemas.openxmlformats.org/officeDocument/2006/relationships/hyperlink" Target="javascript:OpenNewWindow('../pages/CommonProperty.aspx?PropertyId=390')" TargetMode="External"/><Relationship Id="rId822" Type="http://schemas.openxmlformats.org/officeDocument/2006/relationships/hyperlink" Target="javascript:OpenNewWindow('../pages/CommonProperty.aspx?PropertyId=2936')" TargetMode="External"/><Relationship Id="rId254" Type="http://schemas.openxmlformats.org/officeDocument/2006/relationships/hyperlink" Target="javascript:OpenNewWindow('../pages/CommonProperty.aspx?PropertyId=251')" TargetMode="External"/><Relationship Id="rId699" Type="http://schemas.openxmlformats.org/officeDocument/2006/relationships/hyperlink" Target="javascript:OpenNewWindow('../pages/CommonProperty.aspx?PropertyId=407')" TargetMode="External"/><Relationship Id="rId49" Type="http://schemas.openxmlformats.org/officeDocument/2006/relationships/hyperlink" Target="javascript:OpenNewWindow('../pages/CommonProperty.aspx?PropertyId=530')" TargetMode="External"/><Relationship Id="rId114" Type="http://schemas.openxmlformats.org/officeDocument/2006/relationships/hyperlink" Target="javascript:OpenNewWindow('../pages/CommonProperty.aspx?PropertyId=2723')" TargetMode="External"/><Relationship Id="rId461" Type="http://schemas.openxmlformats.org/officeDocument/2006/relationships/hyperlink" Target="javascript:OpenNewWindow('../pages/CommonProperty.aspx?PropertyId=198')" TargetMode="External"/><Relationship Id="rId559" Type="http://schemas.openxmlformats.org/officeDocument/2006/relationships/hyperlink" Target="javascript:OpenNewWindow('../pages/CommonProperty.aspx?PropertyId=539')" TargetMode="External"/><Relationship Id="rId766" Type="http://schemas.openxmlformats.org/officeDocument/2006/relationships/hyperlink" Target="javascript:OpenNewWindow('../pages/CommonProperty.aspx?PropertyId=460')" TargetMode="External"/><Relationship Id="rId198" Type="http://schemas.openxmlformats.org/officeDocument/2006/relationships/hyperlink" Target="javascript:OpenNewWindow('../pages/CommonProperty.aspx?PropertyId=119')" TargetMode="External"/><Relationship Id="rId321" Type="http://schemas.openxmlformats.org/officeDocument/2006/relationships/hyperlink" Target="javascript:OpenNewWindow('../pages/CommonProperty.aspx?PropertyId=279')" TargetMode="External"/><Relationship Id="rId419" Type="http://schemas.openxmlformats.org/officeDocument/2006/relationships/hyperlink" Target="javascript:OpenNewWindow('../pages/CommonProperty.aspx?PropertyId=361')" TargetMode="External"/><Relationship Id="rId626" Type="http://schemas.openxmlformats.org/officeDocument/2006/relationships/hyperlink" Target="javascript:OpenNewWindow('../pages/CommonProperty.aspx?PropertyId=518')" TargetMode="External"/><Relationship Id="rId833" Type="http://schemas.openxmlformats.org/officeDocument/2006/relationships/hyperlink" Target="javascript:OpenNewWindow('../pages/CommonProperty.aspx?PropertyId=1996')" TargetMode="External"/><Relationship Id="rId265" Type="http://schemas.openxmlformats.org/officeDocument/2006/relationships/hyperlink" Target="javascript:OpenNewWindow('../pages/CommonProperty.aspx?PropertyId=143')" TargetMode="External"/><Relationship Id="rId472" Type="http://schemas.openxmlformats.org/officeDocument/2006/relationships/hyperlink" Target="javascript:OpenNewWindow('../pages/CommonProperty.aspx?PropertyId=203')" TargetMode="External"/><Relationship Id="rId900" Type="http://schemas.openxmlformats.org/officeDocument/2006/relationships/hyperlink" Target="javascript:OpenNewWindow('../pages/CommonProperty.aspx?PropertyId=2056')" TargetMode="External"/><Relationship Id="rId125" Type="http://schemas.openxmlformats.org/officeDocument/2006/relationships/hyperlink" Target="javascript:OpenNewWindow('../pages/CommonProperty.aspx?PropertyId=2956')" TargetMode="External"/><Relationship Id="rId332" Type="http://schemas.openxmlformats.org/officeDocument/2006/relationships/hyperlink" Target="javascript:OpenNewWindow('../pages/CommonProperty.aspx?PropertyId=282')" TargetMode="External"/><Relationship Id="rId777" Type="http://schemas.openxmlformats.org/officeDocument/2006/relationships/hyperlink" Target="javascript:OpenNewWindow('../pages/CommonProperty.aspx?PropertyId=499')" TargetMode="External"/><Relationship Id="rId637" Type="http://schemas.openxmlformats.org/officeDocument/2006/relationships/hyperlink" Target="javascript:OpenNewWindow('../pages/CommonProperty.aspx?PropertyId=379')" TargetMode="External"/><Relationship Id="rId844" Type="http://schemas.openxmlformats.org/officeDocument/2006/relationships/hyperlink" Target="javascript:OpenNewWindow('../pages/CommonProperty.aspx?PropertyId=2657')" TargetMode="External"/><Relationship Id="rId276" Type="http://schemas.openxmlformats.org/officeDocument/2006/relationships/hyperlink" Target="javascript:OpenNewWindow('../pages/CommonProperty.aspx?PropertyId=258')" TargetMode="External"/><Relationship Id="rId483" Type="http://schemas.openxmlformats.org/officeDocument/2006/relationships/hyperlink" Target="javascript:OpenNewWindow('../pages/CommonProperty.aspx?PropertyId=625')" TargetMode="External"/><Relationship Id="rId690" Type="http://schemas.openxmlformats.org/officeDocument/2006/relationships/hyperlink" Target="javascript:OpenNewWindow('../pages/CommonProperty.aspx?PropertyId=642')" TargetMode="External"/><Relationship Id="rId704" Type="http://schemas.openxmlformats.org/officeDocument/2006/relationships/hyperlink" Target="javascript:OpenNewWindow('../pages/CommonProperty.aspx?PropertyId=580')" TargetMode="External"/><Relationship Id="rId911" Type="http://schemas.openxmlformats.org/officeDocument/2006/relationships/hyperlink" Target="javascript:OpenNewWindow('../pages/CommonProperty.aspx?PropertyId=1989')" TargetMode="External"/><Relationship Id="rId40" Type="http://schemas.openxmlformats.org/officeDocument/2006/relationships/hyperlink" Target="javascript:OpenNewWindow('../pages/CommonProperty.aspx?PropertyId=3093')" TargetMode="External"/><Relationship Id="rId136" Type="http://schemas.openxmlformats.org/officeDocument/2006/relationships/hyperlink" Target="javascript:OpenNewWindow('../pages/CommonProperty.aspx?PropertyId=13')" TargetMode="External"/><Relationship Id="rId343" Type="http://schemas.openxmlformats.org/officeDocument/2006/relationships/hyperlink" Target="javascript:OpenNewWindow('../pages/CommonProperty.aspx?PropertyId=76')" TargetMode="External"/><Relationship Id="rId550" Type="http://schemas.openxmlformats.org/officeDocument/2006/relationships/hyperlink" Target="javascript:OpenNewWindow('../pages/CommonProperty.aspx?PropertyId=353')" TargetMode="External"/><Relationship Id="rId788" Type="http://schemas.openxmlformats.org/officeDocument/2006/relationships/hyperlink" Target="javascript:OpenNewWindow('../pages/CommonProperty.aspx?PropertyId=440')" TargetMode="External"/><Relationship Id="rId203" Type="http://schemas.openxmlformats.org/officeDocument/2006/relationships/hyperlink" Target="javascript:OpenNewWindow('../pages/CommonProperty.aspx?PropertyId=177')" TargetMode="External"/><Relationship Id="rId648" Type="http://schemas.openxmlformats.org/officeDocument/2006/relationships/hyperlink" Target="javascript:OpenNewWindow('../pages/CommonProperty.aspx?PropertyId=649')" TargetMode="External"/><Relationship Id="rId855" Type="http://schemas.openxmlformats.org/officeDocument/2006/relationships/hyperlink" Target="javascript:OpenNewWindow('../pages/CommonProperty.aspx?PropertyId=2861')" TargetMode="External"/><Relationship Id="rId287" Type="http://schemas.openxmlformats.org/officeDocument/2006/relationships/hyperlink" Target="javascript:OpenNewWindow('../pages/CommonProperty.aspx?PropertyId=245')" TargetMode="External"/><Relationship Id="rId410" Type="http://schemas.openxmlformats.org/officeDocument/2006/relationships/hyperlink" Target="javascript:OpenNewWindow('../pages/CommonProperty.aspx?PropertyId=558')" TargetMode="External"/><Relationship Id="rId494" Type="http://schemas.openxmlformats.org/officeDocument/2006/relationships/hyperlink" Target="javascript:OpenNewWindow('../pages/CommonProperty.aspx?PropertyId=1956')" TargetMode="External"/><Relationship Id="rId508" Type="http://schemas.openxmlformats.org/officeDocument/2006/relationships/hyperlink" Target="javascript:OpenNewWindow('../pages/CommonProperty.aspx?PropertyId=219')" TargetMode="External"/><Relationship Id="rId715" Type="http://schemas.openxmlformats.org/officeDocument/2006/relationships/hyperlink" Target="javascript:OpenNewWindow('../pages/CommonProperty.aspx?PropertyId=367')" TargetMode="External"/><Relationship Id="rId147" Type="http://schemas.openxmlformats.org/officeDocument/2006/relationships/hyperlink" Target="javascript:OpenNewWindow('../pages/CommonProperty.aspx?PropertyId=516')" TargetMode="External"/><Relationship Id="rId354" Type="http://schemas.openxmlformats.org/officeDocument/2006/relationships/hyperlink" Target="javascript:OpenNewWindow('../pages/CommonProperty.aspx?PropertyId=302')" TargetMode="External"/><Relationship Id="rId799" Type="http://schemas.openxmlformats.org/officeDocument/2006/relationships/hyperlink" Target="javascript:OpenNewWindow('../pages/CommonProperty.aspx?PropertyId=45')" TargetMode="External"/><Relationship Id="rId51" Type="http://schemas.openxmlformats.org/officeDocument/2006/relationships/hyperlink" Target="javascript:OpenNewWindow('../pages/CommonProperty.aspx?PropertyId=562')" TargetMode="External"/><Relationship Id="rId561" Type="http://schemas.openxmlformats.org/officeDocument/2006/relationships/hyperlink" Target="javascript:OpenNewWindow('../pages/CommonProperty.aspx?PropertyId=338')" TargetMode="External"/><Relationship Id="rId659" Type="http://schemas.openxmlformats.org/officeDocument/2006/relationships/hyperlink" Target="javascript:OpenNewWindow('../pages/CommonProperty.aspx?PropertyId=389')" TargetMode="External"/><Relationship Id="rId866" Type="http://schemas.openxmlformats.org/officeDocument/2006/relationships/hyperlink" Target="javascript:OpenNewWindow('../pages/CommonProperty.aspx?PropertyId=2917')" TargetMode="External"/><Relationship Id="rId214" Type="http://schemas.openxmlformats.org/officeDocument/2006/relationships/hyperlink" Target="javascript:OpenNewWindow('../pages/CommonProperty.aspx?PropertyId=125')" TargetMode="External"/><Relationship Id="rId298" Type="http://schemas.openxmlformats.org/officeDocument/2006/relationships/hyperlink" Target="javascript:OpenNewWindow('../pages/CommonProperty.aspx?PropertyId=70')" TargetMode="External"/><Relationship Id="rId421" Type="http://schemas.openxmlformats.org/officeDocument/2006/relationships/hyperlink" Target="javascript:OpenNewWindow('../pages/CommonProperty.aspx?PropertyId=372')" TargetMode="External"/><Relationship Id="rId519" Type="http://schemas.openxmlformats.org/officeDocument/2006/relationships/hyperlink" Target="javascript:OpenNewWindow('../pages/CommonProperty.aspx?PropertyId=429')" TargetMode="External"/><Relationship Id="rId158" Type="http://schemas.openxmlformats.org/officeDocument/2006/relationships/hyperlink" Target="javascript:OpenNewWindow('../pages/CommonProperty.aspx?PropertyId=16')" TargetMode="External"/><Relationship Id="rId726" Type="http://schemas.openxmlformats.org/officeDocument/2006/relationships/hyperlink" Target="javascript:OpenNewWindow('../pages/CommonProperty.aspx?PropertyId=363')" TargetMode="External"/><Relationship Id="rId62" Type="http://schemas.openxmlformats.org/officeDocument/2006/relationships/hyperlink" Target="javascript:OpenNewWindow('../pages/CommonProperty.aspx?PropertyId=2675')" TargetMode="External"/><Relationship Id="rId365" Type="http://schemas.openxmlformats.org/officeDocument/2006/relationships/hyperlink" Target="javascript:OpenNewWindow('../pages/CommonProperty.aspx?PropertyId=97')" TargetMode="External"/><Relationship Id="rId572" Type="http://schemas.openxmlformats.org/officeDocument/2006/relationships/hyperlink" Target="javascript:OpenNewWindow('../pages/CommonProperty.aspx?PropertyId=48')" TargetMode="External"/><Relationship Id="rId225" Type="http://schemas.openxmlformats.org/officeDocument/2006/relationships/hyperlink" Target="javascript:OpenNewWindow('../pages/CommonProperty.aspx?PropertyId=156')" TargetMode="External"/><Relationship Id="rId432" Type="http://schemas.openxmlformats.org/officeDocument/2006/relationships/hyperlink" Target="javascript:OpenNewWindow('../pages/CommonProperty.aspx?PropertyId=394')" TargetMode="External"/><Relationship Id="rId877" Type="http://schemas.openxmlformats.org/officeDocument/2006/relationships/hyperlink" Target="javascript:OpenNewWindow('../pages/CommonProperty.aspx?PropertyId=2927')" TargetMode="External"/><Relationship Id="rId737" Type="http://schemas.openxmlformats.org/officeDocument/2006/relationships/hyperlink" Target="javascript:OpenNewWindow('../pages/CommonProperty.aspx?PropertyId=86')" TargetMode="External"/><Relationship Id="rId73" Type="http://schemas.openxmlformats.org/officeDocument/2006/relationships/hyperlink" Target="javascript:OpenNewWindow('../pages/CommonProperty.aspx?PropertyId=2694')" TargetMode="External"/><Relationship Id="rId169" Type="http://schemas.openxmlformats.org/officeDocument/2006/relationships/hyperlink" Target="javascript:OpenNewWindow('../pages/CommonProperty.aspx?PropertyId=110')" TargetMode="External"/><Relationship Id="rId376" Type="http://schemas.openxmlformats.org/officeDocument/2006/relationships/hyperlink" Target="javascript:OpenNewWindow('../pages/CommonProperty.aspx?PropertyId=305')" TargetMode="External"/><Relationship Id="rId583" Type="http://schemas.openxmlformats.org/officeDocument/2006/relationships/hyperlink" Target="javascript:OpenNewWindow('../pages/CommonProperty.aspx?PropertyId=298')" TargetMode="External"/><Relationship Id="rId790" Type="http://schemas.openxmlformats.org/officeDocument/2006/relationships/hyperlink" Target="javascript:OpenNewWindow('../pages/CommonProperty.aspx?PropertyId=490')" TargetMode="External"/><Relationship Id="rId804" Type="http://schemas.openxmlformats.org/officeDocument/2006/relationships/hyperlink" Target="javascript:OpenNewWindow('../pages/CommonProperty.aspx?PropertyId=1961')" TargetMode="External"/><Relationship Id="rId4" Type="http://schemas.openxmlformats.org/officeDocument/2006/relationships/hyperlink" Target="javascript:OpenNewWindow('../pages/CommonProperty.aspx?PropertyId=561')" TargetMode="External"/><Relationship Id="rId236" Type="http://schemas.openxmlformats.org/officeDocument/2006/relationships/hyperlink" Target="javascript:OpenNewWindow('../pages/CommonProperty.aspx?PropertyId=126')" TargetMode="External"/><Relationship Id="rId443" Type="http://schemas.openxmlformats.org/officeDocument/2006/relationships/hyperlink" Target="javascript:OpenNewWindow('../pages/CommonProperty.aspx?PropertyId=318')" TargetMode="External"/><Relationship Id="rId650" Type="http://schemas.openxmlformats.org/officeDocument/2006/relationships/hyperlink" Target="javascript:OpenNewWindow('../pages/CommonProperty.aspx?PropertyId=386')" TargetMode="External"/><Relationship Id="rId888" Type="http://schemas.openxmlformats.org/officeDocument/2006/relationships/hyperlink" Target="javascript:OpenNewWindow('../pages/CommonProperty.aspx?PropertyId=3001')" TargetMode="External"/><Relationship Id="rId303" Type="http://schemas.openxmlformats.org/officeDocument/2006/relationships/hyperlink" Target="javascript:OpenNewWindow('../pages/CommonProperty.aspx?PropertyId=71')" TargetMode="External"/><Relationship Id="rId748" Type="http://schemas.openxmlformats.org/officeDocument/2006/relationships/hyperlink" Target="javascript:OpenNewWindow('../pages/CommonProperty.aspx?PropertyId=100')" TargetMode="External"/><Relationship Id="rId84" Type="http://schemas.openxmlformats.org/officeDocument/2006/relationships/hyperlink" Target="javascript:OpenNewWindow('../pages/CommonProperty.aspx?PropertyId=2701')" TargetMode="External"/><Relationship Id="rId387" Type="http://schemas.openxmlformats.org/officeDocument/2006/relationships/hyperlink" Target="javascript:OpenNewWindow('../pages/CommonProperty.aspx?PropertyId=228')" TargetMode="External"/><Relationship Id="rId510" Type="http://schemas.openxmlformats.org/officeDocument/2006/relationships/hyperlink" Target="javascript:OpenNewWindow('../pages/CommonProperty.aspx?PropertyId=220')" TargetMode="External"/><Relationship Id="rId594" Type="http://schemas.openxmlformats.org/officeDocument/2006/relationships/hyperlink" Target="javascript:OpenNewWindow('../pages/CommonProperty.aspx?PropertyId=1217')" TargetMode="External"/><Relationship Id="rId608" Type="http://schemas.openxmlformats.org/officeDocument/2006/relationships/hyperlink" Target="javascript:OpenNewWindow('../pages/CommonProperty.aspx?PropertyId=242')" TargetMode="External"/><Relationship Id="rId815" Type="http://schemas.openxmlformats.org/officeDocument/2006/relationships/hyperlink" Target="javascript:OpenNewWindow('../pages/CommonProperty.aspx?PropertyId=2742')" TargetMode="External"/><Relationship Id="rId247" Type="http://schemas.openxmlformats.org/officeDocument/2006/relationships/hyperlink" Target="javascript:OpenNewWindow('../pages/CommonProperty.aspx?PropertyId=528')" TargetMode="External"/><Relationship Id="rId899" Type="http://schemas.openxmlformats.org/officeDocument/2006/relationships/hyperlink" Target="javascript:OpenNewWindow('../pages/CommonProperty.aspx?PropertyId=3018')" TargetMode="External"/><Relationship Id="rId107" Type="http://schemas.openxmlformats.org/officeDocument/2006/relationships/hyperlink" Target="javascript:OpenNewWindow('../pages/CommonProperty.aspx?PropertyId=2720')" TargetMode="External"/><Relationship Id="rId454" Type="http://schemas.openxmlformats.org/officeDocument/2006/relationships/hyperlink" Target="javascript:OpenNewWindow('../pages/CommonProperty.aspx?PropertyId=194')" TargetMode="External"/><Relationship Id="rId661" Type="http://schemas.openxmlformats.org/officeDocument/2006/relationships/hyperlink" Target="javascript:OpenNewWindow('../pages/CommonProperty.aspx?PropertyId=443')" TargetMode="External"/><Relationship Id="rId759" Type="http://schemas.openxmlformats.org/officeDocument/2006/relationships/hyperlink" Target="javascript:OpenNewWindow('../pages/CommonProperty.aspx?PropertyId=466')" TargetMode="External"/><Relationship Id="rId11" Type="http://schemas.openxmlformats.org/officeDocument/2006/relationships/hyperlink" Target="javascript:OpenNewWindow('../pages/CommonProperty.aspx?PropertyId=2896')" TargetMode="External"/><Relationship Id="rId314" Type="http://schemas.openxmlformats.org/officeDocument/2006/relationships/hyperlink" Target="javascript:OpenNewWindow('../pages/CommonProperty.aspx?PropertyId=293')" TargetMode="External"/><Relationship Id="rId398" Type="http://schemas.openxmlformats.org/officeDocument/2006/relationships/hyperlink" Target="javascript:OpenNewWindow('../pages/CommonProperty.aspx?PropertyId=422')" TargetMode="External"/><Relationship Id="rId521" Type="http://schemas.openxmlformats.org/officeDocument/2006/relationships/hyperlink" Target="javascript:OpenNewWindow('../pages/CommonProperty.aspx?PropertyId=481')" TargetMode="External"/><Relationship Id="rId619" Type="http://schemas.openxmlformats.org/officeDocument/2006/relationships/hyperlink" Target="javascript:OpenNewWindow('../pages/CommonProperty.aspx?PropertyId=439')" TargetMode="External"/><Relationship Id="rId95" Type="http://schemas.openxmlformats.org/officeDocument/2006/relationships/hyperlink" Target="javascript:OpenNewWindow('../pages/CommonProperty.aspx?PropertyId=2685')" TargetMode="External"/><Relationship Id="rId160" Type="http://schemas.openxmlformats.org/officeDocument/2006/relationships/hyperlink" Target="javascript:OpenNewWindow('../pages/CommonProperty.aspx?PropertyId=24')" TargetMode="External"/><Relationship Id="rId826" Type="http://schemas.openxmlformats.org/officeDocument/2006/relationships/hyperlink" Target="javascript:OpenNewWindow('../pages/CommonProperty.aspx?PropertyId=1937')" TargetMode="External"/><Relationship Id="rId258" Type="http://schemas.openxmlformats.org/officeDocument/2006/relationships/hyperlink" Target="javascript:OpenNewWindow('../pages/CommonProperty.aspx?PropertyId=169')" TargetMode="External"/><Relationship Id="rId465" Type="http://schemas.openxmlformats.org/officeDocument/2006/relationships/hyperlink" Target="javascript:OpenNewWindow('../pages/CommonProperty.aspx?PropertyId=621')" TargetMode="External"/><Relationship Id="rId672" Type="http://schemas.openxmlformats.org/officeDocument/2006/relationships/hyperlink" Target="javascript:OpenNewWindow('../pages/CommonProperty.aspx?PropertyId=355')" TargetMode="External"/><Relationship Id="rId22" Type="http://schemas.openxmlformats.org/officeDocument/2006/relationships/hyperlink" Target="javascript:OpenNewWindow('../pages/CommonProperty.aspx?PropertyId=550')" TargetMode="External"/><Relationship Id="rId118" Type="http://schemas.openxmlformats.org/officeDocument/2006/relationships/hyperlink" Target="javascript:OpenNewWindow('../pages/CommonProperty.aspx?PropertyId=2686')" TargetMode="External"/><Relationship Id="rId325" Type="http://schemas.openxmlformats.org/officeDocument/2006/relationships/hyperlink" Target="javascript:OpenNewWindow('../pages/CommonProperty.aspx?PropertyId=3006')" TargetMode="External"/><Relationship Id="rId532" Type="http://schemas.openxmlformats.org/officeDocument/2006/relationships/hyperlink" Target="javascript:OpenNewWindow('../pages/CommonProperty.aspx?PropertyId=2860')" TargetMode="External"/><Relationship Id="rId171" Type="http://schemas.openxmlformats.org/officeDocument/2006/relationships/hyperlink" Target="javascript:OpenNewWindow('../pages/CommonProperty.aspx?PropertyId=2894')" TargetMode="External"/><Relationship Id="rId837" Type="http://schemas.openxmlformats.org/officeDocument/2006/relationships/hyperlink" Target="javascript:OpenNewWindow('../pages/CommonProperty.aspx?PropertyId=2000')" TargetMode="External"/><Relationship Id="rId269" Type="http://schemas.openxmlformats.org/officeDocument/2006/relationships/hyperlink" Target="javascript:OpenNewWindow('../pages/CommonProperty.aspx?PropertyId=270')" TargetMode="External"/><Relationship Id="rId476" Type="http://schemas.openxmlformats.org/officeDocument/2006/relationships/hyperlink" Target="javascript:OpenNewWindow('../pages/CommonProperty.aspx?PropertyId=1955')" TargetMode="External"/><Relationship Id="rId683" Type="http://schemas.openxmlformats.org/officeDocument/2006/relationships/hyperlink" Target="javascript:OpenNewWindow('../pages/CommonProperty.aspx?PropertyId=410')" TargetMode="External"/><Relationship Id="rId890" Type="http://schemas.openxmlformats.org/officeDocument/2006/relationships/hyperlink" Target="javascript:OpenNewWindow('../pages/CommonProperty.aspx?PropertyId=3003')" TargetMode="External"/><Relationship Id="rId904" Type="http://schemas.openxmlformats.org/officeDocument/2006/relationships/hyperlink" Target="javascript:OpenNewWindow('../pages/CommonProperty.aspx?PropertyId=1980')" TargetMode="External"/><Relationship Id="rId33" Type="http://schemas.openxmlformats.org/officeDocument/2006/relationships/hyperlink" Target="javascript:OpenNewWindow('../pages/CommonProperty.aspx?PropertyId=612')" TargetMode="External"/><Relationship Id="rId129" Type="http://schemas.openxmlformats.org/officeDocument/2006/relationships/hyperlink" Target="javascript:OpenNewWindow('../pages/CommonProperty.aspx?PropertyId=2785')" TargetMode="External"/><Relationship Id="rId336" Type="http://schemas.openxmlformats.org/officeDocument/2006/relationships/hyperlink" Target="javascript:OpenNewWindow('../pages/CommonProperty.aspx?PropertyId=529')" TargetMode="External"/><Relationship Id="rId543" Type="http://schemas.openxmlformats.org/officeDocument/2006/relationships/hyperlink" Target="javascript:OpenNewWindow('../pages/CommonProperty.aspx?PropertyId=514')" TargetMode="External"/><Relationship Id="rId182" Type="http://schemas.openxmlformats.org/officeDocument/2006/relationships/hyperlink" Target="javascript:OpenNewWindow('../pages/CommonProperty.aspx?PropertyId=577')" TargetMode="External"/><Relationship Id="rId403" Type="http://schemas.openxmlformats.org/officeDocument/2006/relationships/hyperlink" Target="javascript:OpenNewWindow('../pages/CommonProperty.aspx?PropertyId=427')" TargetMode="External"/><Relationship Id="rId750" Type="http://schemas.openxmlformats.org/officeDocument/2006/relationships/hyperlink" Target="javascript:OpenNewWindow('../pages/CommonProperty.aspx?PropertyId=669')" TargetMode="External"/><Relationship Id="rId848" Type="http://schemas.openxmlformats.org/officeDocument/2006/relationships/hyperlink" Target="javascript:OpenNewWindow('../pages/CommonProperty.aspx?PropertyId=2660')" TargetMode="External"/><Relationship Id="rId487" Type="http://schemas.openxmlformats.org/officeDocument/2006/relationships/hyperlink" Target="javascript:OpenNewWindow('../pages/CommonProperty.aspx?PropertyId=210')" TargetMode="External"/><Relationship Id="rId610" Type="http://schemas.openxmlformats.org/officeDocument/2006/relationships/hyperlink" Target="javascript:OpenNewWindow('../pages/CommonProperty.aspx?PropertyId=247')" TargetMode="External"/><Relationship Id="rId694" Type="http://schemas.openxmlformats.org/officeDocument/2006/relationships/hyperlink" Target="javascript:OpenNewWindow('../pages/CommonProperty.aspx?PropertyId=411')" TargetMode="External"/><Relationship Id="rId708" Type="http://schemas.openxmlformats.org/officeDocument/2006/relationships/hyperlink" Target="javascript:OpenNewWindow('../pages/CommonProperty.aspx?PropertyId=366')" TargetMode="External"/><Relationship Id="rId915" Type="http://schemas.openxmlformats.org/officeDocument/2006/relationships/hyperlink" Target="javascript:OpenNewWindow('../pages/CommonProperty.aspx?PropertyId=2049')" TargetMode="External"/><Relationship Id="rId347" Type="http://schemas.openxmlformats.org/officeDocument/2006/relationships/hyperlink" Target="javascript:OpenNewWindow('../pages/CommonProperty.aspx?PropertyId=2042')" TargetMode="External"/><Relationship Id="rId44" Type="http://schemas.openxmlformats.org/officeDocument/2006/relationships/hyperlink" Target="javascript:OpenNewWindow('../pages/CommonProperty.aspx?PropertyId=536')" TargetMode="External"/><Relationship Id="rId554" Type="http://schemas.openxmlformats.org/officeDocument/2006/relationships/hyperlink" Target="javascript:OpenNewWindow('../pages/CommonProperty.aspx?PropertyId=350')" TargetMode="External"/><Relationship Id="rId761" Type="http://schemas.openxmlformats.org/officeDocument/2006/relationships/hyperlink" Target="javascript:OpenNewWindow('../pages/CommonProperty.aspx?PropertyId=468')" TargetMode="External"/><Relationship Id="rId859" Type="http://schemas.openxmlformats.org/officeDocument/2006/relationships/hyperlink" Target="javascript:OpenNewWindow('../pages/CommonProperty.aspx?PropertyId=2990')" TargetMode="External"/><Relationship Id="rId193" Type="http://schemas.openxmlformats.org/officeDocument/2006/relationships/hyperlink" Target="javascript:OpenNewWindow('../pages/CommonProperty.aspx?PropertyId=248')" TargetMode="External"/><Relationship Id="rId207" Type="http://schemas.openxmlformats.org/officeDocument/2006/relationships/hyperlink" Target="javascript:OpenNewWindow('../pages/CommonProperty.aspx?PropertyId=181')" TargetMode="External"/><Relationship Id="rId414" Type="http://schemas.openxmlformats.org/officeDocument/2006/relationships/hyperlink" Target="javascript:OpenNewWindow('../pages/CommonProperty.aspx?PropertyId=334')" TargetMode="External"/><Relationship Id="rId498" Type="http://schemas.openxmlformats.org/officeDocument/2006/relationships/hyperlink" Target="javascript:OpenNewWindow('../pages/CommonProperty.aspx?PropertyId=308')" TargetMode="External"/><Relationship Id="rId621" Type="http://schemas.openxmlformats.org/officeDocument/2006/relationships/hyperlink" Target="javascript:OpenNewWindow('../pages/CommonProperty.aspx?PropertyId=306')" TargetMode="External"/><Relationship Id="rId260" Type="http://schemas.openxmlformats.org/officeDocument/2006/relationships/hyperlink" Target="javascript:OpenNewWindow('../pages/CommonProperty.aspx?PropertyId=171')" TargetMode="External"/><Relationship Id="rId719" Type="http://schemas.openxmlformats.org/officeDocument/2006/relationships/hyperlink" Target="javascript:OpenNewWindow('../pages/CommonProperty.aspx?PropertyId=641')" TargetMode="External"/><Relationship Id="rId55" Type="http://schemas.openxmlformats.org/officeDocument/2006/relationships/hyperlink" Target="javascript:OpenNewWindow('../pages/CommonProperty.aspx?PropertyId=2988')" TargetMode="External"/><Relationship Id="rId120" Type="http://schemas.openxmlformats.org/officeDocument/2006/relationships/hyperlink" Target="javascript:OpenNewWindow('../pages/CommonProperty.aspx?PropertyId=2782')" TargetMode="External"/><Relationship Id="rId358" Type="http://schemas.openxmlformats.org/officeDocument/2006/relationships/hyperlink" Target="javascript:OpenNewWindow('../pages/CommonProperty.aspx?PropertyId=229')" TargetMode="External"/><Relationship Id="rId565" Type="http://schemas.openxmlformats.org/officeDocument/2006/relationships/hyperlink" Target="javascript:OpenNewWindow('../pages/CommonProperty.aspx?PropertyId=335')" TargetMode="External"/><Relationship Id="rId772" Type="http://schemas.openxmlformats.org/officeDocument/2006/relationships/hyperlink" Target="javascript:OpenNewWindow('../pages/CommonProperty.aspx?PropertyId=2935')" TargetMode="External"/><Relationship Id="rId218" Type="http://schemas.openxmlformats.org/officeDocument/2006/relationships/hyperlink" Target="javascript:OpenNewWindow('../pages/CommonProperty.aspx?PropertyId=149')" TargetMode="External"/><Relationship Id="rId425" Type="http://schemas.openxmlformats.org/officeDocument/2006/relationships/hyperlink" Target="javascript:OpenNewWindow('../pages/CommonProperty.aspx?PropertyId=670')" TargetMode="External"/><Relationship Id="rId632" Type="http://schemas.openxmlformats.org/officeDocument/2006/relationships/hyperlink" Target="javascript:OpenNewWindow('../pages/CommonProperty.aspx?PropertyId=61')" TargetMode="External"/><Relationship Id="rId271" Type="http://schemas.openxmlformats.org/officeDocument/2006/relationships/hyperlink" Target="javascript:OpenNewWindow('../pages/CommonProperty.aspx?PropertyId=596')" TargetMode="External"/><Relationship Id="rId66" Type="http://schemas.openxmlformats.org/officeDocument/2006/relationships/hyperlink" Target="javascript:OpenNewWindow('../pages/CommonProperty.aspx?PropertyId=2677')" TargetMode="External"/><Relationship Id="rId131" Type="http://schemas.openxmlformats.org/officeDocument/2006/relationships/hyperlink" Target="javascript:OpenNewWindow('../pages/CommonProperty.aspx?PropertyId=8')" TargetMode="External"/><Relationship Id="rId369" Type="http://schemas.openxmlformats.org/officeDocument/2006/relationships/hyperlink" Target="javascript:OpenNewWindow('../pages/CommonProperty.aspx?PropertyId=290')" TargetMode="External"/><Relationship Id="rId576" Type="http://schemas.openxmlformats.org/officeDocument/2006/relationships/hyperlink" Target="javascript:OpenNewWindow('../pages/CommonProperty.aspx?PropertyId=146')" TargetMode="External"/><Relationship Id="rId783" Type="http://schemas.openxmlformats.org/officeDocument/2006/relationships/hyperlink" Target="javascript:OpenNewWindow('../pages/CommonProperty.aspx?PropertyId=38')" TargetMode="External"/><Relationship Id="rId229" Type="http://schemas.openxmlformats.org/officeDocument/2006/relationships/hyperlink" Target="javascript:OpenNewWindow('../pages/CommonProperty.aspx?PropertyId=160')" TargetMode="External"/><Relationship Id="rId436" Type="http://schemas.openxmlformats.org/officeDocument/2006/relationships/hyperlink" Target="javascript:OpenNewWindow('../pages/CommonProperty.aspx?PropertyId=456')" TargetMode="External"/><Relationship Id="rId643" Type="http://schemas.openxmlformats.org/officeDocument/2006/relationships/hyperlink" Target="javascript:OpenNewWindow('../pages/CommonProperty.aspx?PropertyId=382')" TargetMode="External"/><Relationship Id="rId850" Type="http://schemas.openxmlformats.org/officeDocument/2006/relationships/hyperlink" Target="javascript:OpenNewWindow('../pages/CommonProperty.aspx?PropertyId=2730')" TargetMode="External"/><Relationship Id="rId77" Type="http://schemas.openxmlformats.org/officeDocument/2006/relationships/hyperlink" Target="javascript:OpenNewWindow('../pages/CommonProperty.aspx?PropertyId=2696')" TargetMode="External"/><Relationship Id="rId282" Type="http://schemas.openxmlformats.org/officeDocument/2006/relationships/hyperlink" Target="javascript:OpenNewWindow('../pages/CommonProperty.aspx?PropertyId=135')" TargetMode="External"/><Relationship Id="rId503" Type="http://schemas.openxmlformats.org/officeDocument/2006/relationships/hyperlink" Target="javascript:OpenNewWindow('../pages/CommonProperty.aspx?PropertyId=313')" TargetMode="External"/><Relationship Id="rId587" Type="http://schemas.openxmlformats.org/officeDocument/2006/relationships/hyperlink" Target="javascript:OpenNewWindow('../pages/CommonProperty.aspx?PropertyId=147')" TargetMode="External"/><Relationship Id="rId710" Type="http://schemas.openxmlformats.org/officeDocument/2006/relationships/hyperlink" Target="javascript:OpenNewWindow('../pages/CommonProperty.aspx?PropertyId=634')" TargetMode="External"/><Relationship Id="rId808" Type="http://schemas.openxmlformats.org/officeDocument/2006/relationships/hyperlink" Target="javascript:OpenNewWindow('../pages/CommonProperty.aspx?PropertyId=461')" TargetMode="External"/><Relationship Id="rId8" Type="http://schemas.openxmlformats.org/officeDocument/2006/relationships/hyperlink" Target="javascript:OpenNewWindow('../pages/CommonProperty.aspx?PropertyId=664')" TargetMode="External"/><Relationship Id="rId142" Type="http://schemas.openxmlformats.org/officeDocument/2006/relationships/hyperlink" Target="javascript:OpenNewWindow('../pages/CommonProperty.aspx?PropertyId=475')" TargetMode="External"/><Relationship Id="rId447" Type="http://schemas.openxmlformats.org/officeDocument/2006/relationships/hyperlink" Target="javascript:OpenNewWindow('../pages/CommonProperty.aspx?PropertyId=322')" TargetMode="External"/><Relationship Id="rId794" Type="http://schemas.openxmlformats.org/officeDocument/2006/relationships/hyperlink" Target="javascript:OpenNewWindow('../pages/CommonProperty.aspx?PropertyId=494')" TargetMode="External"/><Relationship Id="rId654" Type="http://schemas.openxmlformats.org/officeDocument/2006/relationships/hyperlink" Target="javascript:OpenNewWindow('../pages/CommonProperty.aspx?PropertyId=1987')" TargetMode="External"/><Relationship Id="rId861" Type="http://schemas.openxmlformats.org/officeDocument/2006/relationships/hyperlink" Target="javascript:OpenNewWindow('../pages/CommonProperty.aspx?PropertyId=2992')" TargetMode="External"/><Relationship Id="rId293" Type="http://schemas.openxmlformats.org/officeDocument/2006/relationships/hyperlink" Target="javascript:OpenNewWindow('../pages/CommonProperty.aspx?PropertyId=591')" TargetMode="External"/><Relationship Id="rId307" Type="http://schemas.openxmlformats.org/officeDocument/2006/relationships/hyperlink" Target="javascript:OpenNewWindow('../pages/CommonProperty.aspx?PropertyId=104')" TargetMode="External"/><Relationship Id="rId514" Type="http://schemas.openxmlformats.org/officeDocument/2006/relationships/hyperlink" Target="javascript:OpenNewWindow('../pages/CommonProperty.aspx?PropertyId=224')" TargetMode="External"/><Relationship Id="rId721" Type="http://schemas.openxmlformats.org/officeDocument/2006/relationships/hyperlink" Target="javascript:OpenNewWindow('../pages/CommonProperty.aspx?PropertyId=1929')" TargetMode="External"/><Relationship Id="rId88" Type="http://schemas.openxmlformats.org/officeDocument/2006/relationships/hyperlink" Target="javascript:OpenNewWindow('../pages/CommonProperty.aspx?PropertyId=2705')" TargetMode="External"/><Relationship Id="rId153" Type="http://schemas.openxmlformats.org/officeDocument/2006/relationships/hyperlink" Target="javascript:OpenNewWindow('../pages/CommonProperty.aspx?PropertyId=509')" TargetMode="External"/><Relationship Id="rId360" Type="http://schemas.openxmlformats.org/officeDocument/2006/relationships/hyperlink" Target="javascript:OpenNewWindow('../pages/CommonProperty.aspx?PropertyId=592')" TargetMode="External"/><Relationship Id="rId598" Type="http://schemas.openxmlformats.org/officeDocument/2006/relationships/hyperlink" Target="javascript:OpenNewWindow('../pages/CommonProperty.aspx?PropertyId=1215')" TargetMode="External"/><Relationship Id="rId819" Type="http://schemas.openxmlformats.org/officeDocument/2006/relationships/hyperlink" Target="javascript:OpenNewWindow('../pages/CommonProperty.aspx?PropertyId=2746')" TargetMode="External"/><Relationship Id="rId220" Type="http://schemas.openxmlformats.org/officeDocument/2006/relationships/hyperlink" Target="javascript:OpenNewWindow('../pages/CommonProperty.aspx?PropertyId=151')" TargetMode="External"/><Relationship Id="rId458" Type="http://schemas.openxmlformats.org/officeDocument/2006/relationships/hyperlink" Target="javascript:OpenNewWindow('../pages/CommonProperty.aspx?PropertyId=195')" TargetMode="External"/><Relationship Id="rId665" Type="http://schemas.openxmlformats.org/officeDocument/2006/relationships/hyperlink" Target="javascript:OpenNewWindow('../pages/CommonProperty.aspx?PropertyId=445')" TargetMode="External"/><Relationship Id="rId872" Type="http://schemas.openxmlformats.org/officeDocument/2006/relationships/hyperlink" Target="javascript:OpenNewWindow('../pages/CommonProperty.aspx?PropertyId=2947')" TargetMode="External"/><Relationship Id="rId15" Type="http://schemas.openxmlformats.org/officeDocument/2006/relationships/hyperlink" Target="javascript:OpenNewWindow('../pages/CommonProperty.aspx?PropertyId=552')" TargetMode="External"/><Relationship Id="rId318" Type="http://schemas.openxmlformats.org/officeDocument/2006/relationships/hyperlink" Target="javascript:OpenNewWindow('../pages/CommonProperty.aspx?PropertyId=3094')" TargetMode="External"/><Relationship Id="rId525" Type="http://schemas.openxmlformats.org/officeDocument/2006/relationships/hyperlink" Target="javascript:OpenNewWindow('../pages/CommonProperty.aspx?PropertyId=3047')" TargetMode="External"/><Relationship Id="rId732" Type="http://schemas.openxmlformats.org/officeDocument/2006/relationships/hyperlink" Target="javascript:OpenNewWindow('../pages/CommonProperty.aspx?PropertyId=107')" TargetMode="External"/><Relationship Id="rId99" Type="http://schemas.openxmlformats.org/officeDocument/2006/relationships/hyperlink" Target="javascript:OpenNewWindow('../pages/CommonProperty.aspx?PropertyId=2687')" TargetMode="External"/><Relationship Id="rId164" Type="http://schemas.openxmlformats.org/officeDocument/2006/relationships/hyperlink" Target="javascript:OpenNewWindow('../pages/CommonProperty.aspx?PropertyId=569')" TargetMode="External"/><Relationship Id="rId371" Type="http://schemas.openxmlformats.org/officeDocument/2006/relationships/hyperlink" Target="javascript:OpenNewWindow('../pages/CommonProperty.aspx?PropertyId=287')" TargetMode="External"/><Relationship Id="rId469" Type="http://schemas.openxmlformats.org/officeDocument/2006/relationships/hyperlink" Target="javascript:OpenNewWindow('../pages/CommonProperty.aspx?PropertyId=200')" TargetMode="External"/><Relationship Id="rId676" Type="http://schemas.openxmlformats.org/officeDocument/2006/relationships/hyperlink" Target="javascript:OpenNewWindow('../pages/CommonProperty.aspx?PropertyId=18')" TargetMode="External"/><Relationship Id="rId883" Type="http://schemas.openxmlformats.org/officeDocument/2006/relationships/hyperlink" Target="javascript:OpenNewWindow('../pages/CommonProperty.aspx?PropertyId=2972')" TargetMode="External"/><Relationship Id="rId26" Type="http://schemas.openxmlformats.org/officeDocument/2006/relationships/hyperlink" Target="javascript:OpenNewWindow('../pages/CommonProperty.aspx?PropertyId=574')" TargetMode="External"/><Relationship Id="rId231" Type="http://schemas.openxmlformats.org/officeDocument/2006/relationships/hyperlink" Target="javascript:OpenNewWindow('../pages/CommonProperty.aspx?PropertyId=162')" TargetMode="External"/><Relationship Id="rId329" Type="http://schemas.openxmlformats.org/officeDocument/2006/relationships/hyperlink" Target="javascript:OpenNewWindow('../pages/CommonProperty.aspx?PropertyId=584')" TargetMode="External"/><Relationship Id="rId536" Type="http://schemas.openxmlformats.org/officeDocument/2006/relationships/hyperlink" Target="javascript:OpenNewWindow('../pages/CommonProperty.aspx?PropertyId=344')" TargetMode="External"/><Relationship Id="rId175" Type="http://schemas.openxmlformats.org/officeDocument/2006/relationships/hyperlink" Target="javascript:OpenNewWindow('../pages/CommonProperty.aspx?PropertyId=233')" TargetMode="External"/><Relationship Id="rId743" Type="http://schemas.openxmlformats.org/officeDocument/2006/relationships/hyperlink" Target="javascript:OpenNewWindow('../pages/CommonProperty.aspx?PropertyId=92')" TargetMode="External"/><Relationship Id="rId382" Type="http://schemas.openxmlformats.org/officeDocument/2006/relationships/hyperlink" Target="javascript:OpenNewWindow('../pages/CommonProperty.aspx?PropertyId=65')" TargetMode="External"/><Relationship Id="rId603" Type="http://schemas.openxmlformats.org/officeDocument/2006/relationships/hyperlink" Target="javascript:OpenNewWindow('../pages/CommonProperty.aspx?PropertyId=511')" TargetMode="External"/><Relationship Id="rId687" Type="http://schemas.openxmlformats.org/officeDocument/2006/relationships/hyperlink" Target="javascript:OpenNewWindow('../pages/CommonProperty.aspx?PropertyId=636')" TargetMode="External"/><Relationship Id="rId810" Type="http://schemas.openxmlformats.org/officeDocument/2006/relationships/hyperlink" Target="javascript:OpenNewWindow('../pages/CommonProperty.aspx?PropertyId=2984')" TargetMode="External"/><Relationship Id="rId908" Type="http://schemas.openxmlformats.org/officeDocument/2006/relationships/hyperlink" Target="javascript:OpenNewWindow('../pages/CommonProperty.aspx?PropertyId=2851')" TargetMode="External"/><Relationship Id="rId242" Type="http://schemas.openxmlformats.org/officeDocument/2006/relationships/hyperlink" Target="javascript:OpenNewWindow('../pages/CommonProperty.aspx?PropertyId=523')" TargetMode="External"/><Relationship Id="rId894" Type="http://schemas.openxmlformats.org/officeDocument/2006/relationships/hyperlink" Target="javascript:OpenNewWindow('../pages/CommonProperty.aspx?PropertyId=3013')" TargetMode="External"/><Relationship Id="rId37" Type="http://schemas.openxmlformats.org/officeDocument/2006/relationships/hyperlink" Target="javascript:OpenNewWindow('../pages/CommonProperty.aspx?PropertyId=1993')" TargetMode="External"/><Relationship Id="rId102" Type="http://schemas.openxmlformats.org/officeDocument/2006/relationships/hyperlink" Target="javascript:OpenNewWindow('../pages/CommonProperty.aspx?PropertyId=2716')" TargetMode="External"/><Relationship Id="rId547" Type="http://schemas.openxmlformats.org/officeDocument/2006/relationships/hyperlink" Target="javascript:OpenNewWindow('../pages/CommonProperty.aspx?PropertyId=342')" TargetMode="External"/><Relationship Id="rId754" Type="http://schemas.openxmlformats.org/officeDocument/2006/relationships/hyperlink" Target="javascript:OpenNewWindow('../pages/CommonProperty.aspx?PropertyId=578')" TargetMode="External"/><Relationship Id="rId90" Type="http://schemas.openxmlformats.org/officeDocument/2006/relationships/hyperlink" Target="javascript:OpenNewWindow('../pages/CommonProperty.aspx?PropertyId=2707')" TargetMode="External"/><Relationship Id="rId186" Type="http://schemas.openxmlformats.org/officeDocument/2006/relationships/hyperlink" Target="javascript:OpenNewWindow('../pages/CommonProperty.aspx?PropertyId=131')" TargetMode="External"/><Relationship Id="rId393" Type="http://schemas.openxmlformats.org/officeDocument/2006/relationships/hyperlink" Target="javascript:OpenNewWindow('../pages/CommonProperty.aspx?PropertyId=595')" TargetMode="External"/><Relationship Id="rId407" Type="http://schemas.openxmlformats.org/officeDocument/2006/relationships/hyperlink" Target="javascript:OpenNewWindow('../pages/CommonProperty.aspx?PropertyId=435')" TargetMode="External"/><Relationship Id="rId614" Type="http://schemas.openxmlformats.org/officeDocument/2006/relationships/hyperlink" Target="javascript:OpenNewWindow('../pages/CommonProperty.aspx?PropertyId=176')" TargetMode="External"/><Relationship Id="rId821" Type="http://schemas.openxmlformats.org/officeDocument/2006/relationships/hyperlink" Target="javascript:OpenNewWindow('../pages/CommonProperty.aspx?PropertyId=274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D78D2-6FA0-4D8F-A213-3100AA191F19}">
  <sheetPr codeName="Sheet1">
    <tabColor rgb="FFFFFFD9"/>
  </sheetPr>
  <dimension ref="A2:D18"/>
  <sheetViews>
    <sheetView workbookViewId="0"/>
  </sheetViews>
  <sheetFormatPr defaultColWidth="9.109375" defaultRowHeight="13.2" x14ac:dyDescent="0.25"/>
  <cols>
    <col min="1" max="1" width="5.33203125" style="96" customWidth="1"/>
    <col min="2" max="16384" width="9.109375" style="96"/>
  </cols>
  <sheetData>
    <row r="2" spans="1:4" x14ac:dyDescent="0.25">
      <c r="B2" s="8" t="s">
        <v>0</v>
      </c>
      <c r="C2" s="8"/>
      <c r="D2" s="8"/>
    </row>
    <row r="4" spans="1:4" ht="19.5" customHeight="1" x14ac:dyDescent="0.25">
      <c r="B4" s="98" t="s">
        <v>1</v>
      </c>
    </row>
    <row r="5" spans="1:4" x14ac:dyDescent="0.25">
      <c r="A5" s="97">
        <v>1</v>
      </c>
      <c r="B5" s="96" t="s">
        <v>2</v>
      </c>
    </row>
    <row r="6" spans="1:4" x14ac:dyDescent="0.25">
      <c r="A6" s="97">
        <v>2</v>
      </c>
      <c r="B6" s="96" t="s">
        <v>3</v>
      </c>
    </row>
    <row r="7" spans="1:4" x14ac:dyDescent="0.25">
      <c r="A7" s="97">
        <v>3</v>
      </c>
      <c r="B7" s="96" t="s">
        <v>4</v>
      </c>
    </row>
    <row r="8" spans="1:4" x14ac:dyDescent="0.25">
      <c r="A8" s="97">
        <v>4</v>
      </c>
      <c r="B8" s="96" t="s">
        <v>5</v>
      </c>
    </row>
    <row r="9" spans="1:4" x14ac:dyDescent="0.25">
      <c r="A9" s="97">
        <v>5</v>
      </c>
      <c r="B9" s="96" t="s">
        <v>6</v>
      </c>
    </row>
    <row r="10" spans="1:4" x14ac:dyDescent="0.25">
      <c r="A10" s="97">
        <v>6</v>
      </c>
      <c r="B10" s="96" t="s">
        <v>7</v>
      </c>
    </row>
    <row r="11" spans="1:4" x14ac:dyDescent="0.25">
      <c r="A11" s="97">
        <v>7</v>
      </c>
      <c r="B11" s="96" t="s">
        <v>8</v>
      </c>
    </row>
    <row r="12" spans="1:4" x14ac:dyDescent="0.25">
      <c r="A12" s="97">
        <v>8</v>
      </c>
      <c r="B12" s="96" t="s">
        <v>9</v>
      </c>
    </row>
    <row r="13" spans="1:4" x14ac:dyDescent="0.25">
      <c r="A13" s="97">
        <v>9</v>
      </c>
      <c r="B13" s="96" t="s">
        <v>10</v>
      </c>
    </row>
    <row r="14" spans="1:4" x14ac:dyDescent="0.25">
      <c r="A14" s="97"/>
    </row>
    <row r="16" spans="1:4" x14ac:dyDescent="0.25">
      <c r="B16" s="8" t="s">
        <v>11</v>
      </c>
    </row>
    <row r="18" spans="2:2" x14ac:dyDescent="0.25">
      <c r="B18" s="99" t="s">
        <v>12</v>
      </c>
    </row>
  </sheetData>
  <hyperlinks>
    <hyperlink ref="B18" r:id="rId1" display="../../../../../../../MercuryProject/YardiShared/References/Forms/AllItems.aspx?ovuser=4397c3ea%2D4b44%2D4b40%2Dbdf2%2D89b2dc6f4924%2CSnow%2EBuchan%40canarywharf%2Ecom&amp;OR=Teams%2DHL&amp;CT=1681745859429&amp;clickparams=eyJBcHBOYW1lIjoiVGVhbXMtRGVza3RvcCIsIkFwcFZlcnNpb24iOiIyNy8yMzAzMDUwMTExMCIsIkhhc0ZlZGVyYXRlZFVzZXIiOmZhbHNlfQ%3D%3D" xr:uid="{A98C1666-F12C-44D2-9992-3E3DDBB04A6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30057-AEDD-409C-A92B-D1819762BFAC}">
  <dimension ref="B2:I20"/>
  <sheetViews>
    <sheetView topLeftCell="A3" workbookViewId="0">
      <selection activeCell="C18" sqref="C18"/>
    </sheetView>
  </sheetViews>
  <sheetFormatPr defaultRowHeight="13.2" x14ac:dyDescent="0.25"/>
  <cols>
    <col min="4" max="4" width="22.44140625" bestFit="1" customWidth="1"/>
    <col min="9" max="9" width="10.5546875" customWidth="1"/>
  </cols>
  <sheetData>
    <row r="2" spans="2:9" x14ac:dyDescent="0.25">
      <c r="B2" t="s">
        <v>13</v>
      </c>
    </row>
    <row r="4" spans="2:9" x14ac:dyDescent="0.25">
      <c r="B4" t="s">
        <v>14</v>
      </c>
    </row>
    <row r="5" spans="2:9" x14ac:dyDescent="0.25">
      <c r="C5" t="s">
        <v>15</v>
      </c>
    </row>
    <row r="6" spans="2:9" x14ac:dyDescent="0.25">
      <c r="C6" t="s">
        <v>16</v>
      </c>
    </row>
    <row r="8" spans="2:9" x14ac:dyDescent="0.25">
      <c r="B8" t="s">
        <v>17</v>
      </c>
    </row>
    <row r="9" spans="2:9" x14ac:dyDescent="0.25">
      <c r="C9" t="s">
        <v>18</v>
      </c>
    </row>
    <row r="10" spans="2:9" x14ac:dyDescent="0.25">
      <c r="C10" t="s">
        <v>19</v>
      </c>
    </row>
    <row r="12" spans="2:9" x14ac:dyDescent="0.25">
      <c r="B12" t="s">
        <v>20</v>
      </c>
    </row>
    <row r="13" spans="2:9" x14ac:dyDescent="0.25">
      <c r="C13" t="s">
        <v>21</v>
      </c>
      <c r="I13" s="161" t="s">
        <v>22</v>
      </c>
    </row>
    <row r="14" spans="2:9" x14ac:dyDescent="0.25">
      <c r="C14" t="s">
        <v>23</v>
      </c>
      <c r="H14" t="s">
        <v>24</v>
      </c>
    </row>
    <row r="16" spans="2:9" x14ac:dyDescent="0.25">
      <c r="B16" t="s">
        <v>25</v>
      </c>
    </row>
    <row r="17" spans="3:9" x14ac:dyDescent="0.25">
      <c r="C17" t="s">
        <v>26</v>
      </c>
    </row>
    <row r="20" spans="3:9" ht="26.4" x14ac:dyDescent="0.25">
      <c r="I20" s="162" t="s">
        <v>27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FFCCFF"/>
  </sheetPr>
  <dimension ref="A1:CD228"/>
  <sheetViews>
    <sheetView topLeftCell="AI1" zoomScaleNormal="115" workbookViewId="0">
      <selection activeCell="AQ16" sqref="AQ16"/>
    </sheetView>
  </sheetViews>
  <sheetFormatPr defaultRowHeight="13.2" x14ac:dyDescent="0.25"/>
  <cols>
    <col min="1" max="1" width="14.5546875" customWidth="1"/>
    <col min="2" max="2" width="11.33203125" customWidth="1"/>
    <col min="3" max="3" width="16.33203125" customWidth="1"/>
    <col min="4" max="4" width="10.33203125" customWidth="1"/>
    <col min="5" max="5" width="12" customWidth="1"/>
    <col min="6" max="6" width="13.44140625" style="1" customWidth="1"/>
    <col min="7" max="7" width="11" style="86" customWidth="1"/>
    <col min="8" max="8" width="12.33203125" style="86" bestFit="1" customWidth="1"/>
    <col min="9" max="9" width="11.88671875" customWidth="1"/>
    <col min="10" max="10" width="11.44140625" customWidth="1"/>
    <col min="11" max="11" width="49" bestFit="1" customWidth="1"/>
    <col min="12" max="12" width="13.5546875" customWidth="1"/>
    <col min="13" max="13" width="16" customWidth="1"/>
    <col min="14" max="14" width="15.5546875" customWidth="1"/>
    <col min="15" max="15" width="5" bestFit="1" customWidth="1"/>
    <col min="16" max="16" width="13.33203125" bestFit="1" customWidth="1"/>
    <col min="17" max="17" width="10.5546875" bestFit="1" customWidth="1"/>
    <col min="18" max="18" width="16" bestFit="1" customWidth="1"/>
    <col min="19" max="19" width="16.44140625" customWidth="1"/>
    <col min="20" max="20" width="10.5546875" bestFit="1" customWidth="1"/>
    <col min="21" max="21" width="13.33203125" customWidth="1"/>
    <col min="22" max="24" width="10.5546875" bestFit="1" customWidth="1"/>
    <col min="25" max="27" width="11.5546875" bestFit="1" customWidth="1"/>
    <col min="28" max="28" width="13.88671875" bestFit="1" customWidth="1"/>
    <col min="29" max="29" width="12" customWidth="1"/>
    <col min="30" max="33" width="14.109375" customWidth="1"/>
    <col min="34" max="35" width="13.44140625" bestFit="1" customWidth="1"/>
    <col min="36" max="37" width="10.5546875" style="86" customWidth="1"/>
    <col min="38" max="38" width="14.88671875" bestFit="1" customWidth="1"/>
    <col min="39" max="39" width="14.44140625" customWidth="1"/>
    <col min="40" max="40" width="11.109375" bestFit="1" customWidth="1"/>
    <col min="41" max="41" width="10.88671875" style="86" bestFit="1" customWidth="1"/>
    <col min="42" max="42" width="16.6640625" customWidth="1"/>
    <col min="43" max="43" width="19.44140625" style="86" customWidth="1"/>
    <col min="44" max="44" width="19" customWidth="1"/>
    <col min="45" max="45" width="11.6640625" customWidth="1"/>
    <col min="46" max="46" width="11" bestFit="1" customWidth="1"/>
    <col min="47" max="47" width="11.109375" customWidth="1"/>
    <col min="48" max="48" width="11.44140625" customWidth="1"/>
    <col min="49" max="56" width="11.88671875" bestFit="1" customWidth="1"/>
    <col min="57" max="57" width="13.109375" bestFit="1" customWidth="1"/>
    <col min="80" max="82" width="1.88671875" bestFit="1" customWidth="1"/>
  </cols>
  <sheetData>
    <row r="1" spans="1:82" x14ac:dyDescent="0.25">
      <c r="A1" s="50" t="s">
        <v>28</v>
      </c>
      <c r="B1" s="4" t="s">
        <v>29</v>
      </c>
      <c r="D1" s="5" t="s">
        <v>30</v>
      </c>
      <c r="E1" s="5" t="s">
        <v>31</v>
      </c>
      <c r="F1" s="42" t="s">
        <v>32</v>
      </c>
      <c r="G1" s="81" t="s">
        <v>33</v>
      </c>
      <c r="H1" s="82" t="s">
        <v>34</v>
      </c>
      <c r="I1" s="4" t="s">
        <v>35</v>
      </c>
      <c r="J1" s="5" t="s">
        <v>36</v>
      </c>
      <c r="K1" s="4" t="s">
        <v>37</v>
      </c>
      <c r="M1" s="4" t="s">
        <v>38</v>
      </c>
      <c r="N1" s="5"/>
      <c r="P1" s="5" t="s">
        <v>39</v>
      </c>
      <c r="Q1" s="5" t="s">
        <v>40</v>
      </c>
      <c r="R1" s="5" t="s">
        <v>41</v>
      </c>
      <c r="S1" s="3" t="s">
        <v>42</v>
      </c>
      <c r="T1" s="3" t="s">
        <v>43</v>
      </c>
      <c r="U1" s="4" t="s">
        <v>44</v>
      </c>
      <c r="Y1" s="5" t="s">
        <v>45</v>
      </c>
      <c r="AB1" s="5" t="s">
        <v>46</v>
      </c>
      <c r="AC1" s="5" t="s">
        <v>47</v>
      </c>
      <c r="AH1" s="5" t="s">
        <v>48</v>
      </c>
      <c r="AJ1" s="82" t="s">
        <v>49</v>
      </c>
      <c r="AK1" s="82" t="s">
        <v>50</v>
      </c>
      <c r="AM1" s="5" t="s">
        <v>51</v>
      </c>
      <c r="AN1" s="4" t="s">
        <v>52</v>
      </c>
      <c r="AP1" s="4" t="s">
        <v>53</v>
      </c>
      <c r="AQ1" s="82" t="s">
        <v>54</v>
      </c>
      <c r="AS1" s="4" t="s">
        <v>55</v>
      </c>
      <c r="AT1" s="4" t="s">
        <v>56</v>
      </c>
      <c r="AU1" s="8" t="s">
        <v>57</v>
      </c>
      <c r="AV1" s="4" t="s">
        <v>58</v>
      </c>
      <c r="BE1" s="5" t="s">
        <v>59</v>
      </c>
    </row>
    <row r="2" spans="1:82" s="6" customFormat="1" x14ac:dyDescent="0.25">
      <c r="A2" s="13" t="s">
        <v>60</v>
      </c>
      <c r="B2" s="13" t="s">
        <v>61</v>
      </c>
      <c r="C2" s="6" t="s">
        <v>62</v>
      </c>
      <c r="D2" s="7" t="s">
        <v>63</v>
      </c>
      <c r="E2" s="7" t="s">
        <v>64</v>
      </c>
      <c r="F2" s="45" t="s">
        <v>65</v>
      </c>
      <c r="G2" s="83" t="s">
        <v>66</v>
      </c>
      <c r="H2" s="84" t="s">
        <v>67</v>
      </c>
      <c r="I2" s="13" t="s">
        <v>68</v>
      </c>
      <c r="J2" s="7" t="s">
        <v>69</v>
      </c>
      <c r="K2" s="13" t="s">
        <v>70</v>
      </c>
      <c r="L2" s="6" t="s">
        <v>71</v>
      </c>
      <c r="M2" s="44" t="s">
        <v>72</v>
      </c>
      <c r="N2" s="6" t="s">
        <v>73</v>
      </c>
      <c r="O2" s="6" t="s">
        <v>74</v>
      </c>
      <c r="P2" s="6" t="s">
        <v>75</v>
      </c>
      <c r="Q2" s="6" t="s">
        <v>76</v>
      </c>
      <c r="R2" s="6" t="s">
        <v>77</v>
      </c>
      <c r="S2" s="6" t="s">
        <v>78</v>
      </c>
      <c r="T2" s="6" t="s">
        <v>79</v>
      </c>
      <c r="U2" s="13" t="s">
        <v>80</v>
      </c>
      <c r="V2" s="6" t="s">
        <v>81</v>
      </c>
      <c r="W2" s="6" t="s">
        <v>82</v>
      </c>
      <c r="X2" s="6" t="s">
        <v>83</v>
      </c>
      <c r="Y2" s="9" t="s">
        <v>84</v>
      </c>
      <c r="Z2" s="6" t="s">
        <v>85</v>
      </c>
      <c r="AA2" s="6" t="s">
        <v>86</v>
      </c>
      <c r="AB2" s="7" t="s">
        <v>87</v>
      </c>
      <c r="AC2" s="7" t="s">
        <v>88</v>
      </c>
      <c r="AD2" s="6" t="s">
        <v>89</v>
      </c>
      <c r="AE2" s="6" t="s">
        <v>90</v>
      </c>
      <c r="AF2" s="6" t="s">
        <v>91</v>
      </c>
      <c r="AG2" s="6" t="s">
        <v>92</v>
      </c>
      <c r="AH2" s="7" t="s">
        <v>93</v>
      </c>
      <c r="AI2" s="6" t="s">
        <v>94</v>
      </c>
      <c r="AJ2" s="138" t="s">
        <v>95</v>
      </c>
      <c r="AK2" s="138" t="s">
        <v>96</v>
      </c>
      <c r="AL2" s="6" t="s">
        <v>97</v>
      </c>
      <c r="AM2" s="7" t="s">
        <v>98</v>
      </c>
      <c r="AN2" s="44" t="s">
        <v>99</v>
      </c>
      <c r="AO2" s="87" t="s">
        <v>100</v>
      </c>
      <c r="AP2" s="13" t="s">
        <v>101</v>
      </c>
      <c r="AQ2" s="138" t="s">
        <v>102</v>
      </c>
      <c r="AR2" s="6" t="s">
        <v>103</v>
      </c>
      <c r="AS2" s="13" t="s">
        <v>104</v>
      </c>
      <c r="AT2" s="13" t="s">
        <v>105</v>
      </c>
      <c r="AU2" s="9" t="s">
        <v>106</v>
      </c>
      <c r="AV2" s="13" t="s">
        <v>58</v>
      </c>
      <c r="AW2" s="6" t="s">
        <v>107</v>
      </c>
      <c r="AX2" s="6" t="s">
        <v>108</v>
      </c>
      <c r="AY2" s="6" t="s">
        <v>109</v>
      </c>
      <c r="AZ2" s="6" t="s">
        <v>110</v>
      </c>
      <c r="BA2" s="6" t="s">
        <v>111</v>
      </c>
      <c r="BB2" s="6" t="s">
        <v>112</v>
      </c>
      <c r="BC2" s="6" t="s">
        <v>113</v>
      </c>
      <c r="BD2" s="6" t="s">
        <v>114</v>
      </c>
      <c r="BE2" s="7" t="s">
        <v>115</v>
      </c>
    </row>
    <row r="3" spans="1:82" x14ac:dyDescent="0.25">
      <c r="A3" s="46">
        <v>1</v>
      </c>
      <c r="B3" s="47" t="s">
        <v>116</v>
      </c>
      <c r="C3" s="47"/>
      <c r="D3" s="38" t="str">
        <f>'Upload tab'!A3</f>
        <v>c0000935</v>
      </c>
      <c r="E3" s="38" t="s">
        <v>117</v>
      </c>
      <c r="F3" s="39">
        <f>'Upload tab'!B3</f>
        <v>440</v>
      </c>
      <c r="G3" s="85">
        <f ca="1">TODAY()</f>
        <v>46070</v>
      </c>
      <c r="H3" s="159">
        <f ca="1">G3</f>
        <v>46070</v>
      </c>
      <c r="I3" s="47" t="str">
        <f>SUBSTITUTE('Upload tab'!E3,"-","")</f>
        <v>42113011</v>
      </c>
      <c r="J3" s="38" t="s">
        <v>118</v>
      </c>
      <c r="K3" s="48" t="str">
        <f>'Upload tab'!F3</f>
        <v>L3924638-JEB ENGINEERING SERVICES LLP</v>
      </c>
      <c r="L3" s="49"/>
      <c r="M3" s="48"/>
      <c r="N3" s="70">
        <v>1</v>
      </c>
      <c r="O3" s="69"/>
      <c r="P3" s="38" t="s">
        <v>119</v>
      </c>
      <c r="Q3" s="47"/>
      <c r="R3" s="47"/>
      <c r="S3" s="47"/>
      <c r="T3" s="47"/>
      <c r="U3" s="47"/>
      <c r="V3" s="47"/>
      <c r="W3" s="47"/>
      <c r="X3" s="47"/>
      <c r="Y3" s="38" t="s">
        <v>120</v>
      </c>
      <c r="Z3" s="47"/>
      <c r="AA3" s="47"/>
      <c r="AB3" s="39">
        <f>F3</f>
        <v>440</v>
      </c>
      <c r="AC3" s="38" t="s">
        <v>121</v>
      </c>
      <c r="AD3" s="47"/>
      <c r="AE3" s="47"/>
      <c r="AF3" s="47"/>
      <c r="AG3" s="47"/>
      <c r="AH3" s="39">
        <f>IF(AN3="UKSTD20",F3*0.2,(IF(AN3="UKred5",F3*0.05,0)))</f>
        <v>0</v>
      </c>
      <c r="AI3" s="47"/>
      <c r="AJ3" s="139" t="str">
        <f ca="1">'Upload tab'!H3</f>
        <v>01/02/2025</v>
      </c>
      <c r="AK3" s="139" t="str">
        <f ca="1">'Upload tab'!I3</f>
        <v>28/02/2026</v>
      </c>
      <c r="AL3" s="47"/>
      <c r="AM3" s="38" t="str">
        <f>_xlfn.IFNA(_xlfn.XLOOKUP(AN3,VAT!$A$1:$A$10,VAT!$D$1:$D$10),"")</f>
        <v/>
      </c>
      <c r="AN3" s="163" t="str" cm="1">
        <f t="array" ref="AN3">_xlfn.IFNA(_xlfn.IFS(LEFT(M3,4)="L39N","outside",LEFT(M3,3)="L39","ukstd20"),"")</f>
        <v/>
      </c>
      <c r="AO3" s="85">
        <v>45869</v>
      </c>
      <c r="AP3" t="s">
        <v>122</v>
      </c>
      <c r="AQ3" s="158"/>
      <c r="AR3" s="47"/>
      <c r="AS3" s="47"/>
      <c r="AT3" s="47"/>
      <c r="AU3" s="47"/>
      <c r="AV3" s="47"/>
      <c r="AW3" s="47"/>
      <c r="AX3" s="47"/>
      <c r="AY3" s="47"/>
      <c r="AZ3" s="47"/>
      <c r="BA3" s="47"/>
      <c r="BB3" s="47"/>
      <c r="BC3" s="47"/>
      <c r="BD3" s="47"/>
      <c r="BE3" s="122" t="s">
        <v>123</v>
      </c>
      <c r="CB3">
        <v>0</v>
      </c>
      <c r="CC3">
        <v>0</v>
      </c>
      <c r="CD3">
        <v>0</v>
      </c>
    </row>
    <row r="4" spans="1:82" s="47" customFormat="1" x14ac:dyDescent="0.25">
      <c r="A4" s="46"/>
      <c r="D4" s="38"/>
      <c r="E4" s="38"/>
      <c r="F4" s="39"/>
      <c r="G4" s="85"/>
      <c r="H4" s="123"/>
      <c r="J4" s="38"/>
      <c r="K4" s="48"/>
      <c r="M4" s="48"/>
      <c r="N4" s="70"/>
      <c r="P4" s="38"/>
      <c r="Y4" s="38"/>
      <c r="AB4" s="39"/>
      <c r="AC4" s="38"/>
      <c r="AH4" s="39"/>
      <c r="AJ4" s="139"/>
      <c r="AK4" s="139"/>
      <c r="AM4" s="38"/>
      <c r="AN4" s="163" t="str" cm="1">
        <f t="array" ref="AN4">_xlfn.IFNA(_xlfn.IFS(LEFT(M4,4)="L39N","outside",LEFT(M4,3)="L39","ukstd20"),"")</f>
        <v/>
      </c>
      <c r="AO4" s="85"/>
      <c r="AP4"/>
      <c r="AQ4" s="85"/>
      <c r="BE4" s="38"/>
    </row>
    <row r="5" spans="1:82" s="47" customFormat="1" x14ac:dyDescent="0.25">
      <c r="A5" s="46"/>
      <c r="D5" s="38"/>
      <c r="E5" s="38"/>
      <c r="F5" s="39"/>
      <c r="G5" s="85"/>
      <c r="H5" s="123"/>
      <c r="J5" s="38"/>
      <c r="K5" s="48"/>
      <c r="M5" s="48"/>
      <c r="N5" s="70"/>
      <c r="P5" s="38"/>
      <c r="Y5" s="38"/>
      <c r="AB5" s="39"/>
      <c r="AC5" s="38"/>
      <c r="AH5" s="39"/>
      <c r="AJ5" s="139"/>
      <c r="AK5" s="139"/>
      <c r="AM5" s="38"/>
      <c r="AN5" s="163"/>
      <c r="AO5" s="85"/>
      <c r="AP5"/>
      <c r="AQ5" s="85"/>
      <c r="BE5" s="38"/>
    </row>
    <row r="6" spans="1:82" s="47" customFormat="1" x14ac:dyDescent="0.25">
      <c r="A6" s="46"/>
      <c r="D6" s="38"/>
      <c r="E6" s="38"/>
      <c r="F6" s="39"/>
      <c r="G6" s="85"/>
      <c r="H6" s="123"/>
      <c r="J6" s="38"/>
      <c r="K6" s="48"/>
      <c r="M6" s="48"/>
      <c r="N6" s="70"/>
      <c r="P6" s="38"/>
      <c r="Y6" s="38"/>
      <c r="AB6" s="39"/>
      <c r="AC6" s="38"/>
      <c r="AH6" s="39"/>
      <c r="AJ6" s="139"/>
      <c r="AK6" s="139"/>
      <c r="AM6" s="38"/>
      <c r="AN6" s="163" t="str" cm="1">
        <f t="array" ref="AN6">_xlfn.IFNA(_xlfn.IFS(LEFT(M6,4)="L39N","outside",LEFT(M6,3)="L39","ukstd20"),"")</f>
        <v/>
      </c>
      <c r="AO6" s="85"/>
      <c r="AP6"/>
      <c r="AQ6" s="85"/>
      <c r="BE6" s="38"/>
    </row>
    <row r="7" spans="1:82" s="47" customFormat="1" x14ac:dyDescent="0.25">
      <c r="A7" s="46"/>
      <c r="D7" s="38"/>
      <c r="E7" s="38"/>
      <c r="F7" s="39"/>
      <c r="G7" s="85"/>
      <c r="H7" s="123"/>
      <c r="J7" s="38"/>
      <c r="K7" s="48"/>
      <c r="M7" s="48"/>
      <c r="N7" s="70"/>
      <c r="P7" s="38"/>
      <c r="Y7" s="38"/>
      <c r="AB7" s="39"/>
      <c r="AC7" s="38"/>
      <c r="AH7" s="39"/>
      <c r="AJ7" s="139"/>
      <c r="AK7" s="139"/>
      <c r="AM7" s="38"/>
      <c r="AN7" s="163" t="str" cm="1">
        <f t="array" ref="AN7">_xlfn.IFNA(_xlfn.IFS(LEFT(M7,4)="L39N","outside",LEFT(M7,3)="L39","ukstd20"),"")</f>
        <v/>
      </c>
      <c r="AO7" s="85"/>
      <c r="AP7"/>
      <c r="AQ7" s="85"/>
      <c r="BE7" s="38"/>
    </row>
    <row r="8" spans="1:82" s="47" customFormat="1" x14ac:dyDescent="0.25">
      <c r="A8" s="46"/>
      <c r="D8" s="38"/>
      <c r="E8" s="38"/>
      <c r="F8" s="39"/>
      <c r="G8" s="85"/>
      <c r="H8" s="123"/>
      <c r="J8" s="38"/>
      <c r="K8" s="48"/>
      <c r="M8" s="48"/>
      <c r="N8" s="70"/>
      <c r="P8" s="38"/>
      <c r="Y8" s="38"/>
      <c r="AB8" s="39"/>
      <c r="AC8" s="38"/>
      <c r="AH8" s="39"/>
      <c r="AJ8" s="139"/>
      <c r="AK8" s="139"/>
      <c r="AM8" s="38"/>
      <c r="AN8" s="163" t="str" cm="1">
        <f t="array" ref="AN8">_xlfn.IFNA(_xlfn.IFS(LEFT(M8,4)="L39N","outside",LEFT(M8,3)="L39","ukstd20"),"")</f>
        <v/>
      </c>
      <c r="AO8" s="85"/>
      <c r="AP8"/>
      <c r="AQ8" s="85"/>
      <c r="BE8" s="38"/>
    </row>
    <row r="9" spans="1:82" s="47" customFormat="1" x14ac:dyDescent="0.25">
      <c r="A9" s="46"/>
      <c r="D9" s="38"/>
      <c r="E9" s="38"/>
      <c r="F9" s="39"/>
      <c r="G9" s="85"/>
      <c r="H9" s="123"/>
      <c r="J9" s="38"/>
      <c r="K9" s="48"/>
      <c r="M9" s="48"/>
      <c r="N9" s="70"/>
      <c r="P9" s="38"/>
      <c r="Y9" s="38"/>
      <c r="AB9" s="39"/>
      <c r="AC9" s="38"/>
      <c r="AH9" s="39"/>
      <c r="AJ9" s="139"/>
      <c r="AK9" s="139"/>
      <c r="AM9" s="38"/>
      <c r="AN9" s="163" t="str" cm="1">
        <f t="array" ref="AN9">_xlfn.IFNA(_xlfn.IFS(LEFT(M9,4)="L39N","outside",LEFT(M9,3)="L39","ukstd20"),"")</f>
        <v/>
      </c>
      <c r="AO9" s="85"/>
      <c r="AP9"/>
      <c r="AQ9" s="85"/>
      <c r="BE9" s="38"/>
    </row>
    <row r="10" spans="1:82" s="47" customFormat="1" x14ac:dyDescent="0.25">
      <c r="A10" s="46"/>
      <c r="D10" s="38"/>
      <c r="E10" s="38"/>
      <c r="F10" s="39"/>
      <c r="G10" s="85"/>
      <c r="H10" s="123"/>
      <c r="J10" s="38"/>
      <c r="K10" s="48"/>
      <c r="M10" s="48"/>
      <c r="N10" s="70"/>
      <c r="P10" s="38"/>
      <c r="Y10" s="38"/>
      <c r="AB10" s="39"/>
      <c r="AC10" s="38"/>
      <c r="AH10" s="39"/>
      <c r="AJ10" s="139"/>
      <c r="AK10" s="139"/>
      <c r="AM10" s="38"/>
      <c r="AN10" s="163" t="str" cm="1">
        <f t="array" ref="AN10">_xlfn.IFNA(_xlfn.IFS(LEFT(M10,4)="L39N","outside",LEFT(M10,3)="L39","ukstd20"),"")</f>
        <v/>
      </c>
      <c r="AO10" s="85"/>
      <c r="AP10"/>
      <c r="AQ10" s="85"/>
      <c r="BE10" s="38"/>
    </row>
    <row r="11" spans="1:82" s="47" customFormat="1" x14ac:dyDescent="0.25">
      <c r="A11" s="46"/>
      <c r="D11" s="38"/>
      <c r="E11" s="38"/>
      <c r="F11" s="39"/>
      <c r="G11" s="85"/>
      <c r="H11" s="123"/>
      <c r="J11" s="38"/>
      <c r="K11" s="48"/>
      <c r="M11" s="48"/>
      <c r="N11" s="70"/>
      <c r="P11" s="38"/>
      <c r="Y11" s="38"/>
      <c r="AB11" s="39"/>
      <c r="AC11" s="38"/>
      <c r="AH11" s="39"/>
      <c r="AJ11" s="139"/>
      <c r="AK11" s="139"/>
      <c r="AM11" s="38"/>
      <c r="AN11" s="163" t="str" cm="1">
        <f t="array" ref="AN11">_xlfn.IFNA(_xlfn.IFS(LEFT(M11,4)="L39N","outside",LEFT(M11,3)="L39","ukstd20"),"")</f>
        <v/>
      </c>
      <c r="AO11" s="85"/>
      <c r="AP11"/>
      <c r="AQ11" s="85"/>
      <c r="BE11" s="38"/>
    </row>
    <row r="12" spans="1:82" s="47" customFormat="1" x14ac:dyDescent="0.25">
      <c r="A12" s="46"/>
      <c r="D12" s="38"/>
      <c r="E12" s="38"/>
      <c r="F12" s="39"/>
      <c r="G12" s="85"/>
      <c r="H12" s="123"/>
      <c r="J12" s="38"/>
      <c r="K12" s="48"/>
      <c r="M12" s="48"/>
      <c r="N12" s="70"/>
      <c r="P12" s="38"/>
      <c r="Y12" s="38"/>
      <c r="AB12" s="39"/>
      <c r="AC12" s="38"/>
      <c r="AH12" s="39"/>
      <c r="AJ12" s="139"/>
      <c r="AK12" s="139"/>
      <c r="AM12" s="38"/>
      <c r="AN12" s="163" t="str" cm="1">
        <f t="array" ref="AN12">_xlfn.IFNA(_xlfn.IFS(LEFT(M12,4)="L39N","outside",LEFT(M12,3)="L39","ukstd20"),"")</f>
        <v/>
      </c>
      <c r="AO12" s="85"/>
      <c r="AP12"/>
      <c r="AQ12" s="85"/>
      <c r="BE12" s="38"/>
    </row>
    <row r="13" spans="1:82" s="47" customFormat="1" x14ac:dyDescent="0.25">
      <c r="A13" s="46"/>
      <c r="D13" s="38"/>
      <c r="E13" s="38"/>
      <c r="F13" s="39"/>
      <c r="G13" s="85"/>
      <c r="H13" s="123"/>
      <c r="J13" s="38"/>
      <c r="K13" s="48"/>
      <c r="M13" s="48"/>
      <c r="N13" s="70"/>
      <c r="P13" s="38"/>
      <c r="Y13" s="38"/>
      <c r="AB13" s="39"/>
      <c r="AC13" s="38"/>
      <c r="AH13" s="39"/>
      <c r="AJ13" s="139"/>
      <c r="AK13" s="139"/>
      <c r="AM13" s="38"/>
      <c r="AN13" s="163" t="str" cm="1">
        <f t="array" ref="AN13">_xlfn.IFNA(_xlfn.IFS(LEFT(M13,4)="L39N","outside",LEFT(M13,3)="L39","ukstd20"),"")</f>
        <v/>
      </c>
      <c r="AO13" s="85"/>
      <c r="AP13"/>
      <c r="AQ13" s="85"/>
      <c r="BE13" s="38"/>
    </row>
    <row r="14" spans="1:82" s="47" customFormat="1" x14ac:dyDescent="0.25">
      <c r="A14" s="46"/>
      <c r="D14" s="38"/>
      <c r="E14" s="38"/>
      <c r="F14" s="39"/>
      <c r="G14" s="85"/>
      <c r="H14" s="123"/>
      <c r="J14" s="38"/>
      <c r="K14" s="48"/>
      <c r="M14" s="48"/>
      <c r="N14" s="70"/>
      <c r="P14" s="38"/>
      <c r="Y14" s="38"/>
      <c r="AB14" s="39"/>
      <c r="AC14" s="38"/>
      <c r="AH14" s="39"/>
      <c r="AJ14" s="139"/>
      <c r="AK14" s="139"/>
      <c r="AM14" s="38"/>
      <c r="AN14" s="163" t="str" cm="1">
        <f t="array" ref="AN14">_xlfn.IFNA(_xlfn.IFS(LEFT(M14,4)="L39N","outside",LEFT(M14,3)="L39","ukstd20"),"")</f>
        <v/>
      </c>
      <c r="AO14" s="85"/>
      <c r="AP14"/>
      <c r="AQ14" s="85"/>
      <c r="BE14" s="38"/>
    </row>
    <row r="15" spans="1:82" s="47" customFormat="1" x14ac:dyDescent="0.25">
      <c r="A15" s="46"/>
      <c r="D15" s="38"/>
      <c r="E15" s="38"/>
      <c r="F15" s="39"/>
      <c r="G15" s="85"/>
      <c r="H15" s="123"/>
      <c r="J15" s="38"/>
      <c r="K15" s="48"/>
      <c r="M15" s="48"/>
      <c r="N15" s="70"/>
      <c r="P15" s="38"/>
      <c r="Y15" s="38"/>
      <c r="AB15" s="39"/>
      <c r="AC15" s="38"/>
      <c r="AH15" s="39"/>
      <c r="AJ15" s="139"/>
      <c r="AK15" s="139"/>
      <c r="AM15" s="38"/>
      <c r="AN15" s="163" t="str" cm="1">
        <f t="array" ref="AN15">_xlfn.IFNA(_xlfn.IFS(LEFT(M15,4)="L39N","outside",LEFT(M15,3)="L39","ukstd20"),"")</f>
        <v/>
      </c>
      <c r="AO15" s="85"/>
      <c r="AP15"/>
      <c r="AQ15" s="85"/>
      <c r="BE15" s="38"/>
    </row>
    <row r="16" spans="1:82" s="47" customFormat="1" x14ac:dyDescent="0.25">
      <c r="A16" s="46"/>
      <c r="D16" s="38"/>
      <c r="E16" s="38"/>
      <c r="F16" s="39"/>
      <c r="G16" s="85"/>
      <c r="H16" s="123"/>
      <c r="J16" s="38"/>
      <c r="K16" s="48"/>
      <c r="M16" s="48"/>
      <c r="N16" s="70"/>
      <c r="P16" s="38"/>
      <c r="Y16" s="38"/>
      <c r="AB16" s="39"/>
      <c r="AC16" s="38"/>
      <c r="AH16" s="39"/>
      <c r="AJ16" s="139"/>
      <c r="AK16" s="139"/>
      <c r="AM16" s="38"/>
      <c r="AN16" s="163" t="str" cm="1">
        <f t="array" ref="AN16">_xlfn.IFNA(_xlfn.IFS(LEFT(M16,4)="L39N","outside",LEFT(M16,3)="L39","ukstd20"),"")</f>
        <v/>
      </c>
      <c r="AO16" s="85"/>
      <c r="AP16"/>
      <c r="AQ16" s="85"/>
      <c r="BE16" s="38"/>
    </row>
    <row r="17" spans="1:57" s="47" customFormat="1" x14ac:dyDescent="0.25">
      <c r="A17" s="46"/>
      <c r="D17" s="38"/>
      <c r="E17" s="38"/>
      <c r="F17" s="39"/>
      <c r="G17" s="85"/>
      <c r="H17" s="123"/>
      <c r="J17" s="38"/>
      <c r="K17" s="48"/>
      <c r="M17" s="48"/>
      <c r="N17" s="70"/>
      <c r="P17" s="38"/>
      <c r="Y17" s="38"/>
      <c r="AB17" s="39"/>
      <c r="AC17" s="38"/>
      <c r="AH17" s="39"/>
      <c r="AJ17" s="139"/>
      <c r="AK17" s="139"/>
      <c r="AM17" s="38"/>
      <c r="AN17" s="163" t="str" cm="1">
        <f t="array" ref="AN17">_xlfn.IFNA(_xlfn.IFS(LEFT(M17,4)="L39N","outside",LEFT(M17,3)="L39","ukstd20"),"")</f>
        <v/>
      </c>
      <c r="AO17" s="85"/>
      <c r="AP17"/>
      <c r="AQ17" s="85"/>
      <c r="BE17" s="38"/>
    </row>
    <row r="18" spans="1:57" s="47" customFormat="1" x14ac:dyDescent="0.25">
      <c r="A18" s="46"/>
      <c r="D18" s="38"/>
      <c r="E18" s="38"/>
      <c r="F18" s="39"/>
      <c r="G18" s="85"/>
      <c r="H18" s="123"/>
      <c r="J18" s="38"/>
      <c r="K18" s="48"/>
      <c r="M18" s="48"/>
      <c r="N18" s="70"/>
      <c r="P18" s="38"/>
      <c r="Y18" s="38"/>
      <c r="AB18" s="39"/>
      <c r="AC18" s="38"/>
      <c r="AH18" s="39"/>
      <c r="AJ18" s="139"/>
      <c r="AK18" s="139"/>
      <c r="AM18" s="38"/>
      <c r="AN18" s="163" t="str" cm="1">
        <f t="array" ref="AN18">_xlfn.IFNA(_xlfn.IFS(LEFT(M18,4)="L39N","outside",LEFT(M18,3)="L39","ukstd20"),"")</f>
        <v/>
      </c>
      <c r="AO18" s="85"/>
      <c r="AP18"/>
      <c r="AQ18" s="85"/>
      <c r="BE18" s="38"/>
    </row>
    <row r="19" spans="1:57" s="47" customFormat="1" x14ac:dyDescent="0.25">
      <c r="A19" s="46"/>
      <c r="D19" s="38"/>
      <c r="E19" s="38"/>
      <c r="F19" s="39"/>
      <c r="G19" s="85"/>
      <c r="H19" s="123"/>
      <c r="J19" s="38"/>
      <c r="K19" s="48"/>
      <c r="M19" s="48"/>
      <c r="N19" s="70"/>
      <c r="P19" s="38"/>
      <c r="Y19" s="38"/>
      <c r="AB19" s="39"/>
      <c r="AC19" s="38"/>
      <c r="AH19" s="39"/>
      <c r="AJ19" s="139"/>
      <c r="AK19" s="139"/>
      <c r="AM19" s="38"/>
      <c r="AN19" s="163" t="str" cm="1">
        <f t="array" ref="AN19">_xlfn.IFNA(_xlfn.IFS(LEFT(M19,4)="L39N","outside",LEFT(M19,3)="L39","ukstd20"),"")</f>
        <v/>
      </c>
      <c r="AO19" s="85"/>
      <c r="AP19"/>
      <c r="AQ19" s="85"/>
      <c r="BE19" s="38"/>
    </row>
    <row r="20" spans="1:57" s="47" customFormat="1" x14ac:dyDescent="0.25">
      <c r="A20" s="46"/>
      <c r="D20" s="38"/>
      <c r="E20" s="38"/>
      <c r="F20" s="39"/>
      <c r="G20" s="85"/>
      <c r="H20" s="123"/>
      <c r="J20" s="38"/>
      <c r="K20" s="48"/>
      <c r="M20" s="48"/>
      <c r="N20" s="70"/>
      <c r="P20" s="38"/>
      <c r="Y20" s="38"/>
      <c r="AB20" s="39"/>
      <c r="AC20" s="38"/>
      <c r="AH20" s="39"/>
      <c r="AJ20" s="139"/>
      <c r="AK20" s="139"/>
      <c r="AM20" s="38"/>
      <c r="AN20" s="163" t="str" cm="1">
        <f t="array" ref="AN20">_xlfn.IFNA(_xlfn.IFS(LEFT(M20,4)="L39N","outside",LEFT(M20,3)="L39","ukstd20"),"")</f>
        <v/>
      </c>
      <c r="AO20" s="85"/>
      <c r="AP20"/>
      <c r="AQ20" s="85"/>
      <c r="BE20" s="38"/>
    </row>
    <row r="21" spans="1:57" s="47" customFormat="1" x14ac:dyDescent="0.25">
      <c r="A21" s="46"/>
      <c r="D21" s="38"/>
      <c r="E21" s="38"/>
      <c r="F21" s="39"/>
      <c r="G21" s="85"/>
      <c r="H21" s="123"/>
      <c r="J21" s="38"/>
      <c r="K21" s="48"/>
      <c r="M21" s="48"/>
      <c r="N21" s="70"/>
      <c r="P21" s="38"/>
      <c r="Y21" s="38"/>
      <c r="AB21" s="39"/>
      <c r="AC21" s="38"/>
      <c r="AH21" s="39"/>
      <c r="AJ21" s="139"/>
      <c r="AK21" s="139"/>
      <c r="AM21" s="38"/>
      <c r="AN21" s="163" t="str" cm="1">
        <f t="array" ref="AN21">_xlfn.IFNA(_xlfn.IFS(LEFT(M21,4)="L39N","outside",LEFT(M21,3)="L39","ukstd20"),"")</f>
        <v/>
      </c>
      <c r="AO21" s="85"/>
      <c r="AP21"/>
      <c r="AQ21" s="85"/>
      <c r="BE21" s="38"/>
    </row>
    <row r="22" spans="1:57" s="47" customFormat="1" x14ac:dyDescent="0.25">
      <c r="A22" s="46"/>
      <c r="D22" s="38"/>
      <c r="E22" s="38"/>
      <c r="F22" s="39"/>
      <c r="G22" s="85"/>
      <c r="H22" s="123"/>
      <c r="J22" s="38"/>
      <c r="K22" s="48"/>
      <c r="M22" s="48"/>
      <c r="N22" s="70"/>
      <c r="P22" s="38"/>
      <c r="Y22" s="38"/>
      <c r="AB22" s="39"/>
      <c r="AC22" s="38"/>
      <c r="AH22" s="39"/>
      <c r="AJ22" s="139"/>
      <c r="AK22" s="139"/>
      <c r="AM22" s="38"/>
      <c r="AN22" s="163" t="str" cm="1">
        <f t="array" ref="AN22">_xlfn.IFNA(_xlfn.IFS(LEFT(M22,4)="L39N","outside",LEFT(M22,3)="L39","ukstd20"),"")</f>
        <v/>
      </c>
      <c r="AO22" s="85"/>
      <c r="AP22"/>
      <c r="AQ22" s="85"/>
      <c r="BE22" s="38"/>
    </row>
    <row r="23" spans="1:57" s="47" customFormat="1" x14ac:dyDescent="0.25">
      <c r="A23" s="46"/>
      <c r="D23" s="38"/>
      <c r="E23" s="38"/>
      <c r="F23" s="39"/>
      <c r="G23" s="85"/>
      <c r="H23" s="123"/>
      <c r="J23" s="38"/>
      <c r="K23" s="48"/>
      <c r="M23" s="48"/>
      <c r="N23" s="70"/>
      <c r="P23" s="38"/>
      <c r="Y23" s="38"/>
      <c r="AB23" s="39"/>
      <c r="AC23" s="38"/>
      <c r="AH23" s="39"/>
      <c r="AJ23" s="139"/>
      <c r="AK23" s="139"/>
      <c r="AM23" s="38"/>
      <c r="AN23" s="163" t="str" cm="1">
        <f t="array" ref="AN23">_xlfn.IFNA(_xlfn.IFS(LEFT(M23,4)="L39N","outside",LEFT(M23,3)="L39","ukstd20"),"")</f>
        <v/>
      </c>
      <c r="AO23" s="85"/>
      <c r="AP23"/>
      <c r="AQ23" s="85"/>
      <c r="BE23" s="38"/>
    </row>
    <row r="24" spans="1:57" s="47" customFormat="1" x14ac:dyDescent="0.25">
      <c r="A24" s="46"/>
      <c r="D24" s="38"/>
      <c r="E24" s="38"/>
      <c r="F24" s="39"/>
      <c r="G24" s="85"/>
      <c r="H24" s="123"/>
      <c r="J24" s="38"/>
      <c r="K24" s="48"/>
      <c r="M24" s="48"/>
      <c r="N24" s="70"/>
      <c r="P24" s="38"/>
      <c r="Y24" s="38"/>
      <c r="AB24" s="39"/>
      <c r="AC24" s="38"/>
      <c r="AH24" s="39"/>
      <c r="AJ24" s="139"/>
      <c r="AK24" s="139"/>
      <c r="AM24" s="38"/>
      <c r="AN24" s="163" t="str" cm="1">
        <f t="array" ref="AN24">_xlfn.IFNA(_xlfn.IFS(LEFT(M24,4)="L39N","outside",LEFT(M24,3)="L39","ukstd20"),"")</f>
        <v/>
      </c>
      <c r="AO24" s="85"/>
      <c r="AP24"/>
      <c r="AQ24" s="85"/>
      <c r="BE24" s="38"/>
    </row>
    <row r="25" spans="1:57" s="47" customFormat="1" x14ac:dyDescent="0.25">
      <c r="A25" s="46"/>
      <c r="D25" s="38"/>
      <c r="E25" s="38"/>
      <c r="F25" s="39"/>
      <c r="G25" s="85"/>
      <c r="H25" s="123"/>
      <c r="J25" s="38"/>
      <c r="K25" s="48"/>
      <c r="M25" s="48"/>
      <c r="N25" s="70"/>
      <c r="P25" s="38"/>
      <c r="Y25" s="38"/>
      <c r="AB25" s="39"/>
      <c r="AC25" s="38"/>
      <c r="AH25" s="39"/>
      <c r="AJ25" s="139"/>
      <c r="AK25" s="139"/>
      <c r="AM25" s="38"/>
      <c r="AN25" s="163" t="str" cm="1">
        <f t="array" ref="AN25">_xlfn.IFNA(_xlfn.IFS(LEFT(M25,4)="L39N","outside",LEFT(M25,3)="L39","ukstd20"),"")</f>
        <v/>
      </c>
      <c r="AO25" s="85"/>
      <c r="AP25"/>
      <c r="AQ25" s="85"/>
      <c r="BE25" s="38"/>
    </row>
    <row r="26" spans="1:57" s="47" customFormat="1" x14ac:dyDescent="0.25">
      <c r="A26" s="46"/>
      <c r="D26" s="38"/>
      <c r="E26" s="38"/>
      <c r="F26" s="39"/>
      <c r="G26" s="85"/>
      <c r="H26" s="123"/>
      <c r="J26" s="38"/>
      <c r="K26" s="48"/>
      <c r="M26" s="48"/>
      <c r="N26" s="70"/>
      <c r="P26" s="38"/>
      <c r="Y26" s="38"/>
      <c r="AB26" s="39"/>
      <c r="AC26" s="38"/>
      <c r="AH26" s="39"/>
      <c r="AJ26" s="139"/>
      <c r="AK26" s="139"/>
      <c r="AM26" s="38"/>
      <c r="AN26" s="163" t="str" cm="1">
        <f t="array" ref="AN26">_xlfn.IFNA(_xlfn.IFS(LEFT(M26,4)="L39N","outside",LEFT(M26,3)="L39","ukstd20"),"")</f>
        <v/>
      </c>
      <c r="AO26" s="85"/>
      <c r="AP26"/>
      <c r="AQ26" s="85"/>
      <c r="BE26" s="38"/>
    </row>
    <row r="27" spans="1:57" s="47" customFormat="1" x14ac:dyDescent="0.25">
      <c r="A27" s="46"/>
      <c r="D27" s="38"/>
      <c r="E27" s="38"/>
      <c r="F27" s="39"/>
      <c r="G27" s="85"/>
      <c r="H27" s="123"/>
      <c r="J27" s="38"/>
      <c r="K27" s="48"/>
      <c r="M27" s="48"/>
      <c r="N27" s="70"/>
      <c r="P27" s="38"/>
      <c r="Y27" s="38"/>
      <c r="AB27" s="39"/>
      <c r="AC27" s="38"/>
      <c r="AH27" s="39"/>
      <c r="AJ27" s="139"/>
      <c r="AK27" s="139"/>
      <c r="AM27" s="38"/>
      <c r="AN27" s="163" t="str" cm="1">
        <f t="array" ref="AN27">_xlfn.IFNA(_xlfn.IFS(LEFT(M27,4)="L39N","outside",LEFT(M27,3)="L39","ukstd20"),"")</f>
        <v/>
      </c>
      <c r="AO27" s="85"/>
      <c r="AP27"/>
      <c r="AQ27" s="85"/>
      <c r="BE27" s="38"/>
    </row>
    <row r="28" spans="1:57" s="47" customFormat="1" x14ac:dyDescent="0.25">
      <c r="A28" s="46"/>
      <c r="D28" s="38"/>
      <c r="E28" s="38"/>
      <c r="F28" s="39"/>
      <c r="G28" s="85"/>
      <c r="H28" s="123"/>
      <c r="J28" s="38"/>
      <c r="K28" s="48"/>
      <c r="M28" s="48"/>
      <c r="N28" s="70"/>
      <c r="P28" s="38"/>
      <c r="Y28" s="38"/>
      <c r="AB28" s="39"/>
      <c r="AC28" s="38"/>
      <c r="AH28" s="39"/>
      <c r="AJ28" s="139"/>
      <c r="AK28" s="139"/>
      <c r="AM28" s="38"/>
      <c r="AN28" s="163" t="str" cm="1">
        <f t="array" ref="AN28">_xlfn.IFNA(_xlfn.IFS(LEFT(M28,4)="L39N","outside",LEFT(M28,3)="L39","ukstd20"),"")</f>
        <v/>
      </c>
      <c r="AO28" s="85"/>
      <c r="AP28"/>
      <c r="AQ28" s="85"/>
      <c r="BE28" s="38"/>
    </row>
    <row r="29" spans="1:57" s="47" customFormat="1" x14ac:dyDescent="0.25">
      <c r="A29" s="46"/>
      <c r="D29" s="38"/>
      <c r="E29" s="38"/>
      <c r="F29" s="39"/>
      <c r="G29" s="85"/>
      <c r="H29" s="123"/>
      <c r="J29" s="38"/>
      <c r="K29" s="48"/>
      <c r="M29" s="48"/>
      <c r="N29" s="70"/>
      <c r="P29" s="38"/>
      <c r="Y29" s="38"/>
      <c r="AB29" s="39"/>
      <c r="AC29" s="38"/>
      <c r="AH29" s="39"/>
      <c r="AJ29" s="139"/>
      <c r="AK29" s="139"/>
      <c r="AM29" s="38"/>
      <c r="AN29" s="163" t="str" cm="1">
        <f t="array" ref="AN29">_xlfn.IFNA(_xlfn.IFS(LEFT(M29,4)="L39N","outside",LEFT(M29,3)="L39","ukstd20"),"")</f>
        <v/>
      </c>
      <c r="AO29" s="85"/>
      <c r="AP29"/>
      <c r="AQ29" s="85"/>
      <c r="BE29" s="38"/>
    </row>
    <row r="30" spans="1:57" s="47" customFormat="1" x14ac:dyDescent="0.25">
      <c r="A30" s="46"/>
      <c r="D30" s="38"/>
      <c r="E30" s="38"/>
      <c r="F30" s="39"/>
      <c r="G30" s="85"/>
      <c r="H30" s="123"/>
      <c r="J30" s="38"/>
      <c r="K30" s="48"/>
      <c r="M30" s="48"/>
      <c r="N30" s="70"/>
      <c r="P30" s="38"/>
      <c r="Y30" s="38"/>
      <c r="AB30" s="39"/>
      <c r="AC30" s="38"/>
      <c r="AH30" s="39"/>
      <c r="AJ30" s="139"/>
      <c r="AK30" s="139"/>
      <c r="AM30" s="38"/>
      <c r="AN30" s="163" t="str" cm="1">
        <f t="array" ref="AN30">_xlfn.IFNA(_xlfn.IFS(LEFT(M30,4)="L39N","outside",LEFT(M30,3)="L39","ukstd20"),"")</f>
        <v/>
      </c>
      <c r="AO30" s="85"/>
      <c r="AP30"/>
      <c r="AQ30" s="85"/>
      <c r="BE30" s="38"/>
    </row>
    <row r="31" spans="1:57" s="47" customFormat="1" x14ac:dyDescent="0.25">
      <c r="A31" s="46"/>
      <c r="D31" s="38"/>
      <c r="E31" s="38"/>
      <c r="F31" s="39"/>
      <c r="G31" s="85"/>
      <c r="H31" s="123"/>
      <c r="J31" s="38"/>
      <c r="K31" s="48"/>
      <c r="M31" s="48"/>
      <c r="N31" s="70"/>
      <c r="P31" s="38"/>
      <c r="Y31" s="38"/>
      <c r="AB31" s="39"/>
      <c r="AC31" s="38"/>
      <c r="AH31" s="39"/>
      <c r="AJ31" s="139"/>
      <c r="AK31" s="139"/>
      <c r="AM31" s="38"/>
      <c r="AN31" s="163" t="str" cm="1">
        <f t="array" ref="AN31">_xlfn.IFNA(_xlfn.IFS(LEFT(M31,4)="L39N","outside",LEFT(M31,3)="L39","ukstd20"),"")</f>
        <v/>
      </c>
      <c r="AO31" s="85"/>
      <c r="AP31"/>
      <c r="AQ31" s="85"/>
      <c r="BE31" s="38"/>
    </row>
    <row r="32" spans="1:57" s="47" customFormat="1" x14ac:dyDescent="0.25">
      <c r="A32" s="46"/>
      <c r="D32" s="38"/>
      <c r="E32" s="38"/>
      <c r="F32" s="39"/>
      <c r="G32" s="85"/>
      <c r="H32" s="123"/>
      <c r="J32" s="38"/>
      <c r="K32" s="48"/>
      <c r="M32" s="48"/>
      <c r="N32" s="70"/>
      <c r="P32" s="38"/>
      <c r="Y32" s="38"/>
      <c r="AB32" s="39"/>
      <c r="AC32" s="38"/>
      <c r="AH32" s="39"/>
      <c r="AJ32" s="139"/>
      <c r="AK32" s="139"/>
      <c r="AM32" s="38"/>
      <c r="AN32" s="163" t="str" cm="1">
        <f t="array" ref="AN32">_xlfn.IFNA(_xlfn.IFS(LEFT(M32,4)="L39N","outside",LEFT(M32,3)="L39","ukstd20"),"")</f>
        <v/>
      </c>
      <c r="AO32" s="85"/>
      <c r="AP32"/>
      <c r="AQ32" s="85"/>
      <c r="BE32" s="38"/>
    </row>
    <row r="33" spans="1:57" s="47" customFormat="1" x14ac:dyDescent="0.25">
      <c r="A33" s="46"/>
      <c r="D33" s="38"/>
      <c r="E33" s="38"/>
      <c r="F33" s="39"/>
      <c r="G33" s="85"/>
      <c r="H33" s="123"/>
      <c r="J33" s="38"/>
      <c r="K33" s="48"/>
      <c r="M33" s="48"/>
      <c r="N33" s="70"/>
      <c r="P33" s="38"/>
      <c r="Y33" s="38"/>
      <c r="AB33" s="39"/>
      <c r="AC33" s="38"/>
      <c r="AH33" s="39"/>
      <c r="AJ33" s="139"/>
      <c r="AK33" s="139"/>
      <c r="AM33" s="38"/>
      <c r="AN33" s="163" t="str" cm="1">
        <f t="array" ref="AN33">_xlfn.IFNA(_xlfn.IFS(LEFT(M33,4)="L39N","outside",LEFT(M33,3)="L39","ukstd20"),"")</f>
        <v/>
      </c>
      <c r="AO33" s="85"/>
      <c r="AP33"/>
      <c r="AQ33" s="85"/>
      <c r="BE33" s="38"/>
    </row>
    <row r="34" spans="1:57" s="47" customFormat="1" x14ac:dyDescent="0.25">
      <c r="A34" s="46"/>
      <c r="D34" s="38"/>
      <c r="E34" s="38"/>
      <c r="F34" s="39"/>
      <c r="G34" s="85"/>
      <c r="H34" s="123"/>
      <c r="J34" s="38"/>
      <c r="K34" s="48"/>
      <c r="M34" s="48"/>
      <c r="N34" s="70"/>
      <c r="P34" s="38"/>
      <c r="Y34" s="38"/>
      <c r="AB34" s="39"/>
      <c r="AC34" s="38"/>
      <c r="AH34" s="39"/>
      <c r="AJ34" s="139"/>
      <c r="AK34" s="139"/>
      <c r="AM34" s="38"/>
      <c r="AN34" s="163" t="str" cm="1">
        <f t="array" ref="AN34">_xlfn.IFNA(_xlfn.IFS(LEFT(M34,4)="L39N","outside",LEFT(M34,3)="L39","ukstd20"),"")</f>
        <v/>
      </c>
      <c r="AO34" s="85"/>
      <c r="AP34"/>
      <c r="AQ34" s="85"/>
      <c r="BE34" s="38"/>
    </row>
    <row r="35" spans="1:57" s="47" customFormat="1" x14ac:dyDescent="0.25">
      <c r="A35" s="46"/>
      <c r="D35" s="38"/>
      <c r="E35" s="38"/>
      <c r="F35" s="39"/>
      <c r="G35" s="85"/>
      <c r="H35" s="123"/>
      <c r="J35" s="38"/>
      <c r="K35" s="48"/>
      <c r="M35" s="48"/>
      <c r="N35" s="70"/>
      <c r="P35" s="38"/>
      <c r="Y35" s="38"/>
      <c r="AB35" s="39"/>
      <c r="AC35" s="38"/>
      <c r="AH35" s="39"/>
      <c r="AJ35" s="139"/>
      <c r="AK35" s="139"/>
      <c r="AM35" s="38"/>
      <c r="AN35" s="163" t="str" cm="1">
        <f t="array" ref="AN35">_xlfn.IFNA(_xlfn.IFS(LEFT(M35,4)="L39N","outside",LEFT(M35,3)="L39","ukstd20"),"")</f>
        <v/>
      </c>
      <c r="AO35" s="85"/>
      <c r="AP35"/>
      <c r="AQ35" s="85"/>
      <c r="BE35" s="38"/>
    </row>
    <row r="36" spans="1:57" s="47" customFormat="1" x14ac:dyDescent="0.25">
      <c r="A36" s="46"/>
      <c r="D36" s="38"/>
      <c r="E36" s="38"/>
      <c r="F36" s="39"/>
      <c r="G36" s="85"/>
      <c r="H36" s="123"/>
      <c r="J36" s="38"/>
      <c r="K36" s="48"/>
      <c r="M36" s="48"/>
      <c r="N36" s="70"/>
      <c r="P36" s="38"/>
      <c r="Y36" s="38"/>
      <c r="AB36" s="39"/>
      <c r="AC36" s="38"/>
      <c r="AH36" s="39"/>
      <c r="AJ36" s="139"/>
      <c r="AK36" s="139"/>
      <c r="AM36" s="38"/>
      <c r="AN36" s="163" t="str" cm="1">
        <f t="array" ref="AN36">_xlfn.IFNA(_xlfn.IFS(LEFT(M36,4)="L39N","outside",LEFT(M36,3)="L39","ukstd20"),"")</f>
        <v/>
      </c>
      <c r="AO36" s="85"/>
      <c r="AP36"/>
      <c r="AQ36" s="85"/>
      <c r="BE36" s="38"/>
    </row>
    <row r="37" spans="1:57" s="47" customFormat="1" x14ac:dyDescent="0.25">
      <c r="A37" s="46"/>
      <c r="D37" s="38"/>
      <c r="E37" s="38"/>
      <c r="F37" s="39"/>
      <c r="G37" s="85"/>
      <c r="H37" s="123"/>
      <c r="J37" s="38"/>
      <c r="K37" s="48"/>
      <c r="M37" s="48"/>
      <c r="N37" s="70"/>
      <c r="P37" s="38"/>
      <c r="Y37" s="38"/>
      <c r="AB37" s="39"/>
      <c r="AC37" s="38"/>
      <c r="AH37" s="39"/>
      <c r="AJ37" s="139"/>
      <c r="AK37" s="139"/>
      <c r="AM37" s="38"/>
      <c r="AN37" s="163" t="str" cm="1">
        <f t="array" ref="AN37">_xlfn.IFNA(_xlfn.IFS(LEFT(M37,4)="L39N","outside",LEFT(M37,3)="L39","ukstd20"),"")</f>
        <v/>
      </c>
      <c r="AO37" s="85"/>
      <c r="AP37"/>
      <c r="AQ37" s="85"/>
      <c r="BE37" s="38"/>
    </row>
    <row r="38" spans="1:57" s="47" customFormat="1" x14ac:dyDescent="0.25">
      <c r="A38" s="46"/>
      <c r="D38" s="38"/>
      <c r="E38" s="38"/>
      <c r="F38" s="39"/>
      <c r="G38" s="85"/>
      <c r="H38" s="123"/>
      <c r="J38" s="38"/>
      <c r="K38" s="48"/>
      <c r="M38" s="48"/>
      <c r="N38" s="70"/>
      <c r="P38" s="38"/>
      <c r="Y38" s="38"/>
      <c r="AB38" s="39"/>
      <c r="AC38" s="38"/>
      <c r="AH38" s="39"/>
      <c r="AJ38" s="139"/>
      <c r="AK38" s="139"/>
      <c r="AM38" s="38"/>
      <c r="AN38" s="163" t="str" cm="1">
        <f t="array" ref="AN38">_xlfn.IFNA(_xlfn.IFS(LEFT(M38,4)="L39N","outside",LEFT(M38,3)="L39","ukstd20"),"")</f>
        <v/>
      </c>
      <c r="AO38" s="85"/>
      <c r="AP38"/>
      <c r="AQ38" s="85"/>
      <c r="BE38" s="38"/>
    </row>
    <row r="39" spans="1:57" s="47" customFormat="1" x14ac:dyDescent="0.25">
      <c r="A39" s="46"/>
      <c r="D39" s="38"/>
      <c r="E39" s="38"/>
      <c r="F39" s="39"/>
      <c r="G39" s="85"/>
      <c r="H39" s="123"/>
      <c r="J39" s="38"/>
      <c r="K39" s="48"/>
      <c r="M39" s="48"/>
      <c r="N39" s="70"/>
      <c r="P39" s="38"/>
      <c r="Y39" s="38"/>
      <c r="AB39" s="39"/>
      <c r="AC39" s="38"/>
      <c r="AH39" s="39"/>
      <c r="AJ39" s="139"/>
      <c r="AK39" s="139"/>
      <c r="AM39" s="38"/>
      <c r="AN39" s="163" t="str" cm="1">
        <f t="array" ref="AN39">_xlfn.IFNA(_xlfn.IFS(LEFT(M39,4)="L39N","outside",LEFT(M39,3)="L39","ukstd20"),"")</f>
        <v/>
      </c>
      <c r="AO39" s="85"/>
      <c r="AP39"/>
      <c r="AQ39" s="85"/>
      <c r="BE39" s="38"/>
    </row>
    <row r="40" spans="1:57" s="47" customFormat="1" x14ac:dyDescent="0.25">
      <c r="A40" s="46"/>
      <c r="D40" s="38"/>
      <c r="E40" s="38"/>
      <c r="F40" s="39"/>
      <c r="G40" s="85"/>
      <c r="H40" s="123"/>
      <c r="J40" s="38"/>
      <c r="K40" s="48"/>
      <c r="M40" s="48"/>
      <c r="N40" s="70"/>
      <c r="P40" s="38"/>
      <c r="Y40" s="38"/>
      <c r="AB40" s="39"/>
      <c r="AC40" s="38"/>
      <c r="AH40" s="39"/>
      <c r="AJ40" s="139"/>
      <c r="AK40" s="139"/>
      <c r="AM40" s="38"/>
      <c r="AN40" s="163" t="str" cm="1">
        <f t="array" ref="AN40">_xlfn.IFNA(_xlfn.IFS(LEFT(M40,4)="L39N","outside",LEFT(M40,3)="L39","ukstd20"),"")</f>
        <v/>
      </c>
      <c r="AO40" s="85"/>
      <c r="AP40"/>
      <c r="AQ40" s="85"/>
      <c r="BE40" s="38"/>
    </row>
    <row r="41" spans="1:57" s="47" customFormat="1" x14ac:dyDescent="0.25">
      <c r="A41" s="46"/>
      <c r="D41" s="38"/>
      <c r="E41" s="38"/>
      <c r="F41" s="39"/>
      <c r="G41" s="85"/>
      <c r="H41" s="123"/>
      <c r="J41" s="38"/>
      <c r="K41" s="48"/>
      <c r="M41" s="48"/>
      <c r="N41" s="70"/>
      <c r="P41" s="38"/>
      <c r="Y41" s="38"/>
      <c r="AB41" s="39"/>
      <c r="AC41" s="38"/>
      <c r="AH41" s="39"/>
      <c r="AJ41" s="139"/>
      <c r="AK41" s="139"/>
      <c r="AM41" s="38"/>
      <c r="AN41" s="163" t="str" cm="1">
        <f t="array" ref="AN41">_xlfn.IFNA(_xlfn.IFS(LEFT(M41,4)="L39N","outside",LEFT(M41,3)="L39","ukstd20"),"")</f>
        <v/>
      </c>
      <c r="AO41" s="85"/>
      <c r="AP41"/>
      <c r="AQ41" s="85"/>
      <c r="BE41" s="38"/>
    </row>
    <row r="42" spans="1:57" s="47" customFormat="1" x14ac:dyDescent="0.25">
      <c r="A42" s="46"/>
      <c r="D42" s="38"/>
      <c r="E42" s="38"/>
      <c r="F42" s="39"/>
      <c r="G42" s="85"/>
      <c r="H42" s="123"/>
      <c r="J42" s="38"/>
      <c r="K42" s="48"/>
      <c r="M42" s="48"/>
      <c r="N42" s="70"/>
      <c r="P42" s="38"/>
      <c r="Y42" s="38"/>
      <c r="AB42" s="39"/>
      <c r="AC42" s="38"/>
      <c r="AH42" s="39"/>
      <c r="AJ42" s="139"/>
      <c r="AK42" s="139"/>
      <c r="AM42" s="38"/>
      <c r="AN42" s="163" t="str" cm="1">
        <f t="array" ref="AN42">_xlfn.IFNA(_xlfn.IFS(LEFT(M42,4)="L39N","outside",LEFT(M42,3)="L39","ukstd20"),"")</f>
        <v/>
      </c>
      <c r="AO42" s="85"/>
      <c r="AP42"/>
      <c r="AQ42" s="85"/>
      <c r="BE42" s="38"/>
    </row>
    <row r="43" spans="1:57" s="47" customFormat="1" x14ac:dyDescent="0.25">
      <c r="A43" s="46"/>
      <c r="D43" s="38"/>
      <c r="E43" s="38"/>
      <c r="F43" s="39"/>
      <c r="G43" s="85"/>
      <c r="H43" s="123"/>
      <c r="J43" s="38"/>
      <c r="K43" s="48"/>
      <c r="M43" s="48"/>
      <c r="N43" s="70"/>
      <c r="P43" s="38"/>
      <c r="Y43" s="38"/>
      <c r="AB43" s="39"/>
      <c r="AC43" s="38"/>
      <c r="AH43" s="39"/>
      <c r="AJ43" s="139"/>
      <c r="AK43" s="139"/>
      <c r="AM43" s="38"/>
      <c r="AN43" s="163" t="str" cm="1">
        <f t="array" ref="AN43">_xlfn.IFNA(_xlfn.IFS(LEFT(M43,4)="L39N","outside",LEFT(M43,3)="L39","ukstd20"),"")</f>
        <v/>
      </c>
      <c r="AO43" s="85"/>
      <c r="AP43"/>
      <c r="AQ43" s="85"/>
      <c r="BE43" s="38"/>
    </row>
    <row r="44" spans="1:57" s="47" customFormat="1" x14ac:dyDescent="0.25">
      <c r="A44" s="46"/>
      <c r="D44" s="38"/>
      <c r="E44" s="38"/>
      <c r="F44" s="39"/>
      <c r="G44" s="85"/>
      <c r="H44" s="123"/>
      <c r="J44" s="38"/>
      <c r="K44" s="48"/>
      <c r="M44" s="48"/>
      <c r="N44" s="70"/>
      <c r="P44" s="38"/>
      <c r="Y44" s="38"/>
      <c r="AB44" s="39"/>
      <c r="AC44" s="38"/>
      <c r="AH44" s="39"/>
      <c r="AJ44" s="139"/>
      <c r="AK44" s="139"/>
      <c r="AM44" s="38"/>
      <c r="AN44" s="163" t="str" cm="1">
        <f t="array" ref="AN44">_xlfn.IFNA(_xlfn.IFS(LEFT(M44,4)="L39N","outside",LEFT(M44,3)="L39","ukstd20"),"")</f>
        <v/>
      </c>
      <c r="AO44" s="85"/>
      <c r="AP44"/>
      <c r="AQ44" s="85"/>
      <c r="BE44" s="38"/>
    </row>
    <row r="45" spans="1:57" s="47" customFormat="1" x14ac:dyDescent="0.25">
      <c r="A45" s="46"/>
      <c r="D45" s="38"/>
      <c r="E45" s="38"/>
      <c r="F45" s="39"/>
      <c r="G45" s="85"/>
      <c r="H45" s="123"/>
      <c r="J45" s="38"/>
      <c r="K45" s="48"/>
      <c r="M45" s="48"/>
      <c r="N45" s="70"/>
      <c r="P45" s="38"/>
      <c r="Y45" s="38"/>
      <c r="AB45" s="39"/>
      <c r="AC45" s="38"/>
      <c r="AH45" s="39"/>
      <c r="AJ45" s="139"/>
      <c r="AK45" s="139"/>
      <c r="AM45" s="38"/>
      <c r="AN45" s="163" t="str" cm="1">
        <f t="array" ref="AN45">_xlfn.IFNA(_xlfn.IFS(LEFT(M45,4)="L39N","outside",LEFT(M45,3)="L39","ukstd20"),"")</f>
        <v/>
      </c>
      <c r="AO45" s="85"/>
      <c r="AP45"/>
      <c r="AQ45" s="85"/>
      <c r="BE45" s="38"/>
    </row>
    <row r="46" spans="1:57" s="47" customFormat="1" x14ac:dyDescent="0.25">
      <c r="A46" s="46"/>
      <c r="D46" s="38"/>
      <c r="E46" s="38"/>
      <c r="F46" s="39"/>
      <c r="G46" s="85"/>
      <c r="H46" s="123"/>
      <c r="J46" s="38"/>
      <c r="K46" s="48"/>
      <c r="M46" s="48"/>
      <c r="N46" s="70"/>
      <c r="P46" s="38"/>
      <c r="Y46" s="38"/>
      <c r="AB46" s="39"/>
      <c r="AC46" s="38"/>
      <c r="AH46" s="39"/>
      <c r="AJ46" s="139"/>
      <c r="AK46" s="139"/>
      <c r="AM46" s="38"/>
      <c r="AN46" s="163" t="str" cm="1">
        <f t="array" ref="AN46">_xlfn.IFNA(_xlfn.IFS(LEFT(M46,4)="L39N","outside",LEFT(M46,3)="L39","ukstd20"),"")</f>
        <v/>
      </c>
      <c r="AO46" s="85"/>
      <c r="AP46"/>
      <c r="AQ46" s="85"/>
      <c r="BE46" s="38"/>
    </row>
    <row r="47" spans="1:57" s="47" customFormat="1" x14ac:dyDescent="0.25">
      <c r="A47" s="46"/>
      <c r="D47" s="38"/>
      <c r="E47" s="38"/>
      <c r="F47" s="39"/>
      <c r="G47" s="85"/>
      <c r="H47" s="123"/>
      <c r="J47" s="38"/>
      <c r="K47" s="48"/>
      <c r="M47" s="48"/>
      <c r="N47" s="70"/>
      <c r="P47" s="38"/>
      <c r="Y47" s="38"/>
      <c r="AB47" s="39"/>
      <c r="AC47" s="38"/>
      <c r="AH47" s="39"/>
      <c r="AJ47" s="139"/>
      <c r="AK47" s="139"/>
      <c r="AM47" s="38"/>
      <c r="AN47" s="163" t="str" cm="1">
        <f t="array" ref="AN47">_xlfn.IFNA(_xlfn.IFS(LEFT(M47,4)="L39N","outside",LEFT(M47,3)="L39","ukstd20"),"")</f>
        <v/>
      </c>
      <c r="AO47" s="85"/>
      <c r="AP47"/>
      <c r="AQ47" s="85"/>
      <c r="BE47" s="38"/>
    </row>
    <row r="48" spans="1:57" s="47" customFormat="1" x14ac:dyDescent="0.25">
      <c r="A48" s="46"/>
      <c r="D48" s="38"/>
      <c r="E48" s="38"/>
      <c r="F48" s="39"/>
      <c r="G48" s="85"/>
      <c r="H48" s="123"/>
      <c r="J48" s="38"/>
      <c r="K48" s="48"/>
      <c r="M48" s="48"/>
      <c r="N48" s="70"/>
      <c r="P48" s="38"/>
      <c r="Y48" s="38"/>
      <c r="AB48" s="39"/>
      <c r="AC48" s="38"/>
      <c r="AH48" s="39"/>
      <c r="AJ48" s="139"/>
      <c r="AK48" s="139"/>
      <c r="AM48" s="38"/>
      <c r="AN48" s="163" t="str" cm="1">
        <f t="array" ref="AN48">_xlfn.IFNA(_xlfn.IFS(LEFT(M48,4)="L39N","outside",LEFT(M48,3)="L39","ukstd20"),"")</f>
        <v/>
      </c>
      <c r="AO48" s="85"/>
      <c r="AP48"/>
      <c r="AQ48" s="85"/>
      <c r="BE48" s="38"/>
    </row>
    <row r="49" spans="1:57" s="47" customFormat="1" x14ac:dyDescent="0.25">
      <c r="A49" s="46"/>
      <c r="D49" s="38"/>
      <c r="E49" s="38"/>
      <c r="F49" s="39"/>
      <c r="G49" s="85"/>
      <c r="H49" s="123"/>
      <c r="J49" s="38"/>
      <c r="K49" s="48"/>
      <c r="M49" s="48"/>
      <c r="N49" s="70"/>
      <c r="P49" s="38"/>
      <c r="Y49" s="38"/>
      <c r="AB49" s="39"/>
      <c r="AC49" s="38"/>
      <c r="AH49" s="39"/>
      <c r="AJ49" s="139"/>
      <c r="AK49" s="139"/>
      <c r="AM49" s="38"/>
      <c r="AN49" s="163" t="str" cm="1">
        <f t="array" ref="AN49">_xlfn.IFNA(_xlfn.IFS(LEFT(M49,4)="L39N","outside",LEFT(M49,3)="L39","ukstd20"),"")</f>
        <v/>
      </c>
      <c r="AO49" s="85"/>
      <c r="AP49"/>
      <c r="AQ49" s="85"/>
      <c r="BE49" s="38"/>
    </row>
    <row r="50" spans="1:57" s="47" customFormat="1" x14ac:dyDescent="0.25">
      <c r="A50" s="46"/>
      <c r="D50" s="38"/>
      <c r="E50" s="38"/>
      <c r="F50" s="39"/>
      <c r="G50" s="85"/>
      <c r="H50" s="123"/>
      <c r="J50" s="38"/>
      <c r="K50" s="48"/>
      <c r="M50" s="48"/>
      <c r="N50" s="70"/>
      <c r="P50" s="38"/>
      <c r="Y50" s="38"/>
      <c r="AB50" s="39"/>
      <c r="AC50" s="38"/>
      <c r="AH50" s="39"/>
      <c r="AJ50" s="139"/>
      <c r="AK50" s="139"/>
      <c r="AM50" s="38"/>
      <c r="AN50" s="163" t="str" cm="1">
        <f t="array" ref="AN50">_xlfn.IFNA(_xlfn.IFS(LEFT(M50,4)="L39N","outside",LEFT(M50,3)="L39","ukstd20"),"")</f>
        <v/>
      </c>
      <c r="AO50" s="85"/>
      <c r="AP50"/>
      <c r="AQ50" s="85"/>
      <c r="BE50" s="38"/>
    </row>
    <row r="51" spans="1:57" s="47" customFormat="1" x14ac:dyDescent="0.25">
      <c r="A51" s="46"/>
      <c r="D51" s="38"/>
      <c r="E51" s="38"/>
      <c r="F51" s="39"/>
      <c r="G51" s="85"/>
      <c r="H51" s="123"/>
      <c r="J51" s="38"/>
      <c r="K51" s="48"/>
      <c r="M51" s="48"/>
      <c r="N51" s="70"/>
      <c r="P51" s="38"/>
      <c r="Y51" s="38"/>
      <c r="AB51" s="39"/>
      <c r="AC51" s="38"/>
      <c r="AH51" s="39"/>
      <c r="AJ51" s="139"/>
      <c r="AK51" s="139"/>
      <c r="AM51" s="38"/>
      <c r="AN51" s="163" t="str" cm="1">
        <f t="array" ref="AN51">_xlfn.IFNA(_xlfn.IFS(LEFT(M51,4)="L39N","outside",LEFT(M51,3)="L39","ukstd20"),"")</f>
        <v/>
      </c>
      <c r="AO51" s="85"/>
      <c r="AP51"/>
      <c r="AQ51" s="85"/>
      <c r="BE51" s="38"/>
    </row>
    <row r="52" spans="1:57" s="47" customFormat="1" x14ac:dyDescent="0.25">
      <c r="A52" s="46"/>
      <c r="D52" s="38"/>
      <c r="E52" s="38"/>
      <c r="F52" s="39"/>
      <c r="G52" s="85"/>
      <c r="H52" s="123"/>
      <c r="J52" s="38"/>
      <c r="K52" s="48"/>
      <c r="M52" s="48"/>
      <c r="N52" s="70"/>
      <c r="P52" s="38"/>
      <c r="Y52" s="38"/>
      <c r="AB52" s="39"/>
      <c r="AC52" s="38"/>
      <c r="AH52" s="39"/>
      <c r="AJ52" s="139"/>
      <c r="AK52" s="139"/>
      <c r="AM52" s="38"/>
      <c r="AN52" s="163" t="str" cm="1">
        <f t="array" ref="AN52">_xlfn.IFNA(_xlfn.IFS(LEFT(M52,4)="L39N","outside",LEFT(M52,3)="L39","ukstd20"),"")</f>
        <v/>
      </c>
      <c r="AO52" s="85"/>
      <c r="AP52"/>
      <c r="AQ52" s="85"/>
      <c r="BE52" s="38"/>
    </row>
    <row r="53" spans="1:57" s="47" customFormat="1" x14ac:dyDescent="0.25">
      <c r="A53" s="46"/>
      <c r="D53" s="38"/>
      <c r="E53" s="38"/>
      <c r="F53" s="39"/>
      <c r="G53" s="85"/>
      <c r="H53" s="123"/>
      <c r="J53" s="38"/>
      <c r="K53" s="48"/>
      <c r="M53" s="48"/>
      <c r="N53" s="70"/>
      <c r="P53" s="38"/>
      <c r="Y53" s="38"/>
      <c r="AB53" s="39"/>
      <c r="AC53" s="38"/>
      <c r="AH53" s="39"/>
      <c r="AJ53" s="139"/>
      <c r="AK53" s="139"/>
      <c r="AM53" s="38"/>
      <c r="AN53" s="163" t="str" cm="1">
        <f t="array" ref="AN53">_xlfn.IFNA(_xlfn.IFS(LEFT(M53,4)="L39N","outside",LEFT(M53,3)="L39","ukstd20"),"")</f>
        <v/>
      </c>
      <c r="AO53" s="85"/>
      <c r="AP53"/>
      <c r="AQ53" s="85"/>
      <c r="BE53" s="38"/>
    </row>
    <row r="54" spans="1:57" s="47" customFormat="1" x14ac:dyDescent="0.25">
      <c r="A54" s="46"/>
      <c r="D54" s="38"/>
      <c r="E54" s="38"/>
      <c r="F54" s="39"/>
      <c r="G54" s="85"/>
      <c r="H54" s="123"/>
      <c r="J54" s="38"/>
      <c r="K54" s="48"/>
      <c r="M54" s="48"/>
      <c r="N54" s="70"/>
      <c r="P54" s="38"/>
      <c r="Y54" s="38"/>
      <c r="AB54" s="39"/>
      <c r="AC54" s="38"/>
      <c r="AH54" s="39"/>
      <c r="AJ54" s="139"/>
      <c r="AK54" s="139"/>
      <c r="AM54" s="38"/>
      <c r="AN54" s="163" t="str" cm="1">
        <f t="array" ref="AN54">_xlfn.IFNA(_xlfn.IFS(LEFT(M54,4)="L39N","outside",LEFT(M54,3)="L39","ukstd20"),"")</f>
        <v/>
      </c>
      <c r="AO54" s="85"/>
      <c r="AP54"/>
      <c r="AQ54" s="85"/>
      <c r="BE54" s="38"/>
    </row>
    <row r="55" spans="1:57" s="47" customFormat="1" x14ac:dyDescent="0.25">
      <c r="A55" s="46"/>
      <c r="D55" s="38"/>
      <c r="E55" s="38"/>
      <c r="F55" s="39"/>
      <c r="G55" s="85"/>
      <c r="H55" s="123"/>
      <c r="J55" s="38"/>
      <c r="K55" s="48"/>
      <c r="M55" s="48"/>
      <c r="N55" s="70"/>
      <c r="P55" s="38"/>
      <c r="Y55" s="38"/>
      <c r="AB55" s="39"/>
      <c r="AC55" s="38"/>
      <c r="AH55" s="39"/>
      <c r="AJ55" s="139"/>
      <c r="AK55" s="139"/>
      <c r="AM55" s="38"/>
      <c r="AN55" s="163" t="str" cm="1">
        <f t="array" ref="AN55">_xlfn.IFNA(_xlfn.IFS(LEFT(M55,4)="L39N","outside",LEFT(M55,3)="L39","ukstd20"),"")</f>
        <v/>
      </c>
      <c r="AO55" s="85"/>
      <c r="AP55"/>
      <c r="AQ55" s="85"/>
      <c r="BE55" s="38"/>
    </row>
    <row r="56" spans="1:57" s="47" customFormat="1" x14ac:dyDescent="0.25">
      <c r="A56" s="46"/>
      <c r="D56" s="38"/>
      <c r="E56" s="38"/>
      <c r="F56" s="39"/>
      <c r="G56" s="85"/>
      <c r="H56" s="123"/>
      <c r="J56" s="38"/>
      <c r="K56" s="48"/>
      <c r="M56" s="48"/>
      <c r="N56" s="70"/>
      <c r="P56" s="38"/>
      <c r="Y56" s="38"/>
      <c r="AB56" s="39"/>
      <c r="AC56" s="38"/>
      <c r="AH56" s="39"/>
      <c r="AJ56" s="139"/>
      <c r="AK56" s="139"/>
      <c r="AM56" s="38"/>
      <c r="AN56" s="163" t="str" cm="1">
        <f t="array" ref="AN56">_xlfn.IFNA(_xlfn.IFS(LEFT(M56,4)="L39N","outside",LEFT(M56,3)="L39","ukstd20"),"")</f>
        <v/>
      </c>
      <c r="AO56" s="85"/>
      <c r="AP56"/>
      <c r="AQ56" s="85"/>
      <c r="BE56" s="38"/>
    </row>
    <row r="57" spans="1:57" s="47" customFormat="1" x14ac:dyDescent="0.25">
      <c r="A57" s="46"/>
      <c r="D57" s="38"/>
      <c r="E57" s="38"/>
      <c r="F57" s="39"/>
      <c r="G57" s="85"/>
      <c r="H57" s="123"/>
      <c r="J57" s="38"/>
      <c r="K57" s="48"/>
      <c r="M57" s="48"/>
      <c r="N57" s="70"/>
      <c r="P57" s="38"/>
      <c r="Y57" s="38"/>
      <c r="AB57" s="39"/>
      <c r="AC57" s="38"/>
      <c r="AH57" s="39"/>
      <c r="AJ57" s="139"/>
      <c r="AK57" s="139"/>
      <c r="AM57" s="38"/>
      <c r="AN57" s="163" t="str" cm="1">
        <f t="array" ref="AN57">_xlfn.IFNA(_xlfn.IFS(LEFT(M57,4)="L39N","outside",LEFT(M57,3)="L39","ukstd20"),"")</f>
        <v/>
      </c>
      <c r="AO57" s="85"/>
      <c r="AP57"/>
      <c r="AQ57" s="85"/>
      <c r="BE57" s="38"/>
    </row>
    <row r="58" spans="1:57" s="47" customFormat="1" x14ac:dyDescent="0.25">
      <c r="A58" s="46"/>
      <c r="D58" s="38"/>
      <c r="E58" s="38"/>
      <c r="F58" s="39"/>
      <c r="G58" s="85"/>
      <c r="H58" s="123"/>
      <c r="J58" s="38"/>
      <c r="K58" s="48"/>
      <c r="M58" s="48"/>
      <c r="N58" s="70"/>
      <c r="P58" s="38"/>
      <c r="Y58" s="38"/>
      <c r="AB58" s="39"/>
      <c r="AC58" s="38"/>
      <c r="AH58" s="39"/>
      <c r="AJ58" s="139"/>
      <c r="AK58" s="139"/>
      <c r="AM58" s="38"/>
      <c r="AN58" s="163" t="str" cm="1">
        <f t="array" ref="AN58">_xlfn.IFNA(_xlfn.IFS(LEFT(M58,4)="L39N","outside",LEFT(M58,3)="L39","ukstd20"),"")</f>
        <v/>
      </c>
      <c r="AO58" s="85"/>
      <c r="AP58"/>
      <c r="AQ58" s="85"/>
      <c r="BE58" s="38"/>
    </row>
    <row r="59" spans="1:57" s="47" customFormat="1" x14ac:dyDescent="0.25">
      <c r="A59" s="46"/>
      <c r="D59" s="38"/>
      <c r="E59" s="38"/>
      <c r="F59" s="39"/>
      <c r="G59" s="85"/>
      <c r="H59" s="123"/>
      <c r="J59" s="38"/>
      <c r="K59" s="48"/>
      <c r="M59" s="48"/>
      <c r="N59" s="70"/>
      <c r="P59" s="38"/>
      <c r="Y59" s="38"/>
      <c r="AB59" s="39"/>
      <c r="AC59" s="38"/>
      <c r="AH59" s="39"/>
      <c r="AJ59" s="139"/>
      <c r="AK59" s="139"/>
      <c r="AM59" s="38"/>
      <c r="AN59" s="163" t="str" cm="1">
        <f t="array" ref="AN59">_xlfn.IFNA(_xlfn.IFS(LEFT(M59,4)="L39N","outside",LEFT(M59,3)="L39","ukstd20"),"")</f>
        <v/>
      </c>
      <c r="AO59" s="85"/>
      <c r="AP59"/>
      <c r="AQ59" s="85"/>
      <c r="BE59" s="38"/>
    </row>
    <row r="60" spans="1:57" s="47" customFormat="1" x14ac:dyDescent="0.25">
      <c r="A60" s="46"/>
      <c r="D60" s="38"/>
      <c r="E60" s="38"/>
      <c r="F60" s="39"/>
      <c r="G60" s="85"/>
      <c r="H60" s="123"/>
      <c r="J60" s="38"/>
      <c r="K60" s="48"/>
      <c r="M60" s="48"/>
      <c r="N60" s="70"/>
      <c r="P60" s="38"/>
      <c r="Y60" s="38"/>
      <c r="AB60" s="39"/>
      <c r="AC60" s="38"/>
      <c r="AH60" s="39"/>
      <c r="AJ60" s="139"/>
      <c r="AK60" s="139"/>
      <c r="AM60" s="38"/>
      <c r="AN60" s="163" t="str" cm="1">
        <f t="array" ref="AN60">_xlfn.IFNA(_xlfn.IFS(LEFT(M60,4)="L39N","outside",LEFT(M60,3)="L39","ukstd20"),"")</f>
        <v/>
      </c>
      <c r="AO60" s="85"/>
      <c r="AP60"/>
      <c r="AQ60" s="85"/>
      <c r="BE60" s="38"/>
    </row>
    <row r="61" spans="1:57" s="47" customFormat="1" x14ac:dyDescent="0.25">
      <c r="A61" s="46"/>
      <c r="D61" s="38"/>
      <c r="E61" s="38"/>
      <c r="F61" s="39"/>
      <c r="G61" s="85"/>
      <c r="H61" s="123"/>
      <c r="J61" s="38"/>
      <c r="K61" s="48"/>
      <c r="M61" s="48"/>
      <c r="N61" s="70"/>
      <c r="P61" s="38"/>
      <c r="Y61" s="38"/>
      <c r="AB61" s="39"/>
      <c r="AC61" s="38"/>
      <c r="AH61" s="39"/>
      <c r="AJ61" s="139"/>
      <c r="AK61" s="139"/>
      <c r="AM61" s="38"/>
      <c r="AN61" s="163" t="str" cm="1">
        <f t="array" ref="AN61">_xlfn.IFNA(_xlfn.IFS(LEFT(M61,4)="L39N","outside",LEFT(M61,3)="L39","ukstd20"),"")</f>
        <v/>
      </c>
      <c r="AO61" s="85"/>
      <c r="AP61"/>
      <c r="AQ61" s="85"/>
      <c r="BE61" s="38"/>
    </row>
    <row r="62" spans="1:57" s="47" customFormat="1" x14ac:dyDescent="0.25">
      <c r="A62" s="46"/>
      <c r="D62" s="38"/>
      <c r="E62" s="38"/>
      <c r="F62" s="39"/>
      <c r="G62" s="85"/>
      <c r="H62" s="123"/>
      <c r="J62" s="38"/>
      <c r="K62" s="48"/>
      <c r="M62" s="48"/>
      <c r="N62" s="70"/>
      <c r="P62" s="38"/>
      <c r="Y62" s="38"/>
      <c r="AB62" s="39"/>
      <c r="AC62" s="38"/>
      <c r="AH62" s="39"/>
      <c r="AJ62" s="139"/>
      <c r="AK62" s="139"/>
      <c r="AM62" s="38"/>
      <c r="AN62" s="163" t="str" cm="1">
        <f t="array" ref="AN62">_xlfn.IFNA(_xlfn.IFS(LEFT(M62,4)="L39N","outside",LEFT(M62,3)="L39","ukstd20"),"")</f>
        <v/>
      </c>
      <c r="AO62" s="85"/>
      <c r="AP62"/>
      <c r="AQ62" s="85"/>
      <c r="BE62" s="38"/>
    </row>
    <row r="63" spans="1:57" s="47" customFormat="1" x14ac:dyDescent="0.25">
      <c r="A63" s="46"/>
      <c r="D63" s="38"/>
      <c r="E63" s="38"/>
      <c r="F63" s="39"/>
      <c r="G63" s="85"/>
      <c r="H63" s="123"/>
      <c r="J63" s="38"/>
      <c r="K63" s="48"/>
      <c r="M63" s="48"/>
      <c r="N63" s="70"/>
      <c r="P63" s="38"/>
      <c r="Y63" s="38"/>
      <c r="AB63" s="39"/>
      <c r="AC63" s="38"/>
      <c r="AH63" s="39"/>
      <c r="AJ63" s="139"/>
      <c r="AK63" s="139"/>
      <c r="AM63" s="38"/>
      <c r="AN63" s="163" t="str" cm="1">
        <f t="array" ref="AN63">_xlfn.IFNA(_xlfn.IFS(LEFT(M63,4)="L39N","outside",LEFT(M63,3)="L39","ukstd20"),"")</f>
        <v/>
      </c>
      <c r="AO63" s="85"/>
      <c r="AP63"/>
      <c r="AQ63" s="85"/>
      <c r="BE63" s="38"/>
    </row>
    <row r="64" spans="1:57" s="47" customFormat="1" x14ac:dyDescent="0.25">
      <c r="A64" s="46"/>
      <c r="D64" s="38"/>
      <c r="E64" s="38"/>
      <c r="F64" s="39"/>
      <c r="G64" s="85"/>
      <c r="H64" s="123"/>
      <c r="J64" s="38"/>
      <c r="K64" s="48"/>
      <c r="M64" s="48"/>
      <c r="N64" s="70"/>
      <c r="P64" s="38"/>
      <c r="Y64" s="38"/>
      <c r="AB64" s="39"/>
      <c r="AC64" s="38"/>
      <c r="AH64" s="39"/>
      <c r="AJ64" s="139"/>
      <c r="AK64" s="139"/>
      <c r="AM64" s="38"/>
      <c r="AN64" s="163" t="str" cm="1">
        <f t="array" ref="AN64">_xlfn.IFNA(_xlfn.IFS(LEFT(M64,4)="L39N","outside",LEFT(M64,3)="L39","ukstd20"),"")</f>
        <v/>
      </c>
      <c r="AO64" s="85"/>
      <c r="AP64"/>
      <c r="AQ64" s="85"/>
      <c r="BE64" s="38"/>
    </row>
    <row r="65" spans="1:57" s="47" customFormat="1" x14ac:dyDescent="0.25">
      <c r="A65" s="46"/>
      <c r="D65" s="38"/>
      <c r="E65" s="38"/>
      <c r="F65" s="39"/>
      <c r="G65" s="85"/>
      <c r="H65" s="123"/>
      <c r="J65" s="38"/>
      <c r="K65" s="48"/>
      <c r="M65" s="48"/>
      <c r="N65" s="70"/>
      <c r="P65" s="38"/>
      <c r="Y65" s="38"/>
      <c r="AB65" s="39"/>
      <c r="AC65" s="38"/>
      <c r="AH65" s="39"/>
      <c r="AJ65" s="139"/>
      <c r="AK65" s="139"/>
      <c r="AM65" s="38"/>
      <c r="AN65" s="163" t="str" cm="1">
        <f t="array" ref="AN65">_xlfn.IFNA(_xlfn.IFS(LEFT(M65,4)="L39N","outside",LEFT(M65,3)="L39","ukstd20"),"")</f>
        <v/>
      </c>
      <c r="AO65" s="85"/>
      <c r="AP65"/>
      <c r="AQ65" s="85"/>
      <c r="BE65" s="38"/>
    </row>
    <row r="66" spans="1:57" s="47" customFormat="1" x14ac:dyDescent="0.25">
      <c r="A66" s="46"/>
      <c r="D66" s="38"/>
      <c r="E66" s="38"/>
      <c r="F66" s="39"/>
      <c r="G66" s="85"/>
      <c r="H66" s="123"/>
      <c r="J66" s="38"/>
      <c r="K66" s="48"/>
      <c r="M66" s="48"/>
      <c r="N66" s="70"/>
      <c r="P66" s="38"/>
      <c r="Y66" s="38"/>
      <c r="AB66" s="39"/>
      <c r="AC66" s="38"/>
      <c r="AH66" s="39"/>
      <c r="AJ66" s="139"/>
      <c r="AK66" s="139"/>
      <c r="AM66" s="38"/>
      <c r="AN66" s="163" t="str" cm="1">
        <f t="array" ref="AN66">_xlfn.IFNA(_xlfn.IFS(LEFT(M66,4)="L39N","outside",LEFT(M66,3)="L39","ukstd20"),"")</f>
        <v/>
      </c>
      <c r="AO66" s="85"/>
      <c r="AP66"/>
      <c r="AQ66" s="85"/>
      <c r="BE66" s="38"/>
    </row>
    <row r="67" spans="1:57" s="47" customFormat="1" x14ac:dyDescent="0.25">
      <c r="A67" s="46"/>
      <c r="D67" s="38"/>
      <c r="E67" s="38"/>
      <c r="F67" s="39"/>
      <c r="G67" s="85"/>
      <c r="H67" s="123"/>
      <c r="J67" s="38"/>
      <c r="K67" s="48"/>
      <c r="M67" s="48"/>
      <c r="N67" s="70"/>
      <c r="P67" s="38"/>
      <c r="Y67" s="38"/>
      <c r="AB67" s="39"/>
      <c r="AC67" s="38"/>
      <c r="AH67" s="39"/>
      <c r="AJ67" s="139"/>
      <c r="AK67" s="139"/>
      <c r="AM67" s="38"/>
      <c r="AN67" s="163" t="str" cm="1">
        <f t="array" ref="AN67">_xlfn.IFNA(_xlfn.IFS(LEFT(M67,4)="L39N","outside",LEFT(M67,3)="L39","ukstd20"),"")</f>
        <v/>
      </c>
      <c r="AO67" s="85"/>
      <c r="AP67"/>
      <c r="AQ67" s="85"/>
      <c r="BE67" s="38"/>
    </row>
    <row r="68" spans="1:57" s="47" customFormat="1" x14ac:dyDescent="0.25">
      <c r="A68" s="46"/>
      <c r="D68" s="38"/>
      <c r="E68" s="38"/>
      <c r="F68" s="39"/>
      <c r="G68" s="85"/>
      <c r="H68" s="123"/>
      <c r="J68" s="38"/>
      <c r="K68" s="48"/>
      <c r="M68" s="48"/>
      <c r="N68" s="70"/>
      <c r="P68" s="38"/>
      <c r="Y68" s="38"/>
      <c r="AB68" s="39"/>
      <c r="AC68" s="38"/>
      <c r="AH68" s="39"/>
      <c r="AJ68" s="139"/>
      <c r="AK68" s="139"/>
      <c r="AM68" s="38"/>
      <c r="AN68" s="163" t="str" cm="1">
        <f t="array" ref="AN68">_xlfn.IFNA(_xlfn.IFS(LEFT(M68,4)="L39N","outside",LEFT(M68,3)="L39","ukstd20"),"")</f>
        <v/>
      </c>
      <c r="AO68" s="85"/>
      <c r="AP68"/>
      <c r="AQ68" s="85"/>
      <c r="BE68" s="38"/>
    </row>
    <row r="69" spans="1:57" s="47" customFormat="1" x14ac:dyDescent="0.25">
      <c r="A69" s="46"/>
      <c r="D69" s="38"/>
      <c r="E69" s="38"/>
      <c r="F69" s="39"/>
      <c r="G69" s="85"/>
      <c r="H69" s="123"/>
      <c r="J69" s="38"/>
      <c r="K69" s="48"/>
      <c r="M69" s="48"/>
      <c r="N69" s="70"/>
      <c r="P69" s="38"/>
      <c r="Y69" s="38"/>
      <c r="AB69" s="39"/>
      <c r="AC69" s="38"/>
      <c r="AH69" s="39"/>
      <c r="AJ69" s="139"/>
      <c r="AK69" s="139"/>
      <c r="AM69" s="38"/>
      <c r="AN69" s="163" t="str" cm="1">
        <f t="array" ref="AN69">_xlfn.IFNA(_xlfn.IFS(LEFT(M69,4)="L39N","outside",LEFT(M69,3)="L39","ukstd20"),"")</f>
        <v/>
      </c>
      <c r="AO69" s="85"/>
      <c r="AP69"/>
      <c r="AQ69" s="85"/>
      <c r="BE69" s="38"/>
    </row>
    <row r="70" spans="1:57" s="47" customFormat="1" x14ac:dyDescent="0.25">
      <c r="A70" s="46"/>
      <c r="D70" s="38"/>
      <c r="E70" s="38"/>
      <c r="F70" s="39"/>
      <c r="G70" s="85"/>
      <c r="H70" s="123"/>
      <c r="J70" s="38"/>
      <c r="K70" s="48"/>
      <c r="M70" s="48"/>
      <c r="N70" s="70"/>
      <c r="P70" s="38"/>
      <c r="Y70" s="38"/>
      <c r="AB70" s="39"/>
      <c r="AC70" s="38"/>
      <c r="AH70" s="39"/>
      <c r="AJ70" s="139"/>
      <c r="AK70" s="139"/>
      <c r="AM70" s="38"/>
      <c r="AN70" s="163" t="str" cm="1">
        <f t="array" ref="AN70">_xlfn.IFNA(_xlfn.IFS(LEFT(M70,4)="L39N","outside",LEFT(M70,3)="L39","ukstd20"),"")</f>
        <v/>
      </c>
      <c r="AO70" s="85"/>
      <c r="AP70"/>
      <c r="AQ70" s="85"/>
      <c r="BE70" s="38"/>
    </row>
    <row r="71" spans="1:57" s="47" customFormat="1" x14ac:dyDescent="0.25">
      <c r="A71" s="46"/>
      <c r="D71" s="38"/>
      <c r="E71" s="38"/>
      <c r="F71" s="39"/>
      <c r="G71" s="85"/>
      <c r="H71" s="123"/>
      <c r="J71" s="38"/>
      <c r="K71" s="48"/>
      <c r="M71" s="48"/>
      <c r="N71" s="70"/>
      <c r="P71" s="38"/>
      <c r="Y71" s="38"/>
      <c r="AB71" s="39"/>
      <c r="AC71" s="38"/>
      <c r="AH71" s="39"/>
      <c r="AJ71" s="139"/>
      <c r="AK71" s="139"/>
      <c r="AM71" s="38"/>
      <c r="AN71" s="163" t="str" cm="1">
        <f t="array" ref="AN71">_xlfn.IFNA(_xlfn.IFS(LEFT(M71,4)="L39N","outside",LEFT(M71,3)="L39","ukstd20"),"")</f>
        <v/>
      </c>
      <c r="AO71" s="85"/>
      <c r="AP71"/>
      <c r="AQ71" s="85"/>
      <c r="BE71" s="38"/>
    </row>
    <row r="72" spans="1:57" s="47" customFormat="1" x14ac:dyDescent="0.25">
      <c r="A72" s="46"/>
      <c r="D72" s="38"/>
      <c r="E72" s="38"/>
      <c r="F72" s="39"/>
      <c r="G72" s="85"/>
      <c r="H72" s="123"/>
      <c r="J72" s="38"/>
      <c r="K72" s="48"/>
      <c r="M72" s="48"/>
      <c r="N72" s="70"/>
      <c r="P72" s="38"/>
      <c r="Y72" s="38"/>
      <c r="AB72" s="39"/>
      <c r="AC72" s="38"/>
      <c r="AH72" s="39"/>
      <c r="AJ72" s="139"/>
      <c r="AK72" s="139"/>
      <c r="AM72" s="38"/>
      <c r="AN72" s="163" t="str" cm="1">
        <f t="array" ref="AN72">_xlfn.IFNA(_xlfn.IFS(LEFT(M72,4)="L39N","outside",LEFT(M72,3)="L39","ukstd20"),"")</f>
        <v/>
      </c>
      <c r="AO72" s="85"/>
      <c r="AP72"/>
      <c r="AQ72" s="85"/>
      <c r="BE72" s="38"/>
    </row>
    <row r="73" spans="1:57" s="47" customFormat="1" x14ac:dyDescent="0.25">
      <c r="A73" s="46"/>
      <c r="D73" s="38"/>
      <c r="E73" s="38"/>
      <c r="F73" s="39"/>
      <c r="G73" s="85"/>
      <c r="H73" s="123"/>
      <c r="J73" s="38"/>
      <c r="K73" s="48"/>
      <c r="M73" s="48"/>
      <c r="N73" s="70"/>
      <c r="P73" s="38"/>
      <c r="Y73" s="38"/>
      <c r="AB73" s="39"/>
      <c r="AC73" s="38"/>
      <c r="AH73" s="39"/>
      <c r="AJ73" s="139"/>
      <c r="AK73" s="139"/>
      <c r="AM73" s="38"/>
      <c r="AN73" s="163" t="str" cm="1">
        <f t="array" ref="AN73">_xlfn.IFNA(_xlfn.IFS(LEFT(M73,4)="L39N","outside",LEFT(M73,3)="L39","ukstd20"),"")</f>
        <v/>
      </c>
      <c r="AO73" s="85"/>
      <c r="AP73"/>
      <c r="AQ73" s="85"/>
      <c r="BE73" s="38"/>
    </row>
    <row r="74" spans="1:57" s="47" customFormat="1" x14ac:dyDescent="0.25">
      <c r="A74" s="46"/>
      <c r="D74" s="38"/>
      <c r="E74" s="38"/>
      <c r="F74" s="39"/>
      <c r="G74" s="85"/>
      <c r="H74" s="123"/>
      <c r="J74" s="38"/>
      <c r="K74" s="48"/>
      <c r="M74" s="48"/>
      <c r="N74" s="70"/>
      <c r="P74" s="38"/>
      <c r="Y74" s="38"/>
      <c r="AB74" s="39"/>
      <c r="AC74" s="38"/>
      <c r="AH74" s="39"/>
      <c r="AJ74" s="139"/>
      <c r="AK74" s="139"/>
      <c r="AM74" s="38"/>
      <c r="AN74" s="163" t="str" cm="1">
        <f t="array" ref="AN74">_xlfn.IFNA(_xlfn.IFS(LEFT(M74,4)="L39N","outside",LEFT(M74,3)="L39","ukstd20"),"")</f>
        <v/>
      </c>
      <c r="AO74" s="85"/>
      <c r="AP74"/>
      <c r="AQ74" s="85"/>
      <c r="BE74" s="38"/>
    </row>
    <row r="75" spans="1:57" s="47" customFormat="1" x14ac:dyDescent="0.25">
      <c r="A75" s="46"/>
      <c r="D75" s="38"/>
      <c r="E75" s="38"/>
      <c r="F75" s="39"/>
      <c r="G75" s="85"/>
      <c r="H75" s="123"/>
      <c r="J75" s="38"/>
      <c r="K75" s="48"/>
      <c r="M75" s="48"/>
      <c r="N75" s="70"/>
      <c r="P75" s="38"/>
      <c r="Y75" s="38"/>
      <c r="AB75" s="39"/>
      <c r="AC75" s="38"/>
      <c r="AH75" s="39"/>
      <c r="AJ75" s="139"/>
      <c r="AK75" s="139"/>
      <c r="AM75" s="38"/>
      <c r="AN75" s="163" t="str" cm="1">
        <f t="array" ref="AN75">_xlfn.IFNA(_xlfn.IFS(LEFT(M75,4)="L39N","outside",LEFT(M75,3)="L39","ukstd20"),"")</f>
        <v/>
      </c>
      <c r="AO75" s="85"/>
      <c r="AP75"/>
      <c r="AQ75" s="85"/>
      <c r="BE75" s="38"/>
    </row>
    <row r="76" spans="1:57" s="47" customFormat="1" x14ac:dyDescent="0.25">
      <c r="A76" s="46"/>
      <c r="D76" s="38"/>
      <c r="E76" s="38"/>
      <c r="F76" s="39"/>
      <c r="G76" s="85"/>
      <c r="H76" s="123"/>
      <c r="J76" s="38"/>
      <c r="K76" s="48"/>
      <c r="M76" s="48"/>
      <c r="N76" s="70"/>
      <c r="P76" s="38"/>
      <c r="Y76" s="38"/>
      <c r="AB76" s="39"/>
      <c r="AC76" s="38"/>
      <c r="AH76" s="39"/>
      <c r="AJ76" s="139"/>
      <c r="AK76" s="139"/>
      <c r="AM76" s="38"/>
      <c r="AN76" s="163" t="str" cm="1">
        <f t="array" ref="AN76">_xlfn.IFNA(_xlfn.IFS(LEFT(M76,4)="L39N","outside",LEFT(M76,3)="L39","ukstd20"),"")</f>
        <v/>
      </c>
      <c r="AO76" s="85"/>
      <c r="AP76"/>
      <c r="AQ76" s="85"/>
      <c r="BE76" s="38"/>
    </row>
    <row r="77" spans="1:57" s="47" customFormat="1" x14ac:dyDescent="0.25">
      <c r="A77" s="46"/>
      <c r="D77" s="38"/>
      <c r="E77" s="38"/>
      <c r="F77" s="39"/>
      <c r="G77" s="85"/>
      <c r="H77" s="123"/>
      <c r="J77" s="38"/>
      <c r="K77" s="48"/>
      <c r="M77" s="48"/>
      <c r="N77" s="70"/>
      <c r="P77" s="38"/>
      <c r="Y77" s="38"/>
      <c r="AB77" s="39"/>
      <c r="AC77" s="38"/>
      <c r="AH77" s="39"/>
      <c r="AJ77" s="139"/>
      <c r="AK77" s="139"/>
      <c r="AM77" s="38"/>
      <c r="AN77" s="163" t="str" cm="1">
        <f t="array" ref="AN77">_xlfn.IFNA(_xlfn.IFS(LEFT(M77,4)="L39N","outside",LEFT(M77,3)="L39","ukstd20"),"")</f>
        <v/>
      </c>
      <c r="AO77" s="85"/>
      <c r="AP77"/>
      <c r="AQ77" s="85"/>
      <c r="BE77" s="38"/>
    </row>
    <row r="78" spans="1:57" s="47" customFormat="1" x14ac:dyDescent="0.25">
      <c r="A78" s="46"/>
      <c r="D78" s="38"/>
      <c r="E78" s="38"/>
      <c r="F78" s="39"/>
      <c r="G78" s="85"/>
      <c r="H78" s="123"/>
      <c r="J78" s="38"/>
      <c r="K78" s="48"/>
      <c r="M78" s="48"/>
      <c r="N78" s="70"/>
      <c r="P78" s="38"/>
      <c r="Y78" s="38"/>
      <c r="AB78" s="39"/>
      <c r="AC78" s="38"/>
      <c r="AH78" s="39"/>
      <c r="AJ78" s="139"/>
      <c r="AK78" s="139"/>
      <c r="AM78" s="38"/>
      <c r="AN78" s="163" t="str" cm="1">
        <f t="array" ref="AN78">_xlfn.IFNA(_xlfn.IFS(LEFT(M78,4)="L39N","outside",LEFT(M78,3)="L39","ukstd20"),"")</f>
        <v/>
      </c>
      <c r="AO78" s="85"/>
      <c r="AP78"/>
      <c r="AQ78" s="85"/>
      <c r="BE78" s="38"/>
    </row>
    <row r="79" spans="1:57" s="47" customFormat="1" x14ac:dyDescent="0.25">
      <c r="A79" s="46"/>
      <c r="D79" s="38"/>
      <c r="E79" s="38"/>
      <c r="F79" s="39"/>
      <c r="G79" s="85"/>
      <c r="H79" s="123"/>
      <c r="J79" s="38"/>
      <c r="K79" s="48"/>
      <c r="M79" s="48"/>
      <c r="N79" s="70"/>
      <c r="P79" s="38"/>
      <c r="Y79" s="38"/>
      <c r="AB79" s="39"/>
      <c r="AC79" s="38"/>
      <c r="AH79" s="39"/>
      <c r="AJ79" s="139"/>
      <c r="AK79" s="139"/>
      <c r="AM79" s="38"/>
      <c r="AN79" s="163" t="str" cm="1">
        <f t="array" ref="AN79">_xlfn.IFNA(_xlfn.IFS(LEFT(M79,4)="L39N","outside",LEFT(M79,3)="L39","ukstd20"),"")</f>
        <v/>
      </c>
      <c r="AO79" s="85"/>
      <c r="AP79"/>
      <c r="AQ79" s="85"/>
      <c r="BE79" s="38"/>
    </row>
    <row r="80" spans="1:57" s="47" customFormat="1" x14ac:dyDescent="0.25">
      <c r="A80" s="46"/>
      <c r="D80" s="38"/>
      <c r="E80" s="38"/>
      <c r="F80" s="39"/>
      <c r="G80" s="85"/>
      <c r="H80" s="123"/>
      <c r="J80" s="38"/>
      <c r="K80" s="48"/>
      <c r="M80" s="48"/>
      <c r="N80" s="70"/>
      <c r="P80" s="38"/>
      <c r="Y80" s="38"/>
      <c r="AB80" s="39"/>
      <c r="AC80" s="38"/>
      <c r="AH80" s="39"/>
      <c r="AJ80" s="139"/>
      <c r="AK80" s="139"/>
      <c r="AM80" s="38"/>
      <c r="AN80" s="163" t="str" cm="1">
        <f t="array" ref="AN80">_xlfn.IFNA(_xlfn.IFS(LEFT(M80,4)="L39N","outside",LEFT(M80,3)="L39","ukstd20"),"")</f>
        <v/>
      </c>
      <c r="AO80" s="85"/>
      <c r="AP80"/>
      <c r="AQ80" s="85"/>
      <c r="BE80" s="38"/>
    </row>
    <row r="81" spans="1:57" s="47" customFormat="1" x14ac:dyDescent="0.25">
      <c r="A81" s="46"/>
      <c r="D81" s="38"/>
      <c r="E81" s="38"/>
      <c r="F81" s="39"/>
      <c r="G81" s="85"/>
      <c r="H81" s="123"/>
      <c r="J81" s="38"/>
      <c r="K81" s="48"/>
      <c r="M81" s="48"/>
      <c r="N81" s="70"/>
      <c r="P81" s="38"/>
      <c r="Y81" s="38"/>
      <c r="AB81" s="39"/>
      <c r="AC81" s="38"/>
      <c r="AH81" s="39"/>
      <c r="AJ81" s="139"/>
      <c r="AK81" s="139"/>
      <c r="AM81" s="38"/>
      <c r="AN81" s="163" t="str" cm="1">
        <f t="array" ref="AN81">_xlfn.IFNA(_xlfn.IFS(LEFT(M81,4)="L39N","outside",LEFT(M81,3)="L39","ukstd20"),"")</f>
        <v/>
      </c>
      <c r="AO81" s="85"/>
      <c r="AP81"/>
      <c r="AQ81" s="85"/>
      <c r="BE81" s="38"/>
    </row>
    <row r="82" spans="1:57" s="47" customFormat="1" x14ac:dyDescent="0.25">
      <c r="A82" s="46"/>
      <c r="D82" s="38"/>
      <c r="E82" s="38"/>
      <c r="F82" s="39"/>
      <c r="G82" s="85"/>
      <c r="H82" s="123"/>
      <c r="J82" s="38"/>
      <c r="K82" s="48"/>
      <c r="M82" s="48"/>
      <c r="N82" s="70"/>
      <c r="P82" s="38"/>
      <c r="Y82" s="38"/>
      <c r="AB82" s="39"/>
      <c r="AC82" s="38"/>
      <c r="AH82" s="39"/>
      <c r="AJ82" s="139"/>
      <c r="AK82" s="139"/>
      <c r="AM82" s="38"/>
      <c r="AN82" s="163" t="str" cm="1">
        <f t="array" ref="AN82">_xlfn.IFNA(_xlfn.IFS(LEFT(M82,4)="L39N","outside",LEFT(M82,3)="L39","ukstd20"),"")</f>
        <v/>
      </c>
      <c r="AO82" s="85"/>
      <c r="AP82"/>
      <c r="AQ82" s="85"/>
      <c r="BE82" s="38"/>
    </row>
    <row r="83" spans="1:57" s="47" customFormat="1" x14ac:dyDescent="0.25">
      <c r="A83" s="46"/>
      <c r="D83" s="38"/>
      <c r="E83" s="38"/>
      <c r="F83" s="39"/>
      <c r="G83" s="85"/>
      <c r="H83" s="123"/>
      <c r="J83" s="38"/>
      <c r="K83" s="48"/>
      <c r="M83" s="48"/>
      <c r="N83" s="70"/>
      <c r="P83" s="38"/>
      <c r="Y83" s="38"/>
      <c r="AB83" s="39"/>
      <c r="AC83" s="38"/>
      <c r="AH83" s="39"/>
      <c r="AJ83" s="139"/>
      <c r="AK83" s="139"/>
      <c r="AM83" s="38"/>
      <c r="AN83" s="163" t="str" cm="1">
        <f t="array" ref="AN83">_xlfn.IFNA(_xlfn.IFS(LEFT(M83,4)="L39N","outside",LEFT(M83,3)="L39","ukstd20"),"")</f>
        <v/>
      </c>
      <c r="AO83" s="85"/>
      <c r="AP83"/>
      <c r="AQ83" s="85"/>
      <c r="BE83" s="38"/>
    </row>
    <row r="84" spans="1:57" s="47" customFormat="1" x14ac:dyDescent="0.25">
      <c r="A84" s="46"/>
      <c r="D84" s="38"/>
      <c r="E84" s="38"/>
      <c r="F84" s="39"/>
      <c r="G84" s="85"/>
      <c r="H84" s="123"/>
      <c r="J84" s="38"/>
      <c r="K84" s="48"/>
      <c r="M84" s="48"/>
      <c r="N84" s="70"/>
      <c r="P84" s="38"/>
      <c r="Y84" s="38"/>
      <c r="AB84" s="39"/>
      <c r="AC84" s="38"/>
      <c r="AH84" s="39"/>
      <c r="AJ84" s="139"/>
      <c r="AK84" s="139"/>
      <c r="AM84" s="38"/>
      <c r="AN84" s="163" t="str" cm="1">
        <f t="array" ref="AN84">_xlfn.IFNA(_xlfn.IFS(LEFT(M84,4)="L39N","outside",LEFT(M84,3)="L39","ukstd20"),"")</f>
        <v/>
      </c>
      <c r="AO84" s="85"/>
      <c r="AP84"/>
      <c r="AQ84" s="85"/>
      <c r="BE84" s="38"/>
    </row>
    <row r="85" spans="1:57" s="47" customFormat="1" x14ac:dyDescent="0.25">
      <c r="A85" s="46"/>
      <c r="D85" s="38"/>
      <c r="E85" s="38"/>
      <c r="F85" s="39"/>
      <c r="G85" s="85"/>
      <c r="H85" s="123"/>
      <c r="J85" s="38"/>
      <c r="K85" s="48"/>
      <c r="M85" s="48"/>
      <c r="N85" s="70"/>
      <c r="P85" s="38"/>
      <c r="Y85" s="38"/>
      <c r="AB85" s="39"/>
      <c r="AC85" s="38"/>
      <c r="AH85" s="39"/>
      <c r="AJ85" s="139"/>
      <c r="AK85" s="139"/>
      <c r="AM85" s="38"/>
      <c r="AN85" s="163" t="str" cm="1">
        <f t="array" ref="AN85">_xlfn.IFNA(_xlfn.IFS(LEFT(M85,4)="L39N","outside",LEFT(M85,3)="L39","ukstd20"),"")</f>
        <v/>
      </c>
      <c r="AO85" s="85"/>
      <c r="AP85"/>
      <c r="AQ85" s="85"/>
      <c r="BE85" s="38"/>
    </row>
    <row r="86" spans="1:57" s="47" customFormat="1" x14ac:dyDescent="0.25">
      <c r="A86" s="46"/>
      <c r="D86" s="38"/>
      <c r="E86" s="38"/>
      <c r="F86" s="39"/>
      <c r="G86" s="85"/>
      <c r="H86" s="123"/>
      <c r="J86" s="38"/>
      <c r="K86" s="48"/>
      <c r="M86" s="48"/>
      <c r="N86" s="70"/>
      <c r="P86" s="38"/>
      <c r="Y86" s="38"/>
      <c r="AB86" s="39"/>
      <c r="AC86" s="38"/>
      <c r="AH86" s="39"/>
      <c r="AJ86" s="139"/>
      <c r="AK86" s="139"/>
      <c r="AM86" s="38"/>
      <c r="AN86" s="163" t="str" cm="1">
        <f t="array" ref="AN86">_xlfn.IFNA(_xlfn.IFS(LEFT(M86,4)="L39N","outside",LEFT(M86,3)="L39","ukstd20"),"")</f>
        <v/>
      </c>
      <c r="AO86" s="85"/>
      <c r="AP86"/>
      <c r="AQ86" s="85"/>
      <c r="BE86" s="38"/>
    </row>
    <row r="87" spans="1:57" s="47" customFormat="1" x14ac:dyDescent="0.25">
      <c r="A87" s="46"/>
      <c r="D87" s="38"/>
      <c r="E87" s="38"/>
      <c r="F87" s="39"/>
      <c r="G87" s="85"/>
      <c r="H87" s="123"/>
      <c r="J87" s="38"/>
      <c r="K87" s="48"/>
      <c r="M87" s="48"/>
      <c r="N87" s="70"/>
      <c r="P87" s="38"/>
      <c r="Y87" s="38"/>
      <c r="AB87" s="39"/>
      <c r="AC87" s="38"/>
      <c r="AH87" s="39"/>
      <c r="AJ87" s="139"/>
      <c r="AK87" s="139"/>
      <c r="AM87" s="38"/>
      <c r="AN87" s="163" t="str" cm="1">
        <f t="array" ref="AN87">_xlfn.IFNA(_xlfn.IFS(LEFT(M87,4)="L39N","outside",LEFT(M87,3)="L39","ukstd20"),"")</f>
        <v/>
      </c>
      <c r="AO87" s="85"/>
      <c r="AP87"/>
      <c r="AQ87" s="85"/>
      <c r="BE87" s="38"/>
    </row>
    <row r="88" spans="1:57" s="47" customFormat="1" x14ac:dyDescent="0.25">
      <c r="A88" s="46"/>
      <c r="D88" s="38"/>
      <c r="E88" s="38"/>
      <c r="F88" s="39"/>
      <c r="G88" s="85"/>
      <c r="H88" s="123"/>
      <c r="J88" s="38"/>
      <c r="K88" s="48"/>
      <c r="M88" s="48"/>
      <c r="N88" s="70"/>
      <c r="P88" s="38"/>
      <c r="Y88" s="38"/>
      <c r="AB88" s="39"/>
      <c r="AC88" s="38"/>
      <c r="AH88" s="39"/>
      <c r="AJ88" s="139"/>
      <c r="AK88" s="139"/>
      <c r="AM88" s="38"/>
      <c r="AN88" s="163" t="str" cm="1">
        <f t="array" ref="AN88">_xlfn.IFNA(_xlfn.IFS(LEFT(M88,4)="L39N","outside",LEFT(M88,3)="L39","ukstd20"),"")</f>
        <v/>
      </c>
      <c r="AO88" s="85"/>
      <c r="AP88"/>
      <c r="AQ88" s="85"/>
      <c r="BE88" s="38"/>
    </row>
    <row r="89" spans="1:57" s="47" customFormat="1" x14ac:dyDescent="0.25">
      <c r="A89" s="46"/>
      <c r="D89" s="38"/>
      <c r="E89" s="38"/>
      <c r="F89" s="39"/>
      <c r="G89" s="85"/>
      <c r="H89" s="123"/>
      <c r="J89" s="38"/>
      <c r="K89" s="48"/>
      <c r="M89" s="48"/>
      <c r="N89" s="70"/>
      <c r="P89" s="38"/>
      <c r="Y89" s="38"/>
      <c r="AB89" s="39"/>
      <c r="AC89" s="38"/>
      <c r="AH89" s="39"/>
      <c r="AJ89" s="139"/>
      <c r="AK89" s="139"/>
      <c r="AM89" s="38"/>
      <c r="AN89" s="163" t="str" cm="1">
        <f t="array" ref="AN89">_xlfn.IFNA(_xlfn.IFS(LEFT(M89,4)="L39N","outside",LEFT(M89,3)="L39","ukstd20"),"")</f>
        <v/>
      </c>
      <c r="AO89" s="85"/>
      <c r="AP89"/>
      <c r="AQ89" s="85"/>
      <c r="BE89" s="38"/>
    </row>
    <row r="90" spans="1:57" s="47" customFormat="1" x14ac:dyDescent="0.25">
      <c r="A90" s="46"/>
      <c r="D90" s="38"/>
      <c r="E90" s="38"/>
      <c r="F90" s="39"/>
      <c r="G90" s="85"/>
      <c r="H90" s="123"/>
      <c r="J90" s="38"/>
      <c r="K90" s="48"/>
      <c r="M90" s="48"/>
      <c r="N90" s="70"/>
      <c r="P90" s="38"/>
      <c r="Y90" s="38"/>
      <c r="AB90" s="39"/>
      <c r="AC90" s="38"/>
      <c r="AH90" s="39"/>
      <c r="AJ90" s="139"/>
      <c r="AK90" s="139"/>
      <c r="AM90" s="38"/>
      <c r="AN90" s="163" t="str" cm="1">
        <f t="array" ref="AN90">_xlfn.IFNA(_xlfn.IFS(LEFT(M90,4)="L39N","outside",LEFT(M90,3)="L39","ukstd20"),"")</f>
        <v/>
      </c>
      <c r="AO90" s="85"/>
      <c r="AP90"/>
      <c r="AQ90" s="85"/>
      <c r="BE90" s="38"/>
    </row>
    <row r="91" spans="1:57" s="47" customFormat="1" x14ac:dyDescent="0.25">
      <c r="A91" s="46"/>
      <c r="D91" s="38"/>
      <c r="E91" s="38"/>
      <c r="F91" s="39"/>
      <c r="G91" s="85"/>
      <c r="H91" s="123"/>
      <c r="J91" s="38"/>
      <c r="K91" s="48"/>
      <c r="M91" s="48"/>
      <c r="N91" s="70"/>
      <c r="P91" s="38"/>
      <c r="Y91" s="38"/>
      <c r="AB91" s="39"/>
      <c r="AC91" s="38"/>
      <c r="AH91" s="39"/>
      <c r="AJ91" s="139"/>
      <c r="AK91" s="139"/>
      <c r="AM91" s="38"/>
      <c r="AN91" s="163" t="str" cm="1">
        <f t="array" ref="AN91">_xlfn.IFNA(_xlfn.IFS(LEFT(M91,4)="L39N","outside",LEFT(M91,3)="L39","ukstd20"),"")</f>
        <v/>
      </c>
      <c r="AO91" s="85"/>
      <c r="AP91"/>
      <c r="AQ91" s="85"/>
      <c r="BE91" s="38"/>
    </row>
    <row r="92" spans="1:57" s="47" customFormat="1" x14ac:dyDescent="0.25">
      <c r="A92" s="46"/>
      <c r="D92" s="38"/>
      <c r="E92" s="38"/>
      <c r="F92" s="39"/>
      <c r="G92" s="85"/>
      <c r="H92" s="123"/>
      <c r="J92" s="38"/>
      <c r="K92" s="48"/>
      <c r="M92" s="48"/>
      <c r="N92" s="70"/>
      <c r="P92" s="38"/>
      <c r="Y92" s="38"/>
      <c r="AB92" s="39"/>
      <c r="AC92" s="38"/>
      <c r="AH92" s="39"/>
      <c r="AJ92" s="139"/>
      <c r="AK92" s="139"/>
      <c r="AM92" s="38"/>
      <c r="AN92" s="163" t="str" cm="1">
        <f t="array" ref="AN92">_xlfn.IFNA(_xlfn.IFS(LEFT(M92,4)="L39N","outside",LEFT(M92,3)="L39","ukstd20"),"")</f>
        <v/>
      </c>
      <c r="AO92" s="85"/>
      <c r="AP92"/>
      <c r="AQ92" s="85"/>
      <c r="BE92" s="38"/>
    </row>
    <row r="93" spans="1:57" s="47" customFormat="1" x14ac:dyDescent="0.25">
      <c r="A93" s="46"/>
      <c r="D93" s="38"/>
      <c r="E93" s="38"/>
      <c r="F93" s="39"/>
      <c r="G93" s="85"/>
      <c r="H93" s="123"/>
      <c r="J93" s="38"/>
      <c r="K93" s="48"/>
      <c r="M93" s="48"/>
      <c r="N93" s="70"/>
      <c r="P93" s="38"/>
      <c r="Y93" s="38"/>
      <c r="AB93" s="39"/>
      <c r="AC93" s="38"/>
      <c r="AH93" s="39"/>
      <c r="AJ93" s="139"/>
      <c r="AK93" s="139"/>
      <c r="AM93" s="38"/>
      <c r="AN93" s="163" t="str" cm="1">
        <f t="array" ref="AN93">_xlfn.IFNA(_xlfn.IFS(LEFT(M93,4)="L39N","outside",LEFT(M93,3)="L39","ukstd20"),"")</f>
        <v/>
      </c>
      <c r="AO93" s="85"/>
      <c r="AP93"/>
      <c r="AQ93" s="85"/>
      <c r="BE93" s="38"/>
    </row>
    <row r="94" spans="1:57" s="47" customFormat="1" x14ac:dyDescent="0.25">
      <c r="A94" s="46"/>
      <c r="D94" s="38"/>
      <c r="E94" s="38"/>
      <c r="F94" s="39"/>
      <c r="G94" s="85"/>
      <c r="H94" s="123"/>
      <c r="J94" s="38"/>
      <c r="K94" s="48"/>
      <c r="M94" s="48"/>
      <c r="N94" s="70"/>
      <c r="P94" s="38"/>
      <c r="Y94" s="38"/>
      <c r="AB94" s="39"/>
      <c r="AC94" s="38"/>
      <c r="AH94" s="39"/>
      <c r="AJ94" s="139"/>
      <c r="AK94" s="139"/>
      <c r="AM94" s="38"/>
      <c r="AN94" s="163" t="str" cm="1">
        <f t="array" ref="AN94">_xlfn.IFNA(_xlfn.IFS(LEFT(M94,4)="L39N","outside",LEFT(M94,3)="L39","ukstd20"),"")</f>
        <v/>
      </c>
      <c r="AO94" s="85"/>
      <c r="AP94"/>
      <c r="AQ94" s="85"/>
      <c r="BE94" s="38"/>
    </row>
    <row r="95" spans="1:57" s="47" customFormat="1" x14ac:dyDescent="0.25">
      <c r="A95" s="46"/>
      <c r="D95" s="38"/>
      <c r="E95" s="38"/>
      <c r="F95" s="39"/>
      <c r="G95" s="85"/>
      <c r="H95" s="123"/>
      <c r="J95" s="38"/>
      <c r="K95" s="48"/>
      <c r="M95" s="48"/>
      <c r="N95" s="70"/>
      <c r="P95" s="38"/>
      <c r="Y95" s="38"/>
      <c r="AB95" s="39"/>
      <c r="AC95" s="38"/>
      <c r="AH95" s="39"/>
      <c r="AJ95" s="139"/>
      <c r="AK95" s="139"/>
      <c r="AM95" s="38"/>
      <c r="AN95" s="163" t="str" cm="1">
        <f t="array" ref="AN95">_xlfn.IFNA(_xlfn.IFS(LEFT(M95,4)="L39N","outside",LEFT(M95,3)="L39","ukstd20"),"")</f>
        <v/>
      </c>
      <c r="AO95" s="85"/>
      <c r="AP95"/>
      <c r="AQ95" s="85"/>
      <c r="BE95" s="38"/>
    </row>
    <row r="96" spans="1:57" s="47" customFormat="1" x14ac:dyDescent="0.25">
      <c r="A96" s="46"/>
      <c r="D96" s="38"/>
      <c r="E96" s="38"/>
      <c r="F96" s="39"/>
      <c r="G96" s="85"/>
      <c r="H96" s="123"/>
      <c r="J96" s="38"/>
      <c r="K96" s="48"/>
      <c r="M96" s="48"/>
      <c r="N96" s="70"/>
      <c r="P96" s="38"/>
      <c r="Y96" s="38"/>
      <c r="AB96" s="39"/>
      <c r="AC96" s="38"/>
      <c r="AH96" s="39"/>
      <c r="AJ96" s="139"/>
      <c r="AK96" s="139"/>
      <c r="AM96" s="38"/>
      <c r="AN96" s="163" t="str" cm="1">
        <f t="array" ref="AN96">_xlfn.IFNA(_xlfn.IFS(LEFT(M96,4)="L39N","outside",LEFT(M96,3)="L39","ukstd20"),"")</f>
        <v/>
      </c>
      <c r="AO96" s="85"/>
      <c r="AP96"/>
      <c r="AQ96" s="85"/>
      <c r="BE96" s="38"/>
    </row>
    <row r="97" spans="1:57" s="47" customFormat="1" x14ac:dyDescent="0.25">
      <c r="A97" s="46"/>
      <c r="D97" s="38"/>
      <c r="E97" s="38"/>
      <c r="F97" s="39"/>
      <c r="G97" s="85"/>
      <c r="H97" s="123"/>
      <c r="J97" s="38"/>
      <c r="K97" s="48"/>
      <c r="M97" s="48"/>
      <c r="N97" s="70"/>
      <c r="P97" s="38"/>
      <c r="Y97" s="38"/>
      <c r="AB97" s="39"/>
      <c r="AC97" s="38"/>
      <c r="AH97" s="39"/>
      <c r="AJ97" s="139"/>
      <c r="AK97" s="139"/>
      <c r="AM97" s="38"/>
      <c r="AN97" s="163" t="str" cm="1">
        <f t="array" ref="AN97">_xlfn.IFNA(_xlfn.IFS(LEFT(M97,4)="L39N","outside",LEFT(M97,3)="L39","ukstd20"),"")</f>
        <v/>
      </c>
      <c r="AO97" s="85"/>
      <c r="AP97"/>
      <c r="AQ97" s="85"/>
      <c r="BE97" s="38"/>
    </row>
    <row r="98" spans="1:57" s="47" customFormat="1" x14ac:dyDescent="0.25">
      <c r="A98" s="46"/>
      <c r="D98" s="38"/>
      <c r="E98" s="38"/>
      <c r="F98" s="39"/>
      <c r="G98" s="85"/>
      <c r="H98" s="123"/>
      <c r="J98" s="38"/>
      <c r="K98" s="48"/>
      <c r="M98" s="48"/>
      <c r="N98" s="70"/>
      <c r="P98" s="38"/>
      <c r="Y98" s="38"/>
      <c r="AB98" s="39"/>
      <c r="AC98" s="38"/>
      <c r="AH98" s="39"/>
      <c r="AJ98" s="139"/>
      <c r="AK98" s="139"/>
      <c r="AM98" s="38"/>
      <c r="AN98" s="163" t="str" cm="1">
        <f t="array" ref="AN98">_xlfn.IFNA(_xlfn.IFS(LEFT(M98,4)="L39N","outside",LEFT(M98,3)="L39","ukstd20"),"")</f>
        <v/>
      </c>
      <c r="AO98" s="85"/>
      <c r="AP98"/>
      <c r="AQ98" s="85"/>
      <c r="BE98" s="38"/>
    </row>
    <row r="99" spans="1:57" s="47" customFormat="1" x14ac:dyDescent="0.25">
      <c r="A99" s="46"/>
      <c r="D99" s="38"/>
      <c r="E99" s="38"/>
      <c r="F99" s="39"/>
      <c r="G99" s="85"/>
      <c r="H99" s="123"/>
      <c r="J99" s="38"/>
      <c r="K99" s="48"/>
      <c r="M99" s="48"/>
      <c r="N99" s="70"/>
      <c r="P99" s="38"/>
      <c r="Y99" s="38"/>
      <c r="AB99" s="39"/>
      <c r="AC99" s="38"/>
      <c r="AH99" s="39"/>
      <c r="AJ99" s="139"/>
      <c r="AK99" s="139"/>
      <c r="AM99" s="38"/>
      <c r="AN99" s="163" t="str" cm="1">
        <f t="array" ref="AN99">_xlfn.IFNA(_xlfn.IFS(LEFT(M99,4)="L39N","outside",LEFT(M99,3)="L39","ukstd20"),"")</f>
        <v/>
      </c>
      <c r="AO99" s="85"/>
      <c r="AP99"/>
      <c r="AQ99" s="85"/>
      <c r="BE99" s="38"/>
    </row>
    <row r="100" spans="1:57" s="47" customFormat="1" x14ac:dyDescent="0.25">
      <c r="A100" s="46"/>
      <c r="D100" s="38"/>
      <c r="E100" s="38"/>
      <c r="F100" s="39"/>
      <c r="G100" s="85"/>
      <c r="H100" s="123"/>
      <c r="J100" s="38"/>
      <c r="K100" s="48"/>
      <c r="M100" s="48"/>
      <c r="N100" s="70"/>
      <c r="P100" s="38"/>
      <c r="Y100" s="38"/>
      <c r="AB100" s="39"/>
      <c r="AC100" s="38"/>
      <c r="AH100" s="39"/>
      <c r="AJ100" s="139"/>
      <c r="AK100" s="139"/>
      <c r="AM100" s="38"/>
      <c r="AN100" s="163" t="str" cm="1">
        <f t="array" ref="AN100">_xlfn.IFNA(_xlfn.IFS(LEFT(M100,4)="L39N","outside",LEFT(M100,3)="L39","ukstd20"),"")</f>
        <v/>
      </c>
      <c r="AO100" s="85"/>
      <c r="AP100"/>
      <c r="AQ100" s="85"/>
      <c r="BE100" s="38"/>
    </row>
    <row r="101" spans="1:57" s="47" customFormat="1" x14ac:dyDescent="0.25">
      <c r="A101" s="46"/>
      <c r="D101" s="38"/>
      <c r="E101" s="38"/>
      <c r="F101" s="39"/>
      <c r="G101" s="85"/>
      <c r="H101" s="123"/>
      <c r="J101" s="38"/>
      <c r="K101" s="48"/>
      <c r="M101" s="48"/>
      <c r="N101" s="70"/>
      <c r="P101" s="38"/>
      <c r="Y101" s="38"/>
      <c r="AB101" s="39"/>
      <c r="AC101" s="38"/>
      <c r="AH101" s="39"/>
      <c r="AJ101" s="139"/>
      <c r="AK101" s="139"/>
      <c r="AM101" s="38"/>
      <c r="AN101" s="163" t="str" cm="1">
        <f t="array" ref="AN101">_xlfn.IFNA(_xlfn.IFS(LEFT(M101,4)="L39N","outside",LEFT(M101,3)="L39","ukstd20"),"")</f>
        <v/>
      </c>
      <c r="AO101" s="85"/>
      <c r="AP101"/>
      <c r="AQ101" s="85"/>
      <c r="BE101" s="38"/>
    </row>
    <row r="102" spans="1:57" s="47" customFormat="1" x14ac:dyDescent="0.25">
      <c r="A102" s="46"/>
      <c r="D102" s="38"/>
      <c r="E102" s="38"/>
      <c r="F102" s="39"/>
      <c r="G102" s="85"/>
      <c r="H102" s="123"/>
      <c r="J102" s="38"/>
      <c r="K102" s="48"/>
      <c r="M102" s="48"/>
      <c r="N102" s="70"/>
      <c r="P102" s="38"/>
      <c r="Y102" s="38"/>
      <c r="AB102" s="39"/>
      <c r="AC102" s="38"/>
      <c r="AH102" s="39"/>
      <c r="AJ102" s="139"/>
      <c r="AK102" s="139"/>
      <c r="AM102" s="38"/>
      <c r="AN102" s="163" t="str" cm="1">
        <f t="array" ref="AN102">_xlfn.IFNA(_xlfn.IFS(LEFT(M102,4)="L39N","outside",LEFT(M102,3)="L39","ukstd20"),"")</f>
        <v/>
      </c>
      <c r="AO102" s="85"/>
      <c r="AP102"/>
      <c r="AQ102" s="85"/>
      <c r="BE102" s="38"/>
    </row>
    <row r="103" spans="1:57" s="47" customFormat="1" x14ac:dyDescent="0.25">
      <c r="A103" s="46"/>
      <c r="D103" s="38"/>
      <c r="E103" s="38"/>
      <c r="F103" s="39"/>
      <c r="G103" s="85"/>
      <c r="H103" s="123"/>
      <c r="J103" s="38"/>
      <c r="K103" s="48"/>
      <c r="M103" s="48"/>
      <c r="N103" s="70"/>
      <c r="P103" s="38"/>
      <c r="Y103" s="38"/>
      <c r="AB103" s="39"/>
      <c r="AC103" s="38"/>
      <c r="AH103" s="39"/>
      <c r="AJ103" s="139"/>
      <c r="AK103" s="139"/>
      <c r="AM103" s="38"/>
      <c r="AN103" s="163" t="str" cm="1">
        <f t="array" ref="AN103">_xlfn.IFNA(_xlfn.IFS(LEFT(M103,4)="L39N","outside",LEFT(M103,3)="L39","ukstd20"),"")</f>
        <v/>
      </c>
      <c r="AO103" s="85"/>
      <c r="AP103"/>
      <c r="AQ103" s="85"/>
      <c r="BE103" s="38"/>
    </row>
    <row r="104" spans="1:57" s="47" customFormat="1" x14ac:dyDescent="0.25">
      <c r="A104" s="46"/>
      <c r="D104" s="38"/>
      <c r="E104" s="38"/>
      <c r="F104" s="39"/>
      <c r="G104" s="85"/>
      <c r="H104" s="123"/>
      <c r="J104" s="38"/>
      <c r="K104" s="48"/>
      <c r="M104" s="48"/>
      <c r="N104" s="70"/>
      <c r="P104" s="38"/>
      <c r="Y104" s="38"/>
      <c r="AB104" s="39"/>
      <c r="AC104" s="38"/>
      <c r="AH104" s="39"/>
      <c r="AJ104" s="139"/>
      <c r="AK104" s="139"/>
      <c r="AM104" s="38"/>
      <c r="AN104" s="163" t="str" cm="1">
        <f t="array" ref="AN104">_xlfn.IFNA(_xlfn.IFS(LEFT(M104,4)="L39N","outside",LEFT(M104,3)="L39","ukstd20"),"")</f>
        <v/>
      </c>
      <c r="AO104" s="85"/>
      <c r="AP104"/>
      <c r="AQ104" s="85"/>
      <c r="BE104" s="38"/>
    </row>
    <row r="105" spans="1:57" s="47" customFormat="1" x14ac:dyDescent="0.25">
      <c r="A105" s="46"/>
      <c r="D105" s="38"/>
      <c r="E105" s="38"/>
      <c r="F105" s="39"/>
      <c r="G105" s="85"/>
      <c r="H105" s="123"/>
      <c r="J105" s="38"/>
      <c r="K105" s="48"/>
      <c r="M105" s="48"/>
      <c r="N105" s="70"/>
      <c r="P105" s="38"/>
      <c r="Y105" s="38"/>
      <c r="AB105" s="39"/>
      <c r="AC105" s="38"/>
      <c r="AH105" s="39"/>
      <c r="AJ105" s="139"/>
      <c r="AK105" s="139"/>
      <c r="AM105" s="38"/>
      <c r="AN105" s="163" t="str" cm="1">
        <f t="array" ref="AN105">_xlfn.IFNA(_xlfn.IFS(LEFT(M105,4)="L39N","outside",LEFT(M105,3)="L39","ukstd20"),"")</f>
        <v/>
      </c>
      <c r="AO105" s="85"/>
      <c r="AP105"/>
      <c r="AQ105" s="85"/>
      <c r="BE105" s="38"/>
    </row>
    <row r="106" spans="1:57" s="47" customFormat="1" x14ac:dyDescent="0.25">
      <c r="A106" s="46"/>
      <c r="D106" s="38"/>
      <c r="E106" s="38"/>
      <c r="F106" s="39"/>
      <c r="G106" s="85"/>
      <c r="H106" s="123"/>
      <c r="J106" s="38"/>
      <c r="K106" s="48"/>
      <c r="M106" s="48"/>
      <c r="N106" s="70"/>
      <c r="P106" s="38"/>
      <c r="Y106" s="38"/>
      <c r="AB106" s="39"/>
      <c r="AC106" s="38"/>
      <c r="AH106" s="39"/>
      <c r="AJ106" s="139"/>
      <c r="AK106" s="139"/>
      <c r="AM106" s="38"/>
      <c r="AN106" s="163" t="str" cm="1">
        <f t="array" ref="AN106">_xlfn.IFNA(_xlfn.IFS(LEFT(M106,4)="L39N","outside",LEFT(M106,3)="L39","ukstd20"),"")</f>
        <v/>
      </c>
      <c r="AO106" s="85"/>
      <c r="AP106"/>
      <c r="AQ106" s="85"/>
      <c r="BE106" s="38"/>
    </row>
    <row r="107" spans="1:57" s="47" customFormat="1" x14ac:dyDescent="0.25">
      <c r="A107" s="46"/>
      <c r="D107" s="38"/>
      <c r="E107" s="38"/>
      <c r="F107" s="39"/>
      <c r="G107" s="85"/>
      <c r="H107" s="123"/>
      <c r="J107" s="38"/>
      <c r="K107" s="48"/>
      <c r="M107" s="48"/>
      <c r="N107" s="70"/>
      <c r="P107" s="38"/>
      <c r="Y107" s="38"/>
      <c r="AB107" s="39"/>
      <c r="AC107" s="38"/>
      <c r="AH107" s="39"/>
      <c r="AJ107" s="139"/>
      <c r="AK107" s="139"/>
      <c r="AM107" s="38"/>
      <c r="AN107" s="163" t="str" cm="1">
        <f t="array" ref="AN107">_xlfn.IFNA(_xlfn.IFS(LEFT(M107,4)="L39N","outside",LEFT(M107,3)="L39","ukstd20"),"")</f>
        <v/>
      </c>
      <c r="AO107" s="85"/>
      <c r="AP107"/>
      <c r="AQ107" s="85"/>
      <c r="BE107" s="38"/>
    </row>
    <row r="108" spans="1:57" s="47" customFormat="1" x14ac:dyDescent="0.25">
      <c r="A108" s="46"/>
      <c r="D108" s="38"/>
      <c r="E108" s="38"/>
      <c r="F108" s="39"/>
      <c r="G108" s="85"/>
      <c r="H108" s="123"/>
      <c r="J108" s="38"/>
      <c r="K108" s="48"/>
      <c r="M108" s="48"/>
      <c r="N108" s="70"/>
      <c r="P108" s="38"/>
      <c r="Y108" s="38"/>
      <c r="AB108" s="39"/>
      <c r="AC108" s="38"/>
      <c r="AH108" s="39"/>
      <c r="AJ108" s="139"/>
      <c r="AK108" s="139"/>
      <c r="AM108" s="38"/>
      <c r="AN108" s="163" t="str" cm="1">
        <f t="array" ref="AN108">_xlfn.IFNA(_xlfn.IFS(LEFT(M108,4)="L39N","outside",LEFT(M108,3)="L39","ukstd20"),"")</f>
        <v/>
      </c>
      <c r="AO108" s="85"/>
      <c r="AP108"/>
      <c r="AQ108" s="85"/>
      <c r="BE108" s="38"/>
    </row>
    <row r="109" spans="1:57" s="47" customFormat="1" x14ac:dyDescent="0.25">
      <c r="A109" s="46"/>
      <c r="D109" s="38"/>
      <c r="E109" s="38"/>
      <c r="F109" s="39"/>
      <c r="G109" s="85"/>
      <c r="H109" s="123"/>
      <c r="J109" s="38"/>
      <c r="K109" s="48"/>
      <c r="M109" s="48"/>
      <c r="N109" s="70"/>
      <c r="P109" s="38"/>
      <c r="Y109" s="38"/>
      <c r="AB109" s="39"/>
      <c r="AC109" s="38"/>
      <c r="AH109" s="39"/>
      <c r="AJ109" s="139"/>
      <c r="AK109" s="139"/>
      <c r="AM109" s="38"/>
      <c r="AN109" s="163" t="str" cm="1">
        <f t="array" ref="AN109">_xlfn.IFNA(_xlfn.IFS(LEFT(M109,4)="L39N","outside",LEFT(M109,3)="L39","ukstd20"),"")</f>
        <v/>
      </c>
      <c r="AO109" s="85"/>
      <c r="AP109"/>
      <c r="AQ109" s="85"/>
      <c r="BE109" s="38"/>
    </row>
    <row r="110" spans="1:57" s="47" customFormat="1" x14ac:dyDescent="0.25">
      <c r="A110" s="46"/>
      <c r="D110" s="38"/>
      <c r="E110" s="38"/>
      <c r="F110" s="39"/>
      <c r="G110" s="85"/>
      <c r="H110" s="123"/>
      <c r="J110" s="38"/>
      <c r="K110" s="48"/>
      <c r="M110" s="48"/>
      <c r="N110" s="70"/>
      <c r="P110" s="38"/>
      <c r="Y110" s="38"/>
      <c r="AB110" s="39"/>
      <c r="AC110" s="38"/>
      <c r="AH110" s="39"/>
      <c r="AJ110" s="139"/>
      <c r="AK110" s="139"/>
      <c r="AM110" s="38"/>
      <c r="AN110" s="163" t="str" cm="1">
        <f t="array" ref="AN110">_xlfn.IFNA(_xlfn.IFS(LEFT(M110,4)="L39N","outside",LEFT(M110,3)="L39","ukstd20"),"")</f>
        <v/>
      </c>
      <c r="AO110" s="85"/>
      <c r="AP110"/>
      <c r="AQ110" s="85"/>
      <c r="BE110" s="38"/>
    </row>
    <row r="111" spans="1:57" s="47" customFormat="1" x14ac:dyDescent="0.25">
      <c r="A111" s="46"/>
      <c r="D111" s="38"/>
      <c r="E111" s="38"/>
      <c r="F111" s="39"/>
      <c r="G111" s="85"/>
      <c r="H111" s="123"/>
      <c r="J111" s="38"/>
      <c r="K111" s="48"/>
      <c r="M111" s="48"/>
      <c r="N111" s="70"/>
      <c r="P111" s="38"/>
      <c r="Y111" s="38"/>
      <c r="AB111" s="39"/>
      <c r="AC111" s="38"/>
      <c r="AH111" s="39"/>
      <c r="AJ111" s="139"/>
      <c r="AK111" s="139"/>
      <c r="AM111" s="38"/>
      <c r="AN111" s="163" t="str" cm="1">
        <f t="array" ref="AN111">_xlfn.IFNA(_xlfn.IFS(LEFT(M111,4)="L39N","outside",LEFT(M111,3)="L39","ukstd20"),"")</f>
        <v/>
      </c>
      <c r="AO111" s="85"/>
      <c r="AP111"/>
      <c r="AQ111" s="85"/>
      <c r="BE111" s="38"/>
    </row>
    <row r="112" spans="1:57" s="47" customFormat="1" x14ac:dyDescent="0.25">
      <c r="A112" s="46"/>
      <c r="D112" s="38"/>
      <c r="E112" s="38"/>
      <c r="F112" s="39"/>
      <c r="G112" s="85"/>
      <c r="H112" s="123"/>
      <c r="J112" s="38"/>
      <c r="K112" s="48"/>
      <c r="M112" s="48"/>
      <c r="N112" s="70"/>
      <c r="P112" s="38"/>
      <c r="Y112" s="38"/>
      <c r="AB112" s="39"/>
      <c r="AC112" s="38"/>
      <c r="AH112" s="39"/>
      <c r="AJ112" s="139"/>
      <c r="AK112" s="139"/>
      <c r="AM112" s="38"/>
      <c r="AN112" s="163" t="str" cm="1">
        <f t="array" ref="AN112">_xlfn.IFNA(_xlfn.IFS(LEFT(M112,4)="L39N","outside",LEFT(M112,3)="L39","ukstd20"),"")</f>
        <v/>
      </c>
      <c r="AO112" s="85"/>
      <c r="AP112"/>
      <c r="AQ112" s="85"/>
      <c r="BE112" s="38"/>
    </row>
    <row r="113" spans="1:57" s="47" customFormat="1" x14ac:dyDescent="0.25">
      <c r="A113" s="46"/>
      <c r="D113" s="38"/>
      <c r="E113" s="38"/>
      <c r="F113" s="39"/>
      <c r="G113" s="85"/>
      <c r="H113" s="123"/>
      <c r="J113" s="38"/>
      <c r="K113" s="48"/>
      <c r="M113" s="48"/>
      <c r="N113" s="70"/>
      <c r="P113" s="38"/>
      <c r="Y113" s="38"/>
      <c r="AB113" s="39"/>
      <c r="AC113" s="38"/>
      <c r="AH113" s="39"/>
      <c r="AJ113" s="139"/>
      <c r="AK113" s="139"/>
      <c r="AM113" s="38"/>
      <c r="AN113" s="163" t="str" cm="1">
        <f t="array" ref="AN113">_xlfn.IFNA(_xlfn.IFS(LEFT(M113,4)="L39N","outside",LEFT(M113,3)="L39","ukstd20"),"")</f>
        <v/>
      </c>
      <c r="AO113" s="85"/>
      <c r="AP113"/>
      <c r="AQ113" s="85"/>
      <c r="BE113" s="38"/>
    </row>
    <row r="114" spans="1:57" s="47" customFormat="1" x14ac:dyDescent="0.25">
      <c r="A114" s="46"/>
      <c r="D114" s="38"/>
      <c r="E114" s="38"/>
      <c r="F114" s="39"/>
      <c r="G114" s="85"/>
      <c r="H114" s="123"/>
      <c r="J114" s="38"/>
      <c r="K114" s="48"/>
      <c r="M114" s="48"/>
      <c r="N114" s="70"/>
      <c r="P114" s="38"/>
      <c r="Y114" s="38"/>
      <c r="AB114" s="39"/>
      <c r="AC114" s="38"/>
      <c r="AH114" s="39"/>
      <c r="AJ114" s="139"/>
      <c r="AK114" s="139"/>
      <c r="AM114" s="38"/>
      <c r="AN114" s="163" t="str" cm="1">
        <f t="array" ref="AN114">_xlfn.IFNA(_xlfn.IFS(LEFT(M114,4)="L39N","outside",LEFT(M114,3)="L39","ukstd20"),"")</f>
        <v/>
      </c>
      <c r="AO114" s="85"/>
      <c r="AP114"/>
      <c r="AQ114" s="85"/>
      <c r="BE114" s="38"/>
    </row>
    <row r="115" spans="1:57" s="47" customFormat="1" x14ac:dyDescent="0.25">
      <c r="A115" s="46"/>
      <c r="D115" s="38"/>
      <c r="E115" s="38"/>
      <c r="F115" s="39"/>
      <c r="G115" s="85"/>
      <c r="H115" s="123"/>
      <c r="J115" s="38"/>
      <c r="K115" s="48"/>
      <c r="M115" s="48"/>
      <c r="N115" s="70"/>
      <c r="P115" s="38"/>
      <c r="Y115" s="38"/>
      <c r="AB115" s="39"/>
      <c r="AC115" s="38"/>
      <c r="AH115" s="39"/>
      <c r="AJ115" s="139"/>
      <c r="AK115" s="139"/>
      <c r="AM115" s="38"/>
      <c r="AN115" s="163" t="str" cm="1">
        <f t="array" ref="AN115">_xlfn.IFNA(_xlfn.IFS(LEFT(M115,4)="L39N","outside",LEFT(M115,3)="L39","ukstd20"),"")</f>
        <v/>
      </c>
      <c r="AO115" s="85"/>
      <c r="AP115"/>
      <c r="AQ115" s="85"/>
      <c r="BE115" s="38"/>
    </row>
    <row r="116" spans="1:57" s="47" customFormat="1" x14ac:dyDescent="0.25">
      <c r="A116" s="46"/>
      <c r="D116" s="38"/>
      <c r="E116" s="38"/>
      <c r="F116" s="39"/>
      <c r="G116" s="85"/>
      <c r="H116" s="123"/>
      <c r="J116" s="38"/>
      <c r="K116" s="48"/>
      <c r="M116" s="48"/>
      <c r="N116" s="70"/>
      <c r="P116" s="38"/>
      <c r="Y116" s="38"/>
      <c r="AB116" s="39"/>
      <c r="AC116" s="38"/>
      <c r="AH116" s="39"/>
      <c r="AJ116" s="139"/>
      <c r="AK116" s="139"/>
      <c r="AM116" s="38"/>
      <c r="AN116" s="163" t="str" cm="1">
        <f t="array" ref="AN116">_xlfn.IFNA(_xlfn.IFS(LEFT(M116,4)="L39N","outside",LEFT(M116,3)="L39","ukstd20"),"")</f>
        <v/>
      </c>
      <c r="AO116" s="85"/>
      <c r="AP116"/>
      <c r="AQ116" s="85"/>
      <c r="BE116" s="38"/>
    </row>
    <row r="117" spans="1:57" s="47" customFormat="1" x14ac:dyDescent="0.25">
      <c r="A117" s="46"/>
      <c r="D117" s="38"/>
      <c r="E117" s="38"/>
      <c r="F117" s="39"/>
      <c r="G117" s="85"/>
      <c r="H117" s="123"/>
      <c r="J117" s="38"/>
      <c r="K117" s="48"/>
      <c r="M117" s="48"/>
      <c r="N117" s="70"/>
      <c r="P117" s="38"/>
      <c r="Y117" s="38"/>
      <c r="AB117" s="39"/>
      <c r="AC117" s="38"/>
      <c r="AH117" s="39"/>
      <c r="AJ117" s="139"/>
      <c r="AK117" s="139"/>
      <c r="AM117" s="38"/>
      <c r="AN117" s="163" t="str" cm="1">
        <f t="array" ref="AN117">_xlfn.IFNA(_xlfn.IFS(LEFT(M117,4)="L39N","outside",LEFT(M117,3)="L39","ukstd20"),"")</f>
        <v/>
      </c>
      <c r="AO117" s="85"/>
      <c r="AP117"/>
      <c r="AQ117" s="85"/>
      <c r="BE117" s="38"/>
    </row>
    <row r="118" spans="1:57" s="47" customFormat="1" x14ac:dyDescent="0.25">
      <c r="A118" s="46"/>
      <c r="D118" s="38"/>
      <c r="E118" s="38"/>
      <c r="F118" s="39"/>
      <c r="G118" s="85"/>
      <c r="H118" s="123"/>
      <c r="J118" s="38"/>
      <c r="K118" s="48"/>
      <c r="M118" s="48"/>
      <c r="N118" s="70"/>
      <c r="P118" s="38"/>
      <c r="Y118" s="38"/>
      <c r="AB118" s="39"/>
      <c r="AC118" s="38"/>
      <c r="AH118" s="39"/>
      <c r="AJ118" s="139"/>
      <c r="AK118" s="139"/>
      <c r="AM118" s="38"/>
      <c r="AN118" s="163" t="str" cm="1">
        <f t="array" ref="AN118">_xlfn.IFNA(_xlfn.IFS(LEFT(M118,4)="L39N","outside",LEFT(M118,3)="L39","ukstd20"),"")</f>
        <v/>
      </c>
      <c r="AO118" s="85"/>
      <c r="AP118"/>
      <c r="AQ118" s="85"/>
      <c r="BE118" s="38"/>
    </row>
    <row r="119" spans="1:57" s="47" customFormat="1" x14ac:dyDescent="0.25">
      <c r="A119" s="46"/>
      <c r="D119" s="38"/>
      <c r="E119" s="38"/>
      <c r="F119" s="39"/>
      <c r="G119" s="85"/>
      <c r="H119" s="123"/>
      <c r="J119" s="38"/>
      <c r="K119" s="48"/>
      <c r="M119" s="48"/>
      <c r="N119" s="70"/>
      <c r="P119" s="38"/>
      <c r="Y119" s="38"/>
      <c r="AB119" s="39"/>
      <c r="AC119" s="38"/>
      <c r="AH119" s="39"/>
      <c r="AJ119" s="139"/>
      <c r="AK119" s="139"/>
      <c r="AM119" s="38"/>
      <c r="AN119" s="163" t="str" cm="1">
        <f t="array" ref="AN119">_xlfn.IFNA(_xlfn.IFS(LEFT(M119,4)="L39N","outside",LEFT(M119,3)="L39","ukstd20"),"")</f>
        <v/>
      </c>
      <c r="AO119" s="85"/>
      <c r="AP119"/>
      <c r="AQ119" s="85"/>
      <c r="BE119" s="38"/>
    </row>
    <row r="120" spans="1:57" s="47" customFormat="1" x14ac:dyDescent="0.25">
      <c r="A120" s="46"/>
      <c r="D120" s="38"/>
      <c r="E120" s="38"/>
      <c r="F120" s="39"/>
      <c r="G120" s="85"/>
      <c r="H120" s="123"/>
      <c r="J120" s="38"/>
      <c r="K120" s="48"/>
      <c r="M120" s="48"/>
      <c r="N120" s="70"/>
      <c r="P120" s="38"/>
      <c r="Y120" s="38"/>
      <c r="AB120" s="39"/>
      <c r="AC120" s="38"/>
      <c r="AH120" s="39"/>
      <c r="AJ120" s="139"/>
      <c r="AK120" s="139"/>
      <c r="AM120" s="38"/>
      <c r="AN120" s="163" t="str" cm="1">
        <f t="array" ref="AN120">_xlfn.IFNA(_xlfn.IFS(LEFT(M120,4)="L39N","outside",LEFT(M120,3)="L39","ukstd20"),"")</f>
        <v/>
      </c>
      <c r="AO120" s="85"/>
      <c r="AP120"/>
      <c r="AQ120" s="85"/>
      <c r="BE120" s="38"/>
    </row>
    <row r="121" spans="1:57" s="47" customFormat="1" x14ac:dyDescent="0.25">
      <c r="A121" s="46"/>
      <c r="D121" s="38"/>
      <c r="E121" s="38"/>
      <c r="F121" s="39"/>
      <c r="G121" s="85"/>
      <c r="H121" s="123"/>
      <c r="J121" s="38"/>
      <c r="K121" s="48"/>
      <c r="M121" s="48"/>
      <c r="N121" s="70"/>
      <c r="P121" s="38"/>
      <c r="Y121" s="38"/>
      <c r="AB121" s="39"/>
      <c r="AC121" s="38"/>
      <c r="AH121" s="39"/>
      <c r="AJ121" s="139"/>
      <c r="AK121" s="139"/>
      <c r="AM121" s="38"/>
      <c r="AN121" s="163" t="str" cm="1">
        <f t="array" ref="AN121">_xlfn.IFNA(_xlfn.IFS(LEFT(M121,4)="L39N","outside",LEFT(M121,3)="L39","ukstd20"),"")</f>
        <v/>
      </c>
      <c r="AO121" s="85"/>
      <c r="AP121"/>
      <c r="AQ121" s="85"/>
      <c r="BE121" s="38"/>
    </row>
    <row r="122" spans="1:57" s="47" customFormat="1" x14ac:dyDescent="0.25">
      <c r="A122" s="46"/>
      <c r="D122" s="38"/>
      <c r="E122" s="38"/>
      <c r="F122" s="39"/>
      <c r="G122" s="85"/>
      <c r="H122" s="123"/>
      <c r="J122" s="38"/>
      <c r="K122" s="48"/>
      <c r="M122" s="48"/>
      <c r="N122" s="70"/>
      <c r="P122" s="38"/>
      <c r="Y122" s="38"/>
      <c r="AB122" s="39"/>
      <c r="AC122" s="38"/>
      <c r="AH122" s="39"/>
      <c r="AJ122" s="139"/>
      <c r="AK122" s="139"/>
      <c r="AM122" s="38"/>
      <c r="AN122" s="163" t="str" cm="1">
        <f t="array" ref="AN122">_xlfn.IFNA(_xlfn.IFS(LEFT(M122,4)="L39N","outside",LEFT(M122,3)="L39","ukstd20"),"")</f>
        <v/>
      </c>
      <c r="AO122" s="85"/>
      <c r="AP122"/>
      <c r="AQ122" s="85"/>
      <c r="BE122" s="38"/>
    </row>
    <row r="123" spans="1:57" s="47" customFormat="1" x14ac:dyDescent="0.25">
      <c r="A123" s="46"/>
      <c r="D123" s="38"/>
      <c r="E123" s="38"/>
      <c r="F123" s="39"/>
      <c r="G123" s="85"/>
      <c r="H123" s="123"/>
      <c r="J123" s="38"/>
      <c r="K123" s="48"/>
      <c r="M123" s="48"/>
      <c r="N123" s="70"/>
      <c r="P123" s="38"/>
      <c r="Y123" s="38"/>
      <c r="AB123" s="39"/>
      <c r="AC123" s="38"/>
      <c r="AH123" s="39"/>
      <c r="AJ123" s="139"/>
      <c r="AK123" s="139"/>
      <c r="AM123" s="38"/>
      <c r="AN123" s="163" t="str" cm="1">
        <f t="array" ref="AN123">_xlfn.IFNA(_xlfn.IFS(LEFT(M123,4)="L39N","outside",LEFT(M123,3)="L39","ukstd20"),"")</f>
        <v/>
      </c>
      <c r="AO123" s="85"/>
      <c r="AP123"/>
      <c r="AQ123" s="85"/>
      <c r="BE123" s="38"/>
    </row>
    <row r="124" spans="1:57" x14ac:dyDescent="0.25">
      <c r="A124" s="46"/>
      <c r="B124" s="47"/>
      <c r="D124" s="38"/>
      <c r="E124" s="38"/>
      <c r="F124" s="39"/>
      <c r="G124" s="85"/>
      <c r="H124" s="123"/>
      <c r="I124" s="47"/>
      <c r="J124" s="38"/>
      <c r="K124" s="48"/>
      <c r="M124" s="48"/>
      <c r="N124" s="70"/>
      <c r="P124" s="38"/>
      <c r="Y124" s="38"/>
      <c r="AB124" s="39"/>
      <c r="AC124" s="38"/>
      <c r="AH124" s="39"/>
      <c r="AJ124" s="139"/>
      <c r="AK124" s="139"/>
      <c r="AL124" s="47"/>
      <c r="AM124" s="38"/>
      <c r="AN124" s="163" t="str" cm="1">
        <f t="array" ref="AN124">_xlfn.IFNA(_xlfn.IFS(LEFT(M124,4)="L39N","outside",LEFT(M124,3)="L39","ukstd20"),"")</f>
        <v/>
      </c>
      <c r="AO124" s="85"/>
      <c r="AQ124" s="85"/>
      <c r="BE124" s="38"/>
    </row>
    <row r="125" spans="1:57" x14ac:dyDescent="0.25">
      <c r="A125" s="46"/>
      <c r="B125" s="47"/>
      <c r="D125" s="38"/>
      <c r="E125" s="38"/>
      <c r="F125" s="39"/>
      <c r="G125" s="85"/>
      <c r="H125" s="123"/>
      <c r="I125" s="47"/>
      <c r="J125" s="38"/>
      <c r="K125" s="48"/>
      <c r="M125" s="48"/>
      <c r="N125" s="70"/>
      <c r="P125" s="38"/>
      <c r="Y125" s="38"/>
      <c r="AB125" s="39"/>
      <c r="AC125" s="38"/>
      <c r="AH125" s="39"/>
      <c r="AJ125" s="139"/>
      <c r="AK125" s="139"/>
      <c r="AL125" s="47"/>
      <c r="AM125" s="38"/>
      <c r="AN125" s="163" t="str" cm="1">
        <f t="array" ref="AN125">_xlfn.IFNA(_xlfn.IFS(LEFT(M125,4)="L39N","outside",LEFT(M125,3)="L39","ukstd20"),"")</f>
        <v/>
      </c>
      <c r="AO125" s="85"/>
      <c r="AQ125" s="85"/>
      <c r="BE125" s="38"/>
    </row>
    <row r="126" spans="1:57" x14ac:dyDescent="0.25">
      <c r="A126" s="46"/>
      <c r="B126" s="47"/>
      <c r="D126" s="38"/>
      <c r="E126" s="38"/>
      <c r="F126" s="39"/>
      <c r="G126" s="85"/>
      <c r="H126" s="123"/>
      <c r="I126" s="47"/>
      <c r="J126" s="38"/>
      <c r="K126" s="48"/>
      <c r="M126" s="48"/>
      <c r="N126" s="70"/>
      <c r="P126" s="38"/>
      <c r="Y126" s="38"/>
      <c r="AB126" s="39"/>
      <c r="AC126" s="38"/>
      <c r="AH126" s="39"/>
      <c r="AJ126" s="139"/>
      <c r="AK126" s="139"/>
      <c r="AL126" s="47"/>
      <c r="AM126" s="38"/>
      <c r="AN126" s="163" t="str" cm="1">
        <f t="array" ref="AN126">_xlfn.IFNA(_xlfn.IFS(LEFT(M126,4)="L39N","outside",LEFT(M126,3)="L39","ukstd20"),"")</f>
        <v/>
      </c>
      <c r="AO126" s="85"/>
      <c r="AQ126" s="85"/>
      <c r="BE126" s="38"/>
    </row>
    <row r="127" spans="1:57" x14ac:dyDescent="0.25">
      <c r="A127" s="46"/>
      <c r="B127" s="47"/>
      <c r="D127" s="38"/>
      <c r="E127" s="38"/>
      <c r="F127" s="39"/>
      <c r="G127" s="85"/>
      <c r="H127" s="123"/>
      <c r="I127" s="47"/>
      <c r="J127" s="38"/>
      <c r="K127" s="48"/>
      <c r="M127" s="48"/>
      <c r="N127" s="70"/>
      <c r="P127" s="38"/>
      <c r="Y127" s="38"/>
      <c r="AB127" s="39"/>
      <c r="AC127" s="38"/>
      <c r="AH127" s="39"/>
      <c r="AJ127" s="139"/>
      <c r="AK127" s="139"/>
      <c r="AL127" s="47"/>
      <c r="AM127" s="38"/>
      <c r="AN127" s="163" t="str" cm="1">
        <f t="array" ref="AN127">_xlfn.IFNA(_xlfn.IFS(LEFT(M127,4)="L39N","outside",LEFT(M127,3)="L39","ukstd20"),"")</f>
        <v/>
      </c>
      <c r="AO127" s="85"/>
      <c r="AQ127" s="85"/>
      <c r="BE127" s="38"/>
    </row>
    <row r="128" spans="1:57" x14ac:dyDescent="0.25">
      <c r="A128" s="46"/>
      <c r="B128" s="47"/>
      <c r="D128" s="38"/>
      <c r="E128" s="38"/>
      <c r="F128" s="39"/>
      <c r="G128" s="85"/>
      <c r="H128" s="123"/>
      <c r="I128" s="47"/>
      <c r="J128" s="38"/>
      <c r="K128" s="48"/>
      <c r="M128" s="48"/>
      <c r="N128" s="70"/>
      <c r="P128" s="38"/>
      <c r="Y128" s="38"/>
      <c r="AB128" s="39"/>
      <c r="AC128" s="38"/>
      <c r="AH128" s="39"/>
      <c r="AJ128" s="139"/>
      <c r="AK128" s="139"/>
      <c r="AL128" s="47"/>
      <c r="AM128" s="38"/>
      <c r="AN128" s="163" t="str" cm="1">
        <f t="array" ref="AN128">_xlfn.IFNA(_xlfn.IFS(LEFT(M128,4)="L39N","outside",LEFT(M128,3)="L39","ukstd20"),"")</f>
        <v/>
      </c>
      <c r="AO128" s="85"/>
      <c r="AQ128" s="85"/>
      <c r="BE128" s="38"/>
    </row>
    <row r="129" spans="1:57" x14ac:dyDescent="0.25">
      <c r="A129" s="46"/>
      <c r="B129" s="47"/>
      <c r="D129" s="38"/>
      <c r="E129" s="38"/>
      <c r="F129" s="39"/>
      <c r="G129" s="85"/>
      <c r="H129" s="123"/>
      <c r="I129" s="47"/>
      <c r="J129" s="38"/>
      <c r="K129" s="48"/>
      <c r="M129" s="48"/>
      <c r="N129" s="70"/>
      <c r="P129" s="38"/>
      <c r="Y129" s="38"/>
      <c r="AB129" s="39"/>
      <c r="AC129" s="38"/>
      <c r="AH129" s="39"/>
      <c r="AJ129" s="139"/>
      <c r="AK129" s="139"/>
      <c r="AL129" s="47"/>
      <c r="AM129" s="38"/>
      <c r="AN129" s="163" t="str" cm="1">
        <f t="array" ref="AN129">_xlfn.IFNA(_xlfn.IFS(LEFT(M129,4)="L39N","outside",LEFT(M129,3)="L39","ukstd20"),"")</f>
        <v/>
      </c>
      <c r="AO129" s="85"/>
      <c r="AQ129" s="85"/>
      <c r="BE129" s="38"/>
    </row>
    <row r="130" spans="1:57" x14ac:dyDescent="0.25">
      <c r="A130" s="46"/>
      <c r="B130" s="47"/>
      <c r="D130" s="38"/>
      <c r="E130" s="38"/>
      <c r="F130" s="39"/>
      <c r="G130" s="85"/>
      <c r="H130" s="123"/>
      <c r="I130" s="47"/>
      <c r="J130" s="38"/>
      <c r="K130" s="48"/>
      <c r="M130" s="48"/>
      <c r="N130" s="70"/>
      <c r="P130" s="38"/>
      <c r="Y130" s="38"/>
      <c r="AB130" s="39"/>
      <c r="AC130" s="38"/>
      <c r="AH130" s="39"/>
      <c r="AJ130" s="139"/>
      <c r="AK130" s="139"/>
      <c r="AL130" s="47"/>
      <c r="AM130" s="38"/>
      <c r="AN130" s="163" t="str" cm="1">
        <f t="array" ref="AN130">_xlfn.IFNA(_xlfn.IFS(LEFT(M130,4)="L39N","outside",LEFT(M130,3)="L39","ukstd20"),"")</f>
        <v/>
      </c>
      <c r="AO130" s="85"/>
      <c r="AQ130" s="85"/>
      <c r="BE130" s="38"/>
    </row>
    <row r="131" spans="1:57" x14ac:dyDescent="0.25">
      <c r="A131" s="46"/>
      <c r="B131" s="47"/>
      <c r="D131" s="38"/>
      <c r="E131" s="38"/>
      <c r="F131" s="39"/>
      <c r="G131" s="85"/>
      <c r="H131" s="123"/>
      <c r="I131" s="47"/>
      <c r="J131" s="38"/>
      <c r="K131" s="48"/>
      <c r="M131" s="48"/>
      <c r="N131" s="70"/>
      <c r="P131" s="38"/>
      <c r="Y131" s="38"/>
      <c r="AB131" s="39"/>
      <c r="AC131" s="38"/>
      <c r="AH131" s="39"/>
      <c r="AJ131" s="139"/>
      <c r="AK131" s="139"/>
      <c r="AL131" s="47"/>
      <c r="AM131" s="38"/>
      <c r="AN131" s="163" t="str" cm="1">
        <f t="array" ref="AN131">_xlfn.IFNA(_xlfn.IFS(LEFT(M131,4)="L39N","outside",LEFT(M131,3)="L39","ukstd20"),"")</f>
        <v/>
      </c>
      <c r="AO131" s="85"/>
      <c r="AQ131" s="85"/>
      <c r="BE131" s="38"/>
    </row>
    <row r="132" spans="1:57" x14ac:dyDescent="0.25">
      <c r="A132" s="46"/>
      <c r="B132" s="47"/>
      <c r="D132" s="38"/>
      <c r="E132" s="38"/>
      <c r="F132" s="39"/>
      <c r="G132" s="85"/>
      <c r="H132" s="123"/>
      <c r="I132" s="47"/>
      <c r="J132" s="38"/>
      <c r="K132" s="48"/>
      <c r="M132" s="48"/>
      <c r="N132" s="70"/>
      <c r="P132" s="38"/>
      <c r="Y132" s="38"/>
      <c r="AB132" s="39"/>
      <c r="AC132" s="38"/>
      <c r="AH132" s="39"/>
      <c r="AJ132" s="139"/>
      <c r="AK132" s="139"/>
      <c r="AL132" s="47"/>
      <c r="AM132" s="38"/>
      <c r="AN132" s="163" t="str" cm="1">
        <f t="array" ref="AN132">_xlfn.IFNA(_xlfn.IFS(LEFT(M132,4)="L39N","outside",LEFT(M132,3)="L39","ukstd20"),"")</f>
        <v/>
      </c>
      <c r="AO132" s="85"/>
      <c r="AQ132" s="85"/>
      <c r="BE132" s="38"/>
    </row>
    <row r="133" spans="1:57" x14ac:dyDescent="0.25">
      <c r="A133" s="46"/>
      <c r="B133" s="47"/>
      <c r="D133" s="38"/>
      <c r="E133" s="38"/>
      <c r="F133" s="39"/>
      <c r="G133" s="85"/>
      <c r="H133" s="123"/>
      <c r="I133" s="47"/>
      <c r="J133" s="38"/>
      <c r="K133" s="48"/>
      <c r="M133" s="48"/>
      <c r="N133" s="70"/>
      <c r="P133" s="38"/>
      <c r="Y133" s="38"/>
      <c r="AB133" s="39"/>
      <c r="AC133" s="38"/>
      <c r="AH133" s="39"/>
      <c r="AJ133" s="139"/>
      <c r="AK133" s="139"/>
      <c r="AL133" s="47"/>
      <c r="AM133" s="38"/>
      <c r="AN133" s="163" t="str" cm="1">
        <f t="array" ref="AN133">_xlfn.IFNA(_xlfn.IFS(LEFT(M133,4)="L39N","outside",LEFT(M133,3)="L39","ukstd20"),"")</f>
        <v/>
      </c>
      <c r="AO133" s="85"/>
      <c r="AQ133" s="85"/>
      <c r="BE133" s="38"/>
    </row>
    <row r="134" spans="1:57" x14ac:dyDescent="0.25">
      <c r="A134" s="46"/>
      <c r="B134" s="47"/>
      <c r="D134" s="38"/>
      <c r="E134" s="38"/>
      <c r="F134" s="39"/>
      <c r="G134" s="85"/>
      <c r="H134" s="123"/>
      <c r="I134" s="47"/>
      <c r="J134" s="38"/>
      <c r="K134" s="48"/>
      <c r="M134" s="48"/>
      <c r="N134" s="70"/>
      <c r="P134" s="38"/>
      <c r="Y134" s="38"/>
      <c r="AB134" s="39"/>
      <c r="AC134" s="38"/>
      <c r="AH134" s="39"/>
      <c r="AJ134" s="139"/>
      <c r="AK134" s="139"/>
      <c r="AL134" s="47"/>
      <c r="AM134" s="38"/>
      <c r="AN134" s="163" t="str" cm="1">
        <f t="array" ref="AN134">_xlfn.IFNA(_xlfn.IFS(LEFT(M134,4)="L39N","outside",LEFT(M134,3)="L39","ukstd20"),"")</f>
        <v/>
      </c>
      <c r="AO134" s="85"/>
      <c r="AQ134" s="85"/>
      <c r="BE134" s="38"/>
    </row>
    <row r="135" spans="1:57" x14ac:dyDescent="0.25">
      <c r="A135" s="46"/>
      <c r="B135" s="47"/>
      <c r="D135" s="38"/>
      <c r="E135" s="38"/>
      <c r="F135" s="39"/>
      <c r="G135" s="85"/>
      <c r="H135" s="123"/>
      <c r="I135" s="47"/>
      <c r="J135" s="38"/>
      <c r="K135" s="48"/>
      <c r="M135" s="48"/>
      <c r="N135" s="70"/>
      <c r="P135" s="38"/>
      <c r="Y135" s="38"/>
      <c r="AB135" s="39"/>
      <c r="AC135" s="38"/>
      <c r="AH135" s="39"/>
      <c r="AJ135" s="139"/>
      <c r="AK135" s="139"/>
      <c r="AL135" s="47"/>
      <c r="AM135" s="38"/>
      <c r="AN135" s="163" t="str" cm="1">
        <f t="array" ref="AN135">_xlfn.IFNA(_xlfn.IFS(LEFT(M135,4)="L39N","outside",LEFT(M135,3)="L39","ukstd20"),"")</f>
        <v/>
      </c>
      <c r="AO135" s="85"/>
      <c r="AQ135" s="85"/>
      <c r="BE135" s="38"/>
    </row>
    <row r="136" spans="1:57" x14ac:dyDescent="0.25">
      <c r="A136" s="46"/>
      <c r="B136" s="47"/>
      <c r="D136" s="38"/>
      <c r="E136" s="38"/>
      <c r="F136" s="39"/>
      <c r="G136" s="85"/>
      <c r="H136" s="123"/>
      <c r="I136" s="47"/>
      <c r="J136" s="38"/>
      <c r="K136" s="48"/>
      <c r="M136" s="48"/>
      <c r="N136" s="70"/>
      <c r="P136" s="38"/>
      <c r="Y136" s="38"/>
      <c r="AB136" s="39"/>
      <c r="AC136" s="38"/>
      <c r="AH136" s="39"/>
      <c r="AJ136" s="139"/>
      <c r="AK136" s="139"/>
      <c r="AL136" s="47"/>
      <c r="AM136" s="38"/>
      <c r="AN136" s="163" t="str" cm="1">
        <f t="array" ref="AN136">_xlfn.IFNA(_xlfn.IFS(LEFT(M136,4)="L39N","outside",LEFT(M136,3)="L39","ukstd20"),"")</f>
        <v/>
      </c>
      <c r="AO136" s="85"/>
      <c r="AQ136" s="85"/>
      <c r="BE136" s="38"/>
    </row>
    <row r="137" spans="1:57" x14ac:dyDescent="0.25">
      <c r="A137" s="46"/>
      <c r="B137" s="47"/>
      <c r="D137" s="38"/>
      <c r="E137" s="38"/>
      <c r="F137" s="39"/>
      <c r="G137" s="85"/>
      <c r="H137" s="123"/>
      <c r="I137" s="47"/>
      <c r="J137" s="38"/>
      <c r="K137" s="48"/>
      <c r="M137" s="48"/>
      <c r="N137" s="70"/>
      <c r="P137" s="38"/>
      <c r="Y137" s="38"/>
      <c r="AB137" s="39"/>
      <c r="AC137" s="38"/>
      <c r="AH137" s="39"/>
      <c r="AJ137" s="139"/>
      <c r="AK137" s="139"/>
      <c r="AL137" s="47"/>
      <c r="AM137" s="38"/>
      <c r="AN137" s="163" t="str" cm="1">
        <f t="array" ref="AN137">_xlfn.IFNA(_xlfn.IFS(LEFT(M137,4)="L39N","outside",LEFT(M137,3)="L39","ukstd20"),"")</f>
        <v/>
      </c>
      <c r="AO137" s="85"/>
      <c r="AQ137" s="85"/>
      <c r="BE137" s="38"/>
    </row>
    <row r="138" spans="1:57" x14ac:dyDescent="0.25">
      <c r="A138" s="46"/>
      <c r="B138" s="47"/>
      <c r="D138" s="38"/>
      <c r="E138" s="38"/>
      <c r="F138" s="39"/>
      <c r="G138" s="85"/>
      <c r="H138" s="123"/>
      <c r="I138" s="47"/>
      <c r="J138" s="38"/>
      <c r="K138" s="48"/>
      <c r="M138" s="48"/>
      <c r="N138" s="70"/>
      <c r="P138" s="38"/>
      <c r="Y138" s="38"/>
      <c r="AB138" s="39"/>
      <c r="AC138" s="38"/>
      <c r="AH138" s="39"/>
      <c r="AJ138" s="139"/>
      <c r="AK138" s="139"/>
      <c r="AL138" s="47"/>
      <c r="AM138" s="38"/>
      <c r="AN138" s="163" t="str" cm="1">
        <f t="array" ref="AN138">_xlfn.IFNA(_xlfn.IFS(LEFT(M138,4)="L39N","outside",LEFT(M138,3)="L39","ukstd20"),"")</f>
        <v/>
      </c>
      <c r="AO138" s="85"/>
      <c r="AQ138" s="85"/>
      <c r="BE138" s="38"/>
    </row>
    <row r="139" spans="1:57" x14ac:dyDescent="0.25">
      <c r="A139" s="46"/>
      <c r="B139" s="47"/>
      <c r="D139" s="38"/>
      <c r="E139" s="38"/>
      <c r="F139" s="39"/>
      <c r="G139" s="85"/>
      <c r="H139" s="123"/>
      <c r="I139" s="47"/>
      <c r="J139" s="38"/>
      <c r="K139" s="48"/>
      <c r="M139" s="48"/>
      <c r="N139" s="70"/>
      <c r="P139" s="38"/>
      <c r="Y139" s="38"/>
      <c r="AB139" s="39"/>
      <c r="AC139" s="38"/>
      <c r="AH139" s="39"/>
      <c r="AJ139" s="139"/>
      <c r="AK139" s="139"/>
      <c r="AL139" s="47"/>
      <c r="AM139" s="38"/>
      <c r="AN139" s="163" t="str" cm="1">
        <f t="array" ref="AN139">_xlfn.IFNA(_xlfn.IFS(LEFT(M139,4)="L39N","outside",LEFT(M139,3)="L39","ukstd20"),"")</f>
        <v/>
      </c>
      <c r="AO139" s="85"/>
      <c r="AQ139" s="85"/>
      <c r="BE139" s="38"/>
    </row>
    <row r="140" spans="1:57" x14ac:dyDescent="0.25">
      <c r="A140" s="46"/>
      <c r="B140" s="47"/>
      <c r="D140" s="38"/>
      <c r="E140" s="38"/>
      <c r="F140" s="39"/>
      <c r="G140" s="85"/>
      <c r="H140" s="123"/>
      <c r="I140" s="47"/>
      <c r="J140" s="38"/>
      <c r="K140" s="48"/>
      <c r="M140" s="48"/>
      <c r="N140" s="70"/>
      <c r="P140" s="38"/>
      <c r="Y140" s="38"/>
      <c r="AB140" s="39"/>
      <c r="AC140" s="38"/>
      <c r="AH140" s="39"/>
      <c r="AJ140" s="139"/>
      <c r="AK140" s="139"/>
      <c r="AL140" s="47"/>
      <c r="AM140" s="38"/>
      <c r="AN140" s="163" t="str" cm="1">
        <f t="array" ref="AN140">_xlfn.IFNA(_xlfn.IFS(LEFT(M140,4)="L39N","outside",LEFT(M140,3)="L39","ukstd20"),"")</f>
        <v/>
      </c>
      <c r="AO140" s="85"/>
      <c r="AQ140" s="85"/>
      <c r="BE140" s="38"/>
    </row>
    <row r="141" spans="1:57" x14ac:dyDescent="0.25">
      <c r="A141" s="46"/>
      <c r="B141" s="47"/>
      <c r="D141" s="38"/>
      <c r="E141" s="38"/>
      <c r="F141" s="39"/>
      <c r="G141" s="85"/>
      <c r="H141" s="123"/>
      <c r="I141" s="47"/>
      <c r="J141" s="38"/>
      <c r="K141" s="48"/>
      <c r="M141" s="48"/>
      <c r="N141" s="70"/>
      <c r="P141" s="38"/>
      <c r="Y141" s="38"/>
      <c r="AB141" s="39"/>
      <c r="AC141" s="38"/>
      <c r="AH141" s="39"/>
      <c r="AJ141" s="139"/>
      <c r="AK141" s="139"/>
      <c r="AL141" s="47"/>
      <c r="AM141" s="38"/>
      <c r="AN141" s="163" t="str" cm="1">
        <f t="array" ref="AN141">_xlfn.IFNA(_xlfn.IFS(LEFT(M141,4)="L39N","outside",LEFT(M141,3)="L39","ukstd20"),"")</f>
        <v/>
      </c>
      <c r="AO141" s="85"/>
      <c r="AQ141" s="85"/>
      <c r="BE141" s="38"/>
    </row>
    <row r="142" spans="1:57" x14ac:dyDescent="0.25">
      <c r="A142" s="46"/>
      <c r="B142" s="47"/>
      <c r="D142" s="38"/>
      <c r="E142" s="38"/>
      <c r="F142" s="39"/>
      <c r="G142" s="85"/>
      <c r="H142" s="123"/>
      <c r="I142" s="47"/>
      <c r="J142" s="38"/>
      <c r="K142" s="48"/>
      <c r="M142" s="48"/>
      <c r="N142" s="70"/>
      <c r="P142" s="38"/>
      <c r="Y142" s="38"/>
      <c r="AB142" s="39"/>
      <c r="AC142" s="38"/>
      <c r="AH142" s="39"/>
      <c r="AJ142" s="139"/>
      <c r="AK142" s="139"/>
      <c r="AL142" s="47"/>
      <c r="AM142" s="38"/>
      <c r="AN142" s="163" t="str" cm="1">
        <f t="array" ref="AN142">_xlfn.IFNA(_xlfn.IFS(LEFT(M142,4)="L39N","outside",LEFT(M142,3)="L39","ukstd20"),"")</f>
        <v/>
      </c>
      <c r="AO142" s="85"/>
      <c r="AQ142" s="85"/>
      <c r="BE142" s="38"/>
    </row>
    <row r="143" spans="1:57" x14ac:dyDescent="0.25">
      <c r="A143" s="46"/>
      <c r="B143" s="47"/>
      <c r="D143" s="38"/>
      <c r="E143" s="38"/>
      <c r="F143" s="39"/>
      <c r="G143" s="85"/>
      <c r="H143" s="123"/>
      <c r="I143" s="47"/>
      <c r="J143" s="38"/>
      <c r="K143" s="48"/>
      <c r="M143" s="48"/>
      <c r="N143" s="70"/>
      <c r="P143" s="38"/>
      <c r="Y143" s="38"/>
      <c r="AB143" s="39"/>
      <c r="AC143" s="38"/>
      <c r="AH143" s="39"/>
      <c r="AJ143" s="139"/>
      <c r="AK143" s="139"/>
      <c r="AL143" s="47"/>
      <c r="AM143" s="38"/>
      <c r="AN143" s="163" t="str" cm="1">
        <f t="array" ref="AN143">_xlfn.IFNA(_xlfn.IFS(LEFT(M143,4)="L39N","outside",LEFT(M143,3)="L39","ukstd20"),"")</f>
        <v/>
      </c>
      <c r="AO143" s="85"/>
      <c r="AQ143" s="85"/>
      <c r="BE143" s="38"/>
    </row>
    <row r="144" spans="1:57" x14ac:dyDescent="0.25">
      <c r="A144" s="46"/>
      <c r="B144" s="47"/>
      <c r="D144" s="38"/>
      <c r="E144" s="38"/>
      <c r="F144" s="39"/>
      <c r="G144" s="85"/>
      <c r="H144" s="123"/>
      <c r="I144" s="47"/>
      <c r="J144" s="38"/>
      <c r="K144" s="48"/>
      <c r="M144" s="48"/>
      <c r="N144" s="70"/>
      <c r="P144" s="38"/>
      <c r="Y144" s="38"/>
      <c r="AB144" s="39"/>
      <c r="AC144" s="38"/>
      <c r="AH144" s="39"/>
      <c r="AJ144" s="139"/>
      <c r="AK144" s="139"/>
      <c r="AL144" s="47"/>
      <c r="AM144" s="38"/>
      <c r="AN144" s="163" t="str" cm="1">
        <f t="array" ref="AN144">_xlfn.IFNA(_xlfn.IFS(LEFT(M144,4)="L39N","outside",LEFT(M144,3)="L39","ukstd20"),"")</f>
        <v/>
      </c>
      <c r="AO144" s="85"/>
      <c r="AQ144" s="85"/>
      <c r="BE144" s="38"/>
    </row>
    <row r="145" spans="1:57" x14ac:dyDescent="0.25">
      <c r="A145" s="46"/>
      <c r="B145" s="47"/>
      <c r="D145" s="38"/>
      <c r="E145" s="38"/>
      <c r="F145" s="39"/>
      <c r="G145" s="85"/>
      <c r="H145" s="123"/>
      <c r="I145" s="47"/>
      <c r="J145" s="38"/>
      <c r="K145" s="48"/>
      <c r="M145" s="48"/>
      <c r="N145" s="70"/>
      <c r="P145" s="38"/>
      <c r="Y145" s="38"/>
      <c r="AB145" s="39"/>
      <c r="AC145" s="38"/>
      <c r="AH145" s="39"/>
      <c r="AJ145" s="139"/>
      <c r="AK145" s="139"/>
      <c r="AL145" s="47"/>
      <c r="AM145" s="38"/>
      <c r="AN145" s="163" t="str" cm="1">
        <f t="array" ref="AN145">_xlfn.IFNA(_xlfn.IFS(LEFT(M145,4)="L39N","outside",LEFT(M145,3)="L39","ukstd20"),"")</f>
        <v/>
      </c>
      <c r="AO145" s="85"/>
      <c r="AQ145" s="85"/>
      <c r="BE145" s="38"/>
    </row>
    <row r="146" spans="1:57" x14ac:dyDescent="0.25">
      <c r="A146" s="46"/>
      <c r="B146" s="47"/>
      <c r="D146" s="38"/>
      <c r="E146" s="38"/>
      <c r="F146" s="39"/>
      <c r="G146" s="85"/>
      <c r="H146" s="123"/>
      <c r="I146" s="47"/>
      <c r="J146" s="38"/>
      <c r="K146" s="48"/>
      <c r="M146" s="48"/>
      <c r="N146" s="70"/>
      <c r="P146" s="38"/>
      <c r="Y146" s="38"/>
      <c r="AB146" s="39"/>
      <c r="AC146" s="38"/>
      <c r="AH146" s="39"/>
      <c r="AJ146" s="139"/>
      <c r="AK146" s="139"/>
      <c r="AL146" s="47"/>
      <c r="AM146" s="38"/>
      <c r="AN146" s="163" t="str" cm="1">
        <f t="array" ref="AN146">_xlfn.IFNA(_xlfn.IFS(LEFT(M146,4)="L39N","outside",LEFT(M146,3)="L39","ukstd20"),"")</f>
        <v/>
      </c>
      <c r="AO146" s="85"/>
      <c r="AQ146" s="85"/>
      <c r="BE146" s="38"/>
    </row>
    <row r="147" spans="1:57" x14ac:dyDescent="0.25">
      <c r="A147" s="46"/>
      <c r="B147" s="47"/>
      <c r="D147" s="38"/>
      <c r="E147" s="38"/>
      <c r="F147" s="39"/>
      <c r="G147" s="85"/>
      <c r="H147" s="123"/>
      <c r="I147" s="47"/>
      <c r="J147" s="38"/>
      <c r="K147" s="48"/>
      <c r="M147" s="48"/>
      <c r="N147" s="70"/>
      <c r="P147" s="38"/>
      <c r="Y147" s="38"/>
      <c r="AB147" s="39"/>
      <c r="AC147" s="38"/>
      <c r="AH147" s="39"/>
      <c r="AJ147" s="139"/>
      <c r="AK147" s="139"/>
      <c r="AL147" s="47"/>
      <c r="AM147" s="38"/>
      <c r="AN147" s="163" t="str" cm="1">
        <f t="array" ref="AN147">_xlfn.IFNA(_xlfn.IFS(LEFT(M147,4)="L39N","outside",LEFT(M147,3)="L39","ukstd20"),"")</f>
        <v/>
      </c>
      <c r="AO147" s="85"/>
      <c r="AQ147" s="85"/>
      <c r="BE147" s="38"/>
    </row>
    <row r="148" spans="1:57" x14ac:dyDescent="0.25">
      <c r="A148" s="46"/>
      <c r="B148" s="47"/>
      <c r="D148" s="38"/>
      <c r="E148" s="38"/>
      <c r="F148" s="39"/>
      <c r="G148" s="85"/>
      <c r="H148" s="123"/>
      <c r="I148" s="47"/>
      <c r="J148" s="38"/>
      <c r="K148" s="48"/>
      <c r="M148" s="48"/>
      <c r="N148" s="70"/>
      <c r="P148" s="38"/>
      <c r="Y148" s="38"/>
      <c r="AB148" s="39"/>
      <c r="AC148" s="38"/>
      <c r="AH148" s="39"/>
      <c r="AJ148" s="139"/>
      <c r="AK148" s="139"/>
      <c r="AL148" s="47"/>
      <c r="AM148" s="38"/>
      <c r="AN148" s="163" t="str" cm="1">
        <f t="array" ref="AN148">_xlfn.IFNA(_xlfn.IFS(LEFT(M148,4)="L39N","outside",LEFT(M148,3)="L39","ukstd20"),"")</f>
        <v/>
      </c>
      <c r="AO148" s="85"/>
      <c r="AQ148" s="85"/>
      <c r="BE148" s="38"/>
    </row>
    <row r="149" spans="1:57" x14ac:dyDescent="0.25">
      <c r="A149" s="46"/>
      <c r="B149" s="47"/>
      <c r="D149" s="38"/>
      <c r="E149" s="38"/>
      <c r="F149" s="39"/>
      <c r="G149" s="85"/>
      <c r="H149" s="123"/>
      <c r="I149" s="47"/>
      <c r="J149" s="38"/>
      <c r="K149" s="48"/>
      <c r="M149" s="48"/>
      <c r="N149" s="70"/>
      <c r="P149" s="38"/>
      <c r="Y149" s="38"/>
      <c r="AB149" s="39"/>
      <c r="AC149" s="38"/>
      <c r="AH149" s="39"/>
      <c r="AJ149" s="139"/>
      <c r="AK149" s="139"/>
      <c r="AL149" s="47"/>
      <c r="AM149" s="38"/>
      <c r="AN149" s="163" t="str" cm="1">
        <f t="array" ref="AN149">_xlfn.IFNA(_xlfn.IFS(LEFT(M149,4)="L39N","outside",LEFT(M149,3)="L39","ukstd20"),"")</f>
        <v/>
      </c>
      <c r="AO149" s="85"/>
      <c r="AQ149" s="85"/>
      <c r="BE149" s="38"/>
    </row>
    <row r="150" spans="1:57" x14ac:dyDescent="0.25">
      <c r="A150" s="46"/>
      <c r="B150" s="47"/>
      <c r="D150" s="38"/>
      <c r="E150" s="38"/>
      <c r="F150" s="39"/>
      <c r="G150" s="85"/>
      <c r="H150" s="123"/>
      <c r="I150" s="47"/>
      <c r="J150" s="38"/>
      <c r="K150" s="48"/>
      <c r="M150" s="48"/>
      <c r="N150" s="70"/>
      <c r="P150" s="38"/>
      <c r="Y150" s="38"/>
      <c r="AB150" s="39"/>
      <c r="AC150" s="38"/>
      <c r="AH150" s="39"/>
      <c r="AJ150" s="139"/>
      <c r="AK150" s="139"/>
      <c r="AL150" s="47"/>
      <c r="AM150" s="38"/>
      <c r="AN150" s="163" t="str" cm="1">
        <f t="array" ref="AN150">_xlfn.IFNA(_xlfn.IFS(LEFT(M150,4)="L39N","outside",LEFT(M150,3)="L39","ukstd20"),"")</f>
        <v/>
      </c>
      <c r="AO150" s="85"/>
      <c r="AQ150" s="85"/>
      <c r="BE150" s="38"/>
    </row>
    <row r="151" spans="1:57" x14ac:dyDescent="0.25">
      <c r="A151" s="46"/>
      <c r="B151" s="47"/>
      <c r="D151" s="38"/>
      <c r="E151" s="38"/>
      <c r="F151" s="39"/>
      <c r="G151" s="85"/>
      <c r="H151" s="123"/>
      <c r="I151" s="47"/>
      <c r="J151" s="38"/>
      <c r="K151" s="48"/>
      <c r="M151" s="48"/>
      <c r="N151" s="70"/>
      <c r="P151" s="38"/>
      <c r="Y151" s="38"/>
      <c r="AB151" s="39"/>
      <c r="AC151" s="38"/>
      <c r="AH151" s="39"/>
      <c r="AJ151" s="139"/>
      <c r="AK151" s="139"/>
      <c r="AL151" s="47"/>
      <c r="AM151" s="38"/>
      <c r="AN151" s="163" t="str" cm="1">
        <f t="array" ref="AN151">_xlfn.IFNA(_xlfn.IFS(LEFT(M151,4)="L39N","outside",LEFT(M151,3)="L39","ukstd20"),"")</f>
        <v/>
      </c>
      <c r="AO151" s="85"/>
      <c r="AQ151" s="85"/>
      <c r="BE151" s="38"/>
    </row>
    <row r="152" spans="1:57" x14ac:dyDescent="0.25">
      <c r="A152" s="46"/>
      <c r="B152" s="47"/>
      <c r="D152" s="38"/>
      <c r="E152" s="38"/>
      <c r="F152" s="39"/>
      <c r="G152" s="85"/>
      <c r="H152" s="123"/>
      <c r="I152" s="47"/>
      <c r="J152" s="38"/>
      <c r="K152" s="48"/>
      <c r="M152" s="48"/>
      <c r="N152" s="70"/>
      <c r="P152" s="38"/>
      <c r="Y152" s="38"/>
      <c r="AB152" s="39"/>
      <c r="AC152" s="38"/>
      <c r="AH152" s="39"/>
      <c r="AJ152" s="139"/>
      <c r="AK152" s="139"/>
      <c r="AL152" s="47"/>
      <c r="AM152" s="38"/>
      <c r="AN152" s="163" t="str" cm="1">
        <f t="array" ref="AN152">_xlfn.IFNA(_xlfn.IFS(LEFT(M152,4)="L39N","outside",LEFT(M152,3)="L39","ukstd20"),"")</f>
        <v/>
      </c>
      <c r="AO152" s="85"/>
      <c r="AQ152" s="85"/>
      <c r="BE152" s="38"/>
    </row>
    <row r="153" spans="1:57" x14ac:dyDescent="0.25">
      <c r="A153" s="46"/>
      <c r="B153" s="47"/>
      <c r="D153" s="38"/>
      <c r="E153" s="38"/>
      <c r="F153" s="39"/>
      <c r="G153" s="85"/>
      <c r="H153" s="123"/>
      <c r="I153" s="47"/>
      <c r="J153" s="38"/>
      <c r="K153" s="48"/>
      <c r="M153" s="48"/>
      <c r="N153" s="70"/>
      <c r="P153" s="38"/>
      <c r="Y153" s="38"/>
      <c r="AB153" s="39"/>
      <c r="AC153" s="38"/>
      <c r="AH153" s="39"/>
      <c r="AJ153" s="139"/>
      <c r="AK153" s="139"/>
      <c r="AL153" s="47"/>
      <c r="AM153" s="38"/>
      <c r="AN153" s="163" t="str" cm="1">
        <f t="array" ref="AN153">_xlfn.IFNA(_xlfn.IFS(LEFT(M153,4)="L39N","outside",LEFT(M153,3)="L39","ukstd20"),"")</f>
        <v/>
      </c>
      <c r="AO153" s="85"/>
      <c r="AQ153" s="85"/>
      <c r="BE153" s="38"/>
    </row>
    <row r="154" spans="1:57" x14ac:dyDescent="0.25">
      <c r="A154" s="46"/>
      <c r="B154" s="47"/>
      <c r="D154" s="38"/>
      <c r="E154" s="38"/>
      <c r="F154" s="39"/>
      <c r="G154" s="85"/>
      <c r="H154" s="123"/>
      <c r="I154" s="47"/>
      <c r="J154" s="38"/>
      <c r="K154" s="48"/>
      <c r="M154" s="48"/>
      <c r="N154" s="70"/>
      <c r="P154" s="38"/>
      <c r="Y154" s="38"/>
      <c r="AB154" s="39"/>
      <c r="AC154" s="38"/>
      <c r="AH154" s="39"/>
      <c r="AJ154" s="139"/>
      <c r="AK154" s="139"/>
      <c r="AL154" s="47"/>
      <c r="AM154" s="38"/>
      <c r="AN154" s="163" t="str" cm="1">
        <f t="array" ref="AN154">_xlfn.IFNA(_xlfn.IFS(LEFT(M154,4)="L39N","outside",LEFT(M154,3)="L39","ukstd20"),"")</f>
        <v/>
      </c>
      <c r="AO154" s="85"/>
      <c r="AQ154" s="85"/>
      <c r="BE154" s="38"/>
    </row>
    <row r="155" spans="1:57" x14ac:dyDescent="0.25">
      <c r="A155" s="46"/>
      <c r="B155" s="47"/>
      <c r="D155" s="38"/>
      <c r="E155" s="38"/>
      <c r="F155" s="39"/>
      <c r="G155" s="85"/>
      <c r="H155" s="123"/>
      <c r="I155" s="47"/>
      <c r="J155" s="38"/>
      <c r="K155" s="48"/>
      <c r="M155" s="48"/>
      <c r="N155" s="70"/>
      <c r="P155" s="38"/>
      <c r="Y155" s="38"/>
      <c r="AB155" s="39"/>
      <c r="AC155" s="38"/>
      <c r="AH155" s="39"/>
      <c r="AJ155" s="139"/>
      <c r="AK155" s="139"/>
      <c r="AL155" s="47"/>
      <c r="AM155" s="38"/>
      <c r="AN155" s="163" t="str" cm="1">
        <f t="array" ref="AN155">_xlfn.IFNA(_xlfn.IFS(LEFT(M155,4)="L39N","outside",LEFT(M155,3)="L39","ukstd20"),"")</f>
        <v/>
      </c>
      <c r="AO155" s="85"/>
      <c r="AQ155" s="85"/>
      <c r="BE155" s="38"/>
    </row>
    <row r="156" spans="1:57" x14ac:dyDescent="0.25">
      <c r="A156" s="46"/>
      <c r="B156" s="47"/>
      <c r="D156" s="38"/>
      <c r="E156" s="38"/>
      <c r="F156" s="39"/>
      <c r="G156" s="85"/>
      <c r="H156" s="123"/>
      <c r="I156" s="47"/>
      <c r="J156" s="38"/>
      <c r="K156" s="48"/>
      <c r="M156" s="48"/>
      <c r="N156" s="70"/>
      <c r="P156" s="38"/>
      <c r="Y156" s="38"/>
      <c r="AB156" s="39"/>
      <c r="AC156" s="38"/>
      <c r="AH156" s="39"/>
      <c r="AJ156" s="139"/>
      <c r="AK156" s="139"/>
      <c r="AL156" s="47"/>
      <c r="AM156" s="38"/>
      <c r="AN156" s="163" t="str" cm="1">
        <f t="array" ref="AN156">_xlfn.IFNA(_xlfn.IFS(LEFT(M156,4)="L39N","outside",LEFT(M156,3)="L39","ukstd20"),"")</f>
        <v/>
      </c>
      <c r="AO156" s="85"/>
      <c r="AQ156" s="85"/>
      <c r="BE156" s="38"/>
    </row>
    <row r="157" spans="1:57" x14ac:dyDescent="0.25">
      <c r="A157" s="46"/>
      <c r="B157" s="47"/>
      <c r="D157" s="38"/>
      <c r="E157" s="38"/>
      <c r="F157" s="39"/>
      <c r="G157" s="85"/>
      <c r="H157" s="123"/>
      <c r="I157" s="47"/>
      <c r="J157" s="38"/>
      <c r="K157" s="48"/>
      <c r="M157" s="48"/>
      <c r="N157" s="70"/>
      <c r="P157" s="38"/>
      <c r="Y157" s="38"/>
      <c r="AB157" s="39"/>
      <c r="AC157" s="38"/>
      <c r="AH157" s="39"/>
      <c r="AJ157" s="139"/>
      <c r="AK157" s="139"/>
      <c r="AL157" s="47"/>
      <c r="AM157" s="38"/>
      <c r="AN157" s="163" t="str" cm="1">
        <f t="array" ref="AN157">_xlfn.IFNA(_xlfn.IFS(LEFT(M157,4)="L39N","outside",LEFT(M157,3)="L39","ukstd20"),"")</f>
        <v/>
      </c>
      <c r="AO157" s="85"/>
      <c r="AQ157" s="85"/>
      <c r="BE157" s="38"/>
    </row>
    <row r="158" spans="1:57" x14ac:dyDescent="0.25">
      <c r="A158" s="46"/>
      <c r="B158" s="47"/>
      <c r="D158" s="38"/>
      <c r="E158" s="38"/>
      <c r="F158" s="39"/>
      <c r="G158" s="85"/>
      <c r="H158" s="123"/>
      <c r="I158" s="47"/>
      <c r="J158" s="38"/>
      <c r="K158" s="48"/>
      <c r="M158" s="48"/>
      <c r="N158" s="70"/>
      <c r="P158" s="38"/>
      <c r="Y158" s="38"/>
      <c r="AB158" s="39"/>
      <c r="AC158" s="38"/>
      <c r="AH158" s="39"/>
      <c r="AJ158" s="139"/>
      <c r="AK158" s="139"/>
      <c r="AL158" s="47"/>
      <c r="AM158" s="38"/>
      <c r="AN158" s="163" t="str" cm="1">
        <f t="array" ref="AN158">_xlfn.IFNA(_xlfn.IFS(LEFT(M158,4)="L39N","outside",LEFT(M158,3)="L39","ukstd20"),"")</f>
        <v/>
      </c>
      <c r="AO158" s="85"/>
      <c r="AQ158" s="85"/>
      <c r="BE158" s="38"/>
    </row>
    <row r="159" spans="1:57" x14ac:dyDescent="0.25">
      <c r="A159" s="46"/>
      <c r="B159" s="47"/>
      <c r="D159" s="38"/>
      <c r="E159" s="38"/>
      <c r="F159" s="39"/>
      <c r="G159" s="85"/>
      <c r="H159" s="123"/>
      <c r="I159" s="47"/>
      <c r="J159" s="38"/>
      <c r="K159" s="48"/>
      <c r="M159" s="48"/>
      <c r="N159" s="70"/>
      <c r="P159" s="38"/>
      <c r="Y159" s="38"/>
      <c r="AB159" s="39"/>
      <c r="AC159" s="38"/>
      <c r="AH159" s="39"/>
      <c r="AJ159" s="139"/>
      <c r="AK159" s="139"/>
      <c r="AL159" s="47"/>
      <c r="AM159" s="38"/>
      <c r="AN159" s="163" t="str" cm="1">
        <f t="array" ref="AN159">_xlfn.IFNA(_xlfn.IFS(LEFT(M159,4)="L39N","outside",LEFT(M159,3)="L39","ukstd20"),"")</f>
        <v/>
      </c>
      <c r="AO159" s="85"/>
      <c r="AQ159" s="85"/>
      <c r="BE159" s="38"/>
    </row>
    <row r="160" spans="1:57" x14ac:dyDescent="0.25">
      <c r="A160" s="46"/>
      <c r="B160" s="47"/>
      <c r="D160" s="38"/>
      <c r="E160" s="38"/>
      <c r="F160" s="39"/>
      <c r="G160" s="85"/>
      <c r="H160" s="123"/>
      <c r="I160" s="47"/>
      <c r="J160" s="38"/>
      <c r="K160" s="48"/>
      <c r="M160" s="48"/>
      <c r="N160" s="70"/>
      <c r="P160" s="38"/>
      <c r="Y160" s="38"/>
      <c r="AB160" s="39"/>
      <c r="AC160" s="38"/>
      <c r="AH160" s="39"/>
      <c r="AJ160" s="139"/>
      <c r="AK160" s="139"/>
      <c r="AL160" s="47"/>
      <c r="AM160" s="38"/>
      <c r="AN160" s="163" t="str" cm="1">
        <f t="array" ref="AN160">_xlfn.IFNA(_xlfn.IFS(LEFT(M160,4)="L39N","outside",LEFT(M160,3)="L39","ukstd20"),"")</f>
        <v/>
      </c>
      <c r="AO160" s="85"/>
      <c r="AQ160" s="85"/>
      <c r="BE160" s="38"/>
    </row>
    <row r="161" spans="1:57" x14ac:dyDescent="0.25">
      <c r="A161" s="46"/>
      <c r="B161" s="47"/>
      <c r="D161" s="38"/>
      <c r="E161" s="38"/>
      <c r="F161" s="39"/>
      <c r="G161" s="85"/>
      <c r="H161" s="123"/>
      <c r="I161" s="47"/>
      <c r="J161" s="38"/>
      <c r="K161" s="48"/>
      <c r="M161" s="48"/>
      <c r="N161" s="70"/>
      <c r="P161" s="38"/>
      <c r="Y161" s="38"/>
      <c r="AB161" s="39"/>
      <c r="AC161" s="38"/>
      <c r="AH161" s="39"/>
      <c r="AJ161" s="139"/>
      <c r="AK161" s="139"/>
      <c r="AL161" s="47"/>
      <c r="AM161" s="38"/>
      <c r="AN161" s="163" t="str" cm="1">
        <f t="array" ref="AN161">_xlfn.IFNA(_xlfn.IFS(LEFT(M161,4)="L39N","outside",LEFT(M161,3)="L39","ukstd20"),"")</f>
        <v/>
      </c>
      <c r="AO161" s="85"/>
      <c r="AQ161" s="85"/>
      <c r="BE161" s="38"/>
    </row>
    <row r="162" spans="1:57" x14ac:dyDescent="0.25">
      <c r="A162" s="46"/>
      <c r="B162" s="47"/>
      <c r="D162" s="38"/>
      <c r="E162" s="38"/>
      <c r="F162" s="39"/>
      <c r="G162" s="85"/>
      <c r="H162" s="123"/>
      <c r="I162" s="47"/>
      <c r="J162" s="38"/>
      <c r="K162" s="48"/>
      <c r="M162" s="48"/>
      <c r="N162" s="70"/>
      <c r="P162" s="38"/>
      <c r="Y162" s="38"/>
      <c r="AB162" s="39"/>
      <c r="AC162" s="38"/>
      <c r="AH162" s="39"/>
      <c r="AJ162" s="139"/>
      <c r="AK162" s="139"/>
      <c r="AL162" s="47"/>
      <c r="AM162" s="38"/>
      <c r="AN162" s="163" t="str" cm="1">
        <f t="array" ref="AN162">_xlfn.IFNA(_xlfn.IFS(LEFT(M162,4)="L39N","outside",LEFT(M162,3)="L39","ukstd20"),"")</f>
        <v/>
      </c>
      <c r="AO162" s="85"/>
      <c r="AQ162" s="85"/>
      <c r="BE162" s="38"/>
    </row>
    <row r="163" spans="1:57" x14ac:dyDescent="0.25">
      <c r="A163" s="46"/>
      <c r="B163" s="47"/>
      <c r="D163" s="38"/>
      <c r="E163" s="38"/>
      <c r="F163" s="39"/>
      <c r="G163" s="85"/>
      <c r="H163" s="123"/>
      <c r="I163" s="47"/>
      <c r="J163" s="38"/>
      <c r="K163" s="48"/>
      <c r="M163" s="48"/>
      <c r="N163" s="70"/>
      <c r="P163" s="38"/>
      <c r="Y163" s="38"/>
      <c r="AB163" s="39"/>
      <c r="AC163" s="38"/>
      <c r="AH163" s="39"/>
      <c r="AJ163" s="139"/>
      <c r="AK163" s="139"/>
      <c r="AL163" s="47"/>
      <c r="AM163" s="38"/>
      <c r="AN163" s="163" t="str" cm="1">
        <f t="array" ref="AN163">_xlfn.IFNA(_xlfn.IFS(LEFT(M163,4)="L39N","outside",LEFT(M163,3)="L39","ukstd20"),"")</f>
        <v/>
      </c>
      <c r="AO163" s="85"/>
      <c r="AQ163" s="85"/>
      <c r="BE163" s="38"/>
    </row>
    <row r="164" spans="1:57" x14ac:dyDescent="0.25">
      <c r="A164" s="46"/>
      <c r="B164" s="47"/>
      <c r="D164" s="38"/>
      <c r="E164" s="38"/>
      <c r="F164" s="39"/>
      <c r="G164" s="85"/>
      <c r="H164" s="123"/>
      <c r="I164" s="47"/>
      <c r="J164" s="38"/>
      <c r="K164" s="48"/>
      <c r="M164" s="48"/>
      <c r="N164" s="70"/>
      <c r="P164" s="38"/>
      <c r="Y164" s="38"/>
      <c r="AB164" s="39"/>
      <c r="AC164" s="38"/>
      <c r="AH164" s="39"/>
      <c r="AJ164" s="139"/>
      <c r="AK164" s="139"/>
      <c r="AL164" s="47"/>
      <c r="AM164" s="38"/>
      <c r="AN164" s="163" t="str" cm="1">
        <f t="array" ref="AN164">_xlfn.IFNA(_xlfn.IFS(LEFT(M164,4)="L39N","outside",LEFT(M164,3)="L39","ukstd20"),"")</f>
        <v/>
      </c>
      <c r="AO164" s="85"/>
      <c r="AQ164" s="85"/>
      <c r="BE164" s="38"/>
    </row>
    <row r="165" spans="1:57" x14ac:dyDescent="0.25">
      <c r="A165" s="46"/>
      <c r="B165" s="47"/>
      <c r="D165" s="38"/>
      <c r="E165" s="38"/>
      <c r="F165" s="39"/>
      <c r="G165" s="85"/>
      <c r="H165" s="123"/>
      <c r="I165" s="47"/>
      <c r="J165" s="38"/>
      <c r="K165" s="48"/>
      <c r="M165" s="48"/>
      <c r="N165" s="70"/>
      <c r="P165" s="38"/>
      <c r="Y165" s="38"/>
      <c r="AB165" s="39"/>
      <c r="AC165" s="38"/>
      <c r="AH165" s="39"/>
      <c r="AJ165" s="139"/>
      <c r="AK165" s="139"/>
      <c r="AL165" s="47"/>
      <c r="AM165" s="38"/>
      <c r="AN165" s="163" t="str" cm="1">
        <f t="array" ref="AN165">_xlfn.IFNA(_xlfn.IFS(LEFT(M165,4)="L39N","outside",LEFT(M165,3)="L39","ukstd20"),"")</f>
        <v/>
      </c>
      <c r="AO165" s="85"/>
      <c r="AQ165" s="85"/>
      <c r="BE165" s="38"/>
    </row>
    <row r="166" spans="1:57" x14ac:dyDescent="0.25">
      <c r="A166" s="46"/>
      <c r="B166" s="47"/>
      <c r="D166" s="38"/>
      <c r="E166" s="38"/>
      <c r="F166" s="39"/>
      <c r="G166" s="85"/>
      <c r="H166" s="123"/>
      <c r="I166" s="47"/>
      <c r="J166" s="38"/>
      <c r="K166" s="48"/>
      <c r="M166" s="48"/>
      <c r="N166" s="70"/>
      <c r="P166" s="38"/>
      <c r="Y166" s="38"/>
      <c r="AB166" s="39"/>
      <c r="AC166" s="38"/>
      <c r="AH166" s="39"/>
      <c r="AJ166" s="139"/>
      <c r="AK166" s="139"/>
      <c r="AL166" s="47"/>
      <c r="AM166" s="38"/>
      <c r="AN166" s="163" t="str" cm="1">
        <f t="array" ref="AN166">_xlfn.IFNA(_xlfn.IFS(LEFT(M166,4)="L39N","outside",LEFT(M166,3)="L39","ukstd20"),"")</f>
        <v/>
      </c>
      <c r="AO166" s="85"/>
      <c r="AQ166" s="85"/>
      <c r="BE166" s="38"/>
    </row>
    <row r="167" spans="1:57" x14ac:dyDescent="0.25">
      <c r="A167" s="46"/>
      <c r="B167" s="47"/>
      <c r="D167" s="38"/>
      <c r="E167" s="38"/>
      <c r="F167" s="39"/>
      <c r="G167" s="85"/>
      <c r="H167" s="123"/>
      <c r="I167" s="47"/>
      <c r="J167" s="38"/>
      <c r="K167" s="48"/>
      <c r="M167" s="48"/>
      <c r="N167" s="70"/>
      <c r="P167" s="38"/>
      <c r="Y167" s="38"/>
      <c r="AB167" s="39"/>
      <c r="AC167" s="38"/>
      <c r="AH167" s="39"/>
      <c r="AJ167" s="139"/>
      <c r="AK167" s="139"/>
      <c r="AL167" s="47"/>
      <c r="AM167" s="38"/>
      <c r="AN167" s="163" t="str" cm="1">
        <f t="array" ref="AN167">_xlfn.IFNA(_xlfn.IFS(LEFT(M167,4)="L39N","outside",LEFT(M167,3)="L39","ukstd20"),"")</f>
        <v/>
      </c>
      <c r="AO167" s="85"/>
      <c r="AQ167" s="85"/>
      <c r="BE167" s="38"/>
    </row>
    <row r="168" spans="1:57" x14ac:dyDescent="0.25">
      <c r="A168" s="46"/>
      <c r="B168" s="47"/>
      <c r="D168" s="38"/>
      <c r="E168" s="38"/>
      <c r="F168" s="39"/>
      <c r="G168" s="85"/>
      <c r="H168" s="123"/>
      <c r="I168" s="47"/>
      <c r="J168" s="38"/>
      <c r="K168" s="48"/>
      <c r="M168" s="48"/>
      <c r="N168" s="70"/>
      <c r="P168" s="38"/>
      <c r="Y168" s="38"/>
      <c r="AB168" s="39"/>
      <c r="AC168" s="38"/>
      <c r="AH168" s="39"/>
      <c r="AJ168" s="139"/>
      <c r="AK168" s="139"/>
      <c r="AL168" s="47"/>
      <c r="AM168" s="38"/>
      <c r="AN168" s="163" t="str" cm="1">
        <f t="array" ref="AN168">_xlfn.IFNA(_xlfn.IFS(LEFT(M168,4)="L39N","outside",LEFT(M168,3)="L39","ukstd20"),"")</f>
        <v/>
      </c>
      <c r="AO168" s="85"/>
      <c r="AQ168" s="85"/>
      <c r="BE168" s="38"/>
    </row>
    <row r="169" spans="1:57" x14ac:dyDescent="0.25">
      <c r="A169" s="46"/>
      <c r="B169" s="47"/>
      <c r="D169" s="38"/>
      <c r="E169" s="38"/>
      <c r="F169" s="39"/>
      <c r="G169" s="85"/>
      <c r="H169" s="123"/>
      <c r="I169" s="47"/>
      <c r="J169" s="38"/>
      <c r="K169" s="48"/>
      <c r="M169" s="48"/>
      <c r="N169" s="70"/>
      <c r="P169" s="38"/>
      <c r="Y169" s="38"/>
      <c r="AB169" s="39"/>
      <c r="AC169" s="38"/>
      <c r="AH169" s="39"/>
      <c r="AJ169" s="139"/>
      <c r="AK169" s="139"/>
      <c r="AL169" s="47"/>
      <c r="AM169" s="38"/>
      <c r="AN169" s="163" t="str" cm="1">
        <f t="array" ref="AN169">_xlfn.IFNA(_xlfn.IFS(LEFT(M169,4)="L39N","outside",LEFT(M169,3)="L39","ukstd20"),"")</f>
        <v/>
      </c>
      <c r="AO169" s="85"/>
      <c r="AQ169" s="85"/>
      <c r="BE169" s="38"/>
    </row>
    <row r="170" spans="1:57" x14ac:dyDescent="0.25">
      <c r="A170" s="46"/>
      <c r="B170" s="47"/>
      <c r="D170" s="38"/>
      <c r="E170" s="38"/>
      <c r="F170" s="39"/>
      <c r="G170" s="85"/>
      <c r="H170" s="123"/>
      <c r="I170" s="47"/>
      <c r="J170" s="38"/>
      <c r="K170" s="48"/>
      <c r="M170" s="48"/>
      <c r="N170" s="70"/>
      <c r="P170" s="38"/>
      <c r="Y170" s="38"/>
      <c r="AB170" s="39"/>
      <c r="AC170" s="38"/>
      <c r="AH170" s="39"/>
      <c r="AJ170" s="139"/>
      <c r="AK170" s="139"/>
      <c r="AL170" s="47"/>
      <c r="AM170" s="38"/>
      <c r="AN170" s="163" t="str" cm="1">
        <f t="array" ref="AN170">_xlfn.IFNA(_xlfn.IFS(LEFT(M170,4)="L39N","outside",LEFT(M170,3)="L39","ukstd20"),"")</f>
        <v/>
      </c>
      <c r="AO170" s="85"/>
      <c r="AQ170" s="85"/>
      <c r="BE170" s="38"/>
    </row>
    <row r="171" spans="1:57" x14ac:dyDescent="0.25">
      <c r="A171" s="46"/>
      <c r="B171" s="47"/>
      <c r="D171" s="38"/>
      <c r="E171" s="38"/>
      <c r="F171" s="39"/>
      <c r="G171" s="85"/>
      <c r="H171" s="123"/>
      <c r="I171" s="47"/>
      <c r="J171" s="38"/>
      <c r="K171" s="48"/>
      <c r="M171" s="48"/>
      <c r="N171" s="70"/>
      <c r="P171" s="38"/>
      <c r="Y171" s="38"/>
      <c r="AB171" s="39"/>
      <c r="AC171" s="38"/>
      <c r="AH171" s="39"/>
      <c r="AJ171" s="139"/>
      <c r="AK171" s="139"/>
      <c r="AL171" s="47"/>
      <c r="AM171" s="38"/>
      <c r="AN171" s="163" t="str" cm="1">
        <f t="array" ref="AN171">_xlfn.IFNA(_xlfn.IFS(LEFT(M171,4)="L39N","outside",LEFT(M171,3)="L39","ukstd20"),"")</f>
        <v/>
      </c>
      <c r="AO171" s="85"/>
      <c r="AQ171" s="85"/>
      <c r="BE171" s="38"/>
    </row>
    <row r="172" spans="1:57" x14ac:dyDescent="0.25">
      <c r="A172" s="46"/>
      <c r="B172" s="47"/>
      <c r="D172" s="38"/>
      <c r="E172" s="38"/>
      <c r="F172" s="39"/>
      <c r="G172" s="85"/>
      <c r="H172" s="123"/>
      <c r="I172" s="47"/>
      <c r="J172" s="38"/>
      <c r="K172" s="48"/>
      <c r="M172" s="48"/>
      <c r="N172" s="70"/>
      <c r="P172" s="38"/>
      <c r="Y172" s="38"/>
      <c r="AB172" s="39"/>
      <c r="AC172" s="38"/>
      <c r="AH172" s="39"/>
      <c r="AJ172" s="139"/>
      <c r="AK172" s="139"/>
      <c r="AL172" s="47"/>
      <c r="AM172" s="38"/>
      <c r="AN172" s="163" t="str" cm="1">
        <f t="array" ref="AN172">_xlfn.IFNA(_xlfn.IFS(LEFT(M172,4)="L39N","outside",LEFT(M172,3)="L39","ukstd20"),"")</f>
        <v/>
      </c>
      <c r="AO172" s="85"/>
      <c r="AQ172" s="85"/>
      <c r="BE172" s="38"/>
    </row>
    <row r="173" spans="1:57" x14ac:dyDescent="0.25">
      <c r="A173" s="46"/>
      <c r="B173" s="47"/>
      <c r="D173" s="38"/>
      <c r="E173" s="38"/>
      <c r="F173" s="39"/>
      <c r="G173" s="85"/>
      <c r="H173" s="123"/>
      <c r="I173" s="47"/>
      <c r="J173" s="38"/>
      <c r="K173" s="48"/>
      <c r="M173" s="48"/>
      <c r="N173" s="70"/>
      <c r="P173" s="38"/>
      <c r="Y173" s="38"/>
      <c r="AB173" s="39"/>
      <c r="AC173" s="38"/>
      <c r="AH173" s="39"/>
      <c r="AJ173" s="139"/>
      <c r="AK173" s="139"/>
      <c r="AL173" s="47"/>
      <c r="AM173" s="38"/>
      <c r="AN173" s="163" t="str" cm="1">
        <f t="array" ref="AN173">_xlfn.IFNA(_xlfn.IFS(LEFT(M173,4)="L39N","outside",LEFT(M173,3)="L39","ukstd20"),"")</f>
        <v/>
      </c>
      <c r="AO173" s="85"/>
      <c r="AQ173" s="85"/>
      <c r="BE173" s="38"/>
    </row>
    <row r="174" spans="1:57" x14ac:dyDescent="0.25">
      <c r="A174" s="46"/>
      <c r="B174" s="47"/>
      <c r="D174" s="38"/>
      <c r="E174" s="38"/>
      <c r="F174" s="39"/>
      <c r="G174" s="85"/>
      <c r="H174" s="123"/>
      <c r="I174" s="47"/>
      <c r="J174" s="38"/>
      <c r="K174" s="48"/>
      <c r="M174" s="48"/>
      <c r="N174" s="70"/>
      <c r="P174" s="38"/>
      <c r="Y174" s="38"/>
      <c r="AB174" s="39"/>
      <c r="AC174" s="38"/>
      <c r="AH174" s="39"/>
      <c r="AJ174" s="139"/>
      <c r="AK174" s="139"/>
      <c r="AL174" s="47"/>
      <c r="AM174" s="38"/>
      <c r="AN174" s="163" t="str" cm="1">
        <f t="array" ref="AN174">_xlfn.IFNA(_xlfn.IFS(LEFT(M174,4)="L39N","outside",LEFT(M174,3)="L39","ukstd20"),"")</f>
        <v/>
      </c>
      <c r="AO174" s="85"/>
      <c r="AQ174" s="85"/>
      <c r="BE174" s="38"/>
    </row>
    <row r="175" spans="1:57" x14ac:dyDescent="0.25">
      <c r="A175" s="46"/>
      <c r="B175" s="47"/>
      <c r="D175" s="38"/>
      <c r="E175" s="38"/>
      <c r="F175" s="39"/>
      <c r="G175" s="85"/>
      <c r="H175" s="123"/>
      <c r="I175" s="47"/>
      <c r="J175" s="38"/>
      <c r="K175" s="48"/>
      <c r="M175" s="48"/>
      <c r="N175" s="70"/>
      <c r="P175" s="38"/>
      <c r="Y175" s="38"/>
      <c r="AB175" s="39"/>
      <c r="AC175" s="38"/>
      <c r="AH175" s="39"/>
      <c r="AJ175" s="139"/>
      <c r="AK175" s="139"/>
      <c r="AL175" s="47"/>
      <c r="AM175" s="38"/>
      <c r="AN175" s="163" t="str" cm="1">
        <f t="array" ref="AN175">_xlfn.IFNA(_xlfn.IFS(LEFT(M175,4)="L39N","outside",LEFT(M175,3)="L39","ukstd20"),"")</f>
        <v/>
      </c>
      <c r="AO175" s="85"/>
      <c r="AQ175" s="85"/>
      <c r="BE175" s="38"/>
    </row>
    <row r="176" spans="1:57" x14ac:dyDescent="0.25">
      <c r="A176" s="46"/>
      <c r="B176" s="47"/>
      <c r="D176" s="38"/>
      <c r="E176" s="38"/>
      <c r="F176" s="39"/>
      <c r="G176" s="85"/>
      <c r="H176" s="123"/>
      <c r="I176" s="47"/>
      <c r="J176" s="38"/>
      <c r="K176" s="48"/>
      <c r="M176" s="48"/>
      <c r="N176" s="70"/>
      <c r="P176" s="38"/>
      <c r="Y176" s="38"/>
      <c r="AB176" s="39"/>
      <c r="AC176" s="38"/>
      <c r="AH176" s="39"/>
      <c r="AJ176" s="139"/>
      <c r="AK176" s="139"/>
      <c r="AL176" s="47"/>
      <c r="AM176" s="38"/>
      <c r="AN176" s="163" t="str" cm="1">
        <f t="array" ref="AN176">_xlfn.IFNA(_xlfn.IFS(LEFT(M176,4)="L39N","outside",LEFT(M176,3)="L39","ukstd20"),"")</f>
        <v/>
      </c>
      <c r="AO176" s="85"/>
      <c r="AQ176" s="85"/>
      <c r="BE176" s="38"/>
    </row>
    <row r="177" spans="1:57" x14ac:dyDescent="0.25">
      <c r="A177" s="46"/>
      <c r="B177" s="47"/>
      <c r="D177" s="38"/>
      <c r="E177" s="38"/>
      <c r="F177" s="39"/>
      <c r="G177" s="85"/>
      <c r="H177" s="123"/>
      <c r="I177" s="47"/>
      <c r="J177" s="38"/>
      <c r="K177" s="48"/>
      <c r="M177" s="48"/>
      <c r="N177" s="70"/>
      <c r="P177" s="38"/>
      <c r="Y177" s="38"/>
      <c r="AB177" s="39"/>
      <c r="AC177" s="38"/>
      <c r="AH177" s="39"/>
      <c r="AJ177" s="139"/>
      <c r="AK177" s="139"/>
      <c r="AL177" s="47"/>
      <c r="AM177" s="38"/>
      <c r="AN177" s="163" t="str" cm="1">
        <f t="array" ref="AN177">_xlfn.IFNA(_xlfn.IFS(LEFT(M177,4)="L39N","outside",LEFT(M177,3)="L39","ukstd20"),"")</f>
        <v/>
      </c>
      <c r="AO177" s="85"/>
      <c r="AQ177" s="85"/>
      <c r="BE177" s="38"/>
    </row>
    <row r="178" spans="1:57" x14ac:dyDescent="0.25">
      <c r="A178" s="46"/>
      <c r="B178" s="47"/>
      <c r="D178" s="38"/>
      <c r="E178" s="38"/>
      <c r="F178" s="39"/>
      <c r="G178" s="85"/>
      <c r="H178" s="123"/>
      <c r="I178" s="47"/>
      <c r="J178" s="38"/>
      <c r="K178" s="48"/>
      <c r="M178" s="48"/>
      <c r="N178" s="70"/>
      <c r="P178" s="38"/>
      <c r="Y178" s="38"/>
      <c r="AB178" s="39"/>
      <c r="AC178" s="38"/>
      <c r="AH178" s="39"/>
      <c r="AJ178" s="139"/>
      <c r="AK178" s="139"/>
      <c r="AL178" s="47"/>
      <c r="AM178" s="38"/>
      <c r="AN178" s="163" t="str" cm="1">
        <f t="array" ref="AN178">_xlfn.IFNA(_xlfn.IFS(LEFT(M178,4)="L39N","outside",LEFT(M178,3)="L39","ukstd20"),"")</f>
        <v/>
      </c>
      <c r="AO178" s="85"/>
      <c r="AQ178" s="85"/>
      <c r="BE178" s="38"/>
    </row>
    <row r="179" spans="1:57" x14ac:dyDescent="0.25">
      <c r="A179" s="46"/>
      <c r="B179" s="47"/>
      <c r="D179" s="38"/>
      <c r="E179" s="38"/>
      <c r="F179" s="39"/>
      <c r="G179" s="85"/>
      <c r="H179" s="123"/>
      <c r="I179" s="47"/>
      <c r="J179" s="38"/>
      <c r="K179" s="48"/>
      <c r="M179" s="48"/>
      <c r="N179" s="70"/>
      <c r="P179" s="38"/>
      <c r="Y179" s="38"/>
      <c r="AB179" s="39"/>
      <c r="AC179" s="38"/>
      <c r="AH179" s="39"/>
      <c r="AJ179" s="139"/>
      <c r="AK179" s="139"/>
      <c r="AL179" s="47"/>
      <c r="AM179" s="38"/>
      <c r="AN179" s="163" t="str" cm="1">
        <f t="array" ref="AN179">_xlfn.IFNA(_xlfn.IFS(LEFT(M179,4)="L39N","outside",LEFT(M179,3)="L39","ukstd20"),"")</f>
        <v/>
      </c>
      <c r="AO179" s="85"/>
      <c r="AQ179" s="85"/>
      <c r="BE179" s="38"/>
    </row>
    <row r="180" spans="1:57" x14ac:dyDescent="0.25">
      <c r="A180" s="46"/>
      <c r="B180" s="47"/>
      <c r="D180" s="38"/>
      <c r="E180" s="38"/>
      <c r="F180" s="39"/>
      <c r="G180" s="85"/>
      <c r="H180" s="123"/>
      <c r="I180" s="47"/>
      <c r="J180" s="38"/>
      <c r="K180" s="48"/>
      <c r="M180" s="48"/>
      <c r="N180" s="70"/>
      <c r="P180" s="38"/>
      <c r="Y180" s="38"/>
      <c r="AB180" s="39"/>
      <c r="AC180" s="38"/>
      <c r="AH180" s="39"/>
      <c r="AJ180" s="139"/>
      <c r="AK180" s="139"/>
      <c r="AL180" s="47"/>
      <c r="AM180" s="38"/>
      <c r="AN180" s="163" t="str" cm="1">
        <f t="array" ref="AN180">_xlfn.IFNA(_xlfn.IFS(LEFT(M180,4)="L39N","outside",LEFT(M180,3)="L39","ukstd20"),"")</f>
        <v/>
      </c>
      <c r="AO180" s="85"/>
      <c r="AQ180" s="85"/>
      <c r="BE180" s="38"/>
    </row>
    <row r="181" spans="1:57" x14ac:dyDescent="0.25">
      <c r="A181" s="46"/>
      <c r="B181" s="47"/>
      <c r="D181" s="38"/>
      <c r="E181" s="38"/>
      <c r="F181" s="39"/>
      <c r="G181" s="85"/>
      <c r="H181" s="123"/>
      <c r="I181" s="47"/>
      <c r="J181" s="38"/>
      <c r="K181" s="48"/>
      <c r="M181" s="48"/>
      <c r="N181" s="70"/>
      <c r="P181" s="38"/>
      <c r="Y181" s="38"/>
      <c r="AB181" s="39"/>
      <c r="AC181" s="38"/>
      <c r="AH181" s="39"/>
      <c r="AJ181" s="139"/>
      <c r="AK181" s="139"/>
      <c r="AL181" s="47"/>
      <c r="AM181" s="38"/>
      <c r="AN181" s="163" t="str" cm="1">
        <f t="array" ref="AN181">_xlfn.IFNA(_xlfn.IFS(LEFT(M181,4)="L39N","outside",LEFT(M181,3)="L39","ukstd20"),"")</f>
        <v/>
      </c>
      <c r="AO181" s="85"/>
      <c r="AQ181" s="85"/>
      <c r="BE181" s="38"/>
    </row>
    <row r="182" spans="1:57" x14ac:dyDescent="0.25">
      <c r="A182" s="46"/>
      <c r="B182" s="47"/>
      <c r="D182" s="38"/>
      <c r="E182" s="38"/>
      <c r="F182" s="39"/>
      <c r="G182" s="85"/>
      <c r="H182" s="123"/>
      <c r="I182" s="47"/>
      <c r="J182" s="38"/>
      <c r="K182" s="48"/>
      <c r="M182" s="48"/>
      <c r="N182" s="70"/>
      <c r="P182" s="38"/>
      <c r="Y182" s="38"/>
      <c r="AB182" s="39"/>
      <c r="AC182" s="38"/>
      <c r="AH182" s="39"/>
      <c r="AJ182" s="139"/>
      <c r="AK182" s="139"/>
      <c r="AL182" s="47"/>
      <c r="AM182" s="38"/>
      <c r="AN182" s="163" t="str" cm="1">
        <f t="array" ref="AN182">_xlfn.IFNA(_xlfn.IFS(LEFT(M182,4)="L39N","outside",LEFT(M182,3)="L39","ukstd20"),"")</f>
        <v/>
      </c>
      <c r="AO182" s="85"/>
      <c r="AQ182" s="85"/>
      <c r="BE182" s="38"/>
    </row>
    <row r="183" spans="1:57" x14ac:dyDescent="0.25">
      <c r="A183" s="46"/>
      <c r="B183" s="47"/>
      <c r="D183" s="38"/>
      <c r="E183" s="38"/>
      <c r="F183" s="39"/>
      <c r="G183" s="85"/>
      <c r="H183" s="123"/>
      <c r="I183" s="47"/>
      <c r="J183" s="38"/>
      <c r="K183" s="48"/>
      <c r="M183" s="48"/>
      <c r="N183" s="70"/>
      <c r="P183" s="38"/>
      <c r="Y183" s="38"/>
      <c r="AB183" s="39"/>
      <c r="AC183" s="38"/>
      <c r="AH183" s="39"/>
      <c r="AJ183" s="139"/>
      <c r="AK183" s="139"/>
      <c r="AL183" s="47"/>
      <c r="AM183" s="38"/>
      <c r="AN183" s="163" t="str" cm="1">
        <f t="array" ref="AN183">_xlfn.IFNA(_xlfn.IFS(LEFT(M183,4)="L39N","outside",LEFT(M183,3)="L39","ukstd20"),"")</f>
        <v/>
      </c>
      <c r="AO183" s="85"/>
      <c r="AQ183" s="85"/>
      <c r="BE183" s="38"/>
    </row>
    <row r="184" spans="1:57" x14ac:dyDescent="0.25">
      <c r="A184" s="46"/>
      <c r="B184" s="47"/>
      <c r="D184" s="38"/>
      <c r="E184" s="38"/>
      <c r="F184" s="39"/>
      <c r="G184" s="85"/>
      <c r="H184" s="123"/>
      <c r="I184" s="47"/>
      <c r="J184" s="38"/>
      <c r="K184" s="48"/>
      <c r="M184" s="48"/>
      <c r="N184" s="70"/>
      <c r="P184" s="38"/>
      <c r="Y184" s="38"/>
      <c r="AB184" s="39"/>
      <c r="AC184" s="38"/>
      <c r="AH184" s="39"/>
      <c r="AJ184" s="139"/>
      <c r="AK184" s="139"/>
      <c r="AL184" s="47"/>
      <c r="AM184" s="38"/>
      <c r="AN184" s="163" t="str" cm="1">
        <f t="array" ref="AN184">_xlfn.IFNA(_xlfn.IFS(LEFT(M184,4)="L39N","outside",LEFT(M184,3)="L39","ukstd20"),"")</f>
        <v/>
      </c>
      <c r="AO184" s="85"/>
      <c r="AQ184" s="85"/>
      <c r="BE184" s="38"/>
    </row>
    <row r="185" spans="1:57" x14ac:dyDescent="0.25">
      <c r="A185" s="46"/>
      <c r="B185" s="47"/>
      <c r="D185" s="38"/>
      <c r="E185" s="38"/>
      <c r="F185" s="39"/>
      <c r="G185" s="85"/>
      <c r="H185" s="123"/>
      <c r="I185" s="47"/>
      <c r="J185" s="38"/>
      <c r="K185" s="48"/>
      <c r="M185" s="48"/>
      <c r="N185" s="70"/>
      <c r="P185" s="38"/>
      <c r="Y185" s="38"/>
      <c r="AB185" s="39"/>
      <c r="AC185" s="38"/>
      <c r="AH185" s="39"/>
      <c r="AJ185" s="139"/>
      <c r="AK185" s="139"/>
      <c r="AL185" s="47"/>
      <c r="AM185" s="38"/>
      <c r="AN185" s="163" t="str" cm="1">
        <f t="array" ref="AN185">_xlfn.IFNA(_xlfn.IFS(LEFT(M185,4)="L39N","outside",LEFT(M185,3)="L39","ukstd20"),"")</f>
        <v/>
      </c>
      <c r="AO185" s="85"/>
      <c r="AQ185" s="85"/>
      <c r="BE185" s="38"/>
    </row>
    <row r="186" spans="1:57" x14ac:dyDescent="0.25">
      <c r="A186" s="46"/>
      <c r="B186" s="47"/>
      <c r="D186" s="38"/>
      <c r="E186" s="38"/>
      <c r="F186" s="39"/>
      <c r="G186" s="85"/>
      <c r="H186" s="123"/>
      <c r="I186" s="47"/>
      <c r="J186" s="38"/>
      <c r="K186" s="48"/>
      <c r="M186" s="48"/>
      <c r="N186" s="70"/>
      <c r="P186" s="38"/>
      <c r="Y186" s="38"/>
      <c r="AB186" s="39"/>
      <c r="AC186" s="38"/>
      <c r="AH186" s="39"/>
      <c r="AJ186" s="139"/>
      <c r="AK186" s="139"/>
      <c r="AL186" s="47"/>
      <c r="AM186" s="38"/>
      <c r="AN186" s="163" t="str" cm="1">
        <f t="array" ref="AN186">_xlfn.IFNA(_xlfn.IFS(LEFT(M186,4)="L39N","outside",LEFT(M186,3)="L39","ukstd20"),"")</f>
        <v/>
      </c>
      <c r="AO186" s="85"/>
      <c r="AQ186" s="85"/>
      <c r="BE186" s="38"/>
    </row>
    <row r="187" spans="1:57" x14ac:dyDescent="0.25">
      <c r="A187" s="46"/>
      <c r="B187" s="47"/>
      <c r="D187" s="38"/>
      <c r="E187" s="38"/>
      <c r="F187" s="39"/>
      <c r="G187" s="85"/>
      <c r="H187" s="123"/>
      <c r="I187" s="47"/>
      <c r="J187" s="38"/>
      <c r="K187" s="48"/>
      <c r="M187" s="48"/>
      <c r="N187" s="70"/>
      <c r="P187" s="38"/>
      <c r="Y187" s="38"/>
      <c r="AB187" s="39"/>
      <c r="AC187" s="38"/>
      <c r="AH187" s="39"/>
      <c r="AJ187" s="139"/>
      <c r="AK187" s="139"/>
      <c r="AL187" s="47"/>
      <c r="AM187" s="38"/>
      <c r="AN187" s="163" t="str" cm="1">
        <f t="array" ref="AN187">_xlfn.IFNA(_xlfn.IFS(LEFT(M187,4)="L39N","outside",LEFT(M187,3)="L39","ukstd20"),"")</f>
        <v/>
      </c>
      <c r="AO187" s="85"/>
      <c r="AQ187" s="85"/>
    </row>
    <row r="188" spans="1:57" x14ac:dyDescent="0.25">
      <c r="A188" s="46"/>
      <c r="B188" s="47"/>
      <c r="D188" s="38"/>
      <c r="E188" s="38"/>
      <c r="F188" s="39"/>
      <c r="G188" s="85"/>
      <c r="H188" s="123"/>
      <c r="I188" s="47"/>
      <c r="J188" s="38"/>
      <c r="K188" s="48"/>
      <c r="M188" s="48"/>
      <c r="N188" s="70"/>
      <c r="P188" s="38"/>
      <c r="Y188" s="38"/>
      <c r="AB188" s="39"/>
      <c r="AC188" s="38"/>
      <c r="AH188" s="39"/>
      <c r="AJ188" s="139"/>
      <c r="AK188" s="139"/>
      <c r="AL188" s="47"/>
      <c r="AM188" s="38"/>
      <c r="AN188" s="163" t="str" cm="1">
        <f t="array" ref="AN188">_xlfn.IFNA(_xlfn.IFS(LEFT(M188,4)="L39N","outside",LEFT(M188,3)="L39","ukstd20"),"")</f>
        <v/>
      </c>
      <c r="AO188" s="85"/>
      <c r="AQ188" s="85"/>
    </row>
    <row r="189" spans="1:57" x14ac:dyDescent="0.25">
      <c r="A189" s="46"/>
      <c r="B189" s="47"/>
      <c r="D189" s="38"/>
      <c r="E189" s="38"/>
      <c r="F189" s="39"/>
      <c r="G189" s="85"/>
      <c r="H189" s="123"/>
      <c r="I189" s="47"/>
      <c r="J189" s="38"/>
      <c r="K189" s="48"/>
      <c r="M189" s="48"/>
      <c r="N189" s="70"/>
      <c r="P189" s="38"/>
      <c r="Y189" s="38"/>
      <c r="AB189" s="39"/>
      <c r="AC189" s="38"/>
      <c r="AH189" s="39"/>
      <c r="AJ189" s="139"/>
      <c r="AK189" s="139"/>
      <c r="AL189" s="47"/>
      <c r="AM189" s="38"/>
      <c r="AN189" s="163" t="str" cm="1">
        <f t="array" ref="AN189">_xlfn.IFNA(_xlfn.IFS(LEFT(M189,4)="L39N","outside",LEFT(M189,3)="L39","ukstd20"),"")</f>
        <v/>
      </c>
      <c r="AO189" s="85"/>
      <c r="AQ189" s="85"/>
    </row>
    <row r="190" spans="1:57" x14ac:dyDescent="0.25">
      <c r="A190" s="46"/>
      <c r="B190" s="47"/>
      <c r="D190" s="38"/>
      <c r="E190" s="38"/>
      <c r="F190" s="39"/>
      <c r="G190" s="85"/>
      <c r="H190" s="123"/>
      <c r="I190" s="47"/>
      <c r="J190" s="38"/>
      <c r="K190" s="48"/>
      <c r="M190" s="48"/>
      <c r="N190" s="70"/>
      <c r="P190" s="38"/>
      <c r="Y190" s="38"/>
      <c r="AB190" s="39"/>
      <c r="AC190" s="38"/>
      <c r="AH190" s="39"/>
      <c r="AJ190" s="139"/>
      <c r="AK190" s="139"/>
      <c r="AL190" s="47"/>
      <c r="AM190" s="38"/>
      <c r="AN190" s="163" t="str" cm="1">
        <f t="array" ref="AN190">_xlfn.IFNA(_xlfn.IFS(LEFT(M190,4)="L39N","outside",LEFT(M190,3)="L39","ukstd20"),"")</f>
        <v/>
      </c>
      <c r="AO190" s="85"/>
      <c r="AQ190" s="85"/>
    </row>
    <row r="191" spans="1:57" x14ac:dyDescent="0.25">
      <c r="A191" s="46"/>
      <c r="B191" s="47"/>
      <c r="D191" s="38"/>
      <c r="E191" s="38"/>
      <c r="F191" s="39"/>
      <c r="G191" s="85"/>
      <c r="H191" s="123"/>
      <c r="I191" s="47"/>
      <c r="J191" s="38"/>
      <c r="K191" s="48"/>
      <c r="M191" s="48"/>
      <c r="N191" s="70"/>
      <c r="P191" s="38"/>
      <c r="Y191" s="38"/>
      <c r="AB191" s="39"/>
      <c r="AC191" s="38"/>
      <c r="AH191" s="39"/>
      <c r="AJ191" s="139"/>
      <c r="AK191" s="139"/>
      <c r="AL191" s="47"/>
      <c r="AM191" s="38"/>
      <c r="AN191" s="163" t="str" cm="1">
        <f t="array" ref="AN191">_xlfn.IFNA(_xlfn.IFS(LEFT(M191,4)="L39N","outside",LEFT(M191,3)="L39","ukstd20"),"")</f>
        <v/>
      </c>
      <c r="AO191" s="85"/>
      <c r="AQ191" s="85"/>
    </row>
    <row r="192" spans="1:57" x14ac:dyDescent="0.25">
      <c r="A192" s="46"/>
      <c r="B192" s="47"/>
      <c r="D192" s="38"/>
      <c r="E192" s="38"/>
      <c r="F192" s="39"/>
      <c r="G192" s="85"/>
      <c r="H192" s="123"/>
      <c r="I192" s="47"/>
      <c r="J192" s="38"/>
      <c r="K192" s="48"/>
      <c r="M192" s="48"/>
      <c r="N192" s="70"/>
      <c r="P192" s="38"/>
      <c r="Y192" s="38"/>
      <c r="AB192" s="39"/>
      <c r="AC192" s="38"/>
      <c r="AH192" s="39"/>
      <c r="AJ192" s="139"/>
      <c r="AK192" s="139"/>
      <c r="AL192" s="47"/>
      <c r="AM192" s="38"/>
      <c r="AN192" s="163" t="str" cm="1">
        <f t="array" ref="AN192">_xlfn.IFNA(_xlfn.IFS(LEFT(M192,4)="L39N","outside",LEFT(M192,3)="L39","ukstd20"),"")</f>
        <v/>
      </c>
      <c r="AO192" s="85"/>
      <c r="AQ192" s="85"/>
    </row>
    <row r="193" spans="1:43" x14ac:dyDescent="0.25">
      <c r="A193" s="46"/>
      <c r="B193" s="47"/>
      <c r="D193" s="38"/>
      <c r="E193" s="38"/>
      <c r="F193" s="39"/>
      <c r="G193" s="85"/>
      <c r="H193" s="123"/>
      <c r="I193" s="47"/>
      <c r="J193" s="38"/>
      <c r="K193" s="48"/>
      <c r="M193" s="48"/>
      <c r="N193" s="70"/>
      <c r="P193" s="38"/>
      <c r="Y193" s="38"/>
      <c r="AB193" s="39"/>
      <c r="AC193" s="38"/>
      <c r="AH193" s="39"/>
      <c r="AJ193" s="139"/>
      <c r="AK193" s="139"/>
      <c r="AL193" s="47"/>
      <c r="AM193" s="38"/>
      <c r="AN193" s="163" t="str" cm="1">
        <f t="array" ref="AN193">_xlfn.IFNA(_xlfn.IFS(LEFT(M193,4)="L39N","outside",LEFT(M193,3)="L39","ukstd20"),"")</f>
        <v/>
      </c>
      <c r="AO193" s="85"/>
      <c r="AQ193" s="85"/>
    </row>
    <row r="194" spans="1:43" x14ac:dyDescent="0.25">
      <c r="A194" s="46"/>
      <c r="B194" s="47"/>
      <c r="D194" s="38"/>
      <c r="E194" s="38"/>
      <c r="F194" s="39"/>
      <c r="G194" s="85"/>
      <c r="H194" s="123"/>
      <c r="I194" s="47"/>
      <c r="J194" s="38"/>
      <c r="K194" s="48"/>
      <c r="M194" s="48"/>
      <c r="N194" s="70"/>
      <c r="P194" s="38"/>
      <c r="Y194" s="38"/>
      <c r="AB194" s="39"/>
      <c r="AC194" s="38"/>
      <c r="AH194" s="39"/>
      <c r="AJ194" s="139"/>
      <c r="AK194" s="139"/>
      <c r="AL194" s="47"/>
      <c r="AM194" s="38"/>
      <c r="AN194" s="163" t="str" cm="1">
        <f t="array" ref="AN194">_xlfn.IFNA(_xlfn.IFS(LEFT(M194,4)="L39N","outside",LEFT(M194,3)="L39","ukstd20"),"")</f>
        <v/>
      </c>
      <c r="AO194" s="85"/>
      <c r="AQ194" s="85"/>
    </row>
    <row r="195" spans="1:43" x14ac:dyDescent="0.25">
      <c r="A195" s="46"/>
      <c r="B195" s="47"/>
      <c r="D195" s="38"/>
      <c r="E195" s="38"/>
      <c r="F195" s="39"/>
      <c r="G195" s="85"/>
      <c r="H195" s="123"/>
      <c r="I195" s="47"/>
      <c r="J195" s="38"/>
      <c r="K195" s="48"/>
      <c r="M195" s="48"/>
      <c r="N195" s="70"/>
      <c r="P195" s="38"/>
      <c r="Y195" s="38"/>
      <c r="AB195" s="39"/>
      <c r="AC195" s="38"/>
      <c r="AH195" s="39"/>
      <c r="AJ195" s="139"/>
      <c r="AK195" s="139"/>
      <c r="AL195" s="47"/>
      <c r="AM195" s="38"/>
      <c r="AN195" s="163" t="str" cm="1">
        <f t="array" ref="AN195">_xlfn.IFNA(_xlfn.IFS(LEFT(M195,4)="L39N","outside",LEFT(M195,3)="L39","ukstd20"),"")</f>
        <v/>
      </c>
      <c r="AO195" s="85"/>
      <c r="AQ195" s="85"/>
    </row>
    <row r="196" spans="1:43" x14ac:dyDescent="0.25">
      <c r="A196" s="46"/>
      <c r="B196" s="47"/>
      <c r="D196" s="38"/>
      <c r="E196" s="38"/>
      <c r="F196" s="39"/>
      <c r="G196" s="85"/>
      <c r="H196" s="123"/>
      <c r="I196" s="47"/>
      <c r="J196" s="38"/>
      <c r="K196" s="48"/>
      <c r="M196" s="48"/>
      <c r="N196" s="70"/>
      <c r="P196" s="38"/>
      <c r="Y196" s="38"/>
      <c r="AB196" s="39"/>
      <c r="AC196" s="38"/>
      <c r="AH196" s="39"/>
      <c r="AJ196" s="139"/>
      <c r="AK196" s="139"/>
      <c r="AL196" s="47"/>
      <c r="AM196" s="38"/>
      <c r="AN196" s="163" t="str" cm="1">
        <f t="array" ref="AN196">_xlfn.IFNA(_xlfn.IFS(LEFT(M196,4)="L39N","outside",LEFT(M196,3)="L39","ukstd20"),"")</f>
        <v/>
      </c>
      <c r="AO196" s="85"/>
      <c r="AQ196" s="85"/>
    </row>
    <row r="197" spans="1:43" x14ac:dyDescent="0.25">
      <c r="A197" s="46"/>
      <c r="B197" s="47"/>
      <c r="D197" s="38"/>
      <c r="E197" s="38"/>
      <c r="F197" s="39"/>
      <c r="G197" s="85"/>
      <c r="H197" s="123"/>
      <c r="I197" s="47"/>
      <c r="J197" s="38"/>
      <c r="K197" s="48"/>
      <c r="M197" s="48"/>
      <c r="N197" s="70"/>
      <c r="P197" s="38"/>
      <c r="Y197" s="38"/>
      <c r="AB197" s="39"/>
      <c r="AC197" s="38"/>
      <c r="AH197" s="39"/>
      <c r="AJ197" s="139"/>
      <c r="AK197" s="139"/>
      <c r="AL197" s="47"/>
      <c r="AM197" s="38"/>
      <c r="AN197" s="163" t="str" cm="1">
        <f t="array" ref="AN197">_xlfn.IFNA(_xlfn.IFS(LEFT(M197,4)="L39N","outside",LEFT(M197,3)="L39","ukstd20"),"")</f>
        <v/>
      </c>
      <c r="AO197" s="85"/>
      <c r="AQ197" s="85"/>
    </row>
    <row r="198" spans="1:43" x14ac:dyDescent="0.25">
      <c r="A198" s="46"/>
      <c r="B198" s="47"/>
      <c r="D198" s="38"/>
      <c r="E198" s="38"/>
      <c r="F198" s="39"/>
      <c r="G198" s="85"/>
      <c r="H198" s="123"/>
      <c r="I198" s="47"/>
      <c r="J198" s="38"/>
      <c r="K198" s="48"/>
      <c r="M198" s="48"/>
      <c r="N198" s="70"/>
      <c r="P198" s="38"/>
      <c r="Y198" s="38"/>
      <c r="AB198" s="39"/>
      <c r="AC198" s="38"/>
      <c r="AH198" s="39"/>
      <c r="AJ198" s="139"/>
      <c r="AK198" s="139"/>
      <c r="AL198" s="47"/>
      <c r="AM198" s="38"/>
      <c r="AN198" s="163" t="str" cm="1">
        <f t="array" ref="AN198">_xlfn.IFNA(_xlfn.IFS(LEFT(M198,4)="L39N","outside",LEFT(M198,3)="L39","ukstd20"),"")</f>
        <v/>
      </c>
      <c r="AO198" s="85"/>
      <c r="AQ198" s="85"/>
    </row>
    <row r="199" spans="1:43" x14ac:dyDescent="0.25">
      <c r="A199" s="46"/>
      <c r="B199" s="47"/>
      <c r="D199" s="38"/>
      <c r="E199" s="38"/>
      <c r="F199" s="39"/>
      <c r="G199" s="85"/>
      <c r="H199" s="123"/>
      <c r="I199" s="47"/>
      <c r="J199" s="38"/>
      <c r="K199" s="48"/>
      <c r="M199" s="48"/>
      <c r="N199" s="70"/>
      <c r="P199" s="38"/>
      <c r="Y199" s="38"/>
      <c r="AB199" s="39"/>
      <c r="AC199" s="38"/>
      <c r="AH199" s="39"/>
      <c r="AJ199" s="139"/>
      <c r="AK199" s="139"/>
      <c r="AL199" s="47"/>
      <c r="AM199" s="38"/>
      <c r="AN199" s="163" t="str" cm="1">
        <f t="array" ref="AN199">_xlfn.IFNA(_xlfn.IFS(LEFT(M199,4)="L39N","outside",LEFT(M199,3)="L39","ukstd20"),"")</f>
        <v/>
      </c>
      <c r="AO199" s="85"/>
      <c r="AQ199" s="85"/>
    </row>
    <row r="200" spans="1:43" x14ac:dyDescent="0.25">
      <c r="A200" s="46"/>
      <c r="B200" s="47"/>
      <c r="D200" s="38"/>
      <c r="E200" s="38"/>
      <c r="F200" s="39"/>
      <c r="G200" s="85"/>
      <c r="H200" s="123"/>
      <c r="I200" s="47"/>
      <c r="J200" s="38"/>
      <c r="K200" s="48"/>
      <c r="M200" s="48"/>
      <c r="N200" s="70"/>
      <c r="P200" s="38"/>
      <c r="Y200" s="38"/>
      <c r="AB200" s="39"/>
      <c r="AC200" s="38"/>
      <c r="AH200" s="39"/>
      <c r="AJ200" s="139"/>
      <c r="AK200" s="139"/>
      <c r="AL200" s="47"/>
      <c r="AM200" s="38"/>
      <c r="AN200" s="163" t="str" cm="1">
        <f t="array" ref="AN200">_xlfn.IFNA(_xlfn.IFS(LEFT(M200,4)="L39N","outside",LEFT(M200,3)="L39","ukstd20"),"")</f>
        <v/>
      </c>
      <c r="AO200" s="85"/>
      <c r="AQ200" s="85"/>
    </row>
    <row r="201" spans="1:43" x14ac:dyDescent="0.25">
      <c r="A201" s="46"/>
      <c r="B201" s="47"/>
      <c r="D201" s="38"/>
      <c r="E201" s="38"/>
      <c r="F201" s="39"/>
      <c r="G201" s="85"/>
      <c r="H201" s="123"/>
      <c r="I201" s="47"/>
      <c r="J201" s="38"/>
      <c r="K201" s="48"/>
      <c r="M201" s="48"/>
      <c r="N201" s="70"/>
      <c r="P201" s="38"/>
      <c r="Y201" s="38"/>
      <c r="AB201" s="39"/>
      <c r="AC201" s="38"/>
      <c r="AH201" s="39"/>
      <c r="AJ201" s="139"/>
      <c r="AK201" s="139"/>
      <c r="AL201" s="47"/>
      <c r="AM201" s="38"/>
      <c r="AN201" s="163" t="str" cm="1">
        <f t="array" ref="AN201">_xlfn.IFNA(_xlfn.IFS(LEFT(M201,4)="L39N","outside",LEFT(M201,3)="L39","ukstd20"),"")</f>
        <v/>
      </c>
      <c r="AO201" s="85"/>
      <c r="AQ201" s="85"/>
    </row>
    <row r="202" spans="1:43" x14ac:dyDescent="0.25">
      <c r="A202" s="46"/>
      <c r="B202" s="47"/>
      <c r="D202" s="38"/>
      <c r="E202" s="38"/>
      <c r="F202" s="39"/>
      <c r="G202" s="85"/>
      <c r="H202" s="123"/>
      <c r="I202" s="47"/>
      <c r="J202" s="38"/>
      <c r="K202" s="48"/>
      <c r="M202" s="48"/>
      <c r="N202" s="70"/>
      <c r="P202" s="38"/>
      <c r="Y202" s="38"/>
      <c r="AB202" s="39"/>
      <c r="AC202" s="38"/>
      <c r="AH202" s="39"/>
      <c r="AJ202" s="139"/>
      <c r="AK202" s="139"/>
      <c r="AL202" s="47"/>
      <c r="AM202" s="38"/>
      <c r="AN202" s="163" t="str" cm="1">
        <f t="array" ref="AN202">_xlfn.IFNA(_xlfn.IFS(LEFT(M202,4)="L39N","outside",LEFT(M202,3)="L39","ukstd20"),"")</f>
        <v/>
      </c>
      <c r="AO202" s="85"/>
      <c r="AQ202" s="85"/>
    </row>
    <row r="203" spans="1:43" x14ac:dyDescent="0.25">
      <c r="A203" s="46"/>
      <c r="B203" s="47"/>
      <c r="D203" s="38"/>
      <c r="E203" s="38"/>
      <c r="F203" s="39"/>
      <c r="G203" s="85"/>
      <c r="H203" s="123"/>
      <c r="I203" s="47"/>
      <c r="J203" s="38"/>
      <c r="K203" s="48"/>
      <c r="M203" s="48"/>
      <c r="N203" s="70"/>
      <c r="P203" s="38"/>
      <c r="Y203" s="38"/>
      <c r="AB203" s="39"/>
      <c r="AC203" s="38"/>
      <c r="AH203" s="39"/>
      <c r="AJ203" s="139"/>
      <c r="AK203" s="139"/>
      <c r="AL203" s="47"/>
      <c r="AM203" s="38"/>
      <c r="AN203" s="163" t="str" cm="1">
        <f t="array" ref="AN203">_xlfn.IFNA(_xlfn.IFS(LEFT(M203,4)="L39N","outside",LEFT(M203,3)="L39","ukstd20"),"")</f>
        <v/>
      </c>
      <c r="AO203" s="85"/>
      <c r="AQ203" s="85"/>
    </row>
    <row r="204" spans="1:43" x14ac:dyDescent="0.25">
      <c r="A204" s="46"/>
      <c r="B204" s="47"/>
      <c r="D204" s="38"/>
      <c r="E204" s="38"/>
      <c r="F204" s="39"/>
      <c r="G204" s="85"/>
      <c r="H204" s="123"/>
      <c r="I204" s="47"/>
      <c r="J204" s="38"/>
      <c r="K204" s="48"/>
      <c r="M204" s="48"/>
      <c r="N204" s="70"/>
      <c r="P204" s="38"/>
      <c r="Y204" s="38"/>
      <c r="AB204" s="39"/>
      <c r="AC204" s="38"/>
      <c r="AH204" s="39"/>
      <c r="AJ204" s="139"/>
      <c r="AK204" s="139"/>
      <c r="AL204" s="47"/>
      <c r="AM204" s="38"/>
      <c r="AN204" s="163" t="str" cm="1">
        <f t="array" ref="AN204">_xlfn.IFNA(_xlfn.IFS(LEFT(M204,4)="L39N","outside",LEFT(M204,3)="L39","ukstd20"),"")</f>
        <v/>
      </c>
      <c r="AO204" s="85"/>
      <c r="AQ204" s="85"/>
    </row>
    <row r="205" spans="1:43" x14ac:dyDescent="0.25">
      <c r="A205" s="46"/>
      <c r="B205" s="47"/>
      <c r="D205" s="38"/>
      <c r="E205" s="38"/>
      <c r="F205" s="39"/>
      <c r="G205" s="85"/>
      <c r="H205" s="123"/>
      <c r="I205" s="47"/>
      <c r="J205" s="38"/>
      <c r="K205" s="48"/>
      <c r="M205" s="48"/>
      <c r="N205" s="70"/>
      <c r="P205" s="38"/>
      <c r="Y205" s="38"/>
      <c r="AB205" s="39"/>
      <c r="AC205" s="38"/>
      <c r="AH205" s="39"/>
      <c r="AJ205" s="139"/>
      <c r="AK205" s="139"/>
      <c r="AL205" s="47"/>
      <c r="AM205" s="38"/>
      <c r="AN205" s="163" t="str" cm="1">
        <f t="array" ref="AN205">_xlfn.IFNA(_xlfn.IFS(LEFT(M205,4)="L39N","outside",LEFT(M205,3)="L39","ukstd20"),"")</f>
        <v/>
      </c>
      <c r="AO205" s="85"/>
      <c r="AQ205" s="85"/>
    </row>
    <row r="206" spans="1:43" x14ac:dyDescent="0.25">
      <c r="A206" s="46"/>
      <c r="B206" s="47"/>
      <c r="D206" s="38"/>
      <c r="E206" s="38"/>
      <c r="F206" s="39"/>
      <c r="G206" s="85"/>
      <c r="H206" s="123"/>
      <c r="I206" s="47"/>
      <c r="J206" s="38"/>
      <c r="K206" s="48"/>
      <c r="M206" s="48"/>
      <c r="N206" s="70"/>
      <c r="P206" s="38"/>
      <c r="Y206" s="38"/>
      <c r="AB206" s="39"/>
      <c r="AC206" s="38"/>
      <c r="AH206" s="39"/>
      <c r="AJ206" s="139"/>
      <c r="AK206" s="139"/>
      <c r="AL206" s="47"/>
      <c r="AM206" s="38"/>
      <c r="AN206" s="163" t="str" cm="1">
        <f t="array" ref="AN206">_xlfn.IFNA(_xlfn.IFS(LEFT(M206,4)="L39N","outside",LEFT(M206,3)="L39","ukstd20"),"")</f>
        <v/>
      </c>
      <c r="AO206" s="85"/>
      <c r="AQ206" s="85"/>
    </row>
    <row r="207" spans="1:43" x14ac:dyDescent="0.25">
      <c r="A207" s="46"/>
      <c r="B207" s="47"/>
      <c r="D207" s="38"/>
      <c r="E207" s="38"/>
      <c r="F207" s="39"/>
      <c r="G207" s="85"/>
      <c r="H207" s="123"/>
      <c r="I207" s="47"/>
      <c r="J207" s="38"/>
      <c r="K207" s="48"/>
      <c r="M207" s="48"/>
      <c r="N207" s="70"/>
      <c r="P207" s="38"/>
      <c r="Y207" s="38"/>
      <c r="AB207" s="39"/>
      <c r="AC207" s="38"/>
      <c r="AH207" s="39"/>
      <c r="AJ207" s="139"/>
      <c r="AK207" s="139"/>
      <c r="AL207" s="47"/>
      <c r="AM207" s="38"/>
      <c r="AN207" s="163" t="str" cm="1">
        <f t="array" ref="AN207">_xlfn.IFNA(_xlfn.IFS(LEFT(M207,4)="L39N","outside",LEFT(M207,3)="L39","ukstd20"),"")</f>
        <v/>
      </c>
      <c r="AO207" s="85"/>
      <c r="AQ207" s="85"/>
    </row>
    <row r="208" spans="1:43" x14ac:dyDescent="0.25">
      <c r="A208" s="46"/>
      <c r="B208" s="47"/>
      <c r="D208" s="38"/>
      <c r="E208" s="38"/>
      <c r="F208" s="39"/>
      <c r="G208" s="85"/>
      <c r="H208" s="123"/>
      <c r="I208" s="47"/>
      <c r="J208" s="38"/>
      <c r="K208" s="48"/>
      <c r="M208" s="48"/>
      <c r="N208" s="70"/>
      <c r="P208" s="38"/>
      <c r="Y208" s="38"/>
      <c r="AB208" s="39"/>
      <c r="AC208" s="38"/>
      <c r="AH208" s="39"/>
      <c r="AJ208" s="139"/>
      <c r="AK208" s="139"/>
      <c r="AL208" s="47"/>
      <c r="AM208" s="38"/>
      <c r="AN208" s="163" t="str" cm="1">
        <f t="array" ref="AN208">_xlfn.IFNA(_xlfn.IFS(LEFT(M208,4)="L39N","outside",LEFT(M208,3)="L39","ukstd20"),"")</f>
        <v/>
      </c>
      <c r="AO208" s="85"/>
      <c r="AQ208" s="85"/>
    </row>
    <row r="209" spans="1:43" x14ac:dyDescent="0.25">
      <c r="A209" s="46"/>
      <c r="B209" s="47"/>
      <c r="D209" s="38"/>
      <c r="E209" s="38"/>
      <c r="F209" s="39"/>
      <c r="G209" s="85"/>
      <c r="H209" s="123"/>
      <c r="I209" s="47"/>
      <c r="J209" s="38"/>
      <c r="K209" s="48"/>
      <c r="M209" s="48"/>
      <c r="N209" s="70"/>
      <c r="P209" s="38"/>
      <c r="Y209" s="38"/>
      <c r="AB209" s="39"/>
      <c r="AC209" s="38"/>
      <c r="AH209" s="39"/>
      <c r="AJ209" s="139"/>
      <c r="AK209" s="139"/>
      <c r="AL209" s="47"/>
      <c r="AM209" s="38"/>
      <c r="AN209" s="163" t="str" cm="1">
        <f t="array" ref="AN209">_xlfn.IFNA(_xlfn.IFS(LEFT(M209,4)="L39N","outside",LEFT(M209,3)="L39","ukstd20"),"")</f>
        <v/>
      </c>
      <c r="AO209" s="85"/>
      <c r="AQ209" s="85"/>
    </row>
    <row r="210" spans="1:43" x14ac:dyDescent="0.25">
      <c r="A210" s="46"/>
      <c r="B210" s="47"/>
      <c r="D210" s="38"/>
      <c r="E210" s="38"/>
      <c r="F210" s="39"/>
      <c r="G210" s="85"/>
      <c r="H210" s="123"/>
      <c r="I210" s="47"/>
      <c r="J210" s="38"/>
      <c r="K210" s="48"/>
      <c r="M210" s="48"/>
      <c r="N210" s="70"/>
      <c r="P210" s="38"/>
      <c r="Y210" s="38"/>
      <c r="AB210" s="39"/>
      <c r="AC210" s="38"/>
      <c r="AH210" s="39"/>
      <c r="AJ210" s="139"/>
      <c r="AK210" s="139"/>
      <c r="AL210" s="47"/>
      <c r="AM210" s="38"/>
      <c r="AN210" s="163" t="str" cm="1">
        <f t="array" ref="AN210">_xlfn.IFNA(_xlfn.IFS(LEFT(M210,4)="L39N","outside",LEFT(M210,3)="L39","ukstd20"),"")</f>
        <v/>
      </c>
      <c r="AO210" s="85"/>
      <c r="AQ210" s="85"/>
    </row>
    <row r="211" spans="1:43" x14ac:dyDescent="0.25">
      <c r="A211" s="46"/>
      <c r="B211" s="47"/>
      <c r="D211" s="38"/>
      <c r="E211" s="38"/>
      <c r="F211" s="39"/>
      <c r="G211" s="85"/>
      <c r="H211" s="123"/>
      <c r="I211" s="47"/>
      <c r="J211" s="38"/>
      <c r="K211" s="48"/>
      <c r="M211" s="48"/>
      <c r="N211" s="70"/>
      <c r="P211" s="38"/>
      <c r="Y211" s="38"/>
      <c r="AB211" s="39"/>
      <c r="AC211" s="38"/>
      <c r="AH211" s="39"/>
      <c r="AJ211" s="139"/>
      <c r="AK211" s="139"/>
      <c r="AL211" s="47"/>
      <c r="AM211" s="38"/>
      <c r="AN211" s="163" t="str" cm="1">
        <f t="array" ref="AN211">_xlfn.IFNA(_xlfn.IFS(LEFT(M211,4)="L39N","outside",LEFT(M211,3)="L39","ukstd20"),"")</f>
        <v/>
      </c>
      <c r="AO211" s="85"/>
      <c r="AQ211" s="85"/>
    </row>
    <row r="212" spans="1:43" x14ac:dyDescent="0.25">
      <c r="A212" s="46"/>
      <c r="B212" s="47"/>
      <c r="D212" s="38"/>
      <c r="E212" s="38"/>
      <c r="F212" s="39"/>
      <c r="G212" s="85"/>
      <c r="H212" s="123"/>
      <c r="I212" s="47"/>
      <c r="J212" s="38"/>
      <c r="K212" s="48"/>
      <c r="M212" s="48"/>
      <c r="N212" s="70"/>
      <c r="P212" s="38"/>
      <c r="Y212" s="38"/>
      <c r="AB212" s="39"/>
      <c r="AC212" s="38"/>
      <c r="AH212" s="39"/>
      <c r="AJ212" s="139"/>
      <c r="AK212" s="139"/>
      <c r="AL212" s="47"/>
      <c r="AM212" s="38"/>
      <c r="AN212" s="163" t="str" cm="1">
        <f t="array" ref="AN212">_xlfn.IFNA(_xlfn.IFS(LEFT(M212,4)="L39N","outside",LEFT(M212,3)="L39","ukstd20"),"")</f>
        <v/>
      </c>
      <c r="AO212" s="85"/>
      <c r="AQ212" s="85"/>
    </row>
    <row r="213" spans="1:43" x14ac:dyDescent="0.25">
      <c r="A213" s="46"/>
      <c r="B213" s="47"/>
      <c r="D213" s="38"/>
      <c r="E213" s="38"/>
      <c r="F213" s="39"/>
      <c r="G213" s="85"/>
      <c r="H213" s="123"/>
      <c r="I213" s="47"/>
      <c r="J213" s="38"/>
      <c r="K213" s="48"/>
      <c r="M213" s="48"/>
      <c r="N213" s="70"/>
      <c r="P213" s="38"/>
      <c r="Y213" s="38"/>
      <c r="AB213" s="39"/>
      <c r="AC213" s="38"/>
      <c r="AH213" s="39"/>
      <c r="AJ213" s="139"/>
      <c r="AK213" s="139"/>
      <c r="AL213" s="47"/>
      <c r="AM213" s="38"/>
      <c r="AN213" s="163" t="str" cm="1">
        <f t="array" ref="AN213">_xlfn.IFNA(_xlfn.IFS(LEFT(M213,4)="L39N","outside",LEFT(M213,3)="L39","ukstd20"),"")</f>
        <v/>
      </c>
      <c r="AO213" s="85"/>
      <c r="AQ213" s="85"/>
    </row>
    <row r="214" spans="1:43" x14ac:dyDescent="0.25">
      <c r="A214" s="46"/>
      <c r="B214" s="47"/>
      <c r="D214" s="38"/>
      <c r="E214" s="38"/>
      <c r="F214" s="39"/>
      <c r="G214" s="85"/>
      <c r="H214" s="123"/>
      <c r="I214" s="47"/>
      <c r="J214" s="38"/>
      <c r="K214" s="48"/>
      <c r="M214" s="48"/>
      <c r="N214" s="70"/>
      <c r="P214" s="38"/>
      <c r="Y214" s="38"/>
      <c r="AB214" s="39"/>
      <c r="AC214" s="38"/>
      <c r="AH214" s="39"/>
      <c r="AJ214" s="139"/>
      <c r="AK214" s="139"/>
      <c r="AL214" s="47"/>
      <c r="AM214" s="38"/>
      <c r="AN214" s="163" t="str" cm="1">
        <f t="array" ref="AN214">_xlfn.IFNA(_xlfn.IFS(LEFT(M214,4)="L39N","outside",LEFT(M214,3)="L39","ukstd20"),"")</f>
        <v/>
      </c>
      <c r="AO214" s="85"/>
      <c r="AQ214" s="85"/>
    </row>
    <row r="215" spans="1:43" x14ac:dyDescent="0.25">
      <c r="A215" s="46"/>
      <c r="B215" s="47"/>
      <c r="D215" s="38"/>
      <c r="E215" s="38"/>
      <c r="F215" s="39"/>
      <c r="G215" s="85"/>
      <c r="H215" s="123"/>
      <c r="I215" s="47"/>
      <c r="J215" s="38"/>
      <c r="K215" s="48"/>
      <c r="M215" s="48"/>
      <c r="N215" s="70"/>
      <c r="P215" s="38"/>
      <c r="Y215" s="38"/>
      <c r="AB215" s="39"/>
      <c r="AC215" s="38"/>
      <c r="AH215" s="39"/>
      <c r="AJ215" s="139"/>
      <c r="AK215" s="139"/>
      <c r="AL215" s="47"/>
      <c r="AM215" s="38"/>
      <c r="AN215" s="163" t="str" cm="1">
        <f t="array" ref="AN215">_xlfn.IFNA(_xlfn.IFS(LEFT(M215,4)="L39N","outside",LEFT(M215,3)="L39","ukstd20"),"")</f>
        <v/>
      </c>
      <c r="AO215" s="85"/>
      <c r="AQ215" s="85"/>
    </row>
    <row r="216" spans="1:43" x14ac:dyDescent="0.25">
      <c r="A216" s="46"/>
      <c r="B216" s="47"/>
      <c r="D216" s="38"/>
      <c r="E216" s="38"/>
      <c r="F216" s="39"/>
      <c r="G216" s="85"/>
      <c r="H216" s="123"/>
      <c r="I216" s="47"/>
      <c r="J216" s="38"/>
      <c r="K216" s="48"/>
      <c r="M216" s="48"/>
      <c r="N216" s="70"/>
      <c r="P216" s="38"/>
      <c r="Y216" s="38"/>
      <c r="AB216" s="39"/>
      <c r="AC216" s="38"/>
      <c r="AH216" s="39"/>
      <c r="AJ216" s="139"/>
      <c r="AK216" s="139"/>
      <c r="AL216" s="47"/>
      <c r="AM216" s="38"/>
      <c r="AN216" s="163" t="str" cm="1">
        <f t="array" ref="AN216">_xlfn.IFNA(_xlfn.IFS(LEFT(M216,4)="L39N","outside",LEFT(M216,3)="L39","ukstd20"),"")</f>
        <v/>
      </c>
      <c r="AO216" s="85"/>
      <c r="AQ216" s="85"/>
    </row>
    <row r="217" spans="1:43" x14ac:dyDescent="0.25">
      <c r="A217" s="46"/>
      <c r="B217" s="47"/>
      <c r="D217" s="38"/>
      <c r="E217" s="38"/>
      <c r="F217" s="39"/>
      <c r="G217" s="85"/>
      <c r="H217" s="123"/>
      <c r="I217" s="47"/>
      <c r="J217" s="38"/>
      <c r="K217" s="48"/>
      <c r="M217" s="48"/>
      <c r="N217" s="70"/>
      <c r="P217" s="38"/>
      <c r="Y217" s="38"/>
      <c r="AB217" s="39"/>
      <c r="AC217" s="38"/>
      <c r="AH217" s="39"/>
      <c r="AJ217" s="139"/>
      <c r="AK217" s="139"/>
      <c r="AL217" s="47"/>
      <c r="AM217" s="38"/>
      <c r="AN217" s="163" t="str" cm="1">
        <f t="array" ref="AN217">_xlfn.IFNA(_xlfn.IFS(LEFT(M217,4)="L39N","outside",LEFT(M217,3)="L39","ukstd20"),"")</f>
        <v/>
      </c>
      <c r="AO217" s="85"/>
      <c r="AQ217" s="85"/>
    </row>
    <row r="218" spans="1:43" x14ac:dyDescent="0.25">
      <c r="A218" s="46"/>
      <c r="B218" s="47"/>
      <c r="D218" s="38"/>
      <c r="E218" s="38"/>
      <c r="F218" s="39"/>
      <c r="G218" s="85"/>
      <c r="H218" s="123"/>
      <c r="I218" s="47"/>
      <c r="J218" s="38"/>
      <c r="K218" s="48"/>
      <c r="M218" s="48"/>
      <c r="N218" s="70"/>
      <c r="P218" s="38"/>
      <c r="Y218" s="38"/>
      <c r="AB218" s="39"/>
      <c r="AC218" s="38"/>
      <c r="AH218" s="39"/>
      <c r="AJ218" s="139"/>
      <c r="AK218" s="139"/>
      <c r="AL218" s="47"/>
      <c r="AM218" s="38"/>
      <c r="AN218" s="163" t="str" cm="1">
        <f t="array" ref="AN218">_xlfn.IFNA(_xlfn.IFS(LEFT(M218,4)="L39N","outside",LEFT(M218,3)="L39","ukstd20"),"")</f>
        <v/>
      </c>
      <c r="AO218" s="85"/>
      <c r="AQ218" s="85"/>
    </row>
    <row r="219" spans="1:43" x14ac:dyDescent="0.25">
      <c r="A219" s="46"/>
      <c r="B219" s="47"/>
      <c r="D219" s="38"/>
      <c r="E219" s="38"/>
      <c r="F219" s="39"/>
      <c r="G219" s="85"/>
      <c r="H219" s="123"/>
      <c r="I219" s="47"/>
      <c r="J219" s="38"/>
      <c r="K219" s="48"/>
      <c r="M219" s="48"/>
      <c r="N219" s="70"/>
      <c r="P219" s="38"/>
      <c r="Y219" s="38"/>
      <c r="AB219" s="39"/>
      <c r="AC219" s="38"/>
      <c r="AH219" s="39"/>
      <c r="AJ219" s="139"/>
      <c r="AK219" s="139"/>
      <c r="AL219" s="47"/>
      <c r="AM219" s="38"/>
      <c r="AN219" s="163" t="str" cm="1">
        <f t="array" ref="AN219">_xlfn.IFNA(_xlfn.IFS(LEFT(M219,4)="L39N","outside",LEFT(M219,3)="L39","ukstd20"),"")</f>
        <v/>
      </c>
      <c r="AO219" s="85"/>
      <c r="AQ219" s="85"/>
    </row>
    <row r="220" spans="1:43" x14ac:dyDescent="0.25">
      <c r="A220" s="46"/>
      <c r="B220" s="47"/>
      <c r="D220" s="38"/>
      <c r="E220" s="38"/>
      <c r="F220" s="39"/>
      <c r="G220" s="85"/>
      <c r="H220" s="123"/>
      <c r="I220" s="47"/>
      <c r="J220" s="38"/>
      <c r="K220" s="48"/>
      <c r="M220" s="48"/>
      <c r="N220" s="70"/>
      <c r="P220" s="38"/>
      <c r="Y220" s="38"/>
      <c r="AB220" s="39"/>
      <c r="AC220" s="38"/>
      <c r="AH220" s="39"/>
      <c r="AJ220" s="139"/>
      <c r="AK220" s="139"/>
      <c r="AL220" s="47"/>
      <c r="AM220" s="38"/>
      <c r="AN220" s="163" t="str" cm="1">
        <f t="array" ref="AN220">_xlfn.IFNA(_xlfn.IFS(LEFT(M220,4)="L39N","outside",LEFT(M220,3)="L39","ukstd20"),"")</f>
        <v/>
      </c>
      <c r="AO220" s="85"/>
      <c r="AQ220" s="85"/>
    </row>
    <row r="221" spans="1:43" x14ac:dyDescent="0.25">
      <c r="A221" s="46"/>
      <c r="B221" s="47"/>
      <c r="D221" s="38"/>
      <c r="E221" s="38"/>
      <c r="F221" s="39"/>
      <c r="G221" s="85"/>
      <c r="H221" s="123"/>
      <c r="I221" s="47"/>
      <c r="J221" s="38"/>
      <c r="K221" s="48"/>
      <c r="M221" s="48"/>
      <c r="N221" s="70"/>
      <c r="P221" s="38"/>
      <c r="Y221" s="38"/>
      <c r="AB221" s="39"/>
      <c r="AC221" s="38"/>
      <c r="AH221" s="39"/>
      <c r="AJ221" s="139"/>
      <c r="AK221" s="139"/>
      <c r="AL221" s="47"/>
      <c r="AM221" s="38"/>
      <c r="AN221" s="163" t="str" cm="1">
        <f t="array" ref="AN221">_xlfn.IFNA(_xlfn.IFS(LEFT(M221,4)="L39N","outside",LEFT(M221,3)="L39","ukstd20"),"")</f>
        <v/>
      </c>
      <c r="AO221" s="85"/>
      <c r="AQ221" s="85"/>
    </row>
    <row r="222" spans="1:43" x14ac:dyDescent="0.25">
      <c r="H222" s="154"/>
    </row>
    <row r="223" spans="1:43" x14ac:dyDescent="0.25">
      <c r="H223" s="154"/>
    </row>
    <row r="224" spans="1:43" x14ac:dyDescent="0.25">
      <c r="H224" s="154"/>
    </row>
    <row r="225" spans="8:8" x14ac:dyDescent="0.25">
      <c r="H225" s="154"/>
    </row>
    <row r="226" spans="8:8" x14ac:dyDescent="0.25">
      <c r="H226" s="154"/>
    </row>
    <row r="227" spans="8:8" x14ac:dyDescent="0.25">
      <c r="H227" s="154"/>
    </row>
    <row r="228" spans="8:8" x14ac:dyDescent="0.25">
      <c r="H228" s="154"/>
    </row>
  </sheetData>
  <sheetProtection autoFilter="0" pivotTables="0"/>
  <autoFilter ref="A2:CD221" xr:uid="{00000000-0001-0000-0200-000000000000}"/>
  <phoneticPr fontId="20" type="noConversion"/>
  <dataValidations count="4">
    <dataValidation type="list" allowBlank="1" showInputMessage="1" showErrorMessage="1" sqref="AC3" xr:uid="{6DF820CF-8854-4F33-9F96-70A3AA593162}">
      <formula1>"gbp"</formula1>
    </dataValidation>
    <dataValidation type="list" allowBlank="1" showInputMessage="1" showErrorMessage="1" sqref="J3:J221" xr:uid="{7BF81857-53FA-498D-BAEA-188B59A5C3A1}">
      <formula1>"12212311"</formula1>
    </dataValidation>
    <dataValidation type="list" allowBlank="1" showInputMessage="1" showErrorMessage="1" sqref="AP3:AP221" xr:uid="{5610AD2E-7D91-41D2-838E-6DB2F4B373E5}">
      <formula1>"Cheque,EFT"</formula1>
    </dataValidation>
    <dataValidation type="list" allowBlank="1" showInputMessage="1" showErrorMessage="1" sqref="BE3:BE186" xr:uid="{CB7CF54A-082A-4E70-97E6-E7673F682B2D}">
      <formula1>"Intercompany"</formula1>
    </dataValidation>
  </dataValidations>
  <pageMargins left="0.75" right="0.75" top="1" bottom="1" header="0.5" footer="0.5"/>
  <pageSetup paperSize="9" orientation="portrait" horizontalDpi="300" verticalDpi="300" r:id="rId1"/>
  <headerFooter alignWithMargins="0"/>
  <ignoredErrors>
    <ignoredError sqref="J3" numberStoredAsText="1"/>
    <ignoredError sqref="K3" unlocked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83ED7-23DF-4AF8-A816-3EE21A026108}">
  <sheetPr>
    <tabColor rgb="FFEE0000"/>
  </sheetPr>
  <dimension ref="A1:O580"/>
  <sheetViews>
    <sheetView topLeftCell="D30" workbookViewId="0">
      <selection activeCell="M35" sqref="M35"/>
    </sheetView>
  </sheetViews>
  <sheetFormatPr defaultRowHeight="13.2" x14ac:dyDescent="0.25"/>
  <cols>
    <col min="1" max="1" width="10.33203125" customWidth="1"/>
    <col min="2" max="2" width="18.5546875" style="1" customWidth="1"/>
    <col min="3" max="3" width="13.109375" style="86" customWidth="1"/>
    <col min="4" max="4" width="24.109375" style="86" customWidth="1"/>
    <col min="5" max="5" width="18.44140625" customWidth="1"/>
    <col min="6" max="6" width="49" bestFit="1" customWidth="1"/>
    <col min="7" max="7" width="16" customWidth="1"/>
    <col min="8" max="8" width="15.6640625" style="86" customWidth="1"/>
    <col min="9" max="9" width="9.109375" style="86"/>
    <col min="11" max="11" width="41.88671875" bestFit="1" customWidth="1"/>
    <col min="12" max="12" width="18.44140625" customWidth="1"/>
    <col min="13" max="13" width="19.44140625" customWidth="1"/>
    <col min="14" max="14" width="17.109375" customWidth="1"/>
  </cols>
  <sheetData>
    <row r="1" spans="1:15" ht="13.8" thickBot="1" x14ac:dyDescent="0.3">
      <c r="A1" s="5" t="s">
        <v>30</v>
      </c>
      <c r="B1" s="130" t="s">
        <v>32</v>
      </c>
      <c r="C1" s="131" t="s">
        <v>33</v>
      </c>
      <c r="D1" s="131" t="s">
        <v>34</v>
      </c>
      <c r="E1" s="129" t="s">
        <v>35</v>
      </c>
      <c r="F1" s="129" t="s">
        <v>37</v>
      </c>
      <c r="G1" s="129" t="s">
        <v>38</v>
      </c>
      <c r="H1" s="131" t="s">
        <v>49</v>
      </c>
      <c r="I1" s="131" t="s">
        <v>50</v>
      </c>
    </row>
    <row r="2" spans="1:15" x14ac:dyDescent="0.25">
      <c r="A2" s="7" t="s">
        <v>63</v>
      </c>
      <c r="B2" s="133" t="s">
        <v>65</v>
      </c>
      <c r="C2" s="134" t="s">
        <v>66</v>
      </c>
      <c r="D2" s="135" t="s">
        <v>67</v>
      </c>
      <c r="E2" s="132" t="s">
        <v>68</v>
      </c>
      <c r="F2" s="132" t="s">
        <v>70</v>
      </c>
      <c r="G2" s="136" t="s">
        <v>72</v>
      </c>
      <c r="H2" s="134" t="s">
        <v>95</v>
      </c>
      <c r="I2" s="134" t="s">
        <v>96</v>
      </c>
      <c r="K2" s="149" t="s">
        <v>124</v>
      </c>
      <c r="L2" s="150" t="s">
        <v>22</v>
      </c>
      <c r="M2" s="150"/>
      <c r="N2" s="150" t="s">
        <v>125</v>
      </c>
      <c r="O2" s="140"/>
    </row>
    <row r="3" spans="1:15" x14ac:dyDescent="0.25">
      <c r="A3" s="38" t="str">
        <f>IF(LEFT(F3,4)="L39N","c0001836",IF(LEFT(F3,3)="L24","c0000008",IF(LEFT(F3,3)="L39","c0000935","")))</f>
        <v>c0000935</v>
      </c>
      <c r="B3" s="39">
        <f>'Power Query Table'!P2</f>
        <v>440</v>
      </c>
      <c r="C3" s="85">
        <f ca="1">TODAY()</f>
        <v>46070</v>
      </c>
      <c r="D3" s="85">
        <f ca="1">TODAY()</f>
        <v>46070</v>
      </c>
      <c r="E3" s="47" t="str">
        <f>LEFT('Power Query Table'!O2,9)</f>
        <v>4211-3011</v>
      </c>
      <c r="F3" s="48" t="str">
        <f>CONCATENATE('Power Query Table'!A2, "-","",'Power Query Table'!B2)</f>
        <v>L3924638-JEB ENGINEERING SERVICES LLP</v>
      </c>
      <c r="G3" s="48" t="str">
        <f>IF(LEFT(F3,4)="L39N",LEFT(F3,9),LEFT(F3,8))</f>
        <v>L3924638</v>
      </c>
      <c r="H3" s="86" t="str">
        <f ca="1">TEXT(DATE(2025,MONTH(TODAY()),1),"dd/mm/yyyy")</f>
        <v>01/02/2025</v>
      </c>
      <c r="I3" s="86" t="str">
        <f ca="1">TEXT(EOMONTH(TODAY(),0),"dd/mm/yyyy")</f>
        <v>28/02/2026</v>
      </c>
      <c r="K3" s="151" t="str" cm="1">
        <f t="array" ref="K3:K7">_xlfn.UNIQUE(E:E,FALSE,FALSE)</f>
        <v xml:space="preserve">Account </v>
      </c>
      <c r="L3" s="152"/>
      <c r="M3" s="152"/>
      <c r="N3" s="152"/>
      <c r="O3" s="141"/>
    </row>
    <row r="4" spans="1:15" x14ac:dyDescent="0.25">
      <c r="A4" s="38" t="e">
        <f t="shared" ref="A4:A30" si="0">IF(LEFT(F4,4)="L39N","c0001836",IF(LEFT(F4,3)="L24","c0000008",IF(LEFT(F4,3)="L39","c0000935","")))</f>
        <v>#REF!</v>
      </c>
      <c r="B4" s="39" t="e">
        <f>'Power Query Table'!#REF!</f>
        <v>#REF!</v>
      </c>
      <c r="C4" s="85">
        <f t="shared" ref="C4:C30" ca="1" si="1">TODAY()</f>
        <v>46070</v>
      </c>
      <c r="D4" s="85">
        <f t="shared" ref="D4:D30" ca="1" si="2">TODAY()</f>
        <v>46070</v>
      </c>
      <c r="E4" s="47" t="e">
        <f>LEFT('Power Query Table'!#REF!,9)</f>
        <v>#REF!</v>
      </c>
      <c r="F4" s="48" t="e">
        <f>CONCATENATE('Power Query Table'!#REF!, "-","",'Power Query Table'!#REF!)</f>
        <v>#REF!</v>
      </c>
      <c r="G4" s="48" t="e">
        <f t="shared" ref="G4:G30" si="3">IF(LEFT(F4,4)="L39N",LEFT(F4,9),LEFT(F4,8))</f>
        <v>#REF!</v>
      </c>
      <c r="H4" s="86" t="str">
        <f t="shared" ref="H4:H30" ca="1" si="4">TEXT(DATE(2025,MONTH(TODAY()),1),"dd/mm/yyyy")</f>
        <v>01/02/2025</v>
      </c>
      <c r="I4" s="86" t="str">
        <f t="shared" ref="I4:I30" ca="1" si="5">TEXT(EOMONTH(TODAY(),0),"dd/mm/yyyy")</f>
        <v>28/02/2026</v>
      </c>
      <c r="K4" s="142" t="str">
        <v>ACCOUNT</v>
      </c>
      <c r="O4" s="143"/>
    </row>
    <row r="5" spans="1:15" x14ac:dyDescent="0.25">
      <c r="A5" s="38" t="e">
        <f t="shared" si="0"/>
        <v>#REF!</v>
      </c>
      <c r="B5" s="39" t="e">
        <f>'Power Query Table'!#REF!</f>
        <v>#REF!</v>
      </c>
      <c r="C5" s="85">
        <f t="shared" ca="1" si="1"/>
        <v>46070</v>
      </c>
      <c r="D5" s="85">
        <f t="shared" ca="1" si="2"/>
        <v>46070</v>
      </c>
      <c r="E5" s="47" t="e">
        <f>LEFT('Power Query Table'!#REF!,9)</f>
        <v>#REF!</v>
      </c>
      <c r="F5" s="48" t="e">
        <f>CONCATENATE('Power Query Table'!#REF!, "-","",'Power Query Table'!#REF!)</f>
        <v>#REF!</v>
      </c>
      <c r="G5" s="48" t="e">
        <f t="shared" si="3"/>
        <v>#REF!</v>
      </c>
      <c r="H5" s="86" t="str">
        <f t="shared" ca="1" si="4"/>
        <v>01/02/2025</v>
      </c>
      <c r="I5" s="86" t="str">
        <f t="shared" ca="1" si="5"/>
        <v>28/02/2026</v>
      </c>
      <c r="K5" s="142" t="str">
        <v>4211-3011</v>
      </c>
      <c r="L5" s="144">
        <f>SUMIFS(B:B,E:E,K5)</f>
        <v>440</v>
      </c>
      <c r="M5" t="str">
        <f>SUBSTITUTE(K5,"-","")</f>
        <v>42113011</v>
      </c>
      <c r="N5" s="144">
        <f>SUMIFS(ETL!F:F,ETL!I:I,'Upload tab'!M5)</f>
        <v>440</v>
      </c>
      <c r="O5" s="143" t="b">
        <f>L5=N5</f>
        <v>1</v>
      </c>
    </row>
    <row r="6" spans="1:15" x14ac:dyDescent="0.25">
      <c r="A6" s="38" t="e">
        <f t="shared" si="0"/>
        <v>#REF!</v>
      </c>
      <c r="B6" s="39" t="e">
        <f>'Power Query Table'!#REF!</f>
        <v>#REF!</v>
      </c>
      <c r="C6" s="85">
        <f t="shared" ca="1" si="1"/>
        <v>46070</v>
      </c>
      <c r="D6" s="85">
        <f t="shared" ca="1" si="2"/>
        <v>46070</v>
      </c>
      <c r="E6" s="47" t="e">
        <f>LEFT('Power Query Table'!#REF!,9)</f>
        <v>#REF!</v>
      </c>
      <c r="F6" s="48" t="e">
        <f>CONCATENATE('Power Query Table'!#REF!, "-","",'Power Query Table'!#REF!)</f>
        <v>#REF!</v>
      </c>
      <c r="G6" s="48" t="e">
        <f t="shared" si="3"/>
        <v>#REF!</v>
      </c>
      <c r="H6" s="86" t="str">
        <f t="shared" ca="1" si="4"/>
        <v>01/02/2025</v>
      </c>
      <c r="I6" s="86" t="str">
        <f t="shared" ca="1" si="5"/>
        <v>28/02/2026</v>
      </c>
      <c r="K6" s="142" t="e">
        <v>#REF!</v>
      </c>
      <c r="L6" s="144" t="e">
        <f t="shared" ref="L6:L28" si="6">SUMIFS(B:B,E:E,K6)</f>
        <v>#REF!</v>
      </c>
      <c r="M6" t="e">
        <f t="shared" ref="M6:M29" si="7">SUBSTITUTE(K6,"-","")</f>
        <v>#REF!</v>
      </c>
      <c r="N6" s="144">
        <f>SUMIFS(ETL!F:F,ETL!I:I,'Upload tab'!M6)</f>
        <v>0</v>
      </c>
      <c r="O6" s="143" t="e">
        <f t="shared" ref="O6:O29" si="8">L6=N6</f>
        <v>#REF!</v>
      </c>
    </row>
    <row r="7" spans="1:15" x14ac:dyDescent="0.25">
      <c r="A7" s="38" t="e">
        <f t="shared" si="0"/>
        <v>#REF!</v>
      </c>
      <c r="B7" s="39" t="e">
        <f>'Power Query Table'!#REF!</f>
        <v>#REF!</v>
      </c>
      <c r="C7" s="85">
        <f t="shared" ca="1" si="1"/>
        <v>46070</v>
      </c>
      <c r="D7" s="85">
        <f t="shared" ca="1" si="2"/>
        <v>46070</v>
      </c>
      <c r="E7" s="47" t="e">
        <f>LEFT('Power Query Table'!#REF!,9)</f>
        <v>#REF!</v>
      </c>
      <c r="F7" s="48" t="e">
        <f>CONCATENATE('Power Query Table'!#REF!, "-","",'Power Query Table'!#REF!)</f>
        <v>#REF!</v>
      </c>
      <c r="G7" s="48" t="e">
        <f t="shared" si="3"/>
        <v>#REF!</v>
      </c>
      <c r="H7" s="86" t="str">
        <f t="shared" ca="1" si="4"/>
        <v>01/02/2025</v>
      </c>
      <c r="I7" s="86" t="str">
        <f t="shared" ca="1" si="5"/>
        <v>28/02/2026</v>
      </c>
      <c r="K7" s="142">
        <v>0</v>
      </c>
      <c r="L7" s="144">
        <f t="shared" si="6"/>
        <v>0</v>
      </c>
      <c r="M7" t="str">
        <f t="shared" si="7"/>
        <v>0</v>
      </c>
      <c r="N7" s="144">
        <f>SUMIFS(ETL!F:F,ETL!I:I,'Upload tab'!M7)</f>
        <v>0</v>
      </c>
      <c r="O7" s="143" t="b">
        <f t="shared" si="8"/>
        <v>1</v>
      </c>
    </row>
    <row r="8" spans="1:15" x14ac:dyDescent="0.25">
      <c r="A8" s="38" t="e">
        <f t="shared" si="0"/>
        <v>#REF!</v>
      </c>
      <c r="B8" s="39" t="e">
        <f>'Power Query Table'!#REF!</f>
        <v>#REF!</v>
      </c>
      <c r="C8" s="85">
        <f t="shared" ca="1" si="1"/>
        <v>46070</v>
      </c>
      <c r="D8" s="85">
        <f t="shared" ca="1" si="2"/>
        <v>46070</v>
      </c>
      <c r="E8" s="47" t="e">
        <f>LEFT('Power Query Table'!#REF!,9)</f>
        <v>#REF!</v>
      </c>
      <c r="F8" s="48" t="e">
        <f>CONCATENATE('Power Query Table'!#REF!, "-","",'Power Query Table'!#REF!)</f>
        <v>#REF!</v>
      </c>
      <c r="G8" s="48" t="e">
        <f t="shared" si="3"/>
        <v>#REF!</v>
      </c>
      <c r="H8" s="86" t="str">
        <f t="shared" ca="1" si="4"/>
        <v>01/02/2025</v>
      </c>
      <c r="I8" s="86" t="str">
        <f t="shared" ca="1" si="5"/>
        <v>28/02/2026</v>
      </c>
      <c r="K8" s="142"/>
      <c r="L8" s="144">
        <f t="shared" si="6"/>
        <v>0</v>
      </c>
      <c r="M8" t="str">
        <f t="shared" si="7"/>
        <v/>
      </c>
      <c r="N8" s="144">
        <f>SUMIFS(ETL!F:F,ETL!I:I,'Upload tab'!M8)</f>
        <v>0</v>
      </c>
      <c r="O8" s="143" t="b">
        <f t="shared" si="8"/>
        <v>1</v>
      </c>
    </row>
    <row r="9" spans="1:15" x14ac:dyDescent="0.25">
      <c r="A9" s="38" t="e">
        <f t="shared" si="0"/>
        <v>#REF!</v>
      </c>
      <c r="B9" s="39" t="e">
        <f>'Power Query Table'!#REF!</f>
        <v>#REF!</v>
      </c>
      <c r="C9" s="85">
        <f t="shared" ca="1" si="1"/>
        <v>46070</v>
      </c>
      <c r="D9" s="85">
        <f t="shared" ca="1" si="2"/>
        <v>46070</v>
      </c>
      <c r="E9" s="47" t="e">
        <f>LEFT('Power Query Table'!#REF!,9)</f>
        <v>#REF!</v>
      </c>
      <c r="F9" s="48" t="e">
        <f>CONCATENATE('Power Query Table'!#REF!, "-","",'Power Query Table'!#REF!)</f>
        <v>#REF!</v>
      </c>
      <c r="G9" s="48" t="e">
        <f t="shared" si="3"/>
        <v>#REF!</v>
      </c>
      <c r="H9" s="86" t="str">
        <f t="shared" ca="1" si="4"/>
        <v>01/02/2025</v>
      </c>
      <c r="I9" s="86" t="str">
        <f t="shared" ca="1" si="5"/>
        <v>28/02/2026</v>
      </c>
      <c r="K9" s="142"/>
      <c r="L9" s="144">
        <f t="shared" si="6"/>
        <v>0</v>
      </c>
      <c r="M9" t="str">
        <f t="shared" si="7"/>
        <v/>
      </c>
      <c r="N9" s="144">
        <f>SUMIFS(ETL!F:F,ETL!I:I,'Upload tab'!M9)</f>
        <v>0</v>
      </c>
      <c r="O9" s="143" t="b">
        <f t="shared" si="8"/>
        <v>1</v>
      </c>
    </row>
    <row r="10" spans="1:15" x14ac:dyDescent="0.25">
      <c r="A10" s="38" t="e">
        <f t="shared" si="0"/>
        <v>#REF!</v>
      </c>
      <c r="B10" s="39" t="e">
        <f>'Power Query Table'!#REF!</f>
        <v>#REF!</v>
      </c>
      <c r="C10" s="85">
        <f t="shared" ca="1" si="1"/>
        <v>46070</v>
      </c>
      <c r="D10" s="85">
        <f t="shared" ca="1" si="2"/>
        <v>46070</v>
      </c>
      <c r="E10" s="47" t="e">
        <f>LEFT('Power Query Table'!#REF!,9)</f>
        <v>#REF!</v>
      </c>
      <c r="F10" s="48" t="e">
        <f>CONCATENATE('Power Query Table'!#REF!, "-","",'Power Query Table'!#REF!)</f>
        <v>#REF!</v>
      </c>
      <c r="G10" s="48" t="e">
        <f t="shared" si="3"/>
        <v>#REF!</v>
      </c>
      <c r="H10" s="86" t="str">
        <f t="shared" ca="1" si="4"/>
        <v>01/02/2025</v>
      </c>
      <c r="I10" s="86" t="str">
        <f t="shared" ca="1" si="5"/>
        <v>28/02/2026</v>
      </c>
      <c r="K10" s="142"/>
      <c r="L10" s="144">
        <f t="shared" si="6"/>
        <v>0</v>
      </c>
      <c r="M10" t="str">
        <f t="shared" si="7"/>
        <v/>
      </c>
      <c r="N10" s="144">
        <f>SUMIFS(ETL!F:F,ETL!I:I,'Upload tab'!M10)</f>
        <v>0</v>
      </c>
      <c r="O10" s="143" t="b">
        <f t="shared" si="8"/>
        <v>1</v>
      </c>
    </row>
    <row r="11" spans="1:15" x14ac:dyDescent="0.25">
      <c r="A11" s="38" t="e">
        <f t="shared" si="0"/>
        <v>#REF!</v>
      </c>
      <c r="B11" s="39" t="e">
        <f>'Power Query Table'!#REF!</f>
        <v>#REF!</v>
      </c>
      <c r="C11" s="85">
        <f t="shared" ca="1" si="1"/>
        <v>46070</v>
      </c>
      <c r="D11" s="85">
        <f t="shared" ca="1" si="2"/>
        <v>46070</v>
      </c>
      <c r="E11" s="47" t="e">
        <f>LEFT('Power Query Table'!#REF!,9)</f>
        <v>#REF!</v>
      </c>
      <c r="F11" s="48" t="e">
        <f>CONCATENATE('Power Query Table'!#REF!, "-","",'Power Query Table'!#REF!)</f>
        <v>#REF!</v>
      </c>
      <c r="G11" s="48" t="e">
        <f t="shared" si="3"/>
        <v>#REF!</v>
      </c>
      <c r="H11" s="86" t="str">
        <f t="shared" ca="1" si="4"/>
        <v>01/02/2025</v>
      </c>
      <c r="I11" s="86" t="str">
        <f t="shared" ca="1" si="5"/>
        <v>28/02/2026</v>
      </c>
      <c r="K11" s="142"/>
      <c r="L11" s="144">
        <f t="shared" si="6"/>
        <v>0</v>
      </c>
      <c r="M11" t="str">
        <f t="shared" si="7"/>
        <v/>
      </c>
      <c r="N11" s="144">
        <f>SUMIFS(ETL!F:F,ETL!I:I,'Upload tab'!M11)</f>
        <v>0</v>
      </c>
      <c r="O11" s="143" t="b">
        <f t="shared" si="8"/>
        <v>1</v>
      </c>
    </row>
    <row r="12" spans="1:15" x14ac:dyDescent="0.25">
      <c r="A12" s="38" t="e">
        <f t="shared" si="0"/>
        <v>#REF!</v>
      </c>
      <c r="B12" s="39" t="e">
        <f>'Power Query Table'!#REF!</f>
        <v>#REF!</v>
      </c>
      <c r="C12" s="85">
        <f t="shared" ca="1" si="1"/>
        <v>46070</v>
      </c>
      <c r="D12" s="85">
        <f t="shared" ca="1" si="2"/>
        <v>46070</v>
      </c>
      <c r="E12" s="47" t="e">
        <f>LEFT('Power Query Table'!#REF!,9)</f>
        <v>#REF!</v>
      </c>
      <c r="F12" s="48" t="e">
        <f>CONCATENATE('Power Query Table'!#REF!, "-","",'Power Query Table'!#REF!)</f>
        <v>#REF!</v>
      </c>
      <c r="G12" s="48" t="e">
        <f t="shared" si="3"/>
        <v>#REF!</v>
      </c>
      <c r="H12" s="86" t="str">
        <f t="shared" ca="1" si="4"/>
        <v>01/02/2025</v>
      </c>
      <c r="I12" s="86" t="str">
        <f t="shared" ca="1" si="5"/>
        <v>28/02/2026</v>
      </c>
      <c r="K12" s="142"/>
      <c r="L12" s="144">
        <f t="shared" si="6"/>
        <v>0</v>
      </c>
      <c r="M12" t="str">
        <f t="shared" si="7"/>
        <v/>
      </c>
      <c r="N12" s="144">
        <f>SUMIFS(ETL!F:F,ETL!I:I,'Upload tab'!M12)</f>
        <v>0</v>
      </c>
      <c r="O12" s="143" t="b">
        <f t="shared" si="8"/>
        <v>1</v>
      </c>
    </row>
    <row r="13" spans="1:15" x14ac:dyDescent="0.25">
      <c r="A13" s="38" t="e">
        <f t="shared" si="0"/>
        <v>#REF!</v>
      </c>
      <c r="B13" s="39" t="e">
        <f>'Power Query Table'!#REF!</f>
        <v>#REF!</v>
      </c>
      <c r="C13" s="85">
        <f t="shared" ca="1" si="1"/>
        <v>46070</v>
      </c>
      <c r="D13" s="85">
        <f t="shared" ca="1" si="2"/>
        <v>46070</v>
      </c>
      <c r="E13" s="47" t="e">
        <f>LEFT('Power Query Table'!#REF!,9)</f>
        <v>#REF!</v>
      </c>
      <c r="F13" s="48" t="e">
        <f>CONCATENATE('Power Query Table'!#REF!, "-","",'Power Query Table'!#REF!)</f>
        <v>#REF!</v>
      </c>
      <c r="G13" s="48" t="e">
        <f t="shared" si="3"/>
        <v>#REF!</v>
      </c>
      <c r="H13" s="86" t="str">
        <f t="shared" ca="1" si="4"/>
        <v>01/02/2025</v>
      </c>
      <c r="I13" s="86" t="str">
        <f t="shared" ca="1" si="5"/>
        <v>28/02/2026</v>
      </c>
      <c r="K13" s="142"/>
      <c r="L13" s="144">
        <f t="shared" si="6"/>
        <v>0</v>
      </c>
      <c r="M13" t="str">
        <f t="shared" si="7"/>
        <v/>
      </c>
      <c r="N13" s="144">
        <f>SUMIFS(ETL!F:F,ETL!I:I,'Upload tab'!M13)</f>
        <v>0</v>
      </c>
      <c r="O13" s="143" t="b">
        <f t="shared" si="8"/>
        <v>1</v>
      </c>
    </row>
    <row r="14" spans="1:15" x14ac:dyDescent="0.25">
      <c r="A14" s="38" t="e">
        <f t="shared" si="0"/>
        <v>#REF!</v>
      </c>
      <c r="B14" s="39" t="e">
        <f>'Power Query Table'!#REF!</f>
        <v>#REF!</v>
      </c>
      <c r="C14" s="85">
        <f t="shared" ca="1" si="1"/>
        <v>46070</v>
      </c>
      <c r="D14" s="85">
        <f t="shared" ca="1" si="2"/>
        <v>46070</v>
      </c>
      <c r="E14" s="47" t="e">
        <f>LEFT('Power Query Table'!#REF!,9)</f>
        <v>#REF!</v>
      </c>
      <c r="F14" s="48" t="e">
        <f>CONCATENATE('Power Query Table'!#REF!, "-","",'Power Query Table'!#REF!)</f>
        <v>#REF!</v>
      </c>
      <c r="G14" s="48" t="e">
        <f t="shared" si="3"/>
        <v>#REF!</v>
      </c>
      <c r="H14" s="86" t="str">
        <f t="shared" ca="1" si="4"/>
        <v>01/02/2025</v>
      </c>
      <c r="I14" s="86" t="str">
        <f t="shared" ca="1" si="5"/>
        <v>28/02/2026</v>
      </c>
      <c r="K14" s="142"/>
      <c r="L14" s="144">
        <f t="shared" si="6"/>
        <v>0</v>
      </c>
      <c r="M14" t="str">
        <f t="shared" si="7"/>
        <v/>
      </c>
      <c r="N14" s="144">
        <f>SUMIFS(ETL!F:F,ETL!I:I,'Upload tab'!M14)</f>
        <v>0</v>
      </c>
      <c r="O14" s="143" t="b">
        <f t="shared" si="8"/>
        <v>1</v>
      </c>
    </row>
    <row r="15" spans="1:15" x14ac:dyDescent="0.25">
      <c r="A15" s="38" t="e">
        <f t="shared" si="0"/>
        <v>#REF!</v>
      </c>
      <c r="B15" s="39" t="e">
        <f>'Power Query Table'!#REF!</f>
        <v>#REF!</v>
      </c>
      <c r="C15" s="85">
        <f t="shared" ca="1" si="1"/>
        <v>46070</v>
      </c>
      <c r="D15" s="85">
        <f t="shared" ca="1" si="2"/>
        <v>46070</v>
      </c>
      <c r="E15" s="47" t="e">
        <f>LEFT('Power Query Table'!#REF!,9)</f>
        <v>#REF!</v>
      </c>
      <c r="F15" s="48" t="e">
        <f>CONCATENATE('Power Query Table'!#REF!, "-","",'Power Query Table'!#REF!)</f>
        <v>#REF!</v>
      </c>
      <c r="G15" s="48" t="e">
        <f t="shared" si="3"/>
        <v>#REF!</v>
      </c>
      <c r="H15" s="86" t="str">
        <f t="shared" ca="1" si="4"/>
        <v>01/02/2025</v>
      </c>
      <c r="I15" s="86" t="str">
        <f t="shared" ca="1" si="5"/>
        <v>28/02/2026</v>
      </c>
      <c r="K15" s="142"/>
      <c r="L15" s="144">
        <f t="shared" si="6"/>
        <v>0</v>
      </c>
      <c r="M15" t="str">
        <f t="shared" si="7"/>
        <v/>
      </c>
      <c r="N15" s="144">
        <f>SUMIFS(ETL!F:F,ETL!I:I,'Upload tab'!M15)</f>
        <v>0</v>
      </c>
      <c r="O15" s="143" t="b">
        <f t="shared" si="8"/>
        <v>1</v>
      </c>
    </row>
    <row r="16" spans="1:15" x14ac:dyDescent="0.25">
      <c r="A16" s="38" t="e">
        <f t="shared" si="0"/>
        <v>#REF!</v>
      </c>
      <c r="B16" s="39" t="e">
        <f>'Power Query Table'!#REF!</f>
        <v>#REF!</v>
      </c>
      <c r="C16" s="85">
        <f t="shared" ca="1" si="1"/>
        <v>46070</v>
      </c>
      <c r="D16" s="85">
        <f t="shared" ca="1" si="2"/>
        <v>46070</v>
      </c>
      <c r="E16" s="47" t="e">
        <f>LEFT('Power Query Table'!#REF!,9)</f>
        <v>#REF!</v>
      </c>
      <c r="F16" s="48" t="e">
        <f>CONCATENATE('Power Query Table'!#REF!, "-","",'Power Query Table'!#REF!)</f>
        <v>#REF!</v>
      </c>
      <c r="G16" s="48" t="e">
        <f t="shared" si="3"/>
        <v>#REF!</v>
      </c>
      <c r="H16" s="86" t="str">
        <f t="shared" ca="1" si="4"/>
        <v>01/02/2025</v>
      </c>
      <c r="I16" s="86" t="str">
        <f t="shared" ca="1" si="5"/>
        <v>28/02/2026</v>
      </c>
      <c r="K16" s="142"/>
      <c r="L16" s="144">
        <f t="shared" si="6"/>
        <v>0</v>
      </c>
      <c r="M16" t="str">
        <f t="shared" si="7"/>
        <v/>
      </c>
      <c r="N16" s="144">
        <f>SUMIFS(ETL!F:F,ETL!I:I,'Upload tab'!M16)</f>
        <v>0</v>
      </c>
      <c r="O16" s="143" t="b">
        <f t="shared" si="8"/>
        <v>1</v>
      </c>
    </row>
    <row r="17" spans="1:15" x14ac:dyDescent="0.25">
      <c r="A17" s="38" t="e">
        <f t="shared" si="0"/>
        <v>#REF!</v>
      </c>
      <c r="B17" s="39" t="e">
        <f>'Power Query Table'!#REF!</f>
        <v>#REF!</v>
      </c>
      <c r="C17" s="85">
        <f t="shared" ca="1" si="1"/>
        <v>46070</v>
      </c>
      <c r="D17" s="85">
        <f t="shared" ca="1" si="2"/>
        <v>46070</v>
      </c>
      <c r="E17" s="47" t="e">
        <f>LEFT('Power Query Table'!#REF!,9)</f>
        <v>#REF!</v>
      </c>
      <c r="F17" s="48" t="e">
        <f>CONCATENATE('Power Query Table'!#REF!, "-","",'Power Query Table'!#REF!)</f>
        <v>#REF!</v>
      </c>
      <c r="G17" s="48" t="e">
        <f t="shared" si="3"/>
        <v>#REF!</v>
      </c>
      <c r="H17" s="86" t="str">
        <f t="shared" ca="1" si="4"/>
        <v>01/02/2025</v>
      </c>
      <c r="I17" s="86" t="str">
        <f t="shared" ca="1" si="5"/>
        <v>28/02/2026</v>
      </c>
      <c r="K17" s="142"/>
      <c r="L17" s="144">
        <f t="shared" si="6"/>
        <v>0</v>
      </c>
      <c r="M17" t="str">
        <f t="shared" si="7"/>
        <v/>
      </c>
      <c r="N17" s="144">
        <f>SUMIFS(ETL!F:F,ETL!I:I,'Upload tab'!M17)</f>
        <v>0</v>
      </c>
      <c r="O17" s="143" t="b">
        <f t="shared" si="8"/>
        <v>1</v>
      </c>
    </row>
    <row r="18" spans="1:15" x14ac:dyDescent="0.25">
      <c r="A18" s="38" t="e">
        <f t="shared" si="0"/>
        <v>#REF!</v>
      </c>
      <c r="B18" s="39" t="e">
        <f>'Power Query Table'!#REF!</f>
        <v>#REF!</v>
      </c>
      <c r="C18" s="85">
        <f t="shared" ca="1" si="1"/>
        <v>46070</v>
      </c>
      <c r="D18" s="85">
        <f t="shared" ca="1" si="2"/>
        <v>46070</v>
      </c>
      <c r="E18" s="47" t="e">
        <f>LEFT('Power Query Table'!#REF!,9)</f>
        <v>#REF!</v>
      </c>
      <c r="F18" s="48" t="e">
        <f>CONCATENATE('Power Query Table'!#REF!, "-","",'Power Query Table'!#REF!)</f>
        <v>#REF!</v>
      </c>
      <c r="G18" s="48" t="e">
        <f t="shared" si="3"/>
        <v>#REF!</v>
      </c>
      <c r="H18" s="86" t="str">
        <f t="shared" ca="1" si="4"/>
        <v>01/02/2025</v>
      </c>
      <c r="I18" s="86" t="str">
        <f t="shared" ca="1" si="5"/>
        <v>28/02/2026</v>
      </c>
      <c r="K18" s="142"/>
      <c r="L18" s="144">
        <f t="shared" si="6"/>
        <v>0</v>
      </c>
      <c r="M18" t="str">
        <f t="shared" si="7"/>
        <v/>
      </c>
      <c r="N18" s="144">
        <f>SUMIFS(ETL!F:F,ETL!I:I,'Upload tab'!M18)</f>
        <v>0</v>
      </c>
      <c r="O18" s="143" t="b">
        <f t="shared" si="8"/>
        <v>1</v>
      </c>
    </row>
    <row r="19" spans="1:15" x14ac:dyDescent="0.25">
      <c r="A19" s="38" t="e">
        <f t="shared" si="0"/>
        <v>#REF!</v>
      </c>
      <c r="B19" s="39" t="e">
        <f>'Power Query Table'!#REF!</f>
        <v>#REF!</v>
      </c>
      <c r="C19" s="85">
        <f t="shared" ca="1" si="1"/>
        <v>46070</v>
      </c>
      <c r="D19" s="85">
        <f t="shared" ca="1" si="2"/>
        <v>46070</v>
      </c>
      <c r="E19" s="47" t="e">
        <f>LEFT('Power Query Table'!#REF!,9)</f>
        <v>#REF!</v>
      </c>
      <c r="F19" s="48" t="e">
        <f>CONCATENATE('Power Query Table'!#REF!, "-","",'Power Query Table'!#REF!)</f>
        <v>#REF!</v>
      </c>
      <c r="G19" s="48" t="e">
        <f t="shared" si="3"/>
        <v>#REF!</v>
      </c>
      <c r="H19" s="86" t="str">
        <f t="shared" ca="1" si="4"/>
        <v>01/02/2025</v>
      </c>
      <c r="I19" s="86" t="str">
        <f t="shared" ca="1" si="5"/>
        <v>28/02/2026</v>
      </c>
      <c r="K19" s="142"/>
      <c r="L19" s="144">
        <f t="shared" si="6"/>
        <v>0</v>
      </c>
      <c r="M19" t="str">
        <f t="shared" si="7"/>
        <v/>
      </c>
      <c r="N19" s="144">
        <f>SUMIFS(ETL!F:F,ETL!I:I,'Upload tab'!M19)</f>
        <v>0</v>
      </c>
      <c r="O19" s="143" t="b">
        <f t="shared" si="8"/>
        <v>1</v>
      </c>
    </row>
    <row r="20" spans="1:15" x14ac:dyDescent="0.25">
      <c r="A20" s="38" t="e">
        <f t="shared" si="0"/>
        <v>#REF!</v>
      </c>
      <c r="B20" s="39" t="e">
        <f>'Power Query Table'!#REF!</f>
        <v>#REF!</v>
      </c>
      <c r="C20" s="85">
        <f t="shared" ca="1" si="1"/>
        <v>46070</v>
      </c>
      <c r="D20" s="85">
        <f t="shared" ca="1" si="2"/>
        <v>46070</v>
      </c>
      <c r="E20" s="47" t="e">
        <f>LEFT('Power Query Table'!#REF!,9)</f>
        <v>#REF!</v>
      </c>
      <c r="F20" s="48" t="e">
        <f>CONCATENATE('Power Query Table'!#REF!, "-","",'Power Query Table'!#REF!)</f>
        <v>#REF!</v>
      </c>
      <c r="G20" s="48" t="e">
        <f t="shared" si="3"/>
        <v>#REF!</v>
      </c>
      <c r="H20" s="86" t="str">
        <f t="shared" ca="1" si="4"/>
        <v>01/02/2025</v>
      </c>
      <c r="I20" s="86" t="str">
        <f t="shared" ca="1" si="5"/>
        <v>28/02/2026</v>
      </c>
      <c r="K20" s="142"/>
      <c r="L20" s="144">
        <f t="shared" si="6"/>
        <v>0</v>
      </c>
      <c r="M20" t="str">
        <f t="shared" si="7"/>
        <v/>
      </c>
      <c r="N20" s="144">
        <f>SUMIFS(ETL!F:F,ETL!I:I,'Upload tab'!M20)</f>
        <v>0</v>
      </c>
      <c r="O20" s="143" t="b">
        <f t="shared" si="8"/>
        <v>1</v>
      </c>
    </row>
    <row r="21" spans="1:15" x14ac:dyDescent="0.25">
      <c r="A21" s="38" t="e">
        <f t="shared" si="0"/>
        <v>#REF!</v>
      </c>
      <c r="B21" s="39" t="e">
        <f>'Power Query Table'!#REF!</f>
        <v>#REF!</v>
      </c>
      <c r="C21" s="85">
        <f t="shared" ca="1" si="1"/>
        <v>46070</v>
      </c>
      <c r="D21" s="85">
        <f t="shared" ca="1" si="2"/>
        <v>46070</v>
      </c>
      <c r="E21" s="47" t="e">
        <f>LEFT('Power Query Table'!#REF!,9)</f>
        <v>#REF!</v>
      </c>
      <c r="F21" s="48" t="e">
        <f>CONCATENATE('Power Query Table'!#REF!, "-","",'Power Query Table'!#REF!)</f>
        <v>#REF!</v>
      </c>
      <c r="G21" s="48" t="e">
        <f t="shared" si="3"/>
        <v>#REF!</v>
      </c>
      <c r="H21" s="86" t="str">
        <f t="shared" ca="1" si="4"/>
        <v>01/02/2025</v>
      </c>
      <c r="I21" s="86" t="str">
        <f t="shared" ca="1" si="5"/>
        <v>28/02/2026</v>
      </c>
      <c r="K21" s="142"/>
      <c r="L21" s="144">
        <f t="shared" si="6"/>
        <v>0</v>
      </c>
      <c r="M21" t="str">
        <f t="shared" si="7"/>
        <v/>
      </c>
      <c r="N21" s="144">
        <f>SUMIFS(ETL!F:F,ETL!I:I,'Upload tab'!M21)</f>
        <v>0</v>
      </c>
      <c r="O21" s="143" t="b">
        <f t="shared" si="8"/>
        <v>1</v>
      </c>
    </row>
    <row r="22" spans="1:15" x14ac:dyDescent="0.25">
      <c r="A22" s="38" t="e">
        <f t="shared" si="0"/>
        <v>#REF!</v>
      </c>
      <c r="B22" s="39" t="e">
        <f>'Power Query Table'!#REF!</f>
        <v>#REF!</v>
      </c>
      <c r="C22" s="85">
        <f t="shared" ca="1" si="1"/>
        <v>46070</v>
      </c>
      <c r="D22" s="85">
        <f t="shared" ca="1" si="2"/>
        <v>46070</v>
      </c>
      <c r="E22" s="47" t="e">
        <f>LEFT('Power Query Table'!#REF!,9)</f>
        <v>#REF!</v>
      </c>
      <c r="F22" s="48" t="e">
        <f>CONCATENATE('Power Query Table'!#REF!, "-","",'Power Query Table'!#REF!)</f>
        <v>#REF!</v>
      </c>
      <c r="G22" s="48" t="e">
        <f t="shared" si="3"/>
        <v>#REF!</v>
      </c>
      <c r="H22" s="86" t="str">
        <f t="shared" ca="1" si="4"/>
        <v>01/02/2025</v>
      </c>
      <c r="I22" s="86" t="str">
        <f t="shared" ca="1" si="5"/>
        <v>28/02/2026</v>
      </c>
      <c r="K22" s="142"/>
      <c r="L22" s="144">
        <f t="shared" si="6"/>
        <v>0</v>
      </c>
      <c r="M22" t="str">
        <f t="shared" si="7"/>
        <v/>
      </c>
      <c r="N22" s="144">
        <f>SUMIFS(ETL!F:F,ETL!I:I,'Upload tab'!M22)</f>
        <v>0</v>
      </c>
      <c r="O22" s="143" t="b">
        <f t="shared" si="8"/>
        <v>1</v>
      </c>
    </row>
    <row r="23" spans="1:15" x14ac:dyDescent="0.25">
      <c r="A23" s="38" t="e">
        <f t="shared" si="0"/>
        <v>#REF!</v>
      </c>
      <c r="B23" s="39" t="e">
        <f>'Power Query Table'!#REF!</f>
        <v>#REF!</v>
      </c>
      <c r="C23" s="85">
        <f t="shared" ca="1" si="1"/>
        <v>46070</v>
      </c>
      <c r="D23" s="85">
        <f t="shared" ca="1" si="2"/>
        <v>46070</v>
      </c>
      <c r="E23" s="47" t="e">
        <f>LEFT('Power Query Table'!#REF!,9)</f>
        <v>#REF!</v>
      </c>
      <c r="F23" s="48" t="e">
        <f>CONCATENATE('Power Query Table'!#REF!, "-","",'Power Query Table'!#REF!)</f>
        <v>#REF!</v>
      </c>
      <c r="G23" s="48" t="e">
        <f t="shared" si="3"/>
        <v>#REF!</v>
      </c>
      <c r="H23" s="86" t="str">
        <f t="shared" ca="1" si="4"/>
        <v>01/02/2025</v>
      </c>
      <c r="I23" s="86" t="str">
        <f t="shared" ca="1" si="5"/>
        <v>28/02/2026</v>
      </c>
      <c r="K23" s="142"/>
      <c r="L23" s="144">
        <f t="shared" si="6"/>
        <v>0</v>
      </c>
      <c r="M23" t="str">
        <f t="shared" si="7"/>
        <v/>
      </c>
      <c r="N23" s="144">
        <f>SUMIFS(ETL!F:F,ETL!I:I,'Upload tab'!M23)</f>
        <v>0</v>
      </c>
      <c r="O23" s="143" t="b">
        <f t="shared" si="8"/>
        <v>1</v>
      </c>
    </row>
    <row r="24" spans="1:15" x14ac:dyDescent="0.25">
      <c r="A24" s="38" t="e">
        <f t="shared" si="0"/>
        <v>#REF!</v>
      </c>
      <c r="B24" s="39" t="e">
        <f>'Power Query Table'!#REF!</f>
        <v>#REF!</v>
      </c>
      <c r="C24" s="85">
        <f t="shared" ca="1" si="1"/>
        <v>46070</v>
      </c>
      <c r="D24" s="85">
        <f t="shared" ca="1" si="2"/>
        <v>46070</v>
      </c>
      <c r="E24" s="47" t="e">
        <f>LEFT('Power Query Table'!#REF!,9)</f>
        <v>#REF!</v>
      </c>
      <c r="F24" s="48" t="e">
        <f>CONCATENATE('Power Query Table'!#REF!, "-","",'Power Query Table'!#REF!)</f>
        <v>#REF!</v>
      </c>
      <c r="G24" s="48" t="e">
        <f t="shared" si="3"/>
        <v>#REF!</v>
      </c>
      <c r="H24" s="86" t="str">
        <f t="shared" ca="1" si="4"/>
        <v>01/02/2025</v>
      </c>
      <c r="I24" s="86" t="str">
        <f t="shared" ca="1" si="5"/>
        <v>28/02/2026</v>
      </c>
      <c r="K24" s="142"/>
      <c r="L24" s="144">
        <f t="shared" si="6"/>
        <v>0</v>
      </c>
      <c r="M24" t="str">
        <f t="shared" si="7"/>
        <v/>
      </c>
      <c r="N24" s="144">
        <f>SUMIFS(ETL!F:F,ETL!I:I,'Upload tab'!M24)</f>
        <v>0</v>
      </c>
      <c r="O24" s="143" t="b">
        <f t="shared" si="8"/>
        <v>1</v>
      </c>
    </row>
    <row r="25" spans="1:15" x14ac:dyDescent="0.25">
      <c r="A25" s="38" t="e">
        <f t="shared" si="0"/>
        <v>#REF!</v>
      </c>
      <c r="B25" s="39" t="e">
        <f>'Power Query Table'!#REF!</f>
        <v>#REF!</v>
      </c>
      <c r="C25" s="85">
        <f t="shared" ca="1" si="1"/>
        <v>46070</v>
      </c>
      <c r="D25" s="85">
        <f t="shared" ca="1" si="2"/>
        <v>46070</v>
      </c>
      <c r="E25" s="47" t="e">
        <f>LEFT('Power Query Table'!#REF!,9)</f>
        <v>#REF!</v>
      </c>
      <c r="F25" s="48" t="e">
        <f>CONCATENATE('Power Query Table'!#REF!, "-","",'Power Query Table'!#REF!)</f>
        <v>#REF!</v>
      </c>
      <c r="G25" s="48" t="e">
        <f t="shared" si="3"/>
        <v>#REF!</v>
      </c>
      <c r="H25" s="86" t="str">
        <f t="shared" ca="1" si="4"/>
        <v>01/02/2025</v>
      </c>
      <c r="I25" s="86" t="str">
        <f t="shared" ca="1" si="5"/>
        <v>28/02/2026</v>
      </c>
      <c r="K25" s="142"/>
      <c r="L25" s="144">
        <f t="shared" si="6"/>
        <v>0</v>
      </c>
      <c r="M25" t="str">
        <f t="shared" si="7"/>
        <v/>
      </c>
      <c r="N25" s="144">
        <f>SUMIFS(ETL!F:F,ETL!I:I,'Upload tab'!M25)</f>
        <v>0</v>
      </c>
      <c r="O25" s="143" t="b">
        <f t="shared" si="8"/>
        <v>1</v>
      </c>
    </row>
    <row r="26" spans="1:15" x14ac:dyDescent="0.25">
      <c r="A26" s="38" t="e">
        <f t="shared" si="0"/>
        <v>#REF!</v>
      </c>
      <c r="B26" s="39" t="e">
        <f>'Power Query Table'!#REF!</f>
        <v>#REF!</v>
      </c>
      <c r="C26" s="85">
        <f t="shared" ca="1" si="1"/>
        <v>46070</v>
      </c>
      <c r="D26" s="85">
        <f t="shared" ca="1" si="2"/>
        <v>46070</v>
      </c>
      <c r="E26" s="47" t="e">
        <f>LEFT('Power Query Table'!#REF!,9)</f>
        <v>#REF!</v>
      </c>
      <c r="F26" s="48" t="e">
        <f>CONCATENATE('Power Query Table'!#REF!, "-","",'Power Query Table'!#REF!)</f>
        <v>#REF!</v>
      </c>
      <c r="G26" s="48" t="e">
        <f t="shared" si="3"/>
        <v>#REF!</v>
      </c>
      <c r="H26" s="86" t="str">
        <f t="shared" ca="1" si="4"/>
        <v>01/02/2025</v>
      </c>
      <c r="I26" s="86" t="str">
        <f t="shared" ca="1" si="5"/>
        <v>28/02/2026</v>
      </c>
      <c r="K26" s="142"/>
      <c r="L26" s="144">
        <f t="shared" si="6"/>
        <v>0</v>
      </c>
      <c r="M26" t="str">
        <f t="shared" si="7"/>
        <v/>
      </c>
      <c r="N26" s="144">
        <f>SUMIFS(ETL!F:F,ETL!I:I,'Upload tab'!M26)</f>
        <v>0</v>
      </c>
      <c r="O26" s="143" t="b">
        <f t="shared" si="8"/>
        <v>1</v>
      </c>
    </row>
    <row r="27" spans="1:15" x14ac:dyDescent="0.25">
      <c r="A27" s="38" t="e">
        <f t="shared" si="0"/>
        <v>#REF!</v>
      </c>
      <c r="B27" s="39" t="e">
        <f>'Power Query Table'!#REF!</f>
        <v>#REF!</v>
      </c>
      <c r="C27" s="85">
        <f t="shared" ca="1" si="1"/>
        <v>46070</v>
      </c>
      <c r="D27" s="85">
        <f t="shared" ca="1" si="2"/>
        <v>46070</v>
      </c>
      <c r="E27" s="47" t="e">
        <f>LEFT('Power Query Table'!#REF!,9)</f>
        <v>#REF!</v>
      </c>
      <c r="F27" s="48" t="e">
        <f>CONCATENATE('Power Query Table'!#REF!, "-","",'Power Query Table'!#REF!)</f>
        <v>#REF!</v>
      </c>
      <c r="G27" s="48" t="e">
        <f t="shared" si="3"/>
        <v>#REF!</v>
      </c>
      <c r="H27" s="86" t="str">
        <f t="shared" ca="1" si="4"/>
        <v>01/02/2025</v>
      </c>
      <c r="I27" s="86" t="str">
        <f t="shared" ca="1" si="5"/>
        <v>28/02/2026</v>
      </c>
      <c r="K27" s="142"/>
      <c r="L27" s="144">
        <f t="shared" si="6"/>
        <v>0</v>
      </c>
      <c r="M27" t="str">
        <f t="shared" si="7"/>
        <v/>
      </c>
      <c r="N27" s="144">
        <f>SUMIFS(ETL!F:F,ETL!I:I,'Upload tab'!M27)</f>
        <v>0</v>
      </c>
      <c r="O27" s="143" t="b">
        <f t="shared" si="8"/>
        <v>1</v>
      </c>
    </row>
    <row r="28" spans="1:15" x14ac:dyDescent="0.25">
      <c r="A28" s="38" t="e">
        <f t="shared" si="0"/>
        <v>#REF!</v>
      </c>
      <c r="B28" s="39" t="e">
        <f>'Power Query Table'!#REF!</f>
        <v>#REF!</v>
      </c>
      <c r="C28" s="85">
        <f t="shared" ca="1" si="1"/>
        <v>46070</v>
      </c>
      <c r="D28" s="85">
        <f t="shared" ca="1" si="2"/>
        <v>46070</v>
      </c>
      <c r="E28" s="47" t="e">
        <f>LEFT('Power Query Table'!#REF!,9)</f>
        <v>#REF!</v>
      </c>
      <c r="F28" s="48" t="e">
        <f>CONCATENATE('Power Query Table'!#REF!, "-","",'Power Query Table'!#REF!)</f>
        <v>#REF!</v>
      </c>
      <c r="G28" s="48" t="e">
        <f t="shared" si="3"/>
        <v>#REF!</v>
      </c>
      <c r="H28" s="86" t="str">
        <f t="shared" ca="1" si="4"/>
        <v>01/02/2025</v>
      </c>
      <c r="I28" s="86" t="str">
        <f t="shared" ca="1" si="5"/>
        <v>28/02/2026</v>
      </c>
      <c r="K28" s="142"/>
      <c r="L28" s="144">
        <f t="shared" si="6"/>
        <v>0</v>
      </c>
      <c r="M28" t="str">
        <f t="shared" si="7"/>
        <v/>
      </c>
      <c r="N28" s="144">
        <f>SUMIFS(ETL!F:F,ETL!I:I,'Upload tab'!M28)</f>
        <v>0</v>
      </c>
      <c r="O28" s="143" t="b">
        <f t="shared" si="8"/>
        <v>1</v>
      </c>
    </row>
    <row r="29" spans="1:15" ht="13.8" thickBot="1" x14ac:dyDescent="0.3">
      <c r="A29" s="38" t="e">
        <f t="shared" si="0"/>
        <v>#REF!</v>
      </c>
      <c r="B29" s="39" t="e">
        <f>'Power Query Table'!#REF!</f>
        <v>#REF!</v>
      </c>
      <c r="C29" s="85">
        <f t="shared" ca="1" si="1"/>
        <v>46070</v>
      </c>
      <c r="D29" s="85">
        <f t="shared" ca="1" si="2"/>
        <v>46070</v>
      </c>
      <c r="E29" s="47" t="e">
        <f>LEFT('Power Query Table'!#REF!,9)</f>
        <v>#REF!</v>
      </c>
      <c r="F29" s="48" t="e">
        <f>CONCATENATE('Power Query Table'!#REF!, "-","",'Power Query Table'!#REF!)</f>
        <v>#REF!</v>
      </c>
      <c r="G29" s="48" t="e">
        <f t="shared" si="3"/>
        <v>#REF!</v>
      </c>
      <c r="H29" s="86" t="str">
        <f t="shared" ca="1" si="4"/>
        <v>01/02/2025</v>
      </c>
      <c r="I29" s="86" t="str">
        <f t="shared" ca="1" si="5"/>
        <v>28/02/2026</v>
      </c>
      <c r="K29" s="145" t="s">
        <v>126</v>
      </c>
      <c r="L29" s="146" t="e">
        <f>SUM(L5:L10)</f>
        <v>#REF!</v>
      </c>
      <c r="M29" s="147" t="str">
        <f t="shared" si="7"/>
        <v>Total</v>
      </c>
      <c r="N29" s="146">
        <f>SUM(N5:N10)</f>
        <v>440</v>
      </c>
      <c r="O29" s="148" t="e">
        <f t="shared" si="8"/>
        <v>#REF!</v>
      </c>
    </row>
    <row r="30" spans="1:15" x14ac:dyDescent="0.25">
      <c r="A30" s="38" t="e">
        <f t="shared" si="0"/>
        <v>#REF!</v>
      </c>
      <c r="B30" s="39" t="e">
        <f>'Power Query Table'!#REF!</f>
        <v>#REF!</v>
      </c>
      <c r="C30" s="85">
        <f t="shared" ca="1" si="1"/>
        <v>46070</v>
      </c>
      <c r="D30" s="85">
        <f t="shared" ca="1" si="2"/>
        <v>46070</v>
      </c>
      <c r="E30" s="47" t="e">
        <f>LEFT('Power Query Table'!#REF!,9)</f>
        <v>#REF!</v>
      </c>
      <c r="F30" s="48" t="e">
        <f>CONCATENATE('Power Query Table'!#REF!, "-","",'Power Query Table'!#REF!)</f>
        <v>#REF!</v>
      </c>
      <c r="G30" s="48" t="e">
        <f t="shared" si="3"/>
        <v>#REF!</v>
      </c>
      <c r="H30" s="86" t="str">
        <f t="shared" ca="1" si="4"/>
        <v>01/02/2025</v>
      </c>
      <c r="I30" s="86" t="str">
        <f t="shared" ca="1" si="5"/>
        <v>28/02/2026</v>
      </c>
    </row>
    <row r="31" spans="1:15" x14ac:dyDescent="0.25">
      <c r="A31" s="38"/>
      <c r="B31" s="39"/>
      <c r="C31" s="85"/>
      <c r="D31" s="85"/>
      <c r="E31" s="47"/>
      <c r="F31" s="48"/>
      <c r="G31" s="48"/>
    </row>
    <row r="32" spans="1:15" ht="13.8" thickBot="1" x14ac:dyDescent="0.3">
      <c r="A32" s="38"/>
      <c r="B32" s="39"/>
      <c r="C32" s="85"/>
      <c r="D32" s="85"/>
      <c r="E32" s="47"/>
      <c r="F32" s="48"/>
      <c r="G32" s="48"/>
    </row>
    <row r="33" spans="1:14" x14ac:dyDescent="0.25">
      <c r="A33" s="38"/>
      <c r="B33" s="39"/>
      <c r="C33" s="85"/>
      <c r="D33" s="85"/>
      <c r="E33" s="47"/>
      <c r="F33" s="48"/>
      <c r="G33" s="48"/>
      <c r="K33" s="149" t="s">
        <v>124</v>
      </c>
      <c r="L33" s="150" t="s">
        <v>22</v>
      </c>
      <c r="M33" s="150" t="s">
        <v>127</v>
      </c>
      <c r="N33" s="140"/>
    </row>
    <row r="34" spans="1:14" x14ac:dyDescent="0.25">
      <c r="A34" s="38"/>
      <c r="B34" s="39"/>
      <c r="C34" s="85"/>
      <c r="D34" s="85"/>
      <c r="E34" s="47"/>
      <c r="F34" s="48"/>
      <c r="G34" s="48"/>
      <c r="K34" s="151" t="str" cm="1">
        <f t="array" ref="K34:K36">_xlfn.UNIQUE('Power Query Table'!O:O,FALSE,FALSE)</f>
        <v>Attribute</v>
      </c>
      <c r="L34" s="152"/>
      <c r="M34" s="152"/>
      <c r="N34" s="141"/>
    </row>
    <row r="35" spans="1:14" x14ac:dyDescent="0.25">
      <c r="A35" s="38"/>
      <c r="B35" s="39"/>
      <c r="C35" s="85"/>
      <c r="D35" s="85"/>
      <c r="E35" s="47"/>
      <c r="F35" s="48"/>
      <c r="G35" s="48"/>
      <c r="K35" s="142" t="str">
        <v>4211-3011 - L39 Hot Desk Membership (2024)</v>
      </c>
      <c r="L35" s="144">
        <f>SUMIFS('Power Query Table'!P:P,'Power Query Table'!O:O,'Upload tab'!K35)</f>
        <v>440</v>
      </c>
      <c r="M35" s="160" t="e">
        <f>INDEX('Membership invoices'!$7:$7,MATCH('Upload tab'!K35,'Membership invoices'!$5:$5,0))</f>
        <v>#N/A</v>
      </c>
      <c r="N35" s="143" t="e">
        <f t="shared" ref="N35:N47" si="9">L35=M35</f>
        <v>#N/A</v>
      </c>
    </row>
    <row r="36" spans="1:14" x14ac:dyDescent="0.25">
      <c r="A36" s="38"/>
      <c r="B36" s="39"/>
      <c r="C36" s="85"/>
      <c r="D36" s="85"/>
      <c r="E36" s="47"/>
      <c r="F36" s="48"/>
      <c r="G36" s="48"/>
      <c r="K36" s="142">
        <v>0</v>
      </c>
      <c r="L36" s="144">
        <f>SUMIFS('Power Query Table'!P:P,'Power Query Table'!O:O,'Upload tab'!K36)</f>
        <v>0</v>
      </c>
      <c r="M36" s="153" t="e">
        <f>INDEX('Membership invoices'!$32:$32,MATCH('Upload tab'!K36,'Membership invoices'!$5:$5,0))</f>
        <v>#N/A</v>
      </c>
      <c r="N36" s="143" t="e">
        <f t="shared" si="9"/>
        <v>#N/A</v>
      </c>
    </row>
    <row r="37" spans="1:14" x14ac:dyDescent="0.25">
      <c r="A37" s="38"/>
      <c r="B37" s="39"/>
      <c r="C37" s="85"/>
      <c r="D37" s="85"/>
      <c r="E37" s="47"/>
      <c r="F37" s="48"/>
      <c r="G37" s="48"/>
      <c r="K37" s="142"/>
      <c r="L37" s="144">
        <f>SUMIFS('Power Query Table'!P:P,'Power Query Table'!O:O,'Upload tab'!K37)</f>
        <v>0</v>
      </c>
      <c r="M37" s="153" t="e">
        <f>INDEX('Membership invoices'!$32:$32,MATCH('Upload tab'!K37,'Membership invoices'!$5:$5,0))</f>
        <v>#N/A</v>
      </c>
      <c r="N37" s="143" t="e">
        <f t="shared" si="9"/>
        <v>#N/A</v>
      </c>
    </row>
    <row r="38" spans="1:14" x14ac:dyDescent="0.25">
      <c r="A38" s="38"/>
      <c r="B38" s="39"/>
      <c r="C38" s="85"/>
      <c r="D38" s="85"/>
      <c r="E38" s="47"/>
      <c r="F38" s="48"/>
      <c r="G38" s="48"/>
      <c r="K38" s="142"/>
      <c r="L38" s="144">
        <f>SUMIFS('Power Query Table'!P:P,'Power Query Table'!O:O,'Upload tab'!K38)</f>
        <v>0</v>
      </c>
      <c r="M38" s="153" t="e">
        <f>INDEX('Membership invoices'!$32:$32,MATCH('Upload tab'!K38,'Membership invoices'!$5:$5,0))</f>
        <v>#N/A</v>
      </c>
      <c r="N38" s="143" t="e">
        <f t="shared" si="9"/>
        <v>#N/A</v>
      </c>
    </row>
    <row r="39" spans="1:14" x14ac:dyDescent="0.25">
      <c r="A39" s="38"/>
      <c r="B39" s="39"/>
      <c r="C39" s="85"/>
      <c r="D39" s="85"/>
      <c r="E39" s="47"/>
      <c r="F39" s="48"/>
      <c r="G39" s="48"/>
      <c r="K39" s="142"/>
      <c r="L39" s="144">
        <f>SUMIFS('Power Query Table'!P:P,'Power Query Table'!O:O,'Upload tab'!K39)</f>
        <v>0</v>
      </c>
      <c r="M39" s="153" t="e">
        <f>INDEX('Membership invoices'!$32:$32,MATCH('Upload tab'!K39,'Membership invoices'!$5:$5,0))</f>
        <v>#N/A</v>
      </c>
      <c r="N39" s="143" t="e">
        <f t="shared" si="9"/>
        <v>#N/A</v>
      </c>
    </row>
    <row r="40" spans="1:14" x14ac:dyDescent="0.25">
      <c r="A40" s="38"/>
      <c r="B40" s="39"/>
      <c r="C40" s="85"/>
      <c r="D40" s="85"/>
      <c r="E40" s="47"/>
      <c r="F40" s="48"/>
      <c r="G40" s="48"/>
      <c r="K40" s="142"/>
      <c r="L40" s="144">
        <f>SUMIFS('Power Query Table'!P:P,'Power Query Table'!O:O,'Upload tab'!K40)</f>
        <v>0</v>
      </c>
      <c r="M40" s="153" t="e">
        <f>INDEX('Membership invoices'!$32:$32,MATCH('Upload tab'!K40,'Membership invoices'!$5:$5,0))</f>
        <v>#N/A</v>
      </c>
      <c r="N40" s="143" t="e">
        <f t="shared" si="9"/>
        <v>#N/A</v>
      </c>
    </row>
    <row r="41" spans="1:14" x14ac:dyDescent="0.25">
      <c r="A41" s="38"/>
      <c r="B41" s="39"/>
      <c r="C41" s="85"/>
      <c r="D41" s="85"/>
      <c r="E41" s="47"/>
      <c r="F41" s="48"/>
      <c r="G41" s="48"/>
      <c r="K41" s="142"/>
      <c r="L41" s="144">
        <f>SUMIFS('Power Query Table'!P:P,'Power Query Table'!O:O,'Upload tab'!K41)</f>
        <v>0</v>
      </c>
      <c r="M41" s="153" t="e">
        <f>INDEX('Membership invoices'!$180:$180,MATCH('Upload tab'!K41,'Membership invoices'!$5:$5,0))</f>
        <v>#N/A</v>
      </c>
      <c r="N41" s="143" t="e">
        <f t="shared" si="9"/>
        <v>#N/A</v>
      </c>
    </row>
    <row r="42" spans="1:14" x14ac:dyDescent="0.25">
      <c r="A42" s="38"/>
      <c r="B42" s="39"/>
      <c r="C42" s="85"/>
      <c r="D42" s="85"/>
      <c r="E42" s="47"/>
      <c r="F42" s="48"/>
      <c r="G42" s="48"/>
      <c r="K42" s="142"/>
      <c r="L42" s="144">
        <f>SUMIFS('Power Query Table'!P:P,'Power Query Table'!O:O,'Upload tab'!K42)</f>
        <v>0</v>
      </c>
      <c r="M42" s="153" t="e">
        <f>INDEX('Membership invoices'!$180:$180,MATCH('Upload tab'!K42,'Membership invoices'!$5:$5,0))</f>
        <v>#N/A</v>
      </c>
      <c r="N42" s="143" t="e">
        <f t="shared" si="9"/>
        <v>#N/A</v>
      </c>
    </row>
    <row r="43" spans="1:14" x14ac:dyDescent="0.25">
      <c r="A43" s="38"/>
      <c r="B43" s="39"/>
      <c r="C43" s="85"/>
      <c r="D43" s="85"/>
      <c r="E43" s="47"/>
      <c r="F43" s="48"/>
      <c r="G43" s="48"/>
      <c r="K43" s="142"/>
      <c r="L43" s="144">
        <f>SUMIFS('Power Query Table'!P:P,'Power Query Table'!O:O,'Upload tab'!K43)</f>
        <v>0</v>
      </c>
      <c r="M43" s="153" t="e">
        <f>INDEX('Membership invoices'!$180:$180,MATCH('Upload tab'!K43,'Membership invoices'!$5:$5,0))</f>
        <v>#N/A</v>
      </c>
      <c r="N43" s="143" t="e">
        <f t="shared" si="9"/>
        <v>#N/A</v>
      </c>
    </row>
    <row r="44" spans="1:14" x14ac:dyDescent="0.25">
      <c r="A44" s="38"/>
      <c r="B44" s="39"/>
      <c r="C44" s="85"/>
      <c r="D44" s="85"/>
      <c r="E44" s="47"/>
      <c r="F44" s="48"/>
      <c r="G44" s="48"/>
      <c r="K44" s="142"/>
      <c r="L44" s="144">
        <f>SUMIFS('Power Query Table'!P:P,'Power Query Table'!O:O,'Upload tab'!K44)</f>
        <v>0</v>
      </c>
      <c r="M44" s="153" t="e">
        <f>INDEX('Membership invoices'!$180:$180,MATCH('Upload tab'!K44,'Membership invoices'!$5:$5,0))</f>
        <v>#N/A</v>
      </c>
      <c r="N44" s="143" t="e">
        <f t="shared" si="9"/>
        <v>#N/A</v>
      </c>
    </row>
    <row r="45" spans="1:14" x14ac:dyDescent="0.25">
      <c r="A45" s="38"/>
      <c r="B45" s="39"/>
      <c r="C45" s="85"/>
      <c r="D45" s="85"/>
      <c r="E45" s="47"/>
      <c r="F45" s="48"/>
      <c r="G45" s="48"/>
      <c r="K45" s="142"/>
      <c r="L45" s="144">
        <f>SUMIFS('Power Query Table'!P:P,'Power Query Table'!O:O,'Upload tab'!K45)</f>
        <v>0</v>
      </c>
      <c r="M45" s="153" t="e">
        <f>INDEX('Membership invoices'!$192:$192,MATCH('Upload tab'!K45,'Membership invoices'!$5:$5,0))</f>
        <v>#N/A</v>
      </c>
      <c r="N45" s="143" t="e">
        <f t="shared" si="9"/>
        <v>#N/A</v>
      </c>
    </row>
    <row r="46" spans="1:14" x14ac:dyDescent="0.25">
      <c r="A46" s="38"/>
      <c r="B46" s="39"/>
      <c r="C46" s="85"/>
      <c r="D46" s="85"/>
      <c r="E46" s="47"/>
      <c r="F46" s="48"/>
      <c r="G46" s="48"/>
      <c r="K46" s="142"/>
      <c r="L46" s="144">
        <f>SUMIFS('Power Query Table'!P:P,'Power Query Table'!O:O,'Upload tab'!K46)</f>
        <v>0</v>
      </c>
      <c r="M46" s="153" t="e">
        <f>INDEX('Membership invoices'!$192:$192,MATCH('Upload tab'!K46,'Membership invoices'!$5:$5,0))</f>
        <v>#N/A</v>
      </c>
      <c r="N46" s="143" t="e">
        <f t="shared" si="9"/>
        <v>#N/A</v>
      </c>
    </row>
    <row r="47" spans="1:14" x14ac:dyDescent="0.25">
      <c r="A47" s="38"/>
      <c r="B47" s="39"/>
      <c r="C47" s="85"/>
      <c r="D47" s="85"/>
      <c r="E47" s="47"/>
      <c r="F47" s="48"/>
      <c r="G47" s="48"/>
      <c r="K47" s="142"/>
      <c r="L47" s="144">
        <f>SUMIFS('Power Query Table'!P:P,'Power Query Table'!O:O,'Upload tab'!K47)</f>
        <v>0</v>
      </c>
      <c r="M47" s="153" t="e">
        <f>INDEX('Membership invoices'!$192:$192,MATCH('Upload tab'!K47,'Membership invoices'!$5:$5,0))</f>
        <v>#N/A</v>
      </c>
      <c r="N47" s="143" t="e">
        <f t="shared" si="9"/>
        <v>#N/A</v>
      </c>
    </row>
    <row r="48" spans="1:14" x14ac:dyDescent="0.25">
      <c r="A48" s="38"/>
      <c r="B48" s="39"/>
      <c r="C48" s="85"/>
      <c r="D48" s="85"/>
      <c r="E48" s="47"/>
      <c r="F48" s="48"/>
      <c r="G48" s="48"/>
      <c r="K48" s="142"/>
      <c r="L48" s="144">
        <f>SUMIFS('Power Query Table'!P:P,'Power Query Table'!O:O,'Upload tab'!K48)</f>
        <v>0</v>
      </c>
      <c r="M48" s="153" t="e">
        <f>INDEX('Membership invoices'!$192:$192,MATCH('Upload tab'!K48,'Membership invoices'!$5:$5,0))</f>
        <v>#N/A</v>
      </c>
      <c r="N48" s="143" t="e">
        <f t="shared" ref="N48:N60" si="10">L48=M48</f>
        <v>#N/A</v>
      </c>
    </row>
    <row r="49" spans="1:14" x14ac:dyDescent="0.25">
      <c r="A49" s="38"/>
      <c r="B49" s="39"/>
      <c r="C49" s="85"/>
      <c r="D49" s="85"/>
      <c r="E49" s="47"/>
      <c r="F49" s="48"/>
      <c r="G49" s="48"/>
      <c r="K49" s="142"/>
      <c r="L49" s="144">
        <f>SUMIFS('Power Query Table'!P:P,'Power Query Table'!O:O,'Upload tab'!K49)</f>
        <v>0</v>
      </c>
      <c r="M49" s="153" t="e">
        <f>INDEX('Membership invoices'!$192:$192,MATCH('Upload tab'!K49,'Membership invoices'!$5:$5,0))</f>
        <v>#N/A</v>
      </c>
      <c r="N49" s="143" t="e">
        <f t="shared" si="10"/>
        <v>#N/A</v>
      </c>
    </row>
    <row r="50" spans="1:14" x14ac:dyDescent="0.25">
      <c r="A50" s="38"/>
      <c r="B50" s="39"/>
      <c r="C50" s="85"/>
      <c r="D50" s="85"/>
      <c r="E50" s="47"/>
      <c r="F50" s="48"/>
      <c r="G50" s="48"/>
      <c r="K50" s="142"/>
      <c r="L50" s="144">
        <f>SUMIFS('Power Query Table'!P:P,'Power Query Table'!O:O,'Upload tab'!K50)</f>
        <v>0</v>
      </c>
      <c r="M50" s="153" t="e">
        <f>INDEX('Membership invoices'!$192:$192,MATCH('Upload tab'!K50,'Membership invoices'!$5:$5,0))</f>
        <v>#N/A</v>
      </c>
      <c r="N50" s="143" t="e">
        <f t="shared" si="10"/>
        <v>#N/A</v>
      </c>
    </row>
    <row r="51" spans="1:14" x14ac:dyDescent="0.25">
      <c r="A51" s="38"/>
      <c r="B51" s="39"/>
      <c r="C51" s="85"/>
      <c r="D51" s="85"/>
      <c r="E51" s="47"/>
      <c r="F51" s="48"/>
      <c r="G51" s="48"/>
      <c r="K51" s="142"/>
      <c r="L51" s="144">
        <f>SUMIFS('Power Query Table'!P:P,'Power Query Table'!O:O,'Upload tab'!K51)</f>
        <v>0</v>
      </c>
      <c r="M51" s="153" t="e">
        <f>INDEX('Membership invoices'!$192:$192,MATCH('Upload tab'!K51,'Membership invoices'!$5:$5,0))</f>
        <v>#N/A</v>
      </c>
      <c r="N51" s="143" t="e">
        <f t="shared" si="10"/>
        <v>#N/A</v>
      </c>
    </row>
    <row r="52" spans="1:14" x14ac:dyDescent="0.25">
      <c r="A52" s="38"/>
      <c r="B52" s="39"/>
      <c r="C52" s="85"/>
      <c r="D52" s="85"/>
      <c r="E52" s="47"/>
      <c r="F52" s="48"/>
      <c r="G52" s="48"/>
      <c r="K52" s="142"/>
      <c r="L52" s="144">
        <f>SUMIFS('Power Query Table'!P:P,'Power Query Table'!O:O,'Upload tab'!K52)</f>
        <v>0</v>
      </c>
      <c r="M52" s="153" t="e">
        <f>INDEX('Membership invoices'!$192:$192,MATCH('Upload tab'!K52,'Membership invoices'!$5:$5,0))</f>
        <v>#N/A</v>
      </c>
      <c r="N52" s="143" t="e">
        <f t="shared" si="10"/>
        <v>#N/A</v>
      </c>
    </row>
    <row r="53" spans="1:14" x14ac:dyDescent="0.25">
      <c r="A53" s="38"/>
      <c r="B53" s="39"/>
      <c r="C53" s="85"/>
      <c r="D53" s="85"/>
      <c r="E53" s="47"/>
      <c r="F53" s="48"/>
      <c r="G53" s="48"/>
      <c r="K53" s="142"/>
      <c r="L53" s="144">
        <f>SUMIFS('Power Query Table'!P:P,'Power Query Table'!O:O,'Upload tab'!K53)</f>
        <v>0</v>
      </c>
      <c r="M53" s="153" t="e">
        <f>INDEX('Membership invoices'!$192:$192,MATCH('Upload tab'!K53,'Membership invoices'!$5:$5,0))</f>
        <v>#N/A</v>
      </c>
      <c r="N53" s="143" t="e">
        <f t="shared" si="10"/>
        <v>#N/A</v>
      </c>
    </row>
    <row r="54" spans="1:14" x14ac:dyDescent="0.25">
      <c r="A54" s="38"/>
      <c r="B54" s="39"/>
      <c r="C54" s="85"/>
      <c r="D54" s="85"/>
      <c r="E54" s="47"/>
      <c r="F54" s="48"/>
      <c r="G54" s="48"/>
      <c r="K54" s="142"/>
      <c r="L54" s="144">
        <f>SUMIFS('Power Query Table'!P:P,'Power Query Table'!O:O,'Upload tab'!K54)</f>
        <v>0</v>
      </c>
      <c r="M54" s="153" t="e">
        <f>INDEX('Membership invoices'!$192:$192,MATCH('Upload tab'!K54,'Membership invoices'!$5:$5,0))</f>
        <v>#N/A</v>
      </c>
      <c r="N54" s="143" t="e">
        <f t="shared" si="10"/>
        <v>#N/A</v>
      </c>
    </row>
    <row r="55" spans="1:14" x14ac:dyDescent="0.25">
      <c r="A55" s="38"/>
      <c r="B55" s="39"/>
      <c r="C55" s="85"/>
      <c r="D55" s="85"/>
      <c r="E55" s="47"/>
      <c r="F55" s="48"/>
      <c r="G55" s="48"/>
      <c r="K55" s="142"/>
      <c r="L55" s="144">
        <f>SUMIFS('Power Query Table'!P:P,'Power Query Table'!O:O,'Upload tab'!K55)</f>
        <v>0</v>
      </c>
      <c r="M55" s="153" t="e">
        <f>INDEX('Membership invoices'!$192:$192,MATCH('Upload tab'!K55,'Membership invoices'!$5:$5,0))</f>
        <v>#N/A</v>
      </c>
      <c r="N55" s="143" t="e">
        <f t="shared" si="10"/>
        <v>#N/A</v>
      </c>
    </row>
    <row r="56" spans="1:14" x14ac:dyDescent="0.25">
      <c r="A56" s="38"/>
      <c r="B56" s="39"/>
      <c r="C56" s="85"/>
      <c r="D56" s="85"/>
      <c r="E56" s="47"/>
      <c r="F56" s="48"/>
      <c r="G56" s="48"/>
      <c r="K56" s="142"/>
      <c r="L56" s="144">
        <f>SUMIFS('Power Query Table'!P:P,'Power Query Table'!O:O,'Upload tab'!K56)</f>
        <v>0</v>
      </c>
      <c r="M56" s="153" t="e">
        <f>INDEX('Membership invoices'!$192:$192,MATCH('Upload tab'!K56,'Membership invoices'!$5:$5,0))</f>
        <v>#N/A</v>
      </c>
      <c r="N56" s="143" t="e">
        <f t="shared" si="10"/>
        <v>#N/A</v>
      </c>
    </row>
    <row r="57" spans="1:14" x14ac:dyDescent="0.25">
      <c r="A57" s="38"/>
      <c r="B57" s="39"/>
      <c r="C57" s="85"/>
      <c r="D57" s="85"/>
      <c r="E57" s="47"/>
      <c r="F57" s="48"/>
      <c r="G57" s="48"/>
      <c r="K57" s="142"/>
      <c r="L57" s="144">
        <f>SUMIFS('Power Query Table'!P:P,'Power Query Table'!O:O,'Upload tab'!K57)</f>
        <v>0</v>
      </c>
      <c r="M57" s="153" t="e">
        <f>INDEX('Membership invoices'!$192:$192,MATCH('Upload tab'!K57,'Membership invoices'!$5:$5,0))</f>
        <v>#N/A</v>
      </c>
      <c r="N57" s="143" t="e">
        <f t="shared" si="10"/>
        <v>#N/A</v>
      </c>
    </row>
    <row r="58" spans="1:14" x14ac:dyDescent="0.25">
      <c r="A58" s="38"/>
      <c r="B58" s="39"/>
      <c r="C58" s="85"/>
      <c r="D58" s="85"/>
      <c r="E58" s="47"/>
      <c r="F58" s="48"/>
      <c r="G58" s="48"/>
      <c r="K58" s="142"/>
      <c r="L58" s="144">
        <f>SUMIFS('Power Query Table'!P:P,'Power Query Table'!O:O,'Upload tab'!K58)</f>
        <v>0</v>
      </c>
      <c r="M58" s="153" t="e">
        <f>INDEX('Membership invoices'!$192:$192,MATCH('Upload tab'!K58,'Membership invoices'!$5:$5,0))</f>
        <v>#N/A</v>
      </c>
      <c r="N58" s="143" t="e">
        <f t="shared" si="10"/>
        <v>#N/A</v>
      </c>
    </row>
    <row r="59" spans="1:14" x14ac:dyDescent="0.25">
      <c r="A59" s="38"/>
      <c r="B59" s="39"/>
      <c r="C59" s="85"/>
      <c r="D59" s="85"/>
      <c r="E59" s="47"/>
      <c r="F59" s="48"/>
      <c r="G59" s="48"/>
      <c r="K59" s="142"/>
      <c r="L59" s="144">
        <f>SUMIFS('Power Query Table'!P:P,'Power Query Table'!O:O,'Upload tab'!K59)</f>
        <v>0</v>
      </c>
      <c r="M59" s="153" t="e">
        <f>INDEX('Membership invoices'!$192:$192,MATCH('Upload tab'!K59,'Membership invoices'!$5:$5,0))</f>
        <v>#N/A</v>
      </c>
      <c r="N59" s="143" t="e">
        <f t="shared" si="10"/>
        <v>#N/A</v>
      </c>
    </row>
    <row r="60" spans="1:14" ht="13.8" thickBot="1" x14ac:dyDescent="0.3">
      <c r="A60" s="38"/>
      <c r="B60" s="39"/>
      <c r="C60" s="85"/>
      <c r="D60" s="85"/>
      <c r="E60" s="47"/>
      <c r="F60" s="48"/>
      <c r="G60" s="48"/>
      <c r="K60" s="145" t="s">
        <v>126</v>
      </c>
      <c r="L60" s="146">
        <f>SUM(L35:L44)</f>
        <v>440</v>
      </c>
      <c r="M60" s="146" t="e">
        <f>SUM(M35:M40)</f>
        <v>#N/A</v>
      </c>
      <c r="N60" s="148" t="e">
        <f t="shared" si="10"/>
        <v>#N/A</v>
      </c>
    </row>
    <row r="61" spans="1:14" x14ac:dyDescent="0.25">
      <c r="A61" s="38"/>
      <c r="B61" s="39"/>
      <c r="C61" s="85"/>
      <c r="D61" s="85"/>
      <c r="E61" s="47"/>
      <c r="F61" s="48"/>
      <c r="G61" s="48"/>
    </row>
    <row r="62" spans="1:14" x14ac:dyDescent="0.25">
      <c r="A62" s="38"/>
      <c r="B62" s="39"/>
      <c r="C62" s="85"/>
      <c r="D62" s="85"/>
      <c r="E62" s="47"/>
      <c r="F62" s="48"/>
      <c r="G62" s="48"/>
    </row>
    <row r="63" spans="1:14" x14ac:dyDescent="0.25">
      <c r="A63" s="38"/>
      <c r="B63" s="39"/>
      <c r="C63" s="85"/>
      <c r="D63" s="85"/>
      <c r="E63" s="47"/>
      <c r="F63" s="48"/>
      <c r="G63" s="48"/>
    </row>
    <row r="64" spans="1:14" x14ac:dyDescent="0.25">
      <c r="A64" s="38"/>
      <c r="B64" s="39"/>
      <c r="C64" s="85"/>
      <c r="D64" s="85"/>
      <c r="E64" s="47"/>
      <c r="F64" s="48"/>
      <c r="G64" s="48"/>
      <c r="L64" s="155"/>
      <c r="M64" s="155"/>
      <c r="N64" s="156"/>
    </row>
    <row r="65" spans="1:7" x14ac:dyDescent="0.25">
      <c r="A65" s="38"/>
      <c r="B65" s="39"/>
      <c r="C65" s="85"/>
      <c r="D65" s="85"/>
      <c r="E65" s="47"/>
      <c r="F65" s="48"/>
      <c r="G65" s="48"/>
    </row>
    <row r="66" spans="1:7" x14ac:dyDescent="0.25">
      <c r="A66" s="38"/>
      <c r="B66" s="39"/>
      <c r="C66" s="85"/>
      <c r="D66" s="85"/>
      <c r="E66" s="47"/>
      <c r="F66" s="48"/>
      <c r="G66" s="48"/>
    </row>
    <row r="67" spans="1:7" x14ac:dyDescent="0.25">
      <c r="A67" s="38"/>
      <c r="B67" s="39"/>
      <c r="C67" s="85"/>
      <c r="D67" s="85"/>
      <c r="E67" s="47"/>
      <c r="F67" s="48"/>
      <c r="G67" s="48"/>
    </row>
    <row r="68" spans="1:7" x14ac:dyDescent="0.25">
      <c r="A68" s="38"/>
      <c r="B68" s="39"/>
      <c r="C68" s="85"/>
      <c r="D68" s="85"/>
      <c r="E68" s="47"/>
      <c r="F68" s="48"/>
      <c r="G68" s="48"/>
    </row>
    <row r="69" spans="1:7" x14ac:dyDescent="0.25">
      <c r="A69" s="38"/>
      <c r="B69" s="39"/>
      <c r="C69" s="85"/>
      <c r="D69" s="85"/>
      <c r="E69" s="47"/>
      <c r="F69" s="48"/>
      <c r="G69" s="48"/>
    </row>
    <row r="70" spans="1:7" x14ac:dyDescent="0.25">
      <c r="A70" s="38"/>
      <c r="B70" s="39"/>
      <c r="C70" s="85"/>
      <c r="D70" s="85"/>
      <c r="E70" s="47"/>
      <c r="F70" s="48"/>
      <c r="G70" s="48"/>
    </row>
    <row r="71" spans="1:7" x14ac:dyDescent="0.25">
      <c r="A71" s="38"/>
      <c r="B71" s="39"/>
      <c r="C71" s="85"/>
      <c r="D71" s="85"/>
      <c r="E71" s="47"/>
      <c r="F71" s="48"/>
      <c r="G71" s="48"/>
    </row>
    <row r="72" spans="1:7" x14ac:dyDescent="0.25">
      <c r="A72" s="38"/>
      <c r="B72" s="39"/>
      <c r="C72" s="85"/>
      <c r="D72" s="85"/>
      <c r="E72" s="47"/>
      <c r="F72" s="48"/>
      <c r="G72" s="48"/>
    </row>
    <row r="73" spans="1:7" x14ac:dyDescent="0.25">
      <c r="A73" s="38"/>
      <c r="B73" s="39"/>
      <c r="C73" s="85"/>
      <c r="D73" s="85"/>
      <c r="E73" s="47"/>
      <c r="F73" s="48"/>
      <c r="G73" s="48"/>
    </row>
    <row r="74" spans="1:7" x14ac:dyDescent="0.25">
      <c r="A74" s="38"/>
      <c r="B74" s="39"/>
      <c r="C74" s="85"/>
      <c r="D74" s="85"/>
      <c r="E74" s="47"/>
      <c r="F74" s="48"/>
      <c r="G74" s="48"/>
    </row>
    <row r="75" spans="1:7" x14ac:dyDescent="0.25">
      <c r="A75" s="38"/>
      <c r="B75" s="39"/>
      <c r="C75" s="85"/>
      <c r="D75" s="85"/>
      <c r="E75" s="47"/>
      <c r="F75" s="48"/>
      <c r="G75" s="48"/>
    </row>
    <row r="76" spans="1:7" x14ac:dyDescent="0.25">
      <c r="A76" s="38"/>
      <c r="B76" s="39"/>
      <c r="C76" s="85"/>
      <c r="D76" s="85"/>
      <c r="E76" s="47"/>
      <c r="F76" s="48"/>
      <c r="G76" s="48"/>
    </row>
    <row r="77" spans="1:7" x14ac:dyDescent="0.25">
      <c r="A77" s="38"/>
      <c r="B77" s="39"/>
      <c r="C77" s="85"/>
      <c r="D77" s="85"/>
      <c r="E77" s="47"/>
      <c r="F77" s="48"/>
      <c r="G77" s="48"/>
    </row>
    <row r="78" spans="1:7" x14ac:dyDescent="0.25">
      <c r="A78" s="38"/>
      <c r="B78" s="39"/>
      <c r="C78" s="85"/>
      <c r="D78" s="85"/>
      <c r="E78" s="47"/>
      <c r="F78" s="48"/>
      <c r="G78" s="48"/>
    </row>
    <row r="79" spans="1:7" x14ac:dyDescent="0.25">
      <c r="A79" s="38"/>
      <c r="B79" s="39"/>
      <c r="C79" s="85"/>
      <c r="D79" s="85"/>
      <c r="E79" s="47"/>
      <c r="F79" s="48"/>
      <c r="G79" s="48"/>
    </row>
    <row r="80" spans="1:7" x14ac:dyDescent="0.25">
      <c r="A80" s="38"/>
      <c r="B80" s="39"/>
      <c r="C80" s="85"/>
      <c r="D80" s="85"/>
      <c r="E80" s="47"/>
      <c r="F80" s="48"/>
      <c r="G80" s="48"/>
    </row>
    <row r="81" spans="1:7" x14ac:dyDescent="0.25">
      <c r="A81" s="38"/>
      <c r="B81" s="39"/>
      <c r="C81" s="85"/>
      <c r="D81" s="85"/>
      <c r="E81" s="47"/>
      <c r="F81" s="48"/>
      <c r="G81" s="48"/>
    </row>
    <row r="82" spans="1:7" x14ac:dyDescent="0.25">
      <c r="A82" s="38"/>
      <c r="B82" s="39"/>
      <c r="C82" s="85"/>
      <c r="D82" s="85"/>
      <c r="E82" s="47"/>
      <c r="F82" s="48"/>
      <c r="G82" s="48"/>
    </row>
    <row r="83" spans="1:7" x14ac:dyDescent="0.25">
      <c r="A83" s="38"/>
      <c r="B83" s="39"/>
      <c r="C83" s="85"/>
      <c r="D83" s="85"/>
      <c r="E83" s="47"/>
      <c r="F83" s="48"/>
      <c r="G83" s="48"/>
    </row>
    <row r="84" spans="1:7" x14ac:dyDescent="0.25">
      <c r="A84" s="38"/>
      <c r="B84" s="39"/>
      <c r="C84" s="85"/>
      <c r="D84" s="85"/>
      <c r="E84" s="47"/>
      <c r="F84" s="48"/>
      <c r="G84" s="48"/>
    </row>
    <row r="85" spans="1:7" x14ac:dyDescent="0.25">
      <c r="A85" s="38"/>
      <c r="B85" s="39"/>
      <c r="C85" s="85"/>
      <c r="D85" s="85"/>
      <c r="E85" s="47"/>
      <c r="F85" s="48"/>
      <c r="G85" s="48"/>
    </row>
    <row r="86" spans="1:7" x14ac:dyDescent="0.25">
      <c r="A86" s="38"/>
      <c r="B86" s="39"/>
      <c r="C86" s="85"/>
      <c r="D86" s="85"/>
      <c r="E86" s="47"/>
      <c r="F86" s="48"/>
      <c r="G86" s="48"/>
    </row>
    <row r="87" spans="1:7" x14ac:dyDescent="0.25">
      <c r="A87" s="38"/>
      <c r="B87" s="39"/>
      <c r="C87" s="85"/>
      <c r="D87" s="85"/>
      <c r="E87" s="47"/>
      <c r="F87" s="48"/>
      <c r="G87" s="48"/>
    </row>
    <row r="88" spans="1:7" x14ac:dyDescent="0.25">
      <c r="A88" s="38"/>
      <c r="B88" s="39"/>
      <c r="C88" s="85"/>
      <c r="D88" s="85"/>
      <c r="E88" s="47"/>
      <c r="F88" s="48"/>
      <c r="G88" s="48"/>
    </row>
    <row r="89" spans="1:7" x14ac:dyDescent="0.25">
      <c r="A89" s="38"/>
      <c r="B89" s="39"/>
      <c r="C89" s="85"/>
      <c r="D89" s="85"/>
      <c r="E89" s="47"/>
      <c r="F89" s="48"/>
      <c r="G89" s="48"/>
    </row>
    <row r="90" spans="1:7" x14ac:dyDescent="0.25">
      <c r="A90" s="38"/>
      <c r="B90" s="39"/>
      <c r="C90" s="85"/>
      <c r="D90" s="85"/>
      <c r="E90" s="47"/>
      <c r="F90" s="48"/>
      <c r="G90" s="48"/>
    </row>
    <row r="91" spans="1:7" x14ac:dyDescent="0.25">
      <c r="A91" s="38"/>
      <c r="B91" s="39"/>
      <c r="C91" s="85"/>
      <c r="D91" s="85"/>
      <c r="E91" s="47"/>
      <c r="F91" s="48"/>
      <c r="G91" s="48"/>
    </row>
    <row r="92" spans="1:7" x14ac:dyDescent="0.25">
      <c r="A92" s="38"/>
      <c r="B92" s="39"/>
      <c r="C92" s="85"/>
      <c r="D92" s="85"/>
      <c r="E92" s="47"/>
      <c r="F92" s="48"/>
      <c r="G92" s="48"/>
    </row>
    <row r="93" spans="1:7" x14ac:dyDescent="0.25">
      <c r="A93" s="38"/>
      <c r="B93" s="39"/>
      <c r="C93" s="85"/>
      <c r="D93" s="85"/>
      <c r="E93" s="47"/>
      <c r="F93" s="48"/>
      <c r="G93" s="48"/>
    </row>
    <row r="94" spans="1:7" x14ac:dyDescent="0.25">
      <c r="A94" s="38"/>
      <c r="B94" s="39"/>
      <c r="C94" s="85"/>
      <c r="D94" s="85"/>
      <c r="E94" s="47"/>
      <c r="F94" s="48"/>
      <c r="G94" s="48"/>
    </row>
    <row r="95" spans="1:7" x14ac:dyDescent="0.25">
      <c r="A95" s="38"/>
      <c r="B95" s="39"/>
      <c r="C95" s="85"/>
      <c r="D95" s="85"/>
      <c r="E95" s="47"/>
      <c r="F95" s="48"/>
      <c r="G95" s="48"/>
    </row>
    <row r="96" spans="1:7" x14ac:dyDescent="0.25">
      <c r="A96" s="38"/>
      <c r="B96" s="39"/>
      <c r="C96" s="85"/>
      <c r="D96" s="85"/>
      <c r="E96" s="47"/>
      <c r="F96" s="48"/>
      <c r="G96" s="48"/>
    </row>
    <row r="97" spans="1:7" x14ac:dyDescent="0.25">
      <c r="A97" s="38"/>
      <c r="B97" s="39"/>
      <c r="C97" s="85"/>
      <c r="D97" s="85"/>
      <c r="E97" s="47"/>
      <c r="F97" s="48"/>
      <c r="G97" s="48"/>
    </row>
    <row r="98" spans="1:7" x14ac:dyDescent="0.25">
      <c r="A98" s="38"/>
      <c r="B98" s="39"/>
      <c r="C98" s="85"/>
      <c r="D98" s="85"/>
      <c r="E98" s="47"/>
      <c r="F98" s="48"/>
      <c r="G98" s="48"/>
    </row>
    <row r="99" spans="1:7" x14ac:dyDescent="0.25">
      <c r="A99" s="38"/>
      <c r="B99" s="39"/>
      <c r="C99" s="85"/>
      <c r="D99" s="85"/>
      <c r="E99" s="47"/>
      <c r="F99" s="48"/>
      <c r="G99" s="48"/>
    </row>
    <row r="100" spans="1:7" x14ac:dyDescent="0.25">
      <c r="A100" s="38"/>
      <c r="B100" s="39"/>
      <c r="C100" s="85"/>
      <c r="D100" s="85"/>
      <c r="E100" s="47"/>
      <c r="F100" s="48"/>
      <c r="G100" s="48"/>
    </row>
    <row r="101" spans="1:7" x14ac:dyDescent="0.25">
      <c r="A101" s="38"/>
      <c r="B101" s="39"/>
      <c r="C101" s="85"/>
      <c r="D101" s="85"/>
      <c r="E101" s="47"/>
      <c r="F101" s="48"/>
      <c r="G101" s="48"/>
    </row>
    <row r="102" spans="1:7" x14ac:dyDescent="0.25">
      <c r="A102" s="38"/>
      <c r="B102" s="39"/>
      <c r="C102" s="85"/>
      <c r="D102" s="85"/>
      <c r="E102" s="47"/>
      <c r="F102" s="48"/>
      <c r="G102" s="48"/>
    </row>
    <row r="103" spans="1:7" x14ac:dyDescent="0.25">
      <c r="A103" s="38"/>
      <c r="B103" s="39"/>
      <c r="C103" s="85"/>
      <c r="D103" s="85"/>
      <c r="E103" s="47"/>
      <c r="F103" s="48"/>
      <c r="G103" s="48"/>
    </row>
    <row r="104" spans="1:7" x14ac:dyDescent="0.25">
      <c r="A104" s="38"/>
      <c r="B104" s="39"/>
      <c r="C104" s="85"/>
      <c r="D104" s="85"/>
      <c r="E104" s="47"/>
      <c r="F104" s="48"/>
      <c r="G104" s="48"/>
    </row>
    <row r="105" spans="1:7" x14ac:dyDescent="0.25">
      <c r="A105" s="38"/>
      <c r="B105" s="39"/>
      <c r="C105" s="85"/>
      <c r="D105" s="85"/>
      <c r="E105" s="47"/>
      <c r="F105" s="48"/>
      <c r="G105" s="48"/>
    </row>
    <row r="106" spans="1:7" x14ac:dyDescent="0.25">
      <c r="A106" s="38"/>
      <c r="B106" s="39"/>
      <c r="C106" s="85"/>
      <c r="D106" s="85"/>
      <c r="E106" s="47"/>
      <c r="F106" s="48"/>
      <c r="G106" s="48"/>
    </row>
    <row r="107" spans="1:7" x14ac:dyDescent="0.25">
      <c r="A107" s="38"/>
      <c r="B107" s="39"/>
      <c r="C107" s="85"/>
      <c r="D107" s="85"/>
      <c r="E107" s="47"/>
      <c r="F107" s="48"/>
      <c r="G107" s="48"/>
    </row>
    <row r="108" spans="1:7" x14ac:dyDescent="0.25">
      <c r="A108" s="38"/>
      <c r="B108" s="39"/>
      <c r="C108" s="85"/>
      <c r="D108" s="85"/>
      <c r="E108" s="47"/>
      <c r="F108" s="48"/>
      <c r="G108" s="48"/>
    </row>
    <row r="109" spans="1:7" x14ac:dyDescent="0.25">
      <c r="A109" s="38"/>
      <c r="B109" s="39"/>
      <c r="C109" s="85"/>
      <c r="D109" s="85"/>
      <c r="E109" s="47"/>
      <c r="F109" s="48"/>
      <c r="G109" s="48"/>
    </row>
    <row r="110" spans="1:7" x14ac:dyDescent="0.25">
      <c r="A110" s="38"/>
      <c r="B110" s="39"/>
      <c r="C110" s="85"/>
      <c r="D110" s="85"/>
      <c r="E110" s="47"/>
      <c r="F110" s="48"/>
      <c r="G110" s="48"/>
    </row>
    <row r="111" spans="1:7" x14ac:dyDescent="0.25">
      <c r="A111" s="38"/>
      <c r="B111" s="39"/>
      <c r="C111" s="85"/>
      <c r="D111" s="85"/>
      <c r="E111" s="47"/>
      <c r="F111" s="48"/>
      <c r="G111" s="48"/>
    </row>
    <row r="112" spans="1:7" x14ac:dyDescent="0.25">
      <c r="A112" s="38"/>
      <c r="B112" s="39"/>
      <c r="C112" s="85"/>
      <c r="D112" s="85"/>
      <c r="E112" s="47"/>
      <c r="F112" s="48"/>
      <c r="G112" s="48"/>
    </row>
    <row r="113" spans="1:7" x14ac:dyDescent="0.25">
      <c r="A113" s="38"/>
      <c r="B113" s="39"/>
      <c r="C113" s="85"/>
      <c r="D113" s="85"/>
      <c r="E113" s="47"/>
      <c r="F113" s="48"/>
      <c r="G113" s="48"/>
    </row>
    <row r="114" spans="1:7" x14ac:dyDescent="0.25">
      <c r="A114" s="38"/>
      <c r="B114" s="39"/>
      <c r="C114" s="85"/>
      <c r="D114" s="85"/>
      <c r="E114" s="47"/>
      <c r="F114" s="48"/>
      <c r="G114" s="48"/>
    </row>
    <row r="115" spans="1:7" x14ac:dyDescent="0.25">
      <c r="A115" s="38"/>
      <c r="B115" s="39"/>
      <c r="C115" s="85"/>
      <c r="D115" s="85"/>
      <c r="E115" s="47"/>
      <c r="F115" s="48"/>
      <c r="G115" s="48"/>
    </row>
    <row r="116" spans="1:7" x14ac:dyDescent="0.25">
      <c r="A116" s="38"/>
      <c r="B116" s="39"/>
      <c r="C116" s="85"/>
      <c r="D116" s="85"/>
      <c r="E116" s="47"/>
      <c r="F116" s="48"/>
      <c r="G116" s="48"/>
    </row>
    <row r="117" spans="1:7" x14ac:dyDescent="0.25">
      <c r="A117" s="38"/>
      <c r="B117" s="39"/>
      <c r="C117" s="85"/>
      <c r="D117" s="85"/>
      <c r="E117" s="47"/>
      <c r="F117" s="48"/>
      <c r="G117" s="48"/>
    </row>
    <row r="118" spans="1:7" x14ac:dyDescent="0.25">
      <c r="A118" s="38"/>
      <c r="B118" s="39"/>
      <c r="C118" s="85"/>
      <c r="D118" s="85"/>
      <c r="E118" s="47"/>
      <c r="F118" s="48"/>
      <c r="G118" s="48"/>
    </row>
    <row r="119" spans="1:7" x14ac:dyDescent="0.25">
      <c r="A119" s="38"/>
      <c r="B119" s="39"/>
      <c r="C119" s="85"/>
      <c r="D119" s="85"/>
      <c r="E119" s="47"/>
      <c r="F119" s="48"/>
      <c r="G119" s="48"/>
    </row>
    <row r="120" spans="1:7" x14ac:dyDescent="0.25">
      <c r="A120" s="38"/>
      <c r="B120" s="39"/>
      <c r="C120" s="85"/>
      <c r="D120" s="85"/>
      <c r="E120" s="47"/>
      <c r="F120" s="48"/>
      <c r="G120" s="48"/>
    </row>
    <row r="121" spans="1:7" x14ac:dyDescent="0.25">
      <c r="A121" s="38"/>
      <c r="B121" s="39"/>
      <c r="C121" s="85"/>
      <c r="D121" s="85"/>
      <c r="E121" s="47"/>
      <c r="F121" s="48"/>
      <c r="G121" s="48"/>
    </row>
    <row r="122" spans="1:7" x14ac:dyDescent="0.25">
      <c r="A122" s="38"/>
      <c r="B122" s="39"/>
      <c r="C122" s="85"/>
      <c r="D122" s="85"/>
      <c r="E122" s="47"/>
      <c r="F122" s="48"/>
      <c r="G122" s="48"/>
    </row>
    <row r="123" spans="1:7" x14ac:dyDescent="0.25">
      <c r="A123" s="38"/>
      <c r="B123" s="39"/>
      <c r="C123" s="85"/>
      <c r="D123" s="85"/>
      <c r="E123" s="47"/>
      <c r="F123" s="48"/>
      <c r="G123" s="48"/>
    </row>
    <row r="124" spans="1:7" x14ac:dyDescent="0.25">
      <c r="A124" s="38"/>
      <c r="B124" s="39"/>
      <c r="C124" s="85"/>
      <c r="D124" s="85"/>
      <c r="E124" s="47"/>
      <c r="F124" s="48"/>
      <c r="G124" s="48"/>
    </row>
    <row r="125" spans="1:7" x14ac:dyDescent="0.25">
      <c r="A125" s="38"/>
      <c r="B125" s="39"/>
      <c r="C125" s="85"/>
      <c r="D125" s="85"/>
      <c r="E125" s="47"/>
      <c r="F125" s="48"/>
      <c r="G125" s="48"/>
    </row>
    <row r="126" spans="1:7" x14ac:dyDescent="0.25">
      <c r="A126" s="38"/>
      <c r="B126" s="39"/>
      <c r="C126" s="85"/>
      <c r="D126" s="85"/>
      <c r="E126" s="47"/>
      <c r="F126" s="48"/>
      <c r="G126" s="48"/>
    </row>
    <row r="127" spans="1:7" x14ac:dyDescent="0.25">
      <c r="A127" s="38"/>
      <c r="B127" s="39"/>
      <c r="C127" s="85"/>
      <c r="D127" s="85"/>
      <c r="E127" s="47"/>
      <c r="F127" s="48"/>
      <c r="G127" s="48"/>
    </row>
    <row r="128" spans="1:7" x14ac:dyDescent="0.25">
      <c r="A128" s="38"/>
      <c r="B128" s="39"/>
      <c r="C128" s="85"/>
      <c r="D128" s="85"/>
      <c r="E128" s="47"/>
      <c r="F128" s="48"/>
      <c r="G128" s="48"/>
    </row>
    <row r="129" spans="1:7" x14ac:dyDescent="0.25">
      <c r="A129" s="38"/>
      <c r="B129" s="39"/>
      <c r="C129" s="85"/>
      <c r="D129" s="85"/>
      <c r="E129" s="47"/>
      <c r="F129" s="48"/>
      <c r="G129" s="48"/>
    </row>
    <row r="130" spans="1:7" x14ac:dyDescent="0.25">
      <c r="A130" s="38"/>
      <c r="B130" s="39"/>
      <c r="C130" s="85"/>
      <c r="D130" s="85"/>
      <c r="E130" s="47"/>
      <c r="F130" s="48"/>
      <c r="G130" s="48"/>
    </row>
    <row r="131" spans="1:7" x14ac:dyDescent="0.25">
      <c r="A131" s="38"/>
      <c r="B131" s="39"/>
      <c r="C131" s="85"/>
      <c r="D131" s="85"/>
      <c r="E131" s="47"/>
      <c r="F131" s="48"/>
      <c r="G131" s="48"/>
    </row>
    <row r="132" spans="1:7" x14ac:dyDescent="0.25">
      <c r="A132" s="38"/>
      <c r="B132" s="39"/>
      <c r="C132" s="85"/>
      <c r="D132" s="85"/>
      <c r="E132" s="47"/>
      <c r="F132" s="48"/>
      <c r="G132" s="48"/>
    </row>
    <row r="133" spans="1:7" x14ac:dyDescent="0.25">
      <c r="A133" s="38"/>
      <c r="B133" s="39"/>
      <c r="C133" s="85"/>
      <c r="D133" s="85"/>
      <c r="E133" s="47"/>
      <c r="F133" s="48"/>
      <c r="G133" s="48"/>
    </row>
    <row r="134" spans="1:7" x14ac:dyDescent="0.25">
      <c r="A134" s="38"/>
      <c r="B134" s="39"/>
      <c r="C134" s="85"/>
      <c r="D134" s="85"/>
      <c r="E134" s="47"/>
      <c r="F134" s="48"/>
      <c r="G134" s="48"/>
    </row>
    <row r="135" spans="1:7" x14ac:dyDescent="0.25">
      <c r="A135" s="38"/>
      <c r="B135" s="39"/>
      <c r="C135" s="85"/>
      <c r="D135" s="85"/>
      <c r="E135" s="47"/>
      <c r="F135" s="48"/>
      <c r="G135" s="48"/>
    </row>
    <row r="136" spans="1:7" x14ac:dyDescent="0.25">
      <c r="A136" s="38"/>
      <c r="B136" s="39"/>
      <c r="C136" s="85"/>
      <c r="D136" s="85"/>
      <c r="E136" s="47"/>
      <c r="F136" s="48"/>
      <c r="G136" s="48"/>
    </row>
    <row r="137" spans="1:7" x14ac:dyDescent="0.25">
      <c r="A137" s="38"/>
      <c r="B137" s="39"/>
      <c r="C137" s="85"/>
      <c r="D137" s="85"/>
      <c r="E137" s="47"/>
      <c r="F137" s="48"/>
      <c r="G137" s="48"/>
    </row>
    <row r="138" spans="1:7" x14ac:dyDescent="0.25">
      <c r="A138" s="38"/>
      <c r="B138" s="39"/>
      <c r="C138" s="85"/>
      <c r="D138" s="85"/>
      <c r="E138" s="47"/>
      <c r="F138" s="48"/>
      <c r="G138" s="48"/>
    </row>
    <row r="139" spans="1:7" x14ac:dyDescent="0.25">
      <c r="A139" s="38"/>
      <c r="B139" s="39"/>
      <c r="C139" s="85"/>
      <c r="D139" s="85"/>
      <c r="E139" s="47"/>
      <c r="F139" s="48"/>
      <c r="G139" s="48"/>
    </row>
    <row r="140" spans="1:7" x14ac:dyDescent="0.25">
      <c r="A140" s="38"/>
      <c r="B140" s="39"/>
      <c r="C140" s="85"/>
      <c r="D140" s="85"/>
      <c r="E140" s="47"/>
      <c r="F140" s="48"/>
      <c r="G140" s="48"/>
    </row>
    <row r="141" spans="1:7" x14ac:dyDescent="0.25">
      <c r="A141" s="38"/>
      <c r="B141" s="39"/>
      <c r="C141" s="85"/>
      <c r="D141" s="85"/>
      <c r="E141" s="47"/>
      <c r="F141" s="48"/>
      <c r="G141" s="48"/>
    </row>
    <row r="142" spans="1:7" x14ac:dyDescent="0.25">
      <c r="A142" s="38"/>
      <c r="B142" s="39"/>
      <c r="C142" s="85"/>
      <c r="D142" s="85"/>
      <c r="E142" s="47"/>
      <c r="F142" s="48"/>
      <c r="G142" s="48"/>
    </row>
    <row r="143" spans="1:7" x14ac:dyDescent="0.25">
      <c r="A143" s="38"/>
      <c r="B143" s="39"/>
      <c r="C143" s="85"/>
      <c r="D143" s="85"/>
      <c r="E143" s="47"/>
      <c r="F143" s="48"/>
      <c r="G143" s="48"/>
    </row>
    <row r="144" spans="1:7" x14ac:dyDescent="0.25">
      <c r="A144" s="38"/>
      <c r="B144" s="39"/>
      <c r="C144" s="85"/>
      <c r="D144" s="85"/>
      <c r="E144" s="47"/>
      <c r="F144" s="48"/>
      <c r="G144" s="48"/>
    </row>
    <row r="145" spans="1:7" x14ac:dyDescent="0.25">
      <c r="A145" s="38"/>
      <c r="B145" s="39"/>
      <c r="C145" s="85"/>
      <c r="D145" s="85"/>
      <c r="E145" s="47"/>
      <c r="F145" s="48"/>
      <c r="G145" s="48"/>
    </row>
    <row r="146" spans="1:7" x14ac:dyDescent="0.25">
      <c r="A146" s="38"/>
      <c r="B146" s="39"/>
      <c r="C146" s="85"/>
      <c r="D146" s="85"/>
      <c r="E146" s="47"/>
      <c r="F146" s="48"/>
      <c r="G146" s="48"/>
    </row>
    <row r="147" spans="1:7" x14ac:dyDescent="0.25">
      <c r="A147" s="38"/>
      <c r="B147" s="39"/>
      <c r="C147" s="85"/>
      <c r="D147" s="85"/>
      <c r="E147" s="47"/>
      <c r="F147" s="48"/>
      <c r="G147" s="48"/>
    </row>
    <row r="148" spans="1:7" x14ac:dyDescent="0.25">
      <c r="A148" s="38"/>
      <c r="B148" s="39"/>
      <c r="C148" s="85"/>
      <c r="D148" s="85"/>
      <c r="E148" s="47"/>
      <c r="F148" s="48"/>
      <c r="G148" s="48"/>
    </row>
    <row r="149" spans="1:7" x14ac:dyDescent="0.25">
      <c r="A149" s="38"/>
      <c r="B149" s="39"/>
      <c r="C149" s="85"/>
      <c r="D149" s="85"/>
      <c r="E149" s="47"/>
      <c r="F149" s="48"/>
      <c r="G149" s="48"/>
    </row>
    <row r="150" spans="1:7" x14ac:dyDescent="0.25">
      <c r="A150" s="38"/>
      <c r="B150" s="39"/>
      <c r="C150" s="85"/>
      <c r="D150" s="85"/>
      <c r="E150" s="47"/>
      <c r="F150" s="48"/>
      <c r="G150" s="48"/>
    </row>
    <row r="151" spans="1:7" x14ac:dyDescent="0.25">
      <c r="A151" s="38"/>
      <c r="B151" s="39"/>
      <c r="C151" s="85"/>
      <c r="D151" s="85"/>
      <c r="E151" s="47"/>
      <c r="F151" s="48"/>
      <c r="G151" s="48"/>
    </row>
    <row r="152" spans="1:7" x14ac:dyDescent="0.25">
      <c r="A152" s="38"/>
      <c r="B152" s="39"/>
      <c r="C152" s="85"/>
      <c r="D152" s="85"/>
      <c r="E152" s="47"/>
      <c r="F152" s="48"/>
      <c r="G152" s="48"/>
    </row>
    <row r="153" spans="1:7" x14ac:dyDescent="0.25">
      <c r="A153" s="38"/>
      <c r="B153" s="39"/>
      <c r="C153" s="85"/>
      <c r="D153" s="85"/>
      <c r="E153" s="47"/>
      <c r="F153" s="48"/>
      <c r="G153" s="48"/>
    </row>
    <row r="154" spans="1:7" x14ac:dyDescent="0.25">
      <c r="A154" s="38"/>
      <c r="B154" s="39"/>
      <c r="C154" s="85"/>
      <c r="D154" s="85"/>
      <c r="E154" s="47"/>
      <c r="F154" s="48"/>
      <c r="G154" s="48"/>
    </row>
    <row r="155" spans="1:7" x14ac:dyDescent="0.25">
      <c r="A155" s="38"/>
      <c r="B155" s="39"/>
      <c r="C155" s="85"/>
      <c r="D155" s="85"/>
      <c r="E155" s="47"/>
      <c r="F155" s="48"/>
      <c r="G155" s="48"/>
    </row>
    <row r="156" spans="1:7" x14ac:dyDescent="0.25">
      <c r="A156" s="38"/>
      <c r="B156" s="39"/>
      <c r="C156" s="85"/>
      <c r="D156" s="85"/>
      <c r="E156" s="47"/>
      <c r="F156" s="48"/>
      <c r="G156" s="48"/>
    </row>
    <row r="157" spans="1:7" x14ac:dyDescent="0.25">
      <c r="A157" s="38"/>
      <c r="B157" s="39"/>
      <c r="C157" s="85"/>
      <c r="D157" s="85"/>
      <c r="E157" s="47"/>
      <c r="F157" s="48"/>
      <c r="G157" s="48"/>
    </row>
    <row r="158" spans="1:7" x14ac:dyDescent="0.25">
      <c r="A158" s="38"/>
      <c r="B158" s="39"/>
      <c r="C158" s="85"/>
      <c r="D158" s="85"/>
      <c r="E158" s="47"/>
      <c r="F158" s="48"/>
      <c r="G158" s="48"/>
    </row>
    <row r="159" spans="1:7" x14ac:dyDescent="0.25">
      <c r="A159" s="38"/>
      <c r="B159" s="39"/>
      <c r="C159" s="85"/>
      <c r="D159" s="85"/>
      <c r="E159" s="47"/>
      <c r="F159" s="48"/>
      <c r="G159" s="48"/>
    </row>
    <row r="160" spans="1:7" x14ac:dyDescent="0.25">
      <c r="A160" s="38"/>
      <c r="B160" s="39"/>
      <c r="C160" s="85"/>
      <c r="D160" s="85"/>
      <c r="E160" s="47"/>
      <c r="F160" s="48"/>
      <c r="G160" s="48"/>
    </row>
    <row r="161" spans="1:7" x14ac:dyDescent="0.25">
      <c r="A161" s="38"/>
      <c r="B161" s="39"/>
      <c r="C161" s="85"/>
      <c r="D161" s="85"/>
      <c r="E161" s="47"/>
      <c r="F161" s="48"/>
      <c r="G161" s="48"/>
    </row>
    <row r="162" spans="1:7" x14ac:dyDescent="0.25">
      <c r="A162" s="38"/>
      <c r="B162" s="39"/>
      <c r="C162" s="85"/>
      <c r="D162" s="85"/>
      <c r="E162" s="47"/>
      <c r="F162" s="48"/>
      <c r="G162" s="48"/>
    </row>
    <row r="163" spans="1:7" x14ac:dyDescent="0.25">
      <c r="A163" s="38"/>
      <c r="B163" s="39"/>
      <c r="C163" s="85"/>
      <c r="D163" s="85"/>
      <c r="E163" s="47"/>
      <c r="F163" s="48"/>
      <c r="G163" s="48"/>
    </row>
    <row r="164" spans="1:7" x14ac:dyDescent="0.25">
      <c r="A164" s="38"/>
      <c r="B164" s="39"/>
      <c r="C164" s="85"/>
      <c r="D164" s="85"/>
      <c r="E164" s="47"/>
      <c r="F164" s="48"/>
      <c r="G164" s="48"/>
    </row>
    <row r="165" spans="1:7" x14ac:dyDescent="0.25">
      <c r="A165" s="38"/>
      <c r="B165" s="39"/>
      <c r="C165" s="85"/>
      <c r="D165" s="85"/>
      <c r="E165" s="47"/>
      <c r="F165" s="48"/>
      <c r="G165" s="48"/>
    </row>
    <row r="166" spans="1:7" x14ac:dyDescent="0.25">
      <c r="A166" s="38"/>
      <c r="B166" s="39"/>
      <c r="C166" s="85"/>
      <c r="D166" s="85"/>
      <c r="E166" s="47"/>
      <c r="F166" s="48"/>
      <c r="G166" s="48"/>
    </row>
    <row r="167" spans="1:7" x14ac:dyDescent="0.25">
      <c r="A167" s="38"/>
      <c r="B167" s="39"/>
      <c r="C167" s="85"/>
      <c r="D167" s="85"/>
      <c r="E167" s="47"/>
      <c r="F167" s="48"/>
      <c r="G167" s="48"/>
    </row>
    <row r="168" spans="1:7" x14ac:dyDescent="0.25">
      <c r="A168" s="38"/>
      <c r="B168" s="39"/>
      <c r="C168" s="85"/>
      <c r="D168" s="85"/>
      <c r="E168" s="47"/>
      <c r="F168" s="48"/>
      <c r="G168" s="48"/>
    </row>
    <row r="169" spans="1:7" x14ac:dyDescent="0.25">
      <c r="A169" s="38"/>
      <c r="B169" s="39"/>
      <c r="C169" s="85"/>
      <c r="D169" s="85"/>
      <c r="E169" s="47"/>
      <c r="F169" s="48"/>
      <c r="G169" s="48"/>
    </row>
    <row r="170" spans="1:7" x14ac:dyDescent="0.25">
      <c r="A170" s="38"/>
      <c r="B170" s="39"/>
      <c r="C170" s="85"/>
      <c r="D170" s="85"/>
      <c r="E170" s="47"/>
      <c r="F170" s="48"/>
      <c r="G170" s="48"/>
    </row>
    <row r="171" spans="1:7" x14ac:dyDescent="0.25">
      <c r="A171" s="38"/>
      <c r="B171" s="39"/>
      <c r="C171" s="85"/>
      <c r="D171" s="85"/>
      <c r="E171" s="47"/>
      <c r="F171" s="48"/>
      <c r="G171" s="48"/>
    </row>
    <row r="172" spans="1:7" x14ac:dyDescent="0.25">
      <c r="A172" s="38"/>
      <c r="B172" s="39"/>
      <c r="C172" s="85"/>
      <c r="D172" s="85"/>
      <c r="E172" s="47"/>
      <c r="F172" s="48"/>
      <c r="G172" s="48"/>
    </row>
    <row r="173" spans="1:7" x14ac:dyDescent="0.25">
      <c r="A173" s="38"/>
      <c r="B173" s="39"/>
      <c r="C173" s="85"/>
      <c r="D173" s="85"/>
      <c r="E173" s="47"/>
      <c r="F173" s="48"/>
      <c r="G173" s="48"/>
    </row>
    <row r="174" spans="1:7" x14ac:dyDescent="0.25">
      <c r="A174" s="38"/>
      <c r="B174" s="39"/>
      <c r="C174" s="85"/>
      <c r="D174" s="85"/>
      <c r="E174" s="47"/>
      <c r="F174" s="48"/>
      <c r="G174" s="48"/>
    </row>
    <row r="175" spans="1:7" x14ac:dyDescent="0.25">
      <c r="A175" s="38"/>
      <c r="B175" s="39"/>
      <c r="C175" s="85"/>
      <c r="D175" s="85"/>
      <c r="E175" s="47"/>
      <c r="F175" s="48"/>
      <c r="G175" s="48"/>
    </row>
    <row r="176" spans="1:7" x14ac:dyDescent="0.25">
      <c r="A176" s="38"/>
      <c r="B176" s="39"/>
      <c r="C176" s="85"/>
      <c r="D176" s="85"/>
      <c r="E176" s="47"/>
      <c r="F176" s="48"/>
      <c r="G176" s="48"/>
    </row>
    <row r="177" spans="1:7" x14ac:dyDescent="0.25">
      <c r="A177" s="38"/>
      <c r="B177" s="39"/>
      <c r="C177" s="85"/>
      <c r="D177" s="85"/>
      <c r="E177" s="47"/>
      <c r="F177" s="48"/>
      <c r="G177" s="48"/>
    </row>
    <row r="178" spans="1:7" x14ac:dyDescent="0.25">
      <c r="A178" s="38"/>
      <c r="B178" s="39"/>
      <c r="C178" s="85"/>
      <c r="D178" s="85"/>
      <c r="E178" s="47"/>
      <c r="F178" s="48"/>
      <c r="G178" s="48"/>
    </row>
    <row r="179" spans="1:7" x14ac:dyDescent="0.25">
      <c r="A179" s="38"/>
      <c r="B179" s="39"/>
      <c r="C179" s="85"/>
      <c r="D179" s="85"/>
      <c r="E179" s="47"/>
      <c r="F179" s="48"/>
      <c r="G179" s="48"/>
    </row>
    <row r="180" spans="1:7" x14ac:dyDescent="0.25">
      <c r="A180" s="38"/>
      <c r="B180" s="39"/>
      <c r="C180" s="85"/>
      <c r="D180" s="85"/>
      <c r="E180" s="47"/>
      <c r="F180" s="48"/>
      <c r="G180" s="48"/>
    </row>
    <row r="181" spans="1:7" x14ac:dyDescent="0.25">
      <c r="A181" s="38"/>
      <c r="B181" s="39"/>
      <c r="C181" s="85"/>
      <c r="D181" s="85"/>
      <c r="E181" s="47"/>
      <c r="F181" s="48"/>
      <c r="G181" s="48"/>
    </row>
    <row r="182" spans="1:7" x14ac:dyDescent="0.25">
      <c r="A182" s="38"/>
      <c r="B182" s="39"/>
      <c r="C182" s="85"/>
      <c r="D182" s="85"/>
      <c r="E182" s="47"/>
      <c r="F182" s="48"/>
      <c r="G182" s="48"/>
    </row>
    <row r="183" spans="1:7" x14ac:dyDescent="0.25">
      <c r="A183" s="38"/>
      <c r="B183" s="39"/>
      <c r="C183" s="85"/>
      <c r="D183" s="85"/>
      <c r="E183" s="47"/>
      <c r="F183" s="48"/>
      <c r="G183" s="48"/>
    </row>
    <row r="184" spans="1:7" x14ac:dyDescent="0.25">
      <c r="A184" s="38"/>
      <c r="B184" s="39"/>
      <c r="C184" s="85"/>
      <c r="D184" s="85"/>
      <c r="E184" s="47"/>
      <c r="F184" s="48"/>
      <c r="G184" s="48"/>
    </row>
    <row r="185" spans="1:7" x14ac:dyDescent="0.25">
      <c r="A185" s="38"/>
      <c r="B185" s="39"/>
      <c r="C185" s="85"/>
      <c r="D185" s="85"/>
      <c r="E185" s="47"/>
      <c r="F185" s="48"/>
      <c r="G185" s="48"/>
    </row>
    <row r="186" spans="1:7" x14ac:dyDescent="0.25">
      <c r="A186" s="38"/>
      <c r="B186" s="39"/>
      <c r="C186" s="85"/>
      <c r="D186" s="85"/>
      <c r="E186" s="47"/>
      <c r="F186" s="48"/>
      <c r="G186" s="48"/>
    </row>
    <row r="187" spans="1:7" x14ac:dyDescent="0.25">
      <c r="A187" s="38"/>
      <c r="B187" s="39"/>
      <c r="C187" s="85"/>
      <c r="D187" s="85"/>
      <c r="E187" s="47"/>
      <c r="F187" s="48"/>
      <c r="G187" s="48"/>
    </row>
    <row r="188" spans="1:7" x14ac:dyDescent="0.25">
      <c r="A188" s="38"/>
      <c r="B188" s="39"/>
      <c r="C188" s="85"/>
      <c r="D188" s="85"/>
      <c r="E188" s="47"/>
      <c r="F188" s="48"/>
      <c r="G188" s="48"/>
    </row>
    <row r="189" spans="1:7" x14ac:dyDescent="0.25">
      <c r="A189" s="38"/>
      <c r="B189" s="39"/>
      <c r="C189" s="85"/>
      <c r="D189" s="85"/>
      <c r="E189" s="47"/>
      <c r="F189" s="48"/>
      <c r="G189" s="48"/>
    </row>
    <row r="190" spans="1:7" x14ac:dyDescent="0.25">
      <c r="A190" s="38"/>
      <c r="B190" s="39"/>
      <c r="C190" s="85"/>
      <c r="D190" s="85"/>
      <c r="E190" s="47"/>
      <c r="F190" s="48"/>
      <c r="G190" s="48"/>
    </row>
    <row r="191" spans="1:7" x14ac:dyDescent="0.25">
      <c r="A191" s="38"/>
      <c r="B191" s="39"/>
      <c r="C191" s="85"/>
      <c r="D191" s="85"/>
      <c r="E191" s="47"/>
      <c r="F191" s="48"/>
      <c r="G191" s="48"/>
    </row>
    <row r="192" spans="1:7" x14ac:dyDescent="0.25">
      <c r="A192" s="38"/>
      <c r="B192" s="39"/>
      <c r="C192" s="85"/>
      <c r="D192" s="85"/>
      <c r="E192" s="47"/>
      <c r="F192" s="48"/>
      <c r="G192" s="48"/>
    </row>
    <row r="193" spans="1:7" x14ac:dyDescent="0.25">
      <c r="A193" s="38"/>
      <c r="B193" s="39"/>
      <c r="C193" s="85"/>
      <c r="D193" s="85"/>
      <c r="E193" s="47"/>
      <c r="F193" s="48"/>
      <c r="G193" s="48"/>
    </row>
    <row r="194" spans="1:7" x14ac:dyDescent="0.25">
      <c r="A194" s="38"/>
      <c r="B194" s="39"/>
      <c r="C194" s="85"/>
      <c r="D194" s="85"/>
      <c r="E194" s="47"/>
      <c r="F194" s="48"/>
      <c r="G194" s="48"/>
    </row>
    <row r="195" spans="1:7" x14ac:dyDescent="0.25">
      <c r="A195" s="38"/>
      <c r="B195" s="39"/>
      <c r="C195" s="85"/>
      <c r="D195" s="85"/>
      <c r="E195" s="47"/>
      <c r="F195" s="48"/>
      <c r="G195" s="48"/>
    </row>
    <row r="196" spans="1:7" x14ac:dyDescent="0.25">
      <c r="A196" s="38"/>
      <c r="B196" s="39"/>
      <c r="C196" s="85"/>
      <c r="D196" s="85"/>
      <c r="E196" s="47"/>
      <c r="F196" s="48"/>
      <c r="G196" s="48"/>
    </row>
    <row r="197" spans="1:7" x14ac:dyDescent="0.25">
      <c r="A197" s="38"/>
      <c r="B197" s="39"/>
      <c r="C197" s="85"/>
      <c r="D197" s="85"/>
      <c r="E197" s="47"/>
      <c r="F197" s="48"/>
      <c r="G197" s="48"/>
    </row>
    <row r="198" spans="1:7" x14ac:dyDescent="0.25">
      <c r="A198" s="38"/>
      <c r="B198" s="39"/>
      <c r="C198" s="85"/>
      <c r="D198" s="85"/>
      <c r="E198" s="47"/>
      <c r="F198" s="48"/>
      <c r="G198" s="48"/>
    </row>
    <row r="199" spans="1:7" x14ac:dyDescent="0.25">
      <c r="A199" s="38"/>
      <c r="B199" s="39"/>
      <c r="C199" s="85"/>
      <c r="D199" s="85"/>
      <c r="E199" s="47"/>
      <c r="F199" s="48"/>
      <c r="G199" s="48"/>
    </row>
    <row r="200" spans="1:7" x14ac:dyDescent="0.25">
      <c r="A200" s="38"/>
      <c r="B200" s="39"/>
      <c r="C200" s="85"/>
      <c r="D200" s="85"/>
      <c r="E200" s="47"/>
      <c r="F200" s="48"/>
      <c r="G200" s="48"/>
    </row>
    <row r="201" spans="1:7" x14ac:dyDescent="0.25">
      <c r="A201" s="38"/>
      <c r="B201" s="39"/>
      <c r="C201" s="85"/>
      <c r="D201" s="85"/>
      <c r="E201" s="47"/>
      <c r="F201" s="48"/>
      <c r="G201" s="48"/>
    </row>
    <row r="202" spans="1:7" x14ac:dyDescent="0.25">
      <c r="A202" s="38"/>
      <c r="B202" s="39"/>
      <c r="C202" s="85"/>
      <c r="D202" s="85"/>
      <c r="E202" s="47"/>
      <c r="F202" s="48"/>
      <c r="G202" s="48"/>
    </row>
    <row r="203" spans="1:7" x14ac:dyDescent="0.25">
      <c r="A203" s="38"/>
      <c r="B203" s="39"/>
      <c r="C203" s="85"/>
      <c r="D203" s="85"/>
      <c r="E203" s="47"/>
      <c r="F203" s="48"/>
      <c r="G203" s="48"/>
    </row>
    <row r="204" spans="1:7" x14ac:dyDescent="0.25">
      <c r="A204" s="38"/>
      <c r="B204" s="39"/>
      <c r="C204" s="85"/>
      <c r="D204" s="85"/>
      <c r="E204" s="47"/>
      <c r="F204" s="48"/>
      <c r="G204" s="48"/>
    </row>
    <row r="205" spans="1:7" x14ac:dyDescent="0.25">
      <c r="A205" s="38"/>
      <c r="B205" s="39"/>
      <c r="C205" s="85"/>
      <c r="D205" s="85"/>
      <c r="E205" s="47"/>
      <c r="F205" s="48"/>
      <c r="G205" s="48"/>
    </row>
    <row r="206" spans="1:7" x14ac:dyDescent="0.25">
      <c r="A206" s="38"/>
      <c r="B206" s="39"/>
      <c r="C206" s="85"/>
      <c r="D206" s="85"/>
      <c r="E206" s="47"/>
      <c r="F206" s="48"/>
      <c r="G206" s="48"/>
    </row>
    <row r="207" spans="1:7" x14ac:dyDescent="0.25">
      <c r="A207" s="38"/>
      <c r="B207" s="39"/>
      <c r="C207" s="85"/>
      <c r="D207" s="85"/>
      <c r="E207" s="47"/>
      <c r="F207" s="48"/>
      <c r="G207" s="48"/>
    </row>
    <row r="208" spans="1:7" x14ac:dyDescent="0.25">
      <c r="A208" s="38"/>
      <c r="B208" s="39"/>
      <c r="C208" s="85"/>
      <c r="D208" s="85"/>
      <c r="E208" s="47"/>
      <c r="F208" s="48"/>
      <c r="G208" s="48"/>
    </row>
    <row r="209" spans="1:7" x14ac:dyDescent="0.25">
      <c r="A209" s="38"/>
      <c r="B209" s="39"/>
      <c r="C209" s="85"/>
      <c r="D209" s="85"/>
      <c r="E209" s="47"/>
      <c r="F209" s="48"/>
      <c r="G209" s="48"/>
    </row>
    <row r="210" spans="1:7" x14ac:dyDescent="0.25">
      <c r="A210" s="38"/>
      <c r="B210" s="39"/>
      <c r="C210" s="85"/>
      <c r="D210" s="85"/>
      <c r="E210" s="47"/>
      <c r="F210" s="48"/>
      <c r="G210" s="48"/>
    </row>
    <row r="211" spans="1:7" x14ac:dyDescent="0.25">
      <c r="A211" s="38"/>
      <c r="B211" s="39"/>
      <c r="C211" s="85"/>
      <c r="D211" s="85"/>
      <c r="E211" s="47"/>
      <c r="F211" s="48"/>
      <c r="G211" s="48"/>
    </row>
    <row r="212" spans="1:7" x14ac:dyDescent="0.25">
      <c r="A212" s="38"/>
      <c r="B212" s="39"/>
      <c r="C212" s="85"/>
      <c r="D212" s="85"/>
      <c r="E212" s="47"/>
      <c r="F212" s="48"/>
      <c r="G212" s="48"/>
    </row>
    <row r="213" spans="1:7" x14ac:dyDescent="0.25">
      <c r="A213" s="38"/>
      <c r="B213" s="39"/>
      <c r="C213" s="85"/>
      <c r="D213" s="85"/>
      <c r="E213" s="47"/>
      <c r="F213" s="48"/>
      <c r="G213" s="48"/>
    </row>
    <row r="214" spans="1:7" x14ac:dyDescent="0.25">
      <c r="A214" s="38"/>
      <c r="B214" s="39"/>
      <c r="C214" s="85"/>
      <c r="D214" s="85"/>
      <c r="E214" s="47"/>
      <c r="F214" s="48"/>
      <c r="G214" s="48"/>
    </row>
    <row r="215" spans="1:7" x14ac:dyDescent="0.25">
      <c r="A215" s="38"/>
      <c r="B215" s="39"/>
      <c r="C215" s="85"/>
      <c r="D215" s="85"/>
      <c r="E215" s="47"/>
      <c r="F215" s="48"/>
      <c r="G215" s="48"/>
    </row>
    <row r="216" spans="1:7" x14ac:dyDescent="0.25">
      <c r="A216" s="38"/>
      <c r="B216" s="39"/>
      <c r="C216" s="85"/>
      <c r="D216" s="85"/>
      <c r="E216" s="47"/>
      <c r="F216" s="48"/>
      <c r="G216" s="48"/>
    </row>
    <row r="217" spans="1:7" x14ac:dyDescent="0.25">
      <c r="A217" s="38"/>
      <c r="B217" s="39"/>
      <c r="C217" s="85"/>
      <c r="D217" s="85"/>
      <c r="E217" s="47"/>
      <c r="F217" s="48"/>
      <c r="G217" s="48"/>
    </row>
    <row r="218" spans="1:7" x14ac:dyDescent="0.25">
      <c r="A218" s="38"/>
      <c r="B218" s="39"/>
      <c r="C218" s="85"/>
      <c r="D218" s="85"/>
      <c r="E218" s="47"/>
      <c r="F218" s="48"/>
      <c r="G218" s="48"/>
    </row>
    <row r="219" spans="1:7" x14ac:dyDescent="0.25">
      <c r="A219" s="38"/>
      <c r="B219" s="39"/>
      <c r="C219" s="85"/>
      <c r="D219" s="85"/>
      <c r="E219" s="47"/>
      <c r="F219" s="48"/>
      <c r="G219" s="48"/>
    </row>
    <row r="220" spans="1:7" x14ac:dyDescent="0.25">
      <c r="A220" s="38"/>
      <c r="B220" s="39"/>
      <c r="C220" s="85"/>
      <c r="D220" s="85"/>
      <c r="E220" s="47"/>
      <c r="F220" s="48"/>
      <c r="G220" s="48"/>
    </row>
    <row r="221" spans="1:7" x14ac:dyDescent="0.25">
      <c r="A221" s="38"/>
      <c r="B221" s="39"/>
      <c r="C221" s="85"/>
      <c r="D221" s="85"/>
      <c r="E221" s="47"/>
      <c r="F221" s="48"/>
      <c r="G221" s="48"/>
    </row>
    <row r="222" spans="1:7" x14ac:dyDescent="0.25">
      <c r="A222" s="38"/>
      <c r="B222" s="39"/>
      <c r="C222" s="85"/>
      <c r="D222" s="85"/>
      <c r="E222" s="47"/>
      <c r="F222" s="48"/>
      <c r="G222" s="48"/>
    </row>
    <row r="223" spans="1:7" x14ac:dyDescent="0.25">
      <c r="A223" s="38"/>
      <c r="B223" s="39"/>
      <c r="C223" s="85"/>
      <c r="D223" s="85"/>
      <c r="E223" s="47"/>
      <c r="F223" s="48"/>
      <c r="G223" s="48"/>
    </row>
    <row r="224" spans="1:7" x14ac:dyDescent="0.25">
      <c r="A224" s="38"/>
      <c r="B224" s="39"/>
      <c r="C224" s="85"/>
      <c r="D224" s="85"/>
      <c r="E224" s="47"/>
      <c r="F224" s="48"/>
      <c r="G224" s="48"/>
    </row>
    <row r="225" spans="1:7" x14ac:dyDescent="0.25">
      <c r="A225" s="38"/>
      <c r="B225" s="39"/>
      <c r="C225" s="85"/>
      <c r="D225" s="85"/>
      <c r="E225" s="47"/>
      <c r="F225" s="48"/>
      <c r="G225" s="48"/>
    </row>
    <row r="226" spans="1:7" x14ac:dyDescent="0.25">
      <c r="A226" s="38"/>
      <c r="B226" s="39"/>
      <c r="C226" s="85"/>
      <c r="D226" s="85"/>
      <c r="E226" s="47"/>
      <c r="F226" s="48"/>
      <c r="G226" s="48"/>
    </row>
    <row r="227" spans="1:7" x14ac:dyDescent="0.25">
      <c r="A227" s="38"/>
      <c r="B227" s="39"/>
      <c r="C227" s="85"/>
      <c r="D227" s="85"/>
      <c r="E227" s="47"/>
      <c r="F227" s="48"/>
      <c r="G227" s="48"/>
    </row>
    <row r="228" spans="1:7" x14ac:dyDescent="0.25">
      <c r="A228" s="38"/>
      <c r="B228" s="39"/>
      <c r="C228" s="85"/>
      <c r="D228" s="85"/>
      <c r="E228" s="47"/>
      <c r="F228" s="48"/>
      <c r="G228" s="48"/>
    </row>
    <row r="229" spans="1:7" x14ac:dyDescent="0.25">
      <c r="A229" s="38"/>
      <c r="B229" s="39"/>
      <c r="C229" s="85"/>
      <c r="D229" s="85"/>
      <c r="E229" s="47"/>
      <c r="F229" s="48"/>
      <c r="G229" s="48"/>
    </row>
    <row r="230" spans="1:7" x14ac:dyDescent="0.25">
      <c r="A230" s="38"/>
      <c r="B230" s="39"/>
      <c r="C230" s="85"/>
      <c r="D230" s="85"/>
      <c r="E230" s="47"/>
      <c r="F230" s="48"/>
      <c r="G230" s="48"/>
    </row>
    <row r="231" spans="1:7" x14ac:dyDescent="0.25">
      <c r="A231" s="38"/>
      <c r="B231" s="39"/>
      <c r="C231" s="85"/>
      <c r="D231" s="85"/>
      <c r="E231" s="47"/>
      <c r="F231" s="48"/>
      <c r="G231" s="48"/>
    </row>
    <row r="232" spans="1:7" x14ac:dyDescent="0.25">
      <c r="A232" s="38"/>
      <c r="B232" s="39"/>
      <c r="C232" s="85"/>
      <c r="D232" s="85"/>
      <c r="E232" s="47"/>
      <c r="F232" s="48"/>
      <c r="G232" s="137"/>
    </row>
    <row r="233" spans="1:7" x14ac:dyDescent="0.25">
      <c r="A233" s="38"/>
      <c r="B233" s="39"/>
      <c r="C233" s="85"/>
      <c r="D233" s="85"/>
      <c r="E233" s="47"/>
      <c r="F233" s="48"/>
      <c r="G233" s="137"/>
    </row>
    <row r="234" spans="1:7" x14ac:dyDescent="0.25">
      <c r="A234" s="38"/>
      <c r="B234" s="39"/>
      <c r="C234" s="85"/>
      <c r="D234" s="85"/>
      <c r="E234" s="47"/>
      <c r="F234" s="48"/>
      <c r="G234" s="137"/>
    </row>
    <row r="235" spans="1:7" x14ac:dyDescent="0.25">
      <c r="A235" s="38"/>
      <c r="B235" s="39"/>
      <c r="C235" s="85"/>
      <c r="D235" s="85"/>
      <c r="E235" s="47"/>
      <c r="F235" s="48"/>
      <c r="G235" s="137"/>
    </row>
    <row r="236" spans="1:7" x14ac:dyDescent="0.25">
      <c r="A236" s="38"/>
      <c r="B236" s="39"/>
      <c r="C236" s="85"/>
      <c r="D236" s="85"/>
      <c r="E236" s="47"/>
      <c r="F236" s="48"/>
      <c r="G236" s="137"/>
    </row>
    <row r="237" spans="1:7" x14ac:dyDescent="0.25">
      <c r="A237" s="38"/>
      <c r="B237" s="39"/>
      <c r="C237" s="85"/>
      <c r="D237" s="85"/>
      <c r="E237" s="47"/>
      <c r="F237" s="48"/>
      <c r="G237" s="137"/>
    </row>
    <row r="238" spans="1:7" x14ac:dyDescent="0.25">
      <c r="A238" s="38"/>
      <c r="B238" s="39"/>
      <c r="C238" s="85"/>
      <c r="D238" s="85"/>
      <c r="E238" s="47"/>
      <c r="F238" s="48"/>
      <c r="G238" s="137"/>
    </row>
    <row r="239" spans="1:7" x14ac:dyDescent="0.25">
      <c r="A239" s="38"/>
      <c r="B239" s="39"/>
      <c r="C239" s="85"/>
      <c r="D239" s="85"/>
      <c r="E239" s="47"/>
      <c r="F239" s="48"/>
      <c r="G239" s="137"/>
    </row>
    <row r="240" spans="1:7" x14ac:dyDescent="0.25">
      <c r="A240" s="38"/>
      <c r="B240" s="39"/>
      <c r="C240" s="85"/>
      <c r="D240" s="85"/>
      <c r="E240" s="47"/>
      <c r="F240" s="48"/>
      <c r="G240" s="137"/>
    </row>
    <row r="241" spans="1:7" x14ac:dyDescent="0.25">
      <c r="A241" s="38"/>
      <c r="B241" s="39"/>
      <c r="C241" s="85"/>
      <c r="D241" s="85"/>
      <c r="E241" s="47"/>
      <c r="F241" s="48"/>
      <c r="G241" s="137"/>
    </row>
    <row r="242" spans="1:7" x14ac:dyDescent="0.25">
      <c r="A242" s="38"/>
      <c r="B242" s="39"/>
      <c r="C242" s="85"/>
      <c r="D242" s="85"/>
      <c r="E242" s="47"/>
      <c r="F242" s="48"/>
      <c r="G242" s="137"/>
    </row>
    <row r="243" spans="1:7" x14ac:dyDescent="0.25">
      <c r="A243" s="38"/>
      <c r="B243" s="39"/>
      <c r="C243" s="85"/>
      <c r="D243" s="85"/>
      <c r="E243" s="47"/>
      <c r="F243" s="48"/>
      <c r="G243" s="137"/>
    </row>
    <row r="244" spans="1:7" x14ac:dyDescent="0.25">
      <c r="A244" s="38" t="str">
        <f t="shared" ref="A244" si="11">IF(LEFT(F244,4)="L39N","c0001836",IF(LEFT(F244,3)="L24","c0000008",IF(LEFT(F244,3)="L39","c0000935","")))</f>
        <v/>
      </c>
      <c r="B244" s="39"/>
      <c r="C244" s="85"/>
      <c r="D244" s="85"/>
      <c r="E244" s="47"/>
      <c r="F244" s="48"/>
      <c r="G244" s="137"/>
    </row>
    <row r="245" spans="1:7" x14ac:dyDescent="0.25">
      <c r="A245" s="38"/>
      <c r="B245" s="39"/>
      <c r="C245" s="85"/>
      <c r="D245" s="85"/>
      <c r="E245" s="47"/>
      <c r="F245" s="48"/>
      <c r="G245" s="137"/>
    </row>
    <row r="246" spans="1:7" x14ac:dyDescent="0.25">
      <c r="A246" s="38"/>
      <c r="B246" s="39"/>
      <c r="C246" s="85"/>
      <c r="D246" s="85"/>
      <c r="E246" s="47"/>
      <c r="F246" s="48"/>
      <c r="G246" s="137"/>
    </row>
    <row r="247" spans="1:7" x14ac:dyDescent="0.25">
      <c r="A247" s="38"/>
      <c r="B247" s="39"/>
      <c r="C247" s="85"/>
      <c r="D247" s="85"/>
      <c r="E247" s="47"/>
      <c r="F247" s="48"/>
      <c r="G247" s="137"/>
    </row>
    <row r="248" spans="1:7" x14ac:dyDescent="0.25">
      <c r="A248" s="38"/>
      <c r="B248" s="39"/>
      <c r="C248" s="85"/>
      <c r="D248" s="85"/>
      <c r="E248" s="47"/>
      <c r="F248" s="48"/>
      <c r="G248" s="137"/>
    </row>
    <row r="249" spans="1:7" x14ac:dyDescent="0.25">
      <c r="A249" s="38"/>
      <c r="B249" s="39"/>
      <c r="C249" s="85"/>
      <c r="D249" s="85"/>
      <c r="E249" s="47"/>
      <c r="F249" s="48"/>
      <c r="G249" s="137"/>
    </row>
    <row r="250" spans="1:7" x14ac:dyDescent="0.25">
      <c r="A250" s="38"/>
      <c r="B250" s="39"/>
      <c r="C250" s="85"/>
      <c r="D250" s="85"/>
      <c r="E250" s="47"/>
      <c r="F250" s="48"/>
      <c r="G250" s="137"/>
    </row>
    <row r="251" spans="1:7" x14ac:dyDescent="0.25">
      <c r="A251" s="38"/>
      <c r="B251" s="39"/>
      <c r="C251" s="85"/>
      <c r="D251" s="85"/>
      <c r="E251" s="47"/>
      <c r="F251" s="48"/>
      <c r="G251" s="137"/>
    </row>
    <row r="252" spans="1:7" x14ac:dyDescent="0.25">
      <c r="A252" s="38"/>
      <c r="B252" s="39"/>
      <c r="C252" s="85"/>
      <c r="D252" s="85"/>
      <c r="E252" s="47"/>
      <c r="F252" s="48"/>
      <c r="G252" s="137"/>
    </row>
    <row r="253" spans="1:7" x14ac:dyDescent="0.25">
      <c r="A253" s="38"/>
      <c r="B253" s="39"/>
      <c r="C253" s="85"/>
      <c r="D253" s="85"/>
      <c r="E253" s="47"/>
      <c r="F253" s="48"/>
      <c r="G253" s="137"/>
    </row>
    <row r="254" spans="1:7" x14ac:dyDescent="0.25">
      <c r="A254" s="38"/>
      <c r="B254" s="39"/>
      <c r="C254" s="85"/>
      <c r="D254" s="85"/>
      <c r="E254" s="47"/>
      <c r="F254" s="48"/>
      <c r="G254" s="137"/>
    </row>
    <row r="255" spans="1:7" x14ac:dyDescent="0.25">
      <c r="A255" s="38"/>
      <c r="B255" s="39"/>
      <c r="C255" s="85"/>
      <c r="D255" s="85"/>
      <c r="E255" s="47"/>
      <c r="F255" s="48"/>
      <c r="G255" s="137"/>
    </row>
    <row r="256" spans="1:7" x14ac:dyDescent="0.25">
      <c r="A256" s="38"/>
      <c r="B256" s="39"/>
      <c r="C256" s="85"/>
      <c r="D256" s="85"/>
      <c r="E256" s="47"/>
      <c r="F256" s="48"/>
      <c r="G256" s="137"/>
    </row>
    <row r="257" spans="1:7" x14ac:dyDescent="0.25">
      <c r="A257" s="38"/>
      <c r="B257" s="39"/>
      <c r="C257" s="85"/>
      <c r="D257" s="85"/>
      <c r="E257" s="47"/>
      <c r="F257" s="48"/>
      <c r="G257" s="137"/>
    </row>
    <row r="258" spans="1:7" x14ac:dyDescent="0.25">
      <c r="A258" s="38"/>
      <c r="B258" s="39"/>
      <c r="C258" s="85"/>
      <c r="D258" s="85"/>
      <c r="E258" s="47"/>
      <c r="F258" s="48"/>
      <c r="G258" s="137"/>
    </row>
    <row r="259" spans="1:7" x14ac:dyDescent="0.25">
      <c r="A259" s="38"/>
      <c r="B259" s="39"/>
      <c r="C259" s="85"/>
      <c r="D259" s="85"/>
      <c r="E259" s="47"/>
      <c r="F259" s="48"/>
      <c r="G259" s="137"/>
    </row>
    <row r="260" spans="1:7" x14ac:dyDescent="0.25">
      <c r="A260" s="38"/>
      <c r="B260" s="39"/>
      <c r="C260" s="85"/>
      <c r="D260" s="85"/>
      <c r="E260" s="47"/>
      <c r="F260" s="48"/>
      <c r="G260" s="137"/>
    </row>
    <row r="261" spans="1:7" x14ac:dyDescent="0.25">
      <c r="A261" s="38"/>
      <c r="B261" s="39"/>
      <c r="C261" s="85"/>
      <c r="D261" s="85"/>
      <c r="E261" s="47"/>
      <c r="F261" s="48"/>
      <c r="G261" s="137"/>
    </row>
    <row r="262" spans="1:7" x14ac:dyDescent="0.25">
      <c r="A262" s="38"/>
      <c r="B262" s="39"/>
      <c r="C262" s="85"/>
      <c r="D262" s="85"/>
      <c r="E262" s="47"/>
      <c r="F262" s="48"/>
      <c r="G262" s="137"/>
    </row>
    <row r="263" spans="1:7" x14ac:dyDescent="0.25">
      <c r="A263" s="38"/>
      <c r="B263" s="39"/>
      <c r="C263" s="85"/>
      <c r="D263" s="85"/>
      <c r="E263" s="47"/>
      <c r="F263" s="48"/>
      <c r="G263" s="137"/>
    </row>
    <row r="264" spans="1:7" x14ac:dyDescent="0.25">
      <c r="A264" s="38"/>
      <c r="B264" s="39"/>
      <c r="C264" s="85"/>
      <c r="D264" s="85"/>
      <c r="E264" s="47"/>
      <c r="F264" s="48"/>
      <c r="G264" s="137"/>
    </row>
    <row r="265" spans="1:7" x14ac:dyDescent="0.25">
      <c r="A265" s="38"/>
      <c r="B265" s="39"/>
      <c r="C265" s="85"/>
      <c r="D265" s="85"/>
      <c r="E265" s="47"/>
      <c r="F265" s="48"/>
      <c r="G265" s="137"/>
    </row>
    <row r="266" spans="1:7" x14ac:dyDescent="0.25">
      <c r="B266" s="39"/>
    </row>
    <row r="267" spans="1:7" x14ac:dyDescent="0.25">
      <c r="B267" s="39"/>
    </row>
    <row r="268" spans="1:7" x14ac:dyDescent="0.25">
      <c r="B268" s="39"/>
    </row>
    <row r="269" spans="1:7" x14ac:dyDescent="0.25">
      <c r="B269" s="39"/>
    </row>
    <row r="270" spans="1:7" x14ac:dyDescent="0.25">
      <c r="B270" s="39"/>
    </row>
    <row r="271" spans="1:7" x14ac:dyDescent="0.25">
      <c r="B271" s="39"/>
    </row>
    <row r="272" spans="1:7" x14ac:dyDescent="0.25">
      <c r="B272" s="39"/>
    </row>
    <row r="273" spans="2:2" x14ac:dyDescent="0.25">
      <c r="B273" s="39"/>
    </row>
    <row r="274" spans="2:2" x14ac:dyDescent="0.25">
      <c r="B274" s="39"/>
    </row>
    <row r="275" spans="2:2" x14ac:dyDescent="0.25">
      <c r="B275" s="39"/>
    </row>
    <row r="276" spans="2:2" x14ac:dyDescent="0.25">
      <c r="B276" s="39"/>
    </row>
    <row r="277" spans="2:2" x14ac:dyDescent="0.25">
      <c r="B277" s="39"/>
    </row>
    <row r="278" spans="2:2" x14ac:dyDescent="0.25">
      <c r="B278" s="39"/>
    </row>
    <row r="279" spans="2:2" x14ac:dyDescent="0.25">
      <c r="B279" s="39"/>
    </row>
    <row r="280" spans="2:2" x14ac:dyDescent="0.25">
      <c r="B280" s="39"/>
    </row>
    <row r="281" spans="2:2" x14ac:dyDescent="0.25">
      <c r="B281" s="39"/>
    </row>
    <row r="282" spans="2:2" x14ac:dyDescent="0.25">
      <c r="B282" s="39"/>
    </row>
    <row r="283" spans="2:2" x14ac:dyDescent="0.25">
      <c r="B283" s="39"/>
    </row>
    <row r="284" spans="2:2" x14ac:dyDescent="0.25">
      <c r="B284" s="39"/>
    </row>
    <row r="285" spans="2:2" x14ac:dyDescent="0.25">
      <c r="B285" s="39"/>
    </row>
    <row r="286" spans="2:2" x14ac:dyDescent="0.25">
      <c r="B286" s="39"/>
    </row>
    <row r="287" spans="2:2" x14ac:dyDescent="0.25">
      <c r="B287" s="39"/>
    </row>
    <row r="288" spans="2:2" x14ac:dyDescent="0.25">
      <c r="B288" s="39"/>
    </row>
    <row r="289" spans="2:2" x14ac:dyDescent="0.25">
      <c r="B289" s="39"/>
    </row>
    <row r="290" spans="2:2" x14ac:dyDescent="0.25">
      <c r="B290" s="39"/>
    </row>
    <row r="291" spans="2:2" x14ac:dyDescent="0.25">
      <c r="B291" s="39"/>
    </row>
    <row r="292" spans="2:2" x14ac:dyDescent="0.25">
      <c r="B292" s="39"/>
    </row>
    <row r="293" spans="2:2" x14ac:dyDescent="0.25">
      <c r="B293" s="39"/>
    </row>
    <row r="294" spans="2:2" x14ac:dyDescent="0.25">
      <c r="B294" s="39"/>
    </row>
    <row r="295" spans="2:2" x14ac:dyDescent="0.25">
      <c r="B295" s="39"/>
    </row>
    <row r="296" spans="2:2" x14ac:dyDescent="0.25">
      <c r="B296" s="39"/>
    </row>
    <row r="297" spans="2:2" x14ac:dyDescent="0.25">
      <c r="B297" s="39"/>
    </row>
    <row r="298" spans="2:2" x14ac:dyDescent="0.25">
      <c r="B298" s="39"/>
    </row>
    <row r="299" spans="2:2" x14ac:dyDescent="0.25">
      <c r="B299" s="39"/>
    </row>
    <row r="300" spans="2:2" x14ac:dyDescent="0.25">
      <c r="B300" s="39"/>
    </row>
    <row r="301" spans="2:2" x14ac:dyDescent="0.25">
      <c r="B301" s="39"/>
    </row>
    <row r="302" spans="2:2" x14ac:dyDescent="0.25">
      <c r="B302" s="39"/>
    </row>
    <row r="303" spans="2:2" x14ac:dyDescent="0.25">
      <c r="B303" s="39"/>
    </row>
    <row r="304" spans="2:2" x14ac:dyDescent="0.25">
      <c r="B304" s="39"/>
    </row>
    <row r="305" spans="2:2" x14ac:dyDescent="0.25">
      <c r="B305" s="39"/>
    </row>
    <row r="306" spans="2:2" x14ac:dyDescent="0.25">
      <c r="B306" s="39"/>
    </row>
    <row r="307" spans="2:2" x14ac:dyDescent="0.25">
      <c r="B307" s="39"/>
    </row>
    <row r="308" spans="2:2" x14ac:dyDescent="0.25">
      <c r="B308" s="39"/>
    </row>
    <row r="309" spans="2:2" x14ac:dyDescent="0.25">
      <c r="B309" s="39"/>
    </row>
    <row r="310" spans="2:2" x14ac:dyDescent="0.25">
      <c r="B310" s="39"/>
    </row>
    <row r="311" spans="2:2" x14ac:dyDescent="0.25">
      <c r="B311" s="39"/>
    </row>
    <row r="312" spans="2:2" x14ac:dyDescent="0.25">
      <c r="B312" s="39"/>
    </row>
    <row r="313" spans="2:2" x14ac:dyDescent="0.25">
      <c r="B313" s="39"/>
    </row>
    <row r="314" spans="2:2" x14ac:dyDescent="0.25">
      <c r="B314" s="39"/>
    </row>
    <row r="315" spans="2:2" x14ac:dyDescent="0.25">
      <c r="B315" s="39"/>
    </row>
    <row r="316" spans="2:2" x14ac:dyDescent="0.25">
      <c r="B316" s="39"/>
    </row>
    <row r="317" spans="2:2" x14ac:dyDescent="0.25">
      <c r="B317" s="39"/>
    </row>
    <row r="318" spans="2:2" x14ac:dyDescent="0.25">
      <c r="B318" s="39"/>
    </row>
    <row r="319" spans="2:2" x14ac:dyDescent="0.25">
      <c r="B319" s="39"/>
    </row>
    <row r="320" spans="2:2" x14ac:dyDescent="0.25">
      <c r="B320" s="39"/>
    </row>
    <row r="321" spans="2:2" x14ac:dyDescent="0.25">
      <c r="B321" s="39"/>
    </row>
    <row r="322" spans="2:2" x14ac:dyDescent="0.25">
      <c r="B322" s="39"/>
    </row>
    <row r="323" spans="2:2" x14ac:dyDescent="0.25">
      <c r="B323" s="39"/>
    </row>
    <row r="324" spans="2:2" x14ac:dyDescent="0.25">
      <c r="B324" s="39"/>
    </row>
    <row r="325" spans="2:2" x14ac:dyDescent="0.25">
      <c r="B325" s="39"/>
    </row>
    <row r="326" spans="2:2" x14ac:dyDescent="0.25">
      <c r="B326" s="39"/>
    </row>
    <row r="327" spans="2:2" x14ac:dyDescent="0.25">
      <c r="B327" s="39"/>
    </row>
    <row r="328" spans="2:2" x14ac:dyDescent="0.25">
      <c r="B328" s="39"/>
    </row>
    <row r="329" spans="2:2" x14ac:dyDescent="0.25">
      <c r="B329" s="39"/>
    </row>
    <row r="330" spans="2:2" x14ac:dyDescent="0.25">
      <c r="B330" s="39"/>
    </row>
    <row r="331" spans="2:2" x14ac:dyDescent="0.25">
      <c r="B331" s="39"/>
    </row>
    <row r="332" spans="2:2" x14ac:dyDescent="0.25">
      <c r="B332" s="39"/>
    </row>
    <row r="333" spans="2:2" x14ac:dyDescent="0.25">
      <c r="B333" s="39"/>
    </row>
    <row r="334" spans="2:2" x14ac:dyDescent="0.25">
      <c r="B334" s="39"/>
    </row>
    <row r="335" spans="2:2" x14ac:dyDescent="0.25">
      <c r="B335" s="39"/>
    </row>
    <row r="336" spans="2:2" x14ac:dyDescent="0.25">
      <c r="B336" s="39"/>
    </row>
    <row r="337" spans="2:2" x14ac:dyDescent="0.25">
      <c r="B337" s="39"/>
    </row>
    <row r="338" spans="2:2" x14ac:dyDescent="0.25">
      <c r="B338" s="39"/>
    </row>
    <row r="339" spans="2:2" x14ac:dyDescent="0.25">
      <c r="B339" s="39"/>
    </row>
    <row r="340" spans="2:2" x14ac:dyDescent="0.25">
      <c r="B340" s="39"/>
    </row>
    <row r="341" spans="2:2" x14ac:dyDescent="0.25">
      <c r="B341" s="39"/>
    </row>
    <row r="342" spans="2:2" x14ac:dyDescent="0.25">
      <c r="B342" s="39"/>
    </row>
    <row r="343" spans="2:2" x14ac:dyDescent="0.25">
      <c r="B343" s="39"/>
    </row>
    <row r="344" spans="2:2" x14ac:dyDescent="0.25">
      <c r="B344" s="39"/>
    </row>
    <row r="345" spans="2:2" x14ac:dyDescent="0.25">
      <c r="B345" s="39"/>
    </row>
    <row r="346" spans="2:2" x14ac:dyDescent="0.25">
      <c r="B346" s="39"/>
    </row>
    <row r="347" spans="2:2" x14ac:dyDescent="0.25">
      <c r="B347" s="39"/>
    </row>
    <row r="348" spans="2:2" x14ac:dyDescent="0.25">
      <c r="B348" s="39"/>
    </row>
    <row r="349" spans="2:2" x14ac:dyDescent="0.25">
      <c r="B349" s="39"/>
    </row>
    <row r="350" spans="2:2" x14ac:dyDescent="0.25">
      <c r="B350" s="39"/>
    </row>
    <row r="351" spans="2:2" x14ac:dyDescent="0.25">
      <c r="B351" s="39"/>
    </row>
    <row r="352" spans="2:2" x14ac:dyDescent="0.25">
      <c r="B352" s="39"/>
    </row>
    <row r="353" spans="2:2" x14ac:dyDescent="0.25">
      <c r="B353" s="39"/>
    </row>
    <row r="354" spans="2:2" x14ac:dyDescent="0.25">
      <c r="B354" s="39"/>
    </row>
    <row r="355" spans="2:2" x14ac:dyDescent="0.25">
      <c r="B355" s="39"/>
    </row>
    <row r="356" spans="2:2" x14ac:dyDescent="0.25">
      <c r="B356" s="39"/>
    </row>
    <row r="357" spans="2:2" x14ac:dyDescent="0.25">
      <c r="B357" s="39"/>
    </row>
    <row r="358" spans="2:2" x14ac:dyDescent="0.25">
      <c r="B358" s="39"/>
    </row>
    <row r="359" spans="2:2" x14ac:dyDescent="0.25">
      <c r="B359" s="39"/>
    </row>
    <row r="360" spans="2:2" x14ac:dyDescent="0.25">
      <c r="B360" s="39"/>
    </row>
    <row r="361" spans="2:2" x14ac:dyDescent="0.25">
      <c r="B361" s="39"/>
    </row>
    <row r="362" spans="2:2" x14ac:dyDescent="0.25">
      <c r="B362" s="39"/>
    </row>
    <row r="363" spans="2:2" x14ac:dyDescent="0.25">
      <c r="B363" s="39"/>
    </row>
    <row r="364" spans="2:2" x14ac:dyDescent="0.25">
      <c r="B364" s="39"/>
    </row>
    <row r="365" spans="2:2" x14ac:dyDescent="0.25">
      <c r="B365" s="39"/>
    </row>
    <row r="366" spans="2:2" x14ac:dyDescent="0.25">
      <c r="B366" s="39"/>
    </row>
    <row r="367" spans="2:2" x14ac:dyDescent="0.25">
      <c r="B367" s="39"/>
    </row>
    <row r="368" spans="2:2" x14ac:dyDescent="0.25">
      <c r="B368" s="39"/>
    </row>
    <row r="369" spans="2:2" x14ac:dyDescent="0.25">
      <c r="B369" s="39"/>
    </row>
    <row r="370" spans="2:2" x14ac:dyDescent="0.25">
      <c r="B370" s="39"/>
    </row>
    <row r="371" spans="2:2" x14ac:dyDescent="0.25">
      <c r="B371" s="39"/>
    </row>
    <row r="372" spans="2:2" x14ac:dyDescent="0.25">
      <c r="B372" s="39"/>
    </row>
    <row r="373" spans="2:2" x14ac:dyDescent="0.25">
      <c r="B373" s="39"/>
    </row>
    <row r="374" spans="2:2" x14ac:dyDescent="0.25">
      <c r="B374" s="39"/>
    </row>
    <row r="375" spans="2:2" x14ac:dyDescent="0.25">
      <c r="B375" s="39"/>
    </row>
    <row r="376" spans="2:2" x14ac:dyDescent="0.25">
      <c r="B376" s="39"/>
    </row>
    <row r="377" spans="2:2" x14ac:dyDescent="0.25">
      <c r="B377" s="39"/>
    </row>
    <row r="378" spans="2:2" x14ac:dyDescent="0.25">
      <c r="B378" s="39"/>
    </row>
    <row r="379" spans="2:2" x14ac:dyDescent="0.25">
      <c r="B379" s="39"/>
    </row>
    <row r="380" spans="2:2" x14ac:dyDescent="0.25">
      <c r="B380" s="39"/>
    </row>
    <row r="381" spans="2:2" x14ac:dyDescent="0.25">
      <c r="B381" s="39"/>
    </row>
    <row r="382" spans="2:2" x14ac:dyDescent="0.25">
      <c r="B382" s="39"/>
    </row>
    <row r="383" spans="2:2" x14ac:dyDescent="0.25">
      <c r="B383" s="39"/>
    </row>
    <row r="384" spans="2:2" x14ac:dyDescent="0.25">
      <c r="B384" s="39"/>
    </row>
    <row r="385" spans="2:2" x14ac:dyDescent="0.25">
      <c r="B385" s="39"/>
    </row>
    <row r="386" spans="2:2" x14ac:dyDescent="0.25">
      <c r="B386" s="39"/>
    </row>
    <row r="387" spans="2:2" x14ac:dyDescent="0.25">
      <c r="B387" s="39"/>
    </row>
    <row r="388" spans="2:2" x14ac:dyDescent="0.25">
      <c r="B388" s="39"/>
    </row>
    <row r="389" spans="2:2" x14ac:dyDescent="0.25">
      <c r="B389" s="39"/>
    </row>
    <row r="390" spans="2:2" x14ac:dyDescent="0.25">
      <c r="B390" s="39"/>
    </row>
    <row r="391" spans="2:2" x14ac:dyDescent="0.25">
      <c r="B391" s="39"/>
    </row>
    <row r="392" spans="2:2" x14ac:dyDescent="0.25">
      <c r="B392" s="39"/>
    </row>
    <row r="393" spans="2:2" x14ac:dyDescent="0.25">
      <c r="B393" s="39"/>
    </row>
    <row r="394" spans="2:2" x14ac:dyDescent="0.25">
      <c r="B394" s="39"/>
    </row>
    <row r="395" spans="2:2" x14ac:dyDescent="0.25">
      <c r="B395" s="39"/>
    </row>
    <row r="396" spans="2:2" x14ac:dyDescent="0.25">
      <c r="B396" s="39"/>
    </row>
    <row r="397" spans="2:2" x14ac:dyDescent="0.25">
      <c r="B397" s="39"/>
    </row>
    <row r="398" spans="2:2" x14ac:dyDescent="0.25">
      <c r="B398" s="39"/>
    </row>
    <row r="399" spans="2:2" x14ac:dyDescent="0.25">
      <c r="B399" s="39"/>
    </row>
    <row r="400" spans="2:2" x14ac:dyDescent="0.25">
      <c r="B400" s="39"/>
    </row>
    <row r="401" spans="2:2" x14ac:dyDescent="0.25">
      <c r="B401" s="39"/>
    </row>
    <row r="402" spans="2:2" x14ac:dyDescent="0.25">
      <c r="B402" s="39"/>
    </row>
    <row r="403" spans="2:2" x14ac:dyDescent="0.25">
      <c r="B403" s="39"/>
    </row>
    <row r="404" spans="2:2" x14ac:dyDescent="0.25">
      <c r="B404" s="39"/>
    </row>
    <row r="405" spans="2:2" x14ac:dyDescent="0.25">
      <c r="B405" s="39"/>
    </row>
    <row r="406" spans="2:2" x14ac:dyDescent="0.25">
      <c r="B406" s="39"/>
    </row>
    <row r="407" spans="2:2" x14ac:dyDescent="0.25">
      <c r="B407" s="39"/>
    </row>
    <row r="408" spans="2:2" x14ac:dyDescent="0.25">
      <c r="B408" s="39"/>
    </row>
    <row r="409" spans="2:2" x14ac:dyDescent="0.25">
      <c r="B409" s="39"/>
    </row>
    <row r="410" spans="2:2" x14ac:dyDescent="0.25">
      <c r="B410" s="39"/>
    </row>
    <row r="411" spans="2:2" x14ac:dyDescent="0.25">
      <c r="B411" s="39"/>
    </row>
    <row r="412" spans="2:2" x14ac:dyDescent="0.25">
      <c r="B412" s="39"/>
    </row>
    <row r="413" spans="2:2" x14ac:dyDescent="0.25">
      <c r="B413" s="39"/>
    </row>
    <row r="414" spans="2:2" x14ac:dyDescent="0.25">
      <c r="B414" s="39"/>
    </row>
    <row r="415" spans="2:2" x14ac:dyDescent="0.25">
      <c r="B415" s="39"/>
    </row>
    <row r="416" spans="2:2" x14ac:dyDescent="0.25">
      <c r="B416" s="39"/>
    </row>
    <row r="417" spans="2:2" x14ac:dyDescent="0.25">
      <c r="B417" s="39"/>
    </row>
    <row r="418" spans="2:2" x14ac:dyDescent="0.25">
      <c r="B418" s="39"/>
    </row>
    <row r="419" spans="2:2" x14ac:dyDescent="0.25">
      <c r="B419" s="39"/>
    </row>
    <row r="420" spans="2:2" x14ac:dyDescent="0.25">
      <c r="B420" s="39"/>
    </row>
    <row r="421" spans="2:2" x14ac:dyDescent="0.25">
      <c r="B421" s="39"/>
    </row>
    <row r="422" spans="2:2" x14ac:dyDescent="0.25">
      <c r="B422" s="39"/>
    </row>
    <row r="423" spans="2:2" x14ac:dyDescent="0.25">
      <c r="B423" s="39"/>
    </row>
    <row r="424" spans="2:2" x14ac:dyDescent="0.25">
      <c r="B424" s="39"/>
    </row>
    <row r="425" spans="2:2" x14ac:dyDescent="0.25">
      <c r="B425" s="39"/>
    </row>
    <row r="426" spans="2:2" x14ac:dyDescent="0.25">
      <c r="B426" s="39"/>
    </row>
    <row r="427" spans="2:2" x14ac:dyDescent="0.25">
      <c r="B427" s="39"/>
    </row>
    <row r="428" spans="2:2" x14ac:dyDescent="0.25">
      <c r="B428" s="39"/>
    </row>
    <row r="429" spans="2:2" x14ac:dyDescent="0.25">
      <c r="B429" s="39"/>
    </row>
    <row r="430" spans="2:2" x14ac:dyDescent="0.25">
      <c r="B430" s="39"/>
    </row>
    <row r="431" spans="2:2" x14ac:dyDescent="0.25">
      <c r="B431" s="39"/>
    </row>
    <row r="432" spans="2:2" x14ac:dyDescent="0.25">
      <c r="B432" s="39"/>
    </row>
    <row r="433" spans="2:2" x14ac:dyDescent="0.25">
      <c r="B433" s="39"/>
    </row>
    <row r="434" spans="2:2" x14ac:dyDescent="0.25">
      <c r="B434" s="39"/>
    </row>
    <row r="435" spans="2:2" x14ac:dyDescent="0.25">
      <c r="B435" s="39"/>
    </row>
    <row r="436" spans="2:2" x14ac:dyDescent="0.25">
      <c r="B436" s="39"/>
    </row>
    <row r="437" spans="2:2" x14ac:dyDescent="0.25">
      <c r="B437" s="39"/>
    </row>
    <row r="438" spans="2:2" x14ac:dyDescent="0.25">
      <c r="B438" s="39"/>
    </row>
    <row r="439" spans="2:2" x14ac:dyDescent="0.25">
      <c r="B439" s="39"/>
    </row>
    <row r="440" spans="2:2" x14ac:dyDescent="0.25">
      <c r="B440" s="39"/>
    </row>
    <row r="441" spans="2:2" x14ac:dyDescent="0.25">
      <c r="B441" s="39"/>
    </row>
    <row r="442" spans="2:2" x14ac:dyDescent="0.25">
      <c r="B442" s="39"/>
    </row>
    <row r="443" spans="2:2" x14ac:dyDescent="0.25">
      <c r="B443" s="39"/>
    </row>
    <row r="444" spans="2:2" x14ac:dyDescent="0.25">
      <c r="B444" s="39"/>
    </row>
    <row r="445" spans="2:2" x14ac:dyDescent="0.25">
      <c r="B445" s="39"/>
    </row>
    <row r="446" spans="2:2" x14ac:dyDescent="0.25">
      <c r="B446" s="39"/>
    </row>
    <row r="447" spans="2:2" x14ac:dyDescent="0.25">
      <c r="B447" s="39"/>
    </row>
    <row r="448" spans="2:2" x14ac:dyDescent="0.25">
      <c r="B448" s="39"/>
    </row>
    <row r="449" spans="2:2" x14ac:dyDescent="0.25">
      <c r="B449" s="39"/>
    </row>
    <row r="450" spans="2:2" x14ac:dyDescent="0.25">
      <c r="B450" s="39"/>
    </row>
    <row r="451" spans="2:2" x14ac:dyDescent="0.25">
      <c r="B451" s="39"/>
    </row>
    <row r="452" spans="2:2" x14ac:dyDescent="0.25">
      <c r="B452" s="39"/>
    </row>
    <row r="453" spans="2:2" x14ac:dyDescent="0.25">
      <c r="B453" s="39"/>
    </row>
    <row r="454" spans="2:2" x14ac:dyDescent="0.25">
      <c r="B454" s="39"/>
    </row>
    <row r="455" spans="2:2" x14ac:dyDescent="0.25">
      <c r="B455" s="39"/>
    </row>
    <row r="456" spans="2:2" x14ac:dyDescent="0.25">
      <c r="B456" s="39"/>
    </row>
    <row r="457" spans="2:2" x14ac:dyDescent="0.25">
      <c r="B457" s="39"/>
    </row>
    <row r="458" spans="2:2" x14ac:dyDescent="0.25">
      <c r="B458" s="39"/>
    </row>
    <row r="459" spans="2:2" x14ac:dyDescent="0.25">
      <c r="B459" s="39"/>
    </row>
    <row r="460" spans="2:2" x14ac:dyDescent="0.25">
      <c r="B460" s="39"/>
    </row>
    <row r="461" spans="2:2" x14ac:dyDescent="0.25">
      <c r="B461" s="39"/>
    </row>
    <row r="462" spans="2:2" x14ac:dyDescent="0.25">
      <c r="B462" s="39"/>
    </row>
    <row r="463" spans="2:2" x14ac:dyDescent="0.25">
      <c r="B463" s="39"/>
    </row>
    <row r="464" spans="2:2" x14ac:dyDescent="0.25">
      <c r="B464" s="39"/>
    </row>
    <row r="465" spans="2:2" x14ac:dyDescent="0.25">
      <c r="B465" s="39"/>
    </row>
    <row r="466" spans="2:2" x14ac:dyDescent="0.25">
      <c r="B466" s="39"/>
    </row>
    <row r="467" spans="2:2" x14ac:dyDescent="0.25">
      <c r="B467" s="39"/>
    </row>
    <row r="468" spans="2:2" x14ac:dyDescent="0.25">
      <c r="B468" s="39"/>
    </row>
    <row r="469" spans="2:2" x14ac:dyDescent="0.25">
      <c r="B469" s="39"/>
    </row>
    <row r="470" spans="2:2" x14ac:dyDescent="0.25">
      <c r="B470" s="39"/>
    </row>
    <row r="471" spans="2:2" x14ac:dyDescent="0.25">
      <c r="B471" s="39"/>
    </row>
    <row r="472" spans="2:2" x14ac:dyDescent="0.25">
      <c r="B472" s="39"/>
    </row>
    <row r="473" spans="2:2" x14ac:dyDescent="0.25">
      <c r="B473" s="39"/>
    </row>
    <row r="474" spans="2:2" x14ac:dyDescent="0.25">
      <c r="B474" s="39"/>
    </row>
    <row r="475" spans="2:2" x14ac:dyDescent="0.25">
      <c r="B475" s="39"/>
    </row>
    <row r="476" spans="2:2" x14ac:dyDescent="0.25">
      <c r="B476" s="39"/>
    </row>
    <row r="477" spans="2:2" x14ac:dyDescent="0.25">
      <c r="B477" s="39"/>
    </row>
    <row r="478" spans="2:2" x14ac:dyDescent="0.25">
      <c r="B478" s="39"/>
    </row>
    <row r="479" spans="2:2" x14ac:dyDescent="0.25">
      <c r="B479" s="39"/>
    </row>
    <row r="480" spans="2:2" x14ac:dyDescent="0.25">
      <c r="B480" s="39"/>
    </row>
    <row r="481" spans="2:2" x14ac:dyDescent="0.25">
      <c r="B481" s="39"/>
    </row>
    <row r="482" spans="2:2" x14ac:dyDescent="0.25">
      <c r="B482" s="39"/>
    </row>
    <row r="483" spans="2:2" x14ac:dyDescent="0.25">
      <c r="B483" s="39"/>
    </row>
    <row r="484" spans="2:2" x14ac:dyDescent="0.25">
      <c r="B484" s="39"/>
    </row>
    <row r="485" spans="2:2" x14ac:dyDescent="0.25">
      <c r="B485" s="39"/>
    </row>
    <row r="486" spans="2:2" x14ac:dyDescent="0.25">
      <c r="B486" s="39"/>
    </row>
    <row r="487" spans="2:2" x14ac:dyDescent="0.25">
      <c r="B487" s="39"/>
    </row>
    <row r="488" spans="2:2" x14ac:dyDescent="0.25">
      <c r="B488" s="39"/>
    </row>
    <row r="489" spans="2:2" x14ac:dyDescent="0.25">
      <c r="B489" s="39"/>
    </row>
    <row r="490" spans="2:2" x14ac:dyDescent="0.25">
      <c r="B490" s="39"/>
    </row>
    <row r="491" spans="2:2" x14ac:dyDescent="0.25">
      <c r="B491" s="39"/>
    </row>
    <row r="492" spans="2:2" x14ac:dyDescent="0.25">
      <c r="B492" s="39"/>
    </row>
    <row r="493" spans="2:2" x14ac:dyDescent="0.25">
      <c r="B493" s="39"/>
    </row>
    <row r="494" spans="2:2" x14ac:dyDescent="0.25">
      <c r="B494" s="39"/>
    </row>
    <row r="495" spans="2:2" x14ac:dyDescent="0.25">
      <c r="B495" s="39"/>
    </row>
    <row r="496" spans="2:2" x14ac:dyDescent="0.25">
      <c r="B496" s="39"/>
    </row>
    <row r="497" spans="2:2" x14ac:dyDescent="0.25">
      <c r="B497" s="39"/>
    </row>
    <row r="498" spans="2:2" x14ac:dyDescent="0.25">
      <c r="B498" s="39"/>
    </row>
    <row r="499" spans="2:2" x14ac:dyDescent="0.25">
      <c r="B499" s="39"/>
    </row>
    <row r="500" spans="2:2" x14ac:dyDescent="0.25">
      <c r="B500" s="39"/>
    </row>
    <row r="501" spans="2:2" x14ac:dyDescent="0.25">
      <c r="B501" s="39"/>
    </row>
    <row r="502" spans="2:2" x14ac:dyDescent="0.25">
      <c r="B502" s="39"/>
    </row>
    <row r="503" spans="2:2" x14ac:dyDescent="0.25">
      <c r="B503" s="39"/>
    </row>
    <row r="504" spans="2:2" x14ac:dyDescent="0.25">
      <c r="B504" s="39"/>
    </row>
    <row r="505" spans="2:2" x14ac:dyDescent="0.25">
      <c r="B505" s="39"/>
    </row>
    <row r="506" spans="2:2" x14ac:dyDescent="0.25">
      <c r="B506" s="39"/>
    </row>
    <row r="507" spans="2:2" x14ac:dyDescent="0.25">
      <c r="B507" s="39"/>
    </row>
    <row r="508" spans="2:2" x14ac:dyDescent="0.25">
      <c r="B508" s="39"/>
    </row>
    <row r="509" spans="2:2" x14ac:dyDescent="0.25">
      <c r="B509" s="39"/>
    </row>
    <row r="510" spans="2:2" x14ac:dyDescent="0.25">
      <c r="B510" s="39"/>
    </row>
    <row r="511" spans="2:2" x14ac:dyDescent="0.25">
      <c r="B511" s="39"/>
    </row>
    <row r="512" spans="2:2" x14ac:dyDescent="0.25">
      <c r="B512" s="39"/>
    </row>
    <row r="513" spans="2:2" x14ac:dyDescent="0.25">
      <c r="B513" s="39"/>
    </row>
    <row r="514" spans="2:2" x14ac:dyDescent="0.25">
      <c r="B514" s="39"/>
    </row>
    <row r="515" spans="2:2" x14ac:dyDescent="0.25">
      <c r="B515" s="39"/>
    </row>
    <row r="516" spans="2:2" x14ac:dyDescent="0.25">
      <c r="B516" s="39"/>
    </row>
    <row r="517" spans="2:2" x14ac:dyDescent="0.25">
      <c r="B517" s="39"/>
    </row>
    <row r="518" spans="2:2" x14ac:dyDescent="0.25">
      <c r="B518" s="39"/>
    </row>
    <row r="519" spans="2:2" x14ac:dyDescent="0.25">
      <c r="B519" s="39"/>
    </row>
    <row r="520" spans="2:2" x14ac:dyDescent="0.25">
      <c r="B520" s="39"/>
    </row>
    <row r="521" spans="2:2" x14ac:dyDescent="0.25">
      <c r="B521" s="39"/>
    </row>
    <row r="522" spans="2:2" x14ac:dyDescent="0.25">
      <c r="B522" s="39"/>
    </row>
    <row r="523" spans="2:2" x14ac:dyDescent="0.25">
      <c r="B523" s="39"/>
    </row>
    <row r="524" spans="2:2" x14ac:dyDescent="0.25">
      <c r="B524" s="39"/>
    </row>
    <row r="525" spans="2:2" x14ac:dyDescent="0.25">
      <c r="B525" s="39"/>
    </row>
    <row r="526" spans="2:2" x14ac:dyDescent="0.25">
      <c r="B526" s="39"/>
    </row>
    <row r="527" spans="2:2" x14ac:dyDescent="0.25">
      <c r="B527" s="39"/>
    </row>
    <row r="528" spans="2:2" x14ac:dyDescent="0.25">
      <c r="B528" s="39"/>
    </row>
    <row r="529" spans="2:2" x14ac:dyDescent="0.25">
      <c r="B529" s="39"/>
    </row>
    <row r="530" spans="2:2" x14ac:dyDescent="0.25">
      <c r="B530" s="39"/>
    </row>
    <row r="531" spans="2:2" x14ac:dyDescent="0.25">
      <c r="B531" s="39"/>
    </row>
    <row r="532" spans="2:2" x14ac:dyDescent="0.25">
      <c r="B532" s="39"/>
    </row>
    <row r="533" spans="2:2" x14ac:dyDescent="0.25">
      <c r="B533" s="39"/>
    </row>
    <row r="534" spans="2:2" x14ac:dyDescent="0.25">
      <c r="B534" s="39"/>
    </row>
    <row r="535" spans="2:2" x14ac:dyDescent="0.25">
      <c r="B535" s="39"/>
    </row>
    <row r="536" spans="2:2" x14ac:dyDescent="0.25">
      <c r="B536" s="39"/>
    </row>
    <row r="537" spans="2:2" x14ac:dyDescent="0.25">
      <c r="B537" s="39"/>
    </row>
    <row r="538" spans="2:2" x14ac:dyDescent="0.25">
      <c r="B538" s="39"/>
    </row>
    <row r="539" spans="2:2" x14ac:dyDescent="0.25">
      <c r="B539" s="39"/>
    </row>
    <row r="540" spans="2:2" x14ac:dyDescent="0.25">
      <c r="B540" s="39"/>
    </row>
    <row r="541" spans="2:2" x14ac:dyDescent="0.25">
      <c r="B541" s="39"/>
    </row>
    <row r="542" spans="2:2" x14ac:dyDescent="0.25">
      <c r="B542" s="39"/>
    </row>
    <row r="543" spans="2:2" x14ac:dyDescent="0.25">
      <c r="B543" s="39"/>
    </row>
    <row r="544" spans="2:2" x14ac:dyDescent="0.25">
      <c r="B544" s="39"/>
    </row>
    <row r="545" spans="2:2" x14ac:dyDescent="0.25">
      <c r="B545" s="39"/>
    </row>
    <row r="546" spans="2:2" x14ac:dyDescent="0.25">
      <c r="B546" s="39"/>
    </row>
    <row r="547" spans="2:2" x14ac:dyDescent="0.25">
      <c r="B547" s="39"/>
    </row>
    <row r="548" spans="2:2" x14ac:dyDescent="0.25">
      <c r="B548" s="39"/>
    </row>
    <row r="549" spans="2:2" x14ac:dyDescent="0.25">
      <c r="B549" s="39"/>
    </row>
    <row r="550" spans="2:2" x14ac:dyDescent="0.25">
      <c r="B550" s="39"/>
    </row>
    <row r="551" spans="2:2" x14ac:dyDescent="0.25">
      <c r="B551" s="39"/>
    </row>
    <row r="552" spans="2:2" x14ac:dyDescent="0.25">
      <c r="B552" s="39"/>
    </row>
    <row r="553" spans="2:2" x14ac:dyDescent="0.25">
      <c r="B553" s="39"/>
    </row>
    <row r="554" spans="2:2" x14ac:dyDescent="0.25">
      <c r="B554" s="39"/>
    </row>
    <row r="555" spans="2:2" x14ac:dyDescent="0.25">
      <c r="B555" s="39"/>
    </row>
    <row r="556" spans="2:2" x14ac:dyDescent="0.25">
      <c r="B556" s="39"/>
    </row>
    <row r="557" spans="2:2" x14ac:dyDescent="0.25">
      <c r="B557" s="39"/>
    </row>
    <row r="558" spans="2:2" x14ac:dyDescent="0.25">
      <c r="B558" s="39"/>
    </row>
    <row r="559" spans="2:2" x14ac:dyDescent="0.25">
      <c r="B559" s="39"/>
    </row>
    <row r="560" spans="2:2" x14ac:dyDescent="0.25">
      <c r="B560" s="39"/>
    </row>
    <row r="561" spans="2:2" x14ac:dyDescent="0.25">
      <c r="B561" s="39"/>
    </row>
    <row r="562" spans="2:2" x14ac:dyDescent="0.25">
      <c r="B562" s="39"/>
    </row>
    <row r="563" spans="2:2" x14ac:dyDescent="0.25">
      <c r="B563" s="39"/>
    </row>
    <row r="564" spans="2:2" x14ac:dyDescent="0.25">
      <c r="B564" s="39"/>
    </row>
    <row r="565" spans="2:2" x14ac:dyDescent="0.25">
      <c r="B565" s="39"/>
    </row>
    <row r="566" spans="2:2" x14ac:dyDescent="0.25">
      <c r="B566" s="39"/>
    </row>
    <row r="567" spans="2:2" x14ac:dyDescent="0.25">
      <c r="B567" s="39"/>
    </row>
    <row r="568" spans="2:2" x14ac:dyDescent="0.25">
      <c r="B568" s="39"/>
    </row>
    <row r="569" spans="2:2" x14ac:dyDescent="0.25">
      <c r="B569" s="39"/>
    </row>
    <row r="570" spans="2:2" x14ac:dyDescent="0.25">
      <c r="B570" s="39"/>
    </row>
    <row r="571" spans="2:2" x14ac:dyDescent="0.25">
      <c r="B571" s="39"/>
    </row>
    <row r="572" spans="2:2" x14ac:dyDescent="0.25">
      <c r="B572" s="39"/>
    </row>
    <row r="573" spans="2:2" x14ac:dyDescent="0.25">
      <c r="B573" s="39"/>
    </row>
    <row r="574" spans="2:2" x14ac:dyDescent="0.25">
      <c r="B574" s="39"/>
    </row>
    <row r="575" spans="2:2" x14ac:dyDescent="0.25">
      <c r="B575" s="39"/>
    </row>
    <row r="576" spans="2:2" x14ac:dyDescent="0.25">
      <c r="B576" s="39"/>
    </row>
    <row r="577" spans="2:2" x14ac:dyDescent="0.25">
      <c r="B577" s="39"/>
    </row>
    <row r="578" spans="2:2" x14ac:dyDescent="0.25">
      <c r="B578" s="39"/>
    </row>
    <row r="579" spans="2:2" x14ac:dyDescent="0.25">
      <c r="B579" s="39"/>
    </row>
    <row r="580" spans="2:2" x14ac:dyDescent="0.25">
      <c r="B580" s="39"/>
    </row>
  </sheetData>
  <autoFilter ref="B2:G265" xr:uid="{FD283ED7-23DF-4AF8-A816-3EE21A026108}"/>
  <conditionalFormatting sqref="N35:N60">
    <cfRule type="cellIs" dxfId="4" priority="1" operator="equal">
      <formula>$L$5=$N$5</formula>
    </cfRule>
  </conditionalFormatting>
  <conditionalFormatting sqref="O5:O29">
    <cfRule type="cellIs" dxfId="3" priority="2" operator="equal">
      <formula>$L$5=$N$5</formula>
    </cfRule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6124C-A078-455C-8C00-3568F099E659}">
  <sheetPr>
    <tabColor theme="1" tint="4.9989318521683403E-2"/>
  </sheetPr>
  <dimension ref="A1"/>
  <sheetViews>
    <sheetView workbookViewId="0">
      <selection activeCell="W30" sqref="W30"/>
    </sheetView>
  </sheetViews>
  <sheetFormatPr defaultRowHeight="13.2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4CA72-5B97-4CFC-93EF-6BD3235AA070}">
  <sheetPr codeName="Sheet6" filterMode="1"/>
  <dimension ref="A1:F193"/>
  <sheetViews>
    <sheetView workbookViewId="0">
      <selection activeCell="F192" sqref="F192"/>
    </sheetView>
  </sheetViews>
  <sheetFormatPr defaultRowHeight="13.2" x14ac:dyDescent="0.25"/>
  <sheetData>
    <row r="1" spans="1:6" x14ac:dyDescent="0.25">
      <c r="A1" s="127" t="s">
        <v>128</v>
      </c>
      <c r="B1" t="e">
        <f>_xlfn.XLOOKUP(A1,#REF!,#REF!,"",0,1)</f>
        <v>#REF!</v>
      </c>
      <c r="D1" s="126" t="s">
        <v>128</v>
      </c>
      <c r="F1" t="s">
        <v>129</v>
      </c>
    </row>
    <row r="2" spans="1:6" hidden="1" x14ac:dyDescent="0.25">
      <c r="A2" s="126" t="s">
        <v>130</v>
      </c>
      <c r="B2" t="e">
        <f>_xlfn.XLOOKUP(A2,#REF!,#REF!,"",0,1)</f>
        <v>#REF!</v>
      </c>
      <c r="D2" s="127" t="s">
        <v>130</v>
      </c>
      <c r="F2" t="s">
        <v>128</v>
      </c>
    </row>
    <row r="3" spans="1:6" hidden="1" x14ac:dyDescent="0.25">
      <c r="A3" s="126" t="s">
        <v>131</v>
      </c>
      <c r="B3" t="e">
        <f>_xlfn.XLOOKUP(A3,#REF!,#REF!,"",0,1)</f>
        <v>#REF!</v>
      </c>
      <c r="D3" s="126" t="s">
        <v>131</v>
      </c>
      <c r="F3" t="s">
        <v>130</v>
      </c>
    </row>
    <row r="4" spans="1:6" hidden="1" x14ac:dyDescent="0.25">
      <c r="A4" s="126" t="s">
        <v>132</v>
      </c>
      <c r="B4" t="e">
        <f>_xlfn.XLOOKUP(A4,#REF!,#REF!,"",0,1)</f>
        <v>#REF!</v>
      </c>
      <c r="D4" s="127" t="s">
        <v>132</v>
      </c>
      <c r="F4" t="s">
        <v>131</v>
      </c>
    </row>
    <row r="5" spans="1:6" hidden="1" x14ac:dyDescent="0.25">
      <c r="A5" s="126" t="s">
        <v>133</v>
      </c>
      <c r="B5" t="e">
        <f>_xlfn.XLOOKUP(A5,#REF!,#REF!,"",0,1)</f>
        <v>#REF!</v>
      </c>
      <c r="D5" s="126" t="s">
        <v>133</v>
      </c>
      <c r="F5" t="s">
        <v>132</v>
      </c>
    </row>
    <row r="6" spans="1:6" hidden="1" x14ac:dyDescent="0.25">
      <c r="A6" s="126" t="s">
        <v>134</v>
      </c>
      <c r="B6" t="e">
        <f>_xlfn.XLOOKUP(A6,#REF!,#REF!,"",0,1)</f>
        <v>#REF!</v>
      </c>
      <c r="D6" s="127" t="s">
        <v>134</v>
      </c>
      <c r="F6" t="s">
        <v>133</v>
      </c>
    </row>
    <row r="7" spans="1:6" hidden="1" x14ac:dyDescent="0.25">
      <c r="A7" s="126" t="s">
        <v>135</v>
      </c>
      <c r="B7" t="e">
        <f>_xlfn.XLOOKUP(A7,#REF!,#REF!,"",0,1)</f>
        <v>#REF!</v>
      </c>
      <c r="D7" s="126" t="s">
        <v>135</v>
      </c>
      <c r="F7" t="s">
        <v>134</v>
      </c>
    </row>
    <row r="8" spans="1:6" hidden="1" x14ac:dyDescent="0.25">
      <c r="A8" s="126" t="s">
        <v>136</v>
      </c>
      <c r="B8" t="e">
        <f>_xlfn.XLOOKUP(A8,#REF!,#REF!,"",0,1)</f>
        <v>#REF!</v>
      </c>
      <c r="D8" s="127" t="s">
        <v>136</v>
      </c>
      <c r="F8" t="s">
        <v>135</v>
      </c>
    </row>
    <row r="9" spans="1:6" hidden="1" x14ac:dyDescent="0.25">
      <c r="A9" s="126" t="s">
        <v>137</v>
      </c>
      <c r="B9" t="e">
        <f>_xlfn.XLOOKUP(A9,#REF!,#REF!,"",0,1)</f>
        <v>#REF!</v>
      </c>
      <c r="D9" s="126" t="s">
        <v>137</v>
      </c>
      <c r="F9" t="s">
        <v>136</v>
      </c>
    </row>
    <row r="10" spans="1:6" hidden="1" x14ac:dyDescent="0.25">
      <c r="A10" s="126" t="s">
        <v>138</v>
      </c>
      <c r="B10" t="e">
        <f>_xlfn.XLOOKUP(A10,#REF!,#REF!,"",0,1)</f>
        <v>#REF!</v>
      </c>
      <c r="D10" s="127" t="s">
        <v>138</v>
      </c>
      <c r="F10" t="s">
        <v>137</v>
      </c>
    </row>
    <row r="11" spans="1:6" hidden="1" x14ac:dyDescent="0.25">
      <c r="A11" s="126" t="s">
        <v>139</v>
      </c>
      <c r="B11" t="e">
        <f>_xlfn.XLOOKUP(A11,#REF!,#REF!,"",0,1)</f>
        <v>#REF!</v>
      </c>
      <c r="D11" s="126" t="s">
        <v>139</v>
      </c>
      <c r="F11" t="s">
        <v>138</v>
      </c>
    </row>
    <row r="12" spans="1:6" hidden="1" x14ac:dyDescent="0.25">
      <c r="A12" s="126" t="s">
        <v>140</v>
      </c>
      <c r="B12" t="e">
        <f>_xlfn.XLOOKUP(A12,#REF!,#REF!,"",0,1)</f>
        <v>#REF!</v>
      </c>
      <c r="D12" s="127" t="s">
        <v>140</v>
      </c>
      <c r="F12" t="s">
        <v>139</v>
      </c>
    </row>
    <row r="13" spans="1:6" hidden="1" x14ac:dyDescent="0.25">
      <c r="A13" s="126" t="s">
        <v>141</v>
      </c>
      <c r="B13" t="e">
        <f>_xlfn.XLOOKUP(A13,#REF!,#REF!,"",0,1)</f>
        <v>#REF!</v>
      </c>
      <c r="D13" s="126" t="s">
        <v>141</v>
      </c>
      <c r="F13" t="s">
        <v>140</v>
      </c>
    </row>
    <row r="14" spans="1:6" hidden="1" x14ac:dyDescent="0.25">
      <c r="A14" s="126" t="s">
        <v>142</v>
      </c>
      <c r="B14" t="e">
        <f>_xlfn.XLOOKUP(A14,#REF!,#REF!,"",0,1)</f>
        <v>#REF!</v>
      </c>
      <c r="D14" s="127" t="s">
        <v>142</v>
      </c>
      <c r="F14" t="s">
        <v>141</v>
      </c>
    </row>
    <row r="15" spans="1:6" hidden="1" x14ac:dyDescent="0.25">
      <c r="A15" s="126" t="s">
        <v>143</v>
      </c>
      <c r="B15" t="e">
        <f>_xlfn.XLOOKUP(A15,#REF!,#REF!,"",0,1)</f>
        <v>#REF!</v>
      </c>
      <c r="D15" s="126" t="s">
        <v>143</v>
      </c>
      <c r="F15" t="s">
        <v>142</v>
      </c>
    </row>
    <row r="16" spans="1:6" hidden="1" x14ac:dyDescent="0.25">
      <c r="A16" s="126" t="s">
        <v>144</v>
      </c>
      <c r="B16" t="e">
        <f>_xlfn.XLOOKUP(A16,#REF!,#REF!,"",0,1)</f>
        <v>#REF!</v>
      </c>
      <c r="D16" s="127" t="s">
        <v>144</v>
      </c>
      <c r="F16" t="s">
        <v>143</v>
      </c>
    </row>
    <row r="17" spans="1:6" hidden="1" x14ac:dyDescent="0.25">
      <c r="A17" s="126" t="s">
        <v>145</v>
      </c>
      <c r="B17" t="e">
        <f>_xlfn.XLOOKUP(A17,#REF!,#REF!,"",0,1)</f>
        <v>#REF!</v>
      </c>
      <c r="D17" s="126" t="s">
        <v>145</v>
      </c>
      <c r="F17" t="s">
        <v>144</v>
      </c>
    </row>
    <row r="18" spans="1:6" hidden="1" x14ac:dyDescent="0.25">
      <c r="A18" s="126" t="s">
        <v>146</v>
      </c>
      <c r="B18" t="e">
        <f>_xlfn.XLOOKUP(A18,#REF!,#REF!,"",0,1)</f>
        <v>#REF!</v>
      </c>
      <c r="D18" s="127" t="s">
        <v>146</v>
      </c>
      <c r="F18" t="s">
        <v>145</v>
      </c>
    </row>
    <row r="19" spans="1:6" hidden="1" x14ac:dyDescent="0.25">
      <c r="A19" s="126" t="s">
        <v>147</v>
      </c>
      <c r="B19" t="e">
        <f>_xlfn.XLOOKUP(A19,#REF!,#REF!,"",0,1)</f>
        <v>#REF!</v>
      </c>
      <c r="D19" s="126" t="s">
        <v>147</v>
      </c>
      <c r="F19" t="s">
        <v>146</v>
      </c>
    </row>
    <row r="20" spans="1:6" hidden="1" x14ac:dyDescent="0.25">
      <c r="A20" s="126" t="s">
        <v>148</v>
      </c>
      <c r="B20" t="e">
        <f>_xlfn.XLOOKUP(A20,#REF!,#REF!,"",0,1)</f>
        <v>#REF!</v>
      </c>
      <c r="D20" s="127" t="s">
        <v>148</v>
      </c>
      <c r="F20" t="s">
        <v>147</v>
      </c>
    </row>
    <row r="21" spans="1:6" hidden="1" x14ac:dyDescent="0.25">
      <c r="A21" s="126" t="s">
        <v>149</v>
      </c>
      <c r="B21" t="e">
        <f>_xlfn.XLOOKUP(A21,#REF!,#REF!,"",0,1)</f>
        <v>#REF!</v>
      </c>
      <c r="D21" s="126" t="s">
        <v>149</v>
      </c>
      <c r="F21" t="s">
        <v>148</v>
      </c>
    </row>
    <row r="22" spans="1:6" hidden="1" x14ac:dyDescent="0.25">
      <c r="A22" s="126" t="s">
        <v>150</v>
      </c>
      <c r="B22" t="e">
        <f>_xlfn.XLOOKUP(A22,#REF!,#REF!,"",0,1)</f>
        <v>#REF!</v>
      </c>
      <c r="D22" s="127" t="s">
        <v>150</v>
      </c>
      <c r="F22" t="s">
        <v>149</v>
      </c>
    </row>
    <row r="23" spans="1:6" hidden="1" x14ac:dyDescent="0.25">
      <c r="A23" s="126" t="s">
        <v>151</v>
      </c>
      <c r="B23" t="e">
        <f>_xlfn.XLOOKUP(A23,#REF!,#REF!,"",0,1)</f>
        <v>#REF!</v>
      </c>
      <c r="D23" s="126" t="s">
        <v>151</v>
      </c>
      <c r="F23" t="s">
        <v>150</v>
      </c>
    </row>
    <row r="24" spans="1:6" hidden="1" x14ac:dyDescent="0.25">
      <c r="A24" s="126" t="s">
        <v>152</v>
      </c>
      <c r="B24" t="e">
        <f>_xlfn.XLOOKUP(A24,#REF!,#REF!,"",0,1)</f>
        <v>#REF!</v>
      </c>
      <c r="D24" s="127" t="s">
        <v>152</v>
      </c>
      <c r="F24" t="s">
        <v>151</v>
      </c>
    </row>
    <row r="25" spans="1:6" hidden="1" x14ac:dyDescent="0.25">
      <c r="A25" s="126" t="s">
        <v>153</v>
      </c>
      <c r="B25" t="e">
        <f>_xlfn.XLOOKUP(A25,#REF!,#REF!,"",0,1)</f>
        <v>#REF!</v>
      </c>
      <c r="D25" s="126" t="s">
        <v>153</v>
      </c>
      <c r="F25" t="s">
        <v>152</v>
      </c>
    </row>
    <row r="26" spans="1:6" hidden="1" x14ac:dyDescent="0.25">
      <c r="A26" s="126" t="s">
        <v>154</v>
      </c>
      <c r="B26" t="e">
        <f>_xlfn.XLOOKUP(A26,#REF!,#REF!,"",0,1)</f>
        <v>#REF!</v>
      </c>
      <c r="D26" s="127" t="s">
        <v>154</v>
      </c>
      <c r="F26" t="s">
        <v>153</v>
      </c>
    </row>
    <row r="27" spans="1:6" hidden="1" x14ac:dyDescent="0.25">
      <c r="A27" s="126" t="s">
        <v>155</v>
      </c>
      <c r="B27" t="e">
        <f>_xlfn.XLOOKUP(A27,#REF!,#REF!,"",0,1)</f>
        <v>#REF!</v>
      </c>
      <c r="D27" s="126" t="s">
        <v>155</v>
      </c>
      <c r="F27" t="s">
        <v>154</v>
      </c>
    </row>
    <row r="28" spans="1:6" hidden="1" x14ac:dyDescent="0.25">
      <c r="A28" s="126" t="s">
        <v>156</v>
      </c>
      <c r="B28" t="e">
        <f>_xlfn.XLOOKUP(A28,#REF!,#REF!,"",0,1)</f>
        <v>#REF!</v>
      </c>
      <c r="D28" s="127" t="s">
        <v>156</v>
      </c>
      <c r="F28" t="s">
        <v>155</v>
      </c>
    </row>
    <row r="29" spans="1:6" hidden="1" x14ac:dyDescent="0.25">
      <c r="A29" s="126" t="s">
        <v>157</v>
      </c>
      <c r="B29" t="e">
        <f>_xlfn.XLOOKUP(A29,#REF!,#REF!,"",0,1)</f>
        <v>#REF!</v>
      </c>
      <c r="D29" s="126" t="s">
        <v>157</v>
      </c>
      <c r="F29" t="s">
        <v>156</v>
      </c>
    </row>
    <row r="30" spans="1:6" hidden="1" x14ac:dyDescent="0.25">
      <c r="A30" s="126" t="s">
        <v>158</v>
      </c>
      <c r="B30" t="e">
        <f>_xlfn.XLOOKUP(A30,#REF!,#REF!,"",0,1)</f>
        <v>#REF!</v>
      </c>
      <c r="D30" s="127" t="s">
        <v>158</v>
      </c>
      <c r="F30" t="s">
        <v>157</v>
      </c>
    </row>
    <row r="31" spans="1:6" hidden="1" x14ac:dyDescent="0.25">
      <c r="A31" s="126" t="s">
        <v>159</v>
      </c>
      <c r="B31" t="e">
        <f>_xlfn.XLOOKUP(A31,#REF!,#REF!,"",0,1)</f>
        <v>#REF!</v>
      </c>
      <c r="D31" s="126" t="s">
        <v>159</v>
      </c>
      <c r="F31" t="s">
        <v>158</v>
      </c>
    </row>
    <row r="32" spans="1:6" hidden="1" x14ac:dyDescent="0.25">
      <c r="A32" s="126" t="s">
        <v>160</v>
      </c>
      <c r="B32" t="e">
        <f>_xlfn.XLOOKUP(A32,#REF!,#REF!,"",0,1)</f>
        <v>#REF!</v>
      </c>
      <c r="D32" s="127" t="s">
        <v>160</v>
      </c>
      <c r="F32" t="s">
        <v>159</v>
      </c>
    </row>
    <row r="33" spans="1:6" hidden="1" x14ac:dyDescent="0.25">
      <c r="A33" s="126" t="s">
        <v>161</v>
      </c>
      <c r="B33" t="e">
        <f>_xlfn.XLOOKUP(A33,#REF!,#REF!,"",0,1)</f>
        <v>#REF!</v>
      </c>
      <c r="D33" s="126" t="s">
        <v>161</v>
      </c>
      <c r="F33" t="s">
        <v>160</v>
      </c>
    </row>
    <row r="34" spans="1:6" hidden="1" x14ac:dyDescent="0.25">
      <c r="A34" s="126" t="s">
        <v>162</v>
      </c>
      <c r="B34" t="e">
        <f>_xlfn.XLOOKUP(A34,#REF!,#REF!,"",0,1)</f>
        <v>#REF!</v>
      </c>
      <c r="D34" s="127" t="s">
        <v>162</v>
      </c>
      <c r="F34" t="s">
        <v>161</v>
      </c>
    </row>
    <row r="35" spans="1:6" hidden="1" x14ac:dyDescent="0.25">
      <c r="A35" s="126" t="s">
        <v>163</v>
      </c>
      <c r="B35" t="e">
        <f>_xlfn.XLOOKUP(A35,#REF!,#REF!,"",0,1)</f>
        <v>#REF!</v>
      </c>
      <c r="D35" s="126" t="s">
        <v>163</v>
      </c>
      <c r="F35" t="s">
        <v>162</v>
      </c>
    </row>
    <row r="36" spans="1:6" hidden="1" x14ac:dyDescent="0.25">
      <c r="A36" s="126" t="s">
        <v>164</v>
      </c>
      <c r="B36" t="e">
        <f>_xlfn.XLOOKUP(A36,#REF!,#REF!,"",0,1)</f>
        <v>#REF!</v>
      </c>
      <c r="D36" s="127" t="s">
        <v>164</v>
      </c>
      <c r="F36" t="s">
        <v>163</v>
      </c>
    </row>
    <row r="37" spans="1:6" hidden="1" x14ac:dyDescent="0.25">
      <c r="A37" s="126" t="s">
        <v>165</v>
      </c>
      <c r="B37" t="e">
        <f>_xlfn.XLOOKUP(A37,#REF!,#REF!,"",0,1)</f>
        <v>#REF!</v>
      </c>
      <c r="D37" s="126" t="s">
        <v>165</v>
      </c>
      <c r="F37" t="s">
        <v>164</v>
      </c>
    </row>
    <row r="38" spans="1:6" hidden="1" x14ac:dyDescent="0.25">
      <c r="A38" s="126" t="s">
        <v>166</v>
      </c>
      <c r="B38" t="e">
        <f>_xlfn.XLOOKUP(A38,#REF!,#REF!,"",0,1)</f>
        <v>#REF!</v>
      </c>
      <c r="D38" s="127" t="s">
        <v>166</v>
      </c>
      <c r="F38" t="s">
        <v>165</v>
      </c>
    </row>
    <row r="39" spans="1:6" hidden="1" x14ac:dyDescent="0.25">
      <c r="A39" s="126" t="s">
        <v>167</v>
      </c>
      <c r="B39" t="e">
        <f>_xlfn.XLOOKUP(A39,#REF!,#REF!,"",0,1)</f>
        <v>#REF!</v>
      </c>
      <c r="D39" s="126" t="s">
        <v>167</v>
      </c>
      <c r="F39" t="s">
        <v>166</v>
      </c>
    </row>
    <row r="40" spans="1:6" hidden="1" x14ac:dyDescent="0.25">
      <c r="A40" s="126" t="s">
        <v>168</v>
      </c>
      <c r="B40" t="e">
        <f>_xlfn.XLOOKUP(A40,#REF!,#REF!,"",0,1)</f>
        <v>#REF!</v>
      </c>
      <c r="D40" s="127" t="s">
        <v>168</v>
      </c>
      <c r="F40" t="s">
        <v>167</v>
      </c>
    </row>
    <row r="41" spans="1:6" hidden="1" x14ac:dyDescent="0.25">
      <c r="A41" s="126" t="s">
        <v>169</v>
      </c>
      <c r="B41" t="e">
        <f>_xlfn.XLOOKUP(A41,#REF!,#REF!,"",0,1)</f>
        <v>#REF!</v>
      </c>
      <c r="D41" s="126" t="s">
        <v>169</v>
      </c>
      <c r="F41" t="s">
        <v>168</v>
      </c>
    </row>
    <row r="42" spans="1:6" hidden="1" x14ac:dyDescent="0.25">
      <c r="A42" s="126" t="s">
        <v>170</v>
      </c>
      <c r="B42" t="e">
        <f>_xlfn.XLOOKUP(A42,#REF!,#REF!,"",0,1)</f>
        <v>#REF!</v>
      </c>
      <c r="D42" s="127" t="s">
        <v>170</v>
      </c>
      <c r="F42" t="s">
        <v>169</v>
      </c>
    </row>
    <row r="43" spans="1:6" hidden="1" x14ac:dyDescent="0.25">
      <c r="A43" s="126" t="s">
        <v>171</v>
      </c>
      <c r="B43" t="e">
        <f>_xlfn.XLOOKUP(A43,#REF!,#REF!,"",0,1)</f>
        <v>#REF!</v>
      </c>
      <c r="D43" s="126" t="s">
        <v>171</v>
      </c>
      <c r="F43" t="s">
        <v>170</v>
      </c>
    </row>
    <row r="44" spans="1:6" hidden="1" x14ac:dyDescent="0.25">
      <c r="A44" s="126" t="s">
        <v>172</v>
      </c>
      <c r="B44" t="e">
        <f>_xlfn.XLOOKUP(A44,#REF!,#REF!,"",0,1)</f>
        <v>#REF!</v>
      </c>
      <c r="D44" s="127" t="s">
        <v>172</v>
      </c>
      <c r="F44" t="s">
        <v>171</v>
      </c>
    </row>
    <row r="45" spans="1:6" hidden="1" x14ac:dyDescent="0.25">
      <c r="A45" s="126" t="s">
        <v>173</v>
      </c>
      <c r="B45" t="e">
        <f>_xlfn.XLOOKUP(A45,#REF!,#REF!,"",0,1)</f>
        <v>#REF!</v>
      </c>
      <c r="D45" s="126" t="s">
        <v>173</v>
      </c>
      <c r="F45" t="s">
        <v>172</v>
      </c>
    </row>
    <row r="46" spans="1:6" hidden="1" x14ac:dyDescent="0.25">
      <c r="A46" s="126" t="s">
        <v>174</v>
      </c>
      <c r="B46" t="e">
        <f>_xlfn.XLOOKUP(A46,#REF!,#REF!,"",0,1)</f>
        <v>#REF!</v>
      </c>
      <c r="D46" s="127" t="s">
        <v>174</v>
      </c>
      <c r="F46" t="s">
        <v>173</v>
      </c>
    </row>
    <row r="47" spans="1:6" hidden="1" x14ac:dyDescent="0.25">
      <c r="A47" s="126" t="s">
        <v>175</v>
      </c>
      <c r="B47" t="e">
        <f>_xlfn.XLOOKUP(A47,#REF!,#REF!,"",0,1)</f>
        <v>#REF!</v>
      </c>
      <c r="D47" s="126" t="s">
        <v>175</v>
      </c>
      <c r="F47" t="s">
        <v>174</v>
      </c>
    </row>
    <row r="48" spans="1:6" hidden="1" x14ac:dyDescent="0.25">
      <c r="A48" s="126" t="s">
        <v>176</v>
      </c>
      <c r="B48" t="e">
        <f>_xlfn.XLOOKUP(A48,#REF!,#REF!,"",0,1)</f>
        <v>#REF!</v>
      </c>
      <c r="D48" s="127" t="s">
        <v>176</v>
      </c>
      <c r="F48" t="s">
        <v>175</v>
      </c>
    </row>
    <row r="49" spans="1:6" hidden="1" x14ac:dyDescent="0.25">
      <c r="A49" s="126" t="s">
        <v>177</v>
      </c>
      <c r="B49" t="e">
        <f>_xlfn.XLOOKUP(A49,#REF!,#REF!,"",0,1)</f>
        <v>#REF!</v>
      </c>
      <c r="D49" s="126" t="s">
        <v>177</v>
      </c>
      <c r="F49" t="s">
        <v>176</v>
      </c>
    </row>
    <row r="50" spans="1:6" hidden="1" x14ac:dyDescent="0.25">
      <c r="A50" s="126" t="s">
        <v>178</v>
      </c>
      <c r="B50" t="e">
        <f>_xlfn.XLOOKUP(A50,#REF!,#REF!,"",0,1)</f>
        <v>#REF!</v>
      </c>
      <c r="D50" s="127" t="s">
        <v>178</v>
      </c>
      <c r="F50" t="s">
        <v>177</v>
      </c>
    </row>
    <row r="51" spans="1:6" hidden="1" x14ac:dyDescent="0.25">
      <c r="A51" s="126" t="s">
        <v>179</v>
      </c>
      <c r="B51" t="e">
        <f>_xlfn.XLOOKUP(A51,#REF!,#REF!,"",0,1)</f>
        <v>#REF!</v>
      </c>
      <c r="D51" s="126" t="s">
        <v>179</v>
      </c>
      <c r="F51" t="s">
        <v>178</v>
      </c>
    </row>
    <row r="52" spans="1:6" hidden="1" x14ac:dyDescent="0.25">
      <c r="A52" s="126" t="s">
        <v>180</v>
      </c>
      <c r="B52" t="e">
        <f>_xlfn.XLOOKUP(A52,#REF!,#REF!,"",0,1)</f>
        <v>#REF!</v>
      </c>
      <c r="D52" s="127" t="s">
        <v>180</v>
      </c>
      <c r="F52" t="s">
        <v>179</v>
      </c>
    </row>
    <row r="53" spans="1:6" hidden="1" x14ac:dyDescent="0.25">
      <c r="A53" s="126" t="s">
        <v>181</v>
      </c>
      <c r="B53" t="e">
        <f>_xlfn.XLOOKUP(A53,#REF!,#REF!,"",0,1)</f>
        <v>#REF!</v>
      </c>
      <c r="D53" s="126" t="s">
        <v>181</v>
      </c>
      <c r="F53" t="s">
        <v>180</v>
      </c>
    </row>
    <row r="54" spans="1:6" hidden="1" x14ac:dyDescent="0.25">
      <c r="A54" s="126" t="s">
        <v>182</v>
      </c>
      <c r="B54" t="e">
        <f>_xlfn.XLOOKUP(A54,#REF!,#REF!,"",0,1)</f>
        <v>#REF!</v>
      </c>
      <c r="D54" s="127" t="s">
        <v>182</v>
      </c>
      <c r="F54" t="s">
        <v>181</v>
      </c>
    </row>
    <row r="55" spans="1:6" hidden="1" x14ac:dyDescent="0.25">
      <c r="A55" s="126" t="s">
        <v>183</v>
      </c>
      <c r="B55" t="e">
        <f>_xlfn.XLOOKUP(A55,#REF!,#REF!,"",0,1)</f>
        <v>#REF!</v>
      </c>
      <c r="D55" s="126" t="s">
        <v>183</v>
      </c>
      <c r="F55" t="s">
        <v>182</v>
      </c>
    </row>
    <row r="56" spans="1:6" hidden="1" x14ac:dyDescent="0.25">
      <c r="A56" s="126" t="s">
        <v>184</v>
      </c>
      <c r="B56" t="e">
        <f>_xlfn.XLOOKUP(A56,#REF!,#REF!,"",0,1)</f>
        <v>#REF!</v>
      </c>
      <c r="D56" s="127" t="s">
        <v>184</v>
      </c>
      <c r="F56" t="s">
        <v>183</v>
      </c>
    </row>
    <row r="57" spans="1:6" hidden="1" x14ac:dyDescent="0.25">
      <c r="A57" s="126" t="s">
        <v>185</v>
      </c>
      <c r="B57" t="e">
        <f>_xlfn.XLOOKUP(A57,#REF!,#REF!,"",0,1)</f>
        <v>#REF!</v>
      </c>
      <c r="D57" s="126" t="s">
        <v>185</v>
      </c>
      <c r="F57" t="s">
        <v>184</v>
      </c>
    </row>
    <row r="58" spans="1:6" hidden="1" x14ac:dyDescent="0.25">
      <c r="A58" s="126" t="s">
        <v>186</v>
      </c>
      <c r="B58" t="e">
        <f>_xlfn.XLOOKUP(A58,#REF!,#REF!,"",0,1)</f>
        <v>#REF!</v>
      </c>
      <c r="D58" s="127" t="s">
        <v>186</v>
      </c>
      <c r="F58" t="s">
        <v>185</v>
      </c>
    </row>
    <row r="59" spans="1:6" hidden="1" x14ac:dyDescent="0.25">
      <c r="A59" s="126" t="s">
        <v>187</v>
      </c>
      <c r="B59" t="e">
        <f>_xlfn.XLOOKUP(A59,#REF!,#REF!,"",0,1)</f>
        <v>#REF!</v>
      </c>
      <c r="D59" s="126" t="s">
        <v>187</v>
      </c>
      <c r="F59" t="s">
        <v>186</v>
      </c>
    </row>
    <row r="60" spans="1:6" hidden="1" x14ac:dyDescent="0.25">
      <c r="A60" s="126" t="s">
        <v>188</v>
      </c>
      <c r="B60" t="e">
        <f>_xlfn.XLOOKUP(A60,#REF!,#REF!,"",0,1)</f>
        <v>#REF!</v>
      </c>
      <c r="D60" s="127" t="s">
        <v>188</v>
      </c>
      <c r="F60" t="s">
        <v>187</v>
      </c>
    </row>
    <row r="61" spans="1:6" hidden="1" x14ac:dyDescent="0.25">
      <c r="A61" s="126" t="s">
        <v>189</v>
      </c>
      <c r="B61" t="e">
        <f>_xlfn.XLOOKUP(A61,#REF!,#REF!,"",0,1)</f>
        <v>#REF!</v>
      </c>
      <c r="D61" s="126" t="s">
        <v>189</v>
      </c>
      <c r="F61" t="s">
        <v>188</v>
      </c>
    </row>
    <row r="62" spans="1:6" hidden="1" x14ac:dyDescent="0.25">
      <c r="A62" s="126" t="s">
        <v>190</v>
      </c>
      <c r="B62" t="e">
        <f>_xlfn.XLOOKUP(A62,#REF!,#REF!,"",0,1)</f>
        <v>#REF!</v>
      </c>
      <c r="D62" s="127" t="s">
        <v>190</v>
      </c>
      <c r="F62" t="s">
        <v>189</v>
      </c>
    </row>
    <row r="63" spans="1:6" hidden="1" x14ac:dyDescent="0.25">
      <c r="A63" s="126" t="s">
        <v>191</v>
      </c>
      <c r="B63" t="e">
        <f>_xlfn.XLOOKUP(A63,#REF!,#REF!,"",0,1)</f>
        <v>#REF!</v>
      </c>
      <c r="D63" s="126" t="s">
        <v>191</v>
      </c>
      <c r="F63" t="s">
        <v>190</v>
      </c>
    </row>
    <row r="64" spans="1:6" hidden="1" x14ac:dyDescent="0.25">
      <c r="A64" s="126" t="s">
        <v>192</v>
      </c>
      <c r="B64" t="e">
        <f>_xlfn.XLOOKUP(A64,#REF!,#REF!,"",0,1)</f>
        <v>#REF!</v>
      </c>
      <c r="D64" s="127" t="s">
        <v>192</v>
      </c>
      <c r="F64" t="s">
        <v>191</v>
      </c>
    </row>
    <row r="65" spans="1:6" hidden="1" x14ac:dyDescent="0.25">
      <c r="A65" s="126" t="s">
        <v>193</v>
      </c>
      <c r="B65" t="e">
        <f>_xlfn.XLOOKUP(A65,#REF!,#REF!,"",0,1)</f>
        <v>#REF!</v>
      </c>
      <c r="D65" s="126" t="s">
        <v>193</v>
      </c>
      <c r="F65" t="s">
        <v>192</v>
      </c>
    </row>
    <row r="66" spans="1:6" hidden="1" x14ac:dyDescent="0.25">
      <c r="A66" s="126" t="s">
        <v>194</v>
      </c>
      <c r="B66" t="e">
        <f>_xlfn.XLOOKUP(A66,#REF!,#REF!,"",0,1)</f>
        <v>#REF!</v>
      </c>
      <c r="D66" s="127" t="s">
        <v>194</v>
      </c>
      <c r="F66" t="s">
        <v>193</v>
      </c>
    </row>
    <row r="67" spans="1:6" hidden="1" x14ac:dyDescent="0.25">
      <c r="A67" s="126" t="s">
        <v>195</v>
      </c>
      <c r="B67" t="e">
        <f>_xlfn.XLOOKUP(A67,#REF!,#REF!,"",0,1)</f>
        <v>#REF!</v>
      </c>
      <c r="D67" s="126" t="s">
        <v>195</v>
      </c>
      <c r="F67" t="s">
        <v>194</v>
      </c>
    </row>
    <row r="68" spans="1:6" hidden="1" x14ac:dyDescent="0.25">
      <c r="A68" s="126" t="s">
        <v>196</v>
      </c>
      <c r="B68" t="e">
        <f>_xlfn.XLOOKUP(A68,#REF!,#REF!,"",0,1)</f>
        <v>#REF!</v>
      </c>
      <c r="D68" s="127" t="s">
        <v>196</v>
      </c>
      <c r="F68" t="s">
        <v>195</v>
      </c>
    </row>
    <row r="69" spans="1:6" hidden="1" x14ac:dyDescent="0.25">
      <c r="A69" s="126" t="s">
        <v>197</v>
      </c>
      <c r="B69" t="e">
        <f>_xlfn.XLOOKUP(A69,#REF!,#REF!,"",0,1)</f>
        <v>#REF!</v>
      </c>
      <c r="D69" s="126" t="s">
        <v>197</v>
      </c>
      <c r="F69" t="s">
        <v>196</v>
      </c>
    </row>
    <row r="70" spans="1:6" hidden="1" x14ac:dyDescent="0.25">
      <c r="A70" s="126" t="s">
        <v>198</v>
      </c>
      <c r="B70" t="e">
        <f>_xlfn.XLOOKUP(A70,#REF!,#REF!,"",0,1)</f>
        <v>#REF!</v>
      </c>
      <c r="D70" s="127" t="s">
        <v>198</v>
      </c>
      <c r="F70" t="s">
        <v>197</v>
      </c>
    </row>
    <row r="71" spans="1:6" hidden="1" x14ac:dyDescent="0.25">
      <c r="A71" s="126" t="s">
        <v>199</v>
      </c>
      <c r="B71" t="e">
        <f>_xlfn.XLOOKUP(A71,#REF!,#REF!,"",0,1)</f>
        <v>#REF!</v>
      </c>
      <c r="D71" s="126" t="s">
        <v>199</v>
      </c>
      <c r="F71" t="s">
        <v>198</v>
      </c>
    </row>
    <row r="72" spans="1:6" hidden="1" x14ac:dyDescent="0.25">
      <c r="A72" s="126" t="s">
        <v>200</v>
      </c>
      <c r="B72" t="e">
        <f>_xlfn.XLOOKUP(A72,#REF!,#REF!,"",0,1)</f>
        <v>#REF!</v>
      </c>
      <c r="D72" s="127" t="s">
        <v>200</v>
      </c>
      <c r="F72" t="s">
        <v>199</v>
      </c>
    </row>
    <row r="73" spans="1:6" hidden="1" x14ac:dyDescent="0.25">
      <c r="A73" s="126" t="s">
        <v>201</v>
      </c>
      <c r="B73" t="e">
        <f>_xlfn.XLOOKUP(A73,#REF!,#REF!,"",0,1)</f>
        <v>#REF!</v>
      </c>
      <c r="D73" s="126" t="s">
        <v>201</v>
      </c>
      <c r="F73" t="s">
        <v>200</v>
      </c>
    </row>
    <row r="74" spans="1:6" hidden="1" x14ac:dyDescent="0.25">
      <c r="A74" s="126" t="s">
        <v>202</v>
      </c>
      <c r="B74" t="e">
        <f>_xlfn.XLOOKUP(A74,#REF!,#REF!,"",0,1)</f>
        <v>#REF!</v>
      </c>
      <c r="D74" s="127" t="s">
        <v>202</v>
      </c>
      <c r="F74" t="s">
        <v>201</v>
      </c>
    </row>
    <row r="75" spans="1:6" hidden="1" x14ac:dyDescent="0.25">
      <c r="A75" s="126" t="s">
        <v>203</v>
      </c>
      <c r="B75" t="e">
        <f>_xlfn.XLOOKUP(A75,#REF!,#REF!,"",0,1)</f>
        <v>#REF!</v>
      </c>
      <c r="D75" s="126" t="s">
        <v>203</v>
      </c>
      <c r="F75" t="s">
        <v>202</v>
      </c>
    </row>
    <row r="76" spans="1:6" hidden="1" x14ac:dyDescent="0.25">
      <c r="A76" s="126" t="s">
        <v>204</v>
      </c>
      <c r="B76" t="e">
        <f>_xlfn.XLOOKUP(A76,#REF!,#REF!,"",0,1)</f>
        <v>#REF!</v>
      </c>
      <c r="D76" s="127" t="s">
        <v>204</v>
      </c>
      <c r="F76" t="s">
        <v>203</v>
      </c>
    </row>
    <row r="77" spans="1:6" hidden="1" x14ac:dyDescent="0.25">
      <c r="A77" s="126" t="s">
        <v>205</v>
      </c>
      <c r="B77" t="e">
        <f>_xlfn.XLOOKUP(A77,#REF!,#REF!,"",0,1)</f>
        <v>#REF!</v>
      </c>
      <c r="D77" s="126" t="s">
        <v>205</v>
      </c>
      <c r="F77" t="s">
        <v>204</v>
      </c>
    </row>
    <row r="78" spans="1:6" hidden="1" x14ac:dyDescent="0.25">
      <c r="A78" s="126" t="s">
        <v>206</v>
      </c>
      <c r="B78" t="e">
        <f>_xlfn.XLOOKUP(A78,#REF!,#REF!,"",0,1)</f>
        <v>#REF!</v>
      </c>
      <c r="D78" s="127" t="s">
        <v>206</v>
      </c>
      <c r="F78" t="s">
        <v>205</v>
      </c>
    </row>
    <row r="79" spans="1:6" hidden="1" x14ac:dyDescent="0.25">
      <c r="A79" s="126" t="s">
        <v>207</v>
      </c>
      <c r="B79" t="e">
        <f>_xlfn.XLOOKUP(A79,#REF!,#REF!,"",0,1)</f>
        <v>#REF!</v>
      </c>
      <c r="D79" s="126" t="s">
        <v>207</v>
      </c>
      <c r="F79" t="s">
        <v>206</v>
      </c>
    </row>
    <row r="80" spans="1:6" x14ac:dyDescent="0.25">
      <c r="A80" s="126" t="s">
        <v>208</v>
      </c>
      <c r="B80" t="e">
        <f>_xlfn.XLOOKUP(A80,#REF!,#REF!,"",0,1)</f>
        <v>#REF!</v>
      </c>
      <c r="D80" s="127" t="s">
        <v>208</v>
      </c>
      <c r="F80" t="s">
        <v>207</v>
      </c>
    </row>
    <row r="81" spans="1:6" x14ac:dyDescent="0.25">
      <c r="A81" s="126" t="s">
        <v>209</v>
      </c>
      <c r="B81" t="e">
        <f>_xlfn.XLOOKUP(A81,#REF!,#REF!,"",0,1)</f>
        <v>#REF!</v>
      </c>
      <c r="D81" s="126" t="s">
        <v>209</v>
      </c>
      <c r="F81" t="s">
        <v>207</v>
      </c>
    </row>
    <row r="82" spans="1:6" x14ac:dyDescent="0.25">
      <c r="A82" s="126" t="s">
        <v>210</v>
      </c>
      <c r="B82" t="e">
        <f>_xlfn.XLOOKUP(A82,#REF!,#REF!,"",0,1)</f>
        <v>#REF!</v>
      </c>
      <c r="D82" s="127" t="s">
        <v>210</v>
      </c>
      <c r="F82" t="s">
        <v>207</v>
      </c>
    </row>
    <row r="83" spans="1:6" hidden="1" x14ac:dyDescent="0.25">
      <c r="A83" s="126" t="s">
        <v>211</v>
      </c>
      <c r="B83" t="e">
        <f>_xlfn.XLOOKUP(A83,#REF!,#REF!,"",0,1)</f>
        <v>#REF!</v>
      </c>
      <c r="D83" s="126" t="s">
        <v>211</v>
      </c>
      <c r="F83" t="s">
        <v>208</v>
      </c>
    </row>
    <row r="84" spans="1:6" hidden="1" x14ac:dyDescent="0.25">
      <c r="A84" s="126" t="s">
        <v>212</v>
      </c>
      <c r="B84" t="e">
        <f>_xlfn.XLOOKUP(A84,#REF!,#REF!,"",0,1)</f>
        <v>#REF!</v>
      </c>
      <c r="D84" s="127" t="s">
        <v>212</v>
      </c>
      <c r="F84" t="s">
        <v>209</v>
      </c>
    </row>
    <row r="85" spans="1:6" hidden="1" x14ac:dyDescent="0.25">
      <c r="A85" s="126" t="s">
        <v>213</v>
      </c>
      <c r="B85" t="e">
        <f>_xlfn.XLOOKUP(A85,#REF!,#REF!,"",0,1)</f>
        <v>#REF!</v>
      </c>
      <c r="D85" s="126" t="s">
        <v>213</v>
      </c>
      <c r="F85" t="s">
        <v>210</v>
      </c>
    </row>
    <row r="86" spans="1:6" hidden="1" x14ac:dyDescent="0.25">
      <c r="A86" s="126" t="s">
        <v>214</v>
      </c>
      <c r="B86" t="e">
        <f>_xlfn.XLOOKUP(A86,#REF!,#REF!,"",0,1)</f>
        <v>#REF!</v>
      </c>
      <c r="D86" s="127" t="s">
        <v>214</v>
      </c>
      <c r="F86" t="s">
        <v>211</v>
      </c>
    </row>
    <row r="87" spans="1:6" hidden="1" x14ac:dyDescent="0.25">
      <c r="A87" s="126" t="s">
        <v>215</v>
      </c>
      <c r="B87" t="e">
        <f>_xlfn.XLOOKUP(A87,#REF!,#REF!,"",0,1)</f>
        <v>#REF!</v>
      </c>
      <c r="D87" s="126" t="s">
        <v>215</v>
      </c>
      <c r="F87" t="s">
        <v>212</v>
      </c>
    </row>
    <row r="88" spans="1:6" hidden="1" x14ac:dyDescent="0.25">
      <c r="A88" s="126" t="s">
        <v>216</v>
      </c>
      <c r="B88" t="e">
        <f>_xlfn.XLOOKUP(A88,#REF!,#REF!,"",0,1)</f>
        <v>#REF!</v>
      </c>
      <c r="D88" s="127" t="s">
        <v>216</v>
      </c>
      <c r="F88" t="s">
        <v>213</v>
      </c>
    </row>
    <row r="89" spans="1:6" hidden="1" x14ac:dyDescent="0.25">
      <c r="A89" s="126" t="s">
        <v>217</v>
      </c>
      <c r="B89" t="e">
        <f>_xlfn.XLOOKUP(A89,#REF!,#REF!,"",0,1)</f>
        <v>#REF!</v>
      </c>
      <c r="D89" s="126" t="s">
        <v>217</v>
      </c>
      <c r="F89" t="s">
        <v>214</v>
      </c>
    </row>
    <row r="90" spans="1:6" hidden="1" x14ac:dyDescent="0.25">
      <c r="A90" s="126" t="s">
        <v>218</v>
      </c>
      <c r="B90" t="e">
        <f>_xlfn.XLOOKUP(A90,#REF!,#REF!,"",0,1)</f>
        <v>#REF!</v>
      </c>
      <c r="D90" s="127" t="s">
        <v>218</v>
      </c>
      <c r="F90" t="s">
        <v>215</v>
      </c>
    </row>
    <row r="91" spans="1:6" hidden="1" x14ac:dyDescent="0.25">
      <c r="A91" s="126" t="s">
        <v>219</v>
      </c>
      <c r="B91" t="e">
        <f>_xlfn.XLOOKUP(A91,#REF!,#REF!,"",0,1)</f>
        <v>#REF!</v>
      </c>
      <c r="D91" s="126" t="s">
        <v>219</v>
      </c>
      <c r="F91" t="s">
        <v>216</v>
      </c>
    </row>
    <row r="92" spans="1:6" hidden="1" x14ac:dyDescent="0.25">
      <c r="A92" s="126" t="s">
        <v>220</v>
      </c>
      <c r="B92" t="e">
        <f>_xlfn.XLOOKUP(A92,#REF!,#REF!,"",0,1)</f>
        <v>#REF!</v>
      </c>
      <c r="D92" s="127" t="s">
        <v>220</v>
      </c>
      <c r="F92" t="s">
        <v>217</v>
      </c>
    </row>
    <row r="93" spans="1:6" hidden="1" x14ac:dyDescent="0.25">
      <c r="A93" s="126" t="s">
        <v>221</v>
      </c>
      <c r="B93" t="e">
        <f>_xlfn.XLOOKUP(A93,#REF!,#REF!,"",0,1)</f>
        <v>#REF!</v>
      </c>
      <c r="D93" s="126" t="s">
        <v>221</v>
      </c>
      <c r="F93" t="s">
        <v>218</v>
      </c>
    </row>
    <row r="94" spans="1:6" hidden="1" x14ac:dyDescent="0.25">
      <c r="A94" s="126" t="s">
        <v>222</v>
      </c>
      <c r="B94" t="e">
        <f>_xlfn.XLOOKUP(A94,#REF!,#REF!,"",0,1)</f>
        <v>#REF!</v>
      </c>
      <c r="D94" s="127" t="s">
        <v>222</v>
      </c>
      <c r="F94" t="s">
        <v>219</v>
      </c>
    </row>
    <row r="95" spans="1:6" hidden="1" x14ac:dyDescent="0.25">
      <c r="A95" s="126" t="s">
        <v>223</v>
      </c>
      <c r="B95" t="e">
        <f>_xlfn.XLOOKUP(A95,#REF!,#REF!,"",0,1)</f>
        <v>#REF!</v>
      </c>
      <c r="D95" s="126" t="s">
        <v>223</v>
      </c>
      <c r="F95" t="s">
        <v>220</v>
      </c>
    </row>
    <row r="96" spans="1:6" hidden="1" x14ac:dyDescent="0.25">
      <c r="A96" s="126" t="s">
        <v>224</v>
      </c>
      <c r="B96" t="e">
        <f>_xlfn.XLOOKUP(A96,#REF!,#REF!,"",0,1)</f>
        <v>#REF!</v>
      </c>
      <c r="D96" s="127" t="s">
        <v>224</v>
      </c>
      <c r="F96" t="s">
        <v>221</v>
      </c>
    </row>
    <row r="97" spans="1:6" hidden="1" x14ac:dyDescent="0.25">
      <c r="A97" s="126" t="s">
        <v>225</v>
      </c>
      <c r="B97" t="e">
        <f>_xlfn.XLOOKUP(A97,#REF!,#REF!,"",0,1)</f>
        <v>#REF!</v>
      </c>
      <c r="D97" s="127" t="s">
        <v>225</v>
      </c>
      <c r="F97" t="s">
        <v>222</v>
      </c>
    </row>
    <row r="98" spans="1:6" hidden="1" x14ac:dyDescent="0.25">
      <c r="A98" s="126" t="s">
        <v>226</v>
      </c>
      <c r="B98" t="e">
        <f>_xlfn.XLOOKUP(A98,#REF!,#REF!,"",0,1)</f>
        <v>#REF!</v>
      </c>
      <c r="D98" s="126" t="s">
        <v>226</v>
      </c>
      <c r="F98" t="s">
        <v>223</v>
      </c>
    </row>
    <row r="99" spans="1:6" x14ac:dyDescent="0.25">
      <c r="A99" s="126" t="s">
        <v>227</v>
      </c>
      <c r="B99" t="e">
        <f>_xlfn.XLOOKUP(A99,#REF!,#REF!,"",0,1)</f>
        <v>#REF!</v>
      </c>
      <c r="D99" s="126" t="s">
        <v>227</v>
      </c>
      <c r="F99" t="s">
        <v>224</v>
      </c>
    </row>
    <row r="100" spans="1:6" x14ac:dyDescent="0.25">
      <c r="A100" s="126" t="s">
        <v>228</v>
      </c>
      <c r="B100" t="e">
        <f>_xlfn.XLOOKUP(A100,#REF!,#REF!,"",0,1)</f>
        <v>#REF!</v>
      </c>
      <c r="D100" s="127" t="s">
        <v>228</v>
      </c>
      <c r="F100" t="s">
        <v>224</v>
      </c>
    </row>
    <row r="101" spans="1:6" hidden="1" x14ac:dyDescent="0.25">
      <c r="A101" s="126" t="s">
        <v>229</v>
      </c>
      <c r="B101" t="e">
        <f>_xlfn.XLOOKUP(A101,#REF!,#REF!,"",0,1)</f>
        <v>#REF!</v>
      </c>
      <c r="D101" s="126" t="s">
        <v>229</v>
      </c>
      <c r="F101" t="s">
        <v>225</v>
      </c>
    </row>
    <row r="102" spans="1:6" x14ac:dyDescent="0.25">
      <c r="A102" s="126" t="s">
        <v>230</v>
      </c>
      <c r="B102" t="e">
        <f>_xlfn.XLOOKUP(A102,#REF!,#REF!,"",0,1)</f>
        <v>#REF!</v>
      </c>
      <c r="D102" s="127" t="s">
        <v>230</v>
      </c>
      <c r="F102" t="s">
        <v>226</v>
      </c>
    </row>
    <row r="103" spans="1:6" x14ac:dyDescent="0.25">
      <c r="A103" s="126" t="s">
        <v>231</v>
      </c>
      <c r="B103" t="e">
        <f>_xlfn.XLOOKUP(A103,#REF!,#REF!,"",0,1)</f>
        <v>#REF!</v>
      </c>
      <c r="D103" s="126" t="s">
        <v>231</v>
      </c>
      <c r="F103" t="s">
        <v>226</v>
      </c>
    </row>
    <row r="104" spans="1:6" hidden="1" x14ac:dyDescent="0.25">
      <c r="A104" s="126" t="s">
        <v>232</v>
      </c>
      <c r="B104" t="e">
        <f>_xlfn.XLOOKUP(A104,#REF!,#REF!,"",0,1)</f>
        <v>#REF!</v>
      </c>
      <c r="D104" s="127" t="s">
        <v>232</v>
      </c>
      <c r="F104" t="s">
        <v>227</v>
      </c>
    </row>
    <row r="105" spans="1:6" hidden="1" x14ac:dyDescent="0.25">
      <c r="A105" s="126" t="s">
        <v>233</v>
      </c>
      <c r="B105" t="e">
        <f>_xlfn.XLOOKUP(A105,#REF!,#REF!,"",0,1)</f>
        <v>#REF!</v>
      </c>
      <c r="D105" s="126" t="s">
        <v>233</v>
      </c>
      <c r="F105" t="s">
        <v>228</v>
      </c>
    </row>
    <row r="106" spans="1:6" hidden="1" x14ac:dyDescent="0.25">
      <c r="A106" s="126" t="s">
        <v>234</v>
      </c>
      <c r="B106" t="e">
        <f>_xlfn.XLOOKUP(A106,#REF!,#REF!,"",0,1)</f>
        <v>#REF!</v>
      </c>
      <c r="D106" s="127" t="s">
        <v>234</v>
      </c>
      <c r="F106" t="s">
        <v>229</v>
      </c>
    </row>
    <row r="107" spans="1:6" hidden="1" x14ac:dyDescent="0.25">
      <c r="A107" s="126" t="s">
        <v>235</v>
      </c>
      <c r="B107" t="e">
        <f>_xlfn.XLOOKUP(A107,#REF!,#REF!,"",0,1)</f>
        <v>#REF!</v>
      </c>
      <c r="D107" s="126" t="s">
        <v>235</v>
      </c>
      <c r="F107" t="s">
        <v>230</v>
      </c>
    </row>
    <row r="108" spans="1:6" hidden="1" x14ac:dyDescent="0.25">
      <c r="A108" s="126" t="s">
        <v>236</v>
      </c>
      <c r="B108" t="e">
        <f>_xlfn.XLOOKUP(A108,#REF!,#REF!,"",0,1)</f>
        <v>#REF!</v>
      </c>
      <c r="D108" s="127" t="s">
        <v>236</v>
      </c>
      <c r="F108" t="s">
        <v>231</v>
      </c>
    </row>
    <row r="109" spans="1:6" hidden="1" x14ac:dyDescent="0.25">
      <c r="A109" s="126" t="s">
        <v>237</v>
      </c>
      <c r="B109" t="e">
        <f>_xlfn.XLOOKUP(A109,#REF!,#REF!,"",0,1)</f>
        <v>#REF!</v>
      </c>
      <c r="D109" s="126" t="s">
        <v>237</v>
      </c>
      <c r="F109" t="s">
        <v>232</v>
      </c>
    </row>
    <row r="110" spans="1:6" hidden="1" x14ac:dyDescent="0.25">
      <c r="A110" s="126" t="s">
        <v>238</v>
      </c>
      <c r="B110" t="e">
        <f>_xlfn.XLOOKUP(A110,#REF!,#REF!,"",0,1)</f>
        <v>#REF!</v>
      </c>
      <c r="D110" s="127" t="s">
        <v>238</v>
      </c>
      <c r="F110" t="s">
        <v>233</v>
      </c>
    </row>
    <row r="111" spans="1:6" hidden="1" x14ac:dyDescent="0.25">
      <c r="A111" s="126" t="s">
        <v>239</v>
      </c>
      <c r="B111" t="e">
        <f>_xlfn.XLOOKUP(A111,#REF!,#REF!,"",0,1)</f>
        <v>#REF!</v>
      </c>
      <c r="D111" s="126" t="s">
        <v>239</v>
      </c>
      <c r="F111" t="s">
        <v>234</v>
      </c>
    </row>
    <row r="112" spans="1:6" hidden="1" x14ac:dyDescent="0.25">
      <c r="A112" s="126" t="s">
        <v>240</v>
      </c>
      <c r="B112" t="e">
        <f>_xlfn.XLOOKUP(A112,#REF!,#REF!,"",0,1)</f>
        <v>#REF!</v>
      </c>
      <c r="D112" s="127" t="s">
        <v>240</v>
      </c>
      <c r="F112" t="s">
        <v>235</v>
      </c>
    </row>
    <row r="113" spans="1:6" hidden="1" x14ac:dyDescent="0.25">
      <c r="A113" s="126" t="s">
        <v>241</v>
      </c>
      <c r="B113" t="e">
        <f>_xlfn.XLOOKUP(A113,#REF!,#REF!,"",0,1)</f>
        <v>#REF!</v>
      </c>
      <c r="D113" s="126" t="s">
        <v>241</v>
      </c>
      <c r="F113" t="s">
        <v>236</v>
      </c>
    </row>
    <row r="114" spans="1:6" hidden="1" x14ac:dyDescent="0.25">
      <c r="A114" s="126" t="s">
        <v>242</v>
      </c>
      <c r="B114" t="e">
        <f>_xlfn.XLOOKUP(A114,#REF!,#REF!,"",0,1)</f>
        <v>#REF!</v>
      </c>
      <c r="D114" s="127" t="s">
        <v>242</v>
      </c>
      <c r="F114" t="s">
        <v>237</v>
      </c>
    </row>
    <row r="115" spans="1:6" hidden="1" x14ac:dyDescent="0.25">
      <c r="A115" s="126" t="s">
        <v>243</v>
      </c>
      <c r="B115" t="e">
        <f>_xlfn.XLOOKUP(A115,#REF!,#REF!,"",0,1)</f>
        <v>#REF!</v>
      </c>
      <c r="D115" s="126" t="s">
        <v>243</v>
      </c>
      <c r="F115" t="s">
        <v>238</v>
      </c>
    </row>
    <row r="116" spans="1:6" hidden="1" x14ac:dyDescent="0.25">
      <c r="A116" s="126" t="s">
        <v>244</v>
      </c>
      <c r="B116" t="e">
        <f>_xlfn.XLOOKUP(A116,#REF!,#REF!,"",0,1)</f>
        <v>#REF!</v>
      </c>
      <c r="D116" s="127" t="s">
        <v>244</v>
      </c>
      <c r="F116" t="s">
        <v>239</v>
      </c>
    </row>
    <row r="117" spans="1:6" hidden="1" x14ac:dyDescent="0.25">
      <c r="A117" s="126" t="s">
        <v>245</v>
      </c>
      <c r="B117" t="e">
        <f>_xlfn.XLOOKUP(A117,#REF!,#REF!,"",0,1)</f>
        <v>#REF!</v>
      </c>
      <c r="D117" s="126" t="s">
        <v>245</v>
      </c>
      <c r="F117" t="s">
        <v>240</v>
      </c>
    </row>
    <row r="118" spans="1:6" hidden="1" x14ac:dyDescent="0.25">
      <c r="A118" s="126" t="s">
        <v>246</v>
      </c>
      <c r="B118" t="e">
        <f>_xlfn.XLOOKUP(A118,#REF!,#REF!,"",0,1)</f>
        <v>#REF!</v>
      </c>
      <c r="D118" s="127" t="s">
        <v>246</v>
      </c>
      <c r="F118" t="s">
        <v>241</v>
      </c>
    </row>
    <row r="119" spans="1:6" hidden="1" x14ac:dyDescent="0.25">
      <c r="A119" s="126" t="s">
        <v>247</v>
      </c>
      <c r="B119" t="e">
        <f>_xlfn.XLOOKUP(A119,#REF!,#REF!,"",0,1)</f>
        <v>#REF!</v>
      </c>
      <c r="D119" s="126" t="s">
        <v>247</v>
      </c>
      <c r="F119" t="s">
        <v>242</v>
      </c>
    </row>
    <row r="120" spans="1:6" hidden="1" x14ac:dyDescent="0.25">
      <c r="A120" s="126" t="s">
        <v>248</v>
      </c>
      <c r="B120" t="e">
        <f>_xlfn.XLOOKUP(A120,#REF!,#REF!,"",0,1)</f>
        <v>#REF!</v>
      </c>
      <c r="D120" s="127" t="s">
        <v>248</v>
      </c>
      <c r="F120" t="s">
        <v>243</v>
      </c>
    </row>
    <row r="121" spans="1:6" hidden="1" x14ac:dyDescent="0.25">
      <c r="A121" s="126" t="s">
        <v>249</v>
      </c>
      <c r="B121" t="e">
        <f>_xlfn.XLOOKUP(A121,#REF!,#REF!,"",0,1)</f>
        <v>#REF!</v>
      </c>
      <c r="D121" s="126" t="s">
        <v>249</v>
      </c>
      <c r="F121" t="s">
        <v>244</v>
      </c>
    </row>
    <row r="122" spans="1:6" hidden="1" x14ac:dyDescent="0.25">
      <c r="A122" s="126" t="s">
        <v>250</v>
      </c>
      <c r="B122" t="e">
        <f>_xlfn.XLOOKUP(A122,#REF!,#REF!,"",0,1)</f>
        <v>#REF!</v>
      </c>
      <c r="D122" s="127" t="s">
        <v>250</v>
      </c>
      <c r="F122" t="s">
        <v>245</v>
      </c>
    </row>
    <row r="123" spans="1:6" hidden="1" x14ac:dyDescent="0.25">
      <c r="A123" s="126" t="s">
        <v>251</v>
      </c>
      <c r="B123" t="e">
        <f>_xlfn.XLOOKUP(A123,#REF!,#REF!,"",0,1)</f>
        <v>#REF!</v>
      </c>
      <c r="D123" s="126" t="s">
        <v>251</v>
      </c>
      <c r="F123" t="s">
        <v>246</v>
      </c>
    </row>
    <row r="124" spans="1:6" hidden="1" x14ac:dyDescent="0.25">
      <c r="A124" s="126" t="s">
        <v>252</v>
      </c>
      <c r="B124" t="e">
        <f>_xlfn.XLOOKUP(A124,#REF!,#REF!,"",0,1)</f>
        <v>#REF!</v>
      </c>
      <c r="D124" s="127" t="s">
        <v>252</v>
      </c>
      <c r="F124" t="s">
        <v>247</v>
      </c>
    </row>
    <row r="125" spans="1:6" hidden="1" x14ac:dyDescent="0.25">
      <c r="A125" s="126" t="s">
        <v>253</v>
      </c>
      <c r="B125" t="e">
        <f>_xlfn.XLOOKUP(A125,#REF!,#REF!,"",0,1)</f>
        <v>#REF!</v>
      </c>
      <c r="D125" s="126" t="s">
        <v>253</v>
      </c>
      <c r="F125" t="s">
        <v>248</v>
      </c>
    </row>
    <row r="126" spans="1:6" hidden="1" x14ac:dyDescent="0.25">
      <c r="A126" s="126" t="s">
        <v>254</v>
      </c>
      <c r="B126" t="e">
        <f>_xlfn.XLOOKUP(A126,#REF!,#REF!,"",0,1)</f>
        <v>#REF!</v>
      </c>
      <c r="D126" s="126" t="s">
        <v>254</v>
      </c>
      <c r="F126" t="s">
        <v>249</v>
      </c>
    </row>
    <row r="127" spans="1:6" hidden="1" x14ac:dyDescent="0.25">
      <c r="A127" s="126" t="s">
        <v>255</v>
      </c>
      <c r="B127" t="e">
        <f>_xlfn.XLOOKUP(A127,#REF!,#REF!,"",0,1)</f>
        <v>#REF!</v>
      </c>
      <c r="D127" s="127" t="s">
        <v>255</v>
      </c>
      <c r="F127" t="s">
        <v>250</v>
      </c>
    </row>
    <row r="128" spans="1:6" hidden="1" x14ac:dyDescent="0.25">
      <c r="A128" s="126" t="s">
        <v>256</v>
      </c>
      <c r="B128" t="e">
        <f>_xlfn.XLOOKUP(A128,#REF!,#REF!,"",0,1)</f>
        <v>#REF!</v>
      </c>
      <c r="D128" s="126" t="s">
        <v>256</v>
      </c>
      <c r="F128" t="s">
        <v>251</v>
      </c>
    </row>
    <row r="129" spans="1:6" hidden="1" x14ac:dyDescent="0.25">
      <c r="A129" s="126" t="s">
        <v>257</v>
      </c>
      <c r="B129" t="e">
        <f>_xlfn.XLOOKUP(A129,#REF!,#REF!,"",0,1)</f>
        <v>#REF!</v>
      </c>
      <c r="D129" s="127" t="s">
        <v>257</v>
      </c>
      <c r="F129" t="s">
        <v>252</v>
      </c>
    </row>
    <row r="130" spans="1:6" x14ac:dyDescent="0.25">
      <c r="A130" s="126" t="s">
        <v>258</v>
      </c>
      <c r="B130" t="e">
        <f>_xlfn.XLOOKUP(A130,#REF!,#REF!,"",0,1)</f>
        <v>#REF!</v>
      </c>
      <c r="D130" s="126" t="s">
        <v>258</v>
      </c>
      <c r="F130" t="s">
        <v>253</v>
      </c>
    </row>
    <row r="131" spans="1:6" x14ac:dyDescent="0.25">
      <c r="A131" s="126" t="s">
        <v>259</v>
      </c>
      <c r="B131" t="e">
        <f>_xlfn.XLOOKUP(A131,#REF!,#REF!,"",0,1)</f>
        <v>#REF!</v>
      </c>
      <c r="D131" s="127" t="s">
        <v>259</v>
      </c>
      <c r="F131" t="s">
        <v>253</v>
      </c>
    </row>
    <row r="132" spans="1:6" hidden="1" x14ac:dyDescent="0.25">
      <c r="A132" s="126" t="s">
        <v>260</v>
      </c>
      <c r="B132" t="e">
        <f>_xlfn.XLOOKUP(A132,#REF!,#REF!,"",0,1)</f>
        <v>#REF!</v>
      </c>
      <c r="D132" s="126" t="s">
        <v>260</v>
      </c>
      <c r="F132" t="s">
        <v>254</v>
      </c>
    </row>
    <row r="133" spans="1:6" hidden="1" x14ac:dyDescent="0.25">
      <c r="A133" s="126" t="s">
        <v>261</v>
      </c>
      <c r="B133" t="e">
        <f>_xlfn.XLOOKUP(A133,#REF!,#REF!,"",0,1)</f>
        <v>#REF!</v>
      </c>
      <c r="D133" s="127" t="s">
        <v>261</v>
      </c>
      <c r="F133" t="s">
        <v>255</v>
      </c>
    </row>
    <row r="134" spans="1:6" hidden="1" x14ac:dyDescent="0.25">
      <c r="A134" s="126" t="s">
        <v>262</v>
      </c>
      <c r="B134" t="e">
        <f>_xlfn.XLOOKUP(A134,#REF!,#REF!,"",0,1)</f>
        <v>#REF!</v>
      </c>
      <c r="D134" s="126" t="s">
        <v>262</v>
      </c>
      <c r="F134" t="s">
        <v>256</v>
      </c>
    </row>
    <row r="135" spans="1:6" hidden="1" x14ac:dyDescent="0.25">
      <c r="A135" s="126" t="s">
        <v>263</v>
      </c>
      <c r="B135" t="e">
        <f>_xlfn.XLOOKUP(A135,#REF!,#REF!,"",0,1)</f>
        <v>#REF!</v>
      </c>
      <c r="D135" s="127" t="s">
        <v>263</v>
      </c>
      <c r="F135" t="s">
        <v>257</v>
      </c>
    </row>
    <row r="136" spans="1:6" hidden="1" x14ac:dyDescent="0.25">
      <c r="A136" s="126" t="s">
        <v>264</v>
      </c>
      <c r="B136" t="e">
        <f>_xlfn.XLOOKUP(A136,#REF!,#REF!,"",0,1)</f>
        <v>#REF!</v>
      </c>
      <c r="D136" s="126" t="s">
        <v>264</v>
      </c>
      <c r="F136" t="s">
        <v>258</v>
      </c>
    </row>
    <row r="137" spans="1:6" hidden="1" x14ac:dyDescent="0.25">
      <c r="A137" s="126" t="s">
        <v>265</v>
      </c>
      <c r="B137" t="e">
        <f>_xlfn.XLOOKUP(A137,#REF!,#REF!,"",0,1)</f>
        <v>#REF!</v>
      </c>
      <c r="D137" s="126" t="s">
        <v>265</v>
      </c>
      <c r="F137" t="s">
        <v>259</v>
      </c>
    </row>
    <row r="138" spans="1:6" hidden="1" x14ac:dyDescent="0.25">
      <c r="A138" s="126" t="s">
        <v>266</v>
      </c>
      <c r="B138" t="e">
        <f>_xlfn.XLOOKUP(A138,#REF!,#REF!,"",0,1)</f>
        <v>#REF!</v>
      </c>
      <c r="D138" s="126" t="s">
        <v>266</v>
      </c>
      <c r="F138" t="s">
        <v>260</v>
      </c>
    </row>
    <row r="139" spans="1:6" hidden="1" x14ac:dyDescent="0.25">
      <c r="A139" s="126" t="s">
        <v>267</v>
      </c>
      <c r="B139" t="e">
        <f>_xlfn.XLOOKUP(A139,#REF!,#REF!,"",0,1)</f>
        <v>#REF!</v>
      </c>
      <c r="D139" s="127" t="s">
        <v>267</v>
      </c>
      <c r="F139" t="s">
        <v>261</v>
      </c>
    </row>
    <row r="140" spans="1:6" hidden="1" x14ac:dyDescent="0.25">
      <c r="A140" s="126" t="s">
        <v>268</v>
      </c>
      <c r="B140" t="e">
        <f>_xlfn.XLOOKUP(A140,#REF!,#REF!,"",0,1)</f>
        <v>#REF!</v>
      </c>
      <c r="D140" s="126" t="s">
        <v>268</v>
      </c>
      <c r="F140" t="s">
        <v>262</v>
      </c>
    </row>
    <row r="141" spans="1:6" hidden="1" x14ac:dyDescent="0.25">
      <c r="A141" s="126" t="s">
        <v>269</v>
      </c>
      <c r="B141" t="e">
        <f>_xlfn.XLOOKUP(A141,#REF!,#REF!,"",0,1)</f>
        <v>#REF!</v>
      </c>
      <c r="D141" s="127" t="s">
        <v>269</v>
      </c>
      <c r="F141" t="s">
        <v>263</v>
      </c>
    </row>
    <row r="142" spans="1:6" x14ac:dyDescent="0.25">
      <c r="A142" s="126" t="s">
        <v>270</v>
      </c>
      <c r="B142" t="e">
        <f>_xlfn.XLOOKUP(A142,#REF!,#REF!,"",0,1)</f>
        <v>#REF!</v>
      </c>
      <c r="D142" s="126" t="s">
        <v>270</v>
      </c>
      <c r="F142" t="s">
        <v>264</v>
      </c>
    </row>
    <row r="143" spans="1:6" x14ac:dyDescent="0.25">
      <c r="A143" s="126" t="s">
        <v>271</v>
      </c>
      <c r="B143" t="e">
        <f>_xlfn.XLOOKUP(A143,#REF!,#REF!,"",0,1)</f>
        <v>#REF!</v>
      </c>
      <c r="D143" s="127" t="s">
        <v>271</v>
      </c>
      <c r="F143" t="s">
        <v>264</v>
      </c>
    </row>
    <row r="144" spans="1:6" x14ac:dyDescent="0.25">
      <c r="A144" s="126" t="s">
        <v>272</v>
      </c>
      <c r="B144" t="e">
        <f>_xlfn.XLOOKUP(A144,#REF!,#REF!,"",0,1)</f>
        <v>#REF!</v>
      </c>
      <c r="D144" s="127" t="s">
        <v>272</v>
      </c>
      <c r="F144" t="s">
        <v>265</v>
      </c>
    </row>
    <row r="145" spans="1:6" x14ac:dyDescent="0.25">
      <c r="A145" s="126" t="s">
        <v>273</v>
      </c>
      <c r="B145" t="e">
        <f>_xlfn.XLOOKUP(A145,#REF!,#REF!,"",0,1)</f>
        <v>#REF!</v>
      </c>
      <c r="D145" s="126" t="s">
        <v>273</v>
      </c>
      <c r="F145" t="s">
        <v>265</v>
      </c>
    </row>
    <row r="146" spans="1:6" hidden="1" x14ac:dyDescent="0.25">
      <c r="A146" s="126" t="s">
        <v>274</v>
      </c>
      <c r="B146" t="e">
        <f>_xlfn.XLOOKUP(A146,#REF!,#REF!,"",0,1)</f>
        <v>#REF!</v>
      </c>
      <c r="D146" s="127" t="s">
        <v>274</v>
      </c>
      <c r="F146" t="s">
        <v>266</v>
      </c>
    </row>
    <row r="147" spans="1:6" hidden="1" x14ac:dyDescent="0.25">
      <c r="A147" s="126" t="s">
        <v>275</v>
      </c>
      <c r="B147" t="e">
        <f>_xlfn.XLOOKUP(A147,#REF!,#REF!,"",0,1)</f>
        <v>#REF!</v>
      </c>
      <c r="D147" s="127" t="s">
        <v>275</v>
      </c>
      <c r="F147" t="s">
        <v>267</v>
      </c>
    </row>
    <row r="148" spans="1:6" hidden="1" x14ac:dyDescent="0.25">
      <c r="A148" s="126" t="s">
        <v>276</v>
      </c>
      <c r="B148" t="e">
        <f>_xlfn.XLOOKUP(A148,#REF!,#REF!,"",0,1)</f>
        <v>#REF!</v>
      </c>
      <c r="D148" s="126" t="s">
        <v>276</v>
      </c>
      <c r="F148" t="s">
        <v>268</v>
      </c>
    </row>
    <row r="149" spans="1:6" hidden="1" x14ac:dyDescent="0.25">
      <c r="A149" s="126" t="s">
        <v>277</v>
      </c>
      <c r="B149" t="e">
        <f>_xlfn.XLOOKUP(A149,#REF!,#REF!,"",0,1)</f>
        <v>#REF!</v>
      </c>
      <c r="D149" s="126" t="s">
        <v>277</v>
      </c>
      <c r="F149" t="s">
        <v>269</v>
      </c>
    </row>
    <row r="150" spans="1:6" hidden="1" x14ac:dyDescent="0.25">
      <c r="A150" s="126" t="s">
        <v>278</v>
      </c>
      <c r="B150" t="e">
        <f>_xlfn.XLOOKUP(A150,#REF!,#REF!,"",0,1)</f>
        <v>#REF!</v>
      </c>
      <c r="D150" s="127" t="s">
        <v>278</v>
      </c>
      <c r="F150" t="s">
        <v>270</v>
      </c>
    </row>
    <row r="151" spans="1:6" x14ac:dyDescent="0.25">
      <c r="A151" s="126" t="s">
        <v>279</v>
      </c>
      <c r="B151" t="e">
        <f>_xlfn.XLOOKUP(A151,#REF!,#REF!,"",0,1)</f>
        <v>#REF!</v>
      </c>
      <c r="D151" s="126" t="s">
        <v>279</v>
      </c>
      <c r="F151" t="s">
        <v>271</v>
      </c>
    </row>
    <row r="152" spans="1:6" x14ac:dyDescent="0.25">
      <c r="A152" s="126" t="s">
        <v>280</v>
      </c>
      <c r="B152" t="e">
        <f>_xlfn.XLOOKUP(A152,#REF!,#REF!,"",0,1)</f>
        <v>#REF!</v>
      </c>
      <c r="D152" s="127" t="s">
        <v>280</v>
      </c>
      <c r="F152" t="s">
        <v>271</v>
      </c>
    </row>
    <row r="153" spans="1:6" hidden="1" x14ac:dyDescent="0.25">
      <c r="A153" s="126" t="s">
        <v>281</v>
      </c>
      <c r="B153" t="e">
        <f>_xlfn.XLOOKUP(A153,#REF!,#REF!,"",0,1)</f>
        <v>#REF!</v>
      </c>
      <c r="D153" s="126" t="s">
        <v>281</v>
      </c>
      <c r="F153" t="s">
        <v>272</v>
      </c>
    </row>
    <row r="154" spans="1:6" hidden="1" x14ac:dyDescent="0.25">
      <c r="A154" s="126" t="s">
        <v>282</v>
      </c>
      <c r="B154" t="e">
        <f>_xlfn.XLOOKUP(A154,#REF!,#REF!,"",0,1)</f>
        <v>#REF!</v>
      </c>
      <c r="D154" s="127" t="s">
        <v>282</v>
      </c>
      <c r="F154" t="s">
        <v>273</v>
      </c>
    </row>
    <row r="155" spans="1:6" x14ac:dyDescent="0.25">
      <c r="A155" s="126" t="s">
        <v>283</v>
      </c>
      <c r="B155" t="e">
        <f>_xlfn.XLOOKUP(A155,#REF!,#REF!,"",0,1)</f>
        <v>#REF!</v>
      </c>
      <c r="D155" s="127" t="s">
        <v>283</v>
      </c>
      <c r="F155" t="s">
        <v>274</v>
      </c>
    </row>
    <row r="156" spans="1:6" x14ac:dyDescent="0.25">
      <c r="A156" s="126" t="s">
        <v>284</v>
      </c>
      <c r="B156" t="e">
        <f>_xlfn.XLOOKUP(A156,#REF!,#REF!,"",0,1)</f>
        <v>#REF!</v>
      </c>
      <c r="D156" s="126" t="s">
        <v>284</v>
      </c>
      <c r="F156" t="s">
        <v>274</v>
      </c>
    </row>
    <row r="157" spans="1:6" hidden="1" x14ac:dyDescent="0.25">
      <c r="A157" s="126" t="s">
        <v>285</v>
      </c>
      <c r="B157" t="e">
        <f>_xlfn.XLOOKUP(A157,#REF!,#REF!,"",0,1)</f>
        <v>#REF!</v>
      </c>
      <c r="D157" s="127" t="s">
        <v>285</v>
      </c>
      <c r="F157" t="s">
        <v>275</v>
      </c>
    </row>
    <row r="158" spans="1:6" x14ac:dyDescent="0.25">
      <c r="A158" s="126" t="s">
        <v>286</v>
      </c>
      <c r="B158" t="e">
        <f>_xlfn.XLOOKUP(A158,#REF!,#REF!,"",0,1)</f>
        <v>#REF!</v>
      </c>
      <c r="D158" s="126" t="s">
        <v>286</v>
      </c>
      <c r="F158" t="s">
        <v>276</v>
      </c>
    </row>
    <row r="159" spans="1:6" x14ac:dyDescent="0.25">
      <c r="A159" s="126" t="s">
        <v>287</v>
      </c>
      <c r="B159" t="e">
        <f>_xlfn.XLOOKUP(A159,#REF!,#REF!,"",0,1)</f>
        <v>#REF!</v>
      </c>
      <c r="D159" s="126" t="s">
        <v>287</v>
      </c>
      <c r="F159" t="s">
        <v>276</v>
      </c>
    </row>
    <row r="160" spans="1:6" hidden="1" x14ac:dyDescent="0.25">
      <c r="A160" s="126" t="s">
        <v>288</v>
      </c>
      <c r="B160" t="e">
        <f>_xlfn.XLOOKUP(A160,#REF!,#REF!,"",0,1)</f>
        <v>#REF!</v>
      </c>
      <c r="D160" s="127" t="s">
        <v>288</v>
      </c>
      <c r="F160" t="s">
        <v>277</v>
      </c>
    </row>
    <row r="161" spans="1:6" hidden="1" x14ac:dyDescent="0.25">
      <c r="A161" s="126" t="s">
        <v>289</v>
      </c>
      <c r="B161" t="e">
        <f>_xlfn.XLOOKUP(A161,#REF!,#REF!,"",0,1)</f>
        <v>#REF!</v>
      </c>
      <c r="D161" s="126" t="s">
        <v>289</v>
      </c>
      <c r="F161" t="s">
        <v>278</v>
      </c>
    </row>
    <row r="162" spans="1:6" hidden="1" x14ac:dyDescent="0.25">
      <c r="A162" s="126" t="s">
        <v>290</v>
      </c>
      <c r="B162" t="e">
        <f>_xlfn.XLOOKUP(A162,#REF!,#REF!,"",0,1)</f>
        <v>#REF!</v>
      </c>
      <c r="D162" s="127" t="s">
        <v>290</v>
      </c>
      <c r="F162" t="s">
        <v>279</v>
      </c>
    </row>
    <row r="163" spans="1:6" hidden="1" x14ac:dyDescent="0.25">
      <c r="A163" s="126" t="s">
        <v>291</v>
      </c>
      <c r="B163" t="e">
        <f>_xlfn.XLOOKUP(A163,#REF!,#REF!,"",0,1)</f>
        <v>#REF!</v>
      </c>
      <c r="D163" s="126" t="s">
        <v>291</v>
      </c>
      <c r="F163" t="s">
        <v>280</v>
      </c>
    </row>
    <row r="164" spans="1:6" hidden="1" x14ac:dyDescent="0.25">
      <c r="A164" s="126" t="s">
        <v>292</v>
      </c>
      <c r="B164" t="e">
        <f>_xlfn.XLOOKUP(A164,#REF!,#REF!,"",0,1)</f>
        <v>#REF!</v>
      </c>
      <c r="D164" s="127" t="s">
        <v>292</v>
      </c>
      <c r="F164" t="s">
        <v>281</v>
      </c>
    </row>
    <row r="165" spans="1:6" x14ac:dyDescent="0.25">
      <c r="A165" s="126" t="s">
        <v>293</v>
      </c>
      <c r="B165" t="e">
        <f>_xlfn.XLOOKUP(A165,#REF!,#REF!,"",0,1)</f>
        <v>#REF!</v>
      </c>
      <c r="D165" s="126" t="s">
        <v>293</v>
      </c>
      <c r="F165" t="s">
        <v>282</v>
      </c>
    </row>
    <row r="166" spans="1:6" x14ac:dyDescent="0.25">
      <c r="A166" s="126" t="s">
        <v>294</v>
      </c>
      <c r="B166" t="e">
        <f>_xlfn.XLOOKUP(A166,#REF!,#REF!,"",0,1)</f>
        <v>#REF!</v>
      </c>
      <c r="D166" s="127" t="s">
        <v>294</v>
      </c>
      <c r="F166" t="s">
        <v>282</v>
      </c>
    </row>
    <row r="167" spans="1:6" hidden="1" x14ac:dyDescent="0.25">
      <c r="A167" s="126" t="s">
        <v>295</v>
      </c>
      <c r="B167" t="e">
        <f>_xlfn.XLOOKUP(A167,#REF!,#REF!,"",0,1)</f>
        <v>#REF!</v>
      </c>
      <c r="D167" s="126" t="s">
        <v>295</v>
      </c>
      <c r="F167" t="s">
        <v>283</v>
      </c>
    </row>
    <row r="168" spans="1:6" hidden="1" x14ac:dyDescent="0.25">
      <c r="A168" s="126" t="s">
        <v>296</v>
      </c>
      <c r="B168" t="e">
        <f>_xlfn.XLOOKUP(A168,#REF!,#REF!,"",0,1)</f>
        <v>#REF!</v>
      </c>
      <c r="D168" s="127" t="s">
        <v>296</v>
      </c>
      <c r="F168" t="s">
        <v>284</v>
      </c>
    </row>
    <row r="169" spans="1:6" hidden="1" x14ac:dyDescent="0.25">
      <c r="A169" s="126" t="s">
        <v>297</v>
      </c>
      <c r="B169" t="e">
        <f>_xlfn.XLOOKUP(A169,#REF!,#REF!,"",0,1)</f>
        <v>#REF!</v>
      </c>
      <c r="D169" s="126" t="s">
        <v>297</v>
      </c>
      <c r="F169" t="s">
        <v>285</v>
      </c>
    </row>
    <row r="170" spans="1:6" x14ac:dyDescent="0.25">
      <c r="A170" s="126" t="s">
        <v>298</v>
      </c>
      <c r="B170" t="e">
        <f>_xlfn.XLOOKUP(A170,#REF!,#REF!,"",0,1)</f>
        <v>#REF!</v>
      </c>
      <c r="D170" s="127" t="s">
        <v>298</v>
      </c>
      <c r="F170" t="s">
        <v>286</v>
      </c>
    </row>
    <row r="171" spans="1:6" x14ac:dyDescent="0.25">
      <c r="A171" s="126" t="s">
        <v>299</v>
      </c>
      <c r="B171" t="e">
        <f>_xlfn.XLOOKUP(A171,#REF!,#REF!,"",0,1)</f>
        <v>#REF!</v>
      </c>
      <c r="D171" s="126" t="s">
        <v>299</v>
      </c>
      <c r="F171" t="s">
        <v>286</v>
      </c>
    </row>
    <row r="172" spans="1:6" hidden="1" x14ac:dyDescent="0.25">
      <c r="A172" s="126" t="s">
        <v>300</v>
      </c>
      <c r="B172" t="e">
        <f>_xlfn.XLOOKUP(A172,#REF!,#REF!,"",0,1)</f>
        <v>#REF!</v>
      </c>
      <c r="D172" s="127" t="s">
        <v>300</v>
      </c>
      <c r="F172" t="s">
        <v>287</v>
      </c>
    </row>
    <row r="173" spans="1:6" hidden="1" x14ac:dyDescent="0.25">
      <c r="A173" s="126" t="s">
        <v>301</v>
      </c>
      <c r="B173" t="e">
        <f>_xlfn.XLOOKUP(A173,#REF!,#REF!,"",0,1)</f>
        <v>#REF!</v>
      </c>
      <c r="D173" s="126" t="s">
        <v>301</v>
      </c>
      <c r="F173" t="s">
        <v>288</v>
      </c>
    </row>
    <row r="174" spans="1:6" hidden="1" x14ac:dyDescent="0.25">
      <c r="A174" s="126" t="s">
        <v>302</v>
      </c>
      <c r="B174" t="e">
        <f>_xlfn.XLOOKUP(A174,#REF!,#REF!,"",0,1)</f>
        <v>#REF!</v>
      </c>
      <c r="D174" s="127" t="s">
        <v>302</v>
      </c>
      <c r="F174" t="s">
        <v>289</v>
      </c>
    </row>
    <row r="175" spans="1:6" hidden="1" x14ac:dyDescent="0.25">
      <c r="A175" s="126" t="s">
        <v>303</v>
      </c>
      <c r="B175" t="e">
        <f>_xlfn.XLOOKUP(A175,#REF!,#REF!,"",0,1)</f>
        <v>#REF!</v>
      </c>
      <c r="D175" s="126" t="s">
        <v>303</v>
      </c>
      <c r="F175" t="s">
        <v>290</v>
      </c>
    </row>
    <row r="176" spans="1:6" hidden="1" x14ac:dyDescent="0.25">
      <c r="A176" s="126" t="s">
        <v>304</v>
      </c>
      <c r="B176" t="e">
        <f>_xlfn.XLOOKUP(A176,#REF!,#REF!,"",0,1)</f>
        <v>#REF!</v>
      </c>
      <c r="D176" s="127" t="s">
        <v>304</v>
      </c>
      <c r="F176" t="s">
        <v>291</v>
      </c>
    </row>
    <row r="177" spans="1:6" hidden="1" x14ac:dyDescent="0.25">
      <c r="A177" s="126" t="s">
        <v>305</v>
      </c>
      <c r="B177" t="e">
        <f>_xlfn.XLOOKUP(A177,#REF!,#REF!,"",0,1)</f>
        <v>#REF!</v>
      </c>
      <c r="D177" s="126" t="s">
        <v>305</v>
      </c>
      <c r="F177" t="s">
        <v>292</v>
      </c>
    </row>
    <row r="178" spans="1:6" hidden="1" x14ac:dyDescent="0.25">
      <c r="A178" s="126" t="s">
        <v>306</v>
      </c>
      <c r="B178" t="e">
        <f>_xlfn.XLOOKUP(A178,#REF!,#REF!,"",0,1)</f>
        <v>#REF!</v>
      </c>
      <c r="D178" s="127" t="s">
        <v>306</v>
      </c>
      <c r="F178" t="s">
        <v>293</v>
      </c>
    </row>
    <row r="179" spans="1:6" hidden="1" x14ac:dyDescent="0.25">
      <c r="A179" s="126" t="s">
        <v>307</v>
      </c>
      <c r="B179" t="e">
        <f>_xlfn.XLOOKUP(A179,#REF!,#REF!,"",0,1)</f>
        <v>#REF!</v>
      </c>
      <c r="D179" s="126" t="s">
        <v>307</v>
      </c>
      <c r="F179" t="s">
        <v>294</v>
      </c>
    </row>
    <row r="180" spans="1:6" hidden="1" x14ac:dyDescent="0.25">
      <c r="F180" t="s">
        <v>295</v>
      </c>
    </row>
    <row r="181" spans="1:6" hidden="1" x14ac:dyDescent="0.25">
      <c r="F181" t="s">
        <v>296</v>
      </c>
    </row>
    <row r="182" spans="1:6" hidden="1" x14ac:dyDescent="0.25">
      <c r="F182" t="s">
        <v>297</v>
      </c>
    </row>
    <row r="183" spans="1:6" hidden="1" x14ac:dyDescent="0.25">
      <c r="F183" t="s">
        <v>298</v>
      </c>
    </row>
    <row r="184" spans="1:6" hidden="1" x14ac:dyDescent="0.25">
      <c r="F184" t="s">
        <v>299</v>
      </c>
    </row>
    <row r="185" spans="1:6" hidden="1" x14ac:dyDescent="0.25">
      <c r="F185" t="s">
        <v>300</v>
      </c>
    </row>
    <row r="186" spans="1:6" hidden="1" x14ac:dyDescent="0.25">
      <c r="F186" t="s">
        <v>301</v>
      </c>
    </row>
    <row r="187" spans="1:6" hidden="1" x14ac:dyDescent="0.25">
      <c r="F187" t="s">
        <v>302</v>
      </c>
    </row>
    <row r="188" spans="1:6" hidden="1" x14ac:dyDescent="0.25">
      <c r="F188" t="s">
        <v>303</v>
      </c>
    </row>
    <row r="189" spans="1:6" hidden="1" x14ac:dyDescent="0.25">
      <c r="F189" t="s">
        <v>304</v>
      </c>
    </row>
    <row r="190" spans="1:6" hidden="1" x14ac:dyDescent="0.25">
      <c r="F190" t="s">
        <v>305</v>
      </c>
    </row>
    <row r="191" spans="1:6" hidden="1" x14ac:dyDescent="0.25">
      <c r="F191" t="s">
        <v>306</v>
      </c>
    </row>
    <row r="192" spans="1:6" x14ac:dyDescent="0.25">
      <c r="F192" t="s">
        <v>307</v>
      </c>
    </row>
    <row r="193" spans="6:6" x14ac:dyDescent="0.25">
      <c r="F193" t="s">
        <v>307</v>
      </c>
    </row>
  </sheetData>
  <autoFilter ref="F1:F193" xr:uid="{6A04CA72-5B97-4CFC-93EF-6BD3235AA070}">
    <filterColumn colId="0">
      <colorFilter dxfId="20"/>
    </filterColumn>
  </autoFilter>
  <conditionalFormatting sqref="D1:D1048576">
    <cfRule type="duplicateValues" dxfId="2" priority="2"/>
    <cfRule type="duplicateValues" dxfId="1" priority="3"/>
  </conditionalFormatting>
  <conditionalFormatting sqref="F1:F193">
    <cfRule type="duplicateValues" dxfId="0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AD6F6-915E-4826-A767-654CDFA22F88}">
  <dimension ref="A1:P3"/>
  <sheetViews>
    <sheetView workbookViewId="0">
      <selection activeCell="C29" sqref="C29"/>
    </sheetView>
  </sheetViews>
  <sheetFormatPr defaultRowHeight="13.2" x14ac:dyDescent="0.25"/>
  <cols>
    <col min="1" max="1" width="11.44140625" bestFit="1" customWidth="1"/>
    <col min="2" max="2" width="32.33203125" bestFit="1" customWidth="1"/>
    <col min="3" max="3" width="19.88671875" bestFit="1" customWidth="1"/>
    <col min="4" max="4" width="15.109375" style="128" bestFit="1" customWidth="1"/>
    <col min="5" max="5" width="13.33203125" style="128" bestFit="1" customWidth="1"/>
    <col min="6" max="6" width="12.33203125" style="128" bestFit="1" customWidth="1"/>
    <col min="7" max="7" width="10.109375" style="128" bestFit="1" customWidth="1"/>
    <col min="8" max="8" width="10.5546875" style="128" bestFit="1" customWidth="1"/>
    <col min="9" max="9" width="11.88671875" bestFit="1" customWidth="1"/>
    <col min="10" max="12" width="11.44140625" hidden="1" customWidth="1"/>
    <col min="13" max="13" width="9.33203125" bestFit="1" customWidth="1"/>
    <col min="14" max="14" width="7.44140625" bestFit="1" customWidth="1"/>
    <col min="15" max="15" width="40" bestFit="1" customWidth="1"/>
    <col min="16" max="16" width="8.5546875" bestFit="1" customWidth="1"/>
  </cols>
  <sheetData>
    <row r="1" spans="1:16" x14ac:dyDescent="0.25">
      <c r="A1" t="s">
        <v>129</v>
      </c>
      <c r="B1" t="s">
        <v>308</v>
      </c>
      <c r="C1" t="s">
        <v>309</v>
      </c>
      <c r="D1" s="128" t="s">
        <v>310</v>
      </c>
      <c r="E1" s="128" t="s">
        <v>311</v>
      </c>
      <c r="F1" s="128" t="s">
        <v>312</v>
      </c>
      <c r="G1" s="128" t="s">
        <v>313</v>
      </c>
      <c r="H1" s="128" t="s">
        <v>314</v>
      </c>
      <c r="I1" t="s">
        <v>315</v>
      </c>
      <c r="J1" t="s">
        <v>316</v>
      </c>
      <c r="K1" t="s">
        <v>317</v>
      </c>
      <c r="L1" t="s">
        <v>318</v>
      </c>
      <c r="M1" t="s">
        <v>126</v>
      </c>
      <c r="N1" t="s">
        <v>319</v>
      </c>
      <c r="O1" t="s">
        <v>320</v>
      </c>
      <c r="P1" t="s">
        <v>321</v>
      </c>
    </row>
    <row r="2" spans="1:16" x14ac:dyDescent="0.25">
      <c r="A2" t="s">
        <v>322</v>
      </c>
      <c r="B2" t="s">
        <v>323</v>
      </c>
      <c r="C2" t="s">
        <v>324</v>
      </c>
      <c r="D2" s="128">
        <v>45839</v>
      </c>
      <c r="E2" s="128">
        <v>45870</v>
      </c>
      <c r="F2" s="128">
        <v>45866.691874999997</v>
      </c>
      <c r="G2" s="128">
        <v>45873.691874999997</v>
      </c>
      <c r="H2" s="128">
        <v>45860</v>
      </c>
      <c r="I2">
        <v>88</v>
      </c>
      <c r="J2">
        <f>Table1__4[[#This Row],[Value]]*0.2</f>
        <v>88</v>
      </c>
      <c r="K2">
        <f>Table1__4[[#This Row],[Total Tax]]-Table1__4[[#This Row],[Column2]]</f>
        <v>0</v>
      </c>
      <c r="L2">
        <f>Table1__4[[#This Row],[Value]]*1.2</f>
        <v>528</v>
      </c>
      <c r="M2">
        <v>528</v>
      </c>
      <c r="N2" t="b">
        <v>1</v>
      </c>
      <c r="O2" t="s">
        <v>325</v>
      </c>
      <c r="P2">
        <v>440</v>
      </c>
    </row>
    <row r="3" spans="1:16" x14ac:dyDescent="0.25">
      <c r="I3">
        <f>SUM(Table1__4[Total Tax])</f>
        <v>88</v>
      </c>
      <c r="M3" s="157">
        <f>SUM(Table1__4[Total])</f>
        <v>528</v>
      </c>
    </row>
  </sheetData>
  <phoneticPr fontId="20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5B482-AE35-4560-9EFC-1E7069BABE39}">
  <sheetPr>
    <tabColor theme="2" tint="-0.249977111117893"/>
  </sheetPr>
  <dimension ref="A1:A5848"/>
  <sheetViews>
    <sheetView showGridLines="0" tabSelected="1" zoomScale="69" zoomScaleNormal="69" workbookViewId="0">
      <pane ySplit="4" topLeftCell="A5" activePane="bottomLeft" state="frozenSplit"/>
      <selection pane="bottomLeft" activeCell="J15" sqref="J15"/>
    </sheetView>
  </sheetViews>
  <sheetFormatPr defaultColWidth="8.6640625" defaultRowHeight="13.2" x14ac:dyDescent="0.25"/>
  <cols>
    <col min="1" max="1" width="17.109375" customWidth="1"/>
    <col min="2" max="2" width="24.5546875" customWidth="1"/>
    <col min="3" max="3" width="24.88671875" customWidth="1"/>
    <col min="4" max="4" width="8.44140625" customWidth="1"/>
    <col min="5" max="5" width="17.5546875" customWidth="1"/>
    <col min="6" max="6" width="15.33203125" customWidth="1"/>
    <col min="7" max="7" width="14.109375" customWidth="1"/>
    <col min="8" max="8" width="13.109375" customWidth="1"/>
    <col min="9" max="9" width="13.44140625" customWidth="1"/>
    <col min="10" max="10" width="14.109375" customWidth="1"/>
    <col min="11" max="11" width="17.109375" customWidth="1"/>
    <col min="12" max="13" width="13.5546875" customWidth="1"/>
    <col min="14" max="14" width="36.88671875" customWidth="1"/>
    <col min="15" max="15" width="13.5546875" customWidth="1"/>
    <col min="16" max="16" width="37.109375" customWidth="1"/>
    <col min="17" max="17" width="13.5546875" customWidth="1"/>
    <col min="18" max="18" width="34.44140625" customWidth="1"/>
    <col min="19" max="19" width="13.5546875" customWidth="1"/>
    <col min="20" max="20" width="37.109375" customWidth="1"/>
    <col min="21" max="21" width="13.5546875" customWidth="1"/>
    <col min="22" max="22" width="31.33203125" customWidth="1"/>
    <col min="23" max="23" width="13.5546875" customWidth="1"/>
    <col min="24" max="24" width="41.109375" customWidth="1"/>
    <col min="25" max="25" width="13.5546875" customWidth="1"/>
    <col min="26" max="26" width="31" customWidth="1"/>
    <col min="27" max="27" width="13.5546875" customWidth="1"/>
    <col min="28" max="28" width="33.6640625" customWidth="1"/>
    <col min="29" max="29" width="13.5546875" customWidth="1"/>
    <col min="30" max="30" width="23.6640625" customWidth="1"/>
    <col min="31" max="31" width="13.5546875" customWidth="1"/>
    <col min="32" max="32" width="40.5546875" customWidth="1"/>
    <col min="33" max="33" width="13.5546875" customWidth="1"/>
    <col min="34" max="34" width="33.44140625" customWidth="1"/>
    <col min="35" max="35" width="13.5546875" customWidth="1"/>
    <col min="36" max="36" width="39.109375" customWidth="1"/>
    <col min="37" max="37" width="13.5546875" customWidth="1"/>
    <col min="38" max="38" width="42.5546875" customWidth="1"/>
    <col min="39" max="39" width="13.5546875" customWidth="1"/>
    <col min="40" max="40" width="24.88671875" customWidth="1"/>
    <col min="41" max="41" width="13.5546875" customWidth="1"/>
    <col min="42" max="42" width="31.5546875" customWidth="1"/>
    <col min="43" max="43" width="13.5546875" customWidth="1"/>
    <col min="44" max="44" width="31.5546875" customWidth="1"/>
    <col min="45" max="45" width="13.5546875" customWidth="1"/>
    <col min="46" max="46" width="24.44140625" customWidth="1"/>
    <col min="47" max="47" width="13.5546875" customWidth="1"/>
    <col min="48" max="48" width="20.44140625" customWidth="1"/>
    <col min="49" max="49" width="13.5546875" customWidth="1"/>
    <col min="50" max="50" width="28.88671875" customWidth="1"/>
    <col min="51" max="51" width="13.5546875" customWidth="1"/>
    <col min="52" max="52" width="20.44140625" customWidth="1"/>
    <col min="53" max="53" width="13.5546875" customWidth="1"/>
    <col min="54" max="54" width="40.5546875" customWidth="1"/>
    <col min="55" max="55" width="13.5546875" customWidth="1"/>
    <col min="56" max="56" width="30.88671875" customWidth="1"/>
    <col min="57" max="57" width="13.5546875" customWidth="1"/>
    <col min="58" max="58" width="27.33203125" customWidth="1"/>
    <col min="59" max="59" width="13.5546875" customWidth="1"/>
    <col min="60" max="60" width="47.109375" customWidth="1"/>
    <col min="61" max="61" width="13.5546875" customWidth="1"/>
    <col min="62" max="62" width="42.109375" customWidth="1"/>
    <col min="63" max="63" width="13.5546875" customWidth="1"/>
    <col min="64" max="64" width="33.6640625" customWidth="1"/>
    <col min="65" max="65" width="13.5546875" customWidth="1"/>
    <col min="66" max="66" width="30.33203125" customWidth="1"/>
    <col min="67" max="67" width="13.5546875" customWidth="1"/>
    <col min="68" max="68" width="15" customWidth="1"/>
    <col min="69" max="69" width="16.88671875" customWidth="1"/>
    <col min="70" max="70" width="7.5546875" customWidth="1"/>
    <col min="71" max="71" width="0" hidden="1" customWidth="1"/>
    <col min="72" max="135" width="11.44140625" customWidth="1"/>
  </cols>
  <sheetData>
    <row r="1" ht="20.85" customHeight="1" x14ac:dyDescent="0.25"/>
    <row r="2" ht="0.6" customHeight="1" x14ac:dyDescent="0.25"/>
    <row r="3" ht="13.95" customHeight="1" x14ac:dyDescent="0.25"/>
    <row r="4" ht="17.100000000000001" customHeight="1" x14ac:dyDescent="0.25"/>
    <row r="5" ht="28.5" customHeight="1" x14ac:dyDescent="0.25"/>
    <row r="6" ht="17.100000000000001" customHeight="1" x14ac:dyDescent="0.25"/>
    <row r="7" ht="17.100000000000001" customHeight="1" x14ac:dyDescent="0.25"/>
    <row r="8" ht="17.100000000000001" customHeight="1" x14ac:dyDescent="0.25"/>
    <row r="9" ht="17.100000000000001" customHeight="1" x14ac:dyDescent="0.25"/>
    <row r="10" ht="17.100000000000001" customHeight="1" x14ac:dyDescent="0.25"/>
    <row r="11" ht="17.100000000000001" customHeight="1" x14ac:dyDescent="0.25"/>
    <row r="12" ht="17.100000000000001" customHeight="1" x14ac:dyDescent="0.25"/>
    <row r="13" ht="17.100000000000001" customHeight="1" x14ac:dyDescent="0.25"/>
    <row r="14" ht="17.100000000000001" customHeight="1" x14ac:dyDescent="0.25"/>
    <row r="15" ht="17.100000000000001" customHeight="1" x14ac:dyDescent="0.25"/>
    <row r="16" ht="17.100000000000001" customHeight="1" x14ac:dyDescent="0.25"/>
    <row r="17" ht="17.100000000000001" customHeight="1" x14ac:dyDescent="0.25"/>
    <row r="18" ht="17.100000000000001" customHeight="1" x14ac:dyDescent="0.25"/>
    <row r="19" ht="17.100000000000001" customHeight="1" x14ac:dyDescent="0.25"/>
    <row r="20" ht="17.100000000000001" customHeight="1" x14ac:dyDescent="0.25"/>
    <row r="21" ht="17.100000000000001" customHeight="1" x14ac:dyDescent="0.25"/>
    <row r="22" ht="17.100000000000001" customHeight="1" x14ac:dyDescent="0.25"/>
    <row r="23" ht="17.100000000000001" customHeight="1" x14ac:dyDescent="0.25"/>
    <row r="24" ht="17.100000000000001" customHeight="1" x14ac:dyDescent="0.25"/>
    <row r="25" ht="17.100000000000001" customHeight="1" x14ac:dyDescent="0.25"/>
    <row r="26" ht="17.100000000000001" customHeight="1" x14ac:dyDescent="0.25"/>
    <row r="27" ht="17.100000000000001" customHeight="1" x14ac:dyDescent="0.25"/>
    <row r="28" ht="17.100000000000001" customHeight="1" x14ac:dyDescent="0.25"/>
    <row r="29" ht="17.100000000000001" customHeight="1" x14ac:dyDescent="0.25"/>
    <row r="30" ht="17.100000000000001" customHeight="1" x14ac:dyDescent="0.25"/>
    <row r="31" ht="17.100000000000001" customHeight="1" x14ac:dyDescent="0.25"/>
    <row r="32" ht="17.100000000000001" customHeight="1" x14ac:dyDescent="0.25"/>
    <row r="33" ht="17.100000000000001" customHeight="1" x14ac:dyDescent="0.25"/>
    <row r="34" ht="17.100000000000001" customHeight="1" x14ac:dyDescent="0.25"/>
    <row r="35" ht="17.100000000000001" customHeight="1" x14ac:dyDescent="0.25"/>
    <row r="36" ht="17.100000000000001" customHeight="1" x14ac:dyDescent="0.25"/>
    <row r="37" ht="17.100000000000001" customHeight="1" x14ac:dyDescent="0.25"/>
    <row r="38" ht="17.100000000000001" customHeight="1" x14ac:dyDescent="0.25"/>
    <row r="39" ht="17.100000000000001" customHeight="1" x14ac:dyDescent="0.25"/>
    <row r="40" ht="17.100000000000001" customHeight="1" x14ac:dyDescent="0.25"/>
    <row r="41" ht="17.100000000000001" customHeight="1" x14ac:dyDescent="0.25"/>
    <row r="42" ht="17.100000000000001" customHeight="1" x14ac:dyDescent="0.25"/>
    <row r="43" ht="17.100000000000001" customHeight="1" x14ac:dyDescent="0.25"/>
    <row r="44" ht="17.100000000000001" customHeight="1" x14ac:dyDescent="0.25"/>
    <row r="45" ht="17.100000000000001" customHeight="1" x14ac:dyDescent="0.25"/>
    <row r="46" ht="17.100000000000001" customHeight="1" x14ac:dyDescent="0.25"/>
    <row r="47" ht="17.100000000000001" customHeight="1" x14ac:dyDescent="0.25"/>
    <row r="48" ht="17.100000000000001" customHeight="1" x14ac:dyDescent="0.25"/>
    <row r="49" ht="17.100000000000001" customHeight="1" x14ac:dyDescent="0.25"/>
    <row r="50" ht="17.100000000000001" customHeight="1" x14ac:dyDescent="0.25"/>
    <row r="51" ht="17.100000000000001" customHeight="1" x14ac:dyDescent="0.25"/>
    <row r="52" ht="17.100000000000001" customHeight="1" x14ac:dyDescent="0.25"/>
    <row r="53" ht="17.100000000000001" customHeight="1" x14ac:dyDescent="0.25"/>
    <row r="54" ht="17.100000000000001" customHeight="1" x14ac:dyDescent="0.25"/>
    <row r="55" ht="17.100000000000001" customHeight="1" x14ac:dyDescent="0.25"/>
    <row r="56" ht="17.100000000000001" customHeight="1" x14ac:dyDescent="0.25"/>
    <row r="57" ht="17.100000000000001" customHeight="1" x14ac:dyDescent="0.25"/>
    <row r="58" ht="17.100000000000001" customHeight="1" x14ac:dyDescent="0.25"/>
    <row r="59" ht="17.100000000000001" customHeight="1" x14ac:dyDescent="0.25"/>
    <row r="60" ht="17.100000000000001" customHeight="1" x14ac:dyDescent="0.25"/>
    <row r="61" ht="17.100000000000001" customHeight="1" x14ac:dyDescent="0.25"/>
    <row r="62" ht="17.100000000000001" customHeight="1" x14ac:dyDescent="0.25"/>
    <row r="63" ht="17.100000000000001" customHeight="1" x14ac:dyDescent="0.25"/>
    <row r="64" ht="17.100000000000001" customHeight="1" x14ac:dyDescent="0.25"/>
    <row r="65" ht="17.100000000000001" customHeight="1" x14ac:dyDescent="0.25"/>
    <row r="66" ht="17.100000000000001" customHeight="1" x14ac:dyDescent="0.25"/>
    <row r="67" ht="17.100000000000001" customHeight="1" x14ac:dyDescent="0.25"/>
    <row r="68" ht="17.100000000000001" customHeight="1" x14ac:dyDescent="0.25"/>
    <row r="69" ht="17.100000000000001" customHeight="1" x14ac:dyDescent="0.25"/>
    <row r="70" ht="17.100000000000001" customHeight="1" x14ac:dyDescent="0.25"/>
    <row r="71" ht="17.100000000000001" customHeight="1" x14ac:dyDescent="0.25"/>
    <row r="72" ht="17.100000000000001" customHeight="1" x14ac:dyDescent="0.25"/>
    <row r="73" ht="17.100000000000001" customHeight="1" x14ac:dyDescent="0.25"/>
    <row r="74" ht="17.100000000000001" customHeight="1" x14ac:dyDescent="0.25"/>
    <row r="75" ht="17.100000000000001" customHeight="1" x14ac:dyDescent="0.25"/>
    <row r="76" ht="17.100000000000001" customHeight="1" x14ac:dyDescent="0.25"/>
    <row r="77" ht="17.100000000000001" customHeight="1" x14ac:dyDescent="0.25"/>
    <row r="78" ht="17.100000000000001" customHeight="1" x14ac:dyDescent="0.25"/>
    <row r="79" ht="17.100000000000001" customHeight="1" x14ac:dyDescent="0.25"/>
    <row r="80" ht="17.100000000000001" customHeight="1" x14ac:dyDescent="0.25"/>
    <row r="81" ht="17.100000000000001" customHeight="1" x14ac:dyDescent="0.25"/>
    <row r="82" ht="17.100000000000001" customHeight="1" x14ac:dyDescent="0.25"/>
    <row r="83" ht="17.100000000000001" customHeight="1" x14ac:dyDescent="0.25"/>
    <row r="84" ht="17.100000000000001" customHeight="1" x14ac:dyDescent="0.25"/>
    <row r="85" ht="17.100000000000001" customHeight="1" x14ac:dyDescent="0.25"/>
    <row r="86" ht="17.100000000000001" customHeight="1" x14ac:dyDescent="0.25"/>
    <row r="87" ht="17.100000000000001" customHeight="1" x14ac:dyDescent="0.25"/>
    <row r="88" ht="17.100000000000001" customHeight="1" x14ac:dyDescent="0.25"/>
    <row r="89" ht="17.100000000000001" customHeight="1" x14ac:dyDescent="0.25"/>
    <row r="90" ht="17.100000000000001" customHeight="1" x14ac:dyDescent="0.25"/>
    <row r="91" ht="17.100000000000001" customHeight="1" x14ac:dyDescent="0.25"/>
    <row r="92" ht="17.100000000000001" customHeight="1" x14ac:dyDescent="0.25"/>
    <row r="93" ht="17.100000000000001" customHeight="1" x14ac:dyDescent="0.25"/>
    <row r="94" ht="17.100000000000001" customHeight="1" x14ac:dyDescent="0.25"/>
    <row r="95" ht="17.100000000000001" customHeight="1" x14ac:dyDescent="0.25"/>
    <row r="96" ht="17.100000000000001" customHeight="1" x14ac:dyDescent="0.25"/>
    <row r="97" ht="17.100000000000001" customHeight="1" x14ac:dyDescent="0.25"/>
    <row r="98" ht="17.100000000000001" customHeight="1" x14ac:dyDescent="0.25"/>
    <row r="99" ht="17.100000000000001" customHeight="1" x14ac:dyDescent="0.25"/>
    <row r="100" ht="17.100000000000001" customHeight="1" x14ac:dyDescent="0.25"/>
    <row r="101" ht="17.100000000000001" customHeight="1" x14ac:dyDescent="0.25"/>
    <row r="102" ht="17.100000000000001" customHeight="1" x14ac:dyDescent="0.25"/>
    <row r="103" ht="17.100000000000001" customHeight="1" x14ac:dyDescent="0.25"/>
    <row r="104" ht="17.100000000000001" customHeight="1" x14ac:dyDescent="0.25"/>
    <row r="105" ht="17.100000000000001" customHeight="1" x14ac:dyDescent="0.25"/>
    <row r="106" ht="17.100000000000001" customHeight="1" x14ac:dyDescent="0.25"/>
    <row r="107" ht="17.100000000000001" customHeight="1" x14ac:dyDescent="0.25"/>
    <row r="108" ht="17.100000000000001" customHeight="1" x14ac:dyDescent="0.25"/>
    <row r="109" ht="17.100000000000001" customHeight="1" x14ac:dyDescent="0.25"/>
    <row r="110" ht="17.100000000000001" customHeight="1" x14ac:dyDescent="0.25"/>
    <row r="111" ht="17.100000000000001" customHeight="1" x14ac:dyDescent="0.25"/>
    <row r="112" ht="17.100000000000001" customHeight="1" x14ac:dyDescent="0.25"/>
    <row r="113" ht="17.100000000000001" customHeight="1" x14ac:dyDescent="0.25"/>
    <row r="114" ht="17.100000000000001" customHeight="1" x14ac:dyDescent="0.25"/>
    <row r="115" ht="17.100000000000001" customHeight="1" x14ac:dyDescent="0.25"/>
    <row r="116" ht="17.100000000000001" customHeight="1" x14ac:dyDescent="0.25"/>
    <row r="117" ht="17.100000000000001" customHeight="1" x14ac:dyDescent="0.25"/>
    <row r="118" ht="17.100000000000001" customHeight="1" x14ac:dyDescent="0.25"/>
    <row r="119" ht="17.100000000000001" customHeight="1" x14ac:dyDescent="0.25"/>
    <row r="120" ht="17.100000000000001" customHeight="1" x14ac:dyDescent="0.25"/>
    <row r="121" ht="17.100000000000001" customHeight="1" x14ac:dyDescent="0.25"/>
    <row r="122" ht="17.100000000000001" customHeight="1" x14ac:dyDescent="0.25"/>
    <row r="123" ht="17.100000000000001" customHeight="1" x14ac:dyDescent="0.25"/>
    <row r="124" ht="17.100000000000001" customHeight="1" x14ac:dyDescent="0.25"/>
    <row r="125" ht="17.100000000000001" customHeight="1" x14ac:dyDescent="0.25"/>
    <row r="126" ht="17.100000000000001" customHeight="1" x14ac:dyDescent="0.25"/>
    <row r="127" ht="17.100000000000001" customHeight="1" x14ac:dyDescent="0.25"/>
    <row r="128" ht="17.100000000000001" customHeight="1" x14ac:dyDescent="0.25"/>
    <row r="129" ht="17.100000000000001" customHeight="1" x14ac:dyDescent="0.25"/>
    <row r="130" ht="17.100000000000001" customHeight="1" x14ac:dyDescent="0.25"/>
    <row r="131" ht="17.100000000000001" customHeight="1" x14ac:dyDescent="0.25"/>
    <row r="132" ht="17.100000000000001" customHeight="1" x14ac:dyDescent="0.25"/>
    <row r="133" ht="17.100000000000001" customHeight="1" x14ac:dyDescent="0.25"/>
    <row r="134" ht="17.100000000000001" customHeight="1" x14ac:dyDescent="0.25"/>
    <row r="135" ht="17.100000000000001" customHeight="1" x14ac:dyDescent="0.25"/>
    <row r="136" ht="17.100000000000001" customHeight="1" x14ac:dyDescent="0.25"/>
    <row r="137" ht="17.100000000000001" customHeight="1" x14ac:dyDescent="0.25"/>
    <row r="138" ht="17.100000000000001" customHeight="1" x14ac:dyDescent="0.25"/>
    <row r="139" ht="17.100000000000001" customHeight="1" x14ac:dyDescent="0.25"/>
    <row r="140" ht="17.100000000000001" customHeight="1" x14ac:dyDescent="0.25"/>
    <row r="141" ht="17.100000000000001" customHeight="1" x14ac:dyDescent="0.25"/>
    <row r="142" ht="17.100000000000001" customHeight="1" x14ac:dyDescent="0.25"/>
    <row r="143" ht="17.100000000000001" customHeight="1" x14ac:dyDescent="0.25"/>
    <row r="144" ht="17.100000000000001" customHeight="1" x14ac:dyDescent="0.25"/>
    <row r="145" ht="17.100000000000001" customHeight="1" x14ac:dyDescent="0.25"/>
    <row r="146" ht="17.100000000000001" customHeight="1" x14ac:dyDescent="0.25"/>
    <row r="147" ht="17.100000000000001" customHeight="1" x14ac:dyDescent="0.25"/>
    <row r="148" ht="17.100000000000001" customHeight="1" x14ac:dyDescent="0.25"/>
    <row r="149" ht="17.100000000000001" customHeight="1" x14ac:dyDescent="0.25"/>
    <row r="150" ht="17.100000000000001" customHeight="1" x14ac:dyDescent="0.25"/>
    <row r="151" ht="17.100000000000001" customHeight="1" x14ac:dyDescent="0.25"/>
    <row r="152" ht="17.100000000000001" customHeight="1" x14ac:dyDescent="0.25"/>
    <row r="153" ht="17.100000000000001" customHeight="1" x14ac:dyDescent="0.25"/>
    <row r="154" ht="17.100000000000001" customHeight="1" x14ac:dyDescent="0.25"/>
    <row r="155" ht="17.100000000000001" customHeight="1" x14ac:dyDescent="0.25"/>
    <row r="156" ht="17.100000000000001" customHeight="1" x14ac:dyDescent="0.25"/>
    <row r="157" ht="17.100000000000001" customHeight="1" x14ac:dyDescent="0.25"/>
    <row r="158" ht="17.100000000000001" customHeight="1" x14ac:dyDescent="0.25"/>
    <row r="159" ht="17.100000000000001" customHeight="1" x14ac:dyDescent="0.25"/>
    <row r="160" ht="17.100000000000001" customHeight="1" x14ac:dyDescent="0.25"/>
    <row r="161" ht="17.100000000000001" customHeight="1" x14ac:dyDescent="0.25"/>
    <row r="162" ht="17.100000000000001" customHeight="1" x14ac:dyDescent="0.25"/>
    <row r="163" ht="17.100000000000001" customHeight="1" x14ac:dyDescent="0.25"/>
    <row r="164" ht="17.100000000000001" customHeight="1" x14ac:dyDescent="0.25"/>
    <row r="165" ht="17.100000000000001" customHeight="1" x14ac:dyDescent="0.25"/>
    <row r="166" ht="17.100000000000001" customHeight="1" x14ac:dyDescent="0.25"/>
    <row r="167" ht="17.100000000000001" customHeight="1" x14ac:dyDescent="0.25"/>
    <row r="168" ht="17.100000000000001" customHeight="1" x14ac:dyDescent="0.25"/>
    <row r="169" ht="17.100000000000001" customHeight="1" x14ac:dyDescent="0.25"/>
    <row r="170" ht="17.100000000000001" customHeight="1" x14ac:dyDescent="0.25"/>
    <row r="171" ht="17.100000000000001" customHeight="1" x14ac:dyDescent="0.25"/>
    <row r="172" ht="17.100000000000001" customHeight="1" x14ac:dyDescent="0.25"/>
    <row r="173" ht="17.100000000000001" customHeight="1" x14ac:dyDescent="0.25"/>
    <row r="174" ht="17.100000000000001" customHeight="1" x14ac:dyDescent="0.25"/>
    <row r="175" ht="17.100000000000001" customHeight="1" x14ac:dyDescent="0.25"/>
    <row r="176" ht="17.100000000000001" customHeight="1" x14ac:dyDescent="0.25"/>
    <row r="177" ht="17.100000000000001" customHeight="1" x14ac:dyDescent="0.25"/>
    <row r="178" ht="17.100000000000001" customHeight="1" x14ac:dyDescent="0.25"/>
    <row r="179" ht="17.100000000000001" customHeight="1" x14ac:dyDescent="0.25"/>
    <row r="180" ht="17.100000000000001" customHeight="1" x14ac:dyDescent="0.25"/>
    <row r="181" ht="17.100000000000001" customHeight="1" x14ac:dyDescent="0.25"/>
    <row r="182" ht="17.100000000000001" customHeight="1" x14ac:dyDescent="0.25"/>
    <row r="183" ht="17.100000000000001" customHeight="1" x14ac:dyDescent="0.25"/>
    <row r="184" ht="17.100000000000001" customHeight="1" x14ac:dyDescent="0.25"/>
    <row r="185" ht="17.100000000000001" customHeight="1" x14ac:dyDescent="0.25"/>
    <row r="186" ht="17.100000000000001" customHeight="1" x14ac:dyDescent="0.25"/>
    <row r="187" ht="17.100000000000001" customHeight="1" x14ac:dyDescent="0.25"/>
    <row r="188" ht="17.100000000000001" customHeight="1" x14ac:dyDescent="0.25"/>
    <row r="189" ht="17.100000000000001" customHeight="1" x14ac:dyDescent="0.25"/>
    <row r="190" ht="17.100000000000001" customHeight="1" x14ac:dyDescent="0.25"/>
    <row r="191" ht="17.100000000000001" customHeight="1" x14ac:dyDescent="0.25"/>
    <row r="192" ht="17.100000000000001" customHeight="1" x14ac:dyDescent="0.25"/>
    <row r="193" ht="17.100000000000001" customHeight="1" x14ac:dyDescent="0.25"/>
    <row r="194" ht="17.100000000000001" customHeight="1" x14ac:dyDescent="0.25"/>
    <row r="195" ht="17.100000000000001" customHeight="1" x14ac:dyDescent="0.25"/>
    <row r="196" ht="17.100000000000001" customHeight="1" x14ac:dyDescent="0.25"/>
    <row r="197" ht="17.100000000000001" customHeight="1" x14ac:dyDescent="0.25"/>
    <row r="198" ht="17.100000000000001" customHeight="1" x14ac:dyDescent="0.25"/>
    <row r="199" ht="17.100000000000001" customHeight="1" x14ac:dyDescent="0.25"/>
    <row r="200" ht="17.100000000000001" customHeight="1" x14ac:dyDescent="0.25"/>
    <row r="201" ht="17.100000000000001" customHeight="1" x14ac:dyDescent="0.25"/>
    <row r="202" ht="17.100000000000001" customHeight="1" x14ac:dyDescent="0.25"/>
    <row r="203" ht="17.100000000000001" customHeight="1" x14ac:dyDescent="0.25"/>
    <row r="204" ht="17.100000000000001" customHeight="1" x14ac:dyDescent="0.25"/>
    <row r="205" ht="17.100000000000001" customHeight="1" x14ac:dyDescent="0.25"/>
    <row r="206" ht="17.100000000000001" customHeight="1" x14ac:dyDescent="0.25"/>
    <row r="207" ht="17.100000000000001" customHeight="1" x14ac:dyDescent="0.25"/>
    <row r="208" ht="17.100000000000001" customHeight="1" x14ac:dyDescent="0.25"/>
    <row r="209" ht="17.100000000000001" customHeight="1" x14ac:dyDescent="0.25"/>
    <row r="210" ht="17.100000000000001" customHeight="1" x14ac:dyDescent="0.25"/>
    <row r="211" ht="17.100000000000001" customHeight="1" x14ac:dyDescent="0.25"/>
    <row r="212" ht="17.100000000000001" customHeight="1" x14ac:dyDescent="0.25"/>
    <row r="213" ht="17.100000000000001" customHeight="1" x14ac:dyDescent="0.25"/>
    <row r="214" ht="17.100000000000001" customHeight="1" x14ac:dyDescent="0.25"/>
    <row r="215" ht="17.100000000000001" customHeight="1" x14ac:dyDescent="0.25"/>
    <row r="216" ht="17.100000000000001" customHeight="1" x14ac:dyDescent="0.25"/>
    <row r="217" ht="17.100000000000001" customHeight="1" x14ac:dyDescent="0.25"/>
    <row r="218" ht="17.100000000000001" customHeight="1" x14ac:dyDescent="0.25"/>
    <row r="219" ht="17.100000000000001" customHeight="1" x14ac:dyDescent="0.25"/>
    <row r="220" ht="17.100000000000001" customHeight="1" x14ac:dyDescent="0.25"/>
    <row r="221" ht="17.100000000000001" customHeight="1" x14ac:dyDescent="0.25"/>
    <row r="222" ht="17.100000000000001" customHeight="1" x14ac:dyDescent="0.25"/>
    <row r="223" ht="17.100000000000001" customHeight="1" x14ac:dyDescent="0.25"/>
    <row r="224" ht="17.100000000000001" customHeight="1" x14ac:dyDescent="0.25"/>
    <row r="225" ht="17.100000000000001" customHeight="1" x14ac:dyDescent="0.25"/>
    <row r="226" ht="17.100000000000001" customHeight="1" x14ac:dyDescent="0.25"/>
    <row r="227" ht="17.100000000000001" customHeight="1" x14ac:dyDescent="0.25"/>
    <row r="228" ht="17.100000000000001" customHeight="1" x14ac:dyDescent="0.25"/>
    <row r="229" ht="17.100000000000001" customHeight="1" x14ac:dyDescent="0.25"/>
    <row r="230" ht="17.100000000000001" customHeight="1" x14ac:dyDescent="0.25"/>
    <row r="231" ht="17.100000000000001" customHeight="1" x14ac:dyDescent="0.25"/>
    <row r="232" ht="17.100000000000001" customHeight="1" x14ac:dyDescent="0.25"/>
    <row r="233" ht="17.100000000000001" customHeight="1" x14ac:dyDescent="0.25"/>
    <row r="234" ht="17.100000000000001" customHeight="1" x14ac:dyDescent="0.25"/>
    <row r="235" ht="17.100000000000001" customHeight="1" x14ac:dyDescent="0.25"/>
    <row r="236" ht="17.100000000000001" customHeight="1" x14ac:dyDescent="0.25"/>
    <row r="237" ht="17.100000000000001" customHeight="1" x14ac:dyDescent="0.25"/>
    <row r="238" ht="17.100000000000001" customHeight="1" x14ac:dyDescent="0.25"/>
    <row r="239" ht="17.100000000000001" customHeight="1" x14ac:dyDescent="0.25"/>
    <row r="240" ht="17.100000000000001" customHeight="1" x14ac:dyDescent="0.25"/>
    <row r="241" ht="17.100000000000001" customHeight="1" x14ac:dyDescent="0.25"/>
    <row r="242" ht="17.100000000000001" customHeight="1" x14ac:dyDescent="0.25"/>
    <row r="243" ht="17.100000000000001" customHeight="1" x14ac:dyDescent="0.25"/>
    <row r="244" ht="17.100000000000001" customHeight="1" x14ac:dyDescent="0.25"/>
    <row r="245" ht="17.100000000000001" customHeight="1" x14ac:dyDescent="0.25"/>
    <row r="246" ht="17.100000000000001" customHeight="1" x14ac:dyDescent="0.25"/>
    <row r="247" ht="17.100000000000001" customHeight="1" x14ac:dyDescent="0.25"/>
    <row r="248" ht="17.100000000000001" customHeight="1" x14ac:dyDescent="0.25"/>
    <row r="249" ht="17.100000000000001" customHeight="1" x14ac:dyDescent="0.25"/>
    <row r="250" ht="17.100000000000001" customHeight="1" x14ac:dyDescent="0.25"/>
    <row r="251" ht="17.100000000000001" customHeight="1" x14ac:dyDescent="0.25"/>
    <row r="252" ht="17.100000000000001" customHeight="1" x14ac:dyDescent="0.25"/>
    <row r="253" ht="17.100000000000001" customHeight="1" x14ac:dyDescent="0.25"/>
    <row r="254" ht="17.100000000000001" customHeight="1" x14ac:dyDescent="0.25"/>
    <row r="255" ht="17.100000000000001" customHeight="1" x14ac:dyDescent="0.25"/>
    <row r="256" ht="17.100000000000001" customHeight="1" x14ac:dyDescent="0.25"/>
    <row r="257" ht="17.100000000000001" customHeight="1" x14ac:dyDescent="0.25"/>
    <row r="258" ht="17.100000000000001" customHeight="1" x14ac:dyDescent="0.25"/>
    <row r="259" ht="17.100000000000001" customHeight="1" x14ac:dyDescent="0.25"/>
    <row r="260" ht="17.100000000000001" customHeight="1" x14ac:dyDescent="0.25"/>
    <row r="261" ht="17.100000000000001" customHeight="1" x14ac:dyDescent="0.25"/>
    <row r="262" ht="17.100000000000001" customHeight="1" x14ac:dyDescent="0.25"/>
    <row r="263" ht="17.100000000000001" customHeight="1" x14ac:dyDescent="0.25"/>
    <row r="264" ht="17.100000000000001" customHeight="1" x14ac:dyDescent="0.25"/>
    <row r="265" ht="17.100000000000001" customHeight="1" x14ac:dyDescent="0.25"/>
    <row r="266" ht="17.100000000000001" customHeight="1" x14ac:dyDescent="0.25"/>
    <row r="267" ht="17.100000000000001" customHeight="1" x14ac:dyDescent="0.25"/>
    <row r="268" ht="17.100000000000001" customHeight="1" x14ac:dyDescent="0.25"/>
    <row r="269" ht="17.100000000000001" customHeight="1" x14ac:dyDescent="0.25"/>
    <row r="270" ht="17.100000000000001" customHeight="1" x14ac:dyDescent="0.25"/>
    <row r="271" ht="17.100000000000001" customHeight="1" x14ac:dyDescent="0.25"/>
    <row r="272" ht="17.100000000000001" customHeight="1" x14ac:dyDescent="0.25"/>
    <row r="273" ht="17.100000000000001" customHeight="1" x14ac:dyDescent="0.25"/>
    <row r="274" ht="17.100000000000001" customHeight="1" x14ac:dyDescent="0.25"/>
    <row r="275" ht="17.100000000000001" customHeight="1" x14ac:dyDescent="0.25"/>
    <row r="276" ht="17.100000000000001" customHeight="1" x14ac:dyDescent="0.25"/>
    <row r="277" ht="17.100000000000001" customHeight="1" x14ac:dyDescent="0.25"/>
    <row r="278" ht="17.100000000000001" customHeight="1" x14ac:dyDescent="0.25"/>
    <row r="279" ht="17.100000000000001" customHeight="1" x14ac:dyDescent="0.25"/>
    <row r="280" ht="17.100000000000001" customHeight="1" x14ac:dyDescent="0.25"/>
    <row r="281" ht="17.100000000000001" customHeight="1" x14ac:dyDescent="0.25"/>
    <row r="282" ht="17.100000000000001" customHeight="1" x14ac:dyDescent="0.25"/>
    <row r="283" ht="17.100000000000001" customHeight="1" x14ac:dyDescent="0.25"/>
    <row r="284" ht="17.100000000000001" customHeight="1" x14ac:dyDescent="0.25"/>
    <row r="285" ht="17.100000000000001" customHeight="1" x14ac:dyDescent="0.25"/>
    <row r="286" ht="17.100000000000001" customHeight="1" x14ac:dyDescent="0.25"/>
    <row r="287" ht="17.100000000000001" customHeight="1" x14ac:dyDescent="0.25"/>
    <row r="288" ht="17.100000000000001" customHeight="1" x14ac:dyDescent="0.25"/>
    <row r="289" ht="17.100000000000001" customHeight="1" x14ac:dyDescent="0.25"/>
    <row r="290" ht="17.100000000000001" customHeight="1" x14ac:dyDescent="0.25"/>
    <row r="291" ht="17.100000000000001" customHeight="1" x14ac:dyDescent="0.25"/>
    <row r="292" ht="17.100000000000001" customHeight="1" x14ac:dyDescent="0.25"/>
    <row r="293" ht="17.100000000000001" customHeight="1" x14ac:dyDescent="0.25"/>
    <row r="294" ht="17.100000000000001" customHeight="1" x14ac:dyDescent="0.25"/>
    <row r="295" ht="17.100000000000001" customHeight="1" x14ac:dyDescent="0.25"/>
    <row r="296" ht="17.100000000000001" customHeight="1" x14ac:dyDescent="0.25"/>
    <row r="297" ht="17.100000000000001" customHeight="1" x14ac:dyDescent="0.25"/>
    <row r="298" ht="17.100000000000001" customHeight="1" x14ac:dyDescent="0.25"/>
    <row r="299" ht="17.100000000000001" customHeight="1" x14ac:dyDescent="0.25"/>
    <row r="300" ht="17.100000000000001" customHeight="1" x14ac:dyDescent="0.25"/>
    <row r="301" ht="17.100000000000001" customHeight="1" x14ac:dyDescent="0.25"/>
    <row r="302" ht="17.100000000000001" customHeight="1" x14ac:dyDescent="0.25"/>
    <row r="303" ht="17.100000000000001" customHeight="1" x14ac:dyDescent="0.25"/>
    <row r="304" ht="17.100000000000001" customHeight="1" x14ac:dyDescent="0.25"/>
    <row r="305" ht="17.100000000000001" customHeight="1" x14ac:dyDescent="0.25"/>
    <row r="306" ht="17.100000000000001" customHeight="1" x14ac:dyDescent="0.25"/>
    <row r="307" ht="17.100000000000001" customHeight="1" x14ac:dyDescent="0.25"/>
    <row r="308" ht="17.100000000000001" customHeight="1" x14ac:dyDescent="0.25"/>
    <row r="309" ht="17.100000000000001" customHeight="1" x14ac:dyDescent="0.25"/>
    <row r="310" ht="17.100000000000001" customHeight="1" x14ac:dyDescent="0.25"/>
    <row r="311" ht="17.100000000000001" customHeight="1" x14ac:dyDescent="0.25"/>
    <row r="312" ht="17.100000000000001" customHeight="1" x14ac:dyDescent="0.25"/>
    <row r="313" ht="17.100000000000001" customHeight="1" x14ac:dyDescent="0.25"/>
    <row r="314" ht="17.100000000000001" customHeight="1" x14ac:dyDescent="0.25"/>
    <row r="315" ht="17.100000000000001" customHeight="1" x14ac:dyDescent="0.25"/>
    <row r="316" ht="17.100000000000001" customHeight="1" x14ac:dyDescent="0.25"/>
    <row r="317" ht="17.100000000000001" customHeight="1" x14ac:dyDescent="0.25"/>
    <row r="318" ht="17.100000000000001" customHeight="1" x14ac:dyDescent="0.25"/>
    <row r="319" ht="17.100000000000001" customHeight="1" x14ac:dyDescent="0.25"/>
    <row r="320" ht="17.100000000000001" customHeight="1" x14ac:dyDescent="0.25"/>
    <row r="321" ht="17.100000000000001" customHeight="1" x14ac:dyDescent="0.25"/>
    <row r="322" ht="17.100000000000001" customHeight="1" x14ac:dyDescent="0.25"/>
    <row r="323" ht="17.100000000000001" customHeight="1" x14ac:dyDescent="0.25"/>
    <row r="324" ht="17.100000000000001" customHeight="1" x14ac:dyDescent="0.25"/>
    <row r="325" ht="17.100000000000001" customHeight="1" x14ac:dyDescent="0.25"/>
    <row r="326" ht="17.100000000000001" customHeight="1" x14ac:dyDescent="0.25"/>
    <row r="327" ht="17.100000000000001" customHeight="1" x14ac:dyDescent="0.25"/>
    <row r="328" ht="17.100000000000001" customHeight="1" x14ac:dyDescent="0.25"/>
    <row r="329" ht="17.100000000000001" customHeight="1" x14ac:dyDescent="0.25"/>
    <row r="330" ht="17.100000000000001" customHeight="1" x14ac:dyDescent="0.25"/>
    <row r="331" ht="17.100000000000001" customHeight="1" x14ac:dyDescent="0.25"/>
    <row r="332" ht="17.100000000000001" customHeight="1" x14ac:dyDescent="0.25"/>
    <row r="333" ht="17.100000000000001" customHeight="1" x14ac:dyDescent="0.25"/>
    <row r="334" ht="17.100000000000001" customHeight="1" x14ac:dyDescent="0.25"/>
    <row r="335" ht="17.100000000000001" customHeight="1" x14ac:dyDescent="0.25"/>
    <row r="336" ht="17.100000000000001" customHeight="1" x14ac:dyDescent="0.25"/>
    <row r="337" ht="17.100000000000001" customHeight="1" x14ac:dyDescent="0.25"/>
    <row r="338" ht="17.100000000000001" customHeight="1" x14ac:dyDescent="0.25"/>
    <row r="339" ht="17.100000000000001" customHeight="1" x14ac:dyDescent="0.25"/>
    <row r="340" ht="17.100000000000001" customHeight="1" x14ac:dyDescent="0.25"/>
    <row r="341" ht="17.100000000000001" customHeight="1" x14ac:dyDescent="0.25"/>
    <row r="342" ht="17.100000000000001" customHeight="1" x14ac:dyDescent="0.25"/>
    <row r="343" ht="17.100000000000001" customHeight="1" x14ac:dyDescent="0.25"/>
    <row r="344" ht="17.100000000000001" customHeight="1" x14ac:dyDescent="0.25"/>
    <row r="345" ht="17.100000000000001" customHeight="1" x14ac:dyDescent="0.25"/>
    <row r="346" ht="17.100000000000001" customHeight="1" x14ac:dyDescent="0.25"/>
    <row r="347" ht="17.100000000000001" customHeight="1" x14ac:dyDescent="0.25"/>
    <row r="348" ht="17.100000000000001" customHeight="1" x14ac:dyDescent="0.25"/>
    <row r="349" ht="17.100000000000001" customHeight="1" x14ac:dyDescent="0.25"/>
    <row r="350" ht="17.100000000000001" customHeight="1" x14ac:dyDescent="0.25"/>
    <row r="351" ht="17.100000000000001" customHeight="1" x14ac:dyDescent="0.25"/>
    <row r="352" ht="17.100000000000001" customHeight="1" x14ac:dyDescent="0.25"/>
    <row r="353" ht="17.100000000000001" customHeight="1" x14ac:dyDescent="0.25"/>
    <row r="354" ht="17.100000000000001" customHeight="1" x14ac:dyDescent="0.25"/>
    <row r="355" ht="17.100000000000001" customHeight="1" x14ac:dyDescent="0.25"/>
    <row r="356" ht="17.100000000000001" customHeight="1" x14ac:dyDescent="0.25"/>
    <row r="357" ht="17.100000000000001" customHeight="1" x14ac:dyDescent="0.25"/>
    <row r="358" ht="17.100000000000001" customHeight="1" x14ac:dyDescent="0.25"/>
    <row r="359" ht="17.100000000000001" customHeight="1" x14ac:dyDescent="0.25"/>
    <row r="360" ht="17.100000000000001" customHeight="1" x14ac:dyDescent="0.25"/>
    <row r="361" ht="17.100000000000001" customHeight="1" x14ac:dyDescent="0.25"/>
    <row r="362" ht="17.100000000000001" customHeight="1" x14ac:dyDescent="0.25"/>
    <row r="363" ht="17.100000000000001" customHeight="1" x14ac:dyDescent="0.25"/>
    <row r="364" ht="17.100000000000001" customHeight="1" x14ac:dyDescent="0.25"/>
    <row r="365" ht="17.100000000000001" customHeight="1" x14ac:dyDescent="0.25"/>
    <row r="366" ht="17.100000000000001" customHeight="1" x14ac:dyDescent="0.25"/>
    <row r="367" ht="17.100000000000001" customHeight="1" x14ac:dyDescent="0.25"/>
    <row r="368" ht="17.100000000000001" customHeight="1" x14ac:dyDescent="0.25"/>
    <row r="369" ht="17.100000000000001" customHeight="1" x14ac:dyDescent="0.25"/>
    <row r="370" ht="17.100000000000001" customHeight="1" x14ac:dyDescent="0.25"/>
    <row r="371" ht="17.100000000000001" customHeight="1" x14ac:dyDescent="0.25"/>
    <row r="372" ht="17.100000000000001" customHeight="1" x14ac:dyDescent="0.25"/>
    <row r="373" ht="17.100000000000001" customHeight="1" x14ac:dyDescent="0.25"/>
    <row r="374" ht="17.100000000000001" customHeight="1" x14ac:dyDescent="0.25"/>
    <row r="375" ht="17.100000000000001" customHeight="1" x14ac:dyDescent="0.25"/>
    <row r="376" ht="17.100000000000001" customHeight="1" x14ac:dyDescent="0.25"/>
    <row r="377" ht="17.100000000000001" customHeight="1" x14ac:dyDescent="0.25"/>
    <row r="378" ht="17.100000000000001" customHeight="1" x14ac:dyDescent="0.25"/>
    <row r="379" ht="17.100000000000001" customHeight="1" x14ac:dyDescent="0.25"/>
    <row r="380" ht="17.100000000000001" customHeight="1" x14ac:dyDescent="0.25"/>
    <row r="381" ht="17.100000000000001" customHeight="1" x14ac:dyDescent="0.25"/>
    <row r="382" ht="17.100000000000001" customHeight="1" x14ac:dyDescent="0.25"/>
    <row r="383" ht="17.100000000000001" customHeight="1" x14ac:dyDescent="0.25"/>
    <row r="384" ht="17.100000000000001" customHeight="1" x14ac:dyDescent="0.25"/>
    <row r="385" ht="17.100000000000001" customHeight="1" x14ac:dyDescent="0.25"/>
    <row r="386" ht="17.100000000000001" customHeight="1" x14ac:dyDescent="0.25"/>
    <row r="387" ht="17.100000000000001" customHeight="1" x14ac:dyDescent="0.25"/>
    <row r="388" ht="17.100000000000001" customHeight="1" x14ac:dyDescent="0.25"/>
    <row r="389" ht="17.100000000000001" customHeight="1" x14ac:dyDescent="0.25"/>
    <row r="390" ht="17.100000000000001" customHeight="1" x14ac:dyDescent="0.25"/>
    <row r="391" ht="17.100000000000001" customHeight="1" x14ac:dyDescent="0.25"/>
    <row r="392" ht="17.100000000000001" customHeight="1" x14ac:dyDescent="0.25"/>
    <row r="393" ht="17.100000000000001" customHeight="1" x14ac:dyDescent="0.25"/>
    <row r="394" ht="17.100000000000001" customHeight="1" x14ac:dyDescent="0.25"/>
    <row r="395" ht="17.100000000000001" customHeight="1" x14ac:dyDescent="0.25"/>
    <row r="396" ht="17.100000000000001" customHeight="1" x14ac:dyDescent="0.25"/>
    <row r="397" ht="17.100000000000001" customHeight="1" x14ac:dyDescent="0.25"/>
    <row r="398" ht="17.100000000000001" customHeight="1" x14ac:dyDescent="0.25"/>
    <row r="399" ht="17.100000000000001" customHeight="1" x14ac:dyDescent="0.25"/>
    <row r="400" ht="17.100000000000001" customHeight="1" x14ac:dyDescent="0.25"/>
    <row r="401" ht="17.100000000000001" customHeight="1" x14ac:dyDescent="0.25"/>
    <row r="402" ht="17.100000000000001" customHeight="1" x14ac:dyDescent="0.25"/>
    <row r="403" ht="17.100000000000001" customHeight="1" x14ac:dyDescent="0.25"/>
    <row r="404" ht="17.100000000000001" customHeight="1" x14ac:dyDescent="0.25"/>
    <row r="405" ht="17.100000000000001" customHeight="1" x14ac:dyDescent="0.25"/>
    <row r="406" ht="17.100000000000001" customHeight="1" x14ac:dyDescent="0.25"/>
    <row r="407" ht="17.100000000000001" customHeight="1" x14ac:dyDescent="0.25"/>
    <row r="408" ht="17.100000000000001" customHeight="1" x14ac:dyDescent="0.25"/>
    <row r="409" ht="17.100000000000001" customHeight="1" x14ac:dyDescent="0.25"/>
    <row r="410" ht="17.100000000000001" customHeight="1" x14ac:dyDescent="0.25"/>
    <row r="411" ht="17.100000000000001" customHeight="1" x14ac:dyDescent="0.25"/>
    <row r="412" ht="17.100000000000001" customHeight="1" x14ac:dyDescent="0.25"/>
    <row r="413" ht="17.100000000000001" customHeight="1" x14ac:dyDescent="0.25"/>
    <row r="414" ht="17.100000000000001" customHeight="1" x14ac:dyDescent="0.25"/>
    <row r="415" ht="17.100000000000001" customHeight="1" x14ac:dyDescent="0.25"/>
    <row r="416" ht="17.100000000000001" customHeight="1" x14ac:dyDescent="0.25"/>
    <row r="417" ht="17.100000000000001" customHeight="1" x14ac:dyDescent="0.25"/>
    <row r="418" ht="17.100000000000001" customHeight="1" x14ac:dyDescent="0.25"/>
    <row r="419" ht="17.100000000000001" customHeight="1" x14ac:dyDescent="0.25"/>
    <row r="420" ht="17.100000000000001" customHeight="1" x14ac:dyDescent="0.25"/>
    <row r="421" ht="17.100000000000001" customHeight="1" x14ac:dyDescent="0.25"/>
    <row r="422" ht="17.100000000000001" customHeight="1" x14ac:dyDescent="0.25"/>
    <row r="423" ht="17.100000000000001" customHeight="1" x14ac:dyDescent="0.25"/>
    <row r="424" ht="17.100000000000001" customHeight="1" x14ac:dyDescent="0.25"/>
    <row r="425" ht="17.100000000000001" customHeight="1" x14ac:dyDescent="0.25"/>
    <row r="426" ht="17.100000000000001" customHeight="1" x14ac:dyDescent="0.25"/>
    <row r="427" ht="17.100000000000001" customHeight="1" x14ac:dyDescent="0.25"/>
    <row r="428" ht="17.100000000000001" customHeight="1" x14ac:dyDescent="0.25"/>
    <row r="429" ht="17.100000000000001" customHeight="1" x14ac:dyDescent="0.25"/>
    <row r="430" ht="17.100000000000001" customHeight="1" x14ac:dyDescent="0.25"/>
    <row r="431" ht="17.100000000000001" customHeight="1" x14ac:dyDescent="0.25"/>
    <row r="432" ht="17.100000000000001" customHeight="1" x14ac:dyDescent="0.25"/>
    <row r="433" ht="17.100000000000001" customHeight="1" x14ac:dyDescent="0.25"/>
    <row r="434" ht="17.100000000000001" customHeight="1" x14ac:dyDescent="0.25"/>
    <row r="435" ht="17.100000000000001" customHeight="1" x14ac:dyDescent="0.25"/>
    <row r="436" ht="17.100000000000001" customHeight="1" x14ac:dyDescent="0.25"/>
    <row r="437" ht="17.100000000000001" customHeight="1" x14ac:dyDescent="0.25"/>
    <row r="438" ht="17.100000000000001" customHeight="1" x14ac:dyDescent="0.25"/>
    <row r="439" ht="17.100000000000001" customHeight="1" x14ac:dyDescent="0.25"/>
    <row r="440" ht="17.100000000000001" customHeight="1" x14ac:dyDescent="0.25"/>
    <row r="441" ht="17.100000000000001" customHeight="1" x14ac:dyDescent="0.25"/>
    <row r="442" ht="17.100000000000001" customHeight="1" x14ac:dyDescent="0.25"/>
    <row r="443" ht="17.100000000000001" customHeight="1" x14ac:dyDescent="0.25"/>
    <row r="444" ht="17.100000000000001" customHeight="1" x14ac:dyDescent="0.25"/>
    <row r="445" ht="17.100000000000001" customHeight="1" x14ac:dyDescent="0.25"/>
    <row r="446" ht="17.100000000000001" customHeight="1" x14ac:dyDescent="0.25"/>
    <row r="447" ht="17.100000000000001" customHeight="1" x14ac:dyDescent="0.25"/>
    <row r="448" ht="17.100000000000001" customHeight="1" x14ac:dyDescent="0.25"/>
    <row r="449" ht="17.100000000000001" customHeight="1" x14ac:dyDescent="0.25"/>
    <row r="450" ht="17.100000000000001" customHeight="1" x14ac:dyDescent="0.25"/>
    <row r="451" ht="17.100000000000001" customHeight="1" x14ac:dyDescent="0.25"/>
    <row r="452" ht="17.100000000000001" customHeight="1" x14ac:dyDescent="0.25"/>
    <row r="453" ht="17.100000000000001" customHeight="1" x14ac:dyDescent="0.25"/>
    <row r="454" ht="17.100000000000001" customHeight="1" x14ac:dyDescent="0.25"/>
    <row r="455" ht="17.100000000000001" customHeight="1" x14ac:dyDescent="0.25"/>
    <row r="456" ht="17.100000000000001" customHeight="1" x14ac:dyDescent="0.25"/>
    <row r="457" ht="17.100000000000001" customHeight="1" x14ac:dyDescent="0.25"/>
    <row r="458" ht="17.100000000000001" customHeight="1" x14ac:dyDescent="0.25"/>
    <row r="459" ht="17.100000000000001" customHeight="1" x14ac:dyDescent="0.25"/>
    <row r="460" ht="17.100000000000001" customHeight="1" x14ac:dyDescent="0.25"/>
    <row r="461" ht="17.100000000000001" customHeight="1" x14ac:dyDescent="0.25"/>
    <row r="462" ht="17.100000000000001" customHeight="1" x14ac:dyDescent="0.25"/>
    <row r="463" ht="17.100000000000001" customHeight="1" x14ac:dyDescent="0.25"/>
    <row r="464" ht="17.100000000000001" customHeight="1" x14ac:dyDescent="0.25"/>
    <row r="465" ht="17.100000000000001" customHeight="1" x14ac:dyDescent="0.25"/>
    <row r="466" ht="17.100000000000001" customHeight="1" x14ac:dyDescent="0.25"/>
    <row r="467" ht="17.100000000000001" customHeight="1" x14ac:dyDescent="0.25"/>
    <row r="468" ht="17.100000000000001" customHeight="1" x14ac:dyDescent="0.25"/>
    <row r="469" ht="17.100000000000001" customHeight="1" x14ac:dyDescent="0.25"/>
    <row r="470" ht="17.100000000000001" customHeight="1" x14ac:dyDescent="0.25"/>
    <row r="471" ht="17.100000000000001" customHeight="1" x14ac:dyDescent="0.25"/>
    <row r="472" ht="17.100000000000001" customHeight="1" x14ac:dyDescent="0.25"/>
    <row r="473" ht="17.100000000000001" customHeight="1" x14ac:dyDescent="0.25"/>
    <row r="474" ht="17.100000000000001" customHeight="1" x14ac:dyDescent="0.25"/>
    <row r="475" ht="17.100000000000001" customHeight="1" x14ac:dyDescent="0.25"/>
    <row r="476" ht="17.100000000000001" customHeight="1" x14ac:dyDescent="0.25"/>
    <row r="477" ht="17.100000000000001" customHeight="1" x14ac:dyDescent="0.25"/>
    <row r="478" ht="17.100000000000001" customHeight="1" x14ac:dyDescent="0.25"/>
    <row r="479" ht="17.100000000000001" customHeight="1" x14ac:dyDescent="0.25"/>
    <row r="480" ht="17.100000000000001" customHeight="1" x14ac:dyDescent="0.25"/>
    <row r="481" ht="17.100000000000001" customHeight="1" x14ac:dyDescent="0.25"/>
    <row r="482" ht="17.100000000000001" customHeight="1" x14ac:dyDescent="0.25"/>
    <row r="483" ht="17.100000000000001" customHeight="1" x14ac:dyDescent="0.25"/>
    <row r="484" ht="17.100000000000001" customHeight="1" x14ac:dyDescent="0.25"/>
    <row r="485" ht="17.100000000000001" customHeight="1" x14ac:dyDescent="0.25"/>
    <row r="486" ht="17.100000000000001" customHeight="1" x14ac:dyDescent="0.25"/>
    <row r="487" ht="17.100000000000001" customHeight="1" x14ac:dyDescent="0.25"/>
    <row r="488" ht="17.100000000000001" customHeight="1" x14ac:dyDescent="0.25"/>
    <row r="489" ht="17.100000000000001" customHeight="1" x14ac:dyDescent="0.25"/>
    <row r="490" ht="17.100000000000001" customHeight="1" x14ac:dyDescent="0.25"/>
    <row r="491" ht="17.100000000000001" customHeight="1" x14ac:dyDescent="0.25"/>
    <row r="492" ht="17.100000000000001" customHeight="1" x14ac:dyDescent="0.25"/>
    <row r="493" ht="17.100000000000001" customHeight="1" x14ac:dyDescent="0.25"/>
    <row r="494" ht="17.100000000000001" customHeight="1" x14ac:dyDescent="0.25"/>
    <row r="495" ht="17.100000000000001" customHeight="1" x14ac:dyDescent="0.25"/>
    <row r="496" ht="17.100000000000001" customHeight="1" x14ac:dyDescent="0.25"/>
    <row r="497" ht="17.100000000000001" customHeight="1" x14ac:dyDescent="0.25"/>
    <row r="498" ht="17.100000000000001" customHeight="1" x14ac:dyDescent="0.25"/>
    <row r="499" ht="17.100000000000001" customHeight="1" x14ac:dyDescent="0.25"/>
    <row r="500" ht="17.100000000000001" customHeight="1" x14ac:dyDescent="0.25"/>
    <row r="501" ht="17.100000000000001" customHeight="1" x14ac:dyDescent="0.25"/>
    <row r="502" ht="17.100000000000001" customHeight="1" x14ac:dyDescent="0.25"/>
    <row r="503" ht="17.100000000000001" customHeight="1" x14ac:dyDescent="0.25"/>
    <row r="504" ht="17.100000000000001" customHeight="1" x14ac:dyDescent="0.25"/>
    <row r="505" ht="17.100000000000001" customHeight="1" x14ac:dyDescent="0.25"/>
    <row r="506" ht="17.100000000000001" customHeight="1" x14ac:dyDescent="0.25"/>
    <row r="507" ht="17.100000000000001" customHeight="1" x14ac:dyDescent="0.25"/>
    <row r="508" ht="17.100000000000001" customHeight="1" x14ac:dyDescent="0.25"/>
    <row r="509" ht="17.100000000000001" customHeight="1" x14ac:dyDescent="0.25"/>
    <row r="510" ht="17.100000000000001" customHeight="1" x14ac:dyDescent="0.25"/>
    <row r="511" ht="17.100000000000001" customHeight="1" x14ac:dyDescent="0.25"/>
    <row r="512" ht="17.100000000000001" customHeight="1" x14ac:dyDescent="0.25"/>
    <row r="513" ht="17.100000000000001" customHeight="1" x14ac:dyDescent="0.25"/>
    <row r="514" ht="17.100000000000001" customHeight="1" x14ac:dyDescent="0.25"/>
    <row r="515" ht="17.100000000000001" customHeight="1" x14ac:dyDescent="0.25"/>
    <row r="516" ht="17.100000000000001" customHeight="1" x14ac:dyDescent="0.25"/>
    <row r="517" ht="17.100000000000001" customHeight="1" x14ac:dyDescent="0.25"/>
    <row r="518" ht="17.100000000000001" customHeight="1" x14ac:dyDescent="0.25"/>
    <row r="519" ht="17.100000000000001" customHeight="1" x14ac:dyDescent="0.25"/>
    <row r="520" ht="17.100000000000001" customHeight="1" x14ac:dyDescent="0.25"/>
    <row r="521" ht="17.100000000000001" customHeight="1" x14ac:dyDescent="0.25"/>
    <row r="522" ht="17.100000000000001" customHeight="1" x14ac:dyDescent="0.25"/>
    <row r="523" ht="17.100000000000001" customHeight="1" x14ac:dyDescent="0.25"/>
    <row r="524" ht="17.100000000000001" customHeight="1" x14ac:dyDescent="0.25"/>
    <row r="525" ht="17.100000000000001" customHeight="1" x14ac:dyDescent="0.25"/>
    <row r="526" ht="17.100000000000001" customHeight="1" x14ac:dyDescent="0.25"/>
    <row r="527" ht="17.100000000000001" customHeight="1" x14ac:dyDescent="0.25"/>
    <row r="528" ht="17.100000000000001" customHeight="1" x14ac:dyDescent="0.25"/>
    <row r="529" ht="17.100000000000001" customHeight="1" x14ac:dyDescent="0.25"/>
    <row r="530" ht="17.100000000000001" customHeight="1" x14ac:dyDescent="0.25"/>
    <row r="531" ht="17.100000000000001" customHeight="1" x14ac:dyDescent="0.25"/>
    <row r="532" ht="17.100000000000001" customHeight="1" x14ac:dyDescent="0.25"/>
    <row r="533" ht="17.100000000000001" customHeight="1" x14ac:dyDescent="0.25"/>
    <row r="534" ht="17.100000000000001" customHeight="1" x14ac:dyDescent="0.25"/>
    <row r="535" ht="17.100000000000001" customHeight="1" x14ac:dyDescent="0.25"/>
    <row r="536" ht="17.100000000000001" customHeight="1" x14ac:dyDescent="0.25"/>
    <row r="537" ht="17.100000000000001" customHeight="1" x14ac:dyDescent="0.25"/>
    <row r="538" ht="17.100000000000001" customHeight="1" x14ac:dyDescent="0.25"/>
    <row r="539" ht="17.100000000000001" customHeight="1" x14ac:dyDescent="0.25"/>
    <row r="540" ht="17.100000000000001" customHeight="1" x14ac:dyDescent="0.25"/>
    <row r="541" ht="17.100000000000001" customHeight="1" x14ac:dyDescent="0.25"/>
    <row r="542" ht="17.100000000000001" customHeight="1" x14ac:dyDescent="0.25"/>
    <row r="543" ht="17.100000000000001" customHeight="1" x14ac:dyDescent="0.25"/>
    <row r="544" ht="17.100000000000001" customHeight="1" x14ac:dyDescent="0.25"/>
    <row r="545" ht="17.100000000000001" customHeight="1" x14ac:dyDescent="0.25"/>
    <row r="546" ht="17.100000000000001" customHeight="1" x14ac:dyDescent="0.25"/>
    <row r="547" ht="17.100000000000001" customHeight="1" x14ac:dyDescent="0.25"/>
    <row r="548" ht="17.100000000000001" customHeight="1" x14ac:dyDescent="0.25"/>
    <row r="549" ht="17.100000000000001" customHeight="1" x14ac:dyDescent="0.25"/>
    <row r="550" ht="17.100000000000001" customHeight="1" x14ac:dyDescent="0.25"/>
    <row r="551" ht="17.100000000000001" customHeight="1" x14ac:dyDescent="0.25"/>
    <row r="552" ht="17.100000000000001" customHeight="1" x14ac:dyDescent="0.25"/>
    <row r="553" ht="17.100000000000001" customHeight="1" x14ac:dyDescent="0.25"/>
    <row r="554" ht="17.100000000000001" customHeight="1" x14ac:dyDescent="0.25"/>
    <row r="555" ht="17.100000000000001" customHeight="1" x14ac:dyDescent="0.25"/>
    <row r="556" ht="17.100000000000001" customHeight="1" x14ac:dyDescent="0.25"/>
    <row r="557" ht="17.100000000000001" customHeight="1" x14ac:dyDescent="0.25"/>
    <row r="558" ht="17.100000000000001" customHeight="1" x14ac:dyDescent="0.25"/>
    <row r="559" ht="17.100000000000001" customHeight="1" x14ac:dyDescent="0.25"/>
    <row r="560" ht="17.100000000000001" customHeight="1" x14ac:dyDescent="0.25"/>
    <row r="561" ht="17.100000000000001" customHeight="1" x14ac:dyDescent="0.25"/>
    <row r="562" ht="17.100000000000001" customHeight="1" x14ac:dyDescent="0.25"/>
    <row r="563" ht="17.100000000000001" customHeight="1" x14ac:dyDescent="0.25"/>
    <row r="564" ht="17.100000000000001" customHeight="1" x14ac:dyDescent="0.25"/>
    <row r="565" ht="17.100000000000001" customHeight="1" x14ac:dyDescent="0.25"/>
    <row r="566" ht="17.100000000000001" customHeight="1" x14ac:dyDescent="0.25"/>
    <row r="567" ht="17.100000000000001" customHeight="1" x14ac:dyDescent="0.25"/>
    <row r="568" ht="17.100000000000001" customHeight="1" x14ac:dyDescent="0.25"/>
    <row r="569" ht="17.100000000000001" customHeight="1" x14ac:dyDescent="0.25"/>
    <row r="570" ht="17.100000000000001" customHeight="1" x14ac:dyDescent="0.25"/>
    <row r="571" ht="17.100000000000001" customHeight="1" x14ac:dyDescent="0.25"/>
    <row r="572" ht="17.100000000000001" customHeight="1" x14ac:dyDescent="0.25"/>
    <row r="573" ht="17.100000000000001" customHeight="1" x14ac:dyDescent="0.25"/>
    <row r="574" ht="17.100000000000001" customHeight="1" x14ac:dyDescent="0.25"/>
    <row r="575" ht="17.100000000000001" customHeight="1" x14ac:dyDescent="0.25"/>
    <row r="576" ht="17.100000000000001" customHeight="1" x14ac:dyDescent="0.25"/>
    <row r="577" ht="17.100000000000001" customHeight="1" x14ac:dyDescent="0.25"/>
    <row r="578" ht="17.100000000000001" customHeight="1" x14ac:dyDescent="0.25"/>
    <row r="579" ht="17.100000000000001" customHeight="1" x14ac:dyDescent="0.25"/>
    <row r="580" ht="17.100000000000001" customHeight="1" x14ac:dyDescent="0.25"/>
    <row r="581" ht="17.100000000000001" customHeight="1" x14ac:dyDescent="0.25"/>
    <row r="582" ht="17.100000000000001" customHeight="1" x14ac:dyDescent="0.25"/>
    <row r="583" ht="17.100000000000001" customHeight="1" x14ac:dyDescent="0.25"/>
    <row r="584" ht="17.100000000000001" customHeight="1" x14ac:dyDescent="0.25"/>
    <row r="585" ht="17.100000000000001" customHeight="1" x14ac:dyDescent="0.25"/>
    <row r="586" ht="17.100000000000001" customHeight="1" x14ac:dyDescent="0.25"/>
    <row r="587" ht="17.100000000000001" customHeight="1" x14ac:dyDescent="0.25"/>
    <row r="588" ht="17.100000000000001" customHeight="1" x14ac:dyDescent="0.25"/>
    <row r="589" ht="17.100000000000001" customHeight="1" x14ac:dyDescent="0.25"/>
    <row r="590" ht="17.100000000000001" customHeight="1" x14ac:dyDescent="0.25"/>
    <row r="591" ht="17.100000000000001" customHeight="1" x14ac:dyDescent="0.25"/>
    <row r="592" ht="17.100000000000001" customHeight="1" x14ac:dyDescent="0.25"/>
    <row r="593" ht="17.100000000000001" customHeight="1" x14ac:dyDescent="0.25"/>
    <row r="594" ht="17.100000000000001" customHeight="1" x14ac:dyDescent="0.25"/>
    <row r="595" ht="17.100000000000001" customHeight="1" x14ac:dyDescent="0.25"/>
    <row r="596" ht="17.100000000000001" customHeight="1" x14ac:dyDescent="0.25"/>
    <row r="597" ht="17.100000000000001" customHeight="1" x14ac:dyDescent="0.25"/>
    <row r="598" ht="17.100000000000001" customHeight="1" x14ac:dyDescent="0.25"/>
    <row r="599" ht="17.100000000000001" customHeight="1" x14ac:dyDescent="0.25"/>
    <row r="600" ht="17.100000000000001" customHeight="1" x14ac:dyDescent="0.25"/>
    <row r="601" ht="17.100000000000001" customHeight="1" x14ac:dyDescent="0.25"/>
    <row r="602" ht="17.100000000000001" customHeight="1" x14ac:dyDescent="0.25"/>
    <row r="603" ht="17.100000000000001" customHeight="1" x14ac:dyDescent="0.25"/>
    <row r="604" ht="17.100000000000001" customHeight="1" x14ac:dyDescent="0.25"/>
    <row r="605" ht="17.100000000000001" customHeight="1" x14ac:dyDescent="0.25"/>
    <row r="606" ht="17.100000000000001" customHeight="1" x14ac:dyDescent="0.25"/>
    <row r="607" ht="17.100000000000001" customHeight="1" x14ac:dyDescent="0.25"/>
    <row r="608" ht="17.100000000000001" customHeight="1" x14ac:dyDescent="0.25"/>
    <row r="609" ht="17.100000000000001" customHeight="1" x14ac:dyDescent="0.25"/>
    <row r="610" ht="17.100000000000001" customHeight="1" x14ac:dyDescent="0.25"/>
    <row r="611" ht="17.100000000000001" customHeight="1" x14ac:dyDescent="0.25"/>
    <row r="612" ht="17.100000000000001" customHeight="1" x14ac:dyDescent="0.25"/>
    <row r="613" ht="17.100000000000001" customHeight="1" x14ac:dyDescent="0.25"/>
    <row r="614" ht="17.100000000000001" customHeight="1" x14ac:dyDescent="0.25"/>
    <row r="615" ht="17.100000000000001" customHeight="1" x14ac:dyDescent="0.25"/>
    <row r="616" ht="17.100000000000001" customHeight="1" x14ac:dyDescent="0.25"/>
    <row r="617" ht="17.100000000000001" customHeight="1" x14ac:dyDescent="0.25"/>
    <row r="618" ht="17.100000000000001" customHeight="1" x14ac:dyDescent="0.25"/>
    <row r="619" ht="17.100000000000001" customHeight="1" x14ac:dyDescent="0.25"/>
    <row r="620" ht="17.100000000000001" customHeight="1" x14ac:dyDescent="0.25"/>
    <row r="621" ht="17.100000000000001" customHeight="1" x14ac:dyDescent="0.25"/>
    <row r="622" ht="17.100000000000001" customHeight="1" x14ac:dyDescent="0.25"/>
    <row r="623" ht="17.100000000000001" customHeight="1" x14ac:dyDescent="0.25"/>
    <row r="624" ht="17.100000000000001" customHeight="1" x14ac:dyDescent="0.25"/>
    <row r="625" ht="17.100000000000001" customHeight="1" x14ac:dyDescent="0.25"/>
    <row r="626" ht="17.100000000000001" customHeight="1" x14ac:dyDescent="0.25"/>
    <row r="627" ht="17.100000000000001" customHeight="1" x14ac:dyDescent="0.25"/>
    <row r="628" ht="17.100000000000001" customHeight="1" x14ac:dyDescent="0.25"/>
    <row r="629" ht="17.100000000000001" customHeight="1" x14ac:dyDescent="0.25"/>
    <row r="630" ht="17.100000000000001" customHeight="1" x14ac:dyDescent="0.25"/>
    <row r="631" ht="17.100000000000001" customHeight="1" x14ac:dyDescent="0.25"/>
    <row r="632" ht="17.100000000000001" customHeight="1" x14ac:dyDescent="0.25"/>
    <row r="633" ht="17.100000000000001" customHeight="1" x14ac:dyDescent="0.25"/>
    <row r="634" ht="17.100000000000001" customHeight="1" x14ac:dyDescent="0.25"/>
    <row r="635" ht="17.100000000000001" customHeight="1" x14ac:dyDescent="0.25"/>
    <row r="636" ht="17.100000000000001" customHeight="1" x14ac:dyDescent="0.25"/>
    <row r="637" ht="17.100000000000001" customHeight="1" x14ac:dyDescent="0.25"/>
    <row r="638" ht="17.100000000000001" customHeight="1" x14ac:dyDescent="0.25"/>
    <row r="639" ht="17.100000000000001" customHeight="1" x14ac:dyDescent="0.25"/>
    <row r="640" ht="17.100000000000001" customHeight="1" x14ac:dyDescent="0.25"/>
    <row r="641" ht="17.100000000000001" customHeight="1" x14ac:dyDescent="0.25"/>
    <row r="642" ht="17.100000000000001" customHeight="1" x14ac:dyDescent="0.25"/>
    <row r="643" ht="17.100000000000001" customHeight="1" x14ac:dyDescent="0.25"/>
    <row r="644" ht="17.100000000000001" customHeight="1" x14ac:dyDescent="0.25"/>
    <row r="645" ht="17.100000000000001" customHeight="1" x14ac:dyDescent="0.25"/>
    <row r="646" ht="17.100000000000001" customHeight="1" x14ac:dyDescent="0.25"/>
    <row r="647" ht="17.100000000000001" customHeight="1" x14ac:dyDescent="0.25"/>
    <row r="648" ht="17.100000000000001" customHeight="1" x14ac:dyDescent="0.25"/>
    <row r="649" ht="17.100000000000001" customHeight="1" x14ac:dyDescent="0.25"/>
    <row r="650" ht="17.100000000000001" customHeight="1" x14ac:dyDescent="0.25"/>
    <row r="651" ht="17.100000000000001" customHeight="1" x14ac:dyDescent="0.25"/>
    <row r="652" ht="17.100000000000001" customHeight="1" x14ac:dyDescent="0.25"/>
    <row r="653" ht="17.100000000000001" customHeight="1" x14ac:dyDescent="0.25"/>
    <row r="654" ht="17.100000000000001" customHeight="1" x14ac:dyDescent="0.25"/>
    <row r="655" ht="17.100000000000001" customHeight="1" x14ac:dyDescent="0.25"/>
    <row r="656" ht="17.100000000000001" customHeight="1" x14ac:dyDescent="0.25"/>
    <row r="657" ht="17.100000000000001" customHeight="1" x14ac:dyDescent="0.25"/>
    <row r="658" ht="17.100000000000001" customHeight="1" x14ac:dyDescent="0.25"/>
    <row r="659" ht="17.100000000000001" customHeight="1" x14ac:dyDescent="0.25"/>
    <row r="660" ht="17.100000000000001" customHeight="1" x14ac:dyDescent="0.25"/>
    <row r="661" ht="17.100000000000001" customHeight="1" x14ac:dyDescent="0.25"/>
    <row r="662" ht="17.100000000000001" customHeight="1" x14ac:dyDescent="0.25"/>
    <row r="663" ht="17.100000000000001" customHeight="1" x14ac:dyDescent="0.25"/>
    <row r="664" ht="17.100000000000001" customHeight="1" x14ac:dyDescent="0.25"/>
    <row r="665" ht="17.100000000000001" customHeight="1" x14ac:dyDescent="0.25"/>
    <row r="666" ht="17.100000000000001" customHeight="1" x14ac:dyDescent="0.25"/>
    <row r="667" ht="17.100000000000001" customHeight="1" x14ac:dyDescent="0.25"/>
    <row r="668" ht="17.100000000000001" customHeight="1" x14ac:dyDescent="0.25"/>
    <row r="669" ht="17.100000000000001" customHeight="1" x14ac:dyDescent="0.25"/>
    <row r="670" ht="17.100000000000001" customHeight="1" x14ac:dyDescent="0.25"/>
    <row r="671" ht="17.100000000000001" customHeight="1" x14ac:dyDescent="0.25"/>
    <row r="672" ht="17.100000000000001" customHeight="1" x14ac:dyDescent="0.25"/>
    <row r="673" ht="17.100000000000001" customHeight="1" x14ac:dyDescent="0.25"/>
    <row r="674" ht="17.100000000000001" customHeight="1" x14ac:dyDescent="0.25"/>
    <row r="675" ht="17.100000000000001" customHeight="1" x14ac:dyDescent="0.25"/>
    <row r="676" ht="17.100000000000001" customHeight="1" x14ac:dyDescent="0.25"/>
    <row r="677" ht="17.100000000000001" customHeight="1" x14ac:dyDescent="0.25"/>
    <row r="678" ht="17.100000000000001" customHeight="1" x14ac:dyDescent="0.25"/>
    <row r="679" ht="17.100000000000001" customHeight="1" x14ac:dyDescent="0.25"/>
    <row r="680" ht="17.100000000000001" customHeight="1" x14ac:dyDescent="0.25"/>
    <row r="681" ht="17.100000000000001" customHeight="1" x14ac:dyDescent="0.25"/>
    <row r="682" ht="17.100000000000001" customHeight="1" x14ac:dyDescent="0.25"/>
    <row r="683" ht="17.100000000000001" customHeight="1" x14ac:dyDescent="0.25"/>
    <row r="684" ht="17.100000000000001" customHeight="1" x14ac:dyDescent="0.25"/>
    <row r="685" ht="17.100000000000001" customHeight="1" x14ac:dyDescent="0.25"/>
    <row r="686" ht="17.100000000000001" customHeight="1" x14ac:dyDescent="0.25"/>
    <row r="687" ht="17.100000000000001" customHeight="1" x14ac:dyDescent="0.25"/>
    <row r="688" ht="17.100000000000001" customHeight="1" x14ac:dyDescent="0.25"/>
    <row r="689" ht="17.100000000000001" customHeight="1" x14ac:dyDescent="0.25"/>
    <row r="690" ht="17.100000000000001" customHeight="1" x14ac:dyDescent="0.25"/>
    <row r="691" ht="17.100000000000001" customHeight="1" x14ac:dyDescent="0.25"/>
    <row r="692" ht="17.100000000000001" customHeight="1" x14ac:dyDescent="0.25"/>
    <row r="693" ht="17.100000000000001" customHeight="1" x14ac:dyDescent="0.25"/>
    <row r="694" ht="17.100000000000001" customHeight="1" x14ac:dyDescent="0.25"/>
    <row r="695" ht="17.100000000000001" customHeight="1" x14ac:dyDescent="0.25"/>
    <row r="696" ht="17.100000000000001" customHeight="1" x14ac:dyDescent="0.25"/>
    <row r="697" ht="17.100000000000001" customHeight="1" x14ac:dyDescent="0.25"/>
    <row r="698" ht="17.100000000000001" customHeight="1" x14ac:dyDescent="0.25"/>
    <row r="699" ht="17.100000000000001" customHeight="1" x14ac:dyDescent="0.25"/>
    <row r="700" ht="17.100000000000001" customHeight="1" x14ac:dyDescent="0.25"/>
    <row r="701" ht="17.100000000000001" customHeight="1" x14ac:dyDescent="0.25"/>
    <row r="702" ht="17.100000000000001" customHeight="1" x14ac:dyDescent="0.25"/>
    <row r="703" ht="17.100000000000001" customHeight="1" x14ac:dyDescent="0.25"/>
    <row r="704" ht="17.100000000000001" customHeight="1" x14ac:dyDescent="0.25"/>
    <row r="705" ht="17.100000000000001" customHeight="1" x14ac:dyDescent="0.25"/>
    <row r="706" ht="17.100000000000001" customHeight="1" x14ac:dyDescent="0.25"/>
    <row r="707" ht="17.100000000000001" customHeight="1" x14ac:dyDescent="0.25"/>
    <row r="708" ht="17.100000000000001" customHeight="1" x14ac:dyDescent="0.25"/>
    <row r="709" ht="17.100000000000001" customHeight="1" x14ac:dyDescent="0.25"/>
    <row r="710" ht="17.100000000000001" customHeight="1" x14ac:dyDescent="0.25"/>
    <row r="711" ht="17.100000000000001" customHeight="1" x14ac:dyDescent="0.25"/>
    <row r="712" ht="17.100000000000001" customHeight="1" x14ac:dyDescent="0.25"/>
    <row r="713" ht="17.100000000000001" customHeight="1" x14ac:dyDescent="0.25"/>
    <row r="714" ht="17.100000000000001" customHeight="1" x14ac:dyDescent="0.25"/>
    <row r="715" ht="17.100000000000001" customHeight="1" x14ac:dyDescent="0.25"/>
    <row r="716" ht="17.100000000000001" customHeight="1" x14ac:dyDescent="0.25"/>
    <row r="717" ht="17.100000000000001" customHeight="1" x14ac:dyDescent="0.25"/>
    <row r="718" ht="17.100000000000001" customHeight="1" x14ac:dyDescent="0.25"/>
    <row r="719" ht="17.100000000000001" customHeight="1" x14ac:dyDescent="0.25"/>
    <row r="720" ht="17.100000000000001" customHeight="1" x14ac:dyDescent="0.25"/>
    <row r="721" ht="17.100000000000001" customHeight="1" x14ac:dyDescent="0.25"/>
    <row r="722" ht="17.100000000000001" customHeight="1" x14ac:dyDescent="0.25"/>
    <row r="723" ht="17.100000000000001" customHeight="1" x14ac:dyDescent="0.25"/>
    <row r="724" ht="17.100000000000001" customHeight="1" x14ac:dyDescent="0.25"/>
    <row r="725" ht="17.100000000000001" customHeight="1" x14ac:dyDescent="0.25"/>
    <row r="726" ht="17.100000000000001" customHeight="1" x14ac:dyDescent="0.25"/>
    <row r="727" ht="17.100000000000001" customHeight="1" x14ac:dyDescent="0.25"/>
    <row r="728" ht="17.100000000000001" customHeight="1" x14ac:dyDescent="0.25"/>
    <row r="729" ht="17.100000000000001" customHeight="1" x14ac:dyDescent="0.25"/>
    <row r="730" ht="17.100000000000001" customHeight="1" x14ac:dyDescent="0.25"/>
    <row r="731" ht="17.100000000000001" customHeight="1" x14ac:dyDescent="0.25"/>
    <row r="732" ht="17.100000000000001" customHeight="1" x14ac:dyDescent="0.25"/>
    <row r="733" ht="17.100000000000001" customHeight="1" x14ac:dyDescent="0.25"/>
    <row r="734" ht="17.100000000000001" customHeight="1" x14ac:dyDescent="0.25"/>
    <row r="735" ht="17.100000000000001" customHeight="1" x14ac:dyDescent="0.25"/>
    <row r="736" ht="17.100000000000001" customHeight="1" x14ac:dyDescent="0.25"/>
    <row r="737" ht="17.100000000000001" customHeight="1" x14ac:dyDescent="0.25"/>
    <row r="738" ht="17.100000000000001" customHeight="1" x14ac:dyDescent="0.25"/>
    <row r="739" ht="17.100000000000001" customHeight="1" x14ac:dyDescent="0.25"/>
    <row r="740" ht="17.100000000000001" customHeight="1" x14ac:dyDescent="0.25"/>
    <row r="741" ht="17.100000000000001" customHeight="1" x14ac:dyDescent="0.25"/>
    <row r="742" ht="17.100000000000001" customHeight="1" x14ac:dyDescent="0.25"/>
    <row r="743" ht="17.100000000000001" customHeight="1" x14ac:dyDescent="0.25"/>
    <row r="744" ht="17.100000000000001" customHeight="1" x14ac:dyDescent="0.25"/>
    <row r="745" ht="17.100000000000001" customHeight="1" x14ac:dyDescent="0.25"/>
    <row r="746" ht="17.100000000000001" customHeight="1" x14ac:dyDescent="0.25"/>
    <row r="747" ht="17.100000000000001" customHeight="1" x14ac:dyDescent="0.25"/>
    <row r="748" ht="17.100000000000001" customHeight="1" x14ac:dyDescent="0.25"/>
    <row r="749" ht="17.100000000000001" customHeight="1" x14ac:dyDescent="0.25"/>
    <row r="750" ht="17.100000000000001" customHeight="1" x14ac:dyDescent="0.25"/>
    <row r="751" ht="17.100000000000001" customHeight="1" x14ac:dyDescent="0.25"/>
    <row r="752" ht="17.100000000000001" customHeight="1" x14ac:dyDescent="0.25"/>
    <row r="753" ht="17.100000000000001" customHeight="1" x14ac:dyDescent="0.25"/>
    <row r="754" ht="17.100000000000001" customHeight="1" x14ac:dyDescent="0.25"/>
    <row r="755" ht="17.100000000000001" customHeight="1" x14ac:dyDescent="0.25"/>
    <row r="756" ht="17.100000000000001" customHeight="1" x14ac:dyDescent="0.25"/>
    <row r="757" ht="17.100000000000001" customHeight="1" x14ac:dyDescent="0.25"/>
    <row r="758" ht="17.100000000000001" customHeight="1" x14ac:dyDescent="0.25"/>
    <row r="759" ht="17.100000000000001" customHeight="1" x14ac:dyDescent="0.25"/>
    <row r="760" ht="17.100000000000001" customHeight="1" x14ac:dyDescent="0.25"/>
    <row r="761" ht="17.100000000000001" customHeight="1" x14ac:dyDescent="0.25"/>
    <row r="762" ht="17.100000000000001" customHeight="1" x14ac:dyDescent="0.25"/>
    <row r="763" ht="17.100000000000001" customHeight="1" x14ac:dyDescent="0.25"/>
    <row r="764" ht="17.100000000000001" customHeight="1" x14ac:dyDescent="0.25"/>
    <row r="765" ht="17.100000000000001" customHeight="1" x14ac:dyDescent="0.25"/>
    <row r="766" ht="17.100000000000001" customHeight="1" x14ac:dyDescent="0.25"/>
    <row r="767" ht="17.100000000000001" customHeight="1" x14ac:dyDescent="0.25"/>
    <row r="768" ht="17.100000000000001" customHeight="1" x14ac:dyDescent="0.25"/>
    <row r="769" ht="17.100000000000001" customHeight="1" x14ac:dyDescent="0.25"/>
    <row r="770" ht="17.100000000000001" customHeight="1" x14ac:dyDescent="0.25"/>
    <row r="771" ht="17.100000000000001" customHeight="1" x14ac:dyDescent="0.25"/>
    <row r="772" ht="17.100000000000001" customHeight="1" x14ac:dyDescent="0.25"/>
    <row r="773" ht="17.100000000000001" customHeight="1" x14ac:dyDescent="0.25"/>
    <row r="774" ht="17.100000000000001" customHeight="1" x14ac:dyDescent="0.25"/>
    <row r="775" ht="17.100000000000001" customHeight="1" x14ac:dyDescent="0.25"/>
    <row r="776" ht="17.100000000000001" customHeight="1" x14ac:dyDescent="0.25"/>
    <row r="777" ht="17.100000000000001" customHeight="1" x14ac:dyDescent="0.25"/>
    <row r="778" ht="17.100000000000001" customHeight="1" x14ac:dyDescent="0.25"/>
    <row r="779" ht="17.100000000000001" customHeight="1" x14ac:dyDescent="0.25"/>
    <row r="780" ht="17.100000000000001" customHeight="1" x14ac:dyDescent="0.25"/>
    <row r="781" ht="17.100000000000001" customHeight="1" x14ac:dyDescent="0.25"/>
    <row r="782" ht="17.100000000000001" customHeight="1" x14ac:dyDescent="0.25"/>
    <row r="783" ht="17.100000000000001" customHeight="1" x14ac:dyDescent="0.25"/>
    <row r="784" ht="17.100000000000001" customHeight="1" x14ac:dyDescent="0.25"/>
    <row r="785" ht="17.100000000000001" customHeight="1" x14ac:dyDescent="0.25"/>
    <row r="786" ht="17.100000000000001" customHeight="1" x14ac:dyDescent="0.25"/>
    <row r="787" ht="17.100000000000001" customHeight="1" x14ac:dyDescent="0.25"/>
    <row r="788" ht="17.100000000000001" customHeight="1" x14ac:dyDescent="0.25"/>
    <row r="789" ht="17.100000000000001" customHeight="1" x14ac:dyDescent="0.25"/>
    <row r="790" ht="17.100000000000001" customHeight="1" x14ac:dyDescent="0.25"/>
    <row r="791" ht="17.100000000000001" customHeight="1" x14ac:dyDescent="0.25"/>
    <row r="792" ht="17.100000000000001" customHeight="1" x14ac:dyDescent="0.25"/>
    <row r="793" ht="17.100000000000001" customHeight="1" x14ac:dyDescent="0.25"/>
    <row r="794" ht="17.100000000000001" customHeight="1" x14ac:dyDescent="0.25"/>
    <row r="795" ht="17.100000000000001" customHeight="1" x14ac:dyDescent="0.25"/>
    <row r="796" ht="17.100000000000001" customHeight="1" x14ac:dyDescent="0.25"/>
    <row r="797" ht="17.100000000000001" customHeight="1" x14ac:dyDescent="0.25"/>
    <row r="798" ht="17.100000000000001" customHeight="1" x14ac:dyDescent="0.25"/>
    <row r="799" ht="17.100000000000001" customHeight="1" x14ac:dyDescent="0.25"/>
    <row r="800" ht="17.100000000000001" customHeight="1" x14ac:dyDescent="0.25"/>
    <row r="801" ht="17.100000000000001" customHeight="1" x14ac:dyDescent="0.25"/>
    <row r="802" ht="17.100000000000001" customHeight="1" x14ac:dyDescent="0.25"/>
    <row r="803" ht="17.100000000000001" customHeight="1" x14ac:dyDescent="0.25"/>
    <row r="804" ht="17.100000000000001" customHeight="1" x14ac:dyDescent="0.25"/>
    <row r="805" ht="17.100000000000001" customHeight="1" x14ac:dyDescent="0.25"/>
    <row r="806" ht="17.100000000000001" customHeight="1" x14ac:dyDescent="0.25"/>
    <row r="807" ht="17.100000000000001" customHeight="1" x14ac:dyDescent="0.25"/>
    <row r="808" ht="17.100000000000001" customHeight="1" x14ac:dyDescent="0.25"/>
    <row r="809" ht="17.100000000000001" customHeight="1" x14ac:dyDescent="0.25"/>
    <row r="810" ht="17.100000000000001" customHeight="1" x14ac:dyDescent="0.25"/>
    <row r="811" ht="17.100000000000001" customHeight="1" x14ac:dyDescent="0.25"/>
    <row r="812" ht="17.100000000000001" customHeight="1" x14ac:dyDescent="0.25"/>
    <row r="813" ht="17.100000000000001" customHeight="1" x14ac:dyDescent="0.25"/>
    <row r="814" ht="17.100000000000001" customHeight="1" x14ac:dyDescent="0.25"/>
    <row r="815" ht="17.100000000000001" customHeight="1" x14ac:dyDescent="0.25"/>
    <row r="816" ht="17.100000000000001" customHeight="1" x14ac:dyDescent="0.25"/>
    <row r="817" ht="17.100000000000001" customHeight="1" x14ac:dyDescent="0.25"/>
    <row r="818" ht="17.100000000000001" customHeight="1" x14ac:dyDescent="0.25"/>
    <row r="819" ht="17.100000000000001" customHeight="1" x14ac:dyDescent="0.25"/>
    <row r="820" ht="17.100000000000001" customHeight="1" x14ac:dyDescent="0.25"/>
    <row r="821" ht="17.100000000000001" customHeight="1" x14ac:dyDescent="0.25"/>
    <row r="822" ht="17.100000000000001" customHeight="1" x14ac:dyDescent="0.25"/>
    <row r="823" ht="17.100000000000001" customHeight="1" x14ac:dyDescent="0.25"/>
    <row r="824" ht="17.100000000000001" customHeight="1" x14ac:dyDescent="0.25"/>
    <row r="825" ht="17.100000000000001" customHeight="1" x14ac:dyDescent="0.25"/>
    <row r="826" ht="17.100000000000001" customHeight="1" x14ac:dyDescent="0.25"/>
    <row r="827" ht="17.100000000000001" customHeight="1" x14ac:dyDescent="0.25"/>
    <row r="828" ht="17.100000000000001" customHeight="1" x14ac:dyDescent="0.25"/>
    <row r="829" ht="17.100000000000001" customHeight="1" x14ac:dyDescent="0.25"/>
    <row r="830" ht="17.100000000000001" customHeight="1" x14ac:dyDescent="0.25"/>
    <row r="831" ht="17.100000000000001" customHeight="1" x14ac:dyDescent="0.25"/>
    <row r="832" ht="17.100000000000001" customHeight="1" x14ac:dyDescent="0.25"/>
    <row r="833" ht="17.100000000000001" customHeight="1" x14ac:dyDescent="0.25"/>
    <row r="834" ht="17.100000000000001" customHeight="1" x14ac:dyDescent="0.25"/>
    <row r="835" ht="17.100000000000001" customHeight="1" x14ac:dyDescent="0.25"/>
    <row r="836" ht="17.100000000000001" customHeight="1" x14ac:dyDescent="0.25"/>
    <row r="837" ht="17.100000000000001" customHeight="1" x14ac:dyDescent="0.25"/>
    <row r="838" ht="17.100000000000001" customHeight="1" x14ac:dyDescent="0.25"/>
    <row r="839" ht="17.100000000000001" customHeight="1" x14ac:dyDescent="0.25"/>
    <row r="840" ht="17.100000000000001" customHeight="1" x14ac:dyDescent="0.25"/>
    <row r="841" ht="17.100000000000001" customHeight="1" x14ac:dyDescent="0.25"/>
    <row r="842" ht="17.100000000000001" customHeight="1" x14ac:dyDescent="0.25"/>
    <row r="843" ht="17.100000000000001" customHeight="1" x14ac:dyDescent="0.25"/>
    <row r="844" ht="17.100000000000001" customHeight="1" x14ac:dyDescent="0.25"/>
    <row r="845" ht="17.100000000000001" customHeight="1" x14ac:dyDescent="0.25"/>
    <row r="846" ht="17.100000000000001" customHeight="1" x14ac:dyDescent="0.25"/>
    <row r="847" ht="17.100000000000001" customHeight="1" x14ac:dyDescent="0.25"/>
    <row r="848" ht="17.100000000000001" customHeight="1" x14ac:dyDescent="0.25"/>
    <row r="849" ht="17.100000000000001" customHeight="1" x14ac:dyDescent="0.25"/>
    <row r="850" ht="17.100000000000001" customHeight="1" x14ac:dyDescent="0.25"/>
    <row r="851" ht="17.100000000000001" customHeight="1" x14ac:dyDescent="0.25"/>
    <row r="852" ht="17.100000000000001" customHeight="1" x14ac:dyDescent="0.25"/>
    <row r="853" ht="17.100000000000001" customHeight="1" x14ac:dyDescent="0.25"/>
    <row r="854" ht="17.100000000000001" customHeight="1" x14ac:dyDescent="0.25"/>
    <row r="855" ht="17.100000000000001" customHeight="1" x14ac:dyDescent="0.25"/>
    <row r="856" ht="17.100000000000001" customHeight="1" x14ac:dyDescent="0.25"/>
    <row r="857" ht="17.100000000000001" customHeight="1" x14ac:dyDescent="0.25"/>
    <row r="858" ht="17.100000000000001" customHeight="1" x14ac:dyDescent="0.25"/>
    <row r="859" ht="17.100000000000001" customHeight="1" x14ac:dyDescent="0.25"/>
    <row r="860" ht="17.100000000000001" customHeight="1" x14ac:dyDescent="0.25"/>
    <row r="861" ht="17.100000000000001" customHeight="1" x14ac:dyDescent="0.25"/>
    <row r="862" ht="17.100000000000001" customHeight="1" x14ac:dyDescent="0.25"/>
    <row r="863" ht="17.100000000000001" customHeight="1" x14ac:dyDescent="0.25"/>
    <row r="864" ht="17.100000000000001" customHeight="1" x14ac:dyDescent="0.25"/>
    <row r="865" ht="17.100000000000001" customHeight="1" x14ac:dyDescent="0.25"/>
    <row r="866" ht="17.100000000000001" customHeight="1" x14ac:dyDescent="0.25"/>
    <row r="867" ht="17.100000000000001" customHeight="1" x14ac:dyDescent="0.25"/>
    <row r="868" ht="17.100000000000001" customHeight="1" x14ac:dyDescent="0.25"/>
    <row r="869" ht="17.100000000000001" customHeight="1" x14ac:dyDescent="0.25"/>
    <row r="870" ht="17.100000000000001" customHeight="1" x14ac:dyDescent="0.25"/>
    <row r="871" ht="17.100000000000001" customHeight="1" x14ac:dyDescent="0.25"/>
    <row r="872" ht="17.100000000000001" customHeight="1" x14ac:dyDescent="0.25"/>
    <row r="873" ht="17.100000000000001" customHeight="1" x14ac:dyDescent="0.25"/>
    <row r="874" ht="17.100000000000001" customHeight="1" x14ac:dyDescent="0.25"/>
    <row r="875" ht="17.100000000000001" customHeight="1" x14ac:dyDescent="0.25"/>
    <row r="876" ht="17.100000000000001" customHeight="1" x14ac:dyDescent="0.25"/>
    <row r="877" ht="17.100000000000001" customHeight="1" x14ac:dyDescent="0.25"/>
    <row r="878" ht="17.100000000000001" customHeight="1" x14ac:dyDescent="0.25"/>
    <row r="879" ht="17.100000000000001" customHeight="1" x14ac:dyDescent="0.25"/>
    <row r="880" ht="17.100000000000001" customHeight="1" x14ac:dyDescent="0.25"/>
    <row r="881" ht="17.100000000000001" customHeight="1" x14ac:dyDescent="0.25"/>
    <row r="882" ht="17.100000000000001" customHeight="1" x14ac:dyDescent="0.25"/>
    <row r="883" ht="17.100000000000001" customHeight="1" x14ac:dyDescent="0.25"/>
    <row r="884" ht="17.100000000000001" customHeight="1" x14ac:dyDescent="0.25"/>
    <row r="885" ht="17.100000000000001" customHeight="1" x14ac:dyDescent="0.25"/>
    <row r="886" ht="17.100000000000001" customHeight="1" x14ac:dyDescent="0.25"/>
    <row r="887" ht="17.100000000000001" customHeight="1" x14ac:dyDescent="0.25"/>
    <row r="888" ht="17.100000000000001" customHeight="1" x14ac:dyDescent="0.25"/>
    <row r="889" ht="17.100000000000001" customHeight="1" x14ac:dyDescent="0.25"/>
    <row r="890" ht="17.100000000000001" customHeight="1" x14ac:dyDescent="0.25"/>
    <row r="891" ht="17.100000000000001" customHeight="1" x14ac:dyDescent="0.25"/>
    <row r="892" ht="17.100000000000001" customHeight="1" x14ac:dyDescent="0.25"/>
    <row r="893" ht="17.100000000000001" customHeight="1" x14ac:dyDescent="0.25"/>
    <row r="894" ht="17.100000000000001" customHeight="1" x14ac:dyDescent="0.25"/>
    <row r="895" ht="17.100000000000001" customHeight="1" x14ac:dyDescent="0.25"/>
    <row r="896" ht="17.100000000000001" customHeight="1" x14ac:dyDescent="0.25"/>
    <row r="897" ht="17.100000000000001" customHeight="1" x14ac:dyDescent="0.25"/>
    <row r="898" ht="17.100000000000001" customHeight="1" x14ac:dyDescent="0.25"/>
    <row r="899" ht="17.100000000000001" customHeight="1" x14ac:dyDescent="0.25"/>
    <row r="900" ht="17.100000000000001" customHeight="1" x14ac:dyDescent="0.25"/>
    <row r="901" ht="17.100000000000001" customHeight="1" x14ac:dyDescent="0.25"/>
    <row r="902" ht="17.100000000000001" customHeight="1" x14ac:dyDescent="0.25"/>
    <row r="903" ht="17.100000000000001" customHeight="1" x14ac:dyDescent="0.25"/>
    <row r="904" ht="17.100000000000001" customHeight="1" x14ac:dyDescent="0.25"/>
    <row r="905" ht="17.100000000000001" customHeight="1" x14ac:dyDescent="0.25"/>
    <row r="906" ht="17.100000000000001" customHeight="1" x14ac:dyDescent="0.25"/>
    <row r="907" ht="17.100000000000001" customHeight="1" x14ac:dyDescent="0.25"/>
    <row r="908" ht="17.100000000000001" customHeight="1" x14ac:dyDescent="0.25"/>
    <row r="909" ht="17.100000000000001" customHeight="1" x14ac:dyDescent="0.25"/>
    <row r="910" ht="17.100000000000001" customHeight="1" x14ac:dyDescent="0.25"/>
    <row r="911" ht="17.100000000000001" customHeight="1" x14ac:dyDescent="0.25"/>
    <row r="912" ht="17.100000000000001" customHeight="1" x14ac:dyDescent="0.25"/>
    <row r="913" ht="17.100000000000001" customHeight="1" x14ac:dyDescent="0.25"/>
    <row r="914" ht="17.100000000000001" customHeight="1" x14ac:dyDescent="0.25"/>
    <row r="915" ht="17.100000000000001" customHeight="1" x14ac:dyDescent="0.25"/>
    <row r="916" ht="17.100000000000001" customHeight="1" x14ac:dyDescent="0.25"/>
    <row r="917" ht="17.100000000000001" customHeight="1" x14ac:dyDescent="0.25"/>
    <row r="918" ht="17.100000000000001" customHeight="1" x14ac:dyDescent="0.25"/>
    <row r="919" ht="17.100000000000001" customHeight="1" x14ac:dyDescent="0.25"/>
    <row r="920" ht="17.100000000000001" customHeight="1" x14ac:dyDescent="0.25"/>
    <row r="921" ht="17.100000000000001" customHeight="1" x14ac:dyDescent="0.25"/>
    <row r="922" ht="17.100000000000001" customHeight="1" x14ac:dyDescent="0.25"/>
    <row r="923" ht="17.100000000000001" customHeight="1" x14ac:dyDescent="0.25"/>
    <row r="924" ht="17.100000000000001" customHeight="1" x14ac:dyDescent="0.25"/>
    <row r="925" ht="17.100000000000001" customHeight="1" x14ac:dyDescent="0.25"/>
    <row r="926" ht="17.100000000000001" customHeight="1" x14ac:dyDescent="0.25"/>
    <row r="927" ht="17.100000000000001" customHeight="1" x14ac:dyDescent="0.25"/>
    <row r="928" ht="17.100000000000001" customHeight="1" x14ac:dyDescent="0.25"/>
    <row r="929" ht="17.100000000000001" customHeight="1" x14ac:dyDescent="0.25"/>
    <row r="930" ht="17.100000000000001" customHeight="1" x14ac:dyDescent="0.25"/>
    <row r="931" ht="17.100000000000001" customHeight="1" x14ac:dyDescent="0.25"/>
    <row r="932" ht="17.100000000000001" customHeight="1" x14ac:dyDescent="0.25"/>
    <row r="933" ht="17.100000000000001" customHeight="1" x14ac:dyDescent="0.25"/>
    <row r="934" ht="17.100000000000001" customHeight="1" x14ac:dyDescent="0.25"/>
    <row r="935" ht="17.100000000000001" customHeight="1" x14ac:dyDescent="0.25"/>
    <row r="936" ht="17.100000000000001" customHeight="1" x14ac:dyDescent="0.25"/>
    <row r="937" ht="17.100000000000001" customHeight="1" x14ac:dyDescent="0.25"/>
    <row r="938" ht="17.100000000000001" customHeight="1" x14ac:dyDescent="0.25"/>
    <row r="939" ht="17.100000000000001" customHeight="1" x14ac:dyDescent="0.25"/>
    <row r="940" ht="17.100000000000001" customHeight="1" x14ac:dyDescent="0.25"/>
    <row r="941" ht="17.100000000000001" customHeight="1" x14ac:dyDescent="0.25"/>
    <row r="942" ht="17.100000000000001" customHeight="1" x14ac:dyDescent="0.25"/>
    <row r="943" ht="17.100000000000001" customHeight="1" x14ac:dyDescent="0.25"/>
    <row r="944" ht="17.100000000000001" customHeight="1" x14ac:dyDescent="0.25"/>
    <row r="945" ht="17.100000000000001" customHeight="1" x14ac:dyDescent="0.25"/>
    <row r="946" ht="17.100000000000001" customHeight="1" x14ac:dyDescent="0.25"/>
    <row r="947" ht="17.100000000000001" customHeight="1" x14ac:dyDescent="0.25"/>
    <row r="948" ht="17.100000000000001" customHeight="1" x14ac:dyDescent="0.25"/>
    <row r="949" ht="17.100000000000001" customHeight="1" x14ac:dyDescent="0.25"/>
    <row r="950" ht="17.100000000000001" customHeight="1" x14ac:dyDescent="0.25"/>
    <row r="951" ht="17.100000000000001" customHeight="1" x14ac:dyDescent="0.25"/>
    <row r="952" ht="17.100000000000001" customHeight="1" x14ac:dyDescent="0.25"/>
    <row r="953" ht="17.100000000000001" customHeight="1" x14ac:dyDescent="0.25"/>
    <row r="954" ht="17.100000000000001" customHeight="1" x14ac:dyDescent="0.25"/>
    <row r="955" ht="17.100000000000001" customHeight="1" x14ac:dyDescent="0.25"/>
    <row r="956" ht="17.100000000000001" customHeight="1" x14ac:dyDescent="0.25"/>
    <row r="957" ht="17.100000000000001" customHeight="1" x14ac:dyDescent="0.25"/>
    <row r="958" ht="17.100000000000001" customHeight="1" x14ac:dyDescent="0.25"/>
    <row r="959" ht="17.100000000000001" customHeight="1" x14ac:dyDescent="0.25"/>
    <row r="960" ht="17.100000000000001" customHeight="1" x14ac:dyDescent="0.25"/>
    <row r="961" ht="17.100000000000001" customHeight="1" x14ac:dyDescent="0.25"/>
    <row r="962" ht="17.100000000000001" customHeight="1" x14ac:dyDescent="0.25"/>
    <row r="963" ht="17.100000000000001" customHeight="1" x14ac:dyDescent="0.25"/>
    <row r="964" ht="17.100000000000001" customHeight="1" x14ac:dyDescent="0.25"/>
    <row r="965" ht="17.100000000000001" customHeight="1" x14ac:dyDescent="0.25"/>
    <row r="966" ht="17.100000000000001" customHeight="1" x14ac:dyDescent="0.25"/>
    <row r="967" ht="17.100000000000001" customHeight="1" x14ac:dyDescent="0.25"/>
    <row r="968" ht="17.100000000000001" customHeight="1" x14ac:dyDescent="0.25"/>
    <row r="969" ht="17.100000000000001" customHeight="1" x14ac:dyDescent="0.25"/>
    <row r="970" ht="17.100000000000001" customHeight="1" x14ac:dyDescent="0.25"/>
    <row r="971" ht="17.100000000000001" customHeight="1" x14ac:dyDescent="0.25"/>
    <row r="972" ht="17.100000000000001" customHeight="1" x14ac:dyDescent="0.25"/>
    <row r="973" ht="17.100000000000001" customHeight="1" x14ac:dyDescent="0.25"/>
    <row r="974" ht="17.100000000000001" customHeight="1" x14ac:dyDescent="0.25"/>
    <row r="975" ht="17.100000000000001" customHeight="1" x14ac:dyDescent="0.25"/>
    <row r="976" ht="17.100000000000001" customHeight="1" x14ac:dyDescent="0.25"/>
    <row r="977" ht="17.100000000000001" customHeight="1" x14ac:dyDescent="0.25"/>
    <row r="978" ht="17.100000000000001" customHeight="1" x14ac:dyDescent="0.25"/>
    <row r="979" ht="17.100000000000001" customHeight="1" x14ac:dyDescent="0.25"/>
    <row r="980" ht="17.100000000000001" customHeight="1" x14ac:dyDescent="0.25"/>
    <row r="981" ht="17.100000000000001" customHeight="1" x14ac:dyDescent="0.25"/>
    <row r="982" ht="17.100000000000001" customHeight="1" x14ac:dyDescent="0.25"/>
    <row r="983" ht="17.100000000000001" customHeight="1" x14ac:dyDescent="0.25"/>
    <row r="984" ht="17.100000000000001" customHeight="1" x14ac:dyDescent="0.25"/>
    <row r="985" ht="17.100000000000001" customHeight="1" x14ac:dyDescent="0.25"/>
    <row r="986" ht="17.100000000000001" customHeight="1" x14ac:dyDescent="0.25"/>
    <row r="987" ht="17.100000000000001" customHeight="1" x14ac:dyDescent="0.25"/>
    <row r="988" ht="17.100000000000001" customHeight="1" x14ac:dyDescent="0.25"/>
    <row r="989" ht="17.100000000000001" customHeight="1" x14ac:dyDescent="0.25"/>
    <row r="990" ht="17.100000000000001" customHeight="1" x14ac:dyDescent="0.25"/>
    <row r="991" ht="17.100000000000001" customHeight="1" x14ac:dyDescent="0.25"/>
    <row r="992" ht="17.100000000000001" customHeight="1" x14ac:dyDescent="0.25"/>
    <row r="993" ht="17.100000000000001" customHeight="1" x14ac:dyDescent="0.25"/>
    <row r="994" ht="17.100000000000001" customHeight="1" x14ac:dyDescent="0.25"/>
    <row r="995" ht="17.100000000000001" customHeight="1" x14ac:dyDescent="0.25"/>
    <row r="996" ht="17.100000000000001" customHeight="1" x14ac:dyDescent="0.25"/>
    <row r="997" ht="17.100000000000001" customHeight="1" x14ac:dyDescent="0.25"/>
    <row r="998" ht="17.100000000000001" customHeight="1" x14ac:dyDescent="0.25"/>
    <row r="999" ht="17.100000000000001" customHeight="1" x14ac:dyDescent="0.25"/>
    <row r="1000" ht="17.100000000000001" customHeight="1" x14ac:dyDescent="0.25"/>
    <row r="1001" ht="17.100000000000001" customHeight="1" x14ac:dyDescent="0.25"/>
    <row r="1002" ht="17.100000000000001" customHeight="1" x14ac:dyDescent="0.25"/>
    <row r="1003" ht="17.100000000000001" customHeight="1" x14ac:dyDescent="0.25"/>
    <row r="1004" ht="17.100000000000001" customHeight="1" x14ac:dyDescent="0.25"/>
    <row r="1005" ht="17.100000000000001" customHeight="1" x14ac:dyDescent="0.25"/>
    <row r="1006" ht="17.100000000000001" customHeight="1" x14ac:dyDescent="0.25"/>
    <row r="1007" ht="17.100000000000001" customHeight="1" x14ac:dyDescent="0.25"/>
    <row r="1008" ht="17.100000000000001" customHeight="1" x14ac:dyDescent="0.25"/>
    <row r="1009" ht="17.100000000000001" customHeight="1" x14ac:dyDescent="0.25"/>
    <row r="1010" ht="17.100000000000001" customHeight="1" x14ac:dyDescent="0.25"/>
    <row r="1011" ht="17.100000000000001" customHeight="1" x14ac:dyDescent="0.25"/>
    <row r="1012" ht="17.100000000000001" customHeight="1" x14ac:dyDescent="0.25"/>
    <row r="1013" ht="17.100000000000001" customHeight="1" x14ac:dyDescent="0.25"/>
    <row r="1014" ht="17.100000000000001" customHeight="1" x14ac:dyDescent="0.25"/>
    <row r="1015" ht="17.100000000000001" customHeight="1" x14ac:dyDescent="0.25"/>
    <row r="1016" ht="17.100000000000001" customHeight="1" x14ac:dyDescent="0.25"/>
    <row r="1017" ht="17.100000000000001" customHeight="1" x14ac:dyDescent="0.25"/>
    <row r="1018" ht="17.100000000000001" customHeight="1" x14ac:dyDescent="0.25"/>
    <row r="1019" ht="17.100000000000001" customHeight="1" x14ac:dyDescent="0.25"/>
    <row r="1020" ht="17.100000000000001" customHeight="1" x14ac:dyDescent="0.25"/>
    <row r="1021" ht="17.100000000000001" customHeight="1" x14ac:dyDescent="0.25"/>
    <row r="1022" ht="17.100000000000001" customHeight="1" x14ac:dyDescent="0.25"/>
    <row r="1023" ht="17.100000000000001" customHeight="1" x14ac:dyDescent="0.25"/>
    <row r="1024" ht="17.100000000000001" customHeight="1" x14ac:dyDescent="0.25"/>
    <row r="1025" ht="17.100000000000001" customHeight="1" x14ac:dyDescent="0.25"/>
    <row r="1026" ht="17.100000000000001" customHeight="1" x14ac:dyDescent="0.25"/>
    <row r="1027" ht="17.100000000000001" customHeight="1" x14ac:dyDescent="0.25"/>
    <row r="1028" ht="17.100000000000001" customHeight="1" x14ac:dyDescent="0.25"/>
    <row r="1029" ht="17.100000000000001" customHeight="1" x14ac:dyDescent="0.25"/>
    <row r="1030" ht="17.100000000000001" customHeight="1" x14ac:dyDescent="0.25"/>
    <row r="1031" ht="17.100000000000001" customHeight="1" x14ac:dyDescent="0.25"/>
    <row r="1032" ht="17.100000000000001" customHeight="1" x14ac:dyDescent="0.25"/>
    <row r="1033" ht="17.100000000000001" customHeight="1" x14ac:dyDescent="0.25"/>
    <row r="1034" ht="17.100000000000001" customHeight="1" x14ac:dyDescent="0.25"/>
    <row r="1035" ht="17.100000000000001" customHeight="1" x14ac:dyDescent="0.25"/>
    <row r="1036" ht="17.100000000000001" customHeight="1" x14ac:dyDescent="0.25"/>
    <row r="1037" ht="17.100000000000001" customHeight="1" x14ac:dyDescent="0.25"/>
    <row r="1038" ht="17.100000000000001" customHeight="1" x14ac:dyDescent="0.25"/>
    <row r="1039" ht="17.100000000000001" customHeight="1" x14ac:dyDescent="0.25"/>
    <row r="1040" ht="17.100000000000001" customHeight="1" x14ac:dyDescent="0.25"/>
    <row r="1041" ht="17.100000000000001" customHeight="1" x14ac:dyDescent="0.25"/>
    <row r="1042" ht="17.100000000000001" customHeight="1" x14ac:dyDescent="0.25"/>
    <row r="1043" ht="17.100000000000001" customHeight="1" x14ac:dyDescent="0.25"/>
    <row r="1044" ht="17.100000000000001" customHeight="1" x14ac:dyDescent="0.25"/>
    <row r="1045" ht="17.100000000000001" customHeight="1" x14ac:dyDescent="0.25"/>
    <row r="1046" ht="17.100000000000001" customHeight="1" x14ac:dyDescent="0.25"/>
    <row r="1047" ht="17.100000000000001" customHeight="1" x14ac:dyDescent="0.25"/>
    <row r="1048" ht="17.100000000000001" customHeight="1" x14ac:dyDescent="0.25"/>
    <row r="1049" ht="17.100000000000001" customHeight="1" x14ac:dyDescent="0.25"/>
    <row r="1050" ht="17.100000000000001" customHeight="1" x14ac:dyDescent="0.25"/>
    <row r="1051" ht="17.100000000000001" customHeight="1" x14ac:dyDescent="0.25"/>
    <row r="1052" ht="17.100000000000001" customHeight="1" x14ac:dyDescent="0.25"/>
    <row r="1053" ht="17.100000000000001" customHeight="1" x14ac:dyDescent="0.25"/>
    <row r="1054" ht="17.100000000000001" customHeight="1" x14ac:dyDescent="0.25"/>
    <row r="1055" ht="17.100000000000001" customHeight="1" x14ac:dyDescent="0.25"/>
    <row r="1056" ht="17.100000000000001" customHeight="1" x14ac:dyDescent="0.25"/>
    <row r="1057" ht="17.100000000000001" customHeight="1" x14ac:dyDescent="0.25"/>
    <row r="1058" ht="17.100000000000001" customHeight="1" x14ac:dyDescent="0.25"/>
    <row r="1059" ht="17.100000000000001" customHeight="1" x14ac:dyDescent="0.25"/>
    <row r="1060" ht="17.100000000000001" customHeight="1" x14ac:dyDescent="0.25"/>
    <row r="1061" ht="17.100000000000001" customHeight="1" x14ac:dyDescent="0.25"/>
    <row r="1062" ht="17.100000000000001" customHeight="1" x14ac:dyDescent="0.25"/>
    <row r="1063" ht="17.100000000000001" customHeight="1" x14ac:dyDescent="0.25"/>
    <row r="1064" ht="17.100000000000001" customHeight="1" x14ac:dyDescent="0.25"/>
    <row r="1065" ht="17.100000000000001" customHeight="1" x14ac:dyDescent="0.25"/>
    <row r="1066" ht="17.100000000000001" customHeight="1" x14ac:dyDescent="0.25"/>
    <row r="1067" ht="17.100000000000001" customHeight="1" x14ac:dyDescent="0.25"/>
    <row r="1068" ht="17.100000000000001" customHeight="1" x14ac:dyDescent="0.25"/>
    <row r="1069" ht="17.100000000000001" customHeight="1" x14ac:dyDescent="0.25"/>
    <row r="1070" ht="17.100000000000001" customHeight="1" x14ac:dyDescent="0.25"/>
    <row r="1071" ht="17.100000000000001" customHeight="1" x14ac:dyDescent="0.25"/>
    <row r="1072" ht="17.100000000000001" customHeight="1" x14ac:dyDescent="0.25"/>
    <row r="1073" ht="17.100000000000001" customHeight="1" x14ac:dyDescent="0.25"/>
    <row r="1074" ht="17.100000000000001" customHeight="1" x14ac:dyDescent="0.25"/>
    <row r="1075" ht="17.100000000000001" customHeight="1" x14ac:dyDescent="0.25"/>
    <row r="1076" ht="17.100000000000001" customHeight="1" x14ac:dyDescent="0.25"/>
    <row r="1077" ht="17.100000000000001" customHeight="1" x14ac:dyDescent="0.25"/>
    <row r="1078" ht="17.100000000000001" customHeight="1" x14ac:dyDescent="0.25"/>
    <row r="1079" ht="17.100000000000001" customHeight="1" x14ac:dyDescent="0.25"/>
    <row r="1080" ht="17.100000000000001" customHeight="1" x14ac:dyDescent="0.25"/>
    <row r="1081" ht="17.100000000000001" customHeight="1" x14ac:dyDescent="0.25"/>
    <row r="1082" ht="17.100000000000001" customHeight="1" x14ac:dyDescent="0.25"/>
    <row r="1083" ht="17.100000000000001" customHeight="1" x14ac:dyDescent="0.25"/>
    <row r="1084" ht="17.100000000000001" customHeight="1" x14ac:dyDescent="0.25"/>
    <row r="1085" ht="17.100000000000001" customHeight="1" x14ac:dyDescent="0.25"/>
    <row r="1086" ht="17.100000000000001" customHeight="1" x14ac:dyDescent="0.25"/>
    <row r="1087" ht="17.100000000000001" customHeight="1" x14ac:dyDescent="0.25"/>
    <row r="1088" ht="17.100000000000001" customHeight="1" x14ac:dyDescent="0.25"/>
    <row r="1089" ht="17.100000000000001" customHeight="1" x14ac:dyDescent="0.25"/>
    <row r="1090" ht="17.100000000000001" customHeight="1" x14ac:dyDescent="0.25"/>
    <row r="1091" ht="17.100000000000001" customHeight="1" x14ac:dyDescent="0.25"/>
    <row r="1092" ht="17.100000000000001" customHeight="1" x14ac:dyDescent="0.25"/>
    <row r="1093" ht="17.100000000000001" customHeight="1" x14ac:dyDescent="0.25"/>
    <row r="1094" ht="17.100000000000001" customHeight="1" x14ac:dyDescent="0.25"/>
    <row r="1095" ht="17.100000000000001" customHeight="1" x14ac:dyDescent="0.25"/>
    <row r="1096" ht="17.100000000000001" customHeight="1" x14ac:dyDescent="0.25"/>
    <row r="1097" ht="17.100000000000001" customHeight="1" x14ac:dyDescent="0.25"/>
    <row r="1098" ht="17.100000000000001" customHeight="1" x14ac:dyDescent="0.25"/>
    <row r="1099" ht="17.100000000000001" customHeight="1" x14ac:dyDescent="0.25"/>
    <row r="1100" ht="17.100000000000001" customHeight="1" x14ac:dyDescent="0.25"/>
    <row r="1101" ht="17.100000000000001" customHeight="1" x14ac:dyDescent="0.25"/>
    <row r="1102" ht="17.100000000000001" customHeight="1" x14ac:dyDescent="0.25"/>
    <row r="1103" ht="17.100000000000001" customHeight="1" x14ac:dyDescent="0.25"/>
    <row r="1104" ht="17.100000000000001" customHeight="1" x14ac:dyDescent="0.25"/>
    <row r="1105" ht="17.100000000000001" customHeight="1" x14ac:dyDescent="0.25"/>
    <row r="1106" ht="17.100000000000001" customHeight="1" x14ac:dyDescent="0.25"/>
    <row r="1107" ht="17.100000000000001" customHeight="1" x14ac:dyDescent="0.25"/>
    <row r="1108" ht="17.100000000000001" customHeight="1" x14ac:dyDescent="0.25"/>
    <row r="1109" ht="17.100000000000001" customHeight="1" x14ac:dyDescent="0.25"/>
    <row r="1110" ht="17.100000000000001" customHeight="1" x14ac:dyDescent="0.25"/>
    <row r="1111" ht="17.100000000000001" customHeight="1" x14ac:dyDescent="0.25"/>
    <row r="1112" ht="17.100000000000001" customHeight="1" x14ac:dyDescent="0.25"/>
    <row r="1113" ht="17.100000000000001" customHeight="1" x14ac:dyDescent="0.25"/>
    <row r="1114" ht="17.100000000000001" customHeight="1" x14ac:dyDescent="0.25"/>
    <row r="1115" ht="17.100000000000001" customHeight="1" x14ac:dyDescent="0.25"/>
    <row r="1116" ht="17.100000000000001" customHeight="1" x14ac:dyDescent="0.25"/>
    <row r="1117" ht="17.100000000000001" customHeight="1" x14ac:dyDescent="0.25"/>
    <row r="1118" ht="17.100000000000001" customHeight="1" x14ac:dyDescent="0.25"/>
    <row r="1119" ht="17.100000000000001" customHeight="1" x14ac:dyDescent="0.25"/>
    <row r="1120" ht="17.100000000000001" customHeight="1" x14ac:dyDescent="0.25"/>
    <row r="1121" ht="17.100000000000001" customHeight="1" x14ac:dyDescent="0.25"/>
    <row r="1122" ht="17.100000000000001" customHeight="1" x14ac:dyDescent="0.25"/>
    <row r="1123" ht="17.100000000000001" customHeight="1" x14ac:dyDescent="0.25"/>
    <row r="1124" ht="17.100000000000001" customHeight="1" x14ac:dyDescent="0.25"/>
    <row r="1125" ht="17.100000000000001" customHeight="1" x14ac:dyDescent="0.25"/>
    <row r="1126" ht="17.100000000000001" customHeight="1" x14ac:dyDescent="0.25"/>
    <row r="1127" ht="17.100000000000001" customHeight="1" x14ac:dyDescent="0.25"/>
    <row r="1128" ht="17.100000000000001" customHeight="1" x14ac:dyDescent="0.25"/>
    <row r="1129" ht="17.100000000000001" customHeight="1" x14ac:dyDescent="0.25"/>
    <row r="1130" ht="17.100000000000001" customHeight="1" x14ac:dyDescent="0.25"/>
    <row r="1131" ht="17.100000000000001" customHeight="1" x14ac:dyDescent="0.25"/>
    <row r="1132" ht="17.100000000000001" customHeight="1" x14ac:dyDescent="0.25"/>
    <row r="1133" ht="17.100000000000001" customHeight="1" x14ac:dyDescent="0.25"/>
    <row r="1134" ht="17.100000000000001" customHeight="1" x14ac:dyDescent="0.25"/>
    <row r="1135" ht="17.100000000000001" customHeight="1" x14ac:dyDescent="0.25"/>
    <row r="1136" ht="17.100000000000001" customHeight="1" x14ac:dyDescent="0.25"/>
    <row r="1137" ht="17.100000000000001" customHeight="1" x14ac:dyDescent="0.25"/>
    <row r="1138" ht="17.100000000000001" customHeight="1" x14ac:dyDescent="0.25"/>
    <row r="1139" ht="17.100000000000001" customHeight="1" x14ac:dyDescent="0.25"/>
    <row r="1140" ht="17.100000000000001" customHeight="1" x14ac:dyDescent="0.25"/>
    <row r="1141" ht="17.100000000000001" customHeight="1" x14ac:dyDescent="0.25"/>
    <row r="1142" ht="17.100000000000001" customHeight="1" x14ac:dyDescent="0.25"/>
    <row r="1143" ht="17.100000000000001" customHeight="1" x14ac:dyDescent="0.25"/>
    <row r="1144" ht="17.100000000000001" customHeight="1" x14ac:dyDescent="0.25"/>
    <row r="1145" ht="17.100000000000001" customHeight="1" x14ac:dyDescent="0.25"/>
    <row r="1146" ht="17.100000000000001" customHeight="1" x14ac:dyDescent="0.25"/>
    <row r="1147" ht="17.100000000000001" customHeight="1" x14ac:dyDescent="0.25"/>
    <row r="1148" ht="17.100000000000001" customHeight="1" x14ac:dyDescent="0.25"/>
    <row r="1149" ht="17.100000000000001" customHeight="1" x14ac:dyDescent="0.25"/>
    <row r="1150" ht="17.100000000000001" customHeight="1" x14ac:dyDescent="0.25"/>
    <row r="1151" ht="17.100000000000001" customHeight="1" x14ac:dyDescent="0.25"/>
    <row r="1152" ht="17.100000000000001" customHeight="1" x14ac:dyDescent="0.25"/>
    <row r="1153" ht="17.100000000000001" customHeight="1" x14ac:dyDescent="0.25"/>
    <row r="1154" ht="17.100000000000001" customHeight="1" x14ac:dyDescent="0.25"/>
    <row r="1155" ht="17.100000000000001" customHeight="1" x14ac:dyDescent="0.25"/>
    <row r="1156" ht="17.100000000000001" customHeight="1" x14ac:dyDescent="0.25"/>
    <row r="1157" ht="17.100000000000001" customHeight="1" x14ac:dyDescent="0.25"/>
    <row r="1158" ht="17.100000000000001" customHeight="1" x14ac:dyDescent="0.25"/>
    <row r="1159" ht="17.100000000000001" customHeight="1" x14ac:dyDescent="0.25"/>
    <row r="1160" ht="17.100000000000001" customHeight="1" x14ac:dyDescent="0.25"/>
    <row r="1161" ht="17.100000000000001" customHeight="1" x14ac:dyDescent="0.25"/>
    <row r="1162" ht="17.100000000000001" customHeight="1" x14ac:dyDescent="0.25"/>
    <row r="1163" ht="17.100000000000001" customHeight="1" x14ac:dyDescent="0.25"/>
    <row r="1164" ht="17.100000000000001" customHeight="1" x14ac:dyDescent="0.25"/>
    <row r="1165" ht="17.100000000000001" customHeight="1" x14ac:dyDescent="0.25"/>
    <row r="1166" ht="17.100000000000001" customHeight="1" x14ac:dyDescent="0.25"/>
    <row r="1167" ht="17.100000000000001" customHeight="1" x14ac:dyDescent="0.25"/>
    <row r="1168" ht="17.100000000000001" customHeight="1" x14ac:dyDescent="0.25"/>
    <row r="1169" ht="17.100000000000001" customHeight="1" x14ac:dyDescent="0.25"/>
    <row r="1170" ht="17.100000000000001" customHeight="1" x14ac:dyDescent="0.25"/>
    <row r="1171" ht="17.100000000000001" customHeight="1" x14ac:dyDescent="0.25"/>
    <row r="1172" ht="17.100000000000001" customHeight="1" x14ac:dyDescent="0.25"/>
    <row r="1173" ht="17.100000000000001" customHeight="1" x14ac:dyDescent="0.25"/>
    <row r="1174" ht="17.100000000000001" customHeight="1" x14ac:dyDescent="0.25"/>
    <row r="1175" ht="17.100000000000001" customHeight="1" x14ac:dyDescent="0.25"/>
    <row r="1176" ht="17.100000000000001" customHeight="1" x14ac:dyDescent="0.25"/>
    <row r="1177" ht="17.100000000000001" customHeight="1" x14ac:dyDescent="0.25"/>
    <row r="1178" ht="17.100000000000001" customHeight="1" x14ac:dyDescent="0.25"/>
    <row r="1179" ht="17.100000000000001" customHeight="1" x14ac:dyDescent="0.25"/>
    <row r="1180" ht="17.100000000000001" customHeight="1" x14ac:dyDescent="0.25"/>
    <row r="1181" ht="17.100000000000001" customHeight="1" x14ac:dyDescent="0.25"/>
    <row r="1182" ht="17.100000000000001" customHeight="1" x14ac:dyDescent="0.25"/>
    <row r="1183" ht="17.100000000000001" customHeight="1" x14ac:dyDescent="0.25"/>
    <row r="1184" ht="17.100000000000001" customHeight="1" x14ac:dyDescent="0.25"/>
    <row r="1185" ht="17.100000000000001" customHeight="1" x14ac:dyDescent="0.25"/>
    <row r="1186" ht="17.100000000000001" customHeight="1" x14ac:dyDescent="0.25"/>
    <row r="1187" ht="17.100000000000001" customHeight="1" x14ac:dyDescent="0.25"/>
    <row r="1188" ht="17.100000000000001" customHeight="1" x14ac:dyDescent="0.25"/>
    <row r="1189" ht="17.100000000000001" customHeight="1" x14ac:dyDescent="0.25"/>
    <row r="1190" ht="17.100000000000001" customHeight="1" x14ac:dyDescent="0.25"/>
    <row r="1191" ht="17.100000000000001" customHeight="1" x14ac:dyDescent="0.25"/>
    <row r="1192" ht="17.100000000000001" customHeight="1" x14ac:dyDescent="0.25"/>
    <row r="1193" ht="17.100000000000001" customHeight="1" x14ac:dyDescent="0.25"/>
    <row r="1194" ht="17.100000000000001" customHeight="1" x14ac:dyDescent="0.25"/>
    <row r="1195" ht="17.100000000000001" customHeight="1" x14ac:dyDescent="0.25"/>
    <row r="1196" ht="17.100000000000001" customHeight="1" x14ac:dyDescent="0.25"/>
    <row r="1197" ht="17.100000000000001" customHeight="1" x14ac:dyDescent="0.25"/>
    <row r="1198" ht="17.100000000000001" customHeight="1" x14ac:dyDescent="0.25"/>
    <row r="1199" ht="17.100000000000001" customHeight="1" x14ac:dyDescent="0.25"/>
    <row r="1200" ht="17.100000000000001" customHeight="1" x14ac:dyDescent="0.25"/>
    <row r="1201" ht="17.100000000000001" customHeight="1" x14ac:dyDescent="0.25"/>
    <row r="1202" ht="17.100000000000001" customHeight="1" x14ac:dyDescent="0.25"/>
    <row r="1203" ht="17.100000000000001" customHeight="1" x14ac:dyDescent="0.25"/>
    <row r="1204" ht="17.100000000000001" customHeight="1" x14ac:dyDescent="0.25"/>
    <row r="1205" ht="17.100000000000001" customHeight="1" x14ac:dyDescent="0.25"/>
    <row r="1206" ht="17.100000000000001" customHeight="1" x14ac:dyDescent="0.25"/>
    <row r="1207" ht="17.100000000000001" customHeight="1" x14ac:dyDescent="0.25"/>
    <row r="1208" ht="17.100000000000001" customHeight="1" x14ac:dyDescent="0.25"/>
    <row r="1209" ht="17.100000000000001" customHeight="1" x14ac:dyDescent="0.25"/>
    <row r="1210" ht="17.100000000000001" customHeight="1" x14ac:dyDescent="0.25"/>
    <row r="1211" ht="17.100000000000001" customHeight="1" x14ac:dyDescent="0.25"/>
    <row r="1212" ht="17.100000000000001" customHeight="1" x14ac:dyDescent="0.25"/>
    <row r="1213" ht="17.100000000000001" customHeight="1" x14ac:dyDescent="0.25"/>
    <row r="1214" ht="17.100000000000001" customHeight="1" x14ac:dyDescent="0.25"/>
    <row r="1215" ht="17.100000000000001" customHeight="1" x14ac:dyDescent="0.25"/>
    <row r="1216" ht="17.100000000000001" customHeight="1" x14ac:dyDescent="0.25"/>
    <row r="1217" ht="17.100000000000001" customHeight="1" x14ac:dyDescent="0.25"/>
    <row r="1218" ht="17.100000000000001" customHeight="1" x14ac:dyDescent="0.25"/>
    <row r="1219" ht="17.100000000000001" customHeight="1" x14ac:dyDescent="0.25"/>
    <row r="1220" ht="17.100000000000001" customHeight="1" x14ac:dyDescent="0.25"/>
    <row r="1221" ht="17.100000000000001" customHeight="1" x14ac:dyDescent="0.25"/>
    <row r="1222" ht="17.100000000000001" customHeight="1" x14ac:dyDescent="0.25"/>
    <row r="1223" ht="17.100000000000001" customHeight="1" x14ac:dyDescent="0.25"/>
    <row r="1224" ht="17.100000000000001" customHeight="1" x14ac:dyDescent="0.25"/>
    <row r="1225" ht="17.100000000000001" customHeight="1" x14ac:dyDescent="0.25"/>
    <row r="1226" ht="17.100000000000001" customHeight="1" x14ac:dyDescent="0.25"/>
    <row r="1227" ht="17.100000000000001" customHeight="1" x14ac:dyDescent="0.25"/>
    <row r="1228" ht="17.100000000000001" customHeight="1" x14ac:dyDescent="0.25"/>
    <row r="1229" ht="17.100000000000001" customHeight="1" x14ac:dyDescent="0.25"/>
    <row r="1230" ht="17.100000000000001" customHeight="1" x14ac:dyDescent="0.25"/>
    <row r="1231" ht="17.100000000000001" customHeight="1" x14ac:dyDescent="0.25"/>
    <row r="1232" ht="17.100000000000001" customHeight="1" x14ac:dyDescent="0.25"/>
    <row r="1233" ht="17.100000000000001" customHeight="1" x14ac:dyDescent="0.25"/>
    <row r="1234" ht="17.100000000000001" customHeight="1" x14ac:dyDescent="0.25"/>
    <row r="1235" ht="17.100000000000001" customHeight="1" x14ac:dyDescent="0.25"/>
    <row r="1236" ht="17.100000000000001" customHeight="1" x14ac:dyDescent="0.25"/>
    <row r="1237" ht="17.100000000000001" customHeight="1" x14ac:dyDescent="0.25"/>
    <row r="1238" ht="17.100000000000001" customHeight="1" x14ac:dyDescent="0.25"/>
    <row r="1239" ht="17.100000000000001" customHeight="1" x14ac:dyDescent="0.25"/>
    <row r="1240" ht="17.100000000000001" customHeight="1" x14ac:dyDescent="0.25"/>
    <row r="1241" ht="17.100000000000001" customHeight="1" x14ac:dyDescent="0.25"/>
    <row r="1242" ht="17.100000000000001" customHeight="1" x14ac:dyDescent="0.25"/>
    <row r="1243" ht="17.100000000000001" customHeight="1" x14ac:dyDescent="0.25"/>
    <row r="1244" ht="17.100000000000001" customHeight="1" x14ac:dyDescent="0.25"/>
    <row r="1245" ht="17.100000000000001" customHeight="1" x14ac:dyDescent="0.25"/>
    <row r="1246" ht="17.100000000000001" customHeight="1" x14ac:dyDescent="0.25"/>
    <row r="1247" ht="17.100000000000001" customHeight="1" x14ac:dyDescent="0.25"/>
    <row r="1248" ht="17.100000000000001" customHeight="1" x14ac:dyDescent="0.25"/>
    <row r="1249" ht="17.100000000000001" customHeight="1" x14ac:dyDescent="0.25"/>
    <row r="1250" ht="17.100000000000001" customHeight="1" x14ac:dyDescent="0.25"/>
    <row r="1251" ht="17.100000000000001" customHeight="1" x14ac:dyDescent="0.25"/>
    <row r="1252" ht="17.100000000000001" customHeight="1" x14ac:dyDescent="0.25"/>
    <row r="1253" ht="17.100000000000001" customHeight="1" x14ac:dyDescent="0.25"/>
    <row r="1254" ht="17.100000000000001" customHeight="1" x14ac:dyDescent="0.25"/>
    <row r="1255" ht="17.100000000000001" customHeight="1" x14ac:dyDescent="0.25"/>
    <row r="1256" ht="17.100000000000001" customHeight="1" x14ac:dyDescent="0.25"/>
    <row r="1257" ht="17.100000000000001" customHeight="1" x14ac:dyDescent="0.25"/>
    <row r="1258" ht="17.100000000000001" customHeight="1" x14ac:dyDescent="0.25"/>
    <row r="1259" ht="17.100000000000001" customHeight="1" x14ac:dyDescent="0.25"/>
    <row r="1260" ht="17.100000000000001" customHeight="1" x14ac:dyDescent="0.25"/>
    <row r="1261" ht="17.100000000000001" customHeight="1" x14ac:dyDescent="0.25"/>
    <row r="1262" ht="17.100000000000001" customHeight="1" x14ac:dyDescent="0.25"/>
    <row r="1263" ht="17.100000000000001" customHeight="1" x14ac:dyDescent="0.25"/>
    <row r="1264" ht="17.100000000000001" customHeight="1" x14ac:dyDescent="0.25"/>
    <row r="1265" ht="17.100000000000001" customHeight="1" x14ac:dyDescent="0.25"/>
    <row r="1266" ht="17.100000000000001" customHeight="1" x14ac:dyDescent="0.25"/>
    <row r="1267" ht="17.100000000000001" customHeight="1" x14ac:dyDescent="0.25"/>
    <row r="1268" ht="17.100000000000001" customHeight="1" x14ac:dyDescent="0.25"/>
    <row r="1269" ht="17.100000000000001" customHeight="1" x14ac:dyDescent="0.25"/>
    <row r="1270" ht="17.100000000000001" customHeight="1" x14ac:dyDescent="0.25"/>
    <row r="1271" ht="17.100000000000001" customHeight="1" x14ac:dyDescent="0.25"/>
    <row r="1272" ht="17.100000000000001" customHeight="1" x14ac:dyDescent="0.25"/>
    <row r="1273" ht="17.100000000000001" customHeight="1" x14ac:dyDescent="0.25"/>
    <row r="1274" ht="17.100000000000001" customHeight="1" x14ac:dyDescent="0.25"/>
    <row r="1275" ht="17.100000000000001" customHeight="1" x14ac:dyDescent="0.25"/>
    <row r="1276" ht="17.100000000000001" customHeight="1" x14ac:dyDescent="0.25"/>
    <row r="1277" ht="17.100000000000001" customHeight="1" x14ac:dyDescent="0.25"/>
    <row r="1278" ht="17.100000000000001" customHeight="1" x14ac:dyDescent="0.25"/>
    <row r="1279" ht="17.100000000000001" customHeight="1" x14ac:dyDescent="0.25"/>
    <row r="1280" ht="17.100000000000001" customHeight="1" x14ac:dyDescent="0.25"/>
    <row r="1281" ht="17.100000000000001" customHeight="1" x14ac:dyDescent="0.25"/>
    <row r="1282" ht="17.100000000000001" customHeight="1" x14ac:dyDescent="0.25"/>
    <row r="1283" ht="17.100000000000001" customHeight="1" x14ac:dyDescent="0.25"/>
    <row r="1284" ht="17.100000000000001" customHeight="1" x14ac:dyDescent="0.25"/>
    <row r="1285" ht="17.100000000000001" customHeight="1" x14ac:dyDescent="0.25"/>
    <row r="1286" ht="17.100000000000001" customHeight="1" x14ac:dyDescent="0.25"/>
    <row r="1287" ht="17.100000000000001" customHeight="1" x14ac:dyDescent="0.25"/>
    <row r="1288" ht="17.100000000000001" customHeight="1" x14ac:dyDescent="0.25"/>
    <row r="1289" ht="17.100000000000001" customHeight="1" x14ac:dyDescent="0.25"/>
    <row r="1290" ht="17.100000000000001" customHeight="1" x14ac:dyDescent="0.25"/>
    <row r="1291" ht="17.100000000000001" customHeight="1" x14ac:dyDescent="0.25"/>
    <row r="1292" ht="17.100000000000001" customHeight="1" x14ac:dyDescent="0.25"/>
    <row r="1293" ht="17.100000000000001" customHeight="1" x14ac:dyDescent="0.25"/>
    <row r="1294" ht="17.100000000000001" customHeight="1" x14ac:dyDescent="0.25"/>
    <row r="1295" ht="17.100000000000001" customHeight="1" x14ac:dyDescent="0.25"/>
    <row r="1296" ht="17.100000000000001" customHeight="1" x14ac:dyDescent="0.25"/>
    <row r="1297" ht="17.100000000000001" customHeight="1" x14ac:dyDescent="0.25"/>
    <row r="1298" ht="17.100000000000001" customHeight="1" x14ac:dyDescent="0.25"/>
    <row r="1299" ht="17.100000000000001" customHeight="1" x14ac:dyDescent="0.25"/>
    <row r="1300" ht="17.100000000000001" customHeight="1" x14ac:dyDescent="0.25"/>
    <row r="1301" ht="17.100000000000001" customHeight="1" x14ac:dyDescent="0.25"/>
    <row r="1302" ht="17.100000000000001" customHeight="1" x14ac:dyDescent="0.25"/>
    <row r="1303" ht="17.100000000000001" customHeight="1" x14ac:dyDescent="0.25"/>
    <row r="1304" ht="17.100000000000001" customHeight="1" x14ac:dyDescent="0.25"/>
    <row r="1305" ht="17.100000000000001" customHeight="1" x14ac:dyDescent="0.25"/>
    <row r="1306" ht="17.100000000000001" customHeight="1" x14ac:dyDescent="0.25"/>
    <row r="1307" ht="17.100000000000001" customHeight="1" x14ac:dyDescent="0.25"/>
    <row r="1308" ht="17.100000000000001" customHeight="1" x14ac:dyDescent="0.25"/>
    <row r="1309" ht="17.100000000000001" customHeight="1" x14ac:dyDescent="0.25"/>
    <row r="1310" ht="17.100000000000001" customHeight="1" x14ac:dyDescent="0.25"/>
    <row r="1311" ht="17.100000000000001" customHeight="1" x14ac:dyDescent="0.25"/>
    <row r="1312" ht="17.100000000000001" customHeight="1" x14ac:dyDescent="0.25"/>
    <row r="1313" ht="17.100000000000001" customHeight="1" x14ac:dyDescent="0.25"/>
    <row r="1314" ht="17.100000000000001" customHeight="1" x14ac:dyDescent="0.25"/>
    <row r="1315" ht="17.100000000000001" customHeight="1" x14ac:dyDescent="0.25"/>
    <row r="1316" ht="17.100000000000001" customHeight="1" x14ac:dyDescent="0.25"/>
    <row r="1317" ht="17.100000000000001" customHeight="1" x14ac:dyDescent="0.25"/>
    <row r="1318" ht="17.100000000000001" customHeight="1" x14ac:dyDescent="0.25"/>
    <row r="1319" ht="17.100000000000001" customHeight="1" x14ac:dyDescent="0.25"/>
    <row r="1320" ht="17.100000000000001" customHeight="1" x14ac:dyDescent="0.25"/>
    <row r="1321" ht="17.100000000000001" customHeight="1" x14ac:dyDescent="0.25"/>
    <row r="1322" ht="17.100000000000001" customHeight="1" x14ac:dyDescent="0.25"/>
    <row r="1323" ht="17.100000000000001" customHeight="1" x14ac:dyDescent="0.25"/>
    <row r="1324" ht="17.100000000000001" customHeight="1" x14ac:dyDescent="0.25"/>
    <row r="1325" ht="17.100000000000001" customHeight="1" x14ac:dyDescent="0.25"/>
    <row r="1326" ht="17.100000000000001" customHeight="1" x14ac:dyDescent="0.25"/>
    <row r="1327" ht="17.100000000000001" customHeight="1" x14ac:dyDescent="0.25"/>
    <row r="1328" ht="17.100000000000001" customHeight="1" x14ac:dyDescent="0.25"/>
    <row r="1329" ht="17.100000000000001" customHeight="1" x14ac:dyDescent="0.25"/>
    <row r="1330" ht="17.100000000000001" customHeight="1" x14ac:dyDescent="0.25"/>
    <row r="1331" ht="17.100000000000001" customHeight="1" x14ac:dyDescent="0.25"/>
    <row r="1332" ht="17.100000000000001" customHeight="1" x14ac:dyDescent="0.25"/>
    <row r="1333" ht="17.100000000000001" customHeight="1" x14ac:dyDescent="0.25"/>
    <row r="1334" ht="17.100000000000001" customHeight="1" x14ac:dyDescent="0.25"/>
    <row r="1335" ht="17.100000000000001" customHeight="1" x14ac:dyDescent="0.25"/>
    <row r="1336" ht="17.100000000000001" customHeight="1" x14ac:dyDescent="0.25"/>
    <row r="1337" ht="17.100000000000001" customHeight="1" x14ac:dyDescent="0.25"/>
    <row r="1338" ht="17.100000000000001" customHeight="1" x14ac:dyDescent="0.25"/>
    <row r="1339" ht="17.100000000000001" customHeight="1" x14ac:dyDescent="0.25"/>
    <row r="1340" ht="17.100000000000001" customHeight="1" x14ac:dyDescent="0.25"/>
    <row r="1341" ht="17.100000000000001" customHeight="1" x14ac:dyDescent="0.25"/>
    <row r="1342" ht="17.100000000000001" customHeight="1" x14ac:dyDescent="0.25"/>
    <row r="1343" ht="17.100000000000001" customHeight="1" x14ac:dyDescent="0.25"/>
    <row r="1344" ht="17.100000000000001" customHeight="1" x14ac:dyDescent="0.25"/>
    <row r="1345" ht="17.100000000000001" customHeight="1" x14ac:dyDescent="0.25"/>
    <row r="1346" ht="17.100000000000001" customHeight="1" x14ac:dyDescent="0.25"/>
    <row r="1347" ht="17.100000000000001" customHeight="1" x14ac:dyDescent="0.25"/>
    <row r="1348" ht="17.100000000000001" customHeight="1" x14ac:dyDescent="0.25"/>
    <row r="1349" ht="17.100000000000001" customHeight="1" x14ac:dyDescent="0.25"/>
    <row r="1350" ht="17.100000000000001" customHeight="1" x14ac:dyDescent="0.25"/>
    <row r="1351" ht="17.100000000000001" customHeight="1" x14ac:dyDescent="0.25"/>
    <row r="1352" ht="17.100000000000001" customHeight="1" x14ac:dyDescent="0.25"/>
    <row r="1353" ht="17.100000000000001" customHeight="1" x14ac:dyDescent="0.25"/>
    <row r="1354" ht="17.100000000000001" customHeight="1" x14ac:dyDescent="0.25"/>
    <row r="1355" ht="17.100000000000001" customHeight="1" x14ac:dyDescent="0.25"/>
    <row r="1356" ht="17.100000000000001" customHeight="1" x14ac:dyDescent="0.25"/>
    <row r="1357" ht="17.100000000000001" customHeight="1" x14ac:dyDescent="0.25"/>
    <row r="1358" ht="17.100000000000001" customHeight="1" x14ac:dyDescent="0.25"/>
    <row r="1359" ht="17.100000000000001" customHeight="1" x14ac:dyDescent="0.25"/>
    <row r="1360" ht="17.100000000000001" customHeight="1" x14ac:dyDescent="0.25"/>
    <row r="1361" ht="17.100000000000001" customHeight="1" x14ac:dyDescent="0.25"/>
    <row r="1362" ht="17.100000000000001" customHeight="1" x14ac:dyDescent="0.25"/>
    <row r="1363" ht="17.100000000000001" customHeight="1" x14ac:dyDescent="0.25"/>
    <row r="1364" ht="17.100000000000001" customHeight="1" x14ac:dyDescent="0.25"/>
    <row r="1365" ht="17.100000000000001" customHeight="1" x14ac:dyDescent="0.25"/>
    <row r="1366" ht="17.100000000000001" customHeight="1" x14ac:dyDescent="0.25"/>
    <row r="1367" ht="17.100000000000001" customHeight="1" x14ac:dyDescent="0.25"/>
    <row r="1368" ht="17.100000000000001" customHeight="1" x14ac:dyDescent="0.25"/>
    <row r="1369" ht="17.100000000000001" customHeight="1" x14ac:dyDescent="0.25"/>
    <row r="1370" ht="17.100000000000001" customHeight="1" x14ac:dyDescent="0.25"/>
    <row r="1371" ht="17.100000000000001" customHeight="1" x14ac:dyDescent="0.25"/>
    <row r="1372" ht="17.100000000000001" customHeight="1" x14ac:dyDescent="0.25"/>
    <row r="1373" ht="17.100000000000001" customHeight="1" x14ac:dyDescent="0.25"/>
    <row r="1374" ht="17.100000000000001" customHeight="1" x14ac:dyDescent="0.25"/>
    <row r="1375" ht="17.100000000000001" customHeight="1" x14ac:dyDescent="0.25"/>
    <row r="1376" ht="17.100000000000001" customHeight="1" x14ac:dyDescent="0.25"/>
    <row r="1377" ht="17.100000000000001" customHeight="1" x14ac:dyDescent="0.25"/>
    <row r="1378" ht="17.100000000000001" customHeight="1" x14ac:dyDescent="0.25"/>
    <row r="1379" ht="17.100000000000001" customHeight="1" x14ac:dyDescent="0.25"/>
    <row r="1380" ht="17.100000000000001" customHeight="1" x14ac:dyDescent="0.25"/>
    <row r="1381" ht="17.100000000000001" customHeight="1" x14ac:dyDescent="0.25"/>
    <row r="1382" ht="17.100000000000001" customHeight="1" x14ac:dyDescent="0.25"/>
    <row r="1383" ht="17.100000000000001" customHeight="1" x14ac:dyDescent="0.25"/>
    <row r="1384" ht="17.100000000000001" customHeight="1" x14ac:dyDescent="0.25"/>
    <row r="1385" ht="17.100000000000001" customHeight="1" x14ac:dyDescent="0.25"/>
    <row r="1386" ht="17.100000000000001" customHeight="1" x14ac:dyDescent="0.25"/>
    <row r="1387" ht="17.100000000000001" customHeight="1" x14ac:dyDescent="0.25"/>
    <row r="1388" ht="17.100000000000001" customHeight="1" x14ac:dyDescent="0.25"/>
    <row r="1389" ht="17.100000000000001" customHeight="1" x14ac:dyDescent="0.25"/>
    <row r="1390" ht="17.100000000000001" customHeight="1" x14ac:dyDescent="0.25"/>
    <row r="1391" ht="17.100000000000001" customHeight="1" x14ac:dyDescent="0.25"/>
    <row r="1392" ht="17.100000000000001" customHeight="1" x14ac:dyDescent="0.25"/>
    <row r="1393" ht="17.100000000000001" customHeight="1" x14ac:dyDescent="0.25"/>
    <row r="1394" ht="17.100000000000001" customHeight="1" x14ac:dyDescent="0.25"/>
    <row r="1395" ht="17.100000000000001" customHeight="1" x14ac:dyDescent="0.25"/>
    <row r="1396" ht="17.100000000000001" customHeight="1" x14ac:dyDescent="0.25"/>
    <row r="1397" ht="17.100000000000001" customHeight="1" x14ac:dyDescent="0.25"/>
    <row r="1398" ht="17.100000000000001" customHeight="1" x14ac:dyDescent="0.25"/>
    <row r="1399" ht="17.100000000000001" customHeight="1" x14ac:dyDescent="0.25"/>
    <row r="1400" ht="17.100000000000001" customHeight="1" x14ac:dyDescent="0.25"/>
    <row r="1401" ht="17.100000000000001" customHeight="1" x14ac:dyDescent="0.25"/>
    <row r="1402" ht="17.100000000000001" customHeight="1" x14ac:dyDescent="0.25"/>
    <row r="1403" ht="17.100000000000001" customHeight="1" x14ac:dyDescent="0.25"/>
    <row r="1404" ht="17.100000000000001" customHeight="1" x14ac:dyDescent="0.25"/>
    <row r="1405" ht="17.100000000000001" customHeight="1" x14ac:dyDescent="0.25"/>
    <row r="1406" ht="17.100000000000001" customHeight="1" x14ac:dyDescent="0.25"/>
    <row r="1407" ht="17.100000000000001" customHeight="1" x14ac:dyDescent="0.25"/>
    <row r="1408" ht="17.100000000000001" customHeight="1" x14ac:dyDescent="0.25"/>
    <row r="1409" ht="17.100000000000001" customHeight="1" x14ac:dyDescent="0.25"/>
    <row r="1410" ht="17.100000000000001" customHeight="1" x14ac:dyDescent="0.25"/>
    <row r="1411" ht="17.100000000000001" customHeight="1" x14ac:dyDescent="0.25"/>
    <row r="1412" ht="17.100000000000001" customHeight="1" x14ac:dyDescent="0.25"/>
    <row r="1413" ht="17.100000000000001" customHeight="1" x14ac:dyDescent="0.25"/>
    <row r="1414" ht="17.100000000000001" customHeight="1" x14ac:dyDescent="0.25"/>
    <row r="1415" ht="17.100000000000001" customHeight="1" x14ac:dyDescent="0.25"/>
    <row r="1416" ht="17.100000000000001" customHeight="1" x14ac:dyDescent="0.25"/>
    <row r="1417" ht="17.100000000000001" customHeight="1" x14ac:dyDescent="0.25"/>
    <row r="1418" ht="17.100000000000001" customHeight="1" x14ac:dyDescent="0.25"/>
    <row r="1419" ht="17.100000000000001" customHeight="1" x14ac:dyDescent="0.25"/>
    <row r="1420" ht="17.100000000000001" customHeight="1" x14ac:dyDescent="0.25"/>
    <row r="1421" ht="17.100000000000001" customHeight="1" x14ac:dyDescent="0.25"/>
    <row r="1422" ht="17.100000000000001" customHeight="1" x14ac:dyDescent="0.25"/>
    <row r="1423" ht="17.100000000000001" customHeight="1" x14ac:dyDescent="0.25"/>
    <row r="1424" ht="17.100000000000001" customHeight="1" x14ac:dyDescent="0.25"/>
    <row r="1425" ht="17.100000000000001" customHeight="1" x14ac:dyDescent="0.25"/>
    <row r="1426" ht="17.100000000000001" customHeight="1" x14ac:dyDescent="0.25"/>
    <row r="1427" ht="17.100000000000001" customHeight="1" x14ac:dyDescent="0.25"/>
    <row r="1428" ht="17.100000000000001" customHeight="1" x14ac:dyDescent="0.25"/>
    <row r="1429" ht="17.100000000000001" customHeight="1" x14ac:dyDescent="0.25"/>
    <row r="1430" ht="17.100000000000001" customHeight="1" x14ac:dyDescent="0.25"/>
    <row r="1431" ht="17.100000000000001" customHeight="1" x14ac:dyDescent="0.25"/>
    <row r="1432" ht="17.100000000000001" customHeight="1" x14ac:dyDescent="0.25"/>
    <row r="1433" ht="17.100000000000001" customHeight="1" x14ac:dyDescent="0.25"/>
    <row r="1434" ht="17.100000000000001" customHeight="1" x14ac:dyDescent="0.25"/>
    <row r="1435" ht="17.100000000000001" customHeight="1" x14ac:dyDescent="0.25"/>
    <row r="1436" ht="17.100000000000001" customHeight="1" x14ac:dyDescent="0.25"/>
    <row r="1437" ht="17.100000000000001" customHeight="1" x14ac:dyDescent="0.25"/>
    <row r="1438" ht="17.100000000000001" customHeight="1" x14ac:dyDescent="0.25"/>
    <row r="1439" ht="17.100000000000001" customHeight="1" x14ac:dyDescent="0.25"/>
    <row r="1440" ht="17.100000000000001" customHeight="1" x14ac:dyDescent="0.25"/>
    <row r="1441" ht="17.100000000000001" customHeight="1" x14ac:dyDescent="0.25"/>
    <row r="1442" ht="17.100000000000001" customHeight="1" x14ac:dyDescent="0.25"/>
    <row r="1443" ht="17.100000000000001" customHeight="1" x14ac:dyDescent="0.25"/>
    <row r="1444" ht="17.100000000000001" customHeight="1" x14ac:dyDescent="0.25"/>
    <row r="1445" ht="17.100000000000001" customHeight="1" x14ac:dyDescent="0.25"/>
    <row r="1446" ht="17.100000000000001" customHeight="1" x14ac:dyDescent="0.25"/>
    <row r="1447" ht="17.100000000000001" customHeight="1" x14ac:dyDescent="0.25"/>
    <row r="1448" ht="17.100000000000001" customHeight="1" x14ac:dyDescent="0.25"/>
    <row r="1449" ht="17.100000000000001" customHeight="1" x14ac:dyDescent="0.25"/>
    <row r="1450" ht="17.100000000000001" customHeight="1" x14ac:dyDescent="0.25"/>
    <row r="1451" ht="17.100000000000001" customHeight="1" x14ac:dyDescent="0.25"/>
    <row r="1452" ht="17.100000000000001" customHeight="1" x14ac:dyDescent="0.25"/>
    <row r="1453" ht="17.100000000000001" customHeight="1" x14ac:dyDescent="0.25"/>
    <row r="1454" ht="17.100000000000001" customHeight="1" x14ac:dyDescent="0.25"/>
    <row r="1455" ht="17.100000000000001" customHeight="1" x14ac:dyDescent="0.25"/>
    <row r="1456" ht="17.100000000000001" customHeight="1" x14ac:dyDescent="0.25"/>
    <row r="1457" ht="17.100000000000001" customHeight="1" x14ac:dyDescent="0.25"/>
    <row r="1458" ht="17.100000000000001" customHeight="1" x14ac:dyDescent="0.25"/>
    <row r="1459" ht="17.100000000000001" customHeight="1" x14ac:dyDescent="0.25"/>
    <row r="1460" ht="17.100000000000001" customHeight="1" x14ac:dyDescent="0.25"/>
    <row r="1461" ht="17.100000000000001" customHeight="1" x14ac:dyDescent="0.25"/>
    <row r="1462" ht="17.100000000000001" customHeight="1" x14ac:dyDescent="0.25"/>
    <row r="1463" ht="17.100000000000001" customHeight="1" x14ac:dyDescent="0.25"/>
    <row r="1464" ht="17.100000000000001" customHeight="1" x14ac:dyDescent="0.25"/>
    <row r="1465" ht="17.100000000000001" customHeight="1" x14ac:dyDescent="0.25"/>
    <row r="1466" ht="17.100000000000001" customHeight="1" x14ac:dyDescent="0.25"/>
    <row r="1467" ht="17.100000000000001" customHeight="1" x14ac:dyDescent="0.25"/>
    <row r="1468" ht="17.100000000000001" customHeight="1" x14ac:dyDescent="0.25"/>
    <row r="1469" ht="17.100000000000001" customHeight="1" x14ac:dyDescent="0.25"/>
    <row r="1470" ht="17.100000000000001" customHeight="1" x14ac:dyDescent="0.25"/>
    <row r="1471" ht="17.100000000000001" customHeight="1" x14ac:dyDescent="0.25"/>
    <row r="1472" ht="17.100000000000001" customHeight="1" x14ac:dyDescent="0.25"/>
    <row r="1473" ht="17.100000000000001" customHeight="1" x14ac:dyDescent="0.25"/>
    <row r="1474" ht="17.100000000000001" customHeight="1" x14ac:dyDescent="0.25"/>
    <row r="1475" ht="17.100000000000001" customHeight="1" x14ac:dyDescent="0.25"/>
    <row r="1476" ht="17.100000000000001" customHeight="1" x14ac:dyDescent="0.25"/>
    <row r="1477" ht="17.100000000000001" customHeight="1" x14ac:dyDescent="0.25"/>
    <row r="1478" ht="17.100000000000001" customHeight="1" x14ac:dyDescent="0.25"/>
    <row r="1479" ht="17.100000000000001" customHeight="1" x14ac:dyDescent="0.25"/>
    <row r="1480" ht="17.100000000000001" customHeight="1" x14ac:dyDescent="0.25"/>
    <row r="1481" ht="17.100000000000001" customHeight="1" x14ac:dyDescent="0.25"/>
    <row r="1482" ht="17.100000000000001" customHeight="1" x14ac:dyDescent="0.25"/>
    <row r="1483" ht="17.100000000000001" customHeight="1" x14ac:dyDescent="0.25"/>
    <row r="1484" ht="17.100000000000001" customHeight="1" x14ac:dyDescent="0.25"/>
    <row r="1485" ht="17.100000000000001" customHeight="1" x14ac:dyDescent="0.25"/>
    <row r="1486" ht="17.100000000000001" customHeight="1" x14ac:dyDescent="0.25"/>
    <row r="1487" ht="17.100000000000001" customHeight="1" x14ac:dyDescent="0.25"/>
    <row r="1488" ht="17.100000000000001" customHeight="1" x14ac:dyDescent="0.25"/>
    <row r="1489" ht="17.100000000000001" customHeight="1" x14ac:dyDescent="0.25"/>
    <row r="1490" ht="17.100000000000001" customHeight="1" x14ac:dyDescent="0.25"/>
    <row r="1491" ht="17.100000000000001" customHeight="1" x14ac:dyDescent="0.25"/>
    <row r="1492" ht="17.100000000000001" customHeight="1" x14ac:dyDescent="0.25"/>
    <row r="1493" ht="17.100000000000001" customHeight="1" x14ac:dyDescent="0.25"/>
    <row r="1494" ht="17.100000000000001" customHeight="1" x14ac:dyDescent="0.25"/>
    <row r="1495" ht="17.100000000000001" customHeight="1" x14ac:dyDescent="0.25"/>
    <row r="1496" ht="17.100000000000001" customHeight="1" x14ac:dyDescent="0.25"/>
    <row r="1497" ht="17.100000000000001" customHeight="1" x14ac:dyDescent="0.25"/>
    <row r="1498" ht="17.100000000000001" customHeight="1" x14ac:dyDescent="0.25"/>
    <row r="1499" ht="17.100000000000001" customHeight="1" x14ac:dyDescent="0.25"/>
    <row r="1500" ht="17.100000000000001" customHeight="1" x14ac:dyDescent="0.25"/>
    <row r="1501" ht="17.100000000000001" customHeight="1" x14ac:dyDescent="0.25"/>
    <row r="1502" ht="17.100000000000001" customHeight="1" x14ac:dyDescent="0.25"/>
    <row r="1503" ht="17.100000000000001" customHeight="1" x14ac:dyDescent="0.25"/>
    <row r="1504" ht="17.100000000000001" customHeight="1" x14ac:dyDescent="0.25"/>
    <row r="1505" ht="17.100000000000001" customHeight="1" x14ac:dyDescent="0.25"/>
    <row r="1506" ht="17.100000000000001" customHeight="1" x14ac:dyDescent="0.25"/>
    <row r="1507" ht="17.100000000000001" customHeight="1" x14ac:dyDescent="0.25"/>
    <row r="1508" ht="17.100000000000001" customHeight="1" x14ac:dyDescent="0.25"/>
    <row r="1509" ht="17.100000000000001" customHeight="1" x14ac:dyDescent="0.25"/>
    <row r="1510" ht="17.100000000000001" customHeight="1" x14ac:dyDescent="0.25"/>
    <row r="1511" ht="17.100000000000001" customHeight="1" x14ac:dyDescent="0.25"/>
    <row r="1512" ht="17.100000000000001" customHeight="1" x14ac:dyDescent="0.25"/>
    <row r="1513" ht="17.100000000000001" customHeight="1" x14ac:dyDescent="0.25"/>
    <row r="1514" ht="17.100000000000001" customHeight="1" x14ac:dyDescent="0.25"/>
    <row r="1515" ht="17.100000000000001" customHeight="1" x14ac:dyDescent="0.25"/>
    <row r="1516" ht="17.100000000000001" customHeight="1" x14ac:dyDescent="0.25"/>
    <row r="1517" ht="17.100000000000001" customHeight="1" x14ac:dyDescent="0.25"/>
    <row r="1518" ht="17.100000000000001" customHeight="1" x14ac:dyDescent="0.25"/>
    <row r="1519" ht="17.100000000000001" customHeight="1" x14ac:dyDescent="0.25"/>
    <row r="1520" ht="17.100000000000001" customHeight="1" x14ac:dyDescent="0.25"/>
    <row r="1521" ht="17.100000000000001" customHeight="1" x14ac:dyDescent="0.25"/>
    <row r="1522" ht="17.100000000000001" customHeight="1" x14ac:dyDescent="0.25"/>
    <row r="1523" ht="17.100000000000001" customHeight="1" x14ac:dyDescent="0.25"/>
    <row r="1524" ht="17.100000000000001" customHeight="1" x14ac:dyDescent="0.25"/>
    <row r="1525" ht="17.100000000000001" customHeight="1" x14ac:dyDescent="0.25"/>
    <row r="1526" ht="17.100000000000001" customHeight="1" x14ac:dyDescent="0.25"/>
    <row r="1527" ht="17.100000000000001" customHeight="1" x14ac:dyDescent="0.25"/>
    <row r="1528" ht="17.100000000000001" customHeight="1" x14ac:dyDescent="0.25"/>
    <row r="1529" ht="17.100000000000001" customHeight="1" x14ac:dyDescent="0.25"/>
    <row r="1530" ht="17.100000000000001" customHeight="1" x14ac:dyDescent="0.25"/>
    <row r="1531" ht="17.100000000000001" customHeight="1" x14ac:dyDescent="0.25"/>
    <row r="1532" ht="17.100000000000001" customHeight="1" x14ac:dyDescent="0.25"/>
    <row r="1533" ht="17.100000000000001" customHeight="1" x14ac:dyDescent="0.25"/>
    <row r="1534" ht="17.100000000000001" customHeight="1" x14ac:dyDescent="0.25"/>
    <row r="1535" ht="17.100000000000001" customHeight="1" x14ac:dyDescent="0.25"/>
    <row r="1536" ht="17.100000000000001" customHeight="1" x14ac:dyDescent="0.25"/>
    <row r="1537" ht="17.100000000000001" customHeight="1" x14ac:dyDescent="0.25"/>
    <row r="1538" ht="17.100000000000001" customHeight="1" x14ac:dyDescent="0.25"/>
    <row r="1539" ht="17.100000000000001" customHeight="1" x14ac:dyDescent="0.25"/>
    <row r="1540" ht="17.100000000000001" customHeight="1" x14ac:dyDescent="0.25"/>
    <row r="1541" ht="17.100000000000001" customHeight="1" x14ac:dyDescent="0.25"/>
    <row r="1542" ht="17.100000000000001" customHeight="1" x14ac:dyDescent="0.25"/>
    <row r="1543" ht="17.100000000000001" customHeight="1" x14ac:dyDescent="0.25"/>
    <row r="1544" ht="17.100000000000001" customHeight="1" x14ac:dyDescent="0.25"/>
    <row r="1545" ht="17.100000000000001" customHeight="1" x14ac:dyDescent="0.25"/>
    <row r="1546" ht="17.100000000000001" customHeight="1" x14ac:dyDescent="0.25"/>
    <row r="1547" ht="17.100000000000001" customHeight="1" x14ac:dyDescent="0.25"/>
    <row r="1548" ht="17.100000000000001" customHeight="1" x14ac:dyDescent="0.25"/>
    <row r="1549" ht="17.100000000000001" customHeight="1" x14ac:dyDescent="0.25"/>
    <row r="1550" ht="17.100000000000001" customHeight="1" x14ac:dyDescent="0.25"/>
    <row r="1551" ht="17.100000000000001" customHeight="1" x14ac:dyDescent="0.25"/>
    <row r="1552" ht="17.100000000000001" customHeight="1" x14ac:dyDescent="0.25"/>
    <row r="1553" ht="17.100000000000001" customHeight="1" x14ac:dyDescent="0.25"/>
    <row r="1554" ht="17.100000000000001" customHeight="1" x14ac:dyDescent="0.25"/>
    <row r="1555" ht="17.100000000000001" customHeight="1" x14ac:dyDescent="0.25"/>
    <row r="1556" ht="17.100000000000001" customHeight="1" x14ac:dyDescent="0.25"/>
    <row r="1557" ht="17.100000000000001" customHeight="1" x14ac:dyDescent="0.25"/>
    <row r="1558" ht="17.100000000000001" customHeight="1" x14ac:dyDescent="0.25"/>
    <row r="1559" ht="17.100000000000001" customHeight="1" x14ac:dyDescent="0.25"/>
    <row r="1560" ht="17.100000000000001" customHeight="1" x14ac:dyDescent="0.25"/>
    <row r="1561" ht="17.100000000000001" customHeight="1" x14ac:dyDescent="0.25"/>
    <row r="1562" ht="17.100000000000001" customHeight="1" x14ac:dyDescent="0.25"/>
    <row r="1563" ht="17.100000000000001" customHeight="1" x14ac:dyDescent="0.25"/>
    <row r="1564" ht="17.100000000000001" customHeight="1" x14ac:dyDescent="0.25"/>
    <row r="1565" ht="17.100000000000001" customHeight="1" x14ac:dyDescent="0.25"/>
    <row r="1566" ht="17.100000000000001" customHeight="1" x14ac:dyDescent="0.25"/>
    <row r="1567" ht="17.100000000000001" customHeight="1" x14ac:dyDescent="0.25"/>
    <row r="1568" ht="17.100000000000001" customHeight="1" x14ac:dyDescent="0.25"/>
    <row r="1569" ht="17.100000000000001" customHeight="1" x14ac:dyDescent="0.25"/>
    <row r="1570" ht="17.100000000000001" customHeight="1" x14ac:dyDescent="0.25"/>
    <row r="1571" ht="17.100000000000001" customHeight="1" x14ac:dyDescent="0.25"/>
    <row r="1572" ht="17.100000000000001" customHeight="1" x14ac:dyDescent="0.25"/>
    <row r="1573" ht="17.100000000000001" customHeight="1" x14ac:dyDescent="0.25"/>
    <row r="1574" ht="17.100000000000001" customHeight="1" x14ac:dyDescent="0.25"/>
    <row r="1575" ht="17.100000000000001" customHeight="1" x14ac:dyDescent="0.25"/>
    <row r="1576" ht="17.100000000000001" customHeight="1" x14ac:dyDescent="0.25"/>
    <row r="1577" ht="17.100000000000001" customHeight="1" x14ac:dyDescent="0.25"/>
    <row r="1578" ht="17.100000000000001" customHeight="1" x14ac:dyDescent="0.25"/>
    <row r="1579" ht="17.100000000000001" customHeight="1" x14ac:dyDescent="0.25"/>
    <row r="1580" ht="17.100000000000001" customHeight="1" x14ac:dyDescent="0.25"/>
    <row r="1581" ht="17.100000000000001" customHeight="1" x14ac:dyDescent="0.25"/>
    <row r="1582" ht="17.100000000000001" customHeight="1" x14ac:dyDescent="0.25"/>
    <row r="1583" ht="17.100000000000001" customHeight="1" x14ac:dyDescent="0.25"/>
    <row r="1584" ht="17.100000000000001" customHeight="1" x14ac:dyDescent="0.25"/>
    <row r="1585" ht="17.100000000000001" customHeight="1" x14ac:dyDescent="0.25"/>
    <row r="1586" ht="17.100000000000001" customHeight="1" x14ac:dyDescent="0.25"/>
    <row r="1587" ht="17.100000000000001" customHeight="1" x14ac:dyDescent="0.25"/>
    <row r="1588" ht="17.100000000000001" customHeight="1" x14ac:dyDescent="0.25"/>
    <row r="1589" ht="17.100000000000001" customHeight="1" x14ac:dyDescent="0.25"/>
    <row r="1590" ht="17.100000000000001" customHeight="1" x14ac:dyDescent="0.25"/>
    <row r="1591" ht="17.100000000000001" customHeight="1" x14ac:dyDescent="0.25"/>
    <row r="1592" ht="17.100000000000001" customHeight="1" x14ac:dyDescent="0.25"/>
    <row r="1593" ht="17.100000000000001" customHeight="1" x14ac:dyDescent="0.25"/>
    <row r="1594" ht="17.100000000000001" customHeight="1" x14ac:dyDescent="0.25"/>
    <row r="1595" ht="17.100000000000001" customHeight="1" x14ac:dyDescent="0.25"/>
    <row r="1596" ht="17.100000000000001" customHeight="1" x14ac:dyDescent="0.25"/>
    <row r="1597" ht="17.100000000000001" customHeight="1" x14ac:dyDescent="0.25"/>
    <row r="1598" ht="17.100000000000001" customHeight="1" x14ac:dyDescent="0.25"/>
    <row r="1599" ht="17.100000000000001" customHeight="1" x14ac:dyDescent="0.25"/>
    <row r="1600" ht="17.100000000000001" customHeight="1" x14ac:dyDescent="0.25"/>
    <row r="1601" ht="17.100000000000001" customHeight="1" x14ac:dyDescent="0.25"/>
    <row r="1602" ht="17.100000000000001" customHeight="1" x14ac:dyDescent="0.25"/>
    <row r="1603" ht="17.100000000000001" customHeight="1" x14ac:dyDescent="0.25"/>
    <row r="1604" ht="17.100000000000001" customHeight="1" x14ac:dyDescent="0.25"/>
    <row r="1605" ht="17.100000000000001" customHeight="1" x14ac:dyDescent="0.25"/>
    <row r="1606" ht="17.100000000000001" customHeight="1" x14ac:dyDescent="0.25"/>
    <row r="1607" ht="17.100000000000001" customHeight="1" x14ac:dyDescent="0.25"/>
    <row r="1608" ht="17.100000000000001" customHeight="1" x14ac:dyDescent="0.25"/>
    <row r="1609" ht="17.100000000000001" customHeight="1" x14ac:dyDescent="0.25"/>
    <row r="1610" ht="17.100000000000001" customHeight="1" x14ac:dyDescent="0.25"/>
    <row r="1611" ht="17.100000000000001" customHeight="1" x14ac:dyDescent="0.25"/>
    <row r="1612" ht="17.100000000000001" customHeight="1" x14ac:dyDescent="0.25"/>
    <row r="1613" ht="17.100000000000001" customHeight="1" x14ac:dyDescent="0.25"/>
    <row r="1614" ht="17.100000000000001" customHeight="1" x14ac:dyDescent="0.25"/>
    <row r="1615" ht="17.100000000000001" customHeight="1" x14ac:dyDescent="0.25"/>
    <row r="1616" ht="17.100000000000001" customHeight="1" x14ac:dyDescent="0.25"/>
    <row r="1617" ht="17.100000000000001" customHeight="1" x14ac:dyDescent="0.25"/>
    <row r="1618" ht="17.100000000000001" customHeight="1" x14ac:dyDescent="0.25"/>
    <row r="1619" ht="17.100000000000001" customHeight="1" x14ac:dyDescent="0.25"/>
    <row r="1620" ht="17.100000000000001" customHeight="1" x14ac:dyDescent="0.25"/>
    <row r="1621" ht="17.100000000000001" customHeight="1" x14ac:dyDescent="0.25"/>
    <row r="1622" ht="17.100000000000001" customHeight="1" x14ac:dyDescent="0.25"/>
    <row r="1623" ht="17.100000000000001" customHeight="1" x14ac:dyDescent="0.25"/>
    <row r="1624" ht="17.100000000000001" customHeight="1" x14ac:dyDescent="0.25"/>
    <row r="1625" ht="17.100000000000001" customHeight="1" x14ac:dyDescent="0.25"/>
    <row r="1626" ht="17.100000000000001" customHeight="1" x14ac:dyDescent="0.25"/>
    <row r="1627" ht="17.100000000000001" customHeight="1" x14ac:dyDescent="0.25"/>
    <row r="1628" ht="17.100000000000001" customHeight="1" x14ac:dyDescent="0.25"/>
    <row r="1629" ht="17.100000000000001" customHeight="1" x14ac:dyDescent="0.25"/>
    <row r="1630" ht="17.100000000000001" customHeight="1" x14ac:dyDescent="0.25"/>
    <row r="1631" ht="17.100000000000001" customHeight="1" x14ac:dyDescent="0.25"/>
    <row r="1632" ht="17.100000000000001" customHeight="1" x14ac:dyDescent="0.25"/>
    <row r="1633" ht="17.100000000000001" customHeight="1" x14ac:dyDescent="0.25"/>
    <row r="1634" ht="17.100000000000001" customHeight="1" x14ac:dyDescent="0.25"/>
    <row r="1635" ht="17.100000000000001" customHeight="1" x14ac:dyDescent="0.25"/>
    <row r="1636" ht="17.100000000000001" customHeight="1" x14ac:dyDescent="0.25"/>
    <row r="1637" ht="17.100000000000001" customHeight="1" x14ac:dyDescent="0.25"/>
    <row r="1638" ht="17.100000000000001" customHeight="1" x14ac:dyDescent="0.25"/>
    <row r="1639" ht="17.100000000000001" customHeight="1" x14ac:dyDescent="0.25"/>
    <row r="1640" ht="17.100000000000001" customHeight="1" x14ac:dyDescent="0.25"/>
    <row r="1641" ht="17.100000000000001" customHeight="1" x14ac:dyDescent="0.25"/>
    <row r="1642" ht="17.100000000000001" customHeight="1" x14ac:dyDescent="0.25"/>
    <row r="1643" ht="17.100000000000001" customHeight="1" x14ac:dyDescent="0.25"/>
    <row r="1644" ht="17.100000000000001" customHeight="1" x14ac:dyDescent="0.25"/>
    <row r="1645" ht="17.100000000000001" customHeight="1" x14ac:dyDescent="0.25"/>
    <row r="1646" ht="17.100000000000001" customHeight="1" x14ac:dyDescent="0.25"/>
    <row r="1647" ht="17.100000000000001" customHeight="1" x14ac:dyDescent="0.25"/>
    <row r="1648" ht="17.100000000000001" customHeight="1" x14ac:dyDescent="0.25"/>
    <row r="1649" ht="17.100000000000001" customHeight="1" x14ac:dyDescent="0.25"/>
    <row r="1650" ht="17.100000000000001" customHeight="1" x14ac:dyDescent="0.25"/>
    <row r="1651" ht="17.100000000000001" customHeight="1" x14ac:dyDescent="0.25"/>
    <row r="1652" ht="17.100000000000001" customHeight="1" x14ac:dyDescent="0.25"/>
    <row r="1653" ht="17.100000000000001" customHeight="1" x14ac:dyDescent="0.25"/>
    <row r="1654" ht="17.100000000000001" customHeight="1" x14ac:dyDescent="0.25"/>
    <row r="1655" ht="17.100000000000001" customHeight="1" x14ac:dyDescent="0.25"/>
    <row r="1656" ht="17.100000000000001" customHeight="1" x14ac:dyDescent="0.25"/>
    <row r="1657" ht="17.100000000000001" customHeight="1" x14ac:dyDescent="0.25"/>
    <row r="1658" ht="17.100000000000001" customHeight="1" x14ac:dyDescent="0.25"/>
    <row r="1659" ht="17.100000000000001" customHeight="1" x14ac:dyDescent="0.25"/>
    <row r="1660" ht="17.100000000000001" customHeight="1" x14ac:dyDescent="0.25"/>
    <row r="1661" ht="17.100000000000001" customHeight="1" x14ac:dyDescent="0.25"/>
    <row r="1662" ht="17.100000000000001" customHeight="1" x14ac:dyDescent="0.25"/>
    <row r="1663" ht="17.100000000000001" customHeight="1" x14ac:dyDescent="0.25"/>
    <row r="1664" ht="17.100000000000001" customHeight="1" x14ac:dyDescent="0.25"/>
    <row r="1665" ht="17.100000000000001" customHeight="1" x14ac:dyDescent="0.25"/>
    <row r="1666" ht="17.100000000000001" customHeight="1" x14ac:dyDescent="0.25"/>
    <row r="1667" ht="17.100000000000001" customHeight="1" x14ac:dyDescent="0.25"/>
    <row r="1668" ht="17.100000000000001" customHeight="1" x14ac:dyDescent="0.25"/>
    <row r="1669" ht="17.100000000000001" customHeight="1" x14ac:dyDescent="0.25"/>
    <row r="1670" ht="17.100000000000001" customHeight="1" x14ac:dyDescent="0.25"/>
    <row r="1671" ht="17.100000000000001" customHeight="1" x14ac:dyDescent="0.25"/>
    <row r="1672" ht="17.100000000000001" customHeight="1" x14ac:dyDescent="0.25"/>
    <row r="1673" ht="17.100000000000001" customHeight="1" x14ac:dyDescent="0.25"/>
    <row r="1674" ht="17.100000000000001" customHeight="1" x14ac:dyDescent="0.25"/>
    <row r="1675" ht="17.100000000000001" customHeight="1" x14ac:dyDescent="0.25"/>
    <row r="1676" ht="17.100000000000001" customHeight="1" x14ac:dyDescent="0.25"/>
    <row r="1677" ht="17.100000000000001" customHeight="1" x14ac:dyDescent="0.25"/>
    <row r="1678" ht="17.100000000000001" customHeight="1" x14ac:dyDescent="0.25"/>
    <row r="1679" ht="17.100000000000001" customHeight="1" x14ac:dyDescent="0.25"/>
    <row r="1680" ht="17.100000000000001" customHeight="1" x14ac:dyDescent="0.25"/>
    <row r="1681" ht="17.100000000000001" customHeight="1" x14ac:dyDescent="0.25"/>
    <row r="1682" ht="17.100000000000001" customHeight="1" x14ac:dyDescent="0.25"/>
    <row r="1683" ht="17.100000000000001" customHeight="1" x14ac:dyDescent="0.25"/>
    <row r="1684" ht="17.100000000000001" customHeight="1" x14ac:dyDescent="0.25"/>
    <row r="1685" ht="17.100000000000001" customHeight="1" x14ac:dyDescent="0.25"/>
    <row r="1686" ht="17.100000000000001" customHeight="1" x14ac:dyDescent="0.25"/>
    <row r="1687" ht="17.100000000000001" customHeight="1" x14ac:dyDescent="0.25"/>
    <row r="1688" ht="17.100000000000001" customHeight="1" x14ac:dyDescent="0.25"/>
    <row r="1689" ht="17.100000000000001" customHeight="1" x14ac:dyDescent="0.25"/>
    <row r="1690" ht="17.100000000000001" customHeight="1" x14ac:dyDescent="0.25"/>
    <row r="1691" ht="17.100000000000001" customHeight="1" x14ac:dyDescent="0.25"/>
    <row r="1692" ht="17.100000000000001" customHeight="1" x14ac:dyDescent="0.25"/>
    <row r="1693" ht="17.100000000000001" customHeight="1" x14ac:dyDescent="0.25"/>
    <row r="1694" ht="17.100000000000001" customHeight="1" x14ac:dyDescent="0.25"/>
    <row r="1695" ht="17.100000000000001" customHeight="1" x14ac:dyDescent="0.25"/>
    <row r="1696" ht="17.100000000000001" customHeight="1" x14ac:dyDescent="0.25"/>
    <row r="1697" ht="17.100000000000001" customHeight="1" x14ac:dyDescent="0.25"/>
    <row r="1698" ht="17.100000000000001" customHeight="1" x14ac:dyDescent="0.25"/>
    <row r="1699" ht="17.100000000000001" customHeight="1" x14ac:dyDescent="0.25"/>
    <row r="1700" ht="17.100000000000001" customHeight="1" x14ac:dyDescent="0.25"/>
    <row r="1701" ht="17.100000000000001" customHeight="1" x14ac:dyDescent="0.25"/>
    <row r="1702" ht="17.100000000000001" customHeight="1" x14ac:dyDescent="0.25"/>
    <row r="1703" ht="17.100000000000001" customHeight="1" x14ac:dyDescent="0.25"/>
    <row r="1704" ht="17.100000000000001" customHeight="1" x14ac:dyDescent="0.25"/>
    <row r="1705" ht="17.100000000000001" customHeight="1" x14ac:dyDescent="0.25"/>
    <row r="1706" ht="17.100000000000001" customHeight="1" x14ac:dyDescent="0.25"/>
    <row r="1707" ht="17.100000000000001" customHeight="1" x14ac:dyDescent="0.25"/>
    <row r="1708" ht="17.100000000000001" customHeight="1" x14ac:dyDescent="0.25"/>
    <row r="1709" ht="17.100000000000001" customHeight="1" x14ac:dyDescent="0.25"/>
    <row r="1710" ht="17.100000000000001" customHeight="1" x14ac:dyDescent="0.25"/>
    <row r="1711" ht="17.100000000000001" customHeight="1" x14ac:dyDescent="0.25"/>
    <row r="1712" ht="17.100000000000001" customHeight="1" x14ac:dyDescent="0.25"/>
    <row r="1713" ht="17.100000000000001" customHeight="1" x14ac:dyDescent="0.25"/>
    <row r="1714" ht="17.100000000000001" customHeight="1" x14ac:dyDescent="0.25"/>
    <row r="1715" ht="17.100000000000001" customHeight="1" x14ac:dyDescent="0.25"/>
    <row r="1716" ht="17.100000000000001" customHeight="1" x14ac:dyDescent="0.25"/>
    <row r="1717" ht="17.100000000000001" customHeight="1" x14ac:dyDescent="0.25"/>
    <row r="1718" ht="17.100000000000001" customHeight="1" x14ac:dyDescent="0.25"/>
    <row r="1719" ht="17.100000000000001" customHeight="1" x14ac:dyDescent="0.25"/>
    <row r="1720" ht="17.100000000000001" customHeight="1" x14ac:dyDescent="0.25"/>
    <row r="1721" ht="17.100000000000001" customHeight="1" x14ac:dyDescent="0.25"/>
    <row r="1722" ht="17.100000000000001" customHeight="1" x14ac:dyDescent="0.25"/>
    <row r="1723" ht="17.100000000000001" customHeight="1" x14ac:dyDescent="0.25"/>
    <row r="1724" ht="17.100000000000001" customHeight="1" x14ac:dyDescent="0.25"/>
    <row r="1725" ht="17.100000000000001" customHeight="1" x14ac:dyDescent="0.25"/>
    <row r="1726" ht="17.100000000000001" customHeight="1" x14ac:dyDescent="0.25"/>
    <row r="1727" ht="17.100000000000001" customHeight="1" x14ac:dyDescent="0.25"/>
    <row r="1728" ht="17.100000000000001" customHeight="1" x14ac:dyDescent="0.25"/>
    <row r="1729" ht="17.100000000000001" customHeight="1" x14ac:dyDescent="0.25"/>
    <row r="1730" ht="17.100000000000001" customHeight="1" x14ac:dyDescent="0.25"/>
    <row r="1731" ht="17.100000000000001" customHeight="1" x14ac:dyDescent="0.25"/>
    <row r="1732" ht="17.100000000000001" customHeight="1" x14ac:dyDescent="0.25"/>
    <row r="1733" ht="17.100000000000001" customHeight="1" x14ac:dyDescent="0.25"/>
    <row r="1734" ht="17.100000000000001" customHeight="1" x14ac:dyDescent="0.25"/>
    <row r="1735" ht="17.100000000000001" customHeight="1" x14ac:dyDescent="0.25"/>
    <row r="1736" ht="17.100000000000001" customHeight="1" x14ac:dyDescent="0.25"/>
    <row r="1737" ht="17.100000000000001" customHeight="1" x14ac:dyDescent="0.25"/>
    <row r="1738" ht="17.100000000000001" customHeight="1" x14ac:dyDescent="0.25"/>
    <row r="1739" ht="17.100000000000001" customHeight="1" x14ac:dyDescent="0.25"/>
    <row r="1740" ht="17.100000000000001" customHeight="1" x14ac:dyDescent="0.25"/>
    <row r="1741" ht="17.100000000000001" customHeight="1" x14ac:dyDescent="0.25"/>
    <row r="1742" ht="17.100000000000001" customHeight="1" x14ac:dyDescent="0.25"/>
    <row r="1743" ht="17.100000000000001" customHeight="1" x14ac:dyDescent="0.25"/>
    <row r="1744" ht="17.100000000000001" customHeight="1" x14ac:dyDescent="0.25"/>
    <row r="1745" ht="17.100000000000001" customHeight="1" x14ac:dyDescent="0.25"/>
    <row r="1746" ht="17.100000000000001" customHeight="1" x14ac:dyDescent="0.25"/>
    <row r="1747" ht="17.100000000000001" customHeight="1" x14ac:dyDescent="0.25"/>
    <row r="1748" ht="17.100000000000001" customHeight="1" x14ac:dyDescent="0.25"/>
    <row r="1749" ht="17.100000000000001" customHeight="1" x14ac:dyDescent="0.25"/>
    <row r="1750" ht="17.100000000000001" customHeight="1" x14ac:dyDescent="0.25"/>
    <row r="1751" ht="17.100000000000001" customHeight="1" x14ac:dyDescent="0.25"/>
    <row r="1752" ht="17.100000000000001" customHeight="1" x14ac:dyDescent="0.25"/>
    <row r="1753" ht="17.100000000000001" customHeight="1" x14ac:dyDescent="0.25"/>
    <row r="1754" ht="17.100000000000001" customHeight="1" x14ac:dyDescent="0.25"/>
    <row r="1755" ht="17.100000000000001" customHeight="1" x14ac:dyDescent="0.25"/>
    <row r="1756" ht="17.100000000000001" customHeight="1" x14ac:dyDescent="0.25"/>
    <row r="1757" ht="17.100000000000001" customHeight="1" x14ac:dyDescent="0.25"/>
    <row r="1758" ht="17.100000000000001" customHeight="1" x14ac:dyDescent="0.25"/>
    <row r="1759" ht="17.100000000000001" customHeight="1" x14ac:dyDescent="0.25"/>
    <row r="1760" ht="17.100000000000001" customHeight="1" x14ac:dyDescent="0.25"/>
    <row r="1761" ht="17.100000000000001" customHeight="1" x14ac:dyDescent="0.25"/>
    <row r="1762" ht="17.100000000000001" customHeight="1" x14ac:dyDescent="0.25"/>
    <row r="1763" ht="17.100000000000001" customHeight="1" x14ac:dyDescent="0.25"/>
    <row r="1764" ht="17.100000000000001" customHeight="1" x14ac:dyDescent="0.25"/>
    <row r="1765" ht="17.100000000000001" customHeight="1" x14ac:dyDescent="0.25"/>
    <row r="1766" ht="17.100000000000001" customHeight="1" x14ac:dyDescent="0.25"/>
    <row r="1767" ht="17.100000000000001" customHeight="1" x14ac:dyDescent="0.25"/>
    <row r="1768" ht="17.100000000000001" customHeight="1" x14ac:dyDescent="0.25"/>
    <row r="1769" ht="17.100000000000001" customHeight="1" x14ac:dyDescent="0.25"/>
    <row r="1770" ht="17.100000000000001" customHeight="1" x14ac:dyDescent="0.25"/>
    <row r="1771" ht="17.100000000000001" customHeight="1" x14ac:dyDescent="0.25"/>
    <row r="1772" ht="17.100000000000001" customHeight="1" x14ac:dyDescent="0.25"/>
    <row r="1773" ht="17.100000000000001" customHeight="1" x14ac:dyDescent="0.25"/>
    <row r="1774" ht="17.100000000000001" customHeight="1" x14ac:dyDescent="0.25"/>
    <row r="1775" ht="17.100000000000001" customHeight="1" x14ac:dyDescent="0.25"/>
    <row r="1776" ht="17.100000000000001" customHeight="1" x14ac:dyDescent="0.25"/>
    <row r="1777" ht="17.100000000000001" customHeight="1" x14ac:dyDescent="0.25"/>
    <row r="1778" ht="17.100000000000001" customHeight="1" x14ac:dyDescent="0.25"/>
    <row r="1779" ht="17.100000000000001" customHeight="1" x14ac:dyDescent="0.25"/>
    <row r="1780" ht="17.100000000000001" customHeight="1" x14ac:dyDescent="0.25"/>
    <row r="1781" ht="17.100000000000001" customHeight="1" x14ac:dyDescent="0.25"/>
    <row r="1782" ht="17.100000000000001" customHeight="1" x14ac:dyDescent="0.25"/>
    <row r="1783" ht="17.100000000000001" customHeight="1" x14ac:dyDescent="0.25"/>
    <row r="1784" ht="17.100000000000001" customHeight="1" x14ac:dyDescent="0.25"/>
    <row r="1785" ht="17.100000000000001" customHeight="1" x14ac:dyDescent="0.25"/>
    <row r="1786" ht="17.100000000000001" customHeight="1" x14ac:dyDescent="0.25"/>
    <row r="1787" ht="17.100000000000001" customHeight="1" x14ac:dyDescent="0.25"/>
    <row r="1788" ht="17.100000000000001" customHeight="1" x14ac:dyDescent="0.25"/>
    <row r="1789" ht="17.100000000000001" customHeight="1" x14ac:dyDescent="0.25"/>
    <row r="1790" ht="17.100000000000001" customHeight="1" x14ac:dyDescent="0.25"/>
    <row r="1791" ht="17.100000000000001" customHeight="1" x14ac:dyDescent="0.25"/>
    <row r="1792" ht="17.100000000000001" customHeight="1" x14ac:dyDescent="0.25"/>
    <row r="1793" ht="17.100000000000001" customHeight="1" x14ac:dyDescent="0.25"/>
    <row r="1794" ht="17.100000000000001" customHeight="1" x14ac:dyDescent="0.25"/>
    <row r="1795" ht="17.100000000000001" customHeight="1" x14ac:dyDescent="0.25"/>
    <row r="1796" ht="17.100000000000001" customHeight="1" x14ac:dyDescent="0.25"/>
    <row r="1797" ht="17.100000000000001" customHeight="1" x14ac:dyDescent="0.25"/>
    <row r="1798" ht="17.100000000000001" customHeight="1" x14ac:dyDescent="0.25"/>
    <row r="1799" ht="17.100000000000001" customHeight="1" x14ac:dyDescent="0.25"/>
    <row r="1800" ht="17.100000000000001" customHeight="1" x14ac:dyDescent="0.25"/>
    <row r="1801" ht="17.100000000000001" customHeight="1" x14ac:dyDescent="0.25"/>
    <row r="1802" ht="17.100000000000001" customHeight="1" x14ac:dyDescent="0.25"/>
    <row r="1803" ht="17.100000000000001" customHeight="1" x14ac:dyDescent="0.25"/>
    <row r="1804" ht="17.100000000000001" customHeight="1" x14ac:dyDescent="0.25"/>
    <row r="1805" ht="17.100000000000001" customHeight="1" x14ac:dyDescent="0.25"/>
    <row r="1806" ht="17.100000000000001" customHeight="1" x14ac:dyDescent="0.25"/>
    <row r="1807" ht="17.100000000000001" customHeight="1" x14ac:dyDescent="0.25"/>
    <row r="1808" ht="17.100000000000001" customHeight="1" x14ac:dyDescent="0.25"/>
    <row r="1809" ht="17.100000000000001" customHeight="1" x14ac:dyDescent="0.25"/>
    <row r="1810" ht="17.100000000000001" customHeight="1" x14ac:dyDescent="0.25"/>
    <row r="1811" ht="17.100000000000001" customHeight="1" x14ac:dyDescent="0.25"/>
    <row r="1812" ht="17.100000000000001" customHeight="1" x14ac:dyDescent="0.25"/>
    <row r="1813" ht="17.100000000000001" customHeight="1" x14ac:dyDescent="0.25"/>
    <row r="1814" ht="17.100000000000001" customHeight="1" x14ac:dyDescent="0.25"/>
    <row r="1815" ht="17.100000000000001" customHeight="1" x14ac:dyDescent="0.25"/>
    <row r="1816" ht="17.100000000000001" customHeight="1" x14ac:dyDescent="0.25"/>
    <row r="1817" ht="17.100000000000001" customHeight="1" x14ac:dyDescent="0.25"/>
    <row r="1818" ht="17.100000000000001" customHeight="1" x14ac:dyDescent="0.25"/>
    <row r="1819" ht="17.100000000000001" customHeight="1" x14ac:dyDescent="0.25"/>
    <row r="1820" ht="17.100000000000001" customHeight="1" x14ac:dyDescent="0.25"/>
    <row r="1821" ht="17.100000000000001" customHeight="1" x14ac:dyDescent="0.25"/>
    <row r="1822" ht="17.100000000000001" customHeight="1" x14ac:dyDescent="0.25"/>
    <row r="1823" ht="17.100000000000001" customHeight="1" x14ac:dyDescent="0.25"/>
    <row r="1824" ht="17.100000000000001" customHeight="1" x14ac:dyDescent="0.25"/>
    <row r="1825" ht="17.100000000000001" customHeight="1" x14ac:dyDescent="0.25"/>
    <row r="1826" ht="17.100000000000001" customHeight="1" x14ac:dyDescent="0.25"/>
    <row r="1827" ht="17.100000000000001" customHeight="1" x14ac:dyDescent="0.25"/>
    <row r="1828" ht="17.100000000000001" customHeight="1" x14ac:dyDescent="0.25"/>
    <row r="1829" ht="17.100000000000001" customHeight="1" x14ac:dyDescent="0.25"/>
    <row r="1830" ht="17.100000000000001" customHeight="1" x14ac:dyDescent="0.25"/>
    <row r="1831" ht="17.100000000000001" customHeight="1" x14ac:dyDescent="0.25"/>
    <row r="1832" ht="17.100000000000001" customHeight="1" x14ac:dyDescent="0.25"/>
    <row r="1833" ht="17.100000000000001" customHeight="1" x14ac:dyDescent="0.25"/>
    <row r="1834" ht="17.100000000000001" customHeight="1" x14ac:dyDescent="0.25"/>
    <row r="1835" ht="17.100000000000001" customHeight="1" x14ac:dyDescent="0.25"/>
    <row r="1836" ht="17.100000000000001" customHeight="1" x14ac:dyDescent="0.25"/>
    <row r="1837" ht="17.100000000000001" customHeight="1" x14ac:dyDescent="0.25"/>
    <row r="1838" ht="17.100000000000001" customHeight="1" x14ac:dyDescent="0.25"/>
    <row r="1839" ht="17.100000000000001" customHeight="1" x14ac:dyDescent="0.25"/>
    <row r="1840" ht="17.100000000000001" customHeight="1" x14ac:dyDescent="0.25"/>
    <row r="1841" ht="17.100000000000001" customHeight="1" x14ac:dyDescent="0.25"/>
    <row r="1842" ht="17.100000000000001" customHeight="1" x14ac:dyDescent="0.25"/>
    <row r="1843" ht="17.100000000000001" customHeight="1" x14ac:dyDescent="0.25"/>
    <row r="1844" ht="17.100000000000001" customHeight="1" x14ac:dyDescent="0.25"/>
    <row r="1845" ht="17.100000000000001" customHeight="1" x14ac:dyDescent="0.25"/>
    <row r="1846" ht="17.100000000000001" customHeight="1" x14ac:dyDescent="0.25"/>
    <row r="1847" ht="17.100000000000001" customHeight="1" x14ac:dyDescent="0.25"/>
    <row r="1848" ht="17.100000000000001" customHeight="1" x14ac:dyDescent="0.25"/>
    <row r="1849" ht="17.100000000000001" customHeight="1" x14ac:dyDescent="0.25"/>
    <row r="1850" ht="17.100000000000001" customHeight="1" x14ac:dyDescent="0.25"/>
    <row r="1851" ht="17.100000000000001" customHeight="1" x14ac:dyDescent="0.25"/>
    <row r="1852" ht="17.100000000000001" customHeight="1" x14ac:dyDescent="0.25"/>
    <row r="1853" ht="17.100000000000001" customHeight="1" x14ac:dyDescent="0.25"/>
    <row r="1854" ht="17.100000000000001" customHeight="1" x14ac:dyDescent="0.25"/>
    <row r="1855" ht="17.100000000000001" customHeight="1" x14ac:dyDescent="0.25"/>
    <row r="1856" ht="17.100000000000001" customHeight="1" x14ac:dyDescent="0.25"/>
    <row r="1857" ht="17.100000000000001" customHeight="1" x14ac:dyDescent="0.25"/>
    <row r="1858" ht="17.100000000000001" customHeight="1" x14ac:dyDescent="0.25"/>
    <row r="1859" ht="17.100000000000001" customHeight="1" x14ac:dyDescent="0.25"/>
    <row r="1860" ht="17.100000000000001" customHeight="1" x14ac:dyDescent="0.25"/>
    <row r="1861" ht="17.100000000000001" customHeight="1" x14ac:dyDescent="0.25"/>
    <row r="1862" ht="17.100000000000001" customHeight="1" x14ac:dyDescent="0.25"/>
    <row r="1863" ht="17.100000000000001" customHeight="1" x14ac:dyDescent="0.25"/>
    <row r="1864" ht="17.100000000000001" customHeight="1" x14ac:dyDescent="0.25"/>
    <row r="1865" ht="17.100000000000001" customHeight="1" x14ac:dyDescent="0.25"/>
    <row r="1866" ht="17.100000000000001" customHeight="1" x14ac:dyDescent="0.25"/>
    <row r="1867" ht="17.100000000000001" customHeight="1" x14ac:dyDescent="0.25"/>
    <row r="1868" ht="17.100000000000001" customHeight="1" x14ac:dyDescent="0.25"/>
    <row r="1869" ht="17.100000000000001" customHeight="1" x14ac:dyDescent="0.25"/>
    <row r="1870" ht="17.100000000000001" customHeight="1" x14ac:dyDescent="0.25"/>
    <row r="1871" ht="17.100000000000001" customHeight="1" x14ac:dyDescent="0.25"/>
    <row r="1872" ht="17.100000000000001" customHeight="1" x14ac:dyDescent="0.25"/>
    <row r="1873" ht="17.100000000000001" customHeight="1" x14ac:dyDescent="0.25"/>
    <row r="1874" ht="17.100000000000001" customHeight="1" x14ac:dyDescent="0.25"/>
    <row r="1875" ht="17.100000000000001" customHeight="1" x14ac:dyDescent="0.25"/>
    <row r="1876" ht="17.100000000000001" customHeight="1" x14ac:dyDescent="0.25"/>
    <row r="1877" ht="17.100000000000001" customHeight="1" x14ac:dyDescent="0.25"/>
    <row r="1878" ht="17.100000000000001" customHeight="1" x14ac:dyDescent="0.25"/>
    <row r="1879" ht="17.100000000000001" customHeight="1" x14ac:dyDescent="0.25"/>
    <row r="1880" ht="17.100000000000001" customHeight="1" x14ac:dyDescent="0.25"/>
    <row r="1881" ht="17.100000000000001" customHeight="1" x14ac:dyDescent="0.25"/>
    <row r="1882" ht="17.100000000000001" customHeight="1" x14ac:dyDescent="0.25"/>
    <row r="1883" ht="17.100000000000001" customHeight="1" x14ac:dyDescent="0.25"/>
    <row r="1884" ht="17.100000000000001" customHeight="1" x14ac:dyDescent="0.25"/>
    <row r="1885" ht="17.100000000000001" customHeight="1" x14ac:dyDescent="0.25"/>
    <row r="1886" ht="17.100000000000001" customHeight="1" x14ac:dyDescent="0.25"/>
    <row r="1887" ht="17.100000000000001" customHeight="1" x14ac:dyDescent="0.25"/>
    <row r="1888" ht="17.100000000000001" customHeight="1" x14ac:dyDescent="0.25"/>
    <row r="1889" ht="17.100000000000001" customHeight="1" x14ac:dyDescent="0.25"/>
    <row r="1890" ht="17.100000000000001" customHeight="1" x14ac:dyDescent="0.25"/>
    <row r="1891" ht="17.100000000000001" customHeight="1" x14ac:dyDescent="0.25"/>
    <row r="1892" ht="17.100000000000001" customHeight="1" x14ac:dyDescent="0.25"/>
    <row r="1893" ht="17.100000000000001" customHeight="1" x14ac:dyDescent="0.25"/>
    <row r="1894" ht="17.100000000000001" customHeight="1" x14ac:dyDescent="0.25"/>
    <row r="1895" ht="17.100000000000001" customHeight="1" x14ac:dyDescent="0.25"/>
    <row r="1896" ht="17.100000000000001" customHeight="1" x14ac:dyDescent="0.25"/>
    <row r="1897" ht="17.100000000000001" customHeight="1" x14ac:dyDescent="0.25"/>
    <row r="1898" ht="17.100000000000001" customHeight="1" x14ac:dyDescent="0.25"/>
    <row r="1899" ht="17.100000000000001" customHeight="1" x14ac:dyDescent="0.25"/>
    <row r="1900" ht="17.100000000000001" customHeight="1" x14ac:dyDescent="0.25"/>
    <row r="1901" ht="17.100000000000001" customHeight="1" x14ac:dyDescent="0.25"/>
    <row r="1902" ht="17.100000000000001" customHeight="1" x14ac:dyDescent="0.25"/>
    <row r="1903" ht="17.100000000000001" customHeight="1" x14ac:dyDescent="0.25"/>
    <row r="1904" ht="17.100000000000001" customHeight="1" x14ac:dyDescent="0.25"/>
    <row r="1905" ht="17.100000000000001" customHeight="1" x14ac:dyDescent="0.25"/>
    <row r="1906" ht="17.100000000000001" customHeight="1" x14ac:dyDescent="0.25"/>
    <row r="1907" ht="17.100000000000001" customHeight="1" x14ac:dyDescent="0.25"/>
    <row r="1908" ht="17.100000000000001" customHeight="1" x14ac:dyDescent="0.25"/>
    <row r="1909" ht="17.100000000000001" customHeight="1" x14ac:dyDescent="0.25"/>
    <row r="1910" ht="17.100000000000001" customHeight="1" x14ac:dyDescent="0.25"/>
    <row r="1911" ht="17.100000000000001" customHeight="1" x14ac:dyDescent="0.25"/>
    <row r="1912" ht="17.100000000000001" customHeight="1" x14ac:dyDescent="0.25"/>
    <row r="1913" ht="17.100000000000001" customHeight="1" x14ac:dyDescent="0.25"/>
    <row r="1914" ht="17.100000000000001" customHeight="1" x14ac:dyDescent="0.25"/>
    <row r="1915" ht="17.100000000000001" customHeight="1" x14ac:dyDescent="0.25"/>
    <row r="1916" ht="17.100000000000001" customHeight="1" x14ac:dyDescent="0.25"/>
    <row r="1917" ht="17.100000000000001" customHeight="1" x14ac:dyDescent="0.25"/>
    <row r="1918" ht="17.100000000000001" customHeight="1" x14ac:dyDescent="0.25"/>
    <row r="1919" ht="17.100000000000001" customHeight="1" x14ac:dyDescent="0.25"/>
    <row r="1920" ht="17.100000000000001" customHeight="1" x14ac:dyDescent="0.25"/>
    <row r="1921" ht="17.100000000000001" customHeight="1" x14ac:dyDescent="0.25"/>
    <row r="1922" ht="17.100000000000001" customHeight="1" x14ac:dyDescent="0.25"/>
    <row r="1923" ht="17.100000000000001" customHeight="1" x14ac:dyDescent="0.25"/>
    <row r="1924" ht="17.100000000000001" customHeight="1" x14ac:dyDescent="0.25"/>
    <row r="1925" ht="17.100000000000001" customHeight="1" x14ac:dyDescent="0.25"/>
    <row r="1926" ht="17.100000000000001" customHeight="1" x14ac:dyDescent="0.25"/>
    <row r="1927" ht="17.100000000000001" customHeight="1" x14ac:dyDescent="0.25"/>
    <row r="1928" ht="17.100000000000001" customHeight="1" x14ac:dyDescent="0.25"/>
    <row r="1929" ht="17.100000000000001" customHeight="1" x14ac:dyDescent="0.25"/>
    <row r="1930" ht="17.100000000000001" customHeight="1" x14ac:dyDescent="0.25"/>
    <row r="1931" ht="17.100000000000001" customHeight="1" x14ac:dyDescent="0.25"/>
    <row r="1932" ht="17.100000000000001" customHeight="1" x14ac:dyDescent="0.25"/>
    <row r="1933" ht="17.100000000000001" customHeight="1" x14ac:dyDescent="0.25"/>
    <row r="1934" ht="17.100000000000001" customHeight="1" x14ac:dyDescent="0.25"/>
    <row r="1935" ht="17.100000000000001" customHeight="1" x14ac:dyDescent="0.25"/>
    <row r="1936" ht="17.100000000000001" customHeight="1" x14ac:dyDescent="0.25"/>
    <row r="1937" ht="17.100000000000001" customHeight="1" x14ac:dyDescent="0.25"/>
    <row r="1938" ht="17.100000000000001" customHeight="1" x14ac:dyDescent="0.25"/>
    <row r="1939" ht="17.100000000000001" customHeight="1" x14ac:dyDescent="0.25"/>
    <row r="1940" ht="17.100000000000001" customHeight="1" x14ac:dyDescent="0.25"/>
    <row r="1941" ht="17.100000000000001" customHeight="1" x14ac:dyDescent="0.25"/>
    <row r="1942" ht="17.100000000000001" customHeight="1" x14ac:dyDescent="0.25"/>
    <row r="1943" ht="17.100000000000001" customHeight="1" x14ac:dyDescent="0.25"/>
    <row r="1944" ht="17.100000000000001" customHeight="1" x14ac:dyDescent="0.25"/>
    <row r="1945" ht="17.100000000000001" customHeight="1" x14ac:dyDescent="0.25"/>
    <row r="1946" ht="17.100000000000001" customHeight="1" x14ac:dyDescent="0.25"/>
    <row r="1947" ht="17.100000000000001" customHeight="1" x14ac:dyDescent="0.25"/>
    <row r="1948" ht="17.100000000000001" customHeight="1" x14ac:dyDescent="0.25"/>
    <row r="1949" ht="17.100000000000001" customHeight="1" x14ac:dyDescent="0.25"/>
    <row r="1950" ht="17.100000000000001" customHeight="1" x14ac:dyDescent="0.25"/>
    <row r="1951" ht="17.100000000000001" customHeight="1" x14ac:dyDescent="0.25"/>
    <row r="1952" ht="17.100000000000001" customHeight="1" x14ac:dyDescent="0.25"/>
    <row r="1953" ht="17.100000000000001" customHeight="1" x14ac:dyDescent="0.25"/>
    <row r="1954" ht="17.100000000000001" customHeight="1" x14ac:dyDescent="0.25"/>
    <row r="1955" ht="17.100000000000001" customHeight="1" x14ac:dyDescent="0.25"/>
    <row r="1956" ht="17.100000000000001" customHeight="1" x14ac:dyDescent="0.25"/>
    <row r="1957" ht="17.100000000000001" customHeight="1" x14ac:dyDescent="0.25"/>
    <row r="1958" ht="17.100000000000001" customHeight="1" x14ac:dyDescent="0.25"/>
    <row r="1959" ht="17.100000000000001" customHeight="1" x14ac:dyDescent="0.25"/>
    <row r="1960" ht="17.100000000000001" customHeight="1" x14ac:dyDescent="0.25"/>
    <row r="1961" ht="17.100000000000001" customHeight="1" x14ac:dyDescent="0.25"/>
    <row r="1962" ht="17.100000000000001" customHeight="1" x14ac:dyDescent="0.25"/>
    <row r="1963" ht="17.100000000000001" customHeight="1" x14ac:dyDescent="0.25"/>
    <row r="1964" ht="17.100000000000001" customHeight="1" x14ac:dyDescent="0.25"/>
    <row r="1965" ht="17.100000000000001" customHeight="1" x14ac:dyDescent="0.25"/>
    <row r="1966" ht="17.100000000000001" customHeight="1" x14ac:dyDescent="0.25"/>
    <row r="1967" ht="17.100000000000001" customHeight="1" x14ac:dyDescent="0.25"/>
    <row r="1968" ht="17.100000000000001" customHeight="1" x14ac:dyDescent="0.25"/>
    <row r="1969" ht="17.100000000000001" customHeight="1" x14ac:dyDescent="0.25"/>
    <row r="1970" ht="17.100000000000001" customHeight="1" x14ac:dyDescent="0.25"/>
    <row r="1971" ht="17.100000000000001" customHeight="1" x14ac:dyDescent="0.25"/>
    <row r="1972" ht="17.100000000000001" customHeight="1" x14ac:dyDescent="0.25"/>
    <row r="1973" ht="17.100000000000001" customHeight="1" x14ac:dyDescent="0.25"/>
    <row r="1974" ht="17.100000000000001" customHeight="1" x14ac:dyDescent="0.25"/>
    <row r="1975" ht="17.100000000000001" customHeight="1" x14ac:dyDescent="0.25"/>
    <row r="1976" ht="17.100000000000001" customHeight="1" x14ac:dyDescent="0.25"/>
    <row r="1977" ht="17.100000000000001" customHeight="1" x14ac:dyDescent="0.25"/>
    <row r="1978" ht="17.100000000000001" customHeight="1" x14ac:dyDescent="0.25"/>
    <row r="1979" ht="17.100000000000001" customHeight="1" x14ac:dyDescent="0.25"/>
    <row r="1980" ht="17.100000000000001" customHeight="1" x14ac:dyDescent="0.25"/>
    <row r="1981" ht="17.100000000000001" customHeight="1" x14ac:dyDescent="0.25"/>
    <row r="1982" ht="17.100000000000001" customHeight="1" x14ac:dyDescent="0.25"/>
    <row r="1983" ht="17.100000000000001" customHeight="1" x14ac:dyDescent="0.25"/>
    <row r="1984" ht="17.100000000000001" customHeight="1" x14ac:dyDescent="0.25"/>
    <row r="1985" ht="17.100000000000001" customHeight="1" x14ac:dyDescent="0.25"/>
    <row r="1986" ht="17.100000000000001" customHeight="1" x14ac:dyDescent="0.25"/>
    <row r="1987" ht="17.100000000000001" customHeight="1" x14ac:dyDescent="0.25"/>
    <row r="1988" ht="17.100000000000001" customHeight="1" x14ac:dyDescent="0.25"/>
    <row r="1989" ht="17.100000000000001" customHeight="1" x14ac:dyDescent="0.25"/>
    <row r="1990" ht="17.100000000000001" customHeight="1" x14ac:dyDescent="0.25"/>
    <row r="1991" ht="17.100000000000001" customHeight="1" x14ac:dyDescent="0.25"/>
    <row r="1992" ht="17.100000000000001" customHeight="1" x14ac:dyDescent="0.25"/>
    <row r="1993" ht="17.100000000000001" customHeight="1" x14ac:dyDescent="0.25"/>
    <row r="1994" ht="17.100000000000001" customHeight="1" x14ac:dyDescent="0.25"/>
    <row r="1995" ht="17.100000000000001" customHeight="1" x14ac:dyDescent="0.25"/>
    <row r="1996" ht="17.100000000000001" customHeight="1" x14ac:dyDescent="0.25"/>
    <row r="1997" ht="17.100000000000001" customHeight="1" x14ac:dyDescent="0.25"/>
    <row r="1998" ht="17.100000000000001" customHeight="1" x14ac:dyDescent="0.25"/>
    <row r="1999" ht="17.100000000000001" customHeight="1" x14ac:dyDescent="0.25"/>
    <row r="2000" ht="17.100000000000001" customHeight="1" x14ac:dyDescent="0.25"/>
    <row r="2001" ht="17.100000000000001" customHeight="1" x14ac:dyDescent="0.25"/>
    <row r="2002" ht="17.100000000000001" customHeight="1" x14ac:dyDescent="0.25"/>
    <row r="2003" ht="17.100000000000001" customHeight="1" x14ac:dyDescent="0.25"/>
    <row r="2004" ht="17.100000000000001" customHeight="1" x14ac:dyDescent="0.25"/>
    <row r="2005" ht="17.100000000000001" customHeight="1" x14ac:dyDescent="0.25"/>
    <row r="2006" ht="17.100000000000001" customHeight="1" x14ac:dyDescent="0.25"/>
    <row r="2007" ht="17.100000000000001" customHeight="1" x14ac:dyDescent="0.25"/>
    <row r="2008" ht="17.100000000000001" customHeight="1" x14ac:dyDescent="0.25"/>
    <row r="2009" ht="17.100000000000001" customHeight="1" x14ac:dyDescent="0.25"/>
    <row r="2010" ht="17.100000000000001" customHeight="1" x14ac:dyDescent="0.25"/>
    <row r="2011" ht="17.100000000000001" customHeight="1" x14ac:dyDescent="0.25"/>
    <row r="2012" ht="17.100000000000001" customHeight="1" x14ac:dyDescent="0.25"/>
    <row r="2013" ht="17.100000000000001" customHeight="1" x14ac:dyDescent="0.25"/>
    <row r="2014" ht="17.100000000000001" customHeight="1" x14ac:dyDescent="0.25"/>
    <row r="2015" ht="17.100000000000001" customHeight="1" x14ac:dyDescent="0.25"/>
    <row r="2016" ht="17.100000000000001" customHeight="1" x14ac:dyDescent="0.25"/>
    <row r="2017" ht="17.100000000000001" customHeight="1" x14ac:dyDescent="0.25"/>
    <row r="2018" ht="17.100000000000001" customHeight="1" x14ac:dyDescent="0.25"/>
    <row r="2019" ht="17.100000000000001" customHeight="1" x14ac:dyDescent="0.25"/>
    <row r="2020" ht="17.100000000000001" customHeight="1" x14ac:dyDescent="0.25"/>
    <row r="2021" ht="17.100000000000001" customHeight="1" x14ac:dyDescent="0.25"/>
    <row r="2022" ht="17.100000000000001" customHeight="1" x14ac:dyDescent="0.25"/>
    <row r="2023" ht="17.100000000000001" customHeight="1" x14ac:dyDescent="0.25"/>
    <row r="2024" ht="17.100000000000001" customHeight="1" x14ac:dyDescent="0.25"/>
    <row r="2025" ht="17.100000000000001" customHeight="1" x14ac:dyDescent="0.25"/>
    <row r="2026" ht="17.100000000000001" customHeight="1" x14ac:dyDescent="0.25"/>
    <row r="2027" ht="17.100000000000001" customHeight="1" x14ac:dyDescent="0.25"/>
    <row r="2028" ht="17.100000000000001" customHeight="1" x14ac:dyDescent="0.25"/>
    <row r="2029" ht="17.100000000000001" customHeight="1" x14ac:dyDescent="0.25"/>
    <row r="2030" ht="17.100000000000001" customHeight="1" x14ac:dyDescent="0.25"/>
    <row r="2031" ht="17.100000000000001" customHeight="1" x14ac:dyDescent="0.25"/>
    <row r="2032" ht="17.100000000000001" customHeight="1" x14ac:dyDescent="0.25"/>
    <row r="2033" ht="17.100000000000001" customHeight="1" x14ac:dyDescent="0.25"/>
    <row r="2034" ht="17.100000000000001" customHeight="1" x14ac:dyDescent="0.25"/>
    <row r="2035" ht="17.100000000000001" customHeight="1" x14ac:dyDescent="0.25"/>
    <row r="2036" ht="17.100000000000001" customHeight="1" x14ac:dyDescent="0.25"/>
    <row r="2037" ht="17.100000000000001" customHeight="1" x14ac:dyDescent="0.25"/>
    <row r="2038" ht="17.100000000000001" customHeight="1" x14ac:dyDescent="0.25"/>
    <row r="2039" ht="17.100000000000001" customHeight="1" x14ac:dyDescent="0.25"/>
    <row r="2040" ht="17.100000000000001" customHeight="1" x14ac:dyDescent="0.25"/>
    <row r="2041" ht="17.100000000000001" customHeight="1" x14ac:dyDescent="0.25"/>
    <row r="2042" ht="17.100000000000001" customHeight="1" x14ac:dyDescent="0.25"/>
    <row r="2043" ht="17.100000000000001" customHeight="1" x14ac:dyDescent="0.25"/>
    <row r="2044" ht="17.100000000000001" customHeight="1" x14ac:dyDescent="0.25"/>
    <row r="2045" ht="17.100000000000001" customHeight="1" x14ac:dyDescent="0.25"/>
    <row r="2046" ht="17.100000000000001" customHeight="1" x14ac:dyDescent="0.25"/>
    <row r="2047" ht="17.100000000000001" customHeight="1" x14ac:dyDescent="0.25"/>
    <row r="2048" ht="17.100000000000001" customHeight="1" x14ac:dyDescent="0.25"/>
    <row r="2049" ht="17.100000000000001" customHeight="1" x14ac:dyDescent="0.25"/>
    <row r="2050" ht="17.100000000000001" customHeight="1" x14ac:dyDescent="0.25"/>
    <row r="2051" ht="17.100000000000001" customHeight="1" x14ac:dyDescent="0.25"/>
    <row r="2052" ht="17.100000000000001" customHeight="1" x14ac:dyDescent="0.25"/>
    <row r="2053" ht="17.100000000000001" customHeight="1" x14ac:dyDescent="0.25"/>
    <row r="2054" ht="17.100000000000001" customHeight="1" x14ac:dyDescent="0.25"/>
    <row r="2055" ht="17.100000000000001" customHeight="1" x14ac:dyDescent="0.25"/>
    <row r="2056" ht="17.100000000000001" customHeight="1" x14ac:dyDescent="0.25"/>
    <row r="2057" ht="17.100000000000001" customHeight="1" x14ac:dyDescent="0.25"/>
    <row r="2058" ht="17.100000000000001" customHeight="1" x14ac:dyDescent="0.25"/>
    <row r="2059" ht="17.100000000000001" customHeight="1" x14ac:dyDescent="0.25"/>
    <row r="2060" ht="17.100000000000001" customHeight="1" x14ac:dyDescent="0.25"/>
    <row r="2061" ht="17.100000000000001" customHeight="1" x14ac:dyDescent="0.25"/>
    <row r="2062" ht="17.100000000000001" customHeight="1" x14ac:dyDescent="0.25"/>
    <row r="2063" ht="17.100000000000001" customHeight="1" x14ac:dyDescent="0.25"/>
    <row r="2064" ht="17.100000000000001" customHeight="1" x14ac:dyDescent="0.25"/>
    <row r="2065" ht="17.100000000000001" customHeight="1" x14ac:dyDescent="0.25"/>
    <row r="2066" ht="17.100000000000001" customHeight="1" x14ac:dyDescent="0.25"/>
    <row r="2067" ht="17.100000000000001" customHeight="1" x14ac:dyDescent="0.25"/>
    <row r="2068" ht="17.100000000000001" customHeight="1" x14ac:dyDescent="0.25"/>
    <row r="2069" ht="17.100000000000001" customHeight="1" x14ac:dyDescent="0.25"/>
    <row r="2070" ht="17.100000000000001" customHeight="1" x14ac:dyDescent="0.25"/>
    <row r="2071" ht="17.100000000000001" customHeight="1" x14ac:dyDescent="0.25"/>
    <row r="2072" ht="17.100000000000001" customHeight="1" x14ac:dyDescent="0.25"/>
    <row r="2073" ht="17.100000000000001" customHeight="1" x14ac:dyDescent="0.25"/>
    <row r="2074" ht="17.100000000000001" customHeight="1" x14ac:dyDescent="0.25"/>
    <row r="2075" ht="17.100000000000001" customHeight="1" x14ac:dyDescent="0.25"/>
    <row r="2076" ht="17.100000000000001" customHeight="1" x14ac:dyDescent="0.25"/>
    <row r="2077" ht="17.100000000000001" customHeight="1" x14ac:dyDescent="0.25"/>
    <row r="2078" ht="17.100000000000001" customHeight="1" x14ac:dyDescent="0.25"/>
    <row r="2079" ht="17.100000000000001" customHeight="1" x14ac:dyDescent="0.25"/>
    <row r="2080" ht="17.100000000000001" customHeight="1" x14ac:dyDescent="0.25"/>
    <row r="2081" ht="17.100000000000001" customHeight="1" x14ac:dyDescent="0.25"/>
    <row r="2082" ht="17.100000000000001" customHeight="1" x14ac:dyDescent="0.25"/>
    <row r="2083" ht="17.100000000000001" customHeight="1" x14ac:dyDescent="0.25"/>
    <row r="2084" ht="17.100000000000001" customHeight="1" x14ac:dyDescent="0.25"/>
    <row r="2085" ht="17.100000000000001" customHeight="1" x14ac:dyDescent="0.25"/>
    <row r="2086" ht="17.100000000000001" customHeight="1" x14ac:dyDescent="0.25"/>
    <row r="2087" ht="17.100000000000001" customHeight="1" x14ac:dyDescent="0.25"/>
    <row r="2088" ht="17.100000000000001" customHeight="1" x14ac:dyDescent="0.25"/>
    <row r="2089" ht="17.100000000000001" customHeight="1" x14ac:dyDescent="0.25"/>
    <row r="2090" ht="17.100000000000001" customHeight="1" x14ac:dyDescent="0.25"/>
    <row r="2091" ht="17.100000000000001" customHeight="1" x14ac:dyDescent="0.25"/>
    <row r="2092" ht="17.100000000000001" customHeight="1" x14ac:dyDescent="0.25"/>
    <row r="2093" ht="17.100000000000001" customHeight="1" x14ac:dyDescent="0.25"/>
    <row r="2094" ht="17.100000000000001" customHeight="1" x14ac:dyDescent="0.25"/>
    <row r="2095" ht="17.100000000000001" customHeight="1" x14ac:dyDescent="0.25"/>
    <row r="2096" ht="17.100000000000001" customHeight="1" x14ac:dyDescent="0.25"/>
    <row r="2097" ht="17.100000000000001" customHeight="1" x14ac:dyDescent="0.25"/>
    <row r="2098" ht="17.100000000000001" customHeight="1" x14ac:dyDescent="0.25"/>
    <row r="2099" ht="17.100000000000001" customHeight="1" x14ac:dyDescent="0.25"/>
    <row r="2100" ht="17.100000000000001" customHeight="1" x14ac:dyDescent="0.25"/>
    <row r="2101" ht="17.100000000000001" customHeight="1" x14ac:dyDescent="0.25"/>
    <row r="2102" ht="17.100000000000001" customHeight="1" x14ac:dyDescent="0.25"/>
    <row r="2103" ht="17.100000000000001" customHeight="1" x14ac:dyDescent="0.25"/>
    <row r="2104" ht="17.100000000000001" customHeight="1" x14ac:dyDescent="0.25"/>
    <row r="2105" ht="17.100000000000001" customHeight="1" x14ac:dyDescent="0.25"/>
    <row r="2106" ht="17.100000000000001" customHeight="1" x14ac:dyDescent="0.25"/>
    <row r="2107" ht="17.100000000000001" customHeight="1" x14ac:dyDescent="0.25"/>
    <row r="2108" ht="17.100000000000001" customHeight="1" x14ac:dyDescent="0.25"/>
    <row r="2109" ht="17.100000000000001" customHeight="1" x14ac:dyDescent="0.25"/>
    <row r="2110" ht="17.100000000000001" customHeight="1" x14ac:dyDescent="0.25"/>
    <row r="2111" ht="17.100000000000001" customHeight="1" x14ac:dyDescent="0.25"/>
    <row r="2112" ht="17.100000000000001" customHeight="1" x14ac:dyDescent="0.25"/>
    <row r="2113" ht="17.100000000000001" customHeight="1" x14ac:dyDescent="0.25"/>
    <row r="2114" ht="17.100000000000001" customHeight="1" x14ac:dyDescent="0.25"/>
    <row r="2115" ht="17.100000000000001" customHeight="1" x14ac:dyDescent="0.25"/>
    <row r="2116" ht="17.100000000000001" customHeight="1" x14ac:dyDescent="0.25"/>
    <row r="2117" ht="17.100000000000001" customHeight="1" x14ac:dyDescent="0.25"/>
    <row r="2118" ht="17.100000000000001" customHeight="1" x14ac:dyDescent="0.25"/>
    <row r="2119" ht="17.100000000000001" customHeight="1" x14ac:dyDescent="0.25"/>
    <row r="2120" ht="17.100000000000001" customHeight="1" x14ac:dyDescent="0.25"/>
    <row r="2121" ht="17.100000000000001" customHeight="1" x14ac:dyDescent="0.25"/>
    <row r="2122" ht="17.100000000000001" customHeight="1" x14ac:dyDescent="0.25"/>
    <row r="2123" ht="17.100000000000001" customHeight="1" x14ac:dyDescent="0.25"/>
    <row r="2124" ht="17.100000000000001" customHeight="1" x14ac:dyDescent="0.25"/>
    <row r="2125" ht="17.100000000000001" customHeight="1" x14ac:dyDescent="0.25"/>
    <row r="2126" ht="17.100000000000001" customHeight="1" x14ac:dyDescent="0.25"/>
    <row r="2127" ht="17.100000000000001" customHeight="1" x14ac:dyDescent="0.25"/>
    <row r="2128" ht="17.100000000000001" customHeight="1" x14ac:dyDescent="0.25"/>
    <row r="2129" ht="17.100000000000001" customHeight="1" x14ac:dyDescent="0.25"/>
    <row r="2130" ht="17.100000000000001" customHeight="1" x14ac:dyDescent="0.25"/>
    <row r="2131" ht="17.100000000000001" customHeight="1" x14ac:dyDescent="0.25"/>
    <row r="2132" ht="17.100000000000001" customHeight="1" x14ac:dyDescent="0.25"/>
    <row r="2133" ht="17.100000000000001" customHeight="1" x14ac:dyDescent="0.25"/>
    <row r="2134" ht="17.100000000000001" customHeight="1" x14ac:dyDescent="0.25"/>
    <row r="2135" ht="17.100000000000001" customHeight="1" x14ac:dyDescent="0.25"/>
    <row r="2136" ht="17.100000000000001" customHeight="1" x14ac:dyDescent="0.25"/>
    <row r="2137" ht="17.100000000000001" customHeight="1" x14ac:dyDescent="0.25"/>
    <row r="2138" ht="17.100000000000001" customHeight="1" x14ac:dyDescent="0.25"/>
    <row r="2139" ht="17.100000000000001" customHeight="1" x14ac:dyDescent="0.25"/>
    <row r="2140" ht="17.100000000000001" customHeight="1" x14ac:dyDescent="0.25"/>
    <row r="2141" ht="17.100000000000001" customHeight="1" x14ac:dyDescent="0.25"/>
    <row r="2142" ht="17.100000000000001" customHeight="1" x14ac:dyDescent="0.25"/>
    <row r="2143" ht="17.100000000000001" customHeight="1" x14ac:dyDescent="0.25"/>
    <row r="2144" ht="17.100000000000001" customHeight="1" x14ac:dyDescent="0.25"/>
    <row r="2145" ht="17.100000000000001" customHeight="1" x14ac:dyDescent="0.25"/>
    <row r="2146" ht="17.100000000000001" customHeight="1" x14ac:dyDescent="0.25"/>
    <row r="2147" ht="17.100000000000001" customHeight="1" x14ac:dyDescent="0.25"/>
    <row r="2148" ht="17.100000000000001" customHeight="1" x14ac:dyDescent="0.25"/>
    <row r="2149" ht="17.100000000000001" customHeight="1" x14ac:dyDescent="0.25"/>
    <row r="2150" ht="17.100000000000001" customHeight="1" x14ac:dyDescent="0.25"/>
    <row r="2151" ht="17.100000000000001" customHeight="1" x14ac:dyDescent="0.25"/>
    <row r="2152" ht="17.100000000000001" customHeight="1" x14ac:dyDescent="0.25"/>
    <row r="2153" ht="17.100000000000001" customHeight="1" x14ac:dyDescent="0.25"/>
    <row r="2154" ht="17.100000000000001" customHeight="1" x14ac:dyDescent="0.25"/>
    <row r="2155" ht="17.100000000000001" customHeight="1" x14ac:dyDescent="0.25"/>
    <row r="2156" ht="17.100000000000001" customHeight="1" x14ac:dyDescent="0.25"/>
    <row r="2157" ht="17.100000000000001" customHeight="1" x14ac:dyDescent="0.25"/>
    <row r="2158" ht="17.100000000000001" customHeight="1" x14ac:dyDescent="0.25"/>
    <row r="2159" ht="17.100000000000001" customHeight="1" x14ac:dyDescent="0.25"/>
    <row r="2160" ht="17.100000000000001" customHeight="1" x14ac:dyDescent="0.25"/>
    <row r="2161" ht="17.100000000000001" customHeight="1" x14ac:dyDescent="0.25"/>
    <row r="2162" ht="17.100000000000001" customHeight="1" x14ac:dyDescent="0.25"/>
    <row r="2163" ht="17.100000000000001" customHeight="1" x14ac:dyDescent="0.25"/>
    <row r="2164" ht="17.100000000000001" customHeight="1" x14ac:dyDescent="0.25"/>
    <row r="2165" ht="17.100000000000001" customHeight="1" x14ac:dyDescent="0.25"/>
    <row r="2166" ht="17.100000000000001" customHeight="1" x14ac:dyDescent="0.25"/>
    <row r="2167" ht="17.100000000000001" customHeight="1" x14ac:dyDescent="0.25"/>
    <row r="2168" ht="17.100000000000001" customHeight="1" x14ac:dyDescent="0.25"/>
    <row r="2169" ht="17.100000000000001" customHeight="1" x14ac:dyDescent="0.25"/>
    <row r="2170" ht="17.100000000000001" customHeight="1" x14ac:dyDescent="0.25"/>
    <row r="2171" ht="17.100000000000001" customHeight="1" x14ac:dyDescent="0.25"/>
    <row r="2172" ht="17.100000000000001" customHeight="1" x14ac:dyDescent="0.25"/>
    <row r="2173" ht="17.100000000000001" customHeight="1" x14ac:dyDescent="0.25"/>
    <row r="2174" ht="17.100000000000001" customHeight="1" x14ac:dyDescent="0.25"/>
    <row r="2175" ht="17.100000000000001" customHeight="1" x14ac:dyDescent="0.25"/>
    <row r="2176" ht="17.100000000000001" customHeight="1" x14ac:dyDescent="0.25"/>
    <row r="2177" ht="17.100000000000001" customHeight="1" x14ac:dyDescent="0.25"/>
    <row r="2178" ht="17.100000000000001" customHeight="1" x14ac:dyDescent="0.25"/>
    <row r="2179" ht="17.100000000000001" customHeight="1" x14ac:dyDescent="0.25"/>
    <row r="2180" ht="17.100000000000001" customHeight="1" x14ac:dyDescent="0.25"/>
    <row r="2181" ht="17.100000000000001" customHeight="1" x14ac:dyDescent="0.25"/>
    <row r="2182" ht="17.100000000000001" customHeight="1" x14ac:dyDescent="0.25"/>
    <row r="2183" ht="17.100000000000001" customHeight="1" x14ac:dyDescent="0.25"/>
    <row r="2184" ht="17.100000000000001" customHeight="1" x14ac:dyDescent="0.25"/>
    <row r="2185" ht="17.100000000000001" customHeight="1" x14ac:dyDescent="0.25"/>
    <row r="2186" ht="17.100000000000001" customHeight="1" x14ac:dyDescent="0.25"/>
    <row r="2187" ht="17.100000000000001" customHeight="1" x14ac:dyDescent="0.25"/>
    <row r="2188" ht="17.100000000000001" customHeight="1" x14ac:dyDescent="0.25"/>
    <row r="2189" ht="17.100000000000001" customHeight="1" x14ac:dyDescent="0.25"/>
    <row r="2190" ht="17.100000000000001" customHeight="1" x14ac:dyDescent="0.25"/>
    <row r="2191" ht="17.100000000000001" customHeight="1" x14ac:dyDescent="0.25"/>
    <row r="2192" ht="17.100000000000001" customHeight="1" x14ac:dyDescent="0.25"/>
    <row r="2193" ht="17.100000000000001" customHeight="1" x14ac:dyDescent="0.25"/>
    <row r="2194" ht="17.100000000000001" customHeight="1" x14ac:dyDescent="0.25"/>
    <row r="2195" ht="17.100000000000001" customHeight="1" x14ac:dyDescent="0.25"/>
    <row r="2196" ht="17.100000000000001" customHeight="1" x14ac:dyDescent="0.25"/>
    <row r="2197" ht="17.100000000000001" customHeight="1" x14ac:dyDescent="0.25"/>
    <row r="2198" ht="17.100000000000001" customHeight="1" x14ac:dyDescent="0.25"/>
    <row r="2199" ht="17.100000000000001" customHeight="1" x14ac:dyDescent="0.25"/>
    <row r="2200" ht="17.100000000000001" customHeight="1" x14ac:dyDescent="0.25"/>
    <row r="2201" ht="17.100000000000001" customHeight="1" x14ac:dyDescent="0.25"/>
    <row r="2202" ht="17.100000000000001" customHeight="1" x14ac:dyDescent="0.25"/>
    <row r="2203" ht="17.100000000000001" customHeight="1" x14ac:dyDescent="0.25"/>
    <row r="2204" ht="17.100000000000001" customHeight="1" x14ac:dyDescent="0.25"/>
    <row r="2205" ht="17.100000000000001" customHeight="1" x14ac:dyDescent="0.25"/>
    <row r="2206" ht="17.100000000000001" customHeight="1" x14ac:dyDescent="0.25"/>
    <row r="2207" ht="17.100000000000001" customHeight="1" x14ac:dyDescent="0.25"/>
    <row r="2208" ht="17.100000000000001" customHeight="1" x14ac:dyDescent="0.25"/>
    <row r="2209" ht="17.100000000000001" customHeight="1" x14ac:dyDescent="0.25"/>
    <row r="2210" ht="17.100000000000001" customHeight="1" x14ac:dyDescent="0.25"/>
    <row r="2211" ht="17.100000000000001" customHeight="1" x14ac:dyDescent="0.25"/>
    <row r="2212" ht="17.100000000000001" customHeight="1" x14ac:dyDescent="0.25"/>
    <row r="2213" ht="17.100000000000001" customHeight="1" x14ac:dyDescent="0.25"/>
    <row r="2214" ht="17.100000000000001" customHeight="1" x14ac:dyDescent="0.25"/>
    <row r="2215" ht="17.100000000000001" customHeight="1" x14ac:dyDescent="0.25"/>
    <row r="2216" ht="17.100000000000001" customHeight="1" x14ac:dyDescent="0.25"/>
    <row r="2217" ht="17.100000000000001" customHeight="1" x14ac:dyDescent="0.25"/>
    <row r="2218" ht="17.100000000000001" customHeight="1" x14ac:dyDescent="0.25"/>
    <row r="2219" ht="17.100000000000001" customHeight="1" x14ac:dyDescent="0.25"/>
    <row r="2220" ht="17.100000000000001" customHeight="1" x14ac:dyDescent="0.25"/>
    <row r="2221" ht="17.100000000000001" customHeight="1" x14ac:dyDescent="0.25"/>
    <row r="2222" ht="17.100000000000001" customHeight="1" x14ac:dyDescent="0.25"/>
    <row r="2223" ht="17.100000000000001" customHeight="1" x14ac:dyDescent="0.25"/>
    <row r="2224" ht="17.100000000000001" customHeight="1" x14ac:dyDescent="0.25"/>
    <row r="2225" ht="17.100000000000001" customHeight="1" x14ac:dyDescent="0.25"/>
    <row r="2226" ht="17.100000000000001" customHeight="1" x14ac:dyDescent="0.25"/>
    <row r="2227" ht="17.100000000000001" customHeight="1" x14ac:dyDescent="0.25"/>
    <row r="2228" ht="17.100000000000001" customHeight="1" x14ac:dyDescent="0.25"/>
    <row r="2229" ht="17.100000000000001" customHeight="1" x14ac:dyDescent="0.25"/>
    <row r="2230" ht="17.100000000000001" customHeight="1" x14ac:dyDescent="0.25"/>
    <row r="2231" ht="17.100000000000001" customHeight="1" x14ac:dyDescent="0.25"/>
    <row r="2232" ht="17.100000000000001" customHeight="1" x14ac:dyDescent="0.25"/>
    <row r="2233" ht="17.100000000000001" customHeight="1" x14ac:dyDescent="0.25"/>
    <row r="2234" ht="17.100000000000001" customHeight="1" x14ac:dyDescent="0.25"/>
    <row r="2235" ht="17.100000000000001" customHeight="1" x14ac:dyDescent="0.25"/>
    <row r="2236" ht="17.100000000000001" customHeight="1" x14ac:dyDescent="0.25"/>
    <row r="2237" ht="17.100000000000001" customHeight="1" x14ac:dyDescent="0.25"/>
    <row r="2238" ht="17.100000000000001" customHeight="1" x14ac:dyDescent="0.25"/>
    <row r="2239" ht="17.100000000000001" customHeight="1" x14ac:dyDescent="0.25"/>
    <row r="2240" ht="17.100000000000001" customHeight="1" x14ac:dyDescent="0.25"/>
    <row r="2241" ht="17.100000000000001" customHeight="1" x14ac:dyDescent="0.25"/>
    <row r="2242" ht="17.100000000000001" customHeight="1" x14ac:dyDescent="0.25"/>
    <row r="2243" ht="17.100000000000001" customHeight="1" x14ac:dyDescent="0.25"/>
    <row r="2244" ht="17.100000000000001" customHeight="1" x14ac:dyDescent="0.25"/>
    <row r="2245" ht="17.100000000000001" customHeight="1" x14ac:dyDescent="0.25"/>
    <row r="2246" ht="17.100000000000001" customHeight="1" x14ac:dyDescent="0.25"/>
    <row r="2247" ht="17.100000000000001" customHeight="1" x14ac:dyDescent="0.25"/>
    <row r="2248" ht="17.100000000000001" customHeight="1" x14ac:dyDescent="0.25"/>
    <row r="2249" ht="17.100000000000001" customHeight="1" x14ac:dyDescent="0.25"/>
    <row r="2250" ht="17.100000000000001" customHeight="1" x14ac:dyDescent="0.25"/>
    <row r="2251" ht="17.100000000000001" customHeight="1" x14ac:dyDescent="0.25"/>
    <row r="2252" ht="17.100000000000001" customHeight="1" x14ac:dyDescent="0.25"/>
    <row r="2253" ht="17.100000000000001" customHeight="1" x14ac:dyDescent="0.25"/>
    <row r="2254" ht="17.100000000000001" customHeight="1" x14ac:dyDescent="0.25"/>
    <row r="2255" ht="17.100000000000001" customHeight="1" x14ac:dyDescent="0.25"/>
    <row r="2256" ht="17.100000000000001" customHeight="1" x14ac:dyDescent="0.25"/>
    <row r="2257" ht="17.100000000000001" customHeight="1" x14ac:dyDescent="0.25"/>
    <row r="2258" ht="17.100000000000001" customHeight="1" x14ac:dyDescent="0.25"/>
    <row r="2259" ht="17.100000000000001" customHeight="1" x14ac:dyDescent="0.25"/>
    <row r="2260" ht="17.100000000000001" customHeight="1" x14ac:dyDescent="0.25"/>
    <row r="2261" ht="17.100000000000001" customHeight="1" x14ac:dyDescent="0.25"/>
    <row r="2262" ht="17.100000000000001" customHeight="1" x14ac:dyDescent="0.25"/>
    <row r="2263" ht="17.100000000000001" customHeight="1" x14ac:dyDescent="0.25"/>
    <row r="2264" ht="17.100000000000001" customHeight="1" x14ac:dyDescent="0.25"/>
    <row r="2265" ht="17.100000000000001" customHeight="1" x14ac:dyDescent="0.25"/>
    <row r="2266" ht="17.100000000000001" customHeight="1" x14ac:dyDescent="0.25"/>
    <row r="2267" ht="17.100000000000001" customHeight="1" x14ac:dyDescent="0.25"/>
    <row r="2268" ht="17.100000000000001" customHeight="1" x14ac:dyDescent="0.25"/>
    <row r="2269" ht="17.100000000000001" customHeight="1" x14ac:dyDescent="0.25"/>
    <row r="2270" ht="17.100000000000001" customHeight="1" x14ac:dyDescent="0.25"/>
    <row r="2271" ht="17.100000000000001" customHeight="1" x14ac:dyDescent="0.25"/>
    <row r="2272" ht="17.100000000000001" customHeight="1" x14ac:dyDescent="0.25"/>
    <row r="2273" ht="17.100000000000001" customHeight="1" x14ac:dyDescent="0.25"/>
    <row r="2274" ht="17.100000000000001" customHeight="1" x14ac:dyDescent="0.25"/>
    <row r="2275" ht="17.100000000000001" customHeight="1" x14ac:dyDescent="0.25"/>
    <row r="2276" ht="17.100000000000001" customHeight="1" x14ac:dyDescent="0.25"/>
    <row r="2277" ht="17.100000000000001" customHeight="1" x14ac:dyDescent="0.25"/>
    <row r="2278" ht="17.100000000000001" customHeight="1" x14ac:dyDescent="0.25"/>
    <row r="2279" ht="17.100000000000001" customHeight="1" x14ac:dyDescent="0.25"/>
    <row r="2280" ht="17.100000000000001" customHeight="1" x14ac:dyDescent="0.25"/>
    <row r="2281" ht="17.100000000000001" customHeight="1" x14ac:dyDescent="0.25"/>
    <row r="2282" ht="17.100000000000001" customHeight="1" x14ac:dyDescent="0.25"/>
    <row r="2283" ht="17.100000000000001" customHeight="1" x14ac:dyDescent="0.25"/>
    <row r="2284" ht="17.100000000000001" customHeight="1" x14ac:dyDescent="0.25"/>
    <row r="2285" ht="17.100000000000001" customHeight="1" x14ac:dyDescent="0.25"/>
    <row r="2286" ht="17.100000000000001" customHeight="1" x14ac:dyDescent="0.25"/>
    <row r="2287" ht="17.100000000000001" customHeight="1" x14ac:dyDescent="0.25"/>
    <row r="2288" ht="17.100000000000001" customHeight="1" x14ac:dyDescent="0.25"/>
    <row r="2289" ht="17.100000000000001" customHeight="1" x14ac:dyDescent="0.25"/>
    <row r="2290" ht="17.100000000000001" customHeight="1" x14ac:dyDescent="0.25"/>
    <row r="2291" ht="17.100000000000001" customHeight="1" x14ac:dyDescent="0.25"/>
    <row r="2292" ht="17.100000000000001" customHeight="1" x14ac:dyDescent="0.25"/>
    <row r="2293" ht="17.100000000000001" customHeight="1" x14ac:dyDescent="0.25"/>
    <row r="2294" ht="17.100000000000001" customHeight="1" x14ac:dyDescent="0.25"/>
    <row r="2295" ht="17.100000000000001" customHeight="1" x14ac:dyDescent="0.25"/>
    <row r="2296" ht="17.100000000000001" customHeight="1" x14ac:dyDescent="0.25"/>
    <row r="2297" ht="17.100000000000001" customHeight="1" x14ac:dyDescent="0.25"/>
    <row r="2298" ht="17.100000000000001" customHeight="1" x14ac:dyDescent="0.25"/>
    <row r="2299" ht="17.100000000000001" customHeight="1" x14ac:dyDescent="0.25"/>
    <row r="2300" ht="17.100000000000001" customHeight="1" x14ac:dyDescent="0.25"/>
    <row r="2301" ht="17.100000000000001" customHeight="1" x14ac:dyDescent="0.25"/>
    <row r="2302" ht="17.100000000000001" customHeight="1" x14ac:dyDescent="0.25"/>
    <row r="2303" ht="17.100000000000001" customHeight="1" x14ac:dyDescent="0.25"/>
    <row r="2304" ht="17.100000000000001" customHeight="1" x14ac:dyDescent="0.25"/>
    <row r="2305" ht="17.100000000000001" customHeight="1" x14ac:dyDescent="0.25"/>
    <row r="2306" ht="17.100000000000001" customHeight="1" x14ac:dyDescent="0.25"/>
    <row r="2307" ht="17.100000000000001" customHeight="1" x14ac:dyDescent="0.25"/>
    <row r="2308" ht="17.100000000000001" customHeight="1" x14ac:dyDescent="0.25"/>
    <row r="2309" ht="17.100000000000001" customHeight="1" x14ac:dyDescent="0.25"/>
    <row r="2310" ht="17.100000000000001" customHeight="1" x14ac:dyDescent="0.25"/>
    <row r="2311" ht="17.100000000000001" customHeight="1" x14ac:dyDescent="0.25"/>
    <row r="2312" ht="17.100000000000001" customHeight="1" x14ac:dyDescent="0.25"/>
    <row r="2313" ht="17.100000000000001" customHeight="1" x14ac:dyDescent="0.25"/>
    <row r="2314" ht="17.100000000000001" customHeight="1" x14ac:dyDescent="0.25"/>
    <row r="2315" ht="17.100000000000001" customHeight="1" x14ac:dyDescent="0.25"/>
    <row r="2316" ht="17.100000000000001" customHeight="1" x14ac:dyDescent="0.25"/>
    <row r="2317" ht="17.100000000000001" customHeight="1" x14ac:dyDescent="0.25"/>
    <row r="2318" ht="17.100000000000001" customHeight="1" x14ac:dyDescent="0.25"/>
    <row r="2319" ht="17.100000000000001" customHeight="1" x14ac:dyDescent="0.25"/>
    <row r="2320" ht="17.100000000000001" customHeight="1" x14ac:dyDescent="0.25"/>
    <row r="2321" ht="17.100000000000001" customHeight="1" x14ac:dyDescent="0.25"/>
    <row r="2322" ht="17.100000000000001" customHeight="1" x14ac:dyDescent="0.25"/>
    <row r="2323" ht="17.100000000000001" customHeight="1" x14ac:dyDescent="0.25"/>
    <row r="2324" ht="17.100000000000001" customHeight="1" x14ac:dyDescent="0.25"/>
    <row r="2325" ht="17.100000000000001" customHeight="1" x14ac:dyDescent="0.25"/>
    <row r="2326" ht="17.100000000000001" customHeight="1" x14ac:dyDescent="0.25"/>
    <row r="2327" ht="17.100000000000001" customHeight="1" x14ac:dyDescent="0.25"/>
    <row r="2328" ht="17.100000000000001" customHeight="1" x14ac:dyDescent="0.25"/>
    <row r="2329" ht="17.100000000000001" customHeight="1" x14ac:dyDescent="0.25"/>
    <row r="2330" ht="17.100000000000001" customHeight="1" x14ac:dyDescent="0.25"/>
    <row r="2331" ht="17.100000000000001" customHeight="1" x14ac:dyDescent="0.25"/>
    <row r="2332" ht="17.100000000000001" customHeight="1" x14ac:dyDescent="0.25"/>
    <row r="2333" ht="17.100000000000001" customHeight="1" x14ac:dyDescent="0.25"/>
    <row r="2334" ht="17.100000000000001" customHeight="1" x14ac:dyDescent="0.25"/>
    <row r="2335" ht="17.100000000000001" customHeight="1" x14ac:dyDescent="0.25"/>
    <row r="2336" ht="17.100000000000001" customHeight="1" x14ac:dyDescent="0.25"/>
    <row r="2337" ht="17.100000000000001" customHeight="1" x14ac:dyDescent="0.25"/>
    <row r="2338" ht="17.100000000000001" customHeight="1" x14ac:dyDescent="0.25"/>
    <row r="2339" ht="17.100000000000001" customHeight="1" x14ac:dyDescent="0.25"/>
    <row r="2340" ht="17.100000000000001" customHeight="1" x14ac:dyDescent="0.25"/>
    <row r="2341" ht="17.100000000000001" customHeight="1" x14ac:dyDescent="0.25"/>
    <row r="2342" ht="17.100000000000001" customHeight="1" x14ac:dyDescent="0.25"/>
    <row r="2343" ht="17.100000000000001" customHeight="1" x14ac:dyDescent="0.25"/>
    <row r="2344" ht="17.100000000000001" customHeight="1" x14ac:dyDescent="0.25"/>
    <row r="2345" ht="17.100000000000001" customHeight="1" x14ac:dyDescent="0.25"/>
    <row r="2346" ht="17.100000000000001" customHeight="1" x14ac:dyDescent="0.25"/>
    <row r="2347" ht="17.100000000000001" customHeight="1" x14ac:dyDescent="0.25"/>
    <row r="2348" ht="17.100000000000001" customHeight="1" x14ac:dyDescent="0.25"/>
    <row r="2349" ht="17.100000000000001" customHeight="1" x14ac:dyDescent="0.25"/>
    <row r="2350" ht="17.100000000000001" customHeight="1" x14ac:dyDescent="0.25"/>
    <row r="2351" ht="17.100000000000001" customHeight="1" x14ac:dyDescent="0.25"/>
    <row r="2352" ht="17.100000000000001" customHeight="1" x14ac:dyDescent="0.25"/>
    <row r="2353" ht="17.100000000000001" customHeight="1" x14ac:dyDescent="0.25"/>
    <row r="2354" ht="17.100000000000001" customHeight="1" x14ac:dyDescent="0.25"/>
    <row r="2355" ht="17.100000000000001" customHeight="1" x14ac:dyDescent="0.25"/>
    <row r="2356" ht="17.100000000000001" customHeight="1" x14ac:dyDescent="0.25"/>
    <row r="2357" ht="17.100000000000001" customHeight="1" x14ac:dyDescent="0.25"/>
    <row r="2358" ht="17.100000000000001" customHeight="1" x14ac:dyDescent="0.25"/>
    <row r="2359" ht="17.100000000000001" customHeight="1" x14ac:dyDescent="0.25"/>
    <row r="2360" ht="17.100000000000001" customHeight="1" x14ac:dyDescent="0.25"/>
    <row r="2361" ht="17.100000000000001" customHeight="1" x14ac:dyDescent="0.25"/>
    <row r="2362" ht="17.100000000000001" customHeight="1" x14ac:dyDescent="0.25"/>
    <row r="2363" ht="17.100000000000001" customHeight="1" x14ac:dyDescent="0.25"/>
    <row r="2364" ht="17.100000000000001" customHeight="1" x14ac:dyDescent="0.25"/>
    <row r="2365" ht="17.100000000000001" customHeight="1" x14ac:dyDescent="0.25"/>
    <row r="2366" ht="17.100000000000001" customHeight="1" x14ac:dyDescent="0.25"/>
    <row r="2367" ht="17.100000000000001" customHeight="1" x14ac:dyDescent="0.25"/>
    <row r="2368" ht="17.100000000000001" customHeight="1" x14ac:dyDescent="0.25"/>
    <row r="2369" ht="17.100000000000001" customHeight="1" x14ac:dyDescent="0.25"/>
    <row r="2370" ht="17.100000000000001" customHeight="1" x14ac:dyDescent="0.25"/>
    <row r="2371" ht="17.100000000000001" customHeight="1" x14ac:dyDescent="0.25"/>
    <row r="2372" ht="17.100000000000001" customHeight="1" x14ac:dyDescent="0.25"/>
    <row r="2373" ht="17.100000000000001" customHeight="1" x14ac:dyDescent="0.25"/>
    <row r="2374" ht="17.100000000000001" customHeight="1" x14ac:dyDescent="0.25"/>
    <row r="2375" ht="17.100000000000001" customHeight="1" x14ac:dyDescent="0.25"/>
    <row r="2376" ht="17.100000000000001" customHeight="1" x14ac:dyDescent="0.25"/>
    <row r="2377" ht="17.100000000000001" customHeight="1" x14ac:dyDescent="0.25"/>
    <row r="2378" ht="17.100000000000001" customHeight="1" x14ac:dyDescent="0.25"/>
    <row r="2379" ht="17.100000000000001" customHeight="1" x14ac:dyDescent="0.25"/>
    <row r="2380" ht="17.100000000000001" customHeight="1" x14ac:dyDescent="0.25"/>
    <row r="2381" ht="17.100000000000001" customHeight="1" x14ac:dyDescent="0.25"/>
    <row r="2382" ht="17.100000000000001" customHeight="1" x14ac:dyDescent="0.25"/>
    <row r="2383" ht="17.100000000000001" customHeight="1" x14ac:dyDescent="0.25"/>
    <row r="2384" ht="17.100000000000001" customHeight="1" x14ac:dyDescent="0.25"/>
    <row r="2385" ht="17.100000000000001" customHeight="1" x14ac:dyDescent="0.25"/>
    <row r="2386" ht="17.100000000000001" customHeight="1" x14ac:dyDescent="0.25"/>
    <row r="2387" ht="17.100000000000001" customHeight="1" x14ac:dyDescent="0.25"/>
    <row r="2388" ht="17.100000000000001" customHeight="1" x14ac:dyDescent="0.25"/>
    <row r="2389" ht="17.100000000000001" customHeight="1" x14ac:dyDescent="0.25"/>
    <row r="2390" ht="17.100000000000001" customHeight="1" x14ac:dyDescent="0.25"/>
    <row r="2391" ht="17.100000000000001" customHeight="1" x14ac:dyDescent="0.25"/>
    <row r="2392" ht="17.100000000000001" customHeight="1" x14ac:dyDescent="0.25"/>
    <row r="2393" ht="17.100000000000001" customHeight="1" x14ac:dyDescent="0.25"/>
    <row r="2394" ht="17.100000000000001" customHeight="1" x14ac:dyDescent="0.25"/>
    <row r="2395" ht="17.100000000000001" customHeight="1" x14ac:dyDescent="0.25"/>
    <row r="2396" ht="17.100000000000001" customHeight="1" x14ac:dyDescent="0.25"/>
    <row r="2397" ht="17.100000000000001" customHeight="1" x14ac:dyDescent="0.25"/>
    <row r="2398" ht="17.100000000000001" customHeight="1" x14ac:dyDescent="0.25"/>
    <row r="2399" ht="17.100000000000001" customHeight="1" x14ac:dyDescent="0.25"/>
    <row r="2400" ht="17.100000000000001" customHeight="1" x14ac:dyDescent="0.25"/>
    <row r="2401" ht="17.100000000000001" customHeight="1" x14ac:dyDescent="0.25"/>
    <row r="2402" ht="17.100000000000001" customHeight="1" x14ac:dyDescent="0.25"/>
    <row r="2403" ht="17.100000000000001" customHeight="1" x14ac:dyDescent="0.25"/>
    <row r="2404" ht="17.100000000000001" customHeight="1" x14ac:dyDescent="0.25"/>
    <row r="2405" ht="17.100000000000001" customHeight="1" x14ac:dyDescent="0.25"/>
    <row r="2406" ht="17.100000000000001" customHeight="1" x14ac:dyDescent="0.25"/>
    <row r="2407" ht="17.100000000000001" customHeight="1" x14ac:dyDescent="0.25"/>
    <row r="2408" ht="17.100000000000001" customHeight="1" x14ac:dyDescent="0.25"/>
    <row r="2409" ht="17.100000000000001" customHeight="1" x14ac:dyDescent="0.25"/>
    <row r="2410" ht="17.100000000000001" customHeight="1" x14ac:dyDescent="0.25"/>
    <row r="2411" ht="17.100000000000001" customHeight="1" x14ac:dyDescent="0.25"/>
    <row r="2412" ht="17.100000000000001" customHeight="1" x14ac:dyDescent="0.25"/>
    <row r="2413" ht="17.100000000000001" customHeight="1" x14ac:dyDescent="0.25"/>
    <row r="2414" ht="17.100000000000001" customHeight="1" x14ac:dyDescent="0.25"/>
    <row r="2415" ht="17.100000000000001" customHeight="1" x14ac:dyDescent="0.25"/>
    <row r="2416" ht="17.100000000000001" customHeight="1" x14ac:dyDescent="0.25"/>
    <row r="2417" ht="17.100000000000001" customHeight="1" x14ac:dyDescent="0.25"/>
    <row r="2418" ht="17.100000000000001" customHeight="1" x14ac:dyDescent="0.25"/>
    <row r="2419" ht="17.100000000000001" customHeight="1" x14ac:dyDescent="0.25"/>
    <row r="2420" ht="17.100000000000001" customHeight="1" x14ac:dyDescent="0.25"/>
    <row r="2421" ht="17.100000000000001" customHeight="1" x14ac:dyDescent="0.25"/>
    <row r="2422" ht="17.100000000000001" customHeight="1" x14ac:dyDescent="0.25"/>
    <row r="2423" ht="17.100000000000001" customHeight="1" x14ac:dyDescent="0.25"/>
    <row r="2424" ht="17.100000000000001" customHeight="1" x14ac:dyDescent="0.25"/>
    <row r="2425" ht="17.100000000000001" customHeight="1" x14ac:dyDescent="0.25"/>
    <row r="2426" ht="17.100000000000001" customHeight="1" x14ac:dyDescent="0.25"/>
    <row r="2427" ht="17.100000000000001" customHeight="1" x14ac:dyDescent="0.25"/>
    <row r="2428" ht="17.100000000000001" customHeight="1" x14ac:dyDescent="0.25"/>
    <row r="2429" ht="17.100000000000001" customHeight="1" x14ac:dyDescent="0.25"/>
    <row r="2430" ht="17.100000000000001" customHeight="1" x14ac:dyDescent="0.25"/>
    <row r="2431" ht="17.100000000000001" customHeight="1" x14ac:dyDescent="0.25"/>
    <row r="2432" ht="17.100000000000001" customHeight="1" x14ac:dyDescent="0.25"/>
    <row r="2433" ht="17.100000000000001" customHeight="1" x14ac:dyDescent="0.25"/>
    <row r="2434" ht="17.100000000000001" customHeight="1" x14ac:dyDescent="0.25"/>
    <row r="2435" ht="17.100000000000001" customHeight="1" x14ac:dyDescent="0.25"/>
    <row r="2436" ht="17.100000000000001" customHeight="1" x14ac:dyDescent="0.25"/>
    <row r="2437" ht="17.100000000000001" customHeight="1" x14ac:dyDescent="0.25"/>
    <row r="2438" ht="17.100000000000001" customHeight="1" x14ac:dyDescent="0.25"/>
    <row r="2439" ht="17.100000000000001" customHeight="1" x14ac:dyDescent="0.25"/>
    <row r="2440" ht="17.100000000000001" customHeight="1" x14ac:dyDescent="0.25"/>
    <row r="2441" ht="17.100000000000001" customHeight="1" x14ac:dyDescent="0.25"/>
    <row r="2442" ht="17.100000000000001" customHeight="1" x14ac:dyDescent="0.25"/>
    <row r="2443" ht="17.100000000000001" customHeight="1" x14ac:dyDescent="0.25"/>
    <row r="2444" ht="17.100000000000001" customHeight="1" x14ac:dyDescent="0.25"/>
    <row r="2445" ht="17.100000000000001" customHeight="1" x14ac:dyDescent="0.25"/>
    <row r="2446" ht="17.100000000000001" customHeight="1" x14ac:dyDescent="0.25"/>
    <row r="2447" ht="17.100000000000001" customHeight="1" x14ac:dyDescent="0.25"/>
    <row r="2448" ht="17.100000000000001" customHeight="1" x14ac:dyDescent="0.25"/>
    <row r="2449" ht="17.100000000000001" customHeight="1" x14ac:dyDescent="0.25"/>
    <row r="2450" ht="17.100000000000001" customHeight="1" x14ac:dyDescent="0.25"/>
    <row r="2451" ht="17.100000000000001" customHeight="1" x14ac:dyDescent="0.25"/>
    <row r="2452" ht="17.100000000000001" customHeight="1" x14ac:dyDescent="0.25"/>
    <row r="2453" ht="17.100000000000001" customHeight="1" x14ac:dyDescent="0.25"/>
    <row r="2454" ht="17.100000000000001" customHeight="1" x14ac:dyDescent="0.25"/>
    <row r="2455" ht="17.100000000000001" customHeight="1" x14ac:dyDescent="0.25"/>
    <row r="2456" ht="17.100000000000001" customHeight="1" x14ac:dyDescent="0.25"/>
    <row r="2457" ht="17.100000000000001" customHeight="1" x14ac:dyDescent="0.25"/>
    <row r="2458" ht="17.100000000000001" customHeight="1" x14ac:dyDescent="0.25"/>
    <row r="2459" ht="17.100000000000001" customHeight="1" x14ac:dyDescent="0.25"/>
    <row r="2460" ht="17.100000000000001" customHeight="1" x14ac:dyDescent="0.25"/>
    <row r="2461" ht="17.100000000000001" customHeight="1" x14ac:dyDescent="0.25"/>
    <row r="2462" ht="17.100000000000001" customHeight="1" x14ac:dyDescent="0.25"/>
    <row r="2463" ht="17.100000000000001" customHeight="1" x14ac:dyDescent="0.25"/>
    <row r="2464" ht="17.100000000000001" customHeight="1" x14ac:dyDescent="0.25"/>
    <row r="2465" ht="17.100000000000001" customHeight="1" x14ac:dyDescent="0.25"/>
    <row r="2466" ht="17.100000000000001" customHeight="1" x14ac:dyDescent="0.25"/>
    <row r="2467" ht="17.100000000000001" customHeight="1" x14ac:dyDescent="0.25"/>
    <row r="2468" ht="17.100000000000001" customHeight="1" x14ac:dyDescent="0.25"/>
    <row r="2469" ht="17.100000000000001" customHeight="1" x14ac:dyDescent="0.25"/>
    <row r="2470" ht="17.100000000000001" customHeight="1" x14ac:dyDescent="0.25"/>
    <row r="2471" ht="17.100000000000001" customHeight="1" x14ac:dyDescent="0.25"/>
    <row r="2472" ht="17.100000000000001" customHeight="1" x14ac:dyDescent="0.25"/>
    <row r="2473" ht="17.100000000000001" customHeight="1" x14ac:dyDescent="0.25"/>
    <row r="2474" ht="17.100000000000001" customHeight="1" x14ac:dyDescent="0.25"/>
    <row r="2475" ht="17.100000000000001" customHeight="1" x14ac:dyDescent="0.25"/>
    <row r="2476" ht="17.100000000000001" customHeight="1" x14ac:dyDescent="0.25"/>
    <row r="2477" ht="17.100000000000001" customHeight="1" x14ac:dyDescent="0.25"/>
    <row r="2478" ht="17.100000000000001" customHeight="1" x14ac:dyDescent="0.25"/>
    <row r="2479" ht="17.100000000000001" customHeight="1" x14ac:dyDescent="0.25"/>
    <row r="2480" ht="17.100000000000001" customHeight="1" x14ac:dyDescent="0.25"/>
    <row r="2481" ht="17.100000000000001" customHeight="1" x14ac:dyDescent="0.25"/>
    <row r="2482" ht="17.100000000000001" customHeight="1" x14ac:dyDescent="0.25"/>
    <row r="2483" ht="17.100000000000001" customHeight="1" x14ac:dyDescent="0.25"/>
    <row r="2484" ht="17.100000000000001" customHeight="1" x14ac:dyDescent="0.25"/>
    <row r="2485" ht="17.100000000000001" customHeight="1" x14ac:dyDescent="0.25"/>
    <row r="2486" ht="17.100000000000001" customHeight="1" x14ac:dyDescent="0.25"/>
    <row r="2487" ht="17.100000000000001" customHeight="1" x14ac:dyDescent="0.25"/>
    <row r="2488" ht="17.100000000000001" customHeight="1" x14ac:dyDescent="0.25"/>
    <row r="2489" ht="17.100000000000001" customHeight="1" x14ac:dyDescent="0.25"/>
    <row r="2490" ht="17.100000000000001" customHeight="1" x14ac:dyDescent="0.25"/>
    <row r="2491" ht="17.100000000000001" customHeight="1" x14ac:dyDescent="0.25"/>
    <row r="2492" ht="17.100000000000001" customHeight="1" x14ac:dyDescent="0.25"/>
    <row r="2493" ht="17.100000000000001" customHeight="1" x14ac:dyDescent="0.25"/>
    <row r="2494" ht="17.100000000000001" customHeight="1" x14ac:dyDescent="0.25"/>
    <row r="2495" ht="17.100000000000001" customHeight="1" x14ac:dyDescent="0.25"/>
    <row r="2496" ht="17.100000000000001" customHeight="1" x14ac:dyDescent="0.25"/>
    <row r="2497" ht="17.100000000000001" customHeight="1" x14ac:dyDescent="0.25"/>
    <row r="2498" ht="17.100000000000001" customHeight="1" x14ac:dyDescent="0.25"/>
    <row r="2499" ht="17.100000000000001" customHeight="1" x14ac:dyDescent="0.25"/>
    <row r="2500" ht="17.100000000000001" customHeight="1" x14ac:dyDescent="0.25"/>
    <row r="2501" ht="17.100000000000001" customHeight="1" x14ac:dyDescent="0.25"/>
    <row r="2502" ht="17.100000000000001" customHeight="1" x14ac:dyDescent="0.25"/>
    <row r="2503" ht="17.100000000000001" customHeight="1" x14ac:dyDescent="0.25"/>
    <row r="2504" ht="17.100000000000001" customHeight="1" x14ac:dyDescent="0.25"/>
    <row r="2505" ht="17.100000000000001" customHeight="1" x14ac:dyDescent="0.25"/>
    <row r="2506" ht="17.100000000000001" customHeight="1" x14ac:dyDescent="0.25"/>
    <row r="2507" ht="17.100000000000001" customHeight="1" x14ac:dyDescent="0.25"/>
    <row r="2508" ht="17.100000000000001" customHeight="1" x14ac:dyDescent="0.25"/>
    <row r="2509" ht="17.100000000000001" customHeight="1" x14ac:dyDescent="0.25"/>
    <row r="2510" ht="17.100000000000001" customHeight="1" x14ac:dyDescent="0.25"/>
    <row r="2511" ht="17.100000000000001" customHeight="1" x14ac:dyDescent="0.25"/>
    <row r="2512" ht="17.100000000000001" customHeight="1" x14ac:dyDescent="0.25"/>
    <row r="2513" ht="17.100000000000001" customHeight="1" x14ac:dyDescent="0.25"/>
    <row r="2514" ht="17.100000000000001" customHeight="1" x14ac:dyDescent="0.25"/>
    <row r="2515" ht="17.100000000000001" customHeight="1" x14ac:dyDescent="0.25"/>
    <row r="2516" ht="17.100000000000001" customHeight="1" x14ac:dyDescent="0.25"/>
    <row r="2517" ht="17.100000000000001" customHeight="1" x14ac:dyDescent="0.25"/>
    <row r="2518" ht="17.100000000000001" customHeight="1" x14ac:dyDescent="0.25"/>
    <row r="2519" ht="17.100000000000001" customHeight="1" x14ac:dyDescent="0.25"/>
    <row r="2520" ht="17.100000000000001" customHeight="1" x14ac:dyDescent="0.25"/>
    <row r="2521" ht="17.100000000000001" customHeight="1" x14ac:dyDescent="0.25"/>
    <row r="2522" ht="17.100000000000001" customHeight="1" x14ac:dyDescent="0.25"/>
    <row r="2523" ht="17.100000000000001" customHeight="1" x14ac:dyDescent="0.25"/>
    <row r="2524" ht="17.100000000000001" customHeight="1" x14ac:dyDescent="0.25"/>
    <row r="2525" ht="17.100000000000001" customHeight="1" x14ac:dyDescent="0.25"/>
    <row r="2526" ht="17.100000000000001" customHeight="1" x14ac:dyDescent="0.25"/>
    <row r="2527" ht="17.100000000000001" customHeight="1" x14ac:dyDescent="0.25"/>
    <row r="2528" ht="17.100000000000001" customHeight="1" x14ac:dyDescent="0.25"/>
    <row r="2529" ht="17.100000000000001" customHeight="1" x14ac:dyDescent="0.25"/>
    <row r="2530" ht="17.100000000000001" customHeight="1" x14ac:dyDescent="0.25"/>
    <row r="2531" ht="17.100000000000001" customHeight="1" x14ac:dyDescent="0.25"/>
    <row r="2532" ht="17.100000000000001" customHeight="1" x14ac:dyDescent="0.25"/>
    <row r="2533" ht="17.100000000000001" customHeight="1" x14ac:dyDescent="0.25"/>
    <row r="2534" ht="17.100000000000001" customHeight="1" x14ac:dyDescent="0.25"/>
    <row r="2535" ht="17.100000000000001" customHeight="1" x14ac:dyDescent="0.25"/>
    <row r="2536" ht="17.100000000000001" customHeight="1" x14ac:dyDescent="0.25"/>
    <row r="2537" ht="17.100000000000001" customHeight="1" x14ac:dyDescent="0.25"/>
    <row r="2538" ht="17.100000000000001" customHeight="1" x14ac:dyDescent="0.25"/>
    <row r="2539" ht="17.100000000000001" customHeight="1" x14ac:dyDescent="0.25"/>
    <row r="2540" ht="17.100000000000001" customHeight="1" x14ac:dyDescent="0.25"/>
    <row r="2541" ht="17.100000000000001" customHeight="1" x14ac:dyDescent="0.25"/>
    <row r="2542" ht="17.100000000000001" customHeight="1" x14ac:dyDescent="0.25"/>
    <row r="2543" ht="17.100000000000001" customHeight="1" x14ac:dyDescent="0.25"/>
    <row r="2544" ht="17.100000000000001" customHeight="1" x14ac:dyDescent="0.25"/>
    <row r="2545" ht="17.100000000000001" customHeight="1" x14ac:dyDescent="0.25"/>
    <row r="2546" ht="17.100000000000001" customHeight="1" x14ac:dyDescent="0.25"/>
    <row r="2547" ht="17.100000000000001" customHeight="1" x14ac:dyDescent="0.25"/>
    <row r="2548" ht="17.100000000000001" customHeight="1" x14ac:dyDescent="0.25"/>
    <row r="2549" ht="17.100000000000001" customHeight="1" x14ac:dyDescent="0.25"/>
    <row r="2550" ht="17.100000000000001" customHeight="1" x14ac:dyDescent="0.25"/>
    <row r="2551" ht="17.100000000000001" customHeight="1" x14ac:dyDescent="0.25"/>
    <row r="2552" ht="17.100000000000001" customHeight="1" x14ac:dyDescent="0.25"/>
    <row r="2553" ht="17.100000000000001" customHeight="1" x14ac:dyDescent="0.25"/>
    <row r="2554" ht="17.100000000000001" customHeight="1" x14ac:dyDescent="0.25"/>
    <row r="2555" ht="17.100000000000001" customHeight="1" x14ac:dyDescent="0.25"/>
    <row r="2556" ht="17.100000000000001" customHeight="1" x14ac:dyDescent="0.25"/>
    <row r="2557" ht="17.100000000000001" customHeight="1" x14ac:dyDescent="0.25"/>
    <row r="2558" ht="17.100000000000001" customHeight="1" x14ac:dyDescent="0.25"/>
    <row r="2559" ht="17.100000000000001" customHeight="1" x14ac:dyDescent="0.25"/>
    <row r="2560" ht="17.100000000000001" customHeight="1" x14ac:dyDescent="0.25"/>
    <row r="2561" ht="17.100000000000001" customHeight="1" x14ac:dyDescent="0.25"/>
    <row r="2562" ht="17.100000000000001" customHeight="1" x14ac:dyDescent="0.25"/>
    <row r="2563" ht="17.100000000000001" customHeight="1" x14ac:dyDescent="0.25"/>
    <row r="2564" ht="17.100000000000001" customHeight="1" x14ac:dyDescent="0.25"/>
    <row r="2565" ht="17.100000000000001" customHeight="1" x14ac:dyDescent="0.25"/>
    <row r="2566" ht="17.100000000000001" customHeight="1" x14ac:dyDescent="0.25"/>
    <row r="2567" ht="17.100000000000001" customHeight="1" x14ac:dyDescent="0.25"/>
    <row r="2568" ht="17.100000000000001" customHeight="1" x14ac:dyDescent="0.25"/>
    <row r="2569" ht="17.100000000000001" customHeight="1" x14ac:dyDescent="0.25"/>
    <row r="2570" ht="17.100000000000001" customHeight="1" x14ac:dyDescent="0.25"/>
    <row r="2571" ht="17.100000000000001" customHeight="1" x14ac:dyDescent="0.25"/>
    <row r="2572" ht="17.100000000000001" customHeight="1" x14ac:dyDescent="0.25"/>
    <row r="2573" ht="17.100000000000001" customHeight="1" x14ac:dyDescent="0.25"/>
    <row r="2574" ht="17.100000000000001" customHeight="1" x14ac:dyDescent="0.25"/>
    <row r="2575" ht="17.100000000000001" customHeight="1" x14ac:dyDescent="0.25"/>
    <row r="2576" ht="17.100000000000001" customHeight="1" x14ac:dyDescent="0.25"/>
    <row r="2577" ht="17.100000000000001" customHeight="1" x14ac:dyDescent="0.25"/>
    <row r="2578" ht="17.100000000000001" customHeight="1" x14ac:dyDescent="0.25"/>
    <row r="2579" ht="17.100000000000001" customHeight="1" x14ac:dyDescent="0.25"/>
    <row r="2580" ht="17.100000000000001" customHeight="1" x14ac:dyDescent="0.25"/>
    <row r="2581" ht="17.100000000000001" customHeight="1" x14ac:dyDescent="0.25"/>
    <row r="2582" ht="17.100000000000001" customHeight="1" x14ac:dyDescent="0.25"/>
    <row r="2583" ht="17.100000000000001" customHeight="1" x14ac:dyDescent="0.25"/>
    <row r="2584" ht="17.100000000000001" customHeight="1" x14ac:dyDescent="0.25"/>
    <row r="2585" ht="17.100000000000001" customHeight="1" x14ac:dyDescent="0.25"/>
    <row r="2586" ht="17.100000000000001" customHeight="1" x14ac:dyDescent="0.25"/>
    <row r="2587" ht="17.100000000000001" customHeight="1" x14ac:dyDescent="0.25"/>
    <row r="2588" ht="17.100000000000001" customHeight="1" x14ac:dyDescent="0.25"/>
    <row r="2589" ht="17.100000000000001" customHeight="1" x14ac:dyDescent="0.25"/>
    <row r="2590" ht="17.100000000000001" customHeight="1" x14ac:dyDescent="0.25"/>
    <row r="2591" ht="17.100000000000001" customHeight="1" x14ac:dyDescent="0.25"/>
    <row r="2592" ht="17.100000000000001" customHeight="1" x14ac:dyDescent="0.25"/>
    <row r="2593" ht="17.100000000000001" customHeight="1" x14ac:dyDescent="0.25"/>
    <row r="2594" ht="17.100000000000001" customHeight="1" x14ac:dyDescent="0.25"/>
    <row r="2595" ht="17.100000000000001" customHeight="1" x14ac:dyDescent="0.25"/>
    <row r="2596" ht="17.100000000000001" customHeight="1" x14ac:dyDescent="0.25"/>
    <row r="2597" ht="17.100000000000001" customHeight="1" x14ac:dyDescent="0.25"/>
    <row r="2598" ht="17.100000000000001" customHeight="1" x14ac:dyDescent="0.25"/>
    <row r="2599" ht="17.100000000000001" customHeight="1" x14ac:dyDescent="0.25"/>
    <row r="2600" ht="17.100000000000001" customHeight="1" x14ac:dyDescent="0.25"/>
    <row r="2601" ht="17.100000000000001" customHeight="1" x14ac:dyDescent="0.25"/>
    <row r="2602" ht="17.100000000000001" customHeight="1" x14ac:dyDescent="0.25"/>
    <row r="2603" ht="17.100000000000001" customHeight="1" x14ac:dyDescent="0.25"/>
    <row r="2604" ht="17.100000000000001" customHeight="1" x14ac:dyDescent="0.25"/>
    <row r="2605" ht="17.100000000000001" customHeight="1" x14ac:dyDescent="0.25"/>
    <row r="2606" ht="17.100000000000001" customHeight="1" x14ac:dyDescent="0.25"/>
    <row r="2607" ht="17.100000000000001" customHeight="1" x14ac:dyDescent="0.25"/>
    <row r="2608" ht="17.100000000000001" customHeight="1" x14ac:dyDescent="0.25"/>
    <row r="2609" ht="17.100000000000001" customHeight="1" x14ac:dyDescent="0.25"/>
    <row r="2610" ht="17.100000000000001" customHeight="1" x14ac:dyDescent="0.25"/>
    <row r="2611" ht="17.100000000000001" customHeight="1" x14ac:dyDescent="0.25"/>
    <row r="2612" ht="17.100000000000001" customHeight="1" x14ac:dyDescent="0.25"/>
    <row r="2613" ht="17.100000000000001" customHeight="1" x14ac:dyDescent="0.25"/>
    <row r="2614" ht="17.100000000000001" customHeight="1" x14ac:dyDescent="0.25"/>
    <row r="2615" ht="17.100000000000001" customHeight="1" x14ac:dyDescent="0.25"/>
    <row r="2616" ht="17.100000000000001" customHeight="1" x14ac:dyDescent="0.25"/>
    <row r="2617" ht="17.100000000000001" customHeight="1" x14ac:dyDescent="0.25"/>
    <row r="2618" ht="17.100000000000001" customHeight="1" x14ac:dyDescent="0.25"/>
    <row r="2619" ht="17.100000000000001" customHeight="1" x14ac:dyDescent="0.25"/>
    <row r="2620" ht="17.100000000000001" customHeight="1" x14ac:dyDescent="0.25"/>
    <row r="2621" ht="17.100000000000001" customHeight="1" x14ac:dyDescent="0.25"/>
    <row r="2622" ht="17.100000000000001" customHeight="1" x14ac:dyDescent="0.25"/>
    <row r="2623" ht="17.100000000000001" customHeight="1" x14ac:dyDescent="0.25"/>
    <row r="2624" ht="17.100000000000001" customHeight="1" x14ac:dyDescent="0.25"/>
    <row r="2625" ht="17.100000000000001" customHeight="1" x14ac:dyDescent="0.25"/>
    <row r="2626" ht="17.100000000000001" customHeight="1" x14ac:dyDescent="0.25"/>
    <row r="2627" ht="17.100000000000001" customHeight="1" x14ac:dyDescent="0.25"/>
    <row r="2628" ht="17.100000000000001" customHeight="1" x14ac:dyDescent="0.25"/>
    <row r="2629" ht="17.100000000000001" customHeight="1" x14ac:dyDescent="0.25"/>
    <row r="2630" ht="17.100000000000001" customHeight="1" x14ac:dyDescent="0.25"/>
    <row r="2631" ht="17.100000000000001" customHeight="1" x14ac:dyDescent="0.25"/>
    <row r="2632" ht="17.100000000000001" customHeight="1" x14ac:dyDescent="0.25"/>
    <row r="2633" ht="17.100000000000001" customHeight="1" x14ac:dyDescent="0.25"/>
    <row r="2634" ht="17.100000000000001" customHeight="1" x14ac:dyDescent="0.25"/>
    <row r="2635" ht="17.100000000000001" customHeight="1" x14ac:dyDescent="0.25"/>
    <row r="2636" ht="17.100000000000001" customHeight="1" x14ac:dyDescent="0.25"/>
    <row r="2637" ht="17.100000000000001" customHeight="1" x14ac:dyDescent="0.25"/>
    <row r="2638" ht="17.100000000000001" customHeight="1" x14ac:dyDescent="0.25"/>
    <row r="2639" ht="17.100000000000001" customHeight="1" x14ac:dyDescent="0.25"/>
    <row r="2640" ht="17.100000000000001" customHeight="1" x14ac:dyDescent="0.25"/>
    <row r="2641" ht="17.100000000000001" customHeight="1" x14ac:dyDescent="0.25"/>
    <row r="2642" ht="17.100000000000001" customHeight="1" x14ac:dyDescent="0.25"/>
    <row r="2643" ht="17.100000000000001" customHeight="1" x14ac:dyDescent="0.25"/>
    <row r="2644" ht="17.100000000000001" customHeight="1" x14ac:dyDescent="0.25"/>
    <row r="2645" ht="17.100000000000001" customHeight="1" x14ac:dyDescent="0.25"/>
    <row r="2646" ht="17.100000000000001" customHeight="1" x14ac:dyDescent="0.25"/>
    <row r="2647" ht="17.100000000000001" customHeight="1" x14ac:dyDescent="0.25"/>
    <row r="2648" ht="17.100000000000001" customHeight="1" x14ac:dyDescent="0.25"/>
    <row r="2649" ht="17.100000000000001" customHeight="1" x14ac:dyDescent="0.25"/>
    <row r="2650" ht="17.100000000000001" customHeight="1" x14ac:dyDescent="0.25"/>
    <row r="2651" ht="17.100000000000001" customHeight="1" x14ac:dyDescent="0.25"/>
    <row r="2652" ht="17.100000000000001" customHeight="1" x14ac:dyDescent="0.25"/>
    <row r="2653" ht="17.100000000000001" customHeight="1" x14ac:dyDescent="0.25"/>
    <row r="2654" ht="17.100000000000001" customHeight="1" x14ac:dyDescent="0.25"/>
    <row r="2655" ht="17.100000000000001" customHeight="1" x14ac:dyDescent="0.25"/>
    <row r="2656" ht="17.100000000000001" customHeight="1" x14ac:dyDescent="0.25"/>
    <row r="2657" ht="17.100000000000001" customHeight="1" x14ac:dyDescent="0.25"/>
    <row r="2658" ht="17.100000000000001" customHeight="1" x14ac:dyDescent="0.25"/>
    <row r="2659" ht="17.100000000000001" customHeight="1" x14ac:dyDescent="0.25"/>
    <row r="2660" ht="17.100000000000001" customHeight="1" x14ac:dyDescent="0.25"/>
    <row r="2661" ht="17.100000000000001" customHeight="1" x14ac:dyDescent="0.25"/>
    <row r="2662" ht="17.100000000000001" customHeight="1" x14ac:dyDescent="0.25"/>
    <row r="2663" ht="17.100000000000001" customHeight="1" x14ac:dyDescent="0.25"/>
    <row r="2664" ht="17.100000000000001" customHeight="1" x14ac:dyDescent="0.25"/>
    <row r="2665" ht="17.100000000000001" customHeight="1" x14ac:dyDescent="0.25"/>
    <row r="2666" ht="17.100000000000001" customHeight="1" x14ac:dyDescent="0.25"/>
    <row r="2667" ht="17.100000000000001" customHeight="1" x14ac:dyDescent="0.25"/>
    <row r="2668" ht="17.100000000000001" customHeight="1" x14ac:dyDescent="0.25"/>
    <row r="2669" ht="17.100000000000001" customHeight="1" x14ac:dyDescent="0.25"/>
    <row r="2670" ht="17.100000000000001" customHeight="1" x14ac:dyDescent="0.25"/>
    <row r="2671" ht="17.100000000000001" customHeight="1" x14ac:dyDescent="0.25"/>
    <row r="2672" ht="17.100000000000001" customHeight="1" x14ac:dyDescent="0.25"/>
    <row r="2673" ht="17.100000000000001" customHeight="1" x14ac:dyDescent="0.25"/>
    <row r="2674" ht="17.100000000000001" customHeight="1" x14ac:dyDescent="0.25"/>
    <row r="2675" ht="17.100000000000001" customHeight="1" x14ac:dyDescent="0.25"/>
    <row r="2676" ht="17.100000000000001" customHeight="1" x14ac:dyDescent="0.25"/>
    <row r="2677" ht="17.100000000000001" customHeight="1" x14ac:dyDescent="0.25"/>
    <row r="2678" ht="17.100000000000001" customHeight="1" x14ac:dyDescent="0.25"/>
    <row r="2679" ht="17.100000000000001" customHeight="1" x14ac:dyDescent="0.25"/>
    <row r="2680" ht="17.100000000000001" customHeight="1" x14ac:dyDescent="0.25"/>
    <row r="2681" ht="17.100000000000001" customHeight="1" x14ac:dyDescent="0.25"/>
    <row r="2682" ht="17.100000000000001" customHeight="1" x14ac:dyDescent="0.25"/>
    <row r="2683" ht="17.100000000000001" customHeight="1" x14ac:dyDescent="0.25"/>
    <row r="2684" ht="17.100000000000001" customHeight="1" x14ac:dyDescent="0.25"/>
    <row r="2685" ht="17.100000000000001" customHeight="1" x14ac:dyDescent="0.25"/>
    <row r="2686" ht="17.100000000000001" customHeight="1" x14ac:dyDescent="0.25"/>
    <row r="2687" ht="17.100000000000001" customHeight="1" x14ac:dyDescent="0.25"/>
    <row r="2688" ht="17.100000000000001" customHeight="1" x14ac:dyDescent="0.25"/>
    <row r="2689" ht="17.100000000000001" customHeight="1" x14ac:dyDescent="0.25"/>
    <row r="2690" ht="17.100000000000001" customHeight="1" x14ac:dyDescent="0.25"/>
    <row r="2691" ht="17.100000000000001" customHeight="1" x14ac:dyDescent="0.25"/>
    <row r="2692" ht="17.100000000000001" customHeight="1" x14ac:dyDescent="0.25"/>
    <row r="2693" ht="17.100000000000001" customHeight="1" x14ac:dyDescent="0.25"/>
    <row r="2694" ht="17.100000000000001" customHeight="1" x14ac:dyDescent="0.25"/>
    <row r="2695" ht="17.100000000000001" customHeight="1" x14ac:dyDescent="0.25"/>
    <row r="2696" ht="17.100000000000001" customHeight="1" x14ac:dyDescent="0.25"/>
    <row r="2697" ht="17.100000000000001" customHeight="1" x14ac:dyDescent="0.25"/>
    <row r="2698" ht="17.100000000000001" customHeight="1" x14ac:dyDescent="0.25"/>
    <row r="2699" ht="17.100000000000001" customHeight="1" x14ac:dyDescent="0.25"/>
    <row r="2700" ht="17.100000000000001" customHeight="1" x14ac:dyDescent="0.25"/>
    <row r="2701" ht="17.100000000000001" customHeight="1" x14ac:dyDescent="0.25"/>
    <row r="2702" ht="17.100000000000001" customHeight="1" x14ac:dyDescent="0.25"/>
    <row r="2703" ht="17.100000000000001" customHeight="1" x14ac:dyDescent="0.25"/>
    <row r="2704" ht="17.100000000000001" customHeight="1" x14ac:dyDescent="0.25"/>
    <row r="2705" ht="17.100000000000001" customHeight="1" x14ac:dyDescent="0.25"/>
    <row r="2706" ht="17.100000000000001" customHeight="1" x14ac:dyDescent="0.25"/>
    <row r="2707" ht="17.100000000000001" customHeight="1" x14ac:dyDescent="0.25"/>
    <row r="2708" ht="17.100000000000001" customHeight="1" x14ac:dyDescent="0.25"/>
    <row r="2709" ht="17.100000000000001" customHeight="1" x14ac:dyDescent="0.25"/>
    <row r="2710" ht="17.100000000000001" customHeight="1" x14ac:dyDescent="0.25"/>
    <row r="2711" ht="17.100000000000001" customHeight="1" x14ac:dyDescent="0.25"/>
    <row r="2712" ht="17.100000000000001" customHeight="1" x14ac:dyDescent="0.25"/>
    <row r="2713" ht="17.100000000000001" customHeight="1" x14ac:dyDescent="0.25"/>
    <row r="2714" ht="17.100000000000001" customHeight="1" x14ac:dyDescent="0.25"/>
    <row r="2715" ht="17.100000000000001" customHeight="1" x14ac:dyDescent="0.25"/>
    <row r="2716" ht="17.100000000000001" customHeight="1" x14ac:dyDescent="0.25"/>
    <row r="2717" ht="17.100000000000001" customHeight="1" x14ac:dyDescent="0.25"/>
    <row r="2718" ht="17.100000000000001" customHeight="1" x14ac:dyDescent="0.25"/>
    <row r="2719" ht="17.100000000000001" customHeight="1" x14ac:dyDescent="0.25"/>
    <row r="2720" ht="17.100000000000001" customHeight="1" x14ac:dyDescent="0.25"/>
    <row r="2721" ht="17.100000000000001" customHeight="1" x14ac:dyDescent="0.25"/>
    <row r="2722" ht="17.100000000000001" customHeight="1" x14ac:dyDescent="0.25"/>
    <row r="2723" ht="17.100000000000001" customHeight="1" x14ac:dyDescent="0.25"/>
    <row r="2724" ht="17.100000000000001" customHeight="1" x14ac:dyDescent="0.25"/>
    <row r="2725" ht="17.100000000000001" customHeight="1" x14ac:dyDescent="0.25"/>
    <row r="2726" ht="17.100000000000001" customHeight="1" x14ac:dyDescent="0.25"/>
    <row r="2727" ht="17.100000000000001" customHeight="1" x14ac:dyDescent="0.25"/>
    <row r="2728" ht="17.100000000000001" customHeight="1" x14ac:dyDescent="0.25"/>
    <row r="2729" ht="17.100000000000001" customHeight="1" x14ac:dyDescent="0.25"/>
    <row r="2730" ht="17.100000000000001" customHeight="1" x14ac:dyDescent="0.25"/>
    <row r="2731" ht="17.100000000000001" customHeight="1" x14ac:dyDescent="0.25"/>
    <row r="2732" ht="17.100000000000001" customHeight="1" x14ac:dyDescent="0.25"/>
    <row r="2733" ht="17.100000000000001" customHeight="1" x14ac:dyDescent="0.25"/>
    <row r="2734" ht="17.100000000000001" customHeight="1" x14ac:dyDescent="0.25"/>
    <row r="2735" ht="17.100000000000001" customHeight="1" x14ac:dyDescent="0.25"/>
    <row r="2736" ht="17.100000000000001" customHeight="1" x14ac:dyDescent="0.25"/>
    <row r="2737" ht="17.100000000000001" customHeight="1" x14ac:dyDescent="0.25"/>
    <row r="2738" ht="17.100000000000001" customHeight="1" x14ac:dyDescent="0.25"/>
    <row r="2739" ht="17.100000000000001" customHeight="1" x14ac:dyDescent="0.25"/>
    <row r="2740" ht="17.100000000000001" customHeight="1" x14ac:dyDescent="0.25"/>
    <row r="2741" ht="17.100000000000001" customHeight="1" x14ac:dyDescent="0.25"/>
    <row r="2742" ht="17.100000000000001" customHeight="1" x14ac:dyDescent="0.25"/>
    <row r="2743" ht="17.100000000000001" customHeight="1" x14ac:dyDescent="0.25"/>
    <row r="2744" ht="17.100000000000001" customHeight="1" x14ac:dyDescent="0.25"/>
    <row r="2745" ht="17.100000000000001" customHeight="1" x14ac:dyDescent="0.25"/>
    <row r="2746" ht="17.100000000000001" customHeight="1" x14ac:dyDescent="0.25"/>
    <row r="2747" ht="17.100000000000001" customHeight="1" x14ac:dyDescent="0.25"/>
    <row r="2748" ht="17.100000000000001" customHeight="1" x14ac:dyDescent="0.25"/>
    <row r="2749" ht="17.100000000000001" customHeight="1" x14ac:dyDescent="0.25"/>
    <row r="2750" ht="17.100000000000001" customHeight="1" x14ac:dyDescent="0.25"/>
    <row r="2751" ht="17.100000000000001" customHeight="1" x14ac:dyDescent="0.25"/>
    <row r="2752" ht="17.100000000000001" customHeight="1" x14ac:dyDescent="0.25"/>
    <row r="2753" ht="17.100000000000001" customHeight="1" x14ac:dyDescent="0.25"/>
    <row r="2754" ht="17.100000000000001" customHeight="1" x14ac:dyDescent="0.25"/>
    <row r="2755" ht="17.100000000000001" customHeight="1" x14ac:dyDescent="0.25"/>
    <row r="2756" ht="17.100000000000001" customHeight="1" x14ac:dyDescent="0.25"/>
    <row r="2757" ht="17.100000000000001" customHeight="1" x14ac:dyDescent="0.25"/>
    <row r="2758" ht="17.100000000000001" customHeight="1" x14ac:dyDescent="0.25"/>
    <row r="2759" ht="17.100000000000001" customHeight="1" x14ac:dyDescent="0.25"/>
    <row r="2760" ht="17.100000000000001" customHeight="1" x14ac:dyDescent="0.25"/>
    <row r="2761" ht="17.100000000000001" customHeight="1" x14ac:dyDescent="0.25"/>
    <row r="2762" ht="17.100000000000001" customHeight="1" x14ac:dyDescent="0.25"/>
    <row r="2763" ht="17.100000000000001" customHeight="1" x14ac:dyDescent="0.25"/>
    <row r="2764" ht="17.100000000000001" customHeight="1" x14ac:dyDescent="0.25"/>
    <row r="2765" ht="17.100000000000001" customHeight="1" x14ac:dyDescent="0.25"/>
    <row r="2766" ht="17.100000000000001" customHeight="1" x14ac:dyDescent="0.25"/>
    <row r="2767" ht="17.100000000000001" customHeight="1" x14ac:dyDescent="0.25"/>
    <row r="2768" ht="17.100000000000001" customHeight="1" x14ac:dyDescent="0.25"/>
    <row r="2769" ht="17.100000000000001" customHeight="1" x14ac:dyDescent="0.25"/>
    <row r="2770" ht="17.100000000000001" customHeight="1" x14ac:dyDescent="0.25"/>
    <row r="2771" ht="17.100000000000001" customHeight="1" x14ac:dyDescent="0.25"/>
    <row r="2772" ht="17.100000000000001" customHeight="1" x14ac:dyDescent="0.25"/>
    <row r="2773" ht="17.100000000000001" customHeight="1" x14ac:dyDescent="0.25"/>
    <row r="2774" ht="17.100000000000001" customHeight="1" x14ac:dyDescent="0.25"/>
    <row r="2775" ht="17.100000000000001" customHeight="1" x14ac:dyDescent="0.25"/>
    <row r="2776" ht="17.100000000000001" customHeight="1" x14ac:dyDescent="0.25"/>
    <row r="2777" ht="17.100000000000001" customHeight="1" x14ac:dyDescent="0.25"/>
    <row r="2778" ht="17.100000000000001" customHeight="1" x14ac:dyDescent="0.25"/>
    <row r="2779" ht="17.100000000000001" customHeight="1" x14ac:dyDescent="0.25"/>
    <row r="2780" ht="17.100000000000001" customHeight="1" x14ac:dyDescent="0.25"/>
    <row r="2781" ht="17.100000000000001" customHeight="1" x14ac:dyDescent="0.25"/>
    <row r="2782" ht="17.100000000000001" customHeight="1" x14ac:dyDescent="0.25"/>
    <row r="2783" ht="17.100000000000001" customHeight="1" x14ac:dyDescent="0.25"/>
    <row r="2784" ht="17.100000000000001" customHeight="1" x14ac:dyDescent="0.25"/>
    <row r="2785" ht="17.100000000000001" customHeight="1" x14ac:dyDescent="0.25"/>
    <row r="2786" ht="17.100000000000001" customHeight="1" x14ac:dyDescent="0.25"/>
    <row r="2787" ht="17.100000000000001" customHeight="1" x14ac:dyDescent="0.25"/>
    <row r="2788" ht="17.100000000000001" customHeight="1" x14ac:dyDescent="0.25"/>
    <row r="2789" ht="17.100000000000001" customHeight="1" x14ac:dyDescent="0.25"/>
    <row r="2790" ht="17.100000000000001" customHeight="1" x14ac:dyDescent="0.25"/>
    <row r="2791" ht="17.100000000000001" customHeight="1" x14ac:dyDescent="0.25"/>
    <row r="2792" ht="17.100000000000001" customHeight="1" x14ac:dyDescent="0.25"/>
    <row r="2793" ht="17.100000000000001" customHeight="1" x14ac:dyDescent="0.25"/>
    <row r="2794" ht="17.100000000000001" customHeight="1" x14ac:dyDescent="0.25"/>
    <row r="2795" ht="17.100000000000001" customHeight="1" x14ac:dyDescent="0.25"/>
    <row r="2796" ht="17.100000000000001" customHeight="1" x14ac:dyDescent="0.25"/>
    <row r="2797" ht="17.100000000000001" customHeight="1" x14ac:dyDescent="0.25"/>
    <row r="2798" ht="17.100000000000001" customHeight="1" x14ac:dyDescent="0.25"/>
    <row r="2799" ht="17.100000000000001" customHeight="1" x14ac:dyDescent="0.25"/>
    <row r="2800" ht="17.100000000000001" customHeight="1" x14ac:dyDescent="0.25"/>
    <row r="2801" ht="17.100000000000001" customHeight="1" x14ac:dyDescent="0.25"/>
    <row r="2802" ht="17.100000000000001" customHeight="1" x14ac:dyDescent="0.25"/>
    <row r="2803" ht="17.100000000000001" customHeight="1" x14ac:dyDescent="0.25"/>
    <row r="2804" ht="17.100000000000001" customHeight="1" x14ac:dyDescent="0.25"/>
    <row r="2805" ht="17.100000000000001" customHeight="1" x14ac:dyDescent="0.25"/>
    <row r="2806" ht="17.100000000000001" customHeight="1" x14ac:dyDescent="0.25"/>
    <row r="2807" ht="17.100000000000001" customHeight="1" x14ac:dyDescent="0.25"/>
    <row r="2808" ht="17.100000000000001" customHeight="1" x14ac:dyDescent="0.25"/>
    <row r="2809" ht="17.100000000000001" customHeight="1" x14ac:dyDescent="0.25"/>
    <row r="2810" ht="17.100000000000001" customHeight="1" x14ac:dyDescent="0.25"/>
    <row r="2811" ht="17.100000000000001" customHeight="1" x14ac:dyDescent="0.25"/>
    <row r="2812" ht="17.100000000000001" customHeight="1" x14ac:dyDescent="0.25"/>
    <row r="2813" ht="17.100000000000001" customHeight="1" x14ac:dyDescent="0.25"/>
    <row r="2814" ht="17.100000000000001" customHeight="1" x14ac:dyDescent="0.25"/>
    <row r="2815" ht="17.100000000000001" customHeight="1" x14ac:dyDescent="0.25"/>
    <row r="2816" ht="17.100000000000001" customHeight="1" x14ac:dyDescent="0.25"/>
    <row r="2817" ht="17.100000000000001" customHeight="1" x14ac:dyDescent="0.25"/>
    <row r="2818" ht="17.100000000000001" customHeight="1" x14ac:dyDescent="0.25"/>
    <row r="2819" ht="17.100000000000001" customHeight="1" x14ac:dyDescent="0.25"/>
    <row r="2820" ht="17.100000000000001" customHeight="1" x14ac:dyDescent="0.25"/>
    <row r="2821" ht="17.100000000000001" customHeight="1" x14ac:dyDescent="0.25"/>
    <row r="2822" ht="17.100000000000001" customHeight="1" x14ac:dyDescent="0.25"/>
    <row r="2823" ht="17.100000000000001" customHeight="1" x14ac:dyDescent="0.25"/>
    <row r="2824" ht="17.100000000000001" customHeight="1" x14ac:dyDescent="0.25"/>
    <row r="2825" ht="17.100000000000001" customHeight="1" x14ac:dyDescent="0.25"/>
    <row r="2826" ht="17.100000000000001" customHeight="1" x14ac:dyDescent="0.25"/>
    <row r="2827" ht="17.100000000000001" customHeight="1" x14ac:dyDescent="0.25"/>
    <row r="2828" ht="17.100000000000001" customHeight="1" x14ac:dyDescent="0.25"/>
    <row r="2829" ht="17.100000000000001" customHeight="1" x14ac:dyDescent="0.25"/>
    <row r="2830" ht="17.100000000000001" customHeight="1" x14ac:dyDescent="0.25"/>
    <row r="2831" ht="17.100000000000001" customHeight="1" x14ac:dyDescent="0.25"/>
    <row r="2832" ht="17.100000000000001" customHeight="1" x14ac:dyDescent="0.25"/>
    <row r="2833" ht="17.100000000000001" customHeight="1" x14ac:dyDescent="0.25"/>
    <row r="2834" ht="17.100000000000001" customHeight="1" x14ac:dyDescent="0.25"/>
    <row r="2835" ht="17.100000000000001" customHeight="1" x14ac:dyDescent="0.25"/>
    <row r="2836" ht="17.100000000000001" customHeight="1" x14ac:dyDescent="0.25"/>
    <row r="2837" ht="17.100000000000001" customHeight="1" x14ac:dyDescent="0.25"/>
    <row r="2838" ht="17.100000000000001" customHeight="1" x14ac:dyDescent="0.25"/>
    <row r="2839" ht="17.100000000000001" customHeight="1" x14ac:dyDescent="0.25"/>
    <row r="2840" ht="17.100000000000001" customHeight="1" x14ac:dyDescent="0.25"/>
    <row r="2841" ht="17.100000000000001" customHeight="1" x14ac:dyDescent="0.25"/>
    <row r="2842" ht="17.100000000000001" customHeight="1" x14ac:dyDescent="0.25"/>
    <row r="2843" ht="17.100000000000001" customHeight="1" x14ac:dyDescent="0.25"/>
    <row r="2844" ht="17.100000000000001" customHeight="1" x14ac:dyDescent="0.25"/>
    <row r="2845" ht="17.100000000000001" customHeight="1" x14ac:dyDescent="0.25"/>
    <row r="2846" ht="17.100000000000001" customHeight="1" x14ac:dyDescent="0.25"/>
    <row r="2847" ht="17.100000000000001" customHeight="1" x14ac:dyDescent="0.25"/>
    <row r="2848" ht="17.100000000000001" customHeight="1" x14ac:dyDescent="0.25"/>
    <row r="2849" ht="17.100000000000001" customHeight="1" x14ac:dyDescent="0.25"/>
    <row r="2850" ht="17.100000000000001" customHeight="1" x14ac:dyDescent="0.25"/>
    <row r="2851" ht="17.100000000000001" customHeight="1" x14ac:dyDescent="0.25"/>
    <row r="2852" ht="17.100000000000001" customHeight="1" x14ac:dyDescent="0.25"/>
    <row r="2853" ht="17.100000000000001" customHeight="1" x14ac:dyDescent="0.25"/>
    <row r="2854" ht="17.100000000000001" customHeight="1" x14ac:dyDescent="0.25"/>
    <row r="2855" ht="17.100000000000001" customHeight="1" x14ac:dyDescent="0.25"/>
    <row r="2856" ht="17.100000000000001" customHeight="1" x14ac:dyDescent="0.25"/>
    <row r="2857" ht="17.100000000000001" customHeight="1" x14ac:dyDescent="0.25"/>
    <row r="2858" ht="17.100000000000001" customHeight="1" x14ac:dyDescent="0.25"/>
    <row r="2859" ht="17.100000000000001" customHeight="1" x14ac:dyDescent="0.25"/>
    <row r="2860" ht="17.100000000000001" customHeight="1" x14ac:dyDescent="0.25"/>
    <row r="2861" ht="17.100000000000001" customHeight="1" x14ac:dyDescent="0.25"/>
    <row r="2862" ht="17.100000000000001" customHeight="1" x14ac:dyDescent="0.25"/>
    <row r="2863" ht="17.100000000000001" customHeight="1" x14ac:dyDescent="0.25"/>
    <row r="2864" ht="17.100000000000001" customHeight="1" x14ac:dyDescent="0.25"/>
    <row r="2865" ht="17.100000000000001" customHeight="1" x14ac:dyDescent="0.25"/>
    <row r="2866" ht="17.100000000000001" customHeight="1" x14ac:dyDescent="0.25"/>
    <row r="2867" ht="17.100000000000001" customHeight="1" x14ac:dyDescent="0.25"/>
    <row r="2868" ht="17.100000000000001" customHeight="1" x14ac:dyDescent="0.25"/>
    <row r="2869" ht="17.100000000000001" customHeight="1" x14ac:dyDescent="0.25"/>
    <row r="2870" ht="17.100000000000001" customHeight="1" x14ac:dyDescent="0.25"/>
    <row r="2871" ht="17.100000000000001" customHeight="1" x14ac:dyDescent="0.25"/>
    <row r="2872" ht="17.100000000000001" customHeight="1" x14ac:dyDescent="0.25"/>
    <row r="2873" ht="17.100000000000001" customHeight="1" x14ac:dyDescent="0.25"/>
    <row r="2874" ht="17.100000000000001" customHeight="1" x14ac:dyDescent="0.25"/>
    <row r="2875" ht="17.100000000000001" customHeight="1" x14ac:dyDescent="0.25"/>
    <row r="2876" ht="17.100000000000001" customHeight="1" x14ac:dyDescent="0.25"/>
    <row r="2877" ht="17.100000000000001" customHeight="1" x14ac:dyDescent="0.25"/>
    <row r="2878" ht="17.100000000000001" customHeight="1" x14ac:dyDescent="0.25"/>
    <row r="2879" ht="17.100000000000001" customHeight="1" x14ac:dyDescent="0.25"/>
    <row r="2880" ht="17.100000000000001" customHeight="1" x14ac:dyDescent="0.25"/>
    <row r="2881" ht="17.100000000000001" customHeight="1" x14ac:dyDescent="0.25"/>
    <row r="2882" ht="17.100000000000001" customHeight="1" x14ac:dyDescent="0.25"/>
    <row r="2883" ht="17.100000000000001" customHeight="1" x14ac:dyDescent="0.25"/>
    <row r="2884" ht="17.100000000000001" customHeight="1" x14ac:dyDescent="0.25"/>
    <row r="2885" ht="17.100000000000001" customHeight="1" x14ac:dyDescent="0.25"/>
    <row r="2886" ht="17.100000000000001" customHeight="1" x14ac:dyDescent="0.25"/>
    <row r="2887" ht="17.100000000000001" customHeight="1" x14ac:dyDescent="0.25"/>
    <row r="2888" ht="17.100000000000001" customHeight="1" x14ac:dyDescent="0.25"/>
    <row r="2889" ht="17.100000000000001" customHeight="1" x14ac:dyDescent="0.25"/>
    <row r="2890" ht="17.100000000000001" customHeight="1" x14ac:dyDescent="0.25"/>
    <row r="2891" ht="17.100000000000001" customHeight="1" x14ac:dyDescent="0.25"/>
    <row r="2892" ht="17.100000000000001" customHeight="1" x14ac:dyDescent="0.25"/>
    <row r="2893" ht="17.100000000000001" customHeight="1" x14ac:dyDescent="0.25"/>
    <row r="2894" ht="17.100000000000001" customHeight="1" x14ac:dyDescent="0.25"/>
    <row r="2895" ht="17.100000000000001" customHeight="1" x14ac:dyDescent="0.25"/>
    <row r="2896" ht="17.100000000000001" customHeight="1" x14ac:dyDescent="0.25"/>
    <row r="2897" ht="17.100000000000001" customHeight="1" x14ac:dyDescent="0.25"/>
    <row r="2898" ht="17.100000000000001" customHeight="1" x14ac:dyDescent="0.25"/>
    <row r="2899" ht="17.100000000000001" customHeight="1" x14ac:dyDescent="0.25"/>
    <row r="2900" ht="17.100000000000001" customHeight="1" x14ac:dyDescent="0.25"/>
    <row r="2901" ht="17.100000000000001" customHeight="1" x14ac:dyDescent="0.25"/>
    <row r="2902" ht="17.100000000000001" customHeight="1" x14ac:dyDescent="0.25"/>
    <row r="2903" ht="17.100000000000001" customHeight="1" x14ac:dyDescent="0.25"/>
    <row r="2904" ht="17.100000000000001" customHeight="1" x14ac:dyDescent="0.25"/>
    <row r="2905" ht="17.100000000000001" customHeight="1" x14ac:dyDescent="0.25"/>
    <row r="2906" ht="17.100000000000001" customHeight="1" x14ac:dyDescent="0.25"/>
    <row r="2907" ht="17.100000000000001" customHeight="1" x14ac:dyDescent="0.25"/>
    <row r="2908" ht="17.100000000000001" customHeight="1" x14ac:dyDescent="0.25"/>
    <row r="2909" ht="17.100000000000001" customHeight="1" x14ac:dyDescent="0.25"/>
    <row r="2910" ht="17.100000000000001" customHeight="1" x14ac:dyDescent="0.25"/>
    <row r="2911" ht="17.100000000000001" customHeight="1" x14ac:dyDescent="0.25"/>
    <row r="2912" ht="17.100000000000001" customHeight="1" x14ac:dyDescent="0.25"/>
    <row r="2913" ht="17.100000000000001" customHeight="1" x14ac:dyDescent="0.25"/>
    <row r="2914" ht="17.100000000000001" customHeight="1" x14ac:dyDescent="0.25"/>
    <row r="2915" ht="17.100000000000001" customHeight="1" x14ac:dyDescent="0.25"/>
    <row r="2916" ht="17.100000000000001" customHeight="1" x14ac:dyDescent="0.25"/>
    <row r="2917" ht="17.100000000000001" customHeight="1" x14ac:dyDescent="0.25"/>
    <row r="2918" ht="17.100000000000001" customHeight="1" x14ac:dyDescent="0.25"/>
    <row r="2919" ht="17.100000000000001" customHeight="1" x14ac:dyDescent="0.25"/>
    <row r="2920" ht="17.100000000000001" customHeight="1" x14ac:dyDescent="0.25"/>
    <row r="2921" ht="17.100000000000001" customHeight="1" x14ac:dyDescent="0.25"/>
    <row r="2922" ht="17.100000000000001" customHeight="1" x14ac:dyDescent="0.25"/>
    <row r="2923" ht="17.100000000000001" customHeight="1" x14ac:dyDescent="0.25"/>
    <row r="2924" ht="17.100000000000001" customHeight="1" x14ac:dyDescent="0.25"/>
    <row r="2925" ht="17.100000000000001" customHeight="1" x14ac:dyDescent="0.25"/>
    <row r="2926" ht="17.100000000000001" customHeight="1" x14ac:dyDescent="0.25"/>
    <row r="2927" ht="17.100000000000001" customHeight="1" x14ac:dyDescent="0.25"/>
    <row r="2928" ht="17.100000000000001" customHeight="1" x14ac:dyDescent="0.25"/>
    <row r="2929" ht="17.100000000000001" customHeight="1" x14ac:dyDescent="0.25"/>
    <row r="2930" ht="17.100000000000001" customHeight="1" x14ac:dyDescent="0.25"/>
    <row r="2931" ht="17.100000000000001" customHeight="1" x14ac:dyDescent="0.25"/>
    <row r="2932" ht="17.100000000000001" customHeight="1" x14ac:dyDescent="0.25"/>
    <row r="2933" ht="17.100000000000001" customHeight="1" x14ac:dyDescent="0.25"/>
    <row r="2934" ht="17.100000000000001" customHeight="1" x14ac:dyDescent="0.25"/>
    <row r="2935" ht="17.100000000000001" customHeight="1" x14ac:dyDescent="0.25"/>
    <row r="2936" ht="17.100000000000001" customHeight="1" x14ac:dyDescent="0.25"/>
    <row r="2937" ht="17.100000000000001" customHeight="1" x14ac:dyDescent="0.25"/>
    <row r="2938" ht="17.100000000000001" customHeight="1" x14ac:dyDescent="0.25"/>
    <row r="2939" ht="17.100000000000001" customHeight="1" x14ac:dyDescent="0.25"/>
    <row r="2940" ht="17.100000000000001" customHeight="1" x14ac:dyDescent="0.25"/>
    <row r="2941" ht="17.100000000000001" customHeight="1" x14ac:dyDescent="0.25"/>
    <row r="2942" ht="17.100000000000001" customHeight="1" x14ac:dyDescent="0.25"/>
    <row r="2943" ht="17.100000000000001" customHeight="1" x14ac:dyDescent="0.25"/>
    <row r="2944" ht="17.100000000000001" customHeight="1" x14ac:dyDescent="0.25"/>
    <row r="2945" ht="17.100000000000001" customHeight="1" x14ac:dyDescent="0.25"/>
    <row r="2946" ht="17.100000000000001" customHeight="1" x14ac:dyDescent="0.25"/>
    <row r="2947" ht="17.100000000000001" customHeight="1" x14ac:dyDescent="0.25"/>
    <row r="2948" ht="17.100000000000001" customHeight="1" x14ac:dyDescent="0.25"/>
    <row r="2949" ht="17.100000000000001" customHeight="1" x14ac:dyDescent="0.25"/>
    <row r="2950" ht="17.100000000000001" customHeight="1" x14ac:dyDescent="0.25"/>
    <row r="2951" ht="17.100000000000001" customHeight="1" x14ac:dyDescent="0.25"/>
    <row r="2952" ht="17.100000000000001" customHeight="1" x14ac:dyDescent="0.25"/>
    <row r="2953" ht="17.100000000000001" customHeight="1" x14ac:dyDescent="0.25"/>
    <row r="2954" ht="17.100000000000001" customHeight="1" x14ac:dyDescent="0.25"/>
    <row r="2955" ht="17.100000000000001" customHeight="1" x14ac:dyDescent="0.25"/>
    <row r="2956" ht="17.100000000000001" customHeight="1" x14ac:dyDescent="0.25"/>
    <row r="2957" ht="17.100000000000001" customHeight="1" x14ac:dyDescent="0.25"/>
    <row r="2958" ht="17.100000000000001" customHeight="1" x14ac:dyDescent="0.25"/>
    <row r="2959" ht="17.100000000000001" customHeight="1" x14ac:dyDescent="0.25"/>
    <row r="2960" ht="17.100000000000001" customHeight="1" x14ac:dyDescent="0.25"/>
    <row r="2961" ht="17.100000000000001" customHeight="1" x14ac:dyDescent="0.25"/>
    <row r="2962" ht="17.100000000000001" customHeight="1" x14ac:dyDescent="0.25"/>
    <row r="2963" ht="17.100000000000001" customHeight="1" x14ac:dyDescent="0.25"/>
    <row r="2964" ht="17.100000000000001" customHeight="1" x14ac:dyDescent="0.25"/>
    <row r="2965" ht="17.100000000000001" customHeight="1" x14ac:dyDescent="0.25"/>
    <row r="2966" ht="17.100000000000001" customHeight="1" x14ac:dyDescent="0.25"/>
    <row r="2967" ht="17.100000000000001" customHeight="1" x14ac:dyDescent="0.25"/>
    <row r="2968" ht="17.100000000000001" customHeight="1" x14ac:dyDescent="0.25"/>
    <row r="2969" ht="17.100000000000001" customHeight="1" x14ac:dyDescent="0.25"/>
    <row r="2970" ht="17.100000000000001" customHeight="1" x14ac:dyDescent="0.25"/>
    <row r="2971" ht="17.100000000000001" customHeight="1" x14ac:dyDescent="0.25"/>
    <row r="2972" ht="17.100000000000001" customHeight="1" x14ac:dyDescent="0.25"/>
    <row r="2973" ht="17.100000000000001" customHeight="1" x14ac:dyDescent="0.25"/>
    <row r="2974" ht="17.100000000000001" customHeight="1" x14ac:dyDescent="0.25"/>
    <row r="2975" ht="17.100000000000001" customHeight="1" x14ac:dyDescent="0.25"/>
    <row r="2976" ht="17.100000000000001" customHeight="1" x14ac:dyDescent="0.25"/>
    <row r="2977" ht="17.100000000000001" customHeight="1" x14ac:dyDescent="0.25"/>
    <row r="2978" ht="17.100000000000001" customHeight="1" x14ac:dyDescent="0.25"/>
    <row r="2979" ht="17.100000000000001" customHeight="1" x14ac:dyDescent="0.25"/>
    <row r="2980" ht="17.100000000000001" customHeight="1" x14ac:dyDescent="0.25"/>
    <row r="2981" ht="17.100000000000001" customHeight="1" x14ac:dyDescent="0.25"/>
    <row r="2982" ht="17.100000000000001" customHeight="1" x14ac:dyDescent="0.25"/>
    <row r="2983" ht="17.100000000000001" customHeight="1" x14ac:dyDescent="0.25"/>
    <row r="2984" ht="17.100000000000001" customHeight="1" x14ac:dyDescent="0.25"/>
    <row r="2985" ht="17.100000000000001" customHeight="1" x14ac:dyDescent="0.25"/>
    <row r="2986" ht="17.100000000000001" customHeight="1" x14ac:dyDescent="0.25"/>
    <row r="2987" ht="17.100000000000001" customHeight="1" x14ac:dyDescent="0.25"/>
    <row r="2988" ht="17.100000000000001" customHeight="1" x14ac:dyDescent="0.25"/>
    <row r="2989" ht="17.100000000000001" customHeight="1" x14ac:dyDescent="0.25"/>
    <row r="2990" ht="17.100000000000001" customHeight="1" x14ac:dyDescent="0.25"/>
    <row r="2991" ht="17.100000000000001" customHeight="1" x14ac:dyDescent="0.25"/>
    <row r="2992" ht="17.100000000000001" customHeight="1" x14ac:dyDescent="0.25"/>
    <row r="2993" ht="17.100000000000001" customHeight="1" x14ac:dyDescent="0.25"/>
    <row r="2994" ht="17.100000000000001" customHeight="1" x14ac:dyDescent="0.25"/>
    <row r="2995" ht="17.100000000000001" customHeight="1" x14ac:dyDescent="0.25"/>
    <row r="2996" ht="17.100000000000001" customHeight="1" x14ac:dyDescent="0.25"/>
    <row r="2997" ht="17.100000000000001" customHeight="1" x14ac:dyDescent="0.25"/>
    <row r="2998" ht="17.100000000000001" customHeight="1" x14ac:dyDescent="0.25"/>
    <row r="2999" ht="17.100000000000001" customHeight="1" x14ac:dyDescent="0.25"/>
    <row r="3000" ht="17.100000000000001" customHeight="1" x14ac:dyDescent="0.25"/>
    <row r="3001" ht="17.100000000000001" customHeight="1" x14ac:dyDescent="0.25"/>
    <row r="3002" ht="17.100000000000001" customHeight="1" x14ac:dyDescent="0.25"/>
    <row r="3003" ht="17.100000000000001" customHeight="1" x14ac:dyDescent="0.25"/>
    <row r="3004" ht="17.100000000000001" customHeight="1" x14ac:dyDescent="0.25"/>
    <row r="3005" ht="17.100000000000001" customHeight="1" x14ac:dyDescent="0.25"/>
    <row r="3006" ht="17.100000000000001" customHeight="1" x14ac:dyDescent="0.25"/>
    <row r="3007" ht="17.100000000000001" customHeight="1" x14ac:dyDescent="0.25"/>
    <row r="3008" ht="17.100000000000001" customHeight="1" x14ac:dyDescent="0.25"/>
    <row r="3009" ht="17.100000000000001" customHeight="1" x14ac:dyDescent="0.25"/>
    <row r="3010" ht="17.100000000000001" customHeight="1" x14ac:dyDescent="0.25"/>
    <row r="3011" ht="17.100000000000001" customHeight="1" x14ac:dyDescent="0.25"/>
    <row r="3012" ht="17.100000000000001" customHeight="1" x14ac:dyDescent="0.25"/>
    <row r="3013" ht="17.100000000000001" customHeight="1" x14ac:dyDescent="0.25"/>
    <row r="3014" ht="17.100000000000001" customHeight="1" x14ac:dyDescent="0.25"/>
    <row r="3015" ht="17.100000000000001" customHeight="1" x14ac:dyDescent="0.25"/>
    <row r="3016" ht="17.100000000000001" customHeight="1" x14ac:dyDescent="0.25"/>
    <row r="3017" ht="17.100000000000001" customHeight="1" x14ac:dyDescent="0.25"/>
    <row r="3018" ht="17.100000000000001" customHeight="1" x14ac:dyDescent="0.25"/>
    <row r="3019" ht="17.100000000000001" customHeight="1" x14ac:dyDescent="0.25"/>
    <row r="3020" ht="17.100000000000001" customHeight="1" x14ac:dyDescent="0.25"/>
    <row r="3021" ht="17.100000000000001" customHeight="1" x14ac:dyDescent="0.25"/>
    <row r="3022" ht="17.100000000000001" customHeight="1" x14ac:dyDescent="0.25"/>
    <row r="3023" ht="17.100000000000001" customHeight="1" x14ac:dyDescent="0.25"/>
    <row r="3024" ht="17.100000000000001" customHeight="1" x14ac:dyDescent="0.25"/>
    <row r="3025" ht="17.100000000000001" customHeight="1" x14ac:dyDescent="0.25"/>
    <row r="3026" ht="17.100000000000001" customHeight="1" x14ac:dyDescent="0.25"/>
    <row r="3027" ht="17.100000000000001" customHeight="1" x14ac:dyDescent="0.25"/>
    <row r="3028" ht="17.100000000000001" customHeight="1" x14ac:dyDescent="0.25"/>
    <row r="3029" ht="17.100000000000001" customHeight="1" x14ac:dyDescent="0.25"/>
    <row r="3030" ht="17.100000000000001" customHeight="1" x14ac:dyDescent="0.25"/>
    <row r="3031" ht="17.100000000000001" customHeight="1" x14ac:dyDescent="0.25"/>
    <row r="3032" ht="17.100000000000001" customHeight="1" x14ac:dyDescent="0.25"/>
    <row r="3033" ht="17.100000000000001" customHeight="1" x14ac:dyDescent="0.25"/>
    <row r="3034" ht="17.100000000000001" customHeight="1" x14ac:dyDescent="0.25"/>
    <row r="3035" ht="17.100000000000001" customHeight="1" x14ac:dyDescent="0.25"/>
    <row r="3036" ht="17.100000000000001" customHeight="1" x14ac:dyDescent="0.25"/>
    <row r="3037" ht="17.100000000000001" customHeight="1" x14ac:dyDescent="0.25"/>
    <row r="3038" ht="17.100000000000001" customHeight="1" x14ac:dyDescent="0.25"/>
    <row r="3039" ht="17.100000000000001" customHeight="1" x14ac:dyDescent="0.25"/>
    <row r="3040" ht="17.100000000000001" customHeight="1" x14ac:dyDescent="0.25"/>
    <row r="3041" ht="17.100000000000001" customHeight="1" x14ac:dyDescent="0.25"/>
    <row r="3042" ht="17.100000000000001" customHeight="1" x14ac:dyDescent="0.25"/>
    <row r="3043" ht="17.100000000000001" customHeight="1" x14ac:dyDescent="0.25"/>
    <row r="3044" ht="17.100000000000001" customHeight="1" x14ac:dyDescent="0.25"/>
    <row r="3045" ht="17.100000000000001" customHeight="1" x14ac:dyDescent="0.25"/>
    <row r="3046" ht="17.100000000000001" customHeight="1" x14ac:dyDescent="0.25"/>
    <row r="3047" ht="17.100000000000001" customHeight="1" x14ac:dyDescent="0.25"/>
    <row r="3048" ht="17.100000000000001" customHeight="1" x14ac:dyDescent="0.25"/>
    <row r="3049" ht="17.100000000000001" customHeight="1" x14ac:dyDescent="0.25"/>
    <row r="3050" ht="17.100000000000001" customHeight="1" x14ac:dyDescent="0.25"/>
    <row r="3051" ht="17.100000000000001" customHeight="1" x14ac:dyDescent="0.25"/>
    <row r="3052" ht="17.100000000000001" customHeight="1" x14ac:dyDescent="0.25"/>
    <row r="3053" ht="17.100000000000001" customHeight="1" x14ac:dyDescent="0.25"/>
    <row r="3054" ht="17.100000000000001" customHeight="1" x14ac:dyDescent="0.25"/>
    <row r="3055" ht="17.100000000000001" customHeight="1" x14ac:dyDescent="0.25"/>
    <row r="3056" ht="17.100000000000001" customHeight="1" x14ac:dyDescent="0.25"/>
    <row r="3057" ht="17.100000000000001" customHeight="1" x14ac:dyDescent="0.25"/>
    <row r="3058" ht="17.100000000000001" customHeight="1" x14ac:dyDescent="0.25"/>
    <row r="3059" ht="17.100000000000001" customHeight="1" x14ac:dyDescent="0.25"/>
    <row r="3060" ht="17.100000000000001" customHeight="1" x14ac:dyDescent="0.25"/>
    <row r="3061" ht="17.100000000000001" customHeight="1" x14ac:dyDescent="0.25"/>
    <row r="3062" ht="17.100000000000001" customHeight="1" x14ac:dyDescent="0.25"/>
    <row r="3063" ht="17.100000000000001" customHeight="1" x14ac:dyDescent="0.25"/>
    <row r="3064" ht="17.100000000000001" customHeight="1" x14ac:dyDescent="0.25"/>
    <row r="3065" ht="17.100000000000001" customHeight="1" x14ac:dyDescent="0.25"/>
    <row r="3066" ht="17.100000000000001" customHeight="1" x14ac:dyDescent="0.25"/>
    <row r="3067" ht="17.100000000000001" customHeight="1" x14ac:dyDescent="0.25"/>
    <row r="3068" ht="17.100000000000001" customHeight="1" x14ac:dyDescent="0.25"/>
    <row r="3069" ht="17.100000000000001" customHeight="1" x14ac:dyDescent="0.25"/>
    <row r="3070" ht="17.100000000000001" customHeight="1" x14ac:dyDescent="0.25"/>
    <row r="3071" ht="17.100000000000001" customHeight="1" x14ac:dyDescent="0.25"/>
    <row r="3072" ht="17.100000000000001" customHeight="1" x14ac:dyDescent="0.25"/>
    <row r="3073" ht="17.100000000000001" customHeight="1" x14ac:dyDescent="0.25"/>
    <row r="3074" ht="17.100000000000001" customHeight="1" x14ac:dyDescent="0.25"/>
    <row r="3075" ht="17.100000000000001" customHeight="1" x14ac:dyDescent="0.25"/>
    <row r="3076" ht="17.100000000000001" customHeight="1" x14ac:dyDescent="0.25"/>
    <row r="3077" ht="17.100000000000001" customHeight="1" x14ac:dyDescent="0.25"/>
    <row r="3078" ht="17.100000000000001" customHeight="1" x14ac:dyDescent="0.25"/>
    <row r="3079" ht="17.100000000000001" customHeight="1" x14ac:dyDescent="0.25"/>
    <row r="3080" ht="17.100000000000001" customHeight="1" x14ac:dyDescent="0.25"/>
    <row r="3081" ht="17.100000000000001" customHeight="1" x14ac:dyDescent="0.25"/>
    <row r="3082" ht="17.100000000000001" customHeight="1" x14ac:dyDescent="0.25"/>
    <row r="3083" ht="17.100000000000001" customHeight="1" x14ac:dyDescent="0.25"/>
    <row r="3084" ht="17.100000000000001" customHeight="1" x14ac:dyDescent="0.25"/>
    <row r="3085" ht="17.100000000000001" customHeight="1" x14ac:dyDescent="0.25"/>
    <row r="3086" ht="17.100000000000001" customHeight="1" x14ac:dyDescent="0.25"/>
    <row r="3087" ht="17.100000000000001" customHeight="1" x14ac:dyDescent="0.25"/>
    <row r="3088" ht="17.100000000000001" customHeight="1" x14ac:dyDescent="0.25"/>
    <row r="3089" ht="17.100000000000001" customHeight="1" x14ac:dyDescent="0.25"/>
    <row r="3090" ht="17.100000000000001" customHeight="1" x14ac:dyDescent="0.25"/>
    <row r="3091" ht="17.100000000000001" customHeight="1" x14ac:dyDescent="0.25"/>
    <row r="3092" ht="17.100000000000001" customHeight="1" x14ac:dyDescent="0.25"/>
    <row r="3093" ht="17.100000000000001" customHeight="1" x14ac:dyDescent="0.25"/>
    <row r="3094" ht="17.100000000000001" customHeight="1" x14ac:dyDescent="0.25"/>
    <row r="3095" ht="17.100000000000001" customHeight="1" x14ac:dyDescent="0.25"/>
    <row r="3096" ht="17.100000000000001" customHeight="1" x14ac:dyDescent="0.25"/>
    <row r="3097" ht="17.100000000000001" customHeight="1" x14ac:dyDescent="0.25"/>
    <row r="3098" ht="17.100000000000001" customHeight="1" x14ac:dyDescent="0.25"/>
    <row r="3099" ht="17.100000000000001" customHeight="1" x14ac:dyDescent="0.25"/>
    <row r="3100" ht="17.100000000000001" customHeight="1" x14ac:dyDescent="0.25"/>
    <row r="3101" ht="17.100000000000001" customHeight="1" x14ac:dyDescent="0.25"/>
    <row r="3102" ht="17.100000000000001" customHeight="1" x14ac:dyDescent="0.25"/>
    <row r="3103" ht="17.100000000000001" customHeight="1" x14ac:dyDescent="0.25"/>
    <row r="3104" ht="17.100000000000001" customHeight="1" x14ac:dyDescent="0.25"/>
    <row r="3105" ht="17.100000000000001" customHeight="1" x14ac:dyDescent="0.25"/>
    <row r="3106" ht="17.100000000000001" customHeight="1" x14ac:dyDescent="0.25"/>
    <row r="3107" ht="17.100000000000001" customHeight="1" x14ac:dyDescent="0.25"/>
    <row r="3108" ht="17.100000000000001" customHeight="1" x14ac:dyDescent="0.25"/>
    <row r="3109" ht="17.100000000000001" customHeight="1" x14ac:dyDescent="0.25"/>
    <row r="3110" ht="17.100000000000001" customHeight="1" x14ac:dyDescent="0.25"/>
    <row r="3111" ht="17.100000000000001" customHeight="1" x14ac:dyDescent="0.25"/>
    <row r="3112" ht="17.100000000000001" customHeight="1" x14ac:dyDescent="0.25"/>
    <row r="3113" ht="17.100000000000001" customHeight="1" x14ac:dyDescent="0.25"/>
    <row r="3114" ht="17.100000000000001" customHeight="1" x14ac:dyDescent="0.25"/>
    <row r="3115" ht="17.100000000000001" customHeight="1" x14ac:dyDescent="0.25"/>
    <row r="3116" ht="17.100000000000001" customHeight="1" x14ac:dyDescent="0.25"/>
    <row r="3117" ht="17.100000000000001" customHeight="1" x14ac:dyDescent="0.25"/>
    <row r="3118" ht="17.100000000000001" customHeight="1" x14ac:dyDescent="0.25"/>
    <row r="3119" ht="17.100000000000001" customHeight="1" x14ac:dyDescent="0.25"/>
    <row r="3120" ht="17.100000000000001" customHeight="1" x14ac:dyDescent="0.25"/>
    <row r="3121" ht="17.100000000000001" customHeight="1" x14ac:dyDescent="0.25"/>
    <row r="3122" ht="17.100000000000001" customHeight="1" x14ac:dyDescent="0.25"/>
    <row r="3123" ht="17.100000000000001" customHeight="1" x14ac:dyDescent="0.25"/>
    <row r="3124" ht="17.100000000000001" customHeight="1" x14ac:dyDescent="0.25"/>
    <row r="3125" ht="17.100000000000001" customHeight="1" x14ac:dyDescent="0.25"/>
    <row r="3126" ht="17.100000000000001" customHeight="1" x14ac:dyDescent="0.25"/>
    <row r="3127" ht="17.100000000000001" customHeight="1" x14ac:dyDescent="0.25"/>
    <row r="3128" ht="17.100000000000001" customHeight="1" x14ac:dyDescent="0.25"/>
    <row r="3129" ht="17.100000000000001" customHeight="1" x14ac:dyDescent="0.25"/>
    <row r="3130" ht="17.100000000000001" customHeight="1" x14ac:dyDescent="0.25"/>
    <row r="3131" ht="17.100000000000001" customHeight="1" x14ac:dyDescent="0.25"/>
    <row r="3132" ht="17.100000000000001" customHeight="1" x14ac:dyDescent="0.25"/>
    <row r="3133" ht="17.100000000000001" customHeight="1" x14ac:dyDescent="0.25"/>
    <row r="3134" ht="17.100000000000001" customHeight="1" x14ac:dyDescent="0.25"/>
    <row r="3135" ht="17.100000000000001" customHeight="1" x14ac:dyDescent="0.25"/>
    <row r="3136" ht="17.100000000000001" customHeight="1" x14ac:dyDescent="0.25"/>
    <row r="3137" ht="17.100000000000001" customHeight="1" x14ac:dyDescent="0.25"/>
    <row r="3138" ht="17.100000000000001" customHeight="1" x14ac:dyDescent="0.25"/>
    <row r="3139" ht="17.100000000000001" customHeight="1" x14ac:dyDescent="0.25"/>
    <row r="3140" ht="17.100000000000001" customHeight="1" x14ac:dyDescent="0.25"/>
    <row r="3141" ht="17.100000000000001" customHeight="1" x14ac:dyDescent="0.25"/>
    <row r="3142" ht="17.100000000000001" customHeight="1" x14ac:dyDescent="0.25"/>
    <row r="3143" ht="17.100000000000001" customHeight="1" x14ac:dyDescent="0.25"/>
    <row r="3144" ht="17.100000000000001" customHeight="1" x14ac:dyDescent="0.25"/>
    <row r="3145" ht="17.100000000000001" customHeight="1" x14ac:dyDescent="0.25"/>
    <row r="3146" ht="17.100000000000001" customHeight="1" x14ac:dyDescent="0.25"/>
    <row r="3147" ht="17.100000000000001" customHeight="1" x14ac:dyDescent="0.25"/>
    <row r="3148" ht="17.100000000000001" customHeight="1" x14ac:dyDescent="0.25"/>
    <row r="3149" ht="17.100000000000001" customHeight="1" x14ac:dyDescent="0.25"/>
    <row r="3150" ht="17.100000000000001" customHeight="1" x14ac:dyDescent="0.25"/>
    <row r="3151" ht="17.100000000000001" customHeight="1" x14ac:dyDescent="0.25"/>
    <row r="3152" ht="17.100000000000001" customHeight="1" x14ac:dyDescent="0.25"/>
    <row r="3153" ht="17.100000000000001" customHeight="1" x14ac:dyDescent="0.25"/>
    <row r="3154" ht="17.100000000000001" customHeight="1" x14ac:dyDescent="0.25"/>
    <row r="3155" ht="17.100000000000001" customHeight="1" x14ac:dyDescent="0.25"/>
    <row r="3156" ht="17.100000000000001" customHeight="1" x14ac:dyDescent="0.25"/>
    <row r="3157" ht="17.100000000000001" customHeight="1" x14ac:dyDescent="0.25"/>
    <row r="3158" ht="17.100000000000001" customHeight="1" x14ac:dyDescent="0.25"/>
    <row r="3159" ht="17.100000000000001" customHeight="1" x14ac:dyDescent="0.25"/>
    <row r="3160" ht="17.100000000000001" customHeight="1" x14ac:dyDescent="0.25"/>
    <row r="3161" ht="17.100000000000001" customHeight="1" x14ac:dyDescent="0.25"/>
    <row r="3162" ht="17.100000000000001" customHeight="1" x14ac:dyDescent="0.25"/>
    <row r="3163" ht="17.100000000000001" customHeight="1" x14ac:dyDescent="0.25"/>
    <row r="3164" ht="17.100000000000001" customHeight="1" x14ac:dyDescent="0.25"/>
    <row r="3165" ht="17.100000000000001" customHeight="1" x14ac:dyDescent="0.25"/>
    <row r="3166" ht="17.100000000000001" customHeight="1" x14ac:dyDescent="0.25"/>
    <row r="3167" ht="17.100000000000001" customHeight="1" x14ac:dyDescent="0.25"/>
    <row r="3168" ht="17.100000000000001" customHeight="1" x14ac:dyDescent="0.25"/>
    <row r="3169" ht="17.100000000000001" customHeight="1" x14ac:dyDescent="0.25"/>
    <row r="3170" ht="17.100000000000001" customHeight="1" x14ac:dyDescent="0.25"/>
    <row r="3171" ht="17.100000000000001" customHeight="1" x14ac:dyDescent="0.25"/>
    <row r="3172" ht="17.100000000000001" customHeight="1" x14ac:dyDescent="0.25"/>
    <row r="3173" ht="17.100000000000001" customHeight="1" x14ac:dyDescent="0.25"/>
    <row r="3174" ht="17.100000000000001" customHeight="1" x14ac:dyDescent="0.25"/>
    <row r="3175" ht="17.100000000000001" customHeight="1" x14ac:dyDescent="0.25"/>
    <row r="3176" ht="17.100000000000001" customHeight="1" x14ac:dyDescent="0.25"/>
    <row r="3177" ht="17.100000000000001" customHeight="1" x14ac:dyDescent="0.25"/>
    <row r="3178" ht="17.100000000000001" customHeight="1" x14ac:dyDescent="0.25"/>
    <row r="3179" ht="17.100000000000001" customHeight="1" x14ac:dyDescent="0.25"/>
    <row r="3180" ht="17.100000000000001" customHeight="1" x14ac:dyDescent="0.25"/>
    <row r="3181" ht="17.100000000000001" customHeight="1" x14ac:dyDescent="0.25"/>
    <row r="3182" ht="17.100000000000001" customHeight="1" x14ac:dyDescent="0.25"/>
    <row r="3183" ht="17.100000000000001" customHeight="1" x14ac:dyDescent="0.25"/>
    <row r="3184" ht="17.100000000000001" customHeight="1" x14ac:dyDescent="0.25"/>
    <row r="3185" ht="17.100000000000001" customHeight="1" x14ac:dyDescent="0.25"/>
    <row r="3186" ht="17.100000000000001" customHeight="1" x14ac:dyDescent="0.25"/>
    <row r="3187" ht="17.100000000000001" customHeight="1" x14ac:dyDescent="0.25"/>
    <row r="3188" ht="17.100000000000001" customHeight="1" x14ac:dyDescent="0.25"/>
    <row r="3189" ht="17.100000000000001" customHeight="1" x14ac:dyDescent="0.25"/>
    <row r="3190" ht="17.100000000000001" customHeight="1" x14ac:dyDescent="0.25"/>
    <row r="3191" ht="17.100000000000001" customHeight="1" x14ac:dyDescent="0.25"/>
    <row r="3192" ht="17.100000000000001" customHeight="1" x14ac:dyDescent="0.25"/>
    <row r="3193" ht="17.100000000000001" customHeight="1" x14ac:dyDescent="0.25"/>
    <row r="3194" ht="17.100000000000001" customHeight="1" x14ac:dyDescent="0.25"/>
    <row r="3195" ht="17.100000000000001" customHeight="1" x14ac:dyDescent="0.25"/>
    <row r="3196" ht="17.100000000000001" customHeight="1" x14ac:dyDescent="0.25"/>
    <row r="3197" ht="17.100000000000001" customHeight="1" x14ac:dyDescent="0.25"/>
    <row r="3198" ht="17.100000000000001" customHeight="1" x14ac:dyDescent="0.25"/>
    <row r="3199" ht="17.100000000000001" customHeight="1" x14ac:dyDescent="0.25"/>
    <row r="3200" ht="17.100000000000001" customHeight="1" x14ac:dyDescent="0.25"/>
    <row r="3201" ht="17.100000000000001" customHeight="1" x14ac:dyDescent="0.25"/>
    <row r="3202" ht="17.100000000000001" customHeight="1" x14ac:dyDescent="0.25"/>
    <row r="3203" ht="17.100000000000001" customHeight="1" x14ac:dyDescent="0.25"/>
    <row r="3204" ht="17.100000000000001" customHeight="1" x14ac:dyDescent="0.25"/>
    <row r="3205" ht="17.100000000000001" customHeight="1" x14ac:dyDescent="0.25"/>
    <row r="3206" ht="17.100000000000001" customHeight="1" x14ac:dyDescent="0.25"/>
    <row r="3207" ht="17.100000000000001" customHeight="1" x14ac:dyDescent="0.25"/>
    <row r="3208" ht="17.100000000000001" customHeight="1" x14ac:dyDescent="0.25"/>
    <row r="3209" ht="17.100000000000001" customHeight="1" x14ac:dyDescent="0.25"/>
    <row r="3210" ht="17.100000000000001" customHeight="1" x14ac:dyDescent="0.25"/>
    <row r="3211" ht="17.100000000000001" customHeight="1" x14ac:dyDescent="0.25"/>
    <row r="3212" ht="17.100000000000001" customHeight="1" x14ac:dyDescent="0.25"/>
    <row r="3213" ht="17.100000000000001" customHeight="1" x14ac:dyDescent="0.25"/>
    <row r="3214" ht="17.100000000000001" customHeight="1" x14ac:dyDescent="0.25"/>
    <row r="3215" ht="17.100000000000001" customHeight="1" x14ac:dyDescent="0.25"/>
    <row r="3216" ht="17.100000000000001" customHeight="1" x14ac:dyDescent="0.25"/>
    <row r="3217" ht="17.100000000000001" customHeight="1" x14ac:dyDescent="0.25"/>
    <row r="3218" ht="17.100000000000001" customHeight="1" x14ac:dyDescent="0.25"/>
    <row r="3219" ht="17.100000000000001" customHeight="1" x14ac:dyDescent="0.25"/>
    <row r="3220" ht="17.100000000000001" customHeight="1" x14ac:dyDescent="0.25"/>
    <row r="3221" ht="17.100000000000001" customHeight="1" x14ac:dyDescent="0.25"/>
    <row r="3222" ht="17.100000000000001" customHeight="1" x14ac:dyDescent="0.25"/>
    <row r="3223" ht="17.100000000000001" customHeight="1" x14ac:dyDescent="0.25"/>
    <row r="3224" ht="17.100000000000001" customHeight="1" x14ac:dyDescent="0.25"/>
    <row r="3225" ht="17.100000000000001" customHeight="1" x14ac:dyDescent="0.25"/>
    <row r="3226" ht="17.100000000000001" customHeight="1" x14ac:dyDescent="0.25"/>
    <row r="3227" ht="17.100000000000001" customHeight="1" x14ac:dyDescent="0.25"/>
    <row r="3228" ht="17.100000000000001" customHeight="1" x14ac:dyDescent="0.25"/>
    <row r="3229" ht="17.100000000000001" customHeight="1" x14ac:dyDescent="0.25"/>
    <row r="3230" ht="17.100000000000001" customHeight="1" x14ac:dyDescent="0.25"/>
    <row r="3231" ht="17.100000000000001" customHeight="1" x14ac:dyDescent="0.25"/>
    <row r="3232" ht="17.100000000000001" customHeight="1" x14ac:dyDescent="0.25"/>
    <row r="3233" ht="17.100000000000001" customHeight="1" x14ac:dyDescent="0.25"/>
    <row r="3234" ht="17.100000000000001" customHeight="1" x14ac:dyDescent="0.25"/>
    <row r="3235" ht="17.100000000000001" customHeight="1" x14ac:dyDescent="0.25"/>
    <row r="3236" ht="17.100000000000001" customHeight="1" x14ac:dyDescent="0.25"/>
    <row r="3237" ht="17.100000000000001" customHeight="1" x14ac:dyDescent="0.25"/>
    <row r="3238" ht="17.100000000000001" customHeight="1" x14ac:dyDescent="0.25"/>
    <row r="3239" ht="17.100000000000001" customHeight="1" x14ac:dyDescent="0.25"/>
    <row r="3240" ht="17.100000000000001" customHeight="1" x14ac:dyDescent="0.25"/>
    <row r="3241" ht="17.100000000000001" customHeight="1" x14ac:dyDescent="0.25"/>
    <row r="3242" ht="17.100000000000001" customHeight="1" x14ac:dyDescent="0.25"/>
    <row r="3243" ht="17.100000000000001" customHeight="1" x14ac:dyDescent="0.25"/>
    <row r="3244" ht="17.100000000000001" customHeight="1" x14ac:dyDescent="0.25"/>
    <row r="3245" ht="17.100000000000001" customHeight="1" x14ac:dyDescent="0.25"/>
    <row r="3246" ht="17.100000000000001" customHeight="1" x14ac:dyDescent="0.25"/>
    <row r="3247" ht="17.100000000000001" customHeight="1" x14ac:dyDescent="0.25"/>
    <row r="3248" ht="17.100000000000001" customHeight="1" x14ac:dyDescent="0.25"/>
    <row r="3249" ht="17.100000000000001" customHeight="1" x14ac:dyDescent="0.25"/>
    <row r="3250" ht="17.100000000000001" customHeight="1" x14ac:dyDescent="0.25"/>
    <row r="3251" ht="17.100000000000001" customHeight="1" x14ac:dyDescent="0.25"/>
    <row r="3252" ht="17.100000000000001" customHeight="1" x14ac:dyDescent="0.25"/>
    <row r="3253" ht="17.100000000000001" customHeight="1" x14ac:dyDescent="0.25"/>
    <row r="3254" ht="17.100000000000001" customHeight="1" x14ac:dyDescent="0.25"/>
    <row r="3255" ht="17.100000000000001" customHeight="1" x14ac:dyDescent="0.25"/>
    <row r="3256" ht="17.100000000000001" customHeight="1" x14ac:dyDescent="0.25"/>
    <row r="3257" ht="17.100000000000001" customHeight="1" x14ac:dyDescent="0.25"/>
    <row r="3258" ht="17.100000000000001" customHeight="1" x14ac:dyDescent="0.25"/>
    <row r="3259" ht="17.100000000000001" customHeight="1" x14ac:dyDescent="0.25"/>
    <row r="3260" ht="17.100000000000001" customHeight="1" x14ac:dyDescent="0.25"/>
    <row r="3261" ht="17.100000000000001" customHeight="1" x14ac:dyDescent="0.25"/>
    <row r="3262" ht="17.100000000000001" customHeight="1" x14ac:dyDescent="0.25"/>
    <row r="3263" ht="17.100000000000001" customHeight="1" x14ac:dyDescent="0.25"/>
    <row r="3264" ht="17.100000000000001" customHeight="1" x14ac:dyDescent="0.25"/>
    <row r="3265" ht="17.100000000000001" customHeight="1" x14ac:dyDescent="0.25"/>
    <row r="3266" ht="17.100000000000001" customHeight="1" x14ac:dyDescent="0.25"/>
    <row r="3267" ht="17.100000000000001" customHeight="1" x14ac:dyDescent="0.25"/>
    <row r="3268" ht="17.100000000000001" customHeight="1" x14ac:dyDescent="0.25"/>
    <row r="3269" ht="17.100000000000001" customHeight="1" x14ac:dyDescent="0.25"/>
    <row r="3270" ht="17.100000000000001" customHeight="1" x14ac:dyDescent="0.25"/>
    <row r="3271" ht="17.100000000000001" customHeight="1" x14ac:dyDescent="0.25"/>
    <row r="3272" ht="17.100000000000001" customHeight="1" x14ac:dyDescent="0.25"/>
    <row r="3273" ht="17.100000000000001" customHeight="1" x14ac:dyDescent="0.25"/>
    <row r="3274" ht="17.100000000000001" customHeight="1" x14ac:dyDescent="0.25"/>
    <row r="3275" ht="17.100000000000001" customHeight="1" x14ac:dyDescent="0.25"/>
    <row r="3276" ht="17.100000000000001" customHeight="1" x14ac:dyDescent="0.25"/>
    <row r="3277" ht="17.100000000000001" customHeight="1" x14ac:dyDescent="0.25"/>
    <row r="3278" ht="17.100000000000001" customHeight="1" x14ac:dyDescent="0.25"/>
    <row r="3279" ht="17.100000000000001" customHeight="1" x14ac:dyDescent="0.25"/>
    <row r="3280" ht="17.100000000000001" customHeight="1" x14ac:dyDescent="0.25"/>
    <row r="3281" ht="17.100000000000001" customHeight="1" x14ac:dyDescent="0.25"/>
    <row r="3282" ht="17.100000000000001" customHeight="1" x14ac:dyDescent="0.25"/>
    <row r="3283" ht="17.100000000000001" customHeight="1" x14ac:dyDescent="0.25"/>
    <row r="3284" ht="17.100000000000001" customHeight="1" x14ac:dyDescent="0.25"/>
    <row r="3285" ht="17.100000000000001" customHeight="1" x14ac:dyDescent="0.25"/>
    <row r="3286" ht="17.100000000000001" customHeight="1" x14ac:dyDescent="0.25"/>
    <row r="3287" ht="17.100000000000001" customHeight="1" x14ac:dyDescent="0.25"/>
    <row r="3288" ht="17.100000000000001" customHeight="1" x14ac:dyDescent="0.25"/>
    <row r="3289" ht="17.100000000000001" customHeight="1" x14ac:dyDescent="0.25"/>
    <row r="3290" ht="17.100000000000001" customHeight="1" x14ac:dyDescent="0.25"/>
    <row r="3291" ht="17.100000000000001" customHeight="1" x14ac:dyDescent="0.25"/>
    <row r="3292" ht="17.100000000000001" customHeight="1" x14ac:dyDescent="0.25"/>
    <row r="3293" ht="17.100000000000001" customHeight="1" x14ac:dyDescent="0.25"/>
    <row r="3294" ht="17.100000000000001" customHeight="1" x14ac:dyDescent="0.25"/>
    <row r="3295" ht="17.100000000000001" customHeight="1" x14ac:dyDescent="0.25"/>
    <row r="3296" ht="17.100000000000001" customHeight="1" x14ac:dyDescent="0.25"/>
    <row r="3297" ht="17.100000000000001" customHeight="1" x14ac:dyDescent="0.25"/>
    <row r="3298" ht="17.100000000000001" customHeight="1" x14ac:dyDescent="0.25"/>
    <row r="3299" ht="17.100000000000001" customHeight="1" x14ac:dyDescent="0.25"/>
    <row r="3300" ht="17.100000000000001" customHeight="1" x14ac:dyDescent="0.25"/>
    <row r="3301" ht="17.100000000000001" customHeight="1" x14ac:dyDescent="0.25"/>
    <row r="3302" ht="17.100000000000001" customHeight="1" x14ac:dyDescent="0.25"/>
    <row r="3303" ht="17.100000000000001" customHeight="1" x14ac:dyDescent="0.25"/>
    <row r="3304" ht="17.100000000000001" customHeight="1" x14ac:dyDescent="0.25"/>
    <row r="3305" ht="17.100000000000001" customHeight="1" x14ac:dyDescent="0.25"/>
    <row r="3306" ht="17.100000000000001" customHeight="1" x14ac:dyDescent="0.25"/>
    <row r="3307" ht="17.100000000000001" customHeight="1" x14ac:dyDescent="0.25"/>
    <row r="3308" ht="17.100000000000001" customHeight="1" x14ac:dyDescent="0.25"/>
    <row r="3309" ht="17.100000000000001" customHeight="1" x14ac:dyDescent="0.25"/>
    <row r="3310" ht="17.100000000000001" customHeight="1" x14ac:dyDescent="0.25"/>
    <row r="3311" ht="17.100000000000001" customHeight="1" x14ac:dyDescent="0.25"/>
    <row r="3312" ht="17.100000000000001" customHeight="1" x14ac:dyDescent="0.25"/>
    <row r="3313" ht="17.100000000000001" customHeight="1" x14ac:dyDescent="0.25"/>
    <row r="3314" ht="17.100000000000001" customHeight="1" x14ac:dyDescent="0.25"/>
    <row r="3315" ht="17.100000000000001" customHeight="1" x14ac:dyDescent="0.25"/>
    <row r="3316" ht="17.100000000000001" customHeight="1" x14ac:dyDescent="0.25"/>
    <row r="3317" ht="17.100000000000001" customHeight="1" x14ac:dyDescent="0.25"/>
    <row r="3318" ht="17.100000000000001" customHeight="1" x14ac:dyDescent="0.25"/>
    <row r="3319" ht="17.100000000000001" customHeight="1" x14ac:dyDescent="0.25"/>
    <row r="3320" ht="17.100000000000001" customHeight="1" x14ac:dyDescent="0.25"/>
    <row r="3321" ht="17.100000000000001" customHeight="1" x14ac:dyDescent="0.25"/>
    <row r="3322" ht="17.100000000000001" customHeight="1" x14ac:dyDescent="0.25"/>
    <row r="3323" ht="17.100000000000001" customHeight="1" x14ac:dyDescent="0.25"/>
    <row r="3324" ht="17.100000000000001" customHeight="1" x14ac:dyDescent="0.25"/>
    <row r="3325" ht="17.100000000000001" customHeight="1" x14ac:dyDescent="0.25"/>
    <row r="3326" ht="17.100000000000001" customHeight="1" x14ac:dyDescent="0.25"/>
    <row r="3327" ht="17.100000000000001" customHeight="1" x14ac:dyDescent="0.25"/>
    <row r="3328" ht="17.100000000000001" customHeight="1" x14ac:dyDescent="0.25"/>
    <row r="3329" ht="17.100000000000001" customHeight="1" x14ac:dyDescent="0.25"/>
    <row r="3330" ht="17.100000000000001" customHeight="1" x14ac:dyDescent="0.25"/>
    <row r="3331" ht="17.100000000000001" customHeight="1" x14ac:dyDescent="0.25"/>
    <row r="3332" ht="17.100000000000001" customHeight="1" x14ac:dyDescent="0.25"/>
    <row r="3333" ht="17.100000000000001" customHeight="1" x14ac:dyDescent="0.25"/>
    <row r="3334" ht="17.100000000000001" customHeight="1" x14ac:dyDescent="0.25"/>
    <row r="3335" ht="17.100000000000001" customHeight="1" x14ac:dyDescent="0.25"/>
    <row r="3336" ht="17.100000000000001" customHeight="1" x14ac:dyDescent="0.25"/>
    <row r="3337" ht="17.100000000000001" customHeight="1" x14ac:dyDescent="0.25"/>
    <row r="3338" ht="17.100000000000001" customHeight="1" x14ac:dyDescent="0.25"/>
    <row r="3339" ht="17.100000000000001" customHeight="1" x14ac:dyDescent="0.25"/>
    <row r="3340" ht="17.100000000000001" customHeight="1" x14ac:dyDescent="0.25"/>
    <row r="3341" ht="17.100000000000001" customHeight="1" x14ac:dyDescent="0.25"/>
    <row r="3342" ht="17.100000000000001" customHeight="1" x14ac:dyDescent="0.25"/>
    <row r="3343" ht="17.100000000000001" customHeight="1" x14ac:dyDescent="0.25"/>
    <row r="3344" ht="17.100000000000001" customHeight="1" x14ac:dyDescent="0.25"/>
    <row r="3345" ht="17.100000000000001" customHeight="1" x14ac:dyDescent="0.25"/>
    <row r="3346" ht="17.100000000000001" customHeight="1" x14ac:dyDescent="0.25"/>
    <row r="3347" ht="17.100000000000001" customHeight="1" x14ac:dyDescent="0.25"/>
    <row r="3348" ht="17.100000000000001" customHeight="1" x14ac:dyDescent="0.25"/>
    <row r="3349" ht="17.100000000000001" customHeight="1" x14ac:dyDescent="0.25"/>
    <row r="3350" ht="17.100000000000001" customHeight="1" x14ac:dyDescent="0.25"/>
    <row r="3351" ht="17.100000000000001" customHeight="1" x14ac:dyDescent="0.25"/>
    <row r="3352" ht="17.100000000000001" customHeight="1" x14ac:dyDescent="0.25"/>
    <row r="3353" ht="17.100000000000001" customHeight="1" x14ac:dyDescent="0.25"/>
    <row r="3354" ht="17.100000000000001" customHeight="1" x14ac:dyDescent="0.25"/>
    <row r="3355" ht="17.100000000000001" customHeight="1" x14ac:dyDescent="0.25"/>
    <row r="3356" ht="17.100000000000001" customHeight="1" x14ac:dyDescent="0.25"/>
    <row r="3357" ht="17.100000000000001" customHeight="1" x14ac:dyDescent="0.25"/>
    <row r="3358" ht="17.100000000000001" customHeight="1" x14ac:dyDescent="0.25"/>
    <row r="3359" ht="17.100000000000001" customHeight="1" x14ac:dyDescent="0.25"/>
    <row r="3360" ht="17.100000000000001" customHeight="1" x14ac:dyDescent="0.25"/>
    <row r="3361" ht="17.100000000000001" customHeight="1" x14ac:dyDescent="0.25"/>
    <row r="3362" ht="17.100000000000001" customHeight="1" x14ac:dyDescent="0.25"/>
    <row r="3363" ht="17.100000000000001" customHeight="1" x14ac:dyDescent="0.25"/>
    <row r="3364" ht="17.100000000000001" customHeight="1" x14ac:dyDescent="0.25"/>
    <row r="3365" ht="17.100000000000001" customHeight="1" x14ac:dyDescent="0.25"/>
    <row r="3366" ht="17.100000000000001" customHeight="1" x14ac:dyDescent="0.25"/>
    <row r="3367" ht="17.100000000000001" customHeight="1" x14ac:dyDescent="0.25"/>
    <row r="3368" ht="17.100000000000001" customHeight="1" x14ac:dyDescent="0.25"/>
    <row r="3369" ht="17.100000000000001" customHeight="1" x14ac:dyDescent="0.25"/>
    <row r="3370" ht="17.100000000000001" customHeight="1" x14ac:dyDescent="0.25"/>
    <row r="3371" ht="17.100000000000001" customHeight="1" x14ac:dyDescent="0.25"/>
    <row r="3372" ht="17.100000000000001" customHeight="1" x14ac:dyDescent="0.25"/>
    <row r="3373" ht="17.100000000000001" customHeight="1" x14ac:dyDescent="0.25"/>
    <row r="3374" ht="17.100000000000001" customHeight="1" x14ac:dyDescent="0.25"/>
    <row r="3375" ht="17.100000000000001" customHeight="1" x14ac:dyDescent="0.25"/>
    <row r="3376" ht="17.100000000000001" customHeight="1" x14ac:dyDescent="0.25"/>
    <row r="3377" ht="17.100000000000001" customHeight="1" x14ac:dyDescent="0.25"/>
    <row r="3378" ht="17.100000000000001" customHeight="1" x14ac:dyDescent="0.25"/>
    <row r="3379" ht="17.100000000000001" customHeight="1" x14ac:dyDescent="0.25"/>
    <row r="3380" ht="17.100000000000001" customHeight="1" x14ac:dyDescent="0.25"/>
    <row r="3381" ht="17.100000000000001" customHeight="1" x14ac:dyDescent="0.25"/>
    <row r="3382" ht="17.100000000000001" customHeight="1" x14ac:dyDescent="0.25"/>
    <row r="3383" ht="17.100000000000001" customHeight="1" x14ac:dyDescent="0.25"/>
    <row r="3384" ht="17.100000000000001" customHeight="1" x14ac:dyDescent="0.25"/>
    <row r="3385" ht="17.100000000000001" customHeight="1" x14ac:dyDescent="0.25"/>
    <row r="3386" ht="17.100000000000001" customHeight="1" x14ac:dyDescent="0.25"/>
    <row r="3387" ht="17.100000000000001" customHeight="1" x14ac:dyDescent="0.25"/>
    <row r="3388" ht="17.100000000000001" customHeight="1" x14ac:dyDescent="0.25"/>
    <row r="3389" ht="17.100000000000001" customHeight="1" x14ac:dyDescent="0.25"/>
    <row r="3390" ht="17.100000000000001" customHeight="1" x14ac:dyDescent="0.25"/>
    <row r="3391" ht="17.100000000000001" customHeight="1" x14ac:dyDescent="0.25"/>
    <row r="3392" ht="17.100000000000001" customHeight="1" x14ac:dyDescent="0.25"/>
    <row r="3393" ht="17.100000000000001" customHeight="1" x14ac:dyDescent="0.25"/>
    <row r="3394" ht="17.100000000000001" customHeight="1" x14ac:dyDescent="0.25"/>
    <row r="3395" ht="17.100000000000001" customHeight="1" x14ac:dyDescent="0.25"/>
    <row r="3396" ht="17.100000000000001" customHeight="1" x14ac:dyDescent="0.25"/>
    <row r="3397" ht="17.100000000000001" customHeight="1" x14ac:dyDescent="0.25"/>
    <row r="3398" ht="17.100000000000001" customHeight="1" x14ac:dyDescent="0.25"/>
    <row r="3399" ht="17.100000000000001" customHeight="1" x14ac:dyDescent="0.25"/>
    <row r="3400" ht="17.100000000000001" customHeight="1" x14ac:dyDescent="0.25"/>
    <row r="3401" ht="17.100000000000001" customHeight="1" x14ac:dyDescent="0.25"/>
    <row r="3402" ht="17.100000000000001" customHeight="1" x14ac:dyDescent="0.25"/>
    <row r="3403" ht="17.100000000000001" customHeight="1" x14ac:dyDescent="0.25"/>
    <row r="3404" ht="17.100000000000001" customHeight="1" x14ac:dyDescent="0.25"/>
    <row r="3405" ht="17.100000000000001" customHeight="1" x14ac:dyDescent="0.25"/>
    <row r="3406" ht="17.100000000000001" customHeight="1" x14ac:dyDescent="0.25"/>
    <row r="3407" ht="17.100000000000001" customHeight="1" x14ac:dyDescent="0.25"/>
    <row r="3408" ht="17.100000000000001" customHeight="1" x14ac:dyDescent="0.25"/>
    <row r="3409" ht="17.100000000000001" customHeight="1" x14ac:dyDescent="0.25"/>
    <row r="3410" ht="17.100000000000001" customHeight="1" x14ac:dyDescent="0.25"/>
    <row r="3411" ht="17.100000000000001" customHeight="1" x14ac:dyDescent="0.25"/>
    <row r="3412" ht="17.100000000000001" customHeight="1" x14ac:dyDescent="0.25"/>
    <row r="3413" ht="17.100000000000001" customHeight="1" x14ac:dyDescent="0.25"/>
    <row r="3414" ht="17.100000000000001" customHeight="1" x14ac:dyDescent="0.25"/>
    <row r="3415" ht="17.100000000000001" customHeight="1" x14ac:dyDescent="0.25"/>
    <row r="3416" ht="17.100000000000001" customHeight="1" x14ac:dyDescent="0.25"/>
    <row r="3417" ht="17.100000000000001" customHeight="1" x14ac:dyDescent="0.25"/>
    <row r="3418" ht="17.100000000000001" customHeight="1" x14ac:dyDescent="0.25"/>
    <row r="3419" ht="17.100000000000001" customHeight="1" x14ac:dyDescent="0.25"/>
    <row r="3420" ht="17.100000000000001" customHeight="1" x14ac:dyDescent="0.25"/>
    <row r="3421" ht="17.100000000000001" customHeight="1" x14ac:dyDescent="0.25"/>
    <row r="3422" ht="17.100000000000001" customHeight="1" x14ac:dyDescent="0.25"/>
    <row r="3423" ht="17.100000000000001" customHeight="1" x14ac:dyDescent="0.25"/>
    <row r="3424" ht="17.100000000000001" customHeight="1" x14ac:dyDescent="0.25"/>
    <row r="3425" ht="17.100000000000001" customHeight="1" x14ac:dyDescent="0.25"/>
    <row r="3426" ht="17.100000000000001" customHeight="1" x14ac:dyDescent="0.25"/>
    <row r="3427" ht="17.100000000000001" customHeight="1" x14ac:dyDescent="0.25"/>
    <row r="3428" ht="17.100000000000001" customHeight="1" x14ac:dyDescent="0.25"/>
    <row r="3429" ht="17.100000000000001" customHeight="1" x14ac:dyDescent="0.25"/>
    <row r="3430" ht="17.100000000000001" customHeight="1" x14ac:dyDescent="0.25"/>
    <row r="3431" ht="17.100000000000001" customHeight="1" x14ac:dyDescent="0.25"/>
    <row r="3432" ht="17.100000000000001" customHeight="1" x14ac:dyDescent="0.25"/>
    <row r="3433" ht="17.100000000000001" customHeight="1" x14ac:dyDescent="0.25"/>
    <row r="3434" ht="17.100000000000001" customHeight="1" x14ac:dyDescent="0.25"/>
    <row r="3435" ht="17.100000000000001" customHeight="1" x14ac:dyDescent="0.25"/>
    <row r="3436" ht="17.100000000000001" customHeight="1" x14ac:dyDescent="0.25"/>
    <row r="3437" ht="17.100000000000001" customHeight="1" x14ac:dyDescent="0.25"/>
    <row r="3438" ht="17.100000000000001" customHeight="1" x14ac:dyDescent="0.25"/>
    <row r="3439" ht="17.100000000000001" customHeight="1" x14ac:dyDescent="0.25"/>
    <row r="3440" ht="17.100000000000001" customHeight="1" x14ac:dyDescent="0.25"/>
    <row r="3441" ht="17.100000000000001" customHeight="1" x14ac:dyDescent="0.25"/>
    <row r="3442" ht="17.100000000000001" customHeight="1" x14ac:dyDescent="0.25"/>
    <row r="3443" ht="17.100000000000001" customHeight="1" x14ac:dyDescent="0.25"/>
    <row r="3444" ht="17.100000000000001" customHeight="1" x14ac:dyDescent="0.25"/>
    <row r="3445" ht="17.100000000000001" customHeight="1" x14ac:dyDescent="0.25"/>
    <row r="3446" ht="17.100000000000001" customHeight="1" x14ac:dyDescent="0.25"/>
    <row r="3447" ht="17.100000000000001" customHeight="1" x14ac:dyDescent="0.25"/>
    <row r="3448" ht="17.100000000000001" customHeight="1" x14ac:dyDescent="0.25"/>
    <row r="3449" ht="17.100000000000001" customHeight="1" x14ac:dyDescent="0.25"/>
    <row r="3450" ht="17.100000000000001" customHeight="1" x14ac:dyDescent="0.25"/>
    <row r="3451" ht="17.100000000000001" customHeight="1" x14ac:dyDescent="0.25"/>
    <row r="3452" ht="17.100000000000001" customHeight="1" x14ac:dyDescent="0.25"/>
    <row r="3453" ht="17.100000000000001" customHeight="1" x14ac:dyDescent="0.25"/>
    <row r="3454" ht="17.100000000000001" customHeight="1" x14ac:dyDescent="0.25"/>
    <row r="3455" ht="17.100000000000001" customHeight="1" x14ac:dyDescent="0.25"/>
    <row r="3456" ht="17.100000000000001" customHeight="1" x14ac:dyDescent="0.25"/>
    <row r="3457" ht="17.100000000000001" customHeight="1" x14ac:dyDescent="0.25"/>
    <row r="3458" ht="17.100000000000001" customHeight="1" x14ac:dyDescent="0.25"/>
    <row r="3459" ht="17.100000000000001" customHeight="1" x14ac:dyDescent="0.25"/>
    <row r="3460" ht="17.100000000000001" customHeight="1" x14ac:dyDescent="0.25"/>
    <row r="3461" ht="17.100000000000001" customHeight="1" x14ac:dyDescent="0.25"/>
    <row r="3462" ht="17.100000000000001" customHeight="1" x14ac:dyDescent="0.25"/>
    <row r="3463" ht="17.100000000000001" customHeight="1" x14ac:dyDescent="0.25"/>
    <row r="3464" ht="17.100000000000001" customHeight="1" x14ac:dyDescent="0.25"/>
    <row r="3465" ht="17.100000000000001" customHeight="1" x14ac:dyDescent="0.25"/>
    <row r="3466" ht="17.100000000000001" customHeight="1" x14ac:dyDescent="0.25"/>
    <row r="3467" ht="17.100000000000001" customHeight="1" x14ac:dyDescent="0.25"/>
    <row r="3468" ht="17.100000000000001" customHeight="1" x14ac:dyDescent="0.25"/>
    <row r="3469" ht="17.100000000000001" customHeight="1" x14ac:dyDescent="0.25"/>
    <row r="3470" ht="17.100000000000001" customHeight="1" x14ac:dyDescent="0.25"/>
    <row r="3471" ht="17.100000000000001" customHeight="1" x14ac:dyDescent="0.25"/>
    <row r="3472" ht="17.100000000000001" customHeight="1" x14ac:dyDescent="0.25"/>
    <row r="3473" ht="17.100000000000001" customHeight="1" x14ac:dyDescent="0.25"/>
    <row r="3474" ht="17.100000000000001" customHeight="1" x14ac:dyDescent="0.25"/>
    <row r="3475" ht="17.100000000000001" customHeight="1" x14ac:dyDescent="0.25"/>
    <row r="3476" ht="17.100000000000001" customHeight="1" x14ac:dyDescent="0.25"/>
    <row r="3477" ht="17.100000000000001" customHeight="1" x14ac:dyDescent="0.25"/>
    <row r="3478" ht="17.100000000000001" customHeight="1" x14ac:dyDescent="0.25"/>
    <row r="3479" ht="17.100000000000001" customHeight="1" x14ac:dyDescent="0.25"/>
    <row r="3480" ht="17.100000000000001" customHeight="1" x14ac:dyDescent="0.25"/>
    <row r="3481" ht="17.100000000000001" customHeight="1" x14ac:dyDescent="0.25"/>
    <row r="3482" ht="17.100000000000001" customHeight="1" x14ac:dyDescent="0.25"/>
    <row r="3483" ht="17.100000000000001" customHeight="1" x14ac:dyDescent="0.25"/>
    <row r="3484" ht="17.100000000000001" customHeight="1" x14ac:dyDescent="0.25"/>
    <row r="3485" ht="17.100000000000001" customHeight="1" x14ac:dyDescent="0.25"/>
    <row r="3486" ht="17.100000000000001" customHeight="1" x14ac:dyDescent="0.25"/>
    <row r="3487" ht="17.100000000000001" customHeight="1" x14ac:dyDescent="0.25"/>
    <row r="3488" ht="17.100000000000001" customHeight="1" x14ac:dyDescent="0.25"/>
    <row r="3489" ht="17.100000000000001" customHeight="1" x14ac:dyDescent="0.25"/>
    <row r="3490" ht="17.100000000000001" customHeight="1" x14ac:dyDescent="0.25"/>
    <row r="3491" ht="17.100000000000001" customHeight="1" x14ac:dyDescent="0.25"/>
    <row r="3492" ht="17.100000000000001" customHeight="1" x14ac:dyDescent="0.25"/>
    <row r="3493" ht="17.100000000000001" customHeight="1" x14ac:dyDescent="0.25"/>
    <row r="3494" ht="17.100000000000001" customHeight="1" x14ac:dyDescent="0.25"/>
    <row r="3495" ht="17.100000000000001" customHeight="1" x14ac:dyDescent="0.25"/>
    <row r="3496" ht="17.100000000000001" customHeight="1" x14ac:dyDescent="0.25"/>
    <row r="3497" ht="17.100000000000001" customHeight="1" x14ac:dyDescent="0.25"/>
    <row r="3498" ht="17.100000000000001" customHeight="1" x14ac:dyDescent="0.25"/>
    <row r="3499" ht="17.100000000000001" customHeight="1" x14ac:dyDescent="0.25"/>
    <row r="3500" ht="17.100000000000001" customHeight="1" x14ac:dyDescent="0.25"/>
    <row r="3501" ht="17.100000000000001" customHeight="1" x14ac:dyDescent="0.25"/>
    <row r="3502" ht="17.100000000000001" customHeight="1" x14ac:dyDescent="0.25"/>
    <row r="3503" ht="17.100000000000001" customHeight="1" x14ac:dyDescent="0.25"/>
    <row r="3504" ht="17.100000000000001" customHeight="1" x14ac:dyDescent="0.25"/>
    <row r="3505" ht="17.100000000000001" customHeight="1" x14ac:dyDescent="0.25"/>
    <row r="3506" ht="17.100000000000001" customHeight="1" x14ac:dyDescent="0.25"/>
    <row r="3507" ht="17.100000000000001" customHeight="1" x14ac:dyDescent="0.25"/>
    <row r="3508" ht="17.100000000000001" customHeight="1" x14ac:dyDescent="0.25"/>
    <row r="3509" ht="17.100000000000001" customHeight="1" x14ac:dyDescent="0.25"/>
    <row r="3510" ht="17.100000000000001" customHeight="1" x14ac:dyDescent="0.25"/>
    <row r="3511" ht="17.100000000000001" customHeight="1" x14ac:dyDescent="0.25"/>
    <row r="3512" ht="17.100000000000001" customHeight="1" x14ac:dyDescent="0.25"/>
    <row r="3513" ht="17.100000000000001" customHeight="1" x14ac:dyDescent="0.25"/>
    <row r="3514" ht="17.100000000000001" customHeight="1" x14ac:dyDescent="0.25"/>
    <row r="3515" ht="17.100000000000001" customHeight="1" x14ac:dyDescent="0.25"/>
    <row r="3516" ht="17.100000000000001" customHeight="1" x14ac:dyDescent="0.25"/>
    <row r="3517" ht="17.100000000000001" customHeight="1" x14ac:dyDescent="0.25"/>
    <row r="3518" ht="17.100000000000001" customHeight="1" x14ac:dyDescent="0.25"/>
    <row r="3519" ht="17.100000000000001" customHeight="1" x14ac:dyDescent="0.25"/>
    <row r="3520" ht="17.100000000000001" customHeight="1" x14ac:dyDescent="0.25"/>
    <row r="3521" ht="17.100000000000001" customHeight="1" x14ac:dyDescent="0.25"/>
    <row r="3522" ht="17.100000000000001" customHeight="1" x14ac:dyDescent="0.25"/>
    <row r="3523" ht="17.100000000000001" customHeight="1" x14ac:dyDescent="0.25"/>
    <row r="3524" ht="17.100000000000001" customHeight="1" x14ac:dyDescent="0.25"/>
    <row r="3525" ht="17.100000000000001" customHeight="1" x14ac:dyDescent="0.25"/>
    <row r="3526" ht="17.100000000000001" customHeight="1" x14ac:dyDescent="0.25"/>
    <row r="3527" ht="17.100000000000001" customHeight="1" x14ac:dyDescent="0.25"/>
    <row r="3528" ht="17.100000000000001" customHeight="1" x14ac:dyDescent="0.25"/>
    <row r="3529" ht="17.100000000000001" customHeight="1" x14ac:dyDescent="0.25"/>
    <row r="3530" ht="17.100000000000001" customHeight="1" x14ac:dyDescent="0.25"/>
    <row r="3531" ht="17.100000000000001" customHeight="1" x14ac:dyDescent="0.25"/>
    <row r="3532" ht="17.100000000000001" customHeight="1" x14ac:dyDescent="0.25"/>
    <row r="3533" ht="17.100000000000001" customHeight="1" x14ac:dyDescent="0.25"/>
    <row r="3534" ht="17.100000000000001" customHeight="1" x14ac:dyDescent="0.25"/>
    <row r="3535" ht="17.100000000000001" customHeight="1" x14ac:dyDescent="0.25"/>
    <row r="3536" ht="17.100000000000001" customHeight="1" x14ac:dyDescent="0.25"/>
    <row r="3537" ht="17.100000000000001" customHeight="1" x14ac:dyDescent="0.25"/>
    <row r="3538" ht="17.100000000000001" customHeight="1" x14ac:dyDescent="0.25"/>
    <row r="3539" ht="17.100000000000001" customHeight="1" x14ac:dyDescent="0.25"/>
    <row r="3540" ht="17.100000000000001" customHeight="1" x14ac:dyDescent="0.25"/>
    <row r="3541" ht="17.100000000000001" customHeight="1" x14ac:dyDescent="0.25"/>
    <row r="3542" ht="17.100000000000001" customHeight="1" x14ac:dyDescent="0.25"/>
    <row r="3543" ht="17.100000000000001" customHeight="1" x14ac:dyDescent="0.25"/>
    <row r="3544" ht="17.100000000000001" customHeight="1" x14ac:dyDescent="0.25"/>
    <row r="3545" ht="17.100000000000001" customHeight="1" x14ac:dyDescent="0.25"/>
    <row r="3546" ht="17.100000000000001" customHeight="1" x14ac:dyDescent="0.25"/>
    <row r="3547" ht="17.100000000000001" customHeight="1" x14ac:dyDescent="0.25"/>
    <row r="3548" ht="17.100000000000001" customHeight="1" x14ac:dyDescent="0.25"/>
    <row r="3549" ht="17.100000000000001" customHeight="1" x14ac:dyDescent="0.25"/>
    <row r="3550" ht="17.100000000000001" customHeight="1" x14ac:dyDescent="0.25"/>
    <row r="3551" ht="17.100000000000001" customHeight="1" x14ac:dyDescent="0.25"/>
    <row r="3552" ht="17.100000000000001" customHeight="1" x14ac:dyDescent="0.25"/>
    <row r="3553" ht="17.100000000000001" customHeight="1" x14ac:dyDescent="0.25"/>
    <row r="3554" ht="17.100000000000001" customHeight="1" x14ac:dyDescent="0.25"/>
    <row r="3555" ht="17.100000000000001" customHeight="1" x14ac:dyDescent="0.25"/>
    <row r="3556" ht="17.100000000000001" customHeight="1" x14ac:dyDescent="0.25"/>
    <row r="3557" ht="17.100000000000001" customHeight="1" x14ac:dyDescent="0.25"/>
    <row r="3558" ht="17.100000000000001" customHeight="1" x14ac:dyDescent="0.25"/>
    <row r="3559" ht="17.100000000000001" customHeight="1" x14ac:dyDescent="0.25"/>
    <row r="3560" ht="17.100000000000001" customHeight="1" x14ac:dyDescent="0.25"/>
    <row r="3561" ht="17.100000000000001" customHeight="1" x14ac:dyDescent="0.25"/>
    <row r="3562" ht="17.100000000000001" customHeight="1" x14ac:dyDescent="0.25"/>
    <row r="3563" ht="17.100000000000001" customHeight="1" x14ac:dyDescent="0.25"/>
    <row r="3564" ht="17.100000000000001" customHeight="1" x14ac:dyDescent="0.25"/>
    <row r="3565" ht="17.100000000000001" customHeight="1" x14ac:dyDescent="0.25"/>
    <row r="3566" ht="17.100000000000001" customHeight="1" x14ac:dyDescent="0.25"/>
    <row r="3567" ht="17.100000000000001" customHeight="1" x14ac:dyDescent="0.25"/>
    <row r="3568" ht="17.100000000000001" customHeight="1" x14ac:dyDescent="0.25"/>
    <row r="3569" ht="17.100000000000001" customHeight="1" x14ac:dyDescent="0.25"/>
    <row r="3570" ht="17.100000000000001" customHeight="1" x14ac:dyDescent="0.25"/>
    <row r="3571" ht="17.100000000000001" customHeight="1" x14ac:dyDescent="0.25"/>
    <row r="3572" ht="17.100000000000001" customHeight="1" x14ac:dyDescent="0.25"/>
    <row r="3573" ht="17.100000000000001" customHeight="1" x14ac:dyDescent="0.25"/>
    <row r="3574" ht="17.100000000000001" customHeight="1" x14ac:dyDescent="0.25"/>
    <row r="3575" ht="17.100000000000001" customHeight="1" x14ac:dyDescent="0.25"/>
    <row r="3576" ht="17.100000000000001" customHeight="1" x14ac:dyDescent="0.25"/>
    <row r="3577" ht="17.100000000000001" customHeight="1" x14ac:dyDescent="0.25"/>
    <row r="3578" ht="17.100000000000001" customHeight="1" x14ac:dyDescent="0.25"/>
    <row r="3579" ht="17.100000000000001" customHeight="1" x14ac:dyDescent="0.25"/>
    <row r="3580" ht="17.100000000000001" customHeight="1" x14ac:dyDescent="0.25"/>
    <row r="3581" ht="17.100000000000001" customHeight="1" x14ac:dyDescent="0.25"/>
    <row r="3582" ht="17.100000000000001" customHeight="1" x14ac:dyDescent="0.25"/>
    <row r="3583" ht="17.100000000000001" customHeight="1" x14ac:dyDescent="0.25"/>
    <row r="3584" ht="17.100000000000001" customHeight="1" x14ac:dyDescent="0.25"/>
    <row r="3585" ht="17.100000000000001" customHeight="1" x14ac:dyDescent="0.25"/>
    <row r="3586" ht="17.100000000000001" customHeight="1" x14ac:dyDescent="0.25"/>
    <row r="3587" ht="17.100000000000001" customHeight="1" x14ac:dyDescent="0.25"/>
    <row r="3588" ht="17.100000000000001" customHeight="1" x14ac:dyDescent="0.25"/>
    <row r="3589" ht="17.100000000000001" customHeight="1" x14ac:dyDescent="0.25"/>
    <row r="3590" ht="17.100000000000001" customHeight="1" x14ac:dyDescent="0.25"/>
    <row r="3591" ht="17.100000000000001" customHeight="1" x14ac:dyDescent="0.25"/>
    <row r="3592" ht="17.100000000000001" customHeight="1" x14ac:dyDescent="0.25"/>
    <row r="3593" ht="17.100000000000001" customHeight="1" x14ac:dyDescent="0.25"/>
    <row r="3594" ht="17.100000000000001" customHeight="1" x14ac:dyDescent="0.25"/>
    <row r="3595" ht="17.100000000000001" customHeight="1" x14ac:dyDescent="0.25"/>
    <row r="3596" ht="17.100000000000001" customHeight="1" x14ac:dyDescent="0.25"/>
    <row r="3597" ht="17.100000000000001" customHeight="1" x14ac:dyDescent="0.25"/>
    <row r="3598" ht="17.100000000000001" customHeight="1" x14ac:dyDescent="0.25"/>
    <row r="3599" ht="17.100000000000001" customHeight="1" x14ac:dyDescent="0.25"/>
    <row r="3600" ht="17.100000000000001" customHeight="1" x14ac:dyDescent="0.25"/>
    <row r="3601" ht="17.100000000000001" customHeight="1" x14ac:dyDescent="0.25"/>
    <row r="3602" ht="17.100000000000001" customHeight="1" x14ac:dyDescent="0.25"/>
    <row r="3603" ht="17.100000000000001" customHeight="1" x14ac:dyDescent="0.25"/>
    <row r="3604" ht="17.100000000000001" customHeight="1" x14ac:dyDescent="0.25"/>
    <row r="3605" ht="17.100000000000001" customHeight="1" x14ac:dyDescent="0.25"/>
    <row r="3606" ht="17.100000000000001" customHeight="1" x14ac:dyDescent="0.25"/>
    <row r="3607" ht="17.100000000000001" customHeight="1" x14ac:dyDescent="0.25"/>
    <row r="3608" ht="17.100000000000001" customHeight="1" x14ac:dyDescent="0.25"/>
    <row r="3609" ht="17.100000000000001" customHeight="1" x14ac:dyDescent="0.25"/>
    <row r="3610" ht="17.100000000000001" customHeight="1" x14ac:dyDescent="0.25"/>
    <row r="3611" ht="17.100000000000001" customHeight="1" x14ac:dyDescent="0.25"/>
    <row r="3612" ht="17.100000000000001" customHeight="1" x14ac:dyDescent="0.25"/>
    <row r="3613" ht="17.100000000000001" customHeight="1" x14ac:dyDescent="0.25"/>
    <row r="3614" ht="17.100000000000001" customHeight="1" x14ac:dyDescent="0.25"/>
    <row r="3615" ht="17.100000000000001" customHeight="1" x14ac:dyDescent="0.25"/>
    <row r="3616" ht="17.100000000000001" customHeight="1" x14ac:dyDescent="0.25"/>
    <row r="3617" ht="17.100000000000001" customHeight="1" x14ac:dyDescent="0.25"/>
    <row r="3618" ht="17.100000000000001" customHeight="1" x14ac:dyDescent="0.25"/>
    <row r="3619" ht="17.100000000000001" customHeight="1" x14ac:dyDescent="0.25"/>
    <row r="3620" ht="17.100000000000001" customHeight="1" x14ac:dyDescent="0.25"/>
    <row r="3621" ht="17.100000000000001" customHeight="1" x14ac:dyDescent="0.25"/>
    <row r="3622" ht="17.100000000000001" customHeight="1" x14ac:dyDescent="0.25"/>
    <row r="3623" ht="17.100000000000001" customHeight="1" x14ac:dyDescent="0.25"/>
    <row r="3624" ht="17.100000000000001" customHeight="1" x14ac:dyDescent="0.25"/>
    <row r="3625" ht="17.100000000000001" customHeight="1" x14ac:dyDescent="0.25"/>
    <row r="3626" ht="17.100000000000001" customHeight="1" x14ac:dyDescent="0.25"/>
    <row r="3627" ht="17.100000000000001" customHeight="1" x14ac:dyDescent="0.25"/>
    <row r="3628" ht="17.100000000000001" customHeight="1" x14ac:dyDescent="0.25"/>
    <row r="3629" ht="17.100000000000001" customHeight="1" x14ac:dyDescent="0.25"/>
    <row r="3630" ht="17.100000000000001" customHeight="1" x14ac:dyDescent="0.25"/>
    <row r="3631" ht="17.100000000000001" customHeight="1" x14ac:dyDescent="0.25"/>
    <row r="3632" ht="17.100000000000001" customHeight="1" x14ac:dyDescent="0.25"/>
    <row r="3633" ht="17.100000000000001" customHeight="1" x14ac:dyDescent="0.25"/>
    <row r="3634" ht="17.100000000000001" customHeight="1" x14ac:dyDescent="0.25"/>
    <row r="3635" ht="17.100000000000001" customHeight="1" x14ac:dyDescent="0.25"/>
    <row r="3636" ht="17.100000000000001" customHeight="1" x14ac:dyDescent="0.25"/>
    <row r="3637" ht="17.100000000000001" customHeight="1" x14ac:dyDescent="0.25"/>
    <row r="3638" ht="17.100000000000001" customHeight="1" x14ac:dyDescent="0.25"/>
    <row r="3639" ht="17.100000000000001" customHeight="1" x14ac:dyDescent="0.25"/>
    <row r="3640" ht="17.100000000000001" customHeight="1" x14ac:dyDescent="0.25"/>
    <row r="3641" ht="17.100000000000001" customHeight="1" x14ac:dyDescent="0.25"/>
    <row r="3642" ht="17.100000000000001" customHeight="1" x14ac:dyDescent="0.25"/>
    <row r="3643" ht="17.100000000000001" customHeight="1" x14ac:dyDescent="0.25"/>
    <row r="3644" ht="17.100000000000001" customHeight="1" x14ac:dyDescent="0.25"/>
    <row r="3645" ht="17.100000000000001" customHeight="1" x14ac:dyDescent="0.25"/>
    <row r="3646" ht="17.100000000000001" customHeight="1" x14ac:dyDescent="0.25"/>
    <row r="3647" ht="17.100000000000001" customHeight="1" x14ac:dyDescent="0.25"/>
    <row r="3648" ht="17.100000000000001" customHeight="1" x14ac:dyDescent="0.25"/>
    <row r="3649" ht="17.100000000000001" customHeight="1" x14ac:dyDescent="0.25"/>
    <row r="3650" ht="17.100000000000001" customHeight="1" x14ac:dyDescent="0.25"/>
    <row r="3651" ht="17.100000000000001" customHeight="1" x14ac:dyDescent="0.25"/>
    <row r="3652" ht="17.100000000000001" customHeight="1" x14ac:dyDescent="0.25"/>
    <row r="3653" ht="17.100000000000001" customHeight="1" x14ac:dyDescent="0.25"/>
    <row r="3654" ht="17.100000000000001" customHeight="1" x14ac:dyDescent="0.25"/>
    <row r="3655" ht="17.100000000000001" customHeight="1" x14ac:dyDescent="0.25"/>
    <row r="3656" ht="17.100000000000001" customHeight="1" x14ac:dyDescent="0.25"/>
    <row r="3657" ht="17.100000000000001" customHeight="1" x14ac:dyDescent="0.25"/>
    <row r="3658" ht="17.100000000000001" customHeight="1" x14ac:dyDescent="0.25"/>
    <row r="3659" ht="17.100000000000001" customHeight="1" x14ac:dyDescent="0.25"/>
    <row r="3660" ht="17.100000000000001" customHeight="1" x14ac:dyDescent="0.25"/>
    <row r="3661" ht="17.100000000000001" customHeight="1" x14ac:dyDescent="0.25"/>
    <row r="3662" ht="17.100000000000001" customHeight="1" x14ac:dyDescent="0.25"/>
    <row r="3663" ht="17.100000000000001" customHeight="1" x14ac:dyDescent="0.25"/>
    <row r="3664" ht="17.100000000000001" customHeight="1" x14ac:dyDescent="0.25"/>
    <row r="3665" ht="17.100000000000001" customHeight="1" x14ac:dyDescent="0.25"/>
    <row r="3666" ht="17.100000000000001" customHeight="1" x14ac:dyDescent="0.25"/>
    <row r="3667" ht="17.100000000000001" customHeight="1" x14ac:dyDescent="0.25"/>
    <row r="3668" ht="17.100000000000001" customHeight="1" x14ac:dyDescent="0.25"/>
    <row r="3669" ht="17.100000000000001" customHeight="1" x14ac:dyDescent="0.25"/>
    <row r="3670" ht="17.100000000000001" customHeight="1" x14ac:dyDescent="0.25"/>
    <row r="3671" ht="17.100000000000001" customHeight="1" x14ac:dyDescent="0.25"/>
    <row r="3672" ht="17.100000000000001" customHeight="1" x14ac:dyDescent="0.25"/>
    <row r="3673" ht="17.100000000000001" customHeight="1" x14ac:dyDescent="0.25"/>
    <row r="3674" ht="17.100000000000001" customHeight="1" x14ac:dyDescent="0.25"/>
    <row r="3675" ht="17.100000000000001" customHeight="1" x14ac:dyDescent="0.25"/>
    <row r="3676" ht="17.100000000000001" customHeight="1" x14ac:dyDescent="0.25"/>
    <row r="3677" ht="17.100000000000001" customHeight="1" x14ac:dyDescent="0.25"/>
    <row r="3678" ht="17.100000000000001" customHeight="1" x14ac:dyDescent="0.25"/>
    <row r="3679" ht="17.100000000000001" customHeight="1" x14ac:dyDescent="0.25"/>
    <row r="3680" ht="17.100000000000001" customHeight="1" x14ac:dyDescent="0.25"/>
    <row r="3681" ht="17.100000000000001" customHeight="1" x14ac:dyDescent="0.25"/>
    <row r="3682" ht="17.100000000000001" customHeight="1" x14ac:dyDescent="0.25"/>
    <row r="3683" ht="17.100000000000001" customHeight="1" x14ac:dyDescent="0.25"/>
    <row r="3684" ht="17.100000000000001" customHeight="1" x14ac:dyDescent="0.25"/>
    <row r="3685" ht="17.100000000000001" customHeight="1" x14ac:dyDescent="0.25"/>
    <row r="3686" ht="17.100000000000001" customHeight="1" x14ac:dyDescent="0.25"/>
    <row r="3687" ht="17.100000000000001" customHeight="1" x14ac:dyDescent="0.25"/>
    <row r="3688" ht="17.100000000000001" customHeight="1" x14ac:dyDescent="0.25"/>
    <row r="3689" ht="17.100000000000001" customHeight="1" x14ac:dyDescent="0.25"/>
    <row r="3690" ht="17.100000000000001" customHeight="1" x14ac:dyDescent="0.25"/>
    <row r="3691" ht="17.100000000000001" customHeight="1" x14ac:dyDescent="0.25"/>
    <row r="3692" ht="17.100000000000001" customHeight="1" x14ac:dyDescent="0.25"/>
    <row r="3693" ht="17.100000000000001" customHeight="1" x14ac:dyDescent="0.25"/>
    <row r="3694" ht="17.100000000000001" customHeight="1" x14ac:dyDescent="0.25"/>
    <row r="3695" ht="17.100000000000001" customHeight="1" x14ac:dyDescent="0.25"/>
    <row r="3696" ht="17.100000000000001" customHeight="1" x14ac:dyDescent="0.25"/>
    <row r="3697" ht="17.100000000000001" customHeight="1" x14ac:dyDescent="0.25"/>
    <row r="3698" ht="17.100000000000001" customHeight="1" x14ac:dyDescent="0.25"/>
    <row r="3699" ht="17.100000000000001" customHeight="1" x14ac:dyDescent="0.25"/>
    <row r="3700" ht="17.100000000000001" customHeight="1" x14ac:dyDescent="0.25"/>
    <row r="3701" ht="17.100000000000001" customHeight="1" x14ac:dyDescent="0.25"/>
    <row r="3702" ht="17.100000000000001" customHeight="1" x14ac:dyDescent="0.25"/>
    <row r="3703" ht="17.100000000000001" customHeight="1" x14ac:dyDescent="0.25"/>
    <row r="3704" ht="17.100000000000001" customHeight="1" x14ac:dyDescent="0.25"/>
    <row r="3705" ht="17.100000000000001" customHeight="1" x14ac:dyDescent="0.25"/>
    <row r="3706" ht="17.100000000000001" customHeight="1" x14ac:dyDescent="0.25"/>
    <row r="3707" ht="17.100000000000001" customHeight="1" x14ac:dyDescent="0.25"/>
    <row r="3708" ht="17.100000000000001" customHeight="1" x14ac:dyDescent="0.25"/>
    <row r="3709" ht="17.100000000000001" customHeight="1" x14ac:dyDescent="0.25"/>
    <row r="3710" ht="17.100000000000001" customHeight="1" x14ac:dyDescent="0.25"/>
    <row r="3711" ht="17.100000000000001" customHeight="1" x14ac:dyDescent="0.25"/>
    <row r="3712" ht="17.100000000000001" customHeight="1" x14ac:dyDescent="0.25"/>
    <row r="3713" ht="17.100000000000001" customHeight="1" x14ac:dyDescent="0.25"/>
    <row r="3714" ht="17.100000000000001" customHeight="1" x14ac:dyDescent="0.25"/>
    <row r="3715" ht="17.100000000000001" customHeight="1" x14ac:dyDescent="0.25"/>
    <row r="3716" ht="17.100000000000001" customHeight="1" x14ac:dyDescent="0.25"/>
    <row r="3717" ht="17.100000000000001" customHeight="1" x14ac:dyDescent="0.25"/>
    <row r="3718" ht="17.100000000000001" customHeight="1" x14ac:dyDescent="0.25"/>
    <row r="3719" ht="17.100000000000001" customHeight="1" x14ac:dyDescent="0.25"/>
    <row r="3720" ht="17.100000000000001" customHeight="1" x14ac:dyDescent="0.25"/>
    <row r="3721" ht="17.100000000000001" customHeight="1" x14ac:dyDescent="0.25"/>
    <row r="3722" ht="17.100000000000001" customHeight="1" x14ac:dyDescent="0.25"/>
    <row r="3723" ht="17.100000000000001" customHeight="1" x14ac:dyDescent="0.25"/>
    <row r="3724" ht="17.100000000000001" customHeight="1" x14ac:dyDescent="0.25"/>
    <row r="3725" ht="17.100000000000001" customHeight="1" x14ac:dyDescent="0.25"/>
    <row r="3726" ht="17.100000000000001" customHeight="1" x14ac:dyDescent="0.25"/>
    <row r="3727" ht="17.100000000000001" customHeight="1" x14ac:dyDescent="0.25"/>
    <row r="3728" ht="17.100000000000001" customHeight="1" x14ac:dyDescent="0.25"/>
    <row r="3729" ht="17.100000000000001" customHeight="1" x14ac:dyDescent="0.25"/>
    <row r="3730" ht="17.100000000000001" customHeight="1" x14ac:dyDescent="0.25"/>
    <row r="3731" ht="17.100000000000001" customHeight="1" x14ac:dyDescent="0.25"/>
    <row r="3732" ht="17.100000000000001" customHeight="1" x14ac:dyDescent="0.25"/>
    <row r="3733" ht="17.100000000000001" customHeight="1" x14ac:dyDescent="0.25"/>
    <row r="3734" ht="17.100000000000001" customHeight="1" x14ac:dyDescent="0.25"/>
    <row r="3735" ht="17.100000000000001" customHeight="1" x14ac:dyDescent="0.25"/>
    <row r="3736" ht="17.100000000000001" customHeight="1" x14ac:dyDescent="0.25"/>
    <row r="3737" ht="17.100000000000001" customHeight="1" x14ac:dyDescent="0.25"/>
    <row r="3738" ht="17.100000000000001" customHeight="1" x14ac:dyDescent="0.25"/>
    <row r="3739" ht="17.100000000000001" customHeight="1" x14ac:dyDescent="0.25"/>
    <row r="3740" ht="17.100000000000001" customHeight="1" x14ac:dyDescent="0.25"/>
    <row r="3741" ht="17.100000000000001" customHeight="1" x14ac:dyDescent="0.25"/>
    <row r="3742" ht="17.100000000000001" customHeight="1" x14ac:dyDescent="0.25"/>
    <row r="3743" ht="17.100000000000001" customHeight="1" x14ac:dyDescent="0.25"/>
    <row r="3744" ht="17.100000000000001" customHeight="1" x14ac:dyDescent="0.25"/>
    <row r="3745" ht="17.100000000000001" customHeight="1" x14ac:dyDescent="0.25"/>
    <row r="3746" ht="17.100000000000001" customHeight="1" x14ac:dyDescent="0.25"/>
    <row r="3747" ht="17.100000000000001" customHeight="1" x14ac:dyDescent="0.25"/>
    <row r="3748" ht="17.100000000000001" customHeight="1" x14ac:dyDescent="0.25"/>
    <row r="3749" ht="17.100000000000001" customHeight="1" x14ac:dyDescent="0.25"/>
    <row r="3750" ht="17.100000000000001" customHeight="1" x14ac:dyDescent="0.25"/>
    <row r="3751" ht="17.100000000000001" customHeight="1" x14ac:dyDescent="0.25"/>
    <row r="3752" ht="17.100000000000001" customHeight="1" x14ac:dyDescent="0.25"/>
    <row r="3753" ht="17.100000000000001" customHeight="1" x14ac:dyDescent="0.25"/>
    <row r="3754" ht="17.100000000000001" customHeight="1" x14ac:dyDescent="0.25"/>
    <row r="3755" ht="17.100000000000001" customHeight="1" x14ac:dyDescent="0.25"/>
    <row r="3756" ht="17.100000000000001" customHeight="1" x14ac:dyDescent="0.25"/>
    <row r="3757" ht="17.100000000000001" customHeight="1" x14ac:dyDescent="0.25"/>
    <row r="3758" ht="17.100000000000001" customHeight="1" x14ac:dyDescent="0.25"/>
    <row r="3759" ht="17.100000000000001" customHeight="1" x14ac:dyDescent="0.25"/>
    <row r="3760" ht="17.100000000000001" customHeight="1" x14ac:dyDescent="0.25"/>
    <row r="3761" ht="17.100000000000001" customHeight="1" x14ac:dyDescent="0.25"/>
    <row r="3762" ht="17.100000000000001" customHeight="1" x14ac:dyDescent="0.25"/>
    <row r="3763" ht="17.100000000000001" customHeight="1" x14ac:dyDescent="0.25"/>
    <row r="3764" ht="17.100000000000001" customHeight="1" x14ac:dyDescent="0.25"/>
    <row r="3765" ht="17.100000000000001" customHeight="1" x14ac:dyDescent="0.25"/>
    <row r="3766" ht="17.100000000000001" customHeight="1" x14ac:dyDescent="0.25"/>
    <row r="3767" ht="17.100000000000001" customHeight="1" x14ac:dyDescent="0.25"/>
    <row r="3768" ht="17.100000000000001" customHeight="1" x14ac:dyDescent="0.25"/>
    <row r="3769" ht="17.100000000000001" customHeight="1" x14ac:dyDescent="0.25"/>
    <row r="3770" ht="17.100000000000001" customHeight="1" x14ac:dyDescent="0.25"/>
    <row r="3771" ht="17.100000000000001" customHeight="1" x14ac:dyDescent="0.25"/>
    <row r="3772" ht="17.100000000000001" customHeight="1" x14ac:dyDescent="0.25"/>
    <row r="3773" ht="17.100000000000001" customHeight="1" x14ac:dyDescent="0.25"/>
    <row r="3774" ht="17.100000000000001" customHeight="1" x14ac:dyDescent="0.25"/>
    <row r="3775" ht="17.100000000000001" customHeight="1" x14ac:dyDescent="0.25"/>
    <row r="3776" ht="17.100000000000001" customHeight="1" x14ac:dyDescent="0.25"/>
    <row r="3777" ht="17.100000000000001" customHeight="1" x14ac:dyDescent="0.25"/>
    <row r="3778" ht="17.100000000000001" customHeight="1" x14ac:dyDescent="0.25"/>
    <row r="3779" ht="17.100000000000001" customHeight="1" x14ac:dyDescent="0.25"/>
    <row r="3780" ht="17.100000000000001" customHeight="1" x14ac:dyDescent="0.25"/>
    <row r="3781" ht="17.100000000000001" customHeight="1" x14ac:dyDescent="0.25"/>
    <row r="3782" ht="17.100000000000001" customHeight="1" x14ac:dyDescent="0.25"/>
    <row r="3783" ht="17.100000000000001" customHeight="1" x14ac:dyDescent="0.25"/>
    <row r="3784" ht="17.100000000000001" customHeight="1" x14ac:dyDescent="0.25"/>
    <row r="3785" ht="17.100000000000001" customHeight="1" x14ac:dyDescent="0.25"/>
    <row r="3786" ht="17.100000000000001" customHeight="1" x14ac:dyDescent="0.25"/>
    <row r="3787" ht="17.100000000000001" customHeight="1" x14ac:dyDescent="0.25"/>
    <row r="3788" ht="17.100000000000001" customHeight="1" x14ac:dyDescent="0.25"/>
    <row r="3789" ht="17.100000000000001" customHeight="1" x14ac:dyDescent="0.25"/>
    <row r="3790" ht="17.100000000000001" customHeight="1" x14ac:dyDescent="0.25"/>
    <row r="3791" ht="17.100000000000001" customHeight="1" x14ac:dyDescent="0.25"/>
    <row r="3792" ht="17.100000000000001" customHeight="1" x14ac:dyDescent="0.25"/>
    <row r="3793" ht="17.100000000000001" customHeight="1" x14ac:dyDescent="0.25"/>
    <row r="3794" ht="17.100000000000001" customHeight="1" x14ac:dyDescent="0.25"/>
    <row r="3795" ht="17.100000000000001" customHeight="1" x14ac:dyDescent="0.25"/>
    <row r="3796" ht="17.100000000000001" customHeight="1" x14ac:dyDescent="0.25"/>
    <row r="3797" ht="17.100000000000001" customHeight="1" x14ac:dyDescent="0.25"/>
    <row r="3798" ht="17.100000000000001" customHeight="1" x14ac:dyDescent="0.25"/>
    <row r="3799" ht="17.100000000000001" customHeight="1" x14ac:dyDescent="0.25"/>
    <row r="3800" ht="17.100000000000001" customHeight="1" x14ac:dyDescent="0.25"/>
    <row r="3801" ht="17.100000000000001" customHeight="1" x14ac:dyDescent="0.25"/>
    <row r="3802" ht="17.100000000000001" customHeight="1" x14ac:dyDescent="0.25"/>
    <row r="3803" ht="17.100000000000001" customHeight="1" x14ac:dyDescent="0.25"/>
    <row r="3804" ht="17.100000000000001" customHeight="1" x14ac:dyDescent="0.25"/>
    <row r="3805" ht="17.100000000000001" customHeight="1" x14ac:dyDescent="0.25"/>
    <row r="3806" ht="17.100000000000001" customHeight="1" x14ac:dyDescent="0.25"/>
    <row r="3807" ht="17.100000000000001" customHeight="1" x14ac:dyDescent="0.25"/>
    <row r="3808" ht="17.100000000000001" customHeight="1" x14ac:dyDescent="0.25"/>
    <row r="3809" ht="17.100000000000001" customHeight="1" x14ac:dyDescent="0.25"/>
    <row r="3810" ht="17.100000000000001" customHeight="1" x14ac:dyDescent="0.25"/>
    <row r="3811" ht="17.100000000000001" customHeight="1" x14ac:dyDescent="0.25"/>
    <row r="3812" ht="17.100000000000001" customHeight="1" x14ac:dyDescent="0.25"/>
    <row r="3813" ht="17.100000000000001" customHeight="1" x14ac:dyDescent="0.25"/>
    <row r="3814" ht="17.100000000000001" customHeight="1" x14ac:dyDescent="0.25"/>
    <row r="3815" ht="17.100000000000001" customHeight="1" x14ac:dyDescent="0.25"/>
    <row r="3816" ht="17.100000000000001" customHeight="1" x14ac:dyDescent="0.25"/>
    <row r="3817" ht="17.100000000000001" customHeight="1" x14ac:dyDescent="0.25"/>
    <row r="3818" ht="17.100000000000001" customHeight="1" x14ac:dyDescent="0.25"/>
    <row r="3819" ht="17.100000000000001" customHeight="1" x14ac:dyDescent="0.25"/>
    <row r="3820" ht="17.100000000000001" customHeight="1" x14ac:dyDescent="0.25"/>
    <row r="3821" ht="17.100000000000001" customHeight="1" x14ac:dyDescent="0.25"/>
    <row r="3822" ht="17.100000000000001" customHeight="1" x14ac:dyDescent="0.25"/>
    <row r="3823" ht="17.100000000000001" customHeight="1" x14ac:dyDescent="0.25"/>
    <row r="3824" ht="17.100000000000001" customHeight="1" x14ac:dyDescent="0.25"/>
    <row r="3825" ht="17.100000000000001" customHeight="1" x14ac:dyDescent="0.25"/>
    <row r="3826" ht="17.100000000000001" customHeight="1" x14ac:dyDescent="0.25"/>
    <row r="3827" ht="17.100000000000001" customHeight="1" x14ac:dyDescent="0.25"/>
    <row r="3828" ht="17.100000000000001" customHeight="1" x14ac:dyDescent="0.25"/>
    <row r="3829" ht="17.100000000000001" customHeight="1" x14ac:dyDescent="0.25"/>
    <row r="3830" ht="17.100000000000001" customHeight="1" x14ac:dyDescent="0.25"/>
    <row r="3831" ht="17.100000000000001" customHeight="1" x14ac:dyDescent="0.25"/>
    <row r="3832" ht="17.100000000000001" customHeight="1" x14ac:dyDescent="0.25"/>
    <row r="3833" ht="17.100000000000001" customHeight="1" x14ac:dyDescent="0.25"/>
    <row r="3834" ht="17.100000000000001" customHeight="1" x14ac:dyDescent="0.25"/>
    <row r="3835" ht="17.100000000000001" customHeight="1" x14ac:dyDescent="0.25"/>
    <row r="3836" ht="17.100000000000001" customHeight="1" x14ac:dyDescent="0.25"/>
    <row r="3837" ht="17.100000000000001" customHeight="1" x14ac:dyDescent="0.25"/>
    <row r="3838" ht="17.100000000000001" customHeight="1" x14ac:dyDescent="0.25"/>
    <row r="3839" ht="17.100000000000001" customHeight="1" x14ac:dyDescent="0.25"/>
    <row r="3840" ht="17.100000000000001" customHeight="1" x14ac:dyDescent="0.25"/>
    <row r="3841" ht="17.100000000000001" customHeight="1" x14ac:dyDescent="0.25"/>
    <row r="3842" ht="17.100000000000001" customHeight="1" x14ac:dyDescent="0.25"/>
    <row r="3843" ht="17.100000000000001" customHeight="1" x14ac:dyDescent="0.25"/>
    <row r="3844" ht="17.100000000000001" customHeight="1" x14ac:dyDescent="0.25"/>
    <row r="3845" ht="17.100000000000001" customHeight="1" x14ac:dyDescent="0.25"/>
    <row r="3846" ht="17.100000000000001" customHeight="1" x14ac:dyDescent="0.25"/>
    <row r="3847" ht="17.100000000000001" customHeight="1" x14ac:dyDescent="0.25"/>
    <row r="3848" ht="17.100000000000001" customHeight="1" x14ac:dyDescent="0.25"/>
    <row r="3849" ht="17.100000000000001" customHeight="1" x14ac:dyDescent="0.25"/>
    <row r="3850" ht="17.100000000000001" customHeight="1" x14ac:dyDescent="0.25"/>
    <row r="3851" ht="17.100000000000001" customHeight="1" x14ac:dyDescent="0.25"/>
    <row r="3852" ht="17.100000000000001" customHeight="1" x14ac:dyDescent="0.25"/>
    <row r="3853" ht="17.100000000000001" customHeight="1" x14ac:dyDescent="0.25"/>
    <row r="3854" ht="17.100000000000001" customHeight="1" x14ac:dyDescent="0.25"/>
    <row r="3855" ht="17.100000000000001" customHeight="1" x14ac:dyDescent="0.25"/>
    <row r="3856" ht="17.100000000000001" customHeight="1" x14ac:dyDescent="0.25"/>
    <row r="3857" ht="17.100000000000001" customHeight="1" x14ac:dyDescent="0.25"/>
    <row r="3858" ht="17.100000000000001" customHeight="1" x14ac:dyDescent="0.25"/>
    <row r="3859" ht="17.100000000000001" customHeight="1" x14ac:dyDescent="0.25"/>
    <row r="3860" ht="17.100000000000001" customHeight="1" x14ac:dyDescent="0.25"/>
    <row r="3861" ht="17.100000000000001" customHeight="1" x14ac:dyDescent="0.25"/>
    <row r="3862" ht="17.100000000000001" customHeight="1" x14ac:dyDescent="0.25"/>
    <row r="3863" ht="17.100000000000001" customHeight="1" x14ac:dyDescent="0.25"/>
    <row r="3864" ht="17.100000000000001" customHeight="1" x14ac:dyDescent="0.25"/>
    <row r="3865" ht="17.100000000000001" customHeight="1" x14ac:dyDescent="0.25"/>
    <row r="3866" ht="17.100000000000001" customHeight="1" x14ac:dyDescent="0.25"/>
    <row r="3867" ht="17.100000000000001" customHeight="1" x14ac:dyDescent="0.25"/>
    <row r="3868" ht="17.100000000000001" customHeight="1" x14ac:dyDescent="0.25"/>
    <row r="3869" ht="17.100000000000001" customHeight="1" x14ac:dyDescent="0.25"/>
    <row r="3870" ht="17.100000000000001" customHeight="1" x14ac:dyDescent="0.25"/>
    <row r="3871" ht="17.100000000000001" customHeight="1" x14ac:dyDescent="0.25"/>
    <row r="3872" ht="17.100000000000001" customHeight="1" x14ac:dyDescent="0.25"/>
    <row r="3873" ht="17.100000000000001" customHeight="1" x14ac:dyDescent="0.25"/>
    <row r="3874" ht="17.100000000000001" customHeight="1" x14ac:dyDescent="0.25"/>
    <row r="3875" ht="17.100000000000001" customHeight="1" x14ac:dyDescent="0.25"/>
    <row r="3876" ht="17.100000000000001" customHeight="1" x14ac:dyDescent="0.25"/>
    <row r="3877" ht="17.100000000000001" customHeight="1" x14ac:dyDescent="0.25"/>
    <row r="3878" ht="17.100000000000001" customHeight="1" x14ac:dyDescent="0.25"/>
    <row r="3879" ht="17.100000000000001" customHeight="1" x14ac:dyDescent="0.25"/>
    <row r="3880" ht="17.100000000000001" customHeight="1" x14ac:dyDescent="0.25"/>
    <row r="3881" ht="17.100000000000001" customHeight="1" x14ac:dyDescent="0.25"/>
    <row r="3882" ht="17.100000000000001" customHeight="1" x14ac:dyDescent="0.25"/>
    <row r="3883" ht="17.100000000000001" customHeight="1" x14ac:dyDescent="0.25"/>
    <row r="3884" ht="17.100000000000001" customHeight="1" x14ac:dyDescent="0.25"/>
    <row r="3885" ht="17.100000000000001" customHeight="1" x14ac:dyDescent="0.25"/>
    <row r="3886" ht="17.100000000000001" customHeight="1" x14ac:dyDescent="0.25"/>
    <row r="3887" ht="17.100000000000001" customHeight="1" x14ac:dyDescent="0.25"/>
    <row r="3888" ht="17.100000000000001" customHeight="1" x14ac:dyDescent="0.25"/>
    <row r="3889" ht="17.100000000000001" customHeight="1" x14ac:dyDescent="0.25"/>
    <row r="3890" ht="17.100000000000001" customHeight="1" x14ac:dyDescent="0.25"/>
    <row r="3891" ht="17.100000000000001" customHeight="1" x14ac:dyDescent="0.25"/>
    <row r="3892" ht="17.100000000000001" customHeight="1" x14ac:dyDescent="0.25"/>
    <row r="3893" ht="17.100000000000001" customHeight="1" x14ac:dyDescent="0.25"/>
    <row r="3894" ht="17.100000000000001" customHeight="1" x14ac:dyDescent="0.25"/>
    <row r="3895" ht="17.100000000000001" customHeight="1" x14ac:dyDescent="0.25"/>
    <row r="3896" ht="17.100000000000001" customHeight="1" x14ac:dyDescent="0.25"/>
    <row r="3897" ht="17.100000000000001" customHeight="1" x14ac:dyDescent="0.25"/>
    <row r="3898" ht="17.100000000000001" customHeight="1" x14ac:dyDescent="0.25"/>
    <row r="3899" ht="17.100000000000001" customHeight="1" x14ac:dyDescent="0.25"/>
    <row r="3900" ht="17.100000000000001" customHeight="1" x14ac:dyDescent="0.25"/>
    <row r="3901" ht="17.100000000000001" customHeight="1" x14ac:dyDescent="0.25"/>
    <row r="3902" ht="17.100000000000001" customHeight="1" x14ac:dyDescent="0.25"/>
    <row r="3903" ht="17.100000000000001" customHeight="1" x14ac:dyDescent="0.25"/>
    <row r="3904" ht="17.100000000000001" customHeight="1" x14ac:dyDescent="0.25"/>
    <row r="3905" ht="17.100000000000001" customHeight="1" x14ac:dyDescent="0.25"/>
    <row r="3906" ht="17.100000000000001" customHeight="1" x14ac:dyDescent="0.25"/>
    <row r="3907" ht="17.100000000000001" customHeight="1" x14ac:dyDescent="0.25"/>
    <row r="3908" ht="17.100000000000001" customHeight="1" x14ac:dyDescent="0.25"/>
    <row r="3909" ht="17.100000000000001" customHeight="1" x14ac:dyDescent="0.25"/>
    <row r="3910" ht="17.100000000000001" customHeight="1" x14ac:dyDescent="0.25"/>
    <row r="3911" ht="17.100000000000001" customHeight="1" x14ac:dyDescent="0.25"/>
    <row r="3912" ht="17.100000000000001" customHeight="1" x14ac:dyDescent="0.25"/>
    <row r="3913" ht="17.100000000000001" customHeight="1" x14ac:dyDescent="0.25"/>
    <row r="3914" ht="17.100000000000001" customHeight="1" x14ac:dyDescent="0.25"/>
    <row r="3915" ht="17.100000000000001" customHeight="1" x14ac:dyDescent="0.25"/>
    <row r="3916" ht="17.100000000000001" customHeight="1" x14ac:dyDescent="0.25"/>
    <row r="3917" ht="17.100000000000001" customHeight="1" x14ac:dyDescent="0.25"/>
    <row r="3918" ht="17.100000000000001" customHeight="1" x14ac:dyDescent="0.25"/>
    <row r="3919" ht="17.100000000000001" customHeight="1" x14ac:dyDescent="0.25"/>
    <row r="3920" ht="17.100000000000001" customHeight="1" x14ac:dyDescent="0.25"/>
    <row r="3921" ht="17.100000000000001" customHeight="1" x14ac:dyDescent="0.25"/>
    <row r="3922" ht="17.100000000000001" customHeight="1" x14ac:dyDescent="0.25"/>
    <row r="3923" ht="17.100000000000001" customHeight="1" x14ac:dyDescent="0.25"/>
    <row r="3924" ht="17.100000000000001" customHeight="1" x14ac:dyDescent="0.25"/>
    <row r="3925" ht="17.100000000000001" customHeight="1" x14ac:dyDescent="0.25"/>
    <row r="3926" ht="17.100000000000001" customHeight="1" x14ac:dyDescent="0.25"/>
    <row r="3927" ht="17.100000000000001" customHeight="1" x14ac:dyDescent="0.25"/>
    <row r="3928" ht="17.100000000000001" customHeight="1" x14ac:dyDescent="0.25"/>
    <row r="3929" ht="17.100000000000001" customHeight="1" x14ac:dyDescent="0.25"/>
    <row r="3930" ht="17.100000000000001" customHeight="1" x14ac:dyDescent="0.25"/>
    <row r="3931" ht="17.100000000000001" customHeight="1" x14ac:dyDescent="0.25"/>
    <row r="3932" ht="17.100000000000001" customHeight="1" x14ac:dyDescent="0.25"/>
    <row r="3933" ht="17.100000000000001" customHeight="1" x14ac:dyDescent="0.25"/>
    <row r="3934" ht="17.100000000000001" customHeight="1" x14ac:dyDescent="0.25"/>
    <row r="3935" ht="17.100000000000001" customHeight="1" x14ac:dyDescent="0.25"/>
    <row r="3936" ht="17.100000000000001" customHeight="1" x14ac:dyDescent="0.25"/>
    <row r="3937" ht="17.100000000000001" customHeight="1" x14ac:dyDescent="0.25"/>
    <row r="3938" ht="17.100000000000001" customHeight="1" x14ac:dyDescent="0.25"/>
    <row r="3939" ht="17.100000000000001" customHeight="1" x14ac:dyDescent="0.25"/>
    <row r="3940" ht="17.100000000000001" customHeight="1" x14ac:dyDescent="0.25"/>
    <row r="3941" ht="17.100000000000001" customHeight="1" x14ac:dyDescent="0.25"/>
    <row r="3942" ht="17.100000000000001" customHeight="1" x14ac:dyDescent="0.25"/>
    <row r="3943" ht="17.100000000000001" customHeight="1" x14ac:dyDescent="0.25"/>
    <row r="3944" ht="17.100000000000001" customHeight="1" x14ac:dyDescent="0.25"/>
    <row r="3945" ht="17.100000000000001" customHeight="1" x14ac:dyDescent="0.25"/>
    <row r="3946" ht="17.100000000000001" customHeight="1" x14ac:dyDescent="0.25"/>
    <row r="3947" ht="17.100000000000001" customHeight="1" x14ac:dyDescent="0.25"/>
    <row r="3948" ht="17.100000000000001" customHeight="1" x14ac:dyDescent="0.25"/>
    <row r="3949" ht="17.100000000000001" customHeight="1" x14ac:dyDescent="0.25"/>
    <row r="3950" ht="17.100000000000001" customHeight="1" x14ac:dyDescent="0.25"/>
    <row r="3951" ht="17.100000000000001" customHeight="1" x14ac:dyDescent="0.25"/>
    <row r="3952" ht="17.100000000000001" customHeight="1" x14ac:dyDescent="0.25"/>
    <row r="3953" ht="17.100000000000001" customHeight="1" x14ac:dyDescent="0.25"/>
    <row r="3954" ht="17.100000000000001" customHeight="1" x14ac:dyDescent="0.25"/>
    <row r="3955" ht="17.100000000000001" customHeight="1" x14ac:dyDescent="0.25"/>
    <row r="3956" ht="17.100000000000001" customHeight="1" x14ac:dyDescent="0.25"/>
    <row r="3957" ht="17.100000000000001" customHeight="1" x14ac:dyDescent="0.25"/>
    <row r="3958" ht="17.100000000000001" customHeight="1" x14ac:dyDescent="0.25"/>
    <row r="3959" ht="17.100000000000001" customHeight="1" x14ac:dyDescent="0.25"/>
    <row r="3960" ht="17.100000000000001" customHeight="1" x14ac:dyDescent="0.25"/>
    <row r="3961" ht="17.100000000000001" customHeight="1" x14ac:dyDescent="0.25"/>
    <row r="3962" ht="17.100000000000001" customHeight="1" x14ac:dyDescent="0.25"/>
    <row r="3963" ht="17.100000000000001" customHeight="1" x14ac:dyDescent="0.25"/>
    <row r="3964" ht="17.100000000000001" customHeight="1" x14ac:dyDescent="0.25"/>
    <row r="3965" ht="17.100000000000001" customHeight="1" x14ac:dyDescent="0.25"/>
    <row r="3966" ht="17.100000000000001" customHeight="1" x14ac:dyDescent="0.25"/>
    <row r="3967" ht="17.100000000000001" customHeight="1" x14ac:dyDescent="0.25"/>
    <row r="3968" ht="17.100000000000001" customHeight="1" x14ac:dyDescent="0.25"/>
    <row r="3969" ht="17.100000000000001" customHeight="1" x14ac:dyDescent="0.25"/>
    <row r="3970" ht="17.100000000000001" customHeight="1" x14ac:dyDescent="0.25"/>
    <row r="3971" ht="17.100000000000001" customHeight="1" x14ac:dyDescent="0.25"/>
    <row r="3972" ht="17.100000000000001" customHeight="1" x14ac:dyDescent="0.25"/>
    <row r="3973" ht="17.100000000000001" customHeight="1" x14ac:dyDescent="0.25"/>
    <row r="3974" ht="17.100000000000001" customHeight="1" x14ac:dyDescent="0.25"/>
    <row r="3975" ht="17.100000000000001" customHeight="1" x14ac:dyDescent="0.25"/>
    <row r="3976" ht="17.100000000000001" customHeight="1" x14ac:dyDescent="0.25"/>
    <row r="3977" ht="17.100000000000001" customHeight="1" x14ac:dyDescent="0.25"/>
    <row r="3978" ht="17.100000000000001" customHeight="1" x14ac:dyDescent="0.25"/>
    <row r="3979" ht="17.100000000000001" customHeight="1" x14ac:dyDescent="0.25"/>
    <row r="3980" ht="17.100000000000001" customHeight="1" x14ac:dyDescent="0.25"/>
    <row r="3981" ht="17.100000000000001" customHeight="1" x14ac:dyDescent="0.25"/>
    <row r="3982" ht="17.100000000000001" customHeight="1" x14ac:dyDescent="0.25"/>
    <row r="3983" ht="17.100000000000001" customHeight="1" x14ac:dyDescent="0.25"/>
    <row r="3984" ht="17.100000000000001" customHeight="1" x14ac:dyDescent="0.25"/>
    <row r="3985" ht="17.100000000000001" customHeight="1" x14ac:dyDescent="0.25"/>
    <row r="3986" ht="17.100000000000001" customHeight="1" x14ac:dyDescent="0.25"/>
    <row r="3987" ht="17.100000000000001" customHeight="1" x14ac:dyDescent="0.25"/>
    <row r="3988" ht="17.100000000000001" customHeight="1" x14ac:dyDescent="0.25"/>
    <row r="3989" ht="17.100000000000001" customHeight="1" x14ac:dyDescent="0.25"/>
    <row r="3990" ht="17.100000000000001" customHeight="1" x14ac:dyDescent="0.25"/>
    <row r="3991" ht="17.100000000000001" customHeight="1" x14ac:dyDescent="0.25"/>
    <row r="3992" ht="17.100000000000001" customHeight="1" x14ac:dyDescent="0.25"/>
    <row r="3993" ht="17.100000000000001" customHeight="1" x14ac:dyDescent="0.25"/>
    <row r="3994" ht="17.100000000000001" customHeight="1" x14ac:dyDescent="0.25"/>
    <row r="3995" ht="17.100000000000001" customHeight="1" x14ac:dyDescent="0.25"/>
    <row r="3996" ht="17.100000000000001" customHeight="1" x14ac:dyDescent="0.25"/>
    <row r="3997" ht="17.100000000000001" customHeight="1" x14ac:dyDescent="0.25"/>
    <row r="3998" ht="17.100000000000001" customHeight="1" x14ac:dyDescent="0.25"/>
    <row r="3999" ht="17.100000000000001" customHeight="1" x14ac:dyDescent="0.25"/>
    <row r="4000" ht="17.100000000000001" customHeight="1" x14ac:dyDescent="0.25"/>
    <row r="4001" ht="17.100000000000001" customHeight="1" x14ac:dyDescent="0.25"/>
    <row r="4002" ht="17.100000000000001" customHeight="1" x14ac:dyDescent="0.25"/>
    <row r="4003" ht="17.100000000000001" customHeight="1" x14ac:dyDescent="0.25"/>
    <row r="4004" ht="17.100000000000001" customHeight="1" x14ac:dyDescent="0.25"/>
    <row r="4005" ht="17.100000000000001" customHeight="1" x14ac:dyDescent="0.25"/>
    <row r="4006" ht="17.100000000000001" customHeight="1" x14ac:dyDescent="0.25"/>
    <row r="4007" ht="17.100000000000001" customHeight="1" x14ac:dyDescent="0.25"/>
    <row r="4008" ht="17.100000000000001" customHeight="1" x14ac:dyDescent="0.25"/>
    <row r="4009" ht="17.100000000000001" customHeight="1" x14ac:dyDescent="0.25"/>
    <row r="4010" ht="17.100000000000001" customHeight="1" x14ac:dyDescent="0.25"/>
    <row r="4011" ht="17.100000000000001" customHeight="1" x14ac:dyDescent="0.25"/>
    <row r="4012" ht="17.100000000000001" customHeight="1" x14ac:dyDescent="0.25"/>
    <row r="4013" ht="17.100000000000001" customHeight="1" x14ac:dyDescent="0.25"/>
    <row r="4014" ht="17.100000000000001" customHeight="1" x14ac:dyDescent="0.25"/>
    <row r="4015" ht="17.100000000000001" customHeight="1" x14ac:dyDescent="0.25"/>
    <row r="4016" ht="17.100000000000001" customHeight="1" x14ac:dyDescent="0.25"/>
    <row r="4017" ht="17.100000000000001" customHeight="1" x14ac:dyDescent="0.25"/>
    <row r="4018" ht="17.100000000000001" customHeight="1" x14ac:dyDescent="0.25"/>
    <row r="4019" ht="17.100000000000001" customHeight="1" x14ac:dyDescent="0.25"/>
    <row r="4020" ht="17.100000000000001" customHeight="1" x14ac:dyDescent="0.25"/>
    <row r="4021" ht="17.100000000000001" customHeight="1" x14ac:dyDescent="0.25"/>
    <row r="4022" ht="17.100000000000001" customHeight="1" x14ac:dyDescent="0.25"/>
    <row r="4023" ht="17.100000000000001" customHeight="1" x14ac:dyDescent="0.25"/>
    <row r="4024" ht="17.100000000000001" customHeight="1" x14ac:dyDescent="0.25"/>
    <row r="4025" ht="17.100000000000001" customHeight="1" x14ac:dyDescent="0.25"/>
    <row r="4026" ht="17.100000000000001" customHeight="1" x14ac:dyDescent="0.25"/>
    <row r="4027" ht="17.100000000000001" customHeight="1" x14ac:dyDescent="0.25"/>
    <row r="4028" ht="17.100000000000001" customHeight="1" x14ac:dyDescent="0.25"/>
    <row r="4029" ht="17.100000000000001" customHeight="1" x14ac:dyDescent="0.25"/>
    <row r="4030" ht="17.100000000000001" customHeight="1" x14ac:dyDescent="0.25"/>
    <row r="4031" ht="17.100000000000001" customHeight="1" x14ac:dyDescent="0.25"/>
    <row r="4032" ht="17.100000000000001" customHeight="1" x14ac:dyDescent="0.25"/>
    <row r="4033" ht="17.100000000000001" customHeight="1" x14ac:dyDescent="0.25"/>
    <row r="4034" ht="17.100000000000001" customHeight="1" x14ac:dyDescent="0.25"/>
    <row r="4035" ht="17.100000000000001" customHeight="1" x14ac:dyDescent="0.25"/>
    <row r="4036" ht="17.100000000000001" customHeight="1" x14ac:dyDescent="0.25"/>
    <row r="4037" ht="17.100000000000001" customHeight="1" x14ac:dyDescent="0.25"/>
    <row r="4038" ht="17.100000000000001" customHeight="1" x14ac:dyDescent="0.25"/>
    <row r="4039" ht="17.100000000000001" customHeight="1" x14ac:dyDescent="0.25"/>
    <row r="4040" ht="17.100000000000001" customHeight="1" x14ac:dyDescent="0.25"/>
    <row r="4041" ht="17.100000000000001" customHeight="1" x14ac:dyDescent="0.25"/>
    <row r="4042" ht="17.100000000000001" customHeight="1" x14ac:dyDescent="0.25"/>
    <row r="4043" ht="17.100000000000001" customHeight="1" x14ac:dyDescent="0.25"/>
    <row r="4044" ht="17.100000000000001" customHeight="1" x14ac:dyDescent="0.25"/>
    <row r="4045" ht="17.100000000000001" customHeight="1" x14ac:dyDescent="0.25"/>
    <row r="4046" ht="17.100000000000001" customHeight="1" x14ac:dyDescent="0.25"/>
    <row r="4047" ht="17.100000000000001" customHeight="1" x14ac:dyDescent="0.25"/>
    <row r="4048" ht="17.100000000000001" customHeight="1" x14ac:dyDescent="0.25"/>
    <row r="4049" ht="17.100000000000001" customHeight="1" x14ac:dyDescent="0.25"/>
    <row r="4050" ht="17.100000000000001" customHeight="1" x14ac:dyDescent="0.25"/>
    <row r="4051" ht="17.100000000000001" customHeight="1" x14ac:dyDescent="0.25"/>
    <row r="4052" ht="17.100000000000001" customHeight="1" x14ac:dyDescent="0.25"/>
    <row r="4053" ht="17.100000000000001" customHeight="1" x14ac:dyDescent="0.25"/>
    <row r="4054" ht="17.100000000000001" customHeight="1" x14ac:dyDescent="0.25"/>
    <row r="4055" ht="17.100000000000001" customHeight="1" x14ac:dyDescent="0.25"/>
    <row r="4056" ht="17.100000000000001" customHeight="1" x14ac:dyDescent="0.25"/>
    <row r="4057" ht="17.100000000000001" customHeight="1" x14ac:dyDescent="0.25"/>
    <row r="4058" ht="17.100000000000001" customHeight="1" x14ac:dyDescent="0.25"/>
    <row r="4059" ht="17.100000000000001" customHeight="1" x14ac:dyDescent="0.25"/>
    <row r="4060" ht="17.100000000000001" customHeight="1" x14ac:dyDescent="0.25"/>
    <row r="4061" ht="17.100000000000001" customHeight="1" x14ac:dyDescent="0.25"/>
    <row r="4062" ht="17.100000000000001" customHeight="1" x14ac:dyDescent="0.25"/>
    <row r="4063" ht="17.100000000000001" customHeight="1" x14ac:dyDescent="0.25"/>
    <row r="4064" ht="17.100000000000001" customHeight="1" x14ac:dyDescent="0.25"/>
    <row r="4065" ht="17.100000000000001" customHeight="1" x14ac:dyDescent="0.25"/>
    <row r="4066" ht="17.100000000000001" customHeight="1" x14ac:dyDescent="0.25"/>
    <row r="4067" ht="17.100000000000001" customHeight="1" x14ac:dyDescent="0.25"/>
    <row r="4068" ht="17.100000000000001" customHeight="1" x14ac:dyDescent="0.25"/>
    <row r="4069" ht="17.100000000000001" customHeight="1" x14ac:dyDescent="0.25"/>
    <row r="4070" ht="17.100000000000001" customHeight="1" x14ac:dyDescent="0.25"/>
    <row r="4071" ht="17.100000000000001" customHeight="1" x14ac:dyDescent="0.25"/>
    <row r="4072" ht="17.100000000000001" customHeight="1" x14ac:dyDescent="0.25"/>
    <row r="4073" ht="17.100000000000001" customHeight="1" x14ac:dyDescent="0.25"/>
    <row r="4074" ht="17.100000000000001" customHeight="1" x14ac:dyDescent="0.25"/>
    <row r="4075" ht="17.100000000000001" customHeight="1" x14ac:dyDescent="0.25"/>
    <row r="4076" ht="17.100000000000001" customHeight="1" x14ac:dyDescent="0.25"/>
    <row r="4077" ht="17.100000000000001" customHeight="1" x14ac:dyDescent="0.25"/>
    <row r="4078" ht="17.100000000000001" customHeight="1" x14ac:dyDescent="0.25"/>
    <row r="4079" ht="17.100000000000001" customHeight="1" x14ac:dyDescent="0.25"/>
    <row r="4080" ht="17.100000000000001" customHeight="1" x14ac:dyDescent="0.25"/>
    <row r="4081" ht="17.100000000000001" customHeight="1" x14ac:dyDescent="0.25"/>
    <row r="4082" ht="17.100000000000001" customHeight="1" x14ac:dyDescent="0.25"/>
    <row r="4083" ht="17.100000000000001" customHeight="1" x14ac:dyDescent="0.25"/>
    <row r="4084" ht="17.100000000000001" customHeight="1" x14ac:dyDescent="0.25"/>
    <row r="4085" ht="17.100000000000001" customHeight="1" x14ac:dyDescent="0.25"/>
    <row r="4086" ht="17.100000000000001" customHeight="1" x14ac:dyDescent="0.25"/>
    <row r="4087" ht="17.100000000000001" customHeight="1" x14ac:dyDescent="0.25"/>
    <row r="4088" ht="17.100000000000001" customHeight="1" x14ac:dyDescent="0.25"/>
    <row r="4089" ht="17.100000000000001" customHeight="1" x14ac:dyDescent="0.25"/>
    <row r="4090" ht="17.100000000000001" customHeight="1" x14ac:dyDescent="0.25"/>
    <row r="4091" ht="17.100000000000001" customHeight="1" x14ac:dyDescent="0.25"/>
    <row r="4092" ht="17.100000000000001" customHeight="1" x14ac:dyDescent="0.25"/>
    <row r="4093" ht="17.100000000000001" customHeight="1" x14ac:dyDescent="0.25"/>
    <row r="4094" ht="17.100000000000001" customHeight="1" x14ac:dyDescent="0.25"/>
    <row r="4095" ht="17.100000000000001" customHeight="1" x14ac:dyDescent="0.25"/>
    <row r="4096" ht="17.100000000000001" customHeight="1" x14ac:dyDescent="0.25"/>
    <row r="4097" ht="17.100000000000001" customHeight="1" x14ac:dyDescent="0.25"/>
    <row r="4098" ht="17.100000000000001" customHeight="1" x14ac:dyDescent="0.25"/>
    <row r="4099" ht="17.100000000000001" customHeight="1" x14ac:dyDescent="0.25"/>
    <row r="4100" ht="17.100000000000001" customHeight="1" x14ac:dyDescent="0.25"/>
    <row r="4101" ht="17.100000000000001" customHeight="1" x14ac:dyDescent="0.25"/>
    <row r="4102" ht="17.100000000000001" customHeight="1" x14ac:dyDescent="0.25"/>
    <row r="4103" ht="17.100000000000001" customHeight="1" x14ac:dyDescent="0.25"/>
    <row r="4104" ht="17.100000000000001" customHeight="1" x14ac:dyDescent="0.25"/>
    <row r="4105" ht="17.100000000000001" customHeight="1" x14ac:dyDescent="0.25"/>
    <row r="4106" ht="17.100000000000001" customHeight="1" x14ac:dyDescent="0.25"/>
    <row r="4107" ht="17.100000000000001" customHeight="1" x14ac:dyDescent="0.25"/>
    <row r="4108" ht="17.100000000000001" customHeight="1" x14ac:dyDescent="0.25"/>
    <row r="4109" ht="17.100000000000001" customHeight="1" x14ac:dyDescent="0.25"/>
    <row r="4110" ht="17.100000000000001" customHeight="1" x14ac:dyDescent="0.25"/>
    <row r="4111" ht="17.100000000000001" customHeight="1" x14ac:dyDescent="0.25"/>
    <row r="4112" ht="17.100000000000001" customHeight="1" x14ac:dyDescent="0.25"/>
    <row r="4113" ht="17.100000000000001" customHeight="1" x14ac:dyDescent="0.25"/>
    <row r="4114" ht="17.100000000000001" customHeight="1" x14ac:dyDescent="0.25"/>
    <row r="4115" ht="17.100000000000001" customHeight="1" x14ac:dyDescent="0.25"/>
    <row r="4116" ht="17.100000000000001" customHeight="1" x14ac:dyDescent="0.25"/>
    <row r="4117" ht="17.100000000000001" customHeight="1" x14ac:dyDescent="0.25"/>
    <row r="4118" ht="17.100000000000001" customHeight="1" x14ac:dyDescent="0.25"/>
    <row r="4119" ht="17.100000000000001" customHeight="1" x14ac:dyDescent="0.25"/>
    <row r="4120" ht="17.100000000000001" customHeight="1" x14ac:dyDescent="0.25"/>
    <row r="4121" ht="17.100000000000001" customHeight="1" x14ac:dyDescent="0.25"/>
    <row r="4122" ht="17.100000000000001" customHeight="1" x14ac:dyDescent="0.25"/>
    <row r="4123" ht="17.100000000000001" customHeight="1" x14ac:dyDescent="0.25"/>
    <row r="4124" ht="17.100000000000001" customHeight="1" x14ac:dyDescent="0.25"/>
    <row r="4125" ht="17.100000000000001" customHeight="1" x14ac:dyDescent="0.25"/>
    <row r="4126" ht="17.100000000000001" customHeight="1" x14ac:dyDescent="0.25"/>
    <row r="4127" ht="17.100000000000001" customHeight="1" x14ac:dyDescent="0.25"/>
    <row r="4128" ht="17.100000000000001" customHeight="1" x14ac:dyDescent="0.25"/>
    <row r="4129" ht="17.100000000000001" customHeight="1" x14ac:dyDescent="0.25"/>
    <row r="4130" ht="17.100000000000001" customHeight="1" x14ac:dyDescent="0.25"/>
    <row r="4131" ht="17.100000000000001" customHeight="1" x14ac:dyDescent="0.25"/>
    <row r="4132" ht="17.100000000000001" customHeight="1" x14ac:dyDescent="0.25"/>
    <row r="4133" ht="17.100000000000001" customHeight="1" x14ac:dyDescent="0.25"/>
    <row r="4134" ht="17.100000000000001" customHeight="1" x14ac:dyDescent="0.25"/>
    <row r="4135" ht="17.100000000000001" customHeight="1" x14ac:dyDescent="0.25"/>
    <row r="4136" ht="17.100000000000001" customHeight="1" x14ac:dyDescent="0.25"/>
    <row r="4137" ht="17.100000000000001" customHeight="1" x14ac:dyDescent="0.25"/>
    <row r="4138" ht="17.100000000000001" customHeight="1" x14ac:dyDescent="0.25"/>
    <row r="4139" ht="17.100000000000001" customHeight="1" x14ac:dyDescent="0.25"/>
    <row r="4140" ht="17.100000000000001" customHeight="1" x14ac:dyDescent="0.25"/>
    <row r="4141" ht="17.100000000000001" customHeight="1" x14ac:dyDescent="0.25"/>
    <row r="4142" ht="17.100000000000001" customHeight="1" x14ac:dyDescent="0.25"/>
    <row r="4143" ht="17.100000000000001" customHeight="1" x14ac:dyDescent="0.25"/>
    <row r="4144" ht="17.100000000000001" customHeight="1" x14ac:dyDescent="0.25"/>
    <row r="4145" ht="17.100000000000001" customHeight="1" x14ac:dyDescent="0.25"/>
    <row r="4146" ht="17.100000000000001" customHeight="1" x14ac:dyDescent="0.25"/>
    <row r="4147" ht="17.100000000000001" customHeight="1" x14ac:dyDescent="0.25"/>
    <row r="4148" ht="17.100000000000001" customHeight="1" x14ac:dyDescent="0.25"/>
    <row r="4149" ht="17.100000000000001" customHeight="1" x14ac:dyDescent="0.25"/>
    <row r="4150" ht="17.100000000000001" customHeight="1" x14ac:dyDescent="0.25"/>
    <row r="4151" ht="17.100000000000001" customHeight="1" x14ac:dyDescent="0.25"/>
    <row r="4152" ht="17.100000000000001" customHeight="1" x14ac:dyDescent="0.25"/>
    <row r="4153" ht="17.100000000000001" customHeight="1" x14ac:dyDescent="0.25"/>
    <row r="4154" ht="17.100000000000001" customHeight="1" x14ac:dyDescent="0.25"/>
    <row r="4155" ht="17.100000000000001" customHeight="1" x14ac:dyDescent="0.25"/>
    <row r="4156" ht="17.100000000000001" customHeight="1" x14ac:dyDescent="0.25"/>
    <row r="4157" ht="17.100000000000001" customHeight="1" x14ac:dyDescent="0.25"/>
    <row r="4158" ht="17.100000000000001" customHeight="1" x14ac:dyDescent="0.25"/>
    <row r="4159" ht="17.100000000000001" customHeight="1" x14ac:dyDescent="0.25"/>
    <row r="4160" ht="17.100000000000001" customHeight="1" x14ac:dyDescent="0.25"/>
    <row r="4161" ht="17.100000000000001" customHeight="1" x14ac:dyDescent="0.25"/>
    <row r="4162" ht="17.100000000000001" customHeight="1" x14ac:dyDescent="0.25"/>
    <row r="4163" ht="17.100000000000001" customHeight="1" x14ac:dyDescent="0.25"/>
    <row r="4164" ht="17.100000000000001" customHeight="1" x14ac:dyDescent="0.25"/>
    <row r="4165" ht="17.100000000000001" customHeight="1" x14ac:dyDescent="0.25"/>
    <row r="4166" ht="17.100000000000001" customHeight="1" x14ac:dyDescent="0.25"/>
    <row r="4167" ht="17.100000000000001" customHeight="1" x14ac:dyDescent="0.25"/>
    <row r="4168" ht="17.100000000000001" customHeight="1" x14ac:dyDescent="0.25"/>
    <row r="4169" ht="17.100000000000001" customHeight="1" x14ac:dyDescent="0.25"/>
    <row r="4170" ht="17.100000000000001" customHeight="1" x14ac:dyDescent="0.25"/>
    <row r="4171" ht="17.100000000000001" customHeight="1" x14ac:dyDescent="0.25"/>
    <row r="4172" ht="17.100000000000001" customHeight="1" x14ac:dyDescent="0.25"/>
    <row r="4173" ht="17.100000000000001" customHeight="1" x14ac:dyDescent="0.25"/>
    <row r="4174" ht="17.100000000000001" customHeight="1" x14ac:dyDescent="0.25"/>
    <row r="4175" ht="17.100000000000001" customHeight="1" x14ac:dyDescent="0.25"/>
    <row r="4176" ht="17.100000000000001" customHeight="1" x14ac:dyDescent="0.25"/>
    <row r="4177" ht="17.100000000000001" customHeight="1" x14ac:dyDescent="0.25"/>
    <row r="4178" ht="17.100000000000001" customHeight="1" x14ac:dyDescent="0.25"/>
    <row r="4179" ht="17.100000000000001" customHeight="1" x14ac:dyDescent="0.25"/>
    <row r="4180" ht="17.100000000000001" customHeight="1" x14ac:dyDescent="0.25"/>
    <row r="4181" ht="17.100000000000001" customHeight="1" x14ac:dyDescent="0.25"/>
    <row r="4182" ht="17.100000000000001" customHeight="1" x14ac:dyDescent="0.25"/>
    <row r="4183" ht="17.100000000000001" customHeight="1" x14ac:dyDescent="0.25"/>
    <row r="4184" ht="17.100000000000001" customHeight="1" x14ac:dyDescent="0.25"/>
    <row r="4185" ht="17.100000000000001" customHeight="1" x14ac:dyDescent="0.25"/>
    <row r="4186" ht="17.100000000000001" customHeight="1" x14ac:dyDescent="0.25"/>
    <row r="4187" ht="17.100000000000001" customHeight="1" x14ac:dyDescent="0.25"/>
    <row r="4188" ht="17.100000000000001" customHeight="1" x14ac:dyDescent="0.25"/>
    <row r="4189" ht="17.100000000000001" customHeight="1" x14ac:dyDescent="0.25"/>
    <row r="4190" ht="17.100000000000001" customHeight="1" x14ac:dyDescent="0.25"/>
    <row r="4191" ht="17.100000000000001" customHeight="1" x14ac:dyDescent="0.25"/>
    <row r="4192" ht="17.100000000000001" customHeight="1" x14ac:dyDescent="0.25"/>
    <row r="4193" ht="17.100000000000001" customHeight="1" x14ac:dyDescent="0.25"/>
    <row r="4194" ht="17.100000000000001" customHeight="1" x14ac:dyDescent="0.25"/>
    <row r="4195" ht="17.100000000000001" customHeight="1" x14ac:dyDescent="0.25"/>
    <row r="4196" ht="17.100000000000001" customHeight="1" x14ac:dyDescent="0.25"/>
    <row r="4197" ht="17.100000000000001" customHeight="1" x14ac:dyDescent="0.25"/>
    <row r="4198" ht="17.100000000000001" customHeight="1" x14ac:dyDescent="0.25"/>
    <row r="4199" ht="17.100000000000001" customHeight="1" x14ac:dyDescent="0.25"/>
    <row r="4200" ht="17.100000000000001" customHeight="1" x14ac:dyDescent="0.25"/>
    <row r="4201" ht="17.100000000000001" customHeight="1" x14ac:dyDescent="0.25"/>
    <row r="4202" ht="17.100000000000001" customHeight="1" x14ac:dyDescent="0.25"/>
    <row r="4203" ht="17.100000000000001" customHeight="1" x14ac:dyDescent="0.25"/>
    <row r="4204" ht="17.100000000000001" customHeight="1" x14ac:dyDescent="0.25"/>
    <row r="4205" ht="17.100000000000001" customHeight="1" x14ac:dyDescent="0.25"/>
    <row r="4206" ht="17.100000000000001" customHeight="1" x14ac:dyDescent="0.25"/>
    <row r="4207" ht="17.100000000000001" customHeight="1" x14ac:dyDescent="0.25"/>
    <row r="4208" ht="17.100000000000001" customHeight="1" x14ac:dyDescent="0.25"/>
    <row r="4209" ht="17.100000000000001" customHeight="1" x14ac:dyDescent="0.25"/>
    <row r="4210" ht="17.100000000000001" customHeight="1" x14ac:dyDescent="0.25"/>
    <row r="4211" ht="17.100000000000001" customHeight="1" x14ac:dyDescent="0.25"/>
    <row r="4212" ht="17.100000000000001" customHeight="1" x14ac:dyDescent="0.25"/>
    <row r="4213" ht="17.100000000000001" customHeight="1" x14ac:dyDescent="0.25"/>
    <row r="4214" ht="17.100000000000001" customHeight="1" x14ac:dyDescent="0.25"/>
    <row r="4215" ht="17.100000000000001" customHeight="1" x14ac:dyDescent="0.25"/>
    <row r="4216" ht="17.100000000000001" customHeight="1" x14ac:dyDescent="0.25"/>
    <row r="4217" ht="17.100000000000001" customHeight="1" x14ac:dyDescent="0.25"/>
    <row r="4218" ht="17.100000000000001" customHeight="1" x14ac:dyDescent="0.25"/>
    <row r="4219" ht="17.100000000000001" customHeight="1" x14ac:dyDescent="0.25"/>
    <row r="4220" ht="17.100000000000001" customHeight="1" x14ac:dyDescent="0.25"/>
    <row r="4221" ht="17.100000000000001" customHeight="1" x14ac:dyDescent="0.25"/>
    <row r="4222" ht="17.100000000000001" customHeight="1" x14ac:dyDescent="0.25"/>
    <row r="4223" ht="17.100000000000001" customHeight="1" x14ac:dyDescent="0.25"/>
    <row r="4224" ht="17.100000000000001" customHeight="1" x14ac:dyDescent="0.25"/>
    <row r="4225" ht="17.100000000000001" customHeight="1" x14ac:dyDescent="0.25"/>
    <row r="4226" ht="17.100000000000001" customHeight="1" x14ac:dyDescent="0.25"/>
    <row r="4227" ht="17.100000000000001" customHeight="1" x14ac:dyDescent="0.25"/>
    <row r="4228" ht="17.100000000000001" customHeight="1" x14ac:dyDescent="0.25"/>
    <row r="4229" ht="17.100000000000001" customHeight="1" x14ac:dyDescent="0.25"/>
    <row r="4230" ht="17.100000000000001" customHeight="1" x14ac:dyDescent="0.25"/>
    <row r="4231" ht="17.100000000000001" customHeight="1" x14ac:dyDescent="0.25"/>
    <row r="4232" ht="17.100000000000001" customHeight="1" x14ac:dyDescent="0.25"/>
    <row r="4233" ht="17.100000000000001" customHeight="1" x14ac:dyDescent="0.25"/>
    <row r="4234" ht="17.100000000000001" customHeight="1" x14ac:dyDescent="0.25"/>
    <row r="4235" ht="17.100000000000001" customHeight="1" x14ac:dyDescent="0.25"/>
    <row r="4236" ht="17.100000000000001" customHeight="1" x14ac:dyDescent="0.25"/>
    <row r="4237" ht="17.100000000000001" customHeight="1" x14ac:dyDescent="0.25"/>
    <row r="4238" ht="17.100000000000001" customHeight="1" x14ac:dyDescent="0.25"/>
    <row r="4239" ht="17.100000000000001" customHeight="1" x14ac:dyDescent="0.25"/>
    <row r="4240" ht="17.100000000000001" customHeight="1" x14ac:dyDescent="0.25"/>
    <row r="4241" ht="17.100000000000001" customHeight="1" x14ac:dyDescent="0.25"/>
    <row r="4242" ht="17.100000000000001" customHeight="1" x14ac:dyDescent="0.25"/>
    <row r="4243" ht="17.100000000000001" customHeight="1" x14ac:dyDescent="0.25"/>
    <row r="4244" ht="17.100000000000001" customHeight="1" x14ac:dyDescent="0.25"/>
    <row r="4245" ht="17.100000000000001" customHeight="1" x14ac:dyDescent="0.25"/>
    <row r="4246" ht="17.100000000000001" customHeight="1" x14ac:dyDescent="0.25"/>
    <row r="4247" ht="17.100000000000001" customHeight="1" x14ac:dyDescent="0.25"/>
    <row r="4248" ht="17.100000000000001" customHeight="1" x14ac:dyDescent="0.25"/>
    <row r="4249" ht="17.100000000000001" customHeight="1" x14ac:dyDescent="0.25"/>
    <row r="4250" ht="17.100000000000001" customHeight="1" x14ac:dyDescent="0.25"/>
    <row r="4251" ht="17.100000000000001" customHeight="1" x14ac:dyDescent="0.25"/>
    <row r="4252" ht="17.100000000000001" customHeight="1" x14ac:dyDescent="0.25"/>
    <row r="4253" ht="17.100000000000001" customHeight="1" x14ac:dyDescent="0.25"/>
    <row r="4254" ht="17.100000000000001" customHeight="1" x14ac:dyDescent="0.25"/>
    <row r="4255" ht="17.100000000000001" customHeight="1" x14ac:dyDescent="0.25"/>
    <row r="4256" ht="17.100000000000001" customHeight="1" x14ac:dyDescent="0.25"/>
    <row r="4257" ht="17.100000000000001" customHeight="1" x14ac:dyDescent="0.25"/>
    <row r="4258" ht="17.100000000000001" customHeight="1" x14ac:dyDescent="0.25"/>
    <row r="4259" ht="17.100000000000001" customHeight="1" x14ac:dyDescent="0.25"/>
    <row r="4260" ht="17.100000000000001" customHeight="1" x14ac:dyDescent="0.25"/>
    <row r="4261" ht="17.100000000000001" customHeight="1" x14ac:dyDescent="0.25"/>
    <row r="4262" ht="17.100000000000001" customHeight="1" x14ac:dyDescent="0.25"/>
    <row r="4263" ht="17.100000000000001" customHeight="1" x14ac:dyDescent="0.25"/>
    <row r="4264" ht="17.100000000000001" customHeight="1" x14ac:dyDescent="0.25"/>
    <row r="4265" ht="17.100000000000001" customHeight="1" x14ac:dyDescent="0.25"/>
    <row r="4266" ht="17.100000000000001" customHeight="1" x14ac:dyDescent="0.25"/>
    <row r="4267" ht="17.100000000000001" customHeight="1" x14ac:dyDescent="0.25"/>
    <row r="4268" ht="17.100000000000001" customHeight="1" x14ac:dyDescent="0.25"/>
    <row r="4269" ht="17.100000000000001" customHeight="1" x14ac:dyDescent="0.25"/>
    <row r="4270" ht="17.100000000000001" customHeight="1" x14ac:dyDescent="0.25"/>
    <row r="4271" ht="17.100000000000001" customHeight="1" x14ac:dyDescent="0.25"/>
    <row r="4272" ht="17.100000000000001" customHeight="1" x14ac:dyDescent="0.25"/>
    <row r="4273" ht="17.100000000000001" customHeight="1" x14ac:dyDescent="0.25"/>
    <row r="4274" ht="17.100000000000001" customHeight="1" x14ac:dyDescent="0.25"/>
    <row r="4275" ht="17.100000000000001" customHeight="1" x14ac:dyDescent="0.25"/>
    <row r="4276" ht="17.100000000000001" customHeight="1" x14ac:dyDescent="0.25"/>
    <row r="4277" ht="17.100000000000001" customHeight="1" x14ac:dyDescent="0.25"/>
    <row r="4278" ht="17.100000000000001" customHeight="1" x14ac:dyDescent="0.25"/>
    <row r="4279" ht="17.100000000000001" customHeight="1" x14ac:dyDescent="0.25"/>
    <row r="4280" ht="17.100000000000001" customHeight="1" x14ac:dyDescent="0.25"/>
    <row r="4281" ht="17.100000000000001" customHeight="1" x14ac:dyDescent="0.25"/>
    <row r="4282" ht="17.100000000000001" customHeight="1" x14ac:dyDescent="0.25"/>
    <row r="4283" ht="17.100000000000001" customHeight="1" x14ac:dyDescent="0.25"/>
    <row r="4284" ht="17.100000000000001" customHeight="1" x14ac:dyDescent="0.25"/>
    <row r="4285" ht="17.100000000000001" customHeight="1" x14ac:dyDescent="0.25"/>
    <row r="4286" ht="17.100000000000001" customHeight="1" x14ac:dyDescent="0.25"/>
    <row r="4287" ht="17.100000000000001" customHeight="1" x14ac:dyDescent="0.25"/>
    <row r="4288" ht="17.100000000000001" customHeight="1" x14ac:dyDescent="0.25"/>
    <row r="4289" ht="17.100000000000001" customHeight="1" x14ac:dyDescent="0.25"/>
    <row r="4290" ht="17.100000000000001" customHeight="1" x14ac:dyDescent="0.25"/>
    <row r="4291" ht="17.100000000000001" customHeight="1" x14ac:dyDescent="0.25"/>
    <row r="4292" ht="17.100000000000001" customHeight="1" x14ac:dyDescent="0.25"/>
    <row r="4293" ht="17.100000000000001" customHeight="1" x14ac:dyDescent="0.25"/>
    <row r="4294" ht="17.100000000000001" customHeight="1" x14ac:dyDescent="0.25"/>
    <row r="4295" ht="17.100000000000001" customHeight="1" x14ac:dyDescent="0.25"/>
    <row r="4296" ht="17.100000000000001" customHeight="1" x14ac:dyDescent="0.25"/>
    <row r="4297" ht="17.100000000000001" customHeight="1" x14ac:dyDescent="0.25"/>
    <row r="4298" ht="17.100000000000001" customHeight="1" x14ac:dyDescent="0.25"/>
    <row r="4299" ht="17.100000000000001" customHeight="1" x14ac:dyDescent="0.25"/>
    <row r="4300" ht="17.100000000000001" customHeight="1" x14ac:dyDescent="0.25"/>
    <row r="4301" ht="17.100000000000001" customHeight="1" x14ac:dyDescent="0.25"/>
    <row r="4302" ht="17.100000000000001" customHeight="1" x14ac:dyDescent="0.25"/>
    <row r="4303" ht="17.100000000000001" customHeight="1" x14ac:dyDescent="0.25"/>
    <row r="4304" ht="17.100000000000001" customHeight="1" x14ac:dyDescent="0.25"/>
    <row r="4305" ht="17.100000000000001" customHeight="1" x14ac:dyDescent="0.25"/>
    <row r="4306" ht="17.100000000000001" customHeight="1" x14ac:dyDescent="0.25"/>
    <row r="4307" ht="17.100000000000001" customHeight="1" x14ac:dyDescent="0.25"/>
    <row r="4308" ht="17.100000000000001" customHeight="1" x14ac:dyDescent="0.25"/>
    <row r="4309" ht="17.100000000000001" customHeight="1" x14ac:dyDescent="0.25"/>
    <row r="4310" ht="17.100000000000001" customHeight="1" x14ac:dyDescent="0.25"/>
    <row r="4311" ht="17.100000000000001" customHeight="1" x14ac:dyDescent="0.25"/>
    <row r="4312" ht="17.100000000000001" customHeight="1" x14ac:dyDescent="0.25"/>
    <row r="4313" ht="17.100000000000001" customHeight="1" x14ac:dyDescent="0.25"/>
    <row r="4314" ht="17.100000000000001" customHeight="1" x14ac:dyDescent="0.25"/>
    <row r="4315" ht="17.100000000000001" customHeight="1" x14ac:dyDescent="0.25"/>
    <row r="4316" ht="17.100000000000001" customHeight="1" x14ac:dyDescent="0.25"/>
    <row r="4317" ht="17.100000000000001" customHeight="1" x14ac:dyDescent="0.25"/>
    <row r="4318" ht="17.100000000000001" customHeight="1" x14ac:dyDescent="0.25"/>
    <row r="4319" ht="17.100000000000001" customHeight="1" x14ac:dyDescent="0.25"/>
    <row r="4320" ht="17.100000000000001" customHeight="1" x14ac:dyDescent="0.25"/>
    <row r="4321" ht="17.100000000000001" customHeight="1" x14ac:dyDescent="0.25"/>
    <row r="4322" ht="17.100000000000001" customHeight="1" x14ac:dyDescent="0.25"/>
    <row r="4323" ht="17.100000000000001" customHeight="1" x14ac:dyDescent="0.25"/>
    <row r="4324" ht="17.100000000000001" customHeight="1" x14ac:dyDescent="0.25"/>
    <row r="4325" ht="17.100000000000001" customHeight="1" x14ac:dyDescent="0.25"/>
    <row r="4326" ht="17.100000000000001" customHeight="1" x14ac:dyDescent="0.25"/>
    <row r="4327" ht="17.100000000000001" customHeight="1" x14ac:dyDescent="0.25"/>
    <row r="4328" ht="17.100000000000001" customHeight="1" x14ac:dyDescent="0.25"/>
    <row r="4329" ht="17.100000000000001" customHeight="1" x14ac:dyDescent="0.25"/>
    <row r="4330" ht="17.100000000000001" customHeight="1" x14ac:dyDescent="0.25"/>
    <row r="4331" ht="17.100000000000001" customHeight="1" x14ac:dyDescent="0.25"/>
    <row r="4332" ht="17.100000000000001" customHeight="1" x14ac:dyDescent="0.25"/>
    <row r="4333" ht="17.100000000000001" customHeight="1" x14ac:dyDescent="0.25"/>
    <row r="4334" ht="17.100000000000001" customHeight="1" x14ac:dyDescent="0.25"/>
    <row r="4335" ht="17.100000000000001" customHeight="1" x14ac:dyDescent="0.25"/>
    <row r="4336" ht="17.100000000000001" customHeight="1" x14ac:dyDescent="0.25"/>
    <row r="4337" ht="17.100000000000001" customHeight="1" x14ac:dyDescent="0.25"/>
    <row r="4338" ht="17.100000000000001" customHeight="1" x14ac:dyDescent="0.25"/>
    <row r="4339" ht="17.100000000000001" customHeight="1" x14ac:dyDescent="0.25"/>
    <row r="4340" ht="17.100000000000001" customHeight="1" x14ac:dyDescent="0.25"/>
    <row r="4341" ht="17.100000000000001" customHeight="1" x14ac:dyDescent="0.25"/>
    <row r="4342" ht="17.100000000000001" customHeight="1" x14ac:dyDescent="0.25"/>
    <row r="4343" ht="17.100000000000001" customHeight="1" x14ac:dyDescent="0.25"/>
    <row r="4344" ht="17.100000000000001" customHeight="1" x14ac:dyDescent="0.25"/>
    <row r="4345" ht="17.100000000000001" customHeight="1" x14ac:dyDescent="0.25"/>
    <row r="4346" ht="17.100000000000001" customHeight="1" x14ac:dyDescent="0.25"/>
    <row r="4347" ht="17.100000000000001" customHeight="1" x14ac:dyDescent="0.25"/>
    <row r="4348" ht="17.100000000000001" customHeight="1" x14ac:dyDescent="0.25"/>
    <row r="4349" ht="17.100000000000001" customHeight="1" x14ac:dyDescent="0.25"/>
    <row r="4350" ht="17.100000000000001" customHeight="1" x14ac:dyDescent="0.25"/>
    <row r="4351" ht="17.100000000000001" customHeight="1" x14ac:dyDescent="0.25"/>
    <row r="4352" ht="17.100000000000001" customHeight="1" x14ac:dyDescent="0.25"/>
    <row r="4353" ht="17.100000000000001" customHeight="1" x14ac:dyDescent="0.25"/>
    <row r="4354" ht="17.100000000000001" customHeight="1" x14ac:dyDescent="0.25"/>
    <row r="4355" ht="17.100000000000001" customHeight="1" x14ac:dyDescent="0.25"/>
    <row r="4356" ht="17.100000000000001" customHeight="1" x14ac:dyDescent="0.25"/>
    <row r="4357" ht="17.100000000000001" customHeight="1" x14ac:dyDescent="0.25"/>
    <row r="4358" ht="17.100000000000001" customHeight="1" x14ac:dyDescent="0.25"/>
    <row r="4359" ht="17.100000000000001" customHeight="1" x14ac:dyDescent="0.25"/>
    <row r="4360" ht="17.100000000000001" customHeight="1" x14ac:dyDescent="0.25"/>
    <row r="4361" ht="17.100000000000001" customHeight="1" x14ac:dyDescent="0.25"/>
    <row r="4362" ht="17.100000000000001" customHeight="1" x14ac:dyDescent="0.25"/>
    <row r="4363" ht="17.100000000000001" customHeight="1" x14ac:dyDescent="0.25"/>
    <row r="4364" ht="17.100000000000001" customHeight="1" x14ac:dyDescent="0.25"/>
    <row r="4365" ht="17.100000000000001" customHeight="1" x14ac:dyDescent="0.25"/>
    <row r="4366" ht="17.100000000000001" customHeight="1" x14ac:dyDescent="0.25"/>
    <row r="4367" ht="17.100000000000001" customHeight="1" x14ac:dyDescent="0.25"/>
    <row r="4368" ht="17.100000000000001" customHeight="1" x14ac:dyDescent="0.25"/>
    <row r="4369" ht="17.100000000000001" customHeight="1" x14ac:dyDescent="0.25"/>
    <row r="4370" ht="17.100000000000001" customHeight="1" x14ac:dyDescent="0.25"/>
    <row r="4371" ht="17.100000000000001" customHeight="1" x14ac:dyDescent="0.25"/>
    <row r="4372" ht="17.100000000000001" customHeight="1" x14ac:dyDescent="0.25"/>
    <row r="4373" ht="17.100000000000001" customHeight="1" x14ac:dyDescent="0.25"/>
    <row r="4374" ht="17.100000000000001" customHeight="1" x14ac:dyDescent="0.25"/>
    <row r="4375" ht="17.100000000000001" customHeight="1" x14ac:dyDescent="0.25"/>
    <row r="4376" ht="17.100000000000001" customHeight="1" x14ac:dyDescent="0.25"/>
    <row r="4377" ht="17.100000000000001" customHeight="1" x14ac:dyDescent="0.25"/>
    <row r="4378" ht="17.100000000000001" customHeight="1" x14ac:dyDescent="0.25"/>
    <row r="4379" ht="17.100000000000001" customHeight="1" x14ac:dyDescent="0.25"/>
    <row r="4380" ht="17.100000000000001" customHeight="1" x14ac:dyDescent="0.25"/>
    <row r="4381" ht="17.100000000000001" customHeight="1" x14ac:dyDescent="0.25"/>
    <row r="4382" ht="17.100000000000001" customHeight="1" x14ac:dyDescent="0.25"/>
    <row r="4383" ht="17.100000000000001" customHeight="1" x14ac:dyDescent="0.25"/>
    <row r="4384" ht="17.100000000000001" customHeight="1" x14ac:dyDescent="0.25"/>
    <row r="4385" ht="17.100000000000001" customHeight="1" x14ac:dyDescent="0.25"/>
    <row r="4386" ht="17.100000000000001" customHeight="1" x14ac:dyDescent="0.25"/>
    <row r="4387" ht="17.100000000000001" customHeight="1" x14ac:dyDescent="0.25"/>
    <row r="4388" ht="17.100000000000001" customHeight="1" x14ac:dyDescent="0.25"/>
    <row r="4389" ht="17.100000000000001" customHeight="1" x14ac:dyDescent="0.25"/>
    <row r="4390" ht="17.100000000000001" customHeight="1" x14ac:dyDescent="0.25"/>
    <row r="4391" ht="17.100000000000001" customHeight="1" x14ac:dyDescent="0.25"/>
    <row r="4392" ht="17.100000000000001" customHeight="1" x14ac:dyDescent="0.25"/>
    <row r="4393" ht="17.100000000000001" customHeight="1" x14ac:dyDescent="0.25"/>
    <row r="4394" ht="17.100000000000001" customHeight="1" x14ac:dyDescent="0.25"/>
    <row r="4395" ht="17.100000000000001" customHeight="1" x14ac:dyDescent="0.25"/>
    <row r="4396" ht="17.100000000000001" customHeight="1" x14ac:dyDescent="0.25"/>
    <row r="4397" ht="17.100000000000001" customHeight="1" x14ac:dyDescent="0.25"/>
    <row r="4398" ht="17.100000000000001" customHeight="1" x14ac:dyDescent="0.25"/>
    <row r="4399" ht="17.100000000000001" customHeight="1" x14ac:dyDescent="0.25"/>
    <row r="4400" ht="17.100000000000001" customHeight="1" x14ac:dyDescent="0.25"/>
    <row r="4401" ht="17.100000000000001" customHeight="1" x14ac:dyDescent="0.25"/>
    <row r="4402" ht="17.100000000000001" customHeight="1" x14ac:dyDescent="0.25"/>
    <row r="4403" ht="17.100000000000001" customHeight="1" x14ac:dyDescent="0.25"/>
    <row r="4404" ht="17.100000000000001" customHeight="1" x14ac:dyDescent="0.25"/>
    <row r="4405" ht="17.100000000000001" customHeight="1" x14ac:dyDescent="0.25"/>
    <row r="4406" ht="17.100000000000001" customHeight="1" x14ac:dyDescent="0.25"/>
    <row r="4407" ht="17.100000000000001" customHeight="1" x14ac:dyDescent="0.25"/>
    <row r="4408" ht="17.100000000000001" customHeight="1" x14ac:dyDescent="0.25"/>
    <row r="4409" ht="17.100000000000001" customHeight="1" x14ac:dyDescent="0.25"/>
    <row r="4410" ht="17.100000000000001" customHeight="1" x14ac:dyDescent="0.25"/>
    <row r="4411" ht="17.100000000000001" customHeight="1" x14ac:dyDescent="0.25"/>
    <row r="4412" ht="17.100000000000001" customHeight="1" x14ac:dyDescent="0.25"/>
    <row r="4413" ht="17.100000000000001" customHeight="1" x14ac:dyDescent="0.25"/>
    <row r="4414" ht="17.100000000000001" customHeight="1" x14ac:dyDescent="0.25"/>
    <row r="4415" ht="17.100000000000001" customHeight="1" x14ac:dyDescent="0.25"/>
    <row r="4416" ht="17.100000000000001" customHeight="1" x14ac:dyDescent="0.25"/>
    <row r="4417" ht="17.100000000000001" customHeight="1" x14ac:dyDescent="0.25"/>
    <row r="4418" ht="17.100000000000001" customHeight="1" x14ac:dyDescent="0.25"/>
    <row r="4419" ht="17.100000000000001" customHeight="1" x14ac:dyDescent="0.25"/>
    <row r="4420" ht="17.100000000000001" customHeight="1" x14ac:dyDescent="0.25"/>
    <row r="4421" ht="17.100000000000001" customHeight="1" x14ac:dyDescent="0.25"/>
    <row r="4422" ht="17.100000000000001" customHeight="1" x14ac:dyDescent="0.25"/>
    <row r="4423" ht="17.100000000000001" customHeight="1" x14ac:dyDescent="0.25"/>
    <row r="4424" ht="17.100000000000001" customHeight="1" x14ac:dyDescent="0.25"/>
    <row r="4425" ht="17.100000000000001" customHeight="1" x14ac:dyDescent="0.25"/>
    <row r="4426" ht="17.100000000000001" customHeight="1" x14ac:dyDescent="0.25"/>
    <row r="4427" ht="17.100000000000001" customHeight="1" x14ac:dyDescent="0.25"/>
    <row r="4428" ht="17.100000000000001" customHeight="1" x14ac:dyDescent="0.25"/>
    <row r="4429" ht="17.100000000000001" customHeight="1" x14ac:dyDescent="0.25"/>
    <row r="4430" ht="17.100000000000001" customHeight="1" x14ac:dyDescent="0.25"/>
    <row r="4431" ht="17.100000000000001" customHeight="1" x14ac:dyDescent="0.25"/>
    <row r="4432" ht="17.100000000000001" customHeight="1" x14ac:dyDescent="0.25"/>
    <row r="4433" ht="17.100000000000001" customHeight="1" x14ac:dyDescent="0.25"/>
    <row r="4434" ht="17.100000000000001" customHeight="1" x14ac:dyDescent="0.25"/>
    <row r="4435" ht="17.100000000000001" customHeight="1" x14ac:dyDescent="0.25"/>
    <row r="4436" ht="17.100000000000001" customHeight="1" x14ac:dyDescent="0.25"/>
    <row r="4437" ht="17.100000000000001" customHeight="1" x14ac:dyDescent="0.25"/>
    <row r="4438" ht="17.100000000000001" customHeight="1" x14ac:dyDescent="0.25"/>
    <row r="4439" ht="17.100000000000001" customHeight="1" x14ac:dyDescent="0.25"/>
    <row r="4440" ht="17.100000000000001" customHeight="1" x14ac:dyDescent="0.25"/>
    <row r="4441" ht="17.100000000000001" customHeight="1" x14ac:dyDescent="0.25"/>
    <row r="4442" ht="17.100000000000001" customHeight="1" x14ac:dyDescent="0.25"/>
    <row r="4443" ht="17.100000000000001" customHeight="1" x14ac:dyDescent="0.25"/>
    <row r="4444" ht="17.100000000000001" customHeight="1" x14ac:dyDescent="0.25"/>
    <row r="4445" ht="17.100000000000001" customHeight="1" x14ac:dyDescent="0.25"/>
    <row r="4446" ht="17.100000000000001" customHeight="1" x14ac:dyDescent="0.25"/>
    <row r="4447" ht="17.100000000000001" customHeight="1" x14ac:dyDescent="0.25"/>
    <row r="4448" ht="17.100000000000001" customHeight="1" x14ac:dyDescent="0.25"/>
    <row r="4449" ht="17.100000000000001" customHeight="1" x14ac:dyDescent="0.25"/>
    <row r="4450" ht="17.100000000000001" customHeight="1" x14ac:dyDescent="0.25"/>
    <row r="4451" ht="17.100000000000001" customHeight="1" x14ac:dyDescent="0.25"/>
    <row r="4452" ht="17.100000000000001" customHeight="1" x14ac:dyDescent="0.25"/>
    <row r="4453" ht="17.100000000000001" customHeight="1" x14ac:dyDescent="0.25"/>
    <row r="4454" ht="17.100000000000001" customHeight="1" x14ac:dyDescent="0.25"/>
    <row r="4455" ht="17.100000000000001" customHeight="1" x14ac:dyDescent="0.25"/>
    <row r="4456" ht="17.100000000000001" customHeight="1" x14ac:dyDescent="0.25"/>
    <row r="4457" ht="17.100000000000001" customHeight="1" x14ac:dyDescent="0.25"/>
    <row r="4458" ht="17.100000000000001" customHeight="1" x14ac:dyDescent="0.25"/>
    <row r="4459" ht="17.100000000000001" customHeight="1" x14ac:dyDescent="0.25"/>
    <row r="4460" ht="17.100000000000001" customHeight="1" x14ac:dyDescent="0.25"/>
    <row r="4461" ht="17.100000000000001" customHeight="1" x14ac:dyDescent="0.25"/>
    <row r="4462" ht="17.100000000000001" customHeight="1" x14ac:dyDescent="0.25"/>
    <row r="4463" ht="17.100000000000001" customHeight="1" x14ac:dyDescent="0.25"/>
    <row r="4464" ht="17.100000000000001" customHeight="1" x14ac:dyDescent="0.25"/>
    <row r="4465" ht="17.100000000000001" customHeight="1" x14ac:dyDescent="0.25"/>
    <row r="4466" ht="17.100000000000001" customHeight="1" x14ac:dyDescent="0.25"/>
    <row r="4467" ht="17.100000000000001" customHeight="1" x14ac:dyDescent="0.25"/>
    <row r="4468" ht="17.100000000000001" customHeight="1" x14ac:dyDescent="0.25"/>
    <row r="4469" ht="17.100000000000001" customHeight="1" x14ac:dyDescent="0.25"/>
    <row r="4470" ht="17.100000000000001" customHeight="1" x14ac:dyDescent="0.25"/>
    <row r="4471" ht="17.100000000000001" customHeight="1" x14ac:dyDescent="0.25"/>
    <row r="4472" ht="17.100000000000001" customHeight="1" x14ac:dyDescent="0.25"/>
    <row r="4473" ht="17.100000000000001" customHeight="1" x14ac:dyDescent="0.25"/>
    <row r="4474" ht="17.100000000000001" customHeight="1" x14ac:dyDescent="0.25"/>
    <row r="4475" ht="17.100000000000001" customHeight="1" x14ac:dyDescent="0.25"/>
    <row r="4476" ht="17.100000000000001" customHeight="1" x14ac:dyDescent="0.25"/>
    <row r="4477" ht="17.100000000000001" customHeight="1" x14ac:dyDescent="0.25"/>
    <row r="4478" ht="17.100000000000001" customHeight="1" x14ac:dyDescent="0.25"/>
    <row r="4479" ht="17.100000000000001" customHeight="1" x14ac:dyDescent="0.25"/>
    <row r="4480" ht="17.100000000000001" customHeight="1" x14ac:dyDescent="0.25"/>
    <row r="4481" ht="17.100000000000001" customHeight="1" x14ac:dyDescent="0.25"/>
    <row r="4482" ht="17.100000000000001" customHeight="1" x14ac:dyDescent="0.25"/>
    <row r="4483" ht="17.100000000000001" customHeight="1" x14ac:dyDescent="0.25"/>
    <row r="4484" ht="17.100000000000001" customHeight="1" x14ac:dyDescent="0.25"/>
    <row r="4485" ht="17.100000000000001" customHeight="1" x14ac:dyDescent="0.25"/>
    <row r="4486" ht="17.100000000000001" customHeight="1" x14ac:dyDescent="0.25"/>
    <row r="4487" ht="17.100000000000001" customHeight="1" x14ac:dyDescent="0.25"/>
    <row r="4488" ht="17.100000000000001" customHeight="1" x14ac:dyDescent="0.25"/>
    <row r="4489" ht="17.100000000000001" customHeight="1" x14ac:dyDescent="0.25"/>
    <row r="4490" ht="17.100000000000001" customHeight="1" x14ac:dyDescent="0.25"/>
    <row r="4491" ht="17.100000000000001" customHeight="1" x14ac:dyDescent="0.25"/>
    <row r="4492" ht="17.100000000000001" customHeight="1" x14ac:dyDescent="0.25"/>
    <row r="4493" ht="17.100000000000001" customHeight="1" x14ac:dyDescent="0.25"/>
    <row r="4494" ht="17.100000000000001" customHeight="1" x14ac:dyDescent="0.25"/>
    <row r="4495" ht="17.100000000000001" customHeight="1" x14ac:dyDescent="0.25"/>
    <row r="4496" ht="17.100000000000001" customHeight="1" x14ac:dyDescent="0.25"/>
    <row r="4497" ht="17.100000000000001" customHeight="1" x14ac:dyDescent="0.25"/>
    <row r="4498" ht="17.100000000000001" customHeight="1" x14ac:dyDescent="0.25"/>
    <row r="4499" ht="17.100000000000001" customHeight="1" x14ac:dyDescent="0.25"/>
    <row r="4500" ht="17.100000000000001" customHeight="1" x14ac:dyDescent="0.25"/>
    <row r="4501" ht="17.100000000000001" customHeight="1" x14ac:dyDescent="0.25"/>
    <row r="4502" ht="17.100000000000001" customHeight="1" x14ac:dyDescent="0.25"/>
    <row r="4503" ht="17.100000000000001" customHeight="1" x14ac:dyDescent="0.25"/>
    <row r="4504" ht="17.100000000000001" customHeight="1" x14ac:dyDescent="0.25"/>
    <row r="4505" ht="17.100000000000001" customHeight="1" x14ac:dyDescent="0.25"/>
    <row r="4506" ht="17.100000000000001" customHeight="1" x14ac:dyDescent="0.25"/>
    <row r="4507" ht="17.100000000000001" customHeight="1" x14ac:dyDescent="0.25"/>
    <row r="4508" ht="17.100000000000001" customHeight="1" x14ac:dyDescent="0.25"/>
    <row r="4509" ht="17.100000000000001" customHeight="1" x14ac:dyDescent="0.25"/>
    <row r="4510" ht="17.100000000000001" customHeight="1" x14ac:dyDescent="0.25"/>
    <row r="4511" ht="17.100000000000001" customHeight="1" x14ac:dyDescent="0.25"/>
    <row r="4512" ht="17.100000000000001" customHeight="1" x14ac:dyDescent="0.25"/>
    <row r="4513" ht="17.100000000000001" customHeight="1" x14ac:dyDescent="0.25"/>
    <row r="4514" ht="17.100000000000001" customHeight="1" x14ac:dyDescent="0.25"/>
    <row r="4515" ht="17.100000000000001" customHeight="1" x14ac:dyDescent="0.25"/>
    <row r="4516" ht="17.100000000000001" customHeight="1" x14ac:dyDescent="0.25"/>
    <row r="4517" ht="17.100000000000001" customHeight="1" x14ac:dyDescent="0.25"/>
    <row r="4518" ht="17.100000000000001" customHeight="1" x14ac:dyDescent="0.25"/>
    <row r="4519" ht="17.100000000000001" customHeight="1" x14ac:dyDescent="0.25"/>
    <row r="4520" ht="17.100000000000001" customHeight="1" x14ac:dyDescent="0.25"/>
    <row r="4521" ht="17.100000000000001" customHeight="1" x14ac:dyDescent="0.25"/>
    <row r="4522" ht="17.100000000000001" customHeight="1" x14ac:dyDescent="0.25"/>
    <row r="4523" ht="17.100000000000001" customHeight="1" x14ac:dyDescent="0.25"/>
    <row r="4524" ht="17.100000000000001" customHeight="1" x14ac:dyDescent="0.25"/>
    <row r="4525" ht="17.100000000000001" customHeight="1" x14ac:dyDescent="0.25"/>
    <row r="4526" ht="17.100000000000001" customHeight="1" x14ac:dyDescent="0.25"/>
    <row r="4527" ht="17.100000000000001" customHeight="1" x14ac:dyDescent="0.25"/>
    <row r="4528" ht="17.100000000000001" customHeight="1" x14ac:dyDescent="0.25"/>
    <row r="4529" ht="17.100000000000001" customHeight="1" x14ac:dyDescent="0.25"/>
    <row r="4530" ht="17.100000000000001" customHeight="1" x14ac:dyDescent="0.25"/>
    <row r="4531" ht="17.100000000000001" customHeight="1" x14ac:dyDescent="0.25"/>
    <row r="4532" ht="17.100000000000001" customHeight="1" x14ac:dyDescent="0.25"/>
    <row r="4533" ht="17.100000000000001" customHeight="1" x14ac:dyDescent="0.25"/>
    <row r="4534" ht="17.100000000000001" customHeight="1" x14ac:dyDescent="0.25"/>
    <row r="4535" ht="17.100000000000001" customHeight="1" x14ac:dyDescent="0.25"/>
    <row r="4536" ht="17.100000000000001" customHeight="1" x14ac:dyDescent="0.25"/>
    <row r="4537" ht="17.100000000000001" customHeight="1" x14ac:dyDescent="0.25"/>
    <row r="4538" ht="17.100000000000001" customHeight="1" x14ac:dyDescent="0.25"/>
    <row r="4539" ht="17.100000000000001" customHeight="1" x14ac:dyDescent="0.25"/>
    <row r="4540" ht="17.100000000000001" customHeight="1" x14ac:dyDescent="0.25"/>
    <row r="4541" ht="17.100000000000001" customHeight="1" x14ac:dyDescent="0.25"/>
    <row r="4542" ht="17.100000000000001" customHeight="1" x14ac:dyDescent="0.25"/>
    <row r="4543" ht="17.100000000000001" customHeight="1" x14ac:dyDescent="0.25"/>
    <row r="4544" ht="17.100000000000001" customHeight="1" x14ac:dyDescent="0.25"/>
    <row r="4545" ht="17.100000000000001" customHeight="1" x14ac:dyDescent="0.25"/>
    <row r="4546" ht="17.100000000000001" customHeight="1" x14ac:dyDescent="0.25"/>
    <row r="4547" ht="17.100000000000001" customHeight="1" x14ac:dyDescent="0.25"/>
    <row r="4548" ht="17.100000000000001" customHeight="1" x14ac:dyDescent="0.25"/>
    <row r="4549" ht="17.100000000000001" customHeight="1" x14ac:dyDescent="0.25"/>
    <row r="4550" ht="17.100000000000001" customHeight="1" x14ac:dyDescent="0.25"/>
    <row r="4551" ht="17.100000000000001" customHeight="1" x14ac:dyDescent="0.25"/>
    <row r="4552" ht="17.100000000000001" customHeight="1" x14ac:dyDescent="0.25"/>
    <row r="4553" ht="17.100000000000001" customHeight="1" x14ac:dyDescent="0.25"/>
    <row r="4554" ht="17.100000000000001" customHeight="1" x14ac:dyDescent="0.25"/>
    <row r="4555" ht="17.100000000000001" customHeight="1" x14ac:dyDescent="0.25"/>
    <row r="4556" ht="17.100000000000001" customHeight="1" x14ac:dyDescent="0.25"/>
    <row r="4557" ht="17.100000000000001" customHeight="1" x14ac:dyDescent="0.25"/>
    <row r="4558" ht="17.100000000000001" customHeight="1" x14ac:dyDescent="0.25"/>
    <row r="4559" ht="17.100000000000001" customHeight="1" x14ac:dyDescent="0.25"/>
    <row r="4560" ht="17.100000000000001" customHeight="1" x14ac:dyDescent="0.25"/>
    <row r="4561" ht="17.100000000000001" customHeight="1" x14ac:dyDescent="0.25"/>
    <row r="4562" ht="17.100000000000001" customHeight="1" x14ac:dyDescent="0.25"/>
    <row r="4563" ht="17.100000000000001" customHeight="1" x14ac:dyDescent="0.25"/>
    <row r="4564" ht="17.100000000000001" customHeight="1" x14ac:dyDescent="0.25"/>
    <row r="4565" ht="17.100000000000001" customHeight="1" x14ac:dyDescent="0.25"/>
    <row r="4566" ht="17.100000000000001" customHeight="1" x14ac:dyDescent="0.25"/>
    <row r="4567" ht="17.100000000000001" customHeight="1" x14ac:dyDescent="0.25"/>
    <row r="4568" ht="17.100000000000001" customHeight="1" x14ac:dyDescent="0.25"/>
    <row r="4569" ht="17.100000000000001" customHeight="1" x14ac:dyDescent="0.25"/>
    <row r="4570" ht="17.100000000000001" customHeight="1" x14ac:dyDescent="0.25"/>
    <row r="4571" ht="17.100000000000001" customHeight="1" x14ac:dyDescent="0.25"/>
    <row r="4572" ht="17.100000000000001" customHeight="1" x14ac:dyDescent="0.25"/>
    <row r="4573" ht="17.100000000000001" customHeight="1" x14ac:dyDescent="0.25"/>
    <row r="4574" ht="17.100000000000001" customHeight="1" x14ac:dyDescent="0.25"/>
    <row r="4575" ht="17.100000000000001" customHeight="1" x14ac:dyDescent="0.25"/>
    <row r="4576" ht="17.100000000000001" customHeight="1" x14ac:dyDescent="0.25"/>
    <row r="4577" ht="17.100000000000001" customHeight="1" x14ac:dyDescent="0.25"/>
    <row r="4578" ht="17.100000000000001" customHeight="1" x14ac:dyDescent="0.25"/>
    <row r="4579" ht="17.100000000000001" customHeight="1" x14ac:dyDescent="0.25"/>
    <row r="4580" ht="17.100000000000001" customHeight="1" x14ac:dyDescent="0.25"/>
    <row r="4581" ht="17.100000000000001" customHeight="1" x14ac:dyDescent="0.25"/>
    <row r="4582" ht="17.100000000000001" customHeight="1" x14ac:dyDescent="0.25"/>
    <row r="4583" ht="17.100000000000001" customHeight="1" x14ac:dyDescent="0.25"/>
    <row r="4584" ht="17.100000000000001" customHeight="1" x14ac:dyDescent="0.25"/>
    <row r="4585" ht="17.100000000000001" customHeight="1" x14ac:dyDescent="0.25"/>
    <row r="4586" ht="17.100000000000001" customHeight="1" x14ac:dyDescent="0.25"/>
    <row r="4587" ht="17.100000000000001" customHeight="1" x14ac:dyDescent="0.25"/>
    <row r="4588" ht="17.100000000000001" customHeight="1" x14ac:dyDescent="0.25"/>
    <row r="4589" ht="17.100000000000001" customHeight="1" x14ac:dyDescent="0.25"/>
    <row r="4590" ht="17.100000000000001" customHeight="1" x14ac:dyDescent="0.25"/>
    <row r="4591" ht="17.100000000000001" customHeight="1" x14ac:dyDescent="0.25"/>
    <row r="4592" ht="17.100000000000001" customHeight="1" x14ac:dyDescent="0.25"/>
    <row r="4593" ht="17.100000000000001" customHeight="1" x14ac:dyDescent="0.25"/>
    <row r="4594" ht="17.100000000000001" customHeight="1" x14ac:dyDescent="0.25"/>
    <row r="4595" ht="17.100000000000001" customHeight="1" x14ac:dyDescent="0.25"/>
    <row r="4596" ht="17.100000000000001" customHeight="1" x14ac:dyDescent="0.25"/>
    <row r="4597" ht="17.100000000000001" customHeight="1" x14ac:dyDescent="0.25"/>
    <row r="4598" ht="17.100000000000001" customHeight="1" x14ac:dyDescent="0.25"/>
    <row r="4599" ht="17.100000000000001" customHeight="1" x14ac:dyDescent="0.25"/>
    <row r="4600" ht="17.100000000000001" customHeight="1" x14ac:dyDescent="0.25"/>
    <row r="4601" ht="17.100000000000001" customHeight="1" x14ac:dyDescent="0.25"/>
    <row r="4602" ht="17.100000000000001" customHeight="1" x14ac:dyDescent="0.25"/>
    <row r="4603" ht="17.100000000000001" customHeight="1" x14ac:dyDescent="0.25"/>
    <row r="4604" ht="17.100000000000001" customHeight="1" x14ac:dyDescent="0.25"/>
    <row r="4605" ht="17.100000000000001" customHeight="1" x14ac:dyDescent="0.25"/>
    <row r="4606" ht="17.100000000000001" customHeight="1" x14ac:dyDescent="0.25"/>
    <row r="4607" ht="17.100000000000001" customHeight="1" x14ac:dyDescent="0.25"/>
    <row r="4608" ht="17.100000000000001" customHeight="1" x14ac:dyDescent="0.25"/>
    <row r="4609" ht="17.100000000000001" customHeight="1" x14ac:dyDescent="0.25"/>
    <row r="4610" ht="17.100000000000001" customHeight="1" x14ac:dyDescent="0.25"/>
    <row r="4611" ht="17.100000000000001" customHeight="1" x14ac:dyDescent="0.25"/>
    <row r="4612" ht="17.100000000000001" customHeight="1" x14ac:dyDescent="0.25"/>
    <row r="4613" ht="17.100000000000001" customHeight="1" x14ac:dyDescent="0.25"/>
    <row r="4614" ht="17.100000000000001" customHeight="1" x14ac:dyDescent="0.25"/>
    <row r="4615" ht="17.100000000000001" customHeight="1" x14ac:dyDescent="0.25"/>
    <row r="4616" ht="17.100000000000001" customHeight="1" x14ac:dyDescent="0.25"/>
    <row r="4617" ht="17.100000000000001" customHeight="1" x14ac:dyDescent="0.25"/>
    <row r="4618" ht="17.100000000000001" customHeight="1" x14ac:dyDescent="0.25"/>
    <row r="4619" ht="17.100000000000001" customHeight="1" x14ac:dyDescent="0.25"/>
    <row r="4620" ht="17.100000000000001" customHeight="1" x14ac:dyDescent="0.25"/>
    <row r="4621" ht="17.100000000000001" customHeight="1" x14ac:dyDescent="0.25"/>
    <row r="4622" ht="17.100000000000001" customHeight="1" x14ac:dyDescent="0.25"/>
    <row r="4623" ht="17.100000000000001" customHeight="1" x14ac:dyDescent="0.25"/>
    <row r="4624" ht="17.100000000000001" customHeight="1" x14ac:dyDescent="0.25"/>
    <row r="4625" ht="17.100000000000001" customHeight="1" x14ac:dyDescent="0.25"/>
    <row r="4626" ht="17.100000000000001" customHeight="1" x14ac:dyDescent="0.25"/>
    <row r="4627" ht="17.100000000000001" customHeight="1" x14ac:dyDescent="0.25"/>
    <row r="4628" ht="17.100000000000001" customHeight="1" x14ac:dyDescent="0.25"/>
    <row r="4629" ht="17.100000000000001" customHeight="1" x14ac:dyDescent="0.25"/>
    <row r="4630" ht="17.100000000000001" customHeight="1" x14ac:dyDescent="0.25"/>
    <row r="4631" ht="17.100000000000001" customHeight="1" x14ac:dyDescent="0.25"/>
    <row r="4632" ht="17.100000000000001" customHeight="1" x14ac:dyDescent="0.25"/>
    <row r="4633" ht="17.100000000000001" customHeight="1" x14ac:dyDescent="0.25"/>
    <row r="4634" ht="17.100000000000001" customHeight="1" x14ac:dyDescent="0.25"/>
    <row r="4635" ht="17.100000000000001" customHeight="1" x14ac:dyDescent="0.25"/>
    <row r="4636" ht="17.100000000000001" customHeight="1" x14ac:dyDescent="0.25"/>
    <row r="4637" ht="17.100000000000001" customHeight="1" x14ac:dyDescent="0.25"/>
    <row r="4638" ht="17.100000000000001" customHeight="1" x14ac:dyDescent="0.25"/>
    <row r="4639" ht="17.100000000000001" customHeight="1" x14ac:dyDescent="0.25"/>
    <row r="4640" ht="17.100000000000001" customHeight="1" x14ac:dyDescent="0.25"/>
    <row r="4641" ht="17.100000000000001" customHeight="1" x14ac:dyDescent="0.25"/>
    <row r="4642" ht="17.100000000000001" customHeight="1" x14ac:dyDescent="0.25"/>
    <row r="4643" ht="17.100000000000001" customHeight="1" x14ac:dyDescent="0.25"/>
    <row r="4644" ht="17.100000000000001" customHeight="1" x14ac:dyDescent="0.25"/>
    <row r="4645" ht="17.100000000000001" customHeight="1" x14ac:dyDescent="0.25"/>
    <row r="4646" ht="17.100000000000001" customHeight="1" x14ac:dyDescent="0.25"/>
    <row r="4647" ht="17.100000000000001" customHeight="1" x14ac:dyDescent="0.25"/>
    <row r="4648" ht="17.100000000000001" customHeight="1" x14ac:dyDescent="0.25"/>
    <row r="4649" ht="17.100000000000001" customHeight="1" x14ac:dyDescent="0.25"/>
    <row r="4650" ht="17.100000000000001" customHeight="1" x14ac:dyDescent="0.25"/>
    <row r="4651" ht="17.100000000000001" customHeight="1" x14ac:dyDescent="0.25"/>
    <row r="4652" ht="17.100000000000001" customHeight="1" x14ac:dyDescent="0.25"/>
    <row r="4653" ht="17.100000000000001" customHeight="1" x14ac:dyDescent="0.25"/>
    <row r="4654" ht="17.100000000000001" customHeight="1" x14ac:dyDescent="0.25"/>
    <row r="4655" ht="17.100000000000001" customHeight="1" x14ac:dyDescent="0.25"/>
    <row r="4656" ht="17.100000000000001" customHeight="1" x14ac:dyDescent="0.25"/>
    <row r="4657" ht="17.100000000000001" customHeight="1" x14ac:dyDescent="0.25"/>
    <row r="4658" ht="17.100000000000001" customHeight="1" x14ac:dyDescent="0.25"/>
    <row r="4659" ht="17.100000000000001" customHeight="1" x14ac:dyDescent="0.25"/>
    <row r="4660" ht="17.100000000000001" customHeight="1" x14ac:dyDescent="0.25"/>
    <row r="4661" ht="17.100000000000001" customHeight="1" x14ac:dyDescent="0.25"/>
    <row r="4662" ht="17.100000000000001" customHeight="1" x14ac:dyDescent="0.25"/>
    <row r="4663" ht="17.100000000000001" customHeight="1" x14ac:dyDescent="0.25"/>
    <row r="4664" ht="17.100000000000001" customHeight="1" x14ac:dyDescent="0.25"/>
    <row r="4665" ht="17.100000000000001" customHeight="1" x14ac:dyDescent="0.25"/>
    <row r="4666" ht="17.100000000000001" customHeight="1" x14ac:dyDescent="0.25"/>
    <row r="4667" ht="17.100000000000001" customHeight="1" x14ac:dyDescent="0.25"/>
    <row r="4668" ht="17.100000000000001" customHeight="1" x14ac:dyDescent="0.25"/>
    <row r="4669" ht="17.100000000000001" customHeight="1" x14ac:dyDescent="0.25"/>
    <row r="4670" ht="17.100000000000001" customHeight="1" x14ac:dyDescent="0.25"/>
    <row r="4671" ht="17.100000000000001" customHeight="1" x14ac:dyDescent="0.25"/>
    <row r="4672" ht="17.100000000000001" customHeight="1" x14ac:dyDescent="0.25"/>
    <row r="4673" ht="17.100000000000001" customHeight="1" x14ac:dyDescent="0.25"/>
    <row r="4674" ht="17.100000000000001" customHeight="1" x14ac:dyDescent="0.25"/>
    <row r="4675" ht="17.100000000000001" customHeight="1" x14ac:dyDescent="0.25"/>
    <row r="4676" ht="17.100000000000001" customHeight="1" x14ac:dyDescent="0.25"/>
    <row r="4677" ht="17.100000000000001" customHeight="1" x14ac:dyDescent="0.25"/>
    <row r="4678" ht="17.100000000000001" customHeight="1" x14ac:dyDescent="0.25"/>
    <row r="4679" ht="17.100000000000001" customHeight="1" x14ac:dyDescent="0.25"/>
    <row r="4680" ht="17.100000000000001" customHeight="1" x14ac:dyDescent="0.25"/>
    <row r="4681" ht="17.100000000000001" customHeight="1" x14ac:dyDescent="0.25"/>
    <row r="4682" ht="17.100000000000001" customHeight="1" x14ac:dyDescent="0.25"/>
    <row r="4683" ht="17.100000000000001" customHeight="1" x14ac:dyDescent="0.25"/>
    <row r="4684" ht="17.100000000000001" customHeight="1" x14ac:dyDescent="0.25"/>
    <row r="4685" ht="17.100000000000001" customHeight="1" x14ac:dyDescent="0.25"/>
    <row r="4686" ht="17.100000000000001" customHeight="1" x14ac:dyDescent="0.25"/>
    <row r="4687" ht="17.100000000000001" customHeight="1" x14ac:dyDescent="0.25"/>
    <row r="4688" ht="17.100000000000001" customHeight="1" x14ac:dyDescent="0.25"/>
    <row r="4689" ht="17.100000000000001" customHeight="1" x14ac:dyDescent="0.25"/>
    <row r="4690" ht="17.100000000000001" customHeight="1" x14ac:dyDescent="0.25"/>
    <row r="4691" ht="17.100000000000001" customHeight="1" x14ac:dyDescent="0.25"/>
    <row r="4692" ht="17.100000000000001" customHeight="1" x14ac:dyDescent="0.25"/>
    <row r="4693" ht="17.100000000000001" customHeight="1" x14ac:dyDescent="0.25"/>
    <row r="4694" ht="17.100000000000001" customHeight="1" x14ac:dyDescent="0.25"/>
    <row r="4695" ht="17.100000000000001" customHeight="1" x14ac:dyDescent="0.25"/>
    <row r="4696" ht="17.100000000000001" customHeight="1" x14ac:dyDescent="0.25"/>
    <row r="4697" ht="17.100000000000001" customHeight="1" x14ac:dyDescent="0.25"/>
    <row r="4698" ht="17.100000000000001" customHeight="1" x14ac:dyDescent="0.25"/>
    <row r="4699" ht="17.100000000000001" customHeight="1" x14ac:dyDescent="0.25"/>
    <row r="4700" ht="17.100000000000001" customHeight="1" x14ac:dyDescent="0.25"/>
    <row r="4701" ht="17.100000000000001" customHeight="1" x14ac:dyDescent="0.25"/>
    <row r="4702" ht="17.100000000000001" customHeight="1" x14ac:dyDescent="0.25"/>
    <row r="4703" ht="17.100000000000001" customHeight="1" x14ac:dyDescent="0.25"/>
    <row r="4704" ht="17.100000000000001" customHeight="1" x14ac:dyDescent="0.25"/>
    <row r="4705" ht="17.100000000000001" customHeight="1" x14ac:dyDescent="0.25"/>
    <row r="4706" ht="17.100000000000001" customHeight="1" x14ac:dyDescent="0.25"/>
    <row r="4707" ht="17.100000000000001" customHeight="1" x14ac:dyDescent="0.25"/>
    <row r="4708" ht="17.100000000000001" customHeight="1" x14ac:dyDescent="0.25"/>
    <row r="4709" ht="17.100000000000001" customHeight="1" x14ac:dyDescent="0.25"/>
    <row r="4710" ht="17.100000000000001" customHeight="1" x14ac:dyDescent="0.25"/>
    <row r="4711" ht="17.100000000000001" customHeight="1" x14ac:dyDescent="0.25"/>
    <row r="4712" ht="17.100000000000001" customHeight="1" x14ac:dyDescent="0.25"/>
    <row r="4713" ht="17.100000000000001" customHeight="1" x14ac:dyDescent="0.25"/>
    <row r="4714" ht="17.100000000000001" customHeight="1" x14ac:dyDescent="0.25"/>
    <row r="4715" ht="17.100000000000001" customHeight="1" x14ac:dyDescent="0.25"/>
    <row r="4716" ht="17.100000000000001" customHeight="1" x14ac:dyDescent="0.25"/>
    <row r="4717" ht="17.100000000000001" customHeight="1" x14ac:dyDescent="0.25"/>
    <row r="4718" ht="17.100000000000001" customHeight="1" x14ac:dyDescent="0.25"/>
    <row r="4719" ht="17.100000000000001" customHeight="1" x14ac:dyDescent="0.25"/>
    <row r="4720" ht="17.100000000000001" customHeight="1" x14ac:dyDescent="0.25"/>
    <row r="4721" ht="17.100000000000001" customHeight="1" x14ac:dyDescent="0.25"/>
    <row r="4722" ht="17.100000000000001" customHeight="1" x14ac:dyDescent="0.25"/>
    <row r="4723" ht="17.100000000000001" customHeight="1" x14ac:dyDescent="0.25"/>
    <row r="4724" ht="17.100000000000001" customHeight="1" x14ac:dyDescent="0.25"/>
    <row r="4725" ht="17.100000000000001" customHeight="1" x14ac:dyDescent="0.25"/>
    <row r="4726" ht="17.100000000000001" customHeight="1" x14ac:dyDescent="0.25"/>
    <row r="4727" ht="17.100000000000001" customHeight="1" x14ac:dyDescent="0.25"/>
    <row r="4728" ht="17.100000000000001" customHeight="1" x14ac:dyDescent="0.25"/>
    <row r="4729" ht="17.100000000000001" customHeight="1" x14ac:dyDescent="0.25"/>
    <row r="4730" ht="17.100000000000001" customHeight="1" x14ac:dyDescent="0.25"/>
    <row r="4731" ht="17.100000000000001" customHeight="1" x14ac:dyDescent="0.25"/>
    <row r="4732" ht="17.100000000000001" customHeight="1" x14ac:dyDescent="0.25"/>
    <row r="4733" ht="17.100000000000001" customHeight="1" x14ac:dyDescent="0.25"/>
    <row r="4734" ht="17.100000000000001" customHeight="1" x14ac:dyDescent="0.25"/>
    <row r="4735" ht="17.100000000000001" customHeight="1" x14ac:dyDescent="0.25"/>
    <row r="4736" ht="17.100000000000001" customHeight="1" x14ac:dyDescent="0.25"/>
    <row r="4737" ht="17.100000000000001" customHeight="1" x14ac:dyDescent="0.25"/>
    <row r="4738" ht="17.100000000000001" customHeight="1" x14ac:dyDescent="0.25"/>
    <row r="4739" ht="17.100000000000001" customHeight="1" x14ac:dyDescent="0.25"/>
    <row r="4740" ht="17.100000000000001" customHeight="1" x14ac:dyDescent="0.25"/>
    <row r="4741" ht="17.100000000000001" customHeight="1" x14ac:dyDescent="0.25"/>
    <row r="4742" ht="17.100000000000001" customHeight="1" x14ac:dyDescent="0.25"/>
    <row r="4743" ht="17.100000000000001" customHeight="1" x14ac:dyDescent="0.25"/>
    <row r="4744" ht="17.100000000000001" customHeight="1" x14ac:dyDescent="0.25"/>
    <row r="4745" ht="17.100000000000001" customHeight="1" x14ac:dyDescent="0.25"/>
    <row r="4746" ht="17.100000000000001" customHeight="1" x14ac:dyDescent="0.25"/>
    <row r="4747" ht="17.100000000000001" customHeight="1" x14ac:dyDescent="0.25"/>
    <row r="4748" ht="17.100000000000001" customHeight="1" x14ac:dyDescent="0.25"/>
    <row r="4749" ht="17.100000000000001" customHeight="1" x14ac:dyDescent="0.25"/>
    <row r="4750" ht="17.100000000000001" customHeight="1" x14ac:dyDescent="0.25"/>
    <row r="4751" ht="17.100000000000001" customHeight="1" x14ac:dyDescent="0.25"/>
    <row r="4752" ht="17.100000000000001" customHeight="1" x14ac:dyDescent="0.25"/>
    <row r="4753" ht="17.100000000000001" customHeight="1" x14ac:dyDescent="0.25"/>
    <row r="4754" ht="17.100000000000001" customHeight="1" x14ac:dyDescent="0.25"/>
    <row r="4755" ht="17.100000000000001" customHeight="1" x14ac:dyDescent="0.25"/>
    <row r="4756" ht="17.100000000000001" customHeight="1" x14ac:dyDescent="0.25"/>
    <row r="4757" ht="17.100000000000001" customHeight="1" x14ac:dyDescent="0.25"/>
    <row r="4758" ht="17.100000000000001" customHeight="1" x14ac:dyDescent="0.25"/>
    <row r="4759" ht="17.100000000000001" customHeight="1" x14ac:dyDescent="0.25"/>
    <row r="4760" ht="17.100000000000001" customHeight="1" x14ac:dyDescent="0.25"/>
    <row r="4761" ht="17.100000000000001" customHeight="1" x14ac:dyDescent="0.25"/>
    <row r="4762" ht="17.100000000000001" customHeight="1" x14ac:dyDescent="0.25"/>
    <row r="4763" ht="17.100000000000001" customHeight="1" x14ac:dyDescent="0.25"/>
    <row r="4764" ht="17.100000000000001" customHeight="1" x14ac:dyDescent="0.25"/>
    <row r="4765" ht="17.100000000000001" customHeight="1" x14ac:dyDescent="0.25"/>
    <row r="4766" ht="17.100000000000001" customHeight="1" x14ac:dyDescent="0.25"/>
    <row r="4767" ht="17.100000000000001" customHeight="1" x14ac:dyDescent="0.25"/>
    <row r="4768" ht="17.100000000000001" customHeight="1" x14ac:dyDescent="0.25"/>
    <row r="4769" ht="17.100000000000001" customHeight="1" x14ac:dyDescent="0.25"/>
    <row r="4770" ht="17.100000000000001" customHeight="1" x14ac:dyDescent="0.25"/>
    <row r="4771" ht="17.100000000000001" customHeight="1" x14ac:dyDescent="0.25"/>
    <row r="4772" ht="17.100000000000001" customHeight="1" x14ac:dyDescent="0.25"/>
    <row r="4773" ht="17.100000000000001" customHeight="1" x14ac:dyDescent="0.25"/>
    <row r="4774" ht="17.100000000000001" customHeight="1" x14ac:dyDescent="0.25"/>
    <row r="4775" ht="17.100000000000001" customHeight="1" x14ac:dyDescent="0.25"/>
    <row r="4776" ht="17.100000000000001" customHeight="1" x14ac:dyDescent="0.25"/>
    <row r="4777" ht="17.100000000000001" customHeight="1" x14ac:dyDescent="0.25"/>
    <row r="4778" ht="17.100000000000001" customHeight="1" x14ac:dyDescent="0.25"/>
    <row r="4779" ht="17.100000000000001" customHeight="1" x14ac:dyDescent="0.25"/>
    <row r="4780" ht="17.100000000000001" customHeight="1" x14ac:dyDescent="0.25"/>
    <row r="4781" ht="17.100000000000001" customHeight="1" x14ac:dyDescent="0.25"/>
    <row r="4782" ht="17.100000000000001" customHeight="1" x14ac:dyDescent="0.25"/>
    <row r="4783" ht="17.100000000000001" customHeight="1" x14ac:dyDescent="0.25"/>
    <row r="4784" ht="17.100000000000001" customHeight="1" x14ac:dyDescent="0.25"/>
    <row r="4785" ht="17.100000000000001" customHeight="1" x14ac:dyDescent="0.25"/>
    <row r="4786" ht="17.100000000000001" customHeight="1" x14ac:dyDescent="0.25"/>
    <row r="4787" ht="17.100000000000001" customHeight="1" x14ac:dyDescent="0.25"/>
    <row r="4788" ht="17.100000000000001" customHeight="1" x14ac:dyDescent="0.25"/>
    <row r="4789" ht="17.100000000000001" customHeight="1" x14ac:dyDescent="0.25"/>
    <row r="4790" ht="17.100000000000001" customHeight="1" x14ac:dyDescent="0.25"/>
    <row r="4791" ht="17.100000000000001" customHeight="1" x14ac:dyDescent="0.25"/>
    <row r="4792" ht="17.100000000000001" customHeight="1" x14ac:dyDescent="0.25"/>
    <row r="4793" ht="17.100000000000001" customHeight="1" x14ac:dyDescent="0.25"/>
    <row r="4794" ht="17.100000000000001" customHeight="1" x14ac:dyDescent="0.25"/>
    <row r="4795" ht="17.100000000000001" customHeight="1" x14ac:dyDescent="0.25"/>
    <row r="4796" ht="17.100000000000001" customHeight="1" x14ac:dyDescent="0.25"/>
    <row r="4797" ht="17.100000000000001" customHeight="1" x14ac:dyDescent="0.25"/>
    <row r="4798" ht="17.100000000000001" customHeight="1" x14ac:dyDescent="0.25"/>
    <row r="4799" ht="17.100000000000001" customHeight="1" x14ac:dyDescent="0.25"/>
    <row r="4800" ht="17.100000000000001" customHeight="1" x14ac:dyDescent="0.25"/>
    <row r="4801" ht="17.100000000000001" customHeight="1" x14ac:dyDescent="0.25"/>
    <row r="4802" ht="17.100000000000001" customHeight="1" x14ac:dyDescent="0.25"/>
    <row r="4803" ht="17.100000000000001" customHeight="1" x14ac:dyDescent="0.25"/>
    <row r="4804" ht="17.100000000000001" customHeight="1" x14ac:dyDescent="0.25"/>
    <row r="4805" ht="17.100000000000001" customHeight="1" x14ac:dyDescent="0.25"/>
    <row r="4806" ht="17.100000000000001" customHeight="1" x14ac:dyDescent="0.25"/>
    <row r="4807" ht="17.100000000000001" customHeight="1" x14ac:dyDescent="0.25"/>
    <row r="4808" ht="17.100000000000001" customHeight="1" x14ac:dyDescent="0.25"/>
    <row r="4809" ht="17.100000000000001" customHeight="1" x14ac:dyDescent="0.25"/>
    <row r="4810" ht="17.100000000000001" customHeight="1" x14ac:dyDescent="0.25"/>
    <row r="4811" ht="17.100000000000001" customHeight="1" x14ac:dyDescent="0.25"/>
    <row r="4812" ht="17.100000000000001" customHeight="1" x14ac:dyDescent="0.25"/>
    <row r="4813" ht="17.100000000000001" customHeight="1" x14ac:dyDescent="0.25"/>
    <row r="4814" ht="17.100000000000001" customHeight="1" x14ac:dyDescent="0.25"/>
    <row r="4815" ht="17.100000000000001" customHeight="1" x14ac:dyDescent="0.25"/>
    <row r="4816" ht="17.100000000000001" customHeight="1" x14ac:dyDescent="0.25"/>
    <row r="4817" ht="17.100000000000001" customHeight="1" x14ac:dyDescent="0.25"/>
    <row r="4818" ht="17.100000000000001" customHeight="1" x14ac:dyDescent="0.25"/>
    <row r="4819" ht="17.100000000000001" customHeight="1" x14ac:dyDescent="0.25"/>
    <row r="4820" ht="17.100000000000001" customHeight="1" x14ac:dyDescent="0.25"/>
    <row r="4821" ht="17.100000000000001" customHeight="1" x14ac:dyDescent="0.25"/>
    <row r="4822" ht="17.100000000000001" customHeight="1" x14ac:dyDescent="0.25"/>
    <row r="4823" ht="17.100000000000001" customHeight="1" x14ac:dyDescent="0.25"/>
    <row r="4824" ht="17.100000000000001" customHeight="1" x14ac:dyDescent="0.25"/>
    <row r="4825" ht="17.100000000000001" customHeight="1" x14ac:dyDescent="0.25"/>
    <row r="4826" ht="17.100000000000001" customHeight="1" x14ac:dyDescent="0.25"/>
    <row r="4827" ht="17.100000000000001" customHeight="1" x14ac:dyDescent="0.25"/>
    <row r="4828" ht="17.100000000000001" customHeight="1" x14ac:dyDescent="0.25"/>
    <row r="4829" ht="17.100000000000001" customHeight="1" x14ac:dyDescent="0.25"/>
    <row r="4830" ht="17.100000000000001" customHeight="1" x14ac:dyDescent="0.25"/>
    <row r="4831" ht="17.100000000000001" customHeight="1" x14ac:dyDescent="0.25"/>
    <row r="4832" ht="17.100000000000001" customHeight="1" x14ac:dyDescent="0.25"/>
    <row r="4833" ht="17.100000000000001" customHeight="1" x14ac:dyDescent="0.25"/>
    <row r="4834" ht="17.100000000000001" customHeight="1" x14ac:dyDescent="0.25"/>
    <row r="4835" ht="17.100000000000001" customHeight="1" x14ac:dyDescent="0.25"/>
    <row r="4836" ht="17.100000000000001" customHeight="1" x14ac:dyDescent="0.25"/>
    <row r="4837" ht="17.100000000000001" customHeight="1" x14ac:dyDescent="0.25"/>
    <row r="4838" ht="17.100000000000001" customHeight="1" x14ac:dyDescent="0.25"/>
    <row r="4839" ht="17.100000000000001" customHeight="1" x14ac:dyDescent="0.25"/>
    <row r="4840" ht="17.100000000000001" customHeight="1" x14ac:dyDescent="0.25"/>
    <row r="4841" ht="17.100000000000001" customHeight="1" x14ac:dyDescent="0.25"/>
    <row r="4842" ht="17.100000000000001" customHeight="1" x14ac:dyDescent="0.25"/>
    <row r="4843" ht="17.100000000000001" customHeight="1" x14ac:dyDescent="0.25"/>
    <row r="4844" ht="17.100000000000001" customHeight="1" x14ac:dyDescent="0.25"/>
    <row r="4845" ht="17.100000000000001" customHeight="1" x14ac:dyDescent="0.25"/>
    <row r="4846" ht="17.100000000000001" customHeight="1" x14ac:dyDescent="0.25"/>
    <row r="4847" ht="17.100000000000001" customHeight="1" x14ac:dyDescent="0.25"/>
    <row r="4848" ht="17.100000000000001" customHeight="1" x14ac:dyDescent="0.25"/>
    <row r="4849" ht="17.100000000000001" customHeight="1" x14ac:dyDescent="0.25"/>
    <row r="4850" ht="17.100000000000001" customHeight="1" x14ac:dyDescent="0.25"/>
    <row r="4851" ht="17.100000000000001" customHeight="1" x14ac:dyDescent="0.25"/>
    <row r="4852" ht="17.100000000000001" customHeight="1" x14ac:dyDescent="0.25"/>
    <row r="4853" ht="17.100000000000001" customHeight="1" x14ac:dyDescent="0.25"/>
    <row r="4854" ht="17.100000000000001" customHeight="1" x14ac:dyDescent="0.25"/>
    <row r="4855" ht="17.100000000000001" customHeight="1" x14ac:dyDescent="0.25"/>
    <row r="4856" ht="17.100000000000001" customHeight="1" x14ac:dyDescent="0.25"/>
    <row r="4857" ht="17.100000000000001" customHeight="1" x14ac:dyDescent="0.25"/>
    <row r="4858" ht="17.100000000000001" customHeight="1" x14ac:dyDescent="0.25"/>
    <row r="4859" ht="17.100000000000001" customHeight="1" x14ac:dyDescent="0.25"/>
    <row r="4860" ht="17.100000000000001" customHeight="1" x14ac:dyDescent="0.25"/>
    <row r="4861" ht="17.100000000000001" customHeight="1" x14ac:dyDescent="0.25"/>
    <row r="4862" ht="17.100000000000001" customHeight="1" x14ac:dyDescent="0.25"/>
    <row r="4863" ht="17.100000000000001" customHeight="1" x14ac:dyDescent="0.25"/>
    <row r="4864" ht="17.100000000000001" customHeight="1" x14ac:dyDescent="0.25"/>
    <row r="4865" ht="17.100000000000001" customHeight="1" x14ac:dyDescent="0.25"/>
    <row r="4866" ht="17.100000000000001" customHeight="1" x14ac:dyDescent="0.25"/>
    <row r="4867" ht="17.100000000000001" customHeight="1" x14ac:dyDescent="0.25"/>
    <row r="4868" ht="17.100000000000001" customHeight="1" x14ac:dyDescent="0.25"/>
    <row r="4869" ht="17.100000000000001" customHeight="1" x14ac:dyDescent="0.25"/>
    <row r="4870" ht="17.100000000000001" customHeight="1" x14ac:dyDescent="0.25"/>
    <row r="4871" ht="17.100000000000001" customHeight="1" x14ac:dyDescent="0.25"/>
    <row r="4872" ht="17.100000000000001" customHeight="1" x14ac:dyDescent="0.25"/>
    <row r="4873" ht="17.100000000000001" customHeight="1" x14ac:dyDescent="0.25"/>
    <row r="4874" ht="17.100000000000001" customHeight="1" x14ac:dyDescent="0.25"/>
    <row r="4875" ht="17.100000000000001" customHeight="1" x14ac:dyDescent="0.25"/>
    <row r="4876" ht="17.100000000000001" customHeight="1" x14ac:dyDescent="0.25"/>
    <row r="4877" ht="17.100000000000001" customHeight="1" x14ac:dyDescent="0.25"/>
    <row r="4878" ht="17.100000000000001" customHeight="1" x14ac:dyDescent="0.25"/>
    <row r="4879" ht="17.100000000000001" customHeight="1" x14ac:dyDescent="0.25"/>
    <row r="4880" ht="17.100000000000001" customHeight="1" x14ac:dyDescent="0.25"/>
    <row r="4881" ht="17.100000000000001" customHeight="1" x14ac:dyDescent="0.25"/>
    <row r="4882" ht="17.100000000000001" customHeight="1" x14ac:dyDescent="0.25"/>
    <row r="4883" ht="17.100000000000001" customHeight="1" x14ac:dyDescent="0.25"/>
    <row r="4884" ht="17.100000000000001" customHeight="1" x14ac:dyDescent="0.25"/>
    <row r="4885" ht="17.100000000000001" customHeight="1" x14ac:dyDescent="0.25"/>
    <row r="4886" ht="17.100000000000001" customHeight="1" x14ac:dyDescent="0.25"/>
    <row r="4887" ht="17.100000000000001" customHeight="1" x14ac:dyDescent="0.25"/>
    <row r="4888" ht="17.100000000000001" customHeight="1" x14ac:dyDescent="0.25"/>
    <row r="4889" ht="17.100000000000001" customHeight="1" x14ac:dyDescent="0.25"/>
    <row r="4890" ht="17.100000000000001" customHeight="1" x14ac:dyDescent="0.25"/>
    <row r="4891" ht="17.100000000000001" customHeight="1" x14ac:dyDescent="0.25"/>
    <row r="4892" ht="17.100000000000001" customHeight="1" x14ac:dyDescent="0.25"/>
    <row r="4893" ht="17.100000000000001" customHeight="1" x14ac:dyDescent="0.25"/>
    <row r="4894" ht="17.100000000000001" customHeight="1" x14ac:dyDescent="0.25"/>
    <row r="4895" ht="17.100000000000001" customHeight="1" x14ac:dyDescent="0.25"/>
    <row r="4896" ht="17.100000000000001" customHeight="1" x14ac:dyDescent="0.25"/>
    <row r="4897" ht="17.100000000000001" customHeight="1" x14ac:dyDescent="0.25"/>
    <row r="4898" ht="17.100000000000001" customHeight="1" x14ac:dyDescent="0.25"/>
    <row r="4899" ht="17.100000000000001" customHeight="1" x14ac:dyDescent="0.25"/>
    <row r="4900" ht="17.100000000000001" customHeight="1" x14ac:dyDescent="0.25"/>
    <row r="4901" ht="17.100000000000001" customHeight="1" x14ac:dyDescent="0.25"/>
    <row r="4902" ht="17.100000000000001" customHeight="1" x14ac:dyDescent="0.25"/>
    <row r="4903" ht="17.100000000000001" customHeight="1" x14ac:dyDescent="0.25"/>
    <row r="4904" ht="17.100000000000001" customHeight="1" x14ac:dyDescent="0.25"/>
    <row r="4905" ht="17.100000000000001" customHeight="1" x14ac:dyDescent="0.25"/>
    <row r="4906" ht="17.100000000000001" customHeight="1" x14ac:dyDescent="0.25"/>
    <row r="4907" ht="17.100000000000001" customHeight="1" x14ac:dyDescent="0.25"/>
    <row r="4908" ht="17.100000000000001" customHeight="1" x14ac:dyDescent="0.25"/>
    <row r="4909" ht="17.100000000000001" customHeight="1" x14ac:dyDescent="0.25"/>
    <row r="4910" ht="17.100000000000001" customHeight="1" x14ac:dyDescent="0.25"/>
    <row r="4911" ht="17.100000000000001" customHeight="1" x14ac:dyDescent="0.25"/>
    <row r="4912" ht="17.100000000000001" customHeight="1" x14ac:dyDescent="0.25"/>
    <row r="4913" ht="17.100000000000001" customHeight="1" x14ac:dyDescent="0.25"/>
    <row r="4914" ht="17.100000000000001" customHeight="1" x14ac:dyDescent="0.25"/>
    <row r="4915" ht="17.100000000000001" customHeight="1" x14ac:dyDescent="0.25"/>
    <row r="4916" ht="17.100000000000001" customHeight="1" x14ac:dyDescent="0.25"/>
    <row r="4917" ht="17.100000000000001" customHeight="1" x14ac:dyDescent="0.25"/>
    <row r="4918" ht="17.100000000000001" customHeight="1" x14ac:dyDescent="0.25"/>
    <row r="4919" ht="17.100000000000001" customHeight="1" x14ac:dyDescent="0.25"/>
    <row r="4920" ht="17.100000000000001" customHeight="1" x14ac:dyDescent="0.25"/>
    <row r="4921" ht="17.100000000000001" customHeight="1" x14ac:dyDescent="0.25"/>
    <row r="4922" ht="17.100000000000001" customHeight="1" x14ac:dyDescent="0.25"/>
    <row r="4923" ht="17.100000000000001" customHeight="1" x14ac:dyDescent="0.25"/>
    <row r="4924" ht="17.100000000000001" customHeight="1" x14ac:dyDescent="0.25"/>
    <row r="4925" ht="17.100000000000001" customHeight="1" x14ac:dyDescent="0.25"/>
    <row r="4926" ht="17.100000000000001" customHeight="1" x14ac:dyDescent="0.25"/>
    <row r="4927" ht="17.100000000000001" customHeight="1" x14ac:dyDescent="0.25"/>
    <row r="4928" ht="17.100000000000001" customHeight="1" x14ac:dyDescent="0.25"/>
    <row r="4929" ht="17.100000000000001" customHeight="1" x14ac:dyDescent="0.25"/>
    <row r="4930" ht="17.100000000000001" customHeight="1" x14ac:dyDescent="0.25"/>
    <row r="4931" ht="17.100000000000001" customHeight="1" x14ac:dyDescent="0.25"/>
    <row r="4932" ht="17.100000000000001" customHeight="1" x14ac:dyDescent="0.25"/>
    <row r="4933" ht="17.100000000000001" customHeight="1" x14ac:dyDescent="0.25"/>
    <row r="4934" ht="17.100000000000001" customHeight="1" x14ac:dyDescent="0.25"/>
    <row r="4935" ht="17.100000000000001" customHeight="1" x14ac:dyDescent="0.25"/>
    <row r="4936" ht="17.100000000000001" customHeight="1" x14ac:dyDescent="0.25"/>
    <row r="4937" ht="17.100000000000001" customHeight="1" x14ac:dyDescent="0.25"/>
    <row r="4938" ht="17.100000000000001" customHeight="1" x14ac:dyDescent="0.25"/>
    <row r="4939" ht="17.100000000000001" customHeight="1" x14ac:dyDescent="0.25"/>
    <row r="4940" ht="17.100000000000001" customHeight="1" x14ac:dyDescent="0.25"/>
    <row r="4941" ht="17.100000000000001" customHeight="1" x14ac:dyDescent="0.25"/>
    <row r="4942" ht="17.100000000000001" customHeight="1" x14ac:dyDescent="0.25"/>
    <row r="4943" ht="17.100000000000001" customHeight="1" x14ac:dyDescent="0.25"/>
    <row r="4944" ht="17.100000000000001" customHeight="1" x14ac:dyDescent="0.25"/>
    <row r="4945" ht="17.100000000000001" customHeight="1" x14ac:dyDescent="0.25"/>
    <row r="4946" ht="17.100000000000001" customHeight="1" x14ac:dyDescent="0.25"/>
    <row r="4947" ht="17.100000000000001" customHeight="1" x14ac:dyDescent="0.25"/>
    <row r="4948" ht="17.100000000000001" customHeight="1" x14ac:dyDescent="0.25"/>
    <row r="4949" ht="17.100000000000001" customHeight="1" x14ac:dyDescent="0.25"/>
    <row r="4950" ht="17.100000000000001" customHeight="1" x14ac:dyDescent="0.25"/>
    <row r="4951" ht="17.100000000000001" customHeight="1" x14ac:dyDescent="0.25"/>
    <row r="4952" ht="17.100000000000001" customHeight="1" x14ac:dyDescent="0.25"/>
    <row r="4953" ht="17.100000000000001" customHeight="1" x14ac:dyDescent="0.25"/>
    <row r="4954" ht="17.100000000000001" customHeight="1" x14ac:dyDescent="0.25"/>
    <row r="4955" ht="17.100000000000001" customHeight="1" x14ac:dyDescent="0.25"/>
    <row r="4956" ht="17.100000000000001" customHeight="1" x14ac:dyDescent="0.25"/>
    <row r="4957" ht="17.100000000000001" customHeight="1" x14ac:dyDescent="0.25"/>
    <row r="4958" ht="17.100000000000001" customHeight="1" x14ac:dyDescent="0.25"/>
    <row r="4959" ht="17.100000000000001" customHeight="1" x14ac:dyDescent="0.25"/>
    <row r="4960" ht="17.100000000000001" customHeight="1" x14ac:dyDescent="0.25"/>
    <row r="4961" ht="17.100000000000001" customHeight="1" x14ac:dyDescent="0.25"/>
    <row r="4962" ht="17.100000000000001" customHeight="1" x14ac:dyDescent="0.25"/>
    <row r="4963" ht="17.100000000000001" customHeight="1" x14ac:dyDescent="0.25"/>
    <row r="4964" ht="17.100000000000001" customHeight="1" x14ac:dyDescent="0.25"/>
    <row r="4965" ht="17.100000000000001" customHeight="1" x14ac:dyDescent="0.25"/>
    <row r="4966" ht="17.100000000000001" customHeight="1" x14ac:dyDescent="0.25"/>
    <row r="4967" ht="17.100000000000001" customHeight="1" x14ac:dyDescent="0.25"/>
    <row r="4968" ht="17.100000000000001" customHeight="1" x14ac:dyDescent="0.25"/>
    <row r="4969" ht="17.100000000000001" customHeight="1" x14ac:dyDescent="0.25"/>
    <row r="4970" ht="17.100000000000001" customHeight="1" x14ac:dyDescent="0.25"/>
    <row r="4971" ht="17.100000000000001" customHeight="1" x14ac:dyDescent="0.25"/>
    <row r="4972" ht="17.100000000000001" customHeight="1" x14ac:dyDescent="0.25"/>
    <row r="4973" ht="17.100000000000001" customHeight="1" x14ac:dyDescent="0.25"/>
    <row r="4974" ht="17.100000000000001" customHeight="1" x14ac:dyDescent="0.25"/>
    <row r="4975" ht="17.100000000000001" customHeight="1" x14ac:dyDescent="0.25"/>
    <row r="4976" ht="17.100000000000001" customHeight="1" x14ac:dyDescent="0.25"/>
    <row r="4977" ht="17.100000000000001" customHeight="1" x14ac:dyDescent="0.25"/>
    <row r="4978" ht="17.100000000000001" customHeight="1" x14ac:dyDescent="0.25"/>
    <row r="4979" ht="17.100000000000001" customHeight="1" x14ac:dyDescent="0.25"/>
    <row r="4980" ht="17.100000000000001" customHeight="1" x14ac:dyDescent="0.25"/>
    <row r="4981" ht="17.100000000000001" customHeight="1" x14ac:dyDescent="0.25"/>
    <row r="4982" ht="17.100000000000001" customHeight="1" x14ac:dyDescent="0.25"/>
    <row r="4983" ht="17.100000000000001" customHeight="1" x14ac:dyDescent="0.25"/>
    <row r="4984" ht="17.100000000000001" customHeight="1" x14ac:dyDescent="0.25"/>
    <row r="4985" ht="17.100000000000001" customHeight="1" x14ac:dyDescent="0.25"/>
    <row r="4986" ht="17.100000000000001" customHeight="1" x14ac:dyDescent="0.25"/>
    <row r="4987" ht="17.100000000000001" customHeight="1" x14ac:dyDescent="0.25"/>
    <row r="4988" ht="17.100000000000001" customHeight="1" x14ac:dyDescent="0.25"/>
    <row r="4989" ht="17.100000000000001" customHeight="1" x14ac:dyDescent="0.25"/>
    <row r="4990" ht="17.100000000000001" customHeight="1" x14ac:dyDescent="0.25"/>
    <row r="4991" ht="17.100000000000001" customHeight="1" x14ac:dyDescent="0.25"/>
    <row r="4992" ht="17.100000000000001" customHeight="1" x14ac:dyDescent="0.25"/>
    <row r="4993" ht="17.100000000000001" customHeight="1" x14ac:dyDescent="0.25"/>
    <row r="4994" ht="17.100000000000001" customHeight="1" x14ac:dyDescent="0.25"/>
    <row r="4995" ht="17.100000000000001" customHeight="1" x14ac:dyDescent="0.25"/>
    <row r="4996" ht="17.100000000000001" customHeight="1" x14ac:dyDescent="0.25"/>
    <row r="4997" ht="17.100000000000001" customHeight="1" x14ac:dyDescent="0.25"/>
    <row r="4998" ht="17.100000000000001" customHeight="1" x14ac:dyDescent="0.25"/>
    <row r="4999" ht="17.100000000000001" customHeight="1" x14ac:dyDescent="0.25"/>
    <row r="5000" ht="17.100000000000001" customHeight="1" x14ac:dyDescent="0.25"/>
    <row r="5001" ht="17.100000000000001" customHeight="1" x14ac:dyDescent="0.25"/>
    <row r="5002" ht="17.100000000000001" customHeight="1" x14ac:dyDescent="0.25"/>
    <row r="5003" ht="17.100000000000001" customHeight="1" x14ac:dyDescent="0.25"/>
    <row r="5004" ht="17.100000000000001" customHeight="1" x14ac:dyDescent="0.25"/>
    <row r="5005" ht="17.100000000000001" customHeight="1" x14ac:dyDescent="0.25"/>
    <row r="5006" ht="17.100000000000001" customHeight="1" x14ac:dyDescent="0.25"/>
    <row r="5007" ht="17.100000000000001" customHeight="1" x14ac:dyDescent="0.25"/>
    <row r="5008" ht="17.100000000000001" customHeight="1" x14ac:dyDescent="0.25"/>
    <row r="5009" ht="17.100000000000001" customHeight="1" x14ac:dyDescent="0.25"/>
    <row r="5010" ht="17.100000000000001" customHeight="1" x14ac:dyDescent="0.25"/>
    <row r="5011" ht="17.100000000000001" customHeight="1" x14ac:dyDescent="0.25"/>
    <row r="5012" ht="17.100000000000001" customHeight="1" x14ac:dyDescent="0.25"/>
    <row r="5013" ht="17.100000000000001" customHeight="1" x14ac:dyDescent="0.25"/>
    <row r="5014" ht="17.100000000000001" customHeight="1" x14ac:dyDescent="0.25"/>
    <row r="5015" ht="17.100000000000001" customHeight="1" x14ac:dyDescent="0.25"/>
    <row r="5016" ht="17.100000000000001" customHeight="1" x14ac:dyDescent="0.25"/>
    <row r="5017" ht="17.100000000000001" customHeight="1" x14ac:dyDescent="0.25"/>
    <row r="5018" ht="17.100000000000001" customHeight="1" x14ac:dyDescent="0.25"/>
    <row r="5019" ht="17.100000000000001" customHeight="1" x14ac:dyDescent="0.25"/>
    <row r="5020" ht="17.100000000000001" customHeight="1" x14ac:dyDescent="0.25"/>
    <row r="5021" ht="17.100000000000001" customHeight="1" x14ac:dyDescent="0.25"/>
    <row r="5022" ht="17.100000000000001" customHeight="1" x14ac:dyDescent="0.25"/>
    <row r="5023" ht="17.100000000000001" customHeight="1" x14ac:dyDescent="0.25"/>
    <row r="5024" ht="17.100000000000001" customHeight="1" x14ac:dyDescent="0.25"/>
    <row r="5025" ht="17.100000000000001" customHeight="1" x14ac:dyDescent="0.25"/>
    <row r="5026" ht="17.100000000000001" customHeight="1" x14ac:dyDescent="0.25"/>
    <row r="5027" ht="17.100000000000001" customHeight="1" x14ac:dyDescent="0.25"/>
    <row r="5028" ht="17.100000000000001" customHeight="1" x14ac:dyDescent="0.25"/>
    <row r="5029" ht="17.100000000000001" customHeight="1" x14ac:dyDescent="0.25"/>
    <row r="5030" ht="17.100000000000001" customHeight="1" x14ac:dyDescent="0.25"/>
    <row r="5031" ht="17.100000000000001" customHeight="1" x14ac:dyDescent="0.25"/>
    <row r="5032" ht="17.100000000000001" customHeight="1" x14ac:dyDescent="0.25"/>
    <row r="5033" ht="17.100000000000001" customHeight="1" x14ac:dyDescent="0.25"/>
    <row r="5034" ht="17.100000000000001" customHeight="1" x14ac:dyDescent="0.25"/>
    <row r="5035" ht="17.100000000000001" customHeight="1" x14ac:dyDescent="0.25"/>
    <row r="5036" ht="17.100000000000001" customHeight="1" x14ac:dyDescent="0.25"/>
    <row r="5037" ht="17.100000000000001" customHeight="1" x14ac:dyDescent="0.25"/>
    <row r="5038" ht="17.100000000000001" customHeight="1" x14ac:dyDescent="0.25"/>
    <row r="5039" ht="17.100000000000001" customHeight="1" x14ac:dyDescent="0.25"/>
    <row r="5040" ht="17.100000000000001" customHeight="1" x14ac:dyDescent="0.25"/>
    <row r="5041" ht="17.100000000000001" customHeight="1" x14ac:dyDescent="0.25"/>
    <row r="5042" ht="17.100000000000001" customHeight="1" x14ac:dyDescent="0.25"/>
    <row r="5043" ht="17.100000000000001" customHeight="1" x14ac:dyDescent="0.25"/>
    <row r="5044" ht="17.100000000000001" customHeight="1" x14ac:dyDescent="0.25"/>
    <row r="5045" ht="17.100000000000001" customHeight="1" x14ac:dyDescent="0.25"/>
    <row r="5046" ht="17.100000000000001" customHeight="1" x14ac:dyDescent="0.25"/>
    <row r="5047" ht="17.100000000000001" customHeight="1" x14ac:dyDescent="0.25"/>
    <row r="5048" ht="17.100000000000001" customHeight="1" x14ac:dyDescent="0.25"/>
    <row r="5049" ht="17.100000000000001" customHeight="1" x14ac:dyDescent="0.25"/>
    <row r="5050" ht="17.100000000000001" customHeight="1" x14ac:dyDescent="0.25"/>
    <row r="5051" ht="17.100000000000001" customHeight="1" x14ac:dyDescent="0.25"/>
    <row r="5052" ht="17.100000000000001" customHeight="1" x14ac:dyDescent="0.25"/>
    <row r="5053" ht="17.100000000000001" customHeight="1" x14ac:dyDescent="0.25"/>
    <row r="5054" ht="17.100000000000001" customHeight="1" x14ac:dyDescent="0.25"/>
    <row r="5055" ht="17.100000000000001" customHeight="1" x14ac:dyDescent="0.25"/>
    <row r="5056" ht="17.100000000000001" customHeight="1" x14ac:dyDescent="0.25"/>
    <row r="5057" ht="17.100000000000001" customHeight="1" x14ac:dyDescent="0.25"/>
    <row r="5058" ht="17.100000000000001" customHeight="1" x14ac:dyDescent="0.25"/>
    <row r="5059" ht="17.100000000000001" customHeight="1" x14ac:dyDescent="0.25"/>
    <row r="5060" ht="17.100000000000001" customHeight="1" x14ac:dyDescent="0.25"/>
    <row r="5061" ht="17.100000000000001" customHeight="1" x14ac:dyDescent="0.25"/>
    <row r="5062" ht="17.100000000000001" customHeight="1" x14ac:dyDescent="0.25"/>
    <row r="5063" ht="17.100000000000001" customHeight="1" x14ac:dyDescent="0.25"/>
    <row r="5064" ht="17.100000000000001" customHeight="1" x14ac:dyDescent="0.25"/>
    <row r="5065" ht="17.100000000000001" customHeight="1" x14ac:dyDescent="0.25"/>
    <row r="5066" ht="17.100000000000001" customHeight="1" x14ac:dyDescent="0.25"/>
    <row r="5067" ht="17.100000000000001" customHeight="1" x14ac:dyDescent="0.25"/>
    <row r="5068" ht="17.100000000000001" customHeight="1" x14ac:dyDescent="0.25"/>
    <row r="5069" ht="17.100000000000001" customHeight="1" x14ac:dyDescent="0.25"/>
    <row r="5070" ht="17.100000000000001" customHeight="1" x14ac:dyDescent="0.25"/>
    <row r="5071" ht="17.100000000000001" customHeight="1" x14ac:dyDescent="0.25"/>
    <row r="5072" ht="17.100000000000001" customHeight="1" x14ac:dyDescent="0.25"/>
    <row r="5073" ht="17.100000000000001" customHeight="1" x14ac:dyDescent="0.25"/>
    <row r="5074" ht="17.100000000000001" customHeight="1" x14ac:dyDescent="0.25"/>
    <row r="5075" ht="17.100000000000001" customHeight="1" x14ac:dyDescent="0.25"/>
    <row r="5076" ht="17.100000000000001" customHeight="1" x14ac:dyDescent="0.25"/>
    <row r="5077" ht="17.100000000000001" customHeight="1" x14ac:dyDescent="0.25"/>
    <row r="5078" ht="17.100000000000001" customHeight="1" x14ac:dyDescent="0.25"/>
    <row r="5079" ht="17.100000000000001" customHeight="1" x14ac:dyDescent="0.25"/>
    <row r="5080" ht="17.100000000000001" customHeight="1" x14ac:dyDescent="0.25"/>
    <row r="5081" ht="17.100000000000001" customHeight="1" x14ac:dyDescent="0.25"/>
    <row r="5082" ht="17.100000000000001" customHeight="1" x14ac:dyDescent="0.25"/>
    <row r="5083" ht="17.100000000000001" customHeight="1" x14ac:dyDescent="0.25"/>
    <row r="5084" ht="17.100000000000001" customHeight="1" x14ac:dyDescent="0.25"/>
    <row r="5085" ht="17.100000000000001" customHeight="1" x14ac:dyDescent="0.25"/>
    <row r="5086" ht="17.100000000000001" customHeight="1" x14ac:dyDescent="0.25"/>
    <row r="5087" ht="17.100000000000001" customHeight="1" x14ac:dyDescent="0.25"/>
    <row r="5088" ht="17.100000000000001" customHeight="1" x14ac:dyDescent="0.25"/>
    <row r="5089" ht="17.100000000000001" customHeight="1" x14ac:dyDescent="0.25"/>
    <row r="5090" ht="17.100000000000001" customHeight="1" x14ac:dyDescent="0.25"/>
    <row r="5091" ht="17.100000000000001" customHeight="1" x14ac:dyDescent="0.25"/>
    <row r="5092" ht="17.100000000000001" customHeight="1" x14ac:dyDescent="0.25"/>
    <row r="5093" ht="17.100000000000001" customHeight="1" x14ac:dyDescent="0.25"/>
    <row r="5094" ht="17.100000000000001" customHeight="1" x14ac:dyDescent="0.25"/>
    <row r="5095" ht="17.100000000000001" customHeight="1" x14ac:dyDescent="0.25"/>
    <row r="5096" ht="17.100000000000001" customHeight="1" x14ac:dyDescent="0.25"/>
    <row r="5097" ht="17.100000000000001" customHeight="1" x14ac:dyDescent="0.25"/>
    <row r="5098" ht="17.100000000000001" customHeight="1" x14ac:dyDescent="0.25"/>
    <row r="5099" ht="17.100000000000001" customHeight="1" x14ac:dyDescent="0.25"/>
    <row r="5100" ht="17.100000000000001" customHeight="1" x14ac:dyDescent="0.25"/>
    <row r="5101" ht="17.100000000000001" customHeight="1" x14ac:dyDescent="0.25"/>
    <row r="5102" ht="17.100000000000001" customHeight="1" x14ac:dyDescent="0.25"/>
    <row r="5103" ht="17.100000000000001" customHeight="1" x14ac:dyDescent="0.25"/>
    <row r="5104" ht="17.100000000000001" customHeight="1" x14ac:dyDescent="0.25"/>
    <row r="5105" ht="17.100000000000001" customHeight="1" x14ac:dyDescent="0.25"/>
    <row r="5106" ht="17.100000000000001" customHeight="1" x14ac:dyDescent="0.25"/>
    <row r="5107" ht="17.100000000000001" customHeight="1" x14ac:dyDescent="0.25"/>
    <row r="5108" ht="17.100000000000001" customHeight="1" x14ac:dyDescent="0.25"/>
    <row r="5109" ht="17.100000000000001" customHeight="1" x14ac:dyDescent="0.25"/>
    <row r="5110" ht="17.100000000000001" customHeight="1" x14ac:dyDescent="0.25"/>
    <row r="5111" ht="17.100000000000001" customHeight="1" x14ac:dyDescent="0.25"/>
    <row r="5112" ht="17.100000000000001" customHeight="1" x14ac:dyDescent="0.25"/>
    <row r="5113" ht="17.100000000000001" customHeight="1" x14ac:dyDescent="0.25"/>
    <row r="5114" ht="17.100000000000001" customHeight="1" x14ac:dyDescent="0.25"/>
    <row r="5115" ht="17.100000000000001" customHeight="1" x14ac:dyDescent="0.25"/>
    <row r="5116" ht="17.100000000000001" customHeight="1" x14ac:dyDescent="0.25"/>
    <row r="5117" ht="17.100000000000001" customHeight="1" x14ac:dyDescent="0.25"/>
    <row r="5118" ht="17.100000000000001" customHeight="1" x14ac:dyDescent="0.25"/>
    <row r="5119" ht="17.100000000000001" customHeight="1" x14ac:dyDescent="0.25"/>
    <row r="5120" ht="17.100000000000001" customHeight="1" x14ac:dyDescent="0.25"/>
    <row r="5121" ht="17.100000000000001" customHeight="1" x14ac:dyDescent="0.25"/>
    <row r="5122" ht="17.100000000000001" customHeight="1" x14ac:dyDescent="0.25"/>
    <row r="5123" ht="17.100000000000001" customHeight="1" x14ac:dyDescent="0.25"/>
    <row r="5124" ht="17.100000000000001" customHeight="1" x14ac:dyDescent="0.25"/>
    <row r="5125" ht="17.100000000000001" customHeight="1" x14ac:dyDescent="0.25"/>
    <row r="5126" ht="17.100000000000001" customHeight="1" x14ac:dyDescent="0.25"/>
    <row r="5127" ht="17.100000000000001" customHeight="1" x14ac:dyDescent="0.25"/>
    <row r="5128" ht="17.100000000000001" customHeight="1" x14ac:dyDescent="0.25"/>
    <row r="5129" ht="17.100000000000001" customHeight="1" x14ac:dyDescent="0.25"/>
    <row r="5130" ht="17.100000000000001" customHeight="1" x14ac:dyDescent="0.25"/>
    <row r="5131" ht="17.100000000000001" customHeight="1" x14ac:dyDescent="0.25"/>
    <row r="5132" ht="17.100000000000001" customHeight="1" x14ac:dyDescent="0.25"/>
    <row r="5133" ht="17.100000000000001" customHeight="1" x14ac:dyDescent="0.25"/>
    <row r="5134" ht="17.100000000000001" customHeight="1" x14ac:dyDescent="0.25"/>
    <row r="5135" ht="17.100000000000001" customHeight="1" x14ac:dyDescent="0.25"/>
    <row r="5136" ht="17.100000000000001" customHeight="1" x14ac:dyDescent="0.25"/>
    <row r="5137" ht="17.100000000000001" customHeight="1" x14ac:dyDescent="0.25"/>
    <row r="5138" ht="17.100000000000001" customHeight="1" x14ac:dyDescent="0.25"/>
    <row r="5139" ht="17.100000000000001" customHeight="1" x14ac:dyDescent="0.25"/>
    <row r="5140" ht="17.100000000000001" customHeight="1" x14ac:dyDescent="0.25"/>
    <row r="5141" ht="17.100000000000001" customHeight="1" x14ac:dyDescent="0.25"/>
    <row r="5142" ht="17.100000000000001" customHeight="1" x14ac:dyDescent="0.25"/>
    <row r="5143" ht="17.100000000000001" customHeight="1" x14ac:dyDescent="0.25"/>
    <row r="5144" ht="17.100000000000001" customHeight="1" x14ac:dyDescent="0.25"/>
    <row r="5145" ht="17.100000000000001" customHeight="1" x14ac:dyDescent="0.25"/>
    <row r="5146" ht="17.100000000000001" customHeight="1" x14ac:dyDescent="0.25"/>
    <row r="5147" ht="17.100000000000001" customHeight="1" x14ac:dyDescent="0.25"/>
    <row r="5148" ht="17.100000000000001" customHeight="1" x14ac:dyDescent="0.25"/>
    <row r="5149" ht="17.100000000000001" customHeight="1" x14ac:dyDescent="0.25"/>
    <row r="5150" ht="17.100000000000001" customHeight="1" x14ac:dyDescent="0.25"/>
    <row r="5151" ht="17.100000000000001" customHeight="1" x14ac:dyDescent="0.25"/>
    <row r="5152" ht="17.100000000000001" customHeight="1" x14ac:dyDescent="0.25"/>
    <row r="5153" ht="17.100000000000001" customHeight="1" x14ac:dyDescent="0.25"/>
    <row r="5154" ht="17.100000000000001" customHeight="1" x14ac:dyDescent="0.25"/>
    <row r="5155" ht="17.100000000000001" customHeight="1" x14ac:dyDescent="0.25"/>
    <row r="5156" ht="17.100000000000001" customHeight="1" x14ac:dyDescent="0.25"/>
    <row r="5157" ht="17.100000000000001" customHeight="1" x14ac:dyDescent="0.25"/>
    <row r="5158" ht="17.100000000000001" customHeight="1" x14ac:dyDescent="0.25"/>
    <row r="5159" ht="17.100000000000001" customHeight="1" x14ac:dyDescent="0.25"/>
    <row r="5160" ht="17.100000000000001" customHeight="1" x14ac:dyDescent="0.25"/>
    <row r="5161" ht="17.100000000000001" customHeight="1" x14ac:dyDescent="0.25"/>
    <row r="5162" ht="17.100000000000001" customHeight="1" x14ac:dyDescent="0.25"/>
    <row r="5163" ht="17.100000000000001" customHeight="1" x14ac:dyDescent="0.25"/>
    <row r="5164" ht="17.100000000000001" customHeight="1" x14ac:dyDescent="0.25"/>
    <row r="5165" ht="17.100000000000001" customHeight="1" x14ac:dyDescent="0.25"/>
    <row r="5166" ht="17.100000000000001" customHeight="1" x14ac:dyDescent="0.25"/>
    <row r="5167" ht="17.100000000000001" customHeight="1" x14ac:dyDescent="0.25"/>
    <row r="5168" ht="17.100000000000001" customHeight="1" x14ac:dyDescent="0.25"/>
    <row r="5169" ht="17.100000000000001" customHeight="1" x14ac:dyDescent="0.25"/>
    <row r="5170" ht="17.100000000000001" customHeight="1" x14ac:dyDescent="0.25"/>
    <row r="5171" ht="17.100000000000001" customHeight="1" x14ac:dyDescent="0.25"/>
    <row r="5172" ht="17.100000000000001" customHeight="1" x14ac:dyDescent="0.25"/>
    <row r="5173" ht="17.100000000000001" customHeight="1" x14ac:dyDescent="0.25"/>
    <row r="5174" ht="17.100000000000001" customHeight="1" x14ac:dyDescent="0.25"/>
    <row r="5175" ht="17.100000000000001" customHeight="1" x14ac:dyDescent="0.25"/>
    <row r="5176" ht="17.100000000000001" customHeight="1" x14ac:dyDescent="0.25"/>
    <row r="5177" ht="17.100000000000001" customHeight="1" x14ac:dyDescent="0.25"/>
    <row r="5178" ht="17.100000000000001" customHeight="1" x14ac:dyDescent="0.25"/>
    <row r="5179" ht="17.100000000000001" customHeight="1" x14ac:dyDescent="0.25"/>
    <row r="5180" ht="17.100000000000001" customHeight="1" x14ac:dyDescent="0.25"/>
    <row r="5181" ht="17.100000000000001" customHeight="1" x14ac:dyDescent="0.25"/>
    <row r="5182" ht="17.100000000000001" customHeight="1" x14ac:dyDescent="0.25"/>
    <row r="5183" ht="17.100000000000001" customHeight="1" x14ac:dyDescent="0.25"/>
    <row r="5184" ht="17.100000000000001" customHeight="1" x14ac:dyDescent="0.25"/>
    <row r="5185" ht="17.100000000000001" customHeight="1" x14ac:dyDescent="0.25"/>
    <row r="5186" ht="17.100000000000001" customHeight="1" x14ac:dyDescent="0.25"/>
    <row r="5187" ht="17.100000000000001" customHeight="1" x14ac:dyDescent="0.25"/>
    <row r="5188" ht="17.100000000000001" customHeight="1" x14ac:dyDescent="0.25"/>
    <row r="5189" ht="17.100000000000001" customHeight="1" x14ac:dyDescent="0.25"/>
    <row r="5190" ht="17.100000000000001" customHeight="1" x14ac:dyDescent="0.25"/>
    <row r="5191" ht="17.100000000000001" customHeight="1" x14ac:dyDescent="0.25"/>
    <row r="5192" ht="17.100000000000001" customHeight="1" x14ac:dyDescent="0.25"/>
    <row r="5193" ht="17.100000000000001" customHeight="1" x14ac:dyDescent="0.25"/>
    <row r="5194" ht="17.100000000000001" customHeight="1" x14ac:dyDescent="0.25"/>
    <row r="5195" ht="17.100000000000001" customHeight="1" x14ac:dyDescent="0.25"/>
    <row r="5196" ht="17.100000000000001" customHeight="1" x14ac:dyDescent="0.25"/>
    <row r="5197" ht="17.100000000000001" customHeight="1" x14ac:dyDescent="0.25"/>
    <row r="5198" ht="17.100000000000001" customHeight="1" x14ac:dyDescent="0.25"/>
    <row r="5199" ht="17.100000000000001" customHeight="1" x14ac:dyDescent="0.25"/>
    <row r="5200" ht="17.100000000000001" customHeight="1" x14ac:dyDescent="0.25"/>
    <row r="5201" ht="17.100000000000001" customHeight="1" x14ac:dyDescent="0.25"/>
    <row r="5202" ht="17.100000000000001" customHeight="1" x14ac:dyDescent="0.25"/>
    <row r="5203" ht="17.100000000000001" customHeight="1" x14ac:dyDescent="0.25"/>
    <row r="5204" ht="17.100000000000001" customHeight="1" x14ac:dyDescent="0.25"/>
    <row r="5205" ht="17.100000000000001" customHeight="1" x14ac:dyDescent="0.25"/>
    <row r="5206" ht="17.100000000000001" customHeight="1" x14ac:dyDescent="0.25"/>
    <row r="5207" ht="17.100000000000001" customHeight="1" x14ac:dyDescent="0.25"/>
    <row r="5208" ht="17.100000000000001" customHeight="1" x14ac:dyDescent="0.25"/>
    <row r="5209" ht="17.100000000000001" customHeight="1" x14ac:dyDescent="0.25"/>
    <row r="5210" ht="17.100000000000001" customHeight="1" x14ac:dyDescent="0.25"/>
    <row r="5211" ht="17.100000000000001" customHeight="1" x14ac:dyDescent="0.25"/>
    <row r="5212" ht="17.100000000000001" customHeight="1" x14ac:dyDescent="0.25"/>
    <row r="5213" ht="17.100000000000001" customHeight="1" x14ac:dyDescent="0.25"/>
    <row r="5214" ht="17.100000000000001" customHeight="1" x14ac:dyDescent="0.25"/>
    <row r="5215" ht="17.100000000000001" customHeight="1" x14ac:dyDescent="0.25"/>
    <row r="5216" ht="17.100000000000001" customHeight="1" x14ac:dyDescent="0.25"/>
    <row r="5217" ht="17.100000000000001" customHeight="1" x14ac:dyDescent="0.25"/>
    <row r="5218" ht="17.100000000000001" customHeight="1" x14ac:dyDescent="0.25"/>
    <row r="5219" ht="17.100000000000001" customHeight="1" x14ac:dyDescent="0.25"/>
    <row r="5220" ht="17.100000000000001" customHeight="1" x14ac:dyDescent="0.25"/>
    <row r="5221" ht="17.100000000000001" customHeight="1" x14ac:dyDescent="0.25"/>
    <row r="5222" ht="17.100000000000001" customHeight="1" x14ac:dyDescent="0.25"/>
    <row r="5223" ht="17.100000000000001" customHeight="1" x14ac:dyDescent="0.25"/>
    <row r="5224" ht="17.100000000000001" customHeight="1" x14ac:dyDescent="0.25"/>
    <row r="5225" ht="17.100000000000001" customHeight="1" x14ac:dyDescent="0.25"/>
    <row r="5226" ht="17.100000000000001" customHeight="1" x14ac:dyDescent="0.25"/>
    <row r="5227" ht="17.100000000000001" customHeight="1" x14ac:dyDescent="0.25"/>
    <row r="5228" ht="17.100000000000001" customHeight="1" x14ac:dyDescent="0.25"/>
    <row r="5229" ht="17.100000000000001" customHeight="1" x14ac:dyDescent="0.25"/>
    <row r="5230" ht="17.100000000000001" customHeight="1" x14ac:dyDescent="0.25"/>
    <row r="5231" ht="17.100000000000001" customHeight="1" x14ac:dyDescent="0.25"/>
    <row r="5232" ht="17.100000000000001" customHeight="1" x14ac:dyDescent="0.25"/>
    <row r="5233" ht="17.100000000000001" customHeight="1" x14ac:dyDescent="0.25"/>
    <row r="5234" ht="17.100000000000001" customHeight="1" x14ac:dyDescent="0.25"/>
    <row r="5235" ht="17.100000000000001" customHeight="1" x14ac:dyDescent="0.25"/>
    <row r="5236" ht="17.100000000000001" customHeight="1" x14ac:dyDescent="0.25"/>
    <row r="5237" ht="17.100000000000001" customHeight="1" x14ac:dyDescent="0.25"/>
    <row r="5238" ht="17.100000000000001" customHeight="1" x14ac:dyDescent="0.25"/>
    <row r="5239" ht="17.100000000000001" customHeight="1" x14ac:dyDescent="0.25"/>
    <row r="5240" ht="17.100000000000001" customHeight="1" x14ac:dyDescent="0.25"/>
    <row r="5241" ht="17.100000000000001" customHeight="1" x14ac:dyDescent="0.25"/>
    <row r="5242" ht="17.100000000000001" customHeight="1" x14ac:dyDescent="0.25"/>
    <row r="5243" ht="17.100000000000001" customHeight="1" x14ac:dyDescent="0.25"/>
    <row r="5244" ht="17.100000000000001" customHeight="1" x14ac:dyDescent="0.25"/>
    <row r="5245" ht="17.100000000000001" customHeight="1" x14ac:dyDescent="0.25"/>
    <row r="5246" ht="17.100000000000001" customHeight="1" x14ac:dyDescent="0.25"/>
    <row r="5247" ht="17.100000000000001" customHeight="1" x14ac:dyDescent="0.25"/>
    <row r="5248" ht="17.100000000000001" customHeight="1" x14ac:dyDescent="0.25"/>
    <row r="5249" ht="17.100000000000001" customHeight="1" x14ac:dyDescent="0.25"/>
    <row r="5250" ht="17.100000000000001" customHeight="1" x14ac:dyDescent="0.25"/>
    <row r="5251" ht="17.100000000000001" customHeight="1" x14ac:dyDescent="0.25"/>
    <row r="5252" ht="17.100000000000001" customHeight="1" x14ac:dyDescent="0.25"/>
    <row r="5253" ht="17.100000000000001" customHeight="1" x14ac:dyDescent="0.25"/>
    <row r="5254" ht="17.100000000000001" customHeight="1" x14ac:dyDescent="0.25"/>
    <row r="5255" ht="17.100000000000001" customHeight="1" x14ac:dyDescent="0.25"/>
    <row r="5256" ht="17.100000000000001" customHeight="1" x14ac:dyDescent="0.25"/>
    <row r="5257" ht="17.100000000000001" customHeight="1" x14ac:dyDescent="0.25"/>
    <row r="5258" ht="17.100000000000001" customHeight="1" x14ac:dyDescent="0.25"/>
    <row r="5259" ht="17.100000000000001" customHeight="1" x14ac:dyDescent="0.25"/>
    <row r="5260" ht="17.100000000000001" customHeight="1" x14ac:dyDescent="0.25"/>
    <row r="5261" ht="17.100000000000001" customHeight="1" x14ac:dyDescent="0.25"/>
    <row r="5262" ht="17.100000000000001" customHeight="1" x14ac:dyDescent="0.25"/>
    <row r="5263" ht="17.100000000000001" customHeight="1" x14ac:dyDescent="0.25"/>
    <row r="5264" ht="17.100000000000001" customHeight="1" x14ac:dyDescent="0.25"/>
    <row r="5265" ht="17.100000000000001" customHeight="1" x14ac:dyDescent="0.25"/>
    <row r="5266" ht="17.100000000000001" customHeight="1" x14ac:dyDescent="0.25"/>
    <row r="5267" ht="17.100000000000001" customHeight="1" x14ac:dyDescent="0.25"/>
    <row r="5268" ht="17.100000000000001" customHeight="1" x14ac:dyDescent="0.25"/>
    <row r="5269" ht="17.100000000000001" customHeight="1" x14ac:dyDescent="0.25"/>
    <row r="5270" ht="17.100000000000001" customHeight="1" x14ac:dyDescent="0.25"/>
    <row r="5271" ht="17.100000000000001" customHeight="1" x14ac:dyDescent="0.25"/>
    <row r="5272" ht="17.100000000000001" customHeight="1" x14ac:dyDescent="0.25"/>
    <row r="5273" ht="17.100000000000001" customHeight="1" x14ac:dyDescent="0.25"/>
    <row r="5274" ht="17.100000000000001" customHeight="1" x14ac:dyDescent="0.25"/>
    <row r="5275" ht="17.100000000000001" customHeight="1" x14ac:dyDescent="0.25"/>
    <row r="5276" ht="17.100000000000001" customHeight="1" x14ac:dyDescent="0.25"/>
    <row r="5277" ht="17.100000000000001" customHeight="1" x14ac:dyDescent="0.25"/>
    <row r="5278" ht="17.100000000000001" customHeight="1" x14ac:dyDescent="0.25"/>
    <row r="5279" ht="17.100000000000001" customHeight="1" x14ac:dyDescent="0.25"/>
    <row r="5280" ht="17.100000000000001" customHeight="1" x14ac:dyDescent="0.25"/>
    <row r="5281" ht="17.100000000000001" customHeight="1" x14ac:dyDescent="0.25"/>
    <row r="5282" ht="17.100000000000001" customHeight="1" x14ac:dyDescent="0.25"/>
    <row r="5283" ht="17.100000000000001" customHeight="1" x14ac:dyDescent="0.25"/>
    <row r="5284" ht="17.100000000000001" customHeight="1" x14ac:dyDescent="0.25"/>
    <row r="5285" ht="17.100000000000001" customHeight="1" x14ac:dyDescent="0.25"/>
    <row r="5286" ht="17.100000000000001" customHeight="1" x14ac:dyDescent="0.25"/>
    <row r="5287" ht="17.100000000000001" customHeight="1" x14ac:dyDescent="0.25"/>
    <row r="5288" ht="17.100000000000001" customHeight="1" x14ac:dyDescent="0.25"/>
    <row r="5289" ht="17.100000000000001" customHeight="1" x14ac:dyDescent="0.25"/>
    <row r="5290" ht="17.100000000000001" customHeight="1" x14ac:dyDescent="0.25"/>
    <row r="5291" ht="17.100000000000001" customHeight="1" x14ac:dyDescent="0.25"/>
    <row r="5292" ht="17.100000000000001" customHeight="1" x14ac:dyDescent="0.25"/>
    <row r="5293" ht="17.100000000000001" customHeight="1" x14ac:dyDescent="0.25"/>
    <row r="5294" ht="17.100000000000001" customHeight="1" x14ac:dyDescent="0.25"/>
    <row r="5295" ht="17.100000000000001" customHeight="1" x14ac:dyDescent="0.25"/>
    <row r="5296" ht="17.100000000000001" customHeight="1" x14ac:dyDescent="0.25"/>
    <row r="5297" ht="17.100000000000001" customHeight="1" x14ac:dyDescent="0.25"/>
    <row r="5298" ht="17.100000000000001" customHeight="1" x14ac:dyDescent="0.25"/>
    <row r="5299" ht="17.100000000000001" customHeight="1" x14ac:dyDescent="0.25"/>
    <row r="5300" ht="17.100000000000001" customHeight="1" x14ac:dyDescent="0.25"/>
    <row r="5301" ht="17.100000000000001" customHeight="1" x14ac:dyDescent="0.25"/>
    <row r="5302" ht="17.100000000000001" customHeight="1" x14ac:dyDescent="0.25"/>
    <row r="5303" ht="17.100000000000001" customHeight="1" x14ac:dyDescent="0.25"/>
    <row r="5304" ht="17.100000000000001" customHeight="1" x14ac:dyDescent="0.25"/>
    <row r="5305" ht="17.100000000000001" customHeight="1" x14ac:dyDescent="0.25"/>
    <row r="5306" ht="17.100000000000001" customHeight="1" x14ac:dyDescent="0.25"/>
    <row r="5307" ht="17.100000000000001" customHeight="1" x14ac:dyDescent="0.25"/>
    <row r="5308" ht="17.100000000000001" customHeight="1" x14ac:dyDescent="0.25"/>
    <row r="5309" ht="17.100000000000001" customHeight="1" x14ac:dyDescent="0.25"/>
    <row r="5310" ht="17.100000000000001" customHeight="1" x14ac:dyDescent="0.25"/>
    <row r="5311" ht="17.100000000000001" customHeight="1" x14ac:dyDescent="0.25"/>
    <row r="5312" ht="17.100000000000001" customHeight="1" x14ac:dyDescent="0.25"/>
    <row r="5313" ht="17.100000000000001" customHeight="1" x14ac:dyDescent="0.25"/>
    <row r="5314" ht="17.100000000000001" customHeight="1" x14ac:dyDescent="0.25"/>
    <row r="5315" ht="17.100000000000001" customHeight="1" x14ac:dyDescent="0.25"/>
    <row r="5316" ht="17.100000000000001" customHeight="1" x14ac:dyDescent="0.25"/>
    <row r="5317" ht="17.100000000000001" customHeight="1" x14ac:dyDescent="0.25"/>
    <row r="5318" ht="17.100000000000001" customHeight="1" x14ac:dyDescent="0.25"/>
    <row r="5319" ht="17.100000000000001" customHeight="1" x14ac:dyDescent="0.25"/>
    <row r="5320" ht="17.100000000000001" customHeight="1" x14ac:dyDescent="0.25"/>
    <row r="5321" ht="17.100000000000001" customHeight="1" x14ac:dyDescent="0.25"/>
    <row r="5322" ht="17.100000000000001" customHeight="1" x14ac:dyDescent="0.25"/>
    <row r="5323" ht="17.100000000000001" customHeight="1" x14ac:dyDescent="0.25"/>
    <row r="5324" ht="17.100000000000001" customHeight="1" x14ac:dyDescent="0.25"/>
    <row r="5325" ht="17.100000000000001" customHeight="1" x14ac:dyDescent="0.25"/>
    <row r="5326" ht="17.100000000000001" customHeight="1" x14ac:dyDescent="0.25"/>
    <row r="5327" ht="17.100000000000001" customHeight="1" x14ac:dyDescent="0.25"/>
    <row r="5328" ht="17.100000000000001" customHeight="1" x14ac:dyDescent="0.25"/>
    <row r="5329" ht="17.100000000000001" customHeight="1" x14ac:dyDescent="0.25"/>
    <row r="5330" ht="17.100000000000001" customHeight="1" x14ac:dyDescent="0.25"/>
    <row r="5331" ht="17.100000000000001" customHeight="1" x14ac:dyDescent="0.25"/>
    <row r="5332" ht="17.100000000000001" customHeight="1" x14ac:dyDescent="0.25"/>
    <row r="5333" ht="17.100000000000001" customHeight="1" x14ac:dyDescent="0.25"/>
    <row r="5334" ht="17.100000000000001" customHeight="1" x14ac:dyDescent="0.25"/>
    <row r="5335" ht="17.100000000000001" customHeight="1" x14ac:dyDescent="0.25"/>
    <row r="5336" ht="17.100000000000001" customHeight="1" x14ac:dyDescent="0.25"/>
    <row r="5337" ht="17.100000000000001" customHeight="1" x14ac:dyDescent="0.25"/>
    <row r="5338" ht="17.100000000000001" customHeight="1" x14ac:dyDescent="0.25"/>
    <row r="5339" ht="17.100000000000001" customHeight="1" x14ac:dyDescent="0.25"/>
    <row r="5340" ht="17.100000000000001" customHeight="1" x14ac:dyDescent="0.25"/>
    <row r="5341" ht="17.100000000000001" customHeight="1" x14ac:dyDescent="0.25"/>
    <row r="5342" ht="17.100000000000001" customHeight="1" x14ac:dyDescent="0.25"/>
    <row r="5343" ht="17.100000000000001" customHeight="1" x14ac:dyDescent="0.25"/>
    <row r="5344" ht="17.100000000000001" customHeight="1" x14ac:dyDescent="0.25"/>
    <row r="5345" ht="17.100000000000001" customHeight="1" x14ac:dyDescent="0.25"/>
    <row r="5346" ht="17.100000000000001" customHeight="1" x14ac:dyDescent="0.25"/>
    <row r="5347" ht="17.100000000000001" customHeight="1" x14ac:dyDescent="0.25"/>
    <row r="5348" ht="17.100000000000001" customHeight="1" x14ac:dyDescent="0.25"/>
    <row r="5349" ht="17.100000000000001" customHeight="1" x14ac:dyDescent="0.25"/>
    <row r="5350" ht="17.100000000000001" customHeight="1" x14ac:dyDescent="0.25"/>
    <row r="5351" ht="17.100000000000001" customHeight="1" x14ac:dyDescent="0.25"/>
    <row r="5352" ht="17.100000000000001" customHeight="1" x14ac:dyDescent="0.25"/>
    <row r="5353" ht="17.100000000000001" customHeight="1" x14ac:dyDescent="0.25"/>
    <row r="5354" ht="17.100000000000001" customHeight="1" x14ac:dyDescent="0.25"/>
    <row r="5355" ht="17.100000000000001" customHeight="1" x14ac:dyDescent="0.25"/>
    <row r="5356" ht="17.100000000000001" customHeight="1" x14ac:dyDescent="0.25"/>
    <row r="5357" ht="17.100000000000001" customHeight="1" x14ac:dyDescent="0.25"/>
    <row r="5358" ht="17.100000000000001" customHeight="1" x14ac:dyDescent="0.25"/>
    <row r="5359" ht="17.100000000000001" customHeight="1" x14ac:dyDescent="0.25"/>
    <row r="5360" ht="17.100000000000001" customHeight="1" x14ac:dyDescent="0.25"/>
    <row r="5361" ht="17.100000000000001" customHeight="1" x14ac:dyDescent="0.25"/>
    <row r="5362" ht="17.100000000000001" customHeight="1" x14ac:dyDescent="0.25"/>
    <row r="5363" ht="17.100000000000001" customHeight="1" x14ac:dyDescent="0.25"/>
    <row r="5364" ht="17.100000000000001" customHeight="1" x14ac:dyDescent="0.25"/>
    <row r="5365" ht="17.100000000000001" customHeight="1" x14ac:dyDescent="0.25"/>
    <row r="5366" ht="17.100000000000001" customHeight="1" x14ac:dyDescent="0.25"/>
    <row r="5367" ht="17.100000000000001" customHeight="1" x14ac:dyDescent="0.25"/>
    <row r="5368" ht="17.100000000000001" customHeight="1" x14ac:dyDescent="0.25"/>
    <row r="5369" ht="17.100000000000001" customHeight="1" x14ac:dyDescent="0.25"/>
    <row r="5370" ht="17.100000000000001" customHeight="1" x14ac:dyDescent="0.25"/>
    <row r="5371" ht="17.100000000000001" customHeight="1" x14ac:dyDescent="0.25"/>
    <row r="5372" ht="17.100000000000001" customHeight="1" x14ac:dyDescent="0.25"/>
    <row r="5373" ht="17.100000000000001" customHeight="1" x14ac:dyDescent="0.25"/>
    <row r="5374" ht="17.100000000000001" customHeight="1" x14ac:dyDescent="0.25"/>
    <row r="5375" ht="17.100000000000001" customHeight="1" x14ac:dyDescent="0.25"/>
    <row r="5376" ht="17.100000000000001" customHeight="1" x14ac:dyDescent="0.25"/>
    <row r="5377" ht="17.100000000000001" customHeight="1" x14ac:dyDescent="0.25"/>
    <row r="5378" ht="17.100000000000001" customHeight="1" x14ac:dyDescent="0.25"/>
    <row r="5379" ht="17.100000000000001" customHeight="1" x14ac:dyDescent="0.25"/>
    <row r="5380" ht="17.100000000000001" customHeight="1" x14ac:dyDescent="0.25"/>
    <row r="5381" ht="17.100000000000001" customHeight="1" x14ac:dyDescent="0.25"/>
    <row r="5382" ht="17.100000000000001" customHeight="1" x14ac:dyDescent="0.25"/>
    <row r="5383" ht="17.100000000000001" customHeight="1" x14ac:dyDescent="0.25"/>
    <row r="5384" ht="17.100000000000001" customHeight="1" x14ac:dyDescent="0.25"/>
    <row r="5385" ht="17.100000000000001" customHeight="1" x14ac:dyDescent="0.25"/>
    <row r="5386" ht="17.100000000000001" customHeight="1" x14ac:dyDescent="0.25"/>
    <row r="5387" ht="17.100000000000001" customHeight="1" x14ac:dyDescent="0.25"/>
    <row r="5388" ht="17.100000000000001" customHeight="1" x14ac:dyDescent="0.25"/>
    <row r="5389" ht="17.100000000000001" customHeight="1" x14ac:dyDescent="0.25"/>
    <row r="5390" ht="17.100000000000001" customHeight="1" x14ac:dyDescent="0.25"/>
    <row r="5391" ht="17.100000000000001" customHeight="1" x14ac:dyDescent="0.25"/>
    <row r="5392" ht="17.100000000000001" customHeight="1" x14ac:dyDescent="0.25"/>
    <row r="5393" ht="17.100000000000001" customHeight="1" x14ac:dyDescent="0.25"/>
    <row r="5394" ht="17.100000000000001" customHeight="1" x14ac:dyDescent="0.25"/>
    <row r="5395" ht="17.100000000000001" customHeight="1" x14ac:dyDescent="0.25"/>
    <row r="5396" ht="17.100000000000001" customHeight="1" x14ac:dyDescent="0.25"/>
    <row r="5397" ht="17.100000000000001" customHeight="1" x14ac:dyDescent="0.25"/>
    <row r="5398" ht="17.100000000000001" customHeight="1" x14ac:dyDescent="0.25"/>
    <row r="5399" ht="17.100000000000001" customHeight="1" x14ac:dyDescent="0.25"/>
    <row r="5400" ht="17.100000000000001" customHeight="1" x14ac:dyDescent="0.25"/>
    <row r="5401" ht="17.100000000000001" customHeight="1" x14ac:dyDescent="0.25"/>
    <row r="5402" ht="17.100000000000001" customHeight="1" x14ac:dyDescent="0.25"/>
    <row r="5403" ht="17.100000000000001" customHeight="1" x14ac:dyDescent="0.25"/>
    <row r="5404" ht="17.100000000000001" customHeight="1" x14ac:dyDescent="0.25"/>
    <row r="5405" ht="17.100000000000001" customHeight="1" x14ac:dyDescent="0.25"/>
    <row r="5406" ht="17.100000000000001" customHeight="1" x14ac:dyDescent="0.25"/>
    <row r="5407" ht="17.100000000000001" customHeight="1" x14ac:dyDescent="0.25"/>
    <row r="5408" ht="17.100000000000001" customHeight="1" x14ac:dyDescent="0.25"/>
    <row r="5409" ht="17.100000000000001" customHeight="1" x14ac:dyDescent="0.25"/>
    <row r="5410" ht="17.100000000000001" customHeight="1" x14ac:dyDescent="0.25"/>
    <row r="5411" ht="17.100000000000001" customHeight="1" x14ac:dyDescent="0.25"/>
    <row r="5412" ht="17.100000000000001" customHeight="1" x14ac:dyDescent="0.25"/>
    <row r="5413" ht="17.100000000000001" customHeight="1" x14ac:dyDescent="0.25"/>
    <row r="5414" ht="17.100000000000001" customHeight="1" x14ac:dyDescent="0.25"/>
    <row r="5415" ht="17.100000000000001" customHeight="1" x14ac:dyDescent="0.25"/>
    <row r="5416" ht="17.100000000000001" customHeight="1" x14ac:dyDescent="0.25"/>
    <row r="5417" ht="17.100000000000001" customHeight="1" x14ac:dyDescent="0.25"/>
    <row r="5418" ht="17.100000000000001" customHeight="1" x14ac:dyDescent="0.25"/>
    <row r="5419" ht="17.100000000000001" customHeight="1" x14ac:dyDescent="0.25"/>
    <row r="5420" ht="17.100000000000001" customHeight="1" x14ac:dyDescent="0.25"/>
    <row r="5421" ht="17.100000000000001" customHeight="1" x14ac:dyDescent="0.25"/>
    <row r="5422" ht="17.100000000000001" customHeight="1" x14ac:dyDescent="0.25"/>
    <row r="5423" ht="17.100000000000001" customHeight="1" x14ac:dyDescent="0.25"/>
    <row r="5424" ht="17.100000000000001" customHeight="1" x14ac:dyDescent="0.25"/>
    <row r="5425" ht="17.100000000000001" customHeight="1" x14ac:dyDescent="0.25"/>
    <row r="5426" ht="17.100000000000001" customHeight="1" x14ac:dyDescent="0.25"/>
    <row r="5427" ht="17.100000000000001" customHeight="1" x14ac:dyDescent="0.25"/>
    <row r="5428" ht="17.100000000000001" customHeight="1" x14ac:dyDescent="0.25"/>
    <row r="5429" ht="17.100000000000001" customHeight="1" x14ac:dyDescent="0.25"/>
    <row r="5430" ht="17.100000000000001" customHeight="1" x14ac:dyDescent="0.25"/>
    <row r="5431" ht="17.100000000000001" customHeight="1" x14ac:dyDescent="0.25"/>
    <row r="5432" ht="17.100000000000001" customHeight="1" x14ac:dyDescent="0.25"/>
    <row r="5433" ht="17.100000000000001" customHeight="1" x14ac:dyDescent="0.25"/>
    <row r="5434" ht="17.100000000000001" customHeight="1" x14ac:dyDescent="0.25"/>
    <row r="5435" ht="17.100000000000001" customHeight="1" x14ac:dyDescent="0.25"/>
    <row r="5436" ht="17.100000000000001" customHeight="1" x14ac:dyDescent="0.25"/>
    <row r="5437" ht="17.100000000000001" customHeight="1" x14ac:dyDescent="0.25"/>
    <row r="5438" ht="17.100000000000001" customHeight="1" x14ac:dyDescent="0.25"/>
    <row r="5439" ht="17.100000000000001" customHeight="1" x14ac:dyDescent="0.25"/>
    <row r="5440" ht="17.100000000000001" customHeight="1" x14ac:dyDescent="0.25"/>
    <row r="5441" ht="17.100000000000001" customHeight="1" x14ac:dyDescent="0.25"/>
    <row r="5442" ht="17.100000000000001" customHeight="1" x14ac:dyDescent="0.25"/>
    <row r="5443" ht="17.100000000000001" customHeight="1" x14ac:dyDescent="0.25"/>
    <row r="5444" ht="17.100000000000001" customHeight="1" x14ac:dyDescent="0.25"/>
    <row r="5445" ht="17.100000000000001" customHeight="1" x14ac:dyDescent="0.25"/>
    <row r="5446" ht="17.100000000000001" customHeight="1" x14ac:dyDescent="0.25"/>
    <row r="5447" ht="17.100000000000001" customHeight="1" x14ac:dyDescent="0.25"/>
    <row r="5448" ht="17.100000000000001" customHeight="1" x14ac:dyDescent="0.25"/>
    <row r="5449" ht="17.100000000000001" customHeight="1" x14ac:dyDescent="0.25"/>
    <row r="5450" ht="17.100000000000001" customHeight="1" x14ac:dyDescent="0.25"/>
    <row r="5451" ht="17.100000000000001" customHeight="1" x14ac:dyDescent="0.25"/>
    <row r="5452" ht="17.100000000000001" customHeight="1" x14ac:dyDescent="0.25"/>
    <row r="5453" ht="17.100000000000001" customHeight="1" x14ac:dyDescent="0.25"/>
    <row r="5454" ht="17.100000000000001" customHeight="1" x14ac:dyDescent="0.25"/>
    <row r="5455" ht="17.100000000000001" customHeight="1" x14ac:dyDescent="0.25"/>
    <row r="5456" ht="17.100000000000001" customHeight="1" x14ac:dyDescent="0.25"/>
    <row r="5457" ht="17.100000000000001" customHeight="1" x14ac:dyDescent="0.25"/>
    <row r="5458" ht="17.100000000000001" customHeight="1" x14ac:dyDescent="0.25"/>
    <row r="5459" ht="17.100000000000001" customHeight="1" x14ac:dyDescent="0.25"/>
    <row r="5460" ht="17.100000000000001" customHeight="1" x14ac:dyDescent="0.25"/>
    <row r="5461" ht="17.100000000000001" customHeight="1" x14ac:dyDescent="0.25"/>
    <row r="5462" ht="17.100000000000001" customHeight="1" x14ac:dyDescent="0.25"/>
    <row r="5463" ht="17.100000000000001" customHeight="1" x14ac:dyDescent="0.25"/>
    <row r="5464" ht="17.100000000000001" customHeight="1" x14ac:dyDescent="0.25"/>
    <row r="5465" ht="17.100000000000001" customHeight="1" x14ac:dyDescent="0.25"/>
    <row r="5466" ht="17.100000000000001" customHeight="1" x14ac:dyDescent="0.25"/>
    <row r="5467" ht="17.100000000000001" customHeight="1" x14ac:dyDescent="0.25"/>
    <row r="5468" ht="17.100000000000001" customHeight="1" x14ac:dyDescent="0.25"/>
    <row r="5469" ht="17.100000000000001" customHeight="1" x14ac:dyDescent="0.25"/>
    <row r="5470" ht="17.100000000000001" customHeight="1" x14ac:dyDescent="0.25"/>
    <row r="5471" ht="17.100000000000001" customHeight="1" x14ac:dyDescent="0.25"/>
    <row r="5472" ht="17.100000000000001" customHeight="1" x14ac:dyDescent="0.25"/>
    <row r="5473" ht="17.100000000000001" customHeight="1" x14ac:dyDescent="0.25"/>
    <row r="5474" ht="17.100000000000001" customHeight="1" x14ac:dyDescent="0.25"/>
    <row r="5475" ht="17.100000000000001" customHeight="1" x14ac:dyDescent="0.25"/>
    <row r="5476" ht="17.100000000000001" customHeight="1" x14ac:dyDescent="0.25"/>
    <row r="5477" ht="17.100000000000001" customHeight="1" x14ac:dyDescent="0.25"/>
    <row r="5478" ht="17.100000000000001" customHeight="1" x14ac:dyDescent="0.25"/>
    <row r="5479" ht="17.100000000000001" customHeight="1" x14ac:dyDescent="0.25"/>
    <row r="5480" ht="17.100000000000001" customHeight="1" x14ac:dyDescent="0.25"/>
    <row r="5481" ht="17.100000000000001" customHeight="1" x14ac:dyDescent="0.25"/>
    <row r="5482" ht="17.100000000000001" customHeight="1" x14ac:dyDescent="0.25"/>
    <row r="5483" ht="17.100000000000001" customHeight="1" x14ac:dyDescent="0.25"/>
    <row r="5484" ht="17.100000000000001" customHeight="1" x14ac:dyDescent="0.25"/>
    <row r="5485" ht="17.100000000000001" customHeight="1" x14ac:dyDescent="0.25"/>
    <row r="5486" ht="17.100000000000001" customHeight="1" x14ac:dyDescent="0.25"/>
    <row r="5487" ht="17.100000000000001" customHeight="1" x14ac:dyDescent="0.25"/>
    <row r="5488" ht="17.100000000000001" customHeight="1" x14ac:dyDescent="0.25"/>
    <row r="5489" ht="17.100000000000001" customHeight="1" x14ac:dyDescent="0.25"/>
    <row r="5490" ht="17.100000000000001" customHeight="1" x14ac:dyDescent="0.25"/>
    <row r="5491" ht="17.100000000000001" customHeight="1" x14ac:dyDescent="0.25"/>
    <row r="5492" ht="17.100000000000001" customHeight="1" x14ac:dyDescent="0.25"/>
    <row r="5493" ht="17.100000000000001" customHeight="1" x14ac:dyDescent="0.25"/>
    <row r="5494" ht="17.100000000000001" customHeight="1" x14ac:dyDescent="0.25"/>
    <row r="5495" ht="17.100000000000001" customHeight="1" x14ac:dyDescent="0.25"/>
    <row r="5496" ht="17.100000000000001" customHeight="1" x14ac:dyDescent="0.25"/>
    <row r="5497" ht="17.100000000000001" customHeight="1" x14ac:dyDescent="0.25"/>
    <row r="5498" ht="17.100000000000001" customHeight="1" x14ac:dyDescent="0.25"/>
    <row r="5499" ht="17.100000000000001" customHeight="1" x14ac:dyDescent="0.25"/>
    <row r="5500" ht="17.100000000000001" customHeight="1" x14ac:dyDescent="0.25"/>
    <row r="5501" ht="17.100000000000001" customHeight="1" x14ac:dyDescent="0.25"/>
    <row r="5502" ht="17.100000000000001" customHeight="1" x14ac:dyDescent="0.25"/>
    <row r="5503" ht="17.100000000000001" customHeight="1" x14ac:dyDescent="0.25"/>
    <row r="5504" ht="17.100000000000001" customHeight="1" x14ac:dyDescent="0.25"/>
    <row r="5505" ht="17.100000000000001" customHeight="1" x14ac:dyDescent="0.25"/>
    <row r="5506" ht="17.100000000000001" customHeight="1" x14ac:dyDescent="0.25"/>
    <row r="5507" ht="17.100000000000001" customHeight="1" x14ac:dyDescent="0.25"/>
    <row r="5508" ht="17.100000000000001" customHeight="1" x14ac:dyDescent="0.25"/>
    <row r="5509" ht="17.100000000000001" customHeight="1" x14ac:dyDescent="0.25"/>
    <row r="5510" ht="17.100000000000001" customHeight="1" x14ac:dyDescent="0.25"/>
    <row r="5511" ht="17.100000000000001" customHeight="1" x14ac:dyDescent="0.25"/>
    <row r="5512" ht="17.100000000000001" customHeight="1" x14ac:dyDescent="0.25"/>
    <row r="5513" ht="17.100000000000001" customHeight="1" x14ac:dyDescent="0.25"/>
    <row r="5514" ht="17.100000000000001" customHeight="1" x14ac:dyDescent="0.25"/>
    <row r="5515" ht="17.100000000000001" customHeight="1" x14ac:dyDescent="0.25"/>
    <row r="5516" ht="17.100000000000001" customHeight="1" x14ac:dyDescent="0.25"/>
    <row r="5517" ht="17.100000000000001" customHeight="1" x14ac:dyDescent="0.25"/>
    <row r="5518" ht="17.100000000000001" customHeight="1" x14ac:dyDescent="0.25"/>
    <row r="5519" ht="17.100000000000001" customHeight="1" x14ac:dyDescent="0.25"/>
    <row r="5520" ht="17.100000000000001" customHeight="1" x14ac:dyDescent="0.25"/>
    <row r="5521" ht="17.100000000000001" customHeight="1" x14ac:dyDescent="0.25"/>
    <row r="5522" ht="17.100000000000001" customHeight="1" x14ac:dyDescent="0.25"/>
    <row r="5523" ht="17.100000000000001" customHeight="1" x14ac:dyDescent="0.25"/>
    <row r="5524" ht="17.100000000000001" customHeight="1" x14ac:dyDescent="0.25"/>
    <row r="5525" ht="17.100000000000001" customHeight="1" x14ac:dyDescent="0.25"/>
    <row r="5526" ht="17.100000000000001" customHeight="1" x14ac:dyDescent="0.25"/>
    <row r="5527" ht="17.100000000000001" customHeight="1" x14ac:dyDescent="0.25"/>
    <row r="5528" ht="17.100000000000001" customHeight="1" x14ac:dyDescent="0.25"/>
    <row r="5529" ht="17.100000000000001" customHeight="1" x14ac:dyDescent="0.25"/>
    <row r="5530" ht="17.100000000000001" customHeight="1" x14ac:dyDescent="0.25"/>
    <row r="5531" ht="17.100000000000001" customHeight="1" x14ac:dyDescent="0.25"/>
    <row r="5532" ht="17.100000000000001" customHeight="1" x14ac:dyDescent="0.25"/>
    <row r="5533" ht="17.100000000000001" customHeight="1" x14ac:dyDescent="0.25"/>
    <row r="5534" ht="17.100000000000001" customHeight="1" x14ac:dyDescent="0.25"/>
    <row r="5535" ht="17.100000000000001" customHeight="1" x14ac:dyDescent="0.25"/>
    <row r="5536" ht="17.100000000000001" customHeight="1" x14ac:dyDescent="0.25"/>
    <row r="5537" ht="17.100000000000001" customHeight="1" x14ac:dyDescent="0.25"/>
    <row r="5538" ht="17.100000000000001" customHeight="1" x14ac:dyDescent="0.25"/>
    <row r="5539" ht="17.100000000000001" customHeight="1" x14ac:dyDescent="0.25"/>
    <row r="5540" ht="17.100000000000001" customHeight="1" x14ac:dyDescent="0.25"/>
    <row r="5541" ht="17.100000000000001" customHeight="1" x14ac:dyDescent="0.25"/>
    <row r="5542" ht="17.100000000000001" customHeight="1" x14ac:dyDescent="0.25"/>
    <row r="5543" ht="17.100000000000001" customHeight="1" x14ac:dyDescent="0.25"/>
    <row r="5544" ht="17.100000000000001" customHeight="1" x14ac:dyDescent="0.25"/>
    <row r="5545" ht="17.100000000000001" customHeight="1" x14ac:dyDescent="0.25"/>
    <row r="5546" ht="17.100000000000001" customHeight="1" x14ac:dyDescent="0.25"/>
    <row r="5547" ht="17.100000000000001" customHeight="1" x14ac:dyDescent="0.25"/>
    <row r="5548" ht="17.100000000000001" customHeight="1" x14ac:dyDescent="0.25"/>
    <row r="5549" ht="17.100000000000001" customHeight="1" x14ac:dyDescent="0.25"/>
    <row r="5550" ht="17.100000000000001" customHeight="1" x14ac:dyDescent="0.25"/>
    <row r="5551" ht="17.100000000000001" customHeight="1" x14ac:dyDescent="0.25"/>
    <row r="5552" ht="17.100000000000001" customHeight="1" x14ac:dyDescent="0.25"/>
    <row r="5553" ht="17.100000000000001" customHeight="1" x14ac:dyDescent="0.25"/>
    <row r="5554" ht="17.100000000000001" customHeight="1" x14ac:dyDescent="0.25"/>
    <row r="5555" ht="17.100000000000001" customHeight="1" x14ac:dyDescent="0.25"/>
    <row r="5556" ht="17.100000000000001" customHeight="1" x14ac:dyDescent="0.25"/>
    <row r="5557" ht="17.100000000000001" customHeight="1" x14ac:dyDescent="0.25"/>
    <row r="5558" ht="17.100000000000001" customHeight="1" x14ac:dyDescent="0.25"/>
    <row r="5559" ht="17.100000000000001" customHeight="1" x14ac:dyDescent="0.25"/>
    <row r="5560" ht="17.100000000000001" customHeight="1" x14ac:dyDescent="0.25"/>
    <row r="5561" ht="17.100000000000001" customHeight="1" x14ac:dyDescent="0.25"/>
    <row r="5562" ht="17.100000000000001" customHeight="1" x14ac:dyDescent="0.25"/>
    <row r="5563" ht="17.100000000000001" customHeight="1" x14ac:dyDescent="0.25"/>
    <row r="5564" ht="17.100000000000001" customHeight="1" x14ac:dyDescent="0.25"/>
    <row r="5565" ht="17.100000000000001" customHeight="1" x14ac:dyDescent="0.25"/>
    <row r="5566" ht="17.100000000000001" customHeight="1" x14ac:dyDescent="0.25"/>
    <row r="5567" ht="17.100000000000001" customHeight="1" x14ac:dyDescent="0.25"/>
    <row r="5568" ht="17.100000000000001" customHeight="1" x14ac:dyDescent="0.25"/>
    <row r="5569" ht="17.100000000000001" customHeight="1" x14ac:dyDescent="0.25"/>
    <row r="5570" ht="17.100000000000001" customHeight="1" x14ac:dyDescent="0.25"/>
    <row r="5571" ht="17.100000000000001" customHeight="1" x14ac:dyDescent="0.25"/>
    <row r="5572" ht="17.100000000000001" customHeight="1" x14ac:dyDescent="0.25"/>
    <row r="5573" ht="17.100000000000001" customHeight="1" x14ac:dyDescent="0.25"/>
    <row r="5574" ht="17.100000000000001" customHeight="1" x14ac:dyDescent="0.25"/>
    <row r="5575" ht="17.100000000000001" customHeight="1" x14ac:dyDescent="0.25"/>
    <row r="5576" ht="17.100000000000001" customHeight="1" x14ac:dyDescent="0.25"/>
    <row r="5577" ht="17.100000000000001" customHeight="1" x14ac:dyDescent="0.25"/>
    <row r="5578" ht="17.100000000000001" customHeight="1" x14ac:dyDescent="0.25"/>
    <row r="5579" ht="17.100000000000001" customHeight="1" x14ac:dyDescent="0.25"/>
    <row r="5580" ht="17.100000000000001" customHeight="1" x14ac:dyDescent="0.25"/>
    <row r="5581" ht="17.100000000000001" customHeight="1" x14ac:dyDescent="0.25"/>
    <row r="5582" ht="17.100000000000001" customHeight="1" x14ac:dyDescent="0.25"/>
    <row r="5583" ht="17.100000000000001" customHeight="1" x14ac:dyDescent="0.25"/>
    <row r="5584" ht="17.100000000000001" customHeight="1" x14ac:dyDescent="0.25"/>
    <row r="5585" ht="17.100000000000001" customHeight="1" x14ac:dyDescent="0.25"/>
    <row r="5586" ht="17.100000000000001" customHeight="1" x14ac:dyDescent="0.25"/>
    <row r="5587" ht="17.100000000000001" customHeight="1" x14ac:dyDescent="0.25"/>
    <row r="5588" ht="17.100000000000001" customHeight="1" x14ac:dyDescent="0.25"/>
    <row r="5589" ht="17.100000000000001" customHeight="1" x14ac:dyDescent="0.25"/>
    <row r="5590" ht="17.100000000000001" customHeight="1" x14ac:dyDescent="0.25"/>
    <row r="5591" ht="17.100000000000001" customHeight="1" x14ac:dyDescent="0.25"/>
    <row r="5592" ht="17.100000000000001" customHeight="1" x14ac:dyDescent="0.25"/>
    <row r="5593" ht="17.100000000000001" customHeight="1" x14ac:dyDescent="0.25"/>
    <row r="5594" ht="17.100000000000001" customHeight="1" x14ac:dyDescent="0.25"/>
    <row r="5595" ht="17.100000000000001" customHeight="1" x14ac:dyDescent="0.25"/>
    <row r="5596" ht="17.100000000000001" customHeight="1" x14ac:dyDescent="0.25"/>
    <row r="5597" ht="17.100000000000001" customHeight="1" x14ac:dyDescent="0.25"/>
    <row r="5598" ht="17.100000000000001" customHeight="1" x14ac:dyDescent="0.25"/>
    <row r="5599" ht="17.100000000000001" customHeight="1" x14ac:dyDescent="0.25"/>
    <row r="5600" ht="17.100000000000001" customHeight="1" x14ac:dyDescent="0.25"/>
    <row r="5601" ht="17.100000000000001" customHeight="1" x14ac:dyDescent="0.25"/>
    <row r="5602" ht="17.100000000000001" customHeight="1" x14ac:dyDescent="0.25"/>
    <row r="5603" ht="17.100000000000001" customHeight="1" x14ac:dyDescent="0.25"/>
    <row r="5604" ht="17.100000000000001" customHeight="1" x14ac:dyDescent="0.25"/>
    <row r="5605" ht="17.100000000000001" customHeight="1" x14ac:dyDescent="0.25"/>
    <row r="5606" ht="17.100000000000001" customHeight="1" x14ac:dyDescent="0.25"/>
    <row r="5607" ht="17.100000000000001" customHeight="1" x14ac:dyDescent="0.25"/>
    <row r="5608" ht="17.100000000000001" customHeight="1" x14ac:dyDescent="0.25"/>
    <row r="5609" ht="17.100000000000001" customHeight="1" x14ac:dyDescent="0.25"/>
    <row r="5610" ht="17.100000000000001" customHeight="1" x14ac:dyDescent="0.25"/>
    <row r="5611" ht="17.100000000000001" customHeight="1" x14ac:dyDescent="0.25"/>
    <row r="5612" ht="17.100000000000001" customHeight="1" x14ac:dyDescent="0.25"/>
    <row r="5613" ht="17.100000000000001" customHeight="1" x14ac:dyDescent="0.25"/>
    <row r="5614" ht="17.100000000000001" customHeight="1" x14ac:dyDescent="0.25"/>
    <row r="5615" ht="17.100000000000001" customHeight="1" x14ac:dyDescent="0.25"/>
    <row r="5616" ht="17.100000000000001" customHeight="1" x14ac:dyDescent="0.25"/>
    <row r="5617" ht="17.100000000000001" customHeight="1" x14ac:dyDescent="0.25"/>
    <row r="5618" ht="17.100000000000001" customHeight="1" x14ac:dyDescent="0.25"/>
    <row r="5619" ht="17.100000000000001" customHeight="1" x14ac:dyDescent="0.25"/>
    <row r="5620" ht="17.100000000000001" customHeight="1" x14ac:dyDescent="0.25"/>
    <row r="5621" ht="17.100000000000001" customHeight="1" x14ac:dyDescent="0.25"/>
    <row r="5622" ht="17.100000000000001" customHeight="1" x14ac:dyDescent="0.25"/>
    <row r="5623" ht="17.100000000000001" customHeight="1" x14ac:dyDescent="0.25"/>
    <row r="5624" ht="17.100000000000001" customHeight="1" x14ac:dyDescent="0.25"/>
    <row r="5625" ht="17.100000000000001" customHeight="1" x14ac:dyDescent="0.25"/>
    <row r="5626" ht="17.100000000000001" customHeight="1" x14ac:dyDescent="0.25"/>
    <row r="5627" ht="17.100000000000001" customHeight="1" x14ac:dyDescent="0.25"/>
    <row r="5628" ht="17.100000000000001" customHeight="1" x14ac:dyDescent="0.25"/>
    <row r="5629" ht="17.100000000000001" customHeight="1" x14ac:dyDescent="0.25"/>
    <row r="5630" ht="17.100000000000001" customHeight="1" x14ac:dyDescent="0.25"/>
    <row r="5631" ht="17.100000000000001" customHeight="1" x14ac:dyDescent="0.25"/>
    <row r="5632" ht="17.100000000000001" customHeight="1" x14ac:dyDescent="0.25"/>
    <row r="5633" ht="17.100000000000001" customHeight="1" x14ac:dyDescent="0.25"/>
    <row r="5634" ht="17.100000000000001" customHeight="1" x14ac:dyDescent="0.25"/>
    <row r="5635" ht="17.100000000000001" customHeight="1" x14ac:dyDescent="0.25"/>
    <row r="5636" ht="17.100000000000001" customHeight="1" x14ac:dyDescent="0.25"/>
    <row r="5637" ht="17.100000000000001" customHeight="1" x14ac:dyDescent="0.25"/>
    <row r="5638" ht="17.100000000000001" customHeight="1" x14ac:dyDescent="0.25"/>
    <row r="5639" ht="17.100000000000001" customHeight="1" x14ac:dyDescent="0.25"/>
    <row r="5640" ht="17.100000000000001" customHeight="1" x14ac:dyDescent="0.25"/>
    <row r="5641" ht="17.100000000000001" customHeight="1" x14ac:dyDescent="0.25"/>
    <row r="5642" ht="17.100000000000001" customHeight="1" x14ac:dyDescent="0.25"/>
    <row r="5643" ht="17.100000000000001" customHeight="1" x14ac:dyDescent="0.25"/>
    <row r="5644" ht="17.100000000000001" customHeight="1" x14ac:dyDescent="0.25"/>
    <row r="5645" ht="17.100000000000001" customHeight="1" x14ac:dyDescent="0.25"/>
    <row r="5646" ht="17.100000000000001" customHeight="1" x14ac:dyDescent="0.25"/>
    <row r="5647" ht="17.100000000000001" customHeight="1" x14ac:dyDescent="0.25"/>
    <row r="5648" ht="17.100000000000001" customHeight="1" x14ac:dyDescent="0.25"/>
    <row r="5649" ht="17.100000000000001" customHeight="1" x14ac:dyDescent="0.25"/>
    <row r="5650" ht="17.100000000000001" customHeight="1" x14ac:dyDescent="0.25"/>
    <row r="5651" ht="17.100000000000001" customHeight="1" x14ac:dyDescent="0.25"/>
    <row r="5652" ht="17.100000000000001" customHeight="1" x14ac:dyDescent="0.25"/>
    <row r="5653" ht="17.100000000000001" customHeight="1" x14ac:dyDescent="0.25"/>
    <row r="5654" ht="17.100000000000001" customHeight="1" x14ac:dyDescent="0.25"/>
    <row r="5655" ht="17.100000000000001" customHeight="1" x14ac:dyDescent="0.25"/>
    <row r="5656" ht="17.100000000000001" customHeight="1" x14ac:dyDescent="0.25"/>
    <row r="5657" ht="17.100000000000001" customHeight="1" x14ac:dyDescent="0.25"/>
    <row r="5658" ht="17.100000000000001" customHeight="1" x14ac:dyDescent="0.25"/>
    <row r="5659" ht="17.100000000000001" customHeight="1" x14ac:dyDescent="0.25"/>
    <row r="5660" ht="17.100000000000001" customHeight="1" x14ac:dyDescent="0.25"/>
    <row r="5661" ht="17.100000000000001" customHeight="1" x14ac:dyDescent="0.25"/>
    <row r="5662" ht="17.100000000000001" customHeight="1" x14ac:dyDescent="0.25"/>
    <row r="5663" ht="17.100000000000001" customHeight="1" x14ac:dyDescent="0.25"/>
    <row r="5664" ht="17.100000000000001" customHeight="1" x14ac:dyDescent="0.25"/>
    <row r="5665" ht="17.100000000000001" customHeight="1" x14ac:dyDescent="0.25"/>
    <row r="5666" ht="17.100000000000001" customHeight="1" x14ac:dyDescent="0.25"/>
    <row r="5667" ht="17.100000000000001" customHeight="1" x14ac:dyDescent="0.25"/>
    <row r="5668" ht="17.100000000000001" customHeight="1" x14ac:dyDescent="0.25"/>
    <row r="5669" ht="17.100000000000001" customHeight="1" x14ac:dyDescent="0.25"/>
    <row r="5670" ht="17.100000000000001" customHeight="1" x14ac:dyDescent="0.25"/>
    <row r="5671" ht="17.100000000000001" customHeight="1" x14ac:dyDescent="0.25"/>
    <row r="5672" ht="17.100000000000001" customHeight="1" x14ac:dyDescent="0.25"/>
    <row r="5673" ht="17.100000000000001" customHeight="1" x14ac:dyDescent="0.25"/>
    <row r="5674" ht="17.100000000000001" customHeight="1" x14ac:dyDescent="0.25"/>
    <row r="5675" ht="17.100000000000001" customHeight="1" x14ac:dyDescent="0.25"/>
    <row r="5676" ht="17.100000000000001" customHeight="1" x14ac:dyDescent="0.25"/>
    <row r="5677" ht="17.100000000000001" customHeight="1" x14ac:dyDescent="0.25"/>
    <row r="5678" ht="17.100000000000001" customHeight="1" x14ac:dyDescent="0.25"/>
    <row r="5679" ht="17.100000000000001" customHeight="1" x14ac:dyDescent="0.25"/>
    <row r="5680" ht="17.100000000000001" customHeight="1" x14ac:dyDescent="0.25"/>
    <row r="5681" ht="17.100000000000001" customHeight="1" x14ac:dyDescent="0.25"/>
    <row r="5682" ht="17.100000000000001" customHeight="1" x14ac:dyDescent="0.25"/>
    <row r="5683" ht="17.100000000000001" customHeight="1" x14ac:dyDescent="0.25"/>
    <row r="5684" ht="17.100000000000001" customHeight="1" x14ac:dyDescent="0.25"/>
    <row r="5685" ht="17.100000000000001" customHeight="1" x14ac:dyDescent="0.25"/>
    <row r="5686" ht="17.100000000000001" customHeight="1" x14ac:dyDescent="0.25"/>
    <row r="5687" ht="17.100000000000001" customHeight="1" x14ac:dyDescent="0.25"/>
    <row r="5688" ht="17.100000000000001" customHeight="1" x14ac:dyDescent="0.25"/>
    <row r="5689" ht="17.100000000000001" customHeight="1" x14ac:dyDescent="0.25"/>
    <row r="5690" ht="17.100000000000001" customHeight="1" x14ac:dyDescent="0.25"/>
    <row r="5691" ht="17.100000000000001" customHeight="1" x14ac:dyDescent="0.25"/>
    <row r="5692" ht="17.100000000000001" customHeight="1" x14ac:dyDescent="0.25"/>
    <row r="5693" ht="17.100000000000001" customHeight="1" x14ac:dyDescent="0.25"/>
    <row r="5694" ht="17.100000000000001" customHeight="1" x14ac:dyDescent="0.25"/>
    <row r="5695" ht="17.100000000000001" customHeight="1" x14ac:dyDescent="0.25"/>
    <row r="5696" ht="17.100000000000001" customHeight="1" x14ac:dyDescent="0.25"/>
    <row r="5697" ht="17.100000000000001" customHeight="1" x14ac:dyDescent="0.25"/>
    <row r="5698" ht="17.100000000000001" customHeight="1" x14ac:dyDescent="0.25"/>
    <row r="5699" ht="17.100000000000001" customHeight="1" x14ac:dyDescent="0.25"/>
    <row r="5700" ht="17.100000000000001" customHeight="1" x14ac:dyDescent="0.25"/>
    <row r="5701" ht="17.100000000000001" customHeight="1" x14ac:dyDescent="0.25"/>
    <row r="5702" ht="17.100000000000001" customHeight="1" x14ac:dyDescent="0.25"/>
    <row r="5703" ht="17.100000000000001" customHeight="1" x14ac:dyDescent="0.25"/>
    <row r="5704" ht="17.100000000000001" customHeight="1" x14ac:dyDescent="0.25"/>
    <row r="5705" ht="17.100000000000001" customHeight="1" x14ac:dyDescent="0.25"/>
    <row r="5706" ht="17.100000000000001" customHeight="1" x14ac:dyDescent="0.25"/>
    <row r="5707" ht="17.100000000000001" customHeight="1" x14ac:dyDescent="0.25"/>
    <row r="5708" ht="17.100000000000001" customHeight="1" x14ac:dyDescent="0.25"/>
    <row r="5709" ht="17.100000000000001" customHeight="1" x14ac:dyDescent="0.25"/>
    <row r="5710" ht="17.100000000000001" customHeight="1" x14ac:dyDescent="0.25"/>
    <row r="5711" ht="17.100000000000001" customHeight="1" x14ac:dyDescent="0.25"/>
    <row r="5712" ht="17.100000000000001" customHeight="1" x14ac:dyDescent="0.25"/>
    <row r="5713" ht="17.100000000000001" customHeight="1" x14ac:dyDescent="0.25"/>
    <row r="5714" ht="17.100000000000001" customHeight="1" x14ac:dyDescent="0.25"/>
    <row r="5715" ht="17.100000000000001" customHeight="1" x14ac:dyDescent="0.25"/>
    <row r="5716" ht="17.100000000000001" customHeight="1" x14ac:dyDescent="0.25"/>
    <row r="5717" ht="17.100000000000001" customHeight="1" x14ac:dyDescent="0.25"/>
    <row r="5718" ht="17.100000000000001" customHeight="1" x14ac:dyDescent="0.25"/>
    <row r="5719" ht="17.100000000000001" customHeight="1" x14ac:dyDescent="0.25"/>
    <row r="5720" ht="17.100000000000001" customHeight="1" x14ac:dyDescent="0.25"/>
    <row r="5721" ht="17.100000000000001" customHeight="1" x14ac:dyDescent="0.25"/>
    <row r="5722" ht="17.100000000000001" customHeight="1" x14ac:dyDescent="0.25"/>
    <row r="5723" ht="17.100000000000001" customHeight="1" x14ac:dyDescent="0.25"/>
    <row r="5724" ht="17.100000000000001" customHeight="1" x14ac:dyDescent="0.25"/>
    <row r="5725" ht="17.100000000000001" customHeight="1" x14ac:dyDescent="0.25"/>
    <row r="5726" ht="17.100000000000001" customHeight="1" x14ac:dyDescent="0.25"/>
    <row r="5727" ht="17.100000000000001" customHeight="1" x14ac:dyDescent="0.25"/>
    <row r="5728" ht="17.100000000000001" customHeight="1" x14ac:dyDescent="0.25"/>
    <row r="5729" ht="17.100000000000001" customHeight="1" x14ac:dyDescent="0.25"/>
    <row r="5730" ht="17.100000000000001" customHeight="1" x14ac:dyDescent="0.25"/>
    <row r="5731" ht="17.100000000000001" customHeight="1" x14ac:dyDescent="0.25"/>
    <row r="5732" ht="17.100000000000001" customHeight="1" x14ac:dyDescent="0.25"/>
    <row r="5733" ht="17.100000000000001" customHeight="1" x14ac:dyDescent="0.25"/>
    <row r="5734" ht="17.100000000000001" customHeight="1" x14ac:dyDescent="0.25"/>
    <row r="5735" ht="17.100000000000001" customHeight="1" x14ac:dyDescent="0.25"/>
    <row r="5736" ht="17.100000000000001" customHeight="1" x14ac:dyDescent="0.25"/>
    <row r="5737" ht="17.100000000000001" customHeight="1" x14ac:dyDescent="0.25"/>
    <row r="5738" ht="17.100000000000001" customHeight="1" x14ac:dyDescent="0.25"/>
    <row r="5739" ht="17.100000000000001" customHeight="1" x14ac:dyDescent="0.25"/>
    <row r="5740" ht="17.100000000000001" customHeight="1" x14ac:dyDescent="0.25"/>
    <row r="5741" ht="17.100000000000001" customHeight="1" x14ac:dyDescent="0.25"/>
    <row r="5742" ht="17.100000000000001" customHeight="1" x14ac:dyDescent="0.25"/>
    <row r="5743" ht="17.100000000000001" customHeight="1" x14ac:dyDescent="0.25"/>
    <row r="5744" ht="17.100000000000001" customHeight="1" x14ac:dyDescent="0.25"/>
    <row r="5745" ht="17.100000000000001" customHeight="1" x14ac:dyDescent="0.25"/>
    <row r="5746" ht="17.100000000000001" customHeight="1" x14ac:dyDescent="0.25"/>
    <row r="5747" ht="17.100000000000001" customHeight="1" x14ac:dyDescent="0.25"/>
    <row r="5748" ht="17.100000000000001" customHeight="1" x14ac:dyDescent="0.25"/>
    <row r="5749" ht="17.100000000000001" customHeight="1" x14ac:dyDescent="0.25"/>
    <row r="5750" ht="17.100000000000001" customHeight="1" x14ac:dyDescent="0.25"/>
    <row r="5751" ht="17.100000000000001" customHeight="1" x14ac:dyDescent="0.25"/>
    <row r="5752" ht="17.100000000000001" customHeight="1" x14ac:dyDescent="0.25"/>
    <row r="5753" ht="17.100000000000001" customHeight="1" x14ac:dyDescent="0.25"/>
    <row r="5754" ht="17.100000000000001" customHeight="1" x14ac:dyDescent="0.25"/>
    <row r="5755" ht="17.100000000000001" customHeight="1" x14ac:dyDescent="0.25"/>
    <row r="5756" ht="17.100000000000001" customHeight="1" x14ac:dyDescent="0.25"/>
    <row r="5757" ht="17.100000000000001" customHeight="1" x14ac:dyDescent="0.25"/>
    <row r="5758" ht="17.100000000000001" customHeight="1" x14ac:dyDescent="0.25"/>
    <row r="5759" ht="17.100000000000001" customHeight="1" x14ac:dyDescent="0.25"/>
    <row r="5760" ht="17.100000000000001" customHeight="1" x14ac:dyDescent="0.25"/>
    <row r="5761" ht="17.100000000000001" customHeight="1" x14ac:dyDescent="0.25"/>
    <row r="5762" ht="17.100000000000001" customHeight="1" x14ac:dyDescent="0.25"/>
    <row r="5763" ht="17.100000000000001" customHeight="1" x14ac:dyDescent="0.25"/>
    <row r="5764" ht="17.100000000000001" customHeight="1" x14ac:dyDescent="0.25"/>
    <row r="5765" ht="17.100000000000001" customHeight="1" x14ac:dyDescent="0.25"/>
    <row r="5766" ht="17.100000000000001" customHeight="1" x14ac:dyDescent="0.25"/>
    <row r="5767" ht="17.100000000000001" customHeight="1" x14ac:dyDescent="0.25"/>
    <row r="5768" ht="17.100000000000001" customHeight="1" x14ac:dyDescent="0.25"/>
    <row r="5769" ht="17.100000000000001" customHeight="1" x14ac:dyDescent="0.25"/>
    <row r="5770" ht="17.100000000000001" customHeight="1" x14ac:dyDescent="0.25"/>
    <row r="5771" ht="17.100000000000001" customHeight="1" x14ac:dyDescent="0.25"/>
    <row r="5772" ht="17.100000000000001" customHeight="1" x14ac:dyDescent="0.25"/>
    <row r="5773" ht="17.100000000000001" customHeight="1" x14ac:dyDescent="0.25"/>
    <row r="5774" ht="17.100000000000001" customHeight="1" x14ac:dyDescent="0.25"/>
    <row r="5775" ht="17.100000000000001" customHeight="1" x14ac:dyDescent="0.25"/>
    <row r="5776" ht="17.100000000000001" customHeight="1" x14ac:dyDescent="0.25"/>
    <row r="5777" ht="17.100000000000001" customHeight="1" x14ac:dyDescent="0.25"/>
    <row r="5778" ht="17.100000000000001" customHeight="1" x14ac:dyDescent="0.25"/>
    <row r="5779" ht="17.100000000000001" customHeight="1" x14ac:dyDescent="0.25"/>
    <row r="5780" ht="17.100000000000001" customHeight="1" x14ac:dyDescent="0.25"/>
    <row r="5781" ht="17.100000000000001" customHeight="1" x14ac:dyDescent="0.25"/>
    <row r="5782" ht="17.100000000000001" customHeight="1" x14ac:dyDescent="0.25"/>
    <row r="5783" ht="17.100000000000001" customHeight="1" x14ac:dyDescent="0.25"/>
    <row r="5784" ht="17.100000000000001" customHeight="1" x14ac:dyDescent="0.25"/>
    <row r="5785" ht="17.100000000000001" customHeight="1" x14ac:dyDescent="0.25"/>
    <row r="5786" ht="17.100000000000001" customHeight="1" x14ac:dyDescent="0.25"/>
    <row r="5787" ht="17.100000000000001" customHeight="1" x14ac:dyDescent="0.25"/>
    <row r="5788" ht="17.100000000000001" customHeight="1" x14ac:dyDescent="0.25"/>
    <row r="5789" ht="17.100000000000001" customHeight="1" x14ac:dyDescent="0.25"/>
    <row r="5790" ht="17.100000000000001" customHeight="1" x14ac:dyDescent="0.25"/>
    <row r="5791" ht="17.100000000000001" customHeight="1" x14ac:dyDescent="0.25"/>
    <row r="5792" ht="17.100000000000001" customHeight="1" x14ac:dyDescent="0.25"/>
    <row r="5793" ht="17.100000000000001" customHeight="1" x14ac:dyDescent="0.25"/>
    <row r="5794" ht="17.100000000000001" customHeight="1" x14ac:dyDescent="0.25"/>
    <row r="5795" ht="17.100000000000001" customHeight="1" x14ac:dyDescent="0.25"/>
    <row r="5796" ht="17.100000000000001" customHeight="1" x14ac:dyDescent="0.25"/>
    <row r="5797" ht="17.100000000000001" customHeight="1" x14ac:dyDescent="0.25"/>
    <row r="5798" ht="17.100000000000001" customHeight="1" x14ac:dyDescent="0.25"/>
    <row r="5799" ht="17.100000000000001" customHeight="1" x14ac:dyDescent="0.25"/>
    <row r="5800" ht="17.100000000000001" customHeight="1" x14ac:dyDescent="0.25"/>
    <row r="5801" ht="17.100000000000001" customHeight="1" x14ac:dyDescent="0.25"/>
    <row r="5802" ht="17.100000000000001" customHeight="1" x14ac:dyDescent="0.25"/>
    <row r="5803" ht="17.100000000000001" customHeight="1" x14ac:dyDescent="0.25"/>
    <row r="5804" ht="17.100000000000001" customHeight="1" x14ac:dyDescent="0.25"/>
    <row r="5805" ht="17.100000000000001" customHeight="1" x14ac:dyDescent="0.25"/>
    <row r="5806" ht="17.100000000000001" customHeight="1" x14ac:dyDescent="0.25"/>
    <row r="5807" ht="17.100000000000001" customHeight="1" x14ac:dyDescent="0.25"/>
    <row r="5808" ht="17.100000000000001" customHeight="1" x14ac:dyDescent="0.25"/>
    <row r="5809" ht="17.100000000000001" customHeight="1" x14ac:dyDescent="0.25"/>
    <row r="5810" ht="17.100000000000001" customHeight="1" x14ac:dyDescent="0.25"/>
    <row r="5811" ht="17.100000000000001" customHeight="1" x14ac:dyDescent="0.25"/>
    <row r="5812" ht="17.100000000000001" customHeight="1" x14ac:dyDescent="0.25"/>
    <row r="5813" ht="17.100000000000001" customHeight="1" x14ac:dyDescent="0.25"/>
    <row r="5814" ht="17.100000000000001" customHeight="1" x14ac:dyDescent="0.25"/>
    <row r="5815" ht="17.100000000000001" customHeight="1" x14ac:dyDescent="0.25"/>
    <row r="5816" ht="17.100000000000001" customHeight="1" x14ac:dyDescent="0.25"/>
    <row r="5817" ht="17.100000000000001" customHeight="1" x14ac:dyDescent="0.25"/>
    <row r="5818" ht="17.100000000000001" customHeight="1" x14ac:dyDescent="0.25"/>
    <row r="5819" ht="17.100000000000001" customHeight="1" x14ac:dyDescent="0.25"/>
    <row r="5820" ht="17.100000000000001" customHeight="1" x14ac:dyDescent="0.25"/>
    <row r="5821" ht="17.100000000000001" customHeight="1" x14ac:dyDescent="0.25"/>
    <row r="5822" ht="17.100000000000001" customHeight="1" x14ac:dyDescent="0.25"/>
    <row r="5823" ht="17.100000000000001" customHeight="1" x14ac:dyDescent="0.25"/>
    <row r="5824" ht="17.100000000000001" customHeight="1" x14ac:dyDescent="0.25"/>
    <row r="5825" ht="17.100000000000001" customHeight="1" x14ac:dyDescent="0.25"/>
    <row r="5826" ht="17.100000000000001" customHeight="1" x14ac:dyDescent="0.25"/>
    <row r="5827" ht="17.100000000000001" customHeight="1" x14ac:dyDescent="0.25"/>
    <row r="5828" ht="17.100000000000001" customHeight="1" x14ac:dyDescent="0.25"/>
    <row r="5829" ht="17.100000000000001" customHeight="1" x14ac:dyDescent="0.25"/>
    <row r="5830" ht="17.100000000000001" customHeight="1" x14ac:dyDescent="0.25"/>
    <row r="5831" ht="17.100000000000001" customHeight="1" x14ac:dyDescent="0.25"/>
    <row r="5832" ht="17.100000000000001" customHeight="1" x14ac:dyDescent="0.25"/>
    <row r="5833" ht="17.100000000000001" customHeight="1" x14ac:dyDescent="0.25"/>
    <row r="5834" ht="17.100000000000001" customHeight="1" x14ac:dyDescent="0.25"/>
    <row r="5835" ht="17.100000000000001" customHeight="1" x14ac:dyDescent="0.25"/>
    <row r="5836" ht="17.100000000000001" customHeight="1" x14ac:dyDescent="0.25"/>
    <row r="5837" ht="17.100000000000001" customHeight="1" x14ac:dyDescent="0.25"/>
    <row r="5838" ht="17.100000000000001" customHeight="1" x14ac:dyDescent="0.25"/>
    <row r="5839" ht="17.100000000000001" customHeight="1" x14ac:dyDescent="0.25"/>
    <row r="5840" ht="17.100000000000001" customHeight="1" x14ac:dyDescent="0.25"/>
    <row r="5841" ht="17.100000000000001" customHeight="1" x14ac:dyDescent="0.25"/>
    <row r="5842" ht="17.100000000000001" customHeight="1" x14ac:dyDescent="0.25"/>
    <row r="5843" ht="17.100000000000001" customHeight="1" x14ac:dyDescent="0.25"/>
    <row r="5844" ht="17.100000000000001" customHeight="1" x14ac:dyDescent="0.25"/>
    <row r="5845" ht="17.100000000000001" customHeight="1" x14ac:dyDescent="0.25"/>
    <row r="5846" ht="17.100000000000001" customHeight="1" x14ac:dyDescent="0.25"/>
    <row r="5847" ht="17.100000000000001" customHeight="1" x14ac:dyDescent="0.25"/>
    <row r="5848" ht="17.100000000000001" customHeight="1" x14ac:dyDescent="0.25"/>
  </sheetData>
  <phoneticPr fontId="20" type="noConversion"/>
  <pageMargins left="0.39370078740157483" right="0.39370078740157483" top="0.39370078740157483" bottom="0.87880314960629924" header="0.39370078740157483" footer="0.39370078740157483"/>
  <pageSetup paperSize="0" orientation="landscape" horizontalDpi="0" verticalDpi="0"/>
  <headerFooter alignWithMargins="0">
    <oddFooter>&amp;L&amp;C&amp;R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CB341-48C2-40E4-8665-85AD6FC5CF3D}">
  <sheetPr codeName="Sheet8"/>
  <dimension ref="A2:C30"/>
  <sheetViews>
    <sheetView workbookViewId="0">
      <selection activeCell="B3" sqref="B3"/>
    </sheetView>
  </sheetViews>
  <sheetFormatPr defaultRowHeight="13.2" x14ac:dyDescent="0.25"/>
  <cols>
    <col min="1" max="1" width="20.109375" customWidth="1"/>
  </cols>
  <sheetData>
    <row r="2" spans="1:3" x14ac:dyDescent="0.25">
      <c r="A2" t="s">
        <v>326</v>
      </c>
    </row>
    <row r="3" spans="1:3" x14ac:dyDescent="0.25">
      <c r="A3" t="s">
        <v>327</v>
      </c>
      <c r="B3" t="s">
        <v>328</v>
      </c>
      <c r="C3" t="s">
        <v>329</v>
      </c>
    </row>
    <row r="4" spans="1:3" x14ac:dyDescent="0.25">
      <c r="A4" t="s">
        <v>330</v>
      </c>
      <c r="B4" t="s">
        <v>328</v>
      </c>
      <c r="C4" t="s">
        <v>329</v>
      </c>
    </row>
    <row r="5" spans="1:3" x14ac:dyDescent="0.25">
      <c r="A5" t="s">
        <v>331</v>
      </c>
      <c r="B5" t="s">
        <v>328</v>
      </c>
      <c r="C5" t="s">
        <v>329</v>
      </c>
    </row>
    <row r="6" spans="1:3" x14ac:dyDescent="0.25">
      <c r="A6" t="s">
        <v>332</v>
      </c>
      <c r="B6" t="s">
        <v>328</v>
      </c>
      <c r="C6" t="s">
        <v>329</v>
      </c>
    </row>
    <row r="7" spans="1:3" x14ac:dyDescent="0.25">
      <c r="A7" t="s">
        <v>333</v>
      </c>
      <c r="B7" t="s">
        <v>328</v>
      </c>
      <c r="C7" t="s">
        <v>329</v>
      </c>
    </row>
    <row r="8" spans="1:3" x14ac:dyDescent="0.25">
      <c r="A8" t="s">
        <v>334</v>
      </c>
      <c r="B8" t="s">
        <v>328</v>
      </c>
      <c r="C8" t="s">
        <v>329</v>
      </c>
    </row>
    <row r="9" spans="1:3" x14ac:dyDescent="0.25">
      <c r="A9" t="s">
        <v>335</v>
      </c>
      <c r="B9" t="s">
        <v>336</v>
      </c>
      <c r="C9" t="s">
        <v>337</v>
      </c>
    </row>
    <row r="10" spans="1:3" x14ac:dyDescent="0.25">
      <c r="A10" t="s">
        <v>338</v>
      </c>
      <c r="B10" t="s">
        <v>328</v>
      </c>
      <c r="C10" t="s">
        <v>329</v>
      </c>
    </row>
    <row r="11" spans="1:3" x14ac:dyDescent="0.25">
      <c r="A11" s="124" t="s">
        <v>339</v>
      </c>
      <c r="B11" t="s">
        <v>328</v>
      </c>
      <c r="C11" t="s">
        <v>329</v>
      </c>
    </row>
    <row r="12" spans="1:3" x14ac:dyDescent="0.25">
      <c r="A12" t="s">
        <v>340</v>
      </c>
      <c r="B12" t="s">
        <v>328</v>
      </c>
      <c r="C12" t="s">
        <v>329</v>
      </c>
    </row>
    <row r="13" spans="1:3" x14ac:dyDescent="0.25">
      <c r="A13" t="s">
        <v>341</v>
      </c>
      <c r="B13" t="s">
        <v>328</v>
      </c>
      <c r="C13" t="s">
        <v>329</v>
      </c>
    </row>
    <row r="14" spans="1:3" x14ac:dyDescent="0.25">
      <c r="A14" t="s">
        <v>342</v>
      </c>
      <c r="B14" t="s">
        <v>328</v>
      </c>
      <c r="C14" t="s">
        <v>329</v>
      </c>
    </row>
    <row r="15" spans="1:3" x14ac:dyDescent="0.25">
      <c r="A15" t="s">
        <v>343</v>
      </c>
      <c r="B15" t="s">
        <v>328</v>
      </c>
      <c r="C15" t="s">
        <v>329</v>
      </c>
    </row>
    <row r="16" spans="1:3" x14ac:dyDescent="0.25">
      <c r="A16" t="s">
        <v>344</v>
      </c>
      <c r="B16" t="s">
        <v>328</v>
      </c>
      <c r="C16" t="s">
        <v>329</v>
      </c>
    </row>
    <row r="17" spans="1:3" x14ac:dyDescent="0.25">
      <c r="A17" t="s">
        <v>345</v>
      </c>
      <c r="B17" t="s">
        <v>328</v>
      </c>
      <c r="C17" t="s">
        <v>329</v>
      </c>
    </row>
    <row r="18" spans="1:3" x14ac:dyDescent="0.25">
      <c r="A18" t="s">
        <v>346</v>
      </c>
      <c r="B18" t="s">
        <v>328</v>
      </c>
      <c r="C18" t="s">
        <v>329</v>
      </c>
    </row>
    <row r="19" spans="1:3" x14ac:dyDescent="0.25">
      <c r="A19" t="s">
        <v>347</v>
      </c>
      <c r="B19" t="s">
        <v>328</v>
      </c>
      <c r="C19" t="s">
        <v>329</v>
      </c>
    </row>
    <row r="20" spans="1:3" x14ac:dyDescent="0.25">
      <c r="A20" t="s">
        <v>348</v>
      </c>
      <c r="B20" t="s">
        <v>328</v>
      </c>
      <c r="C20" t="s">
        <v>329</v>
      </c>
    </row>
    <row r="21" spans="1:3" x14ac:dyDescent="0.25">
      <c r="A21" t="s">
        <v>349</v>
      </c>
      <c r="B21" t="s">
        <v>328</v>
      </c>
      <c r="C21" t="s">
        <v>329</v>
      </c>
    </row>
    <row r="22" spans="1:3" x14ac:dyDescent="0.25">
      <c r="A22" t="s">
        <v>350</v>
      </c>
      <c r="B22" t="s">
        <v>328</v>
      </c>
      <c r="C22" t="s">
        <v>329</v>
      </c>
    </row>
    <row r="23" spans="1:3" x14ac:dyDescent="0.25">
      <c r="A23" t="s">
        <v>351</v>
      </c>
      <c r="B23" t="s">
        <v>328</v>
      </c>
      <c r="C23" t="s">
        <v>329</v>
      </c>
    </row>
    <row r="24" spans="1:3" x14ac:dyDescent="0.25">
      <c r="A24" t="s">
        <v>352</v>
      </c>
      <c r="B24" t="s">
        <v>328</v>
      </c>
      <c r="C24" t="s">
        <v>329</v>
      </c>
    </row>
    <row r="25" spans="1:3" x14ac:dyDescent="0.25">
      <c r="A25" s="125" t="s">
        <v>353</v>
      </c>
    </row>
    <row r="26" spans="1:3" x14ac:dyDescent="0.25">
      <c r="A26" t="s">
        <v>354</v>
      </c>
      <c r="B26" t="s">
        <v>328</v>
      </c>
      <c r="C26" t="s">
        <v>329</v>
      </c>
    </row>
    <row r="27" spans="1:3" x14ac:dyDescent="0.25">
      <c r="A27" s="125" t="s">
        <v>355</v>
      </c>
    </row>
    <row r="28" spans="1:3" x14ac:dyDescent="0.25">
      <c r="A28" t="s">
        <v>356</v>
      </c>
      <c r="B28" t="s">
        <v>328</v>
      </c>
      <c r="C28" t="s">
        <v>329</v>
      </c>
    </row>
    <row r="29" spans="1:3" x14ac:dyDescent="0.25">
      <c r="A29" t="s">
        <v>357</v>
      </c>
      <c r="B29" t="s">
        <v>328</v>
      </c>
      <c r="C29" t="s">
        <v>329</v>
      </c>
    </row>
    <row r="30" spans="1:3" x14ac:dyDescent="0.25">
      <c r="A30" t="s">
        <v>358</v>
      </c>
      <c r="B30" t="s">
        <v>328</v>
      </c>
      <c r="C30" t="s">
        <v>329</v>
      </c>
    </row>
  </sheetData>
  <phoneticPr fontId="2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D5E75-0F50-4057-A5E1-55C15CAD9B87}">
  <sheetPr codeName="Sheet9">
    <pageSetUpPr fitToPage="1"/>
  </sheetPr>
  <dimension ref="A1:X2018"/>
  <sheetViews>
    <sheetView workbookViewId="0"/>
  </sheetViews>
  <sheetFormatPr defaultColWidth="9.109375" defaultRowHeight="13.2" x14ac:dyDescent="0.25"/>
  <cols>
    <col min="1" max="1" width="6.44140625" style="21" customWidth="1"/>
    <col min="2" max="2" width="10.6640625" style="26" bestFit="1" customWidth="1"/>
    <col min="3" max="3" width="56.44140625" style="19" bestFit="1" customWidth="1"/>
    <col min="4" max="4" width="36.88671875" style="19" bestFit="1" customWidth="1"/>
    <col min="5" max="5" width="4.88671875" style="21" customWidth="1"/>
    <col min="6" max="6" width="10.44140625" style="21" customWidth="1"/>
    <col min="7" max="10" width="9.109375" style="21"/>
    <col min="11" max="11" width="13.109375" style="21" customWidth="1"/>
    <col min="12" max="12" width="10.6640625" style="21" customWidth="1"/>
    <col min="13" max="16384" width="9.109375" style="21"/>
  </cols>
  <sheetData>
    <row r="1" spans="1:24" x14ac:dyDescent="0.25">
      <c r="A1" s="19"/>
      <c r="B1" s="27"/>
      <c r="F1" s="53" t="s">
        <v>359</v>
      </c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</row>
    <row r="2" spans="1:24" x14ac:dyDescent="0.25">
      <c r="F2" s="54" t="s">
        <v>360</v>
      </c>
      <c r="G2" s="55" t="s">
        <v>361</v>
      </c>
      <c r="H2" s="55" t="s">
        <v>362</v>
      </c>
      <c r="I2" s="55" t="s">
        <v>119</v>
      </c>
      <c r="J2" s="55" t="s">
        <v>363</v>
      </c>
      <c r="K2" s="55" t="s">
        <v>364</v>
      </c>
      <c r="L2" s="55" t="s">
        <v>365</v>
      </c>
      <c r="M2" s="55" t="s">
        <v>366</v>
      </c>
      <c r="N2" s="55" t="s">
        <v>367</v>
      </c>
      <c r="O2" s="55" t="s">
        <v>368</v>
      </c>
      <c r="P2" s="55" t="s">
        <v>369</v>
      </c>
      <c r="Q2" s="55" t="s">
        <v>370</v>
      </c>
      <c r="R2" s="55" t="s">
        <v>371</v>
      </c>
      <c r="S2" s="55" t="s">
        <v>372</v>
      </c>
      <c r="T2" s="55" t="s">
        <v>373</v>
      </c>
      <c r="U2" s="55" t="s">
        <v>374</v>
      </c>
      <c r="V2" s="55" t="s">
        <v>375</v>
      </c>
      <c r="W2" s="55" t="s">
        <v>376</v>
      </c>
    </row>
    <row r="3" spans="1:24" ht="20.399999999999999" x14ac:dyDescent="0.25">
      <c r="B3" s="43" t="s">
        <v>377</v>
      </c>
      <c r="C3" s="43"/>
      <c r="D3" s="43"/>
      <c r="F3" s="78" t="s">
        <v>378</v>
      </c>
      <c r="G3" s="79" t="s">
        <v>379</v>
      </c>
      <c r="H3" s="79" t="s">
        <v>380</v>
      </c>
      <c r="I3" s="79" t="s">
        <v>381</v>
      </c>
      <c r="J3" s="79" t="s">
        <v>382</v>
      </c>
      <c r="K3" s="79" t="s">
        <v>383</v>
      </c>
      <c r="L3" s="79" t="s">
        <v>384</v>
      </c>
      <c r="M3" s="79" t="s">
        <v>385</v>
      </c>
      <c r="N3" s="79" t="s">
        <v>386</v>
      </c>
      <c r="O3" s="79" t="s">
        <v>387</v>
      </c>
      <c r="P3" s="79" t="s">
        <v>388</v>
      </c>
      <c r="Q3" s="79" t="s">
        <v>389</v>
      </c>
      <c r="R3" s="79" t="s">
        <v>390</v>
      </c>
      <c r="S3" s="79" t="s">
        <v>391</v>
      </c>
      <c r="T3" s="79" t="s">
        <v>392</v>
      </c>
      <c r="U3" s="79" t="s">
        <v>393</v>
      </c>
      <c r="V3" s="79" t="s">
        <v>394</v>
      </c>
      <c r="W3" s="79" t="s">
        <v>395</v>
      </c>
      <c r="X3" s="80"/>
    </row>
    <row r="4" spans="1:24" ht="15" customHeight="1" x14ac:dyDescent="0.3">
      <c r="B4" s="22"/>
      <c r="C4" s="22"/>
      <c r="D4" s="22"/>
      <c r="F4" s="164" t="s">
        <v>396</v>
      </c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</row>
    <row r="5" spans="1:24" ht="18.899999999999999" customHeight="1" x14ac:dyDescent="0.25">
      <c r="B5" s="22" t="s">
        <v>397</v>
      </c>
      <c r="C5" s="22" t="s">
        <v>398</v>
      </c>
      <c r="D5" s="22" t="s">
        <v>399</v>
      </c>
    </row>
    <row r="6" spans="1:24" ht="15" customHeight="1" x14ac:dyDescent="0.25">
      <c r="B6" s="23" t="s">
        <v>400</v>
      </c>
      <c r="C6" s="23" t="s">
        <v>401</v>
      </c>
      <c r="D6" s="23" t="s">
        <v>402</v>
      </c>
    </row>
    <row r="7" spans="1:24" ht="15" customHeight="1" x14ac:dyDescent="0.25">
      <c r="B7" s="23" t="s">
        <v>403</v>
      </c>
      <c r="C7" s="23" t="s">
        <v>404</v>
      </c>
      <c r="D7" s="23" t="s">
        <v>405</v>
      </c>
    </row>
    <row r="8" spans="1:24" ht="15" customHeight="1" x14ac:dyDescent="0.25">
      <c r="B8" s="23" t="s">
        <v>406</v>
      </c>
      <c r="C8" s="23" t="s">
        <v>407</v>
      </c>
      <c r="D8" s="23" t="s">
        <v>408</v>
      </c>
    </row>
    <row r="9" spans="1:24" ht="15" customHeight="1" x14ac:dyDescent="0.25">
      <c r="B9" s="23" t="s">
        <v>409</v>
      </c>
      <c r="C9" s="23" t="s">
        <v>410</v>
      </c>
      <c r="D9" s="23" t="s">
        <v>411</v>
      </c>
    </row>
    <row r="10" spans="1:24" ht="15" customHeight="1" x14ac:dyDescent="0.25">
      <c r="B10" s="23" t="s">
        <v>412</v>
      </c>
      <c r="C10" s="23" t="s">
        <v>413</v>
      </c>
      <c r="D10" s="23" t="s">
        <v>411</v>
      </c>
    </row>
    <row r="11" spans="1:24" ht="15" customHeight="1" x14ac:dyDescent="0.25">
      <c r="B11" s="23" t="s">
        <v>414</v>
      </c>
      <c r="C11" s="23" t="s">
        <v>415</v>
      </c>
      <c r="D11" s="23" t="s">
        <v>416</v>
      </c>
    </row>
    <row r="12" spans="1:24" ht="15" customHeight="1" x14ac:dyDescent="0.25">
      <c r="B12" s="23" t="s">
        <v>417</v>
      </c>
      <c r="C12" s="23" t="s">
        <v>418</v>
      </c>
      <c r="D12" s="23" t="s">
        <v>419</v>
      </c>
    </row>
    <row r="13" spans="1:24" ht="15" customHeight="1" x14ac:dyDescent="0.25">
      <c r="B13" s="23" t="s">
        <v>420</v>
      </c>
      <c r="C13" s="23" t="s">
        <v>421</v>
      </c>
      <c r="D13" s="23" t="s">
        <v>419</v>
      </c>
    </row>
    <row r="14" spans="1:24" ht="15" customHeight="1" x14ac:dyDescent="0.25">
      <c r="B14" s="23" t="s">
        <v>422</v>
      </c>
      <c r="C14" s="23" t="s">
        <v>423</v>
      </c>
      <c r="D14" s="23" t="s">
        <v>419</v>
      </c>
    </row>
    <row r="15" spans="1:24" ht="15" customHeight="1" x14ac:dyDescent="0.25">
      <c r="B15" s="23" t="s">
        <v>424</v>
      </c>
      <c r="C15" s="23" t="s">
        <v>425</v>
      </c>
      <c r="D15" s="23" t="s">
        <v>419</v>
      </c>
    </row>
    <row r="16" spans="1:24" ht="15" customHeight="1" x14ac:dyDescent="0.25">
      <c r="B16" s="23" t="s">
        <v>426</v>
      </c>
      <c r="C16" s="23" t="s">
        <v>427</v>
      </c>
      <c r="D16" s="23" t="s">
        <v>419</v>
      </c>
    </row>
    <row r="17" spans="2:4" ht="15" customHeight="1" x14ac:dyDescent="0.25">
      <c r="B17" s="23" t="s">
        <v>428</v>
      </c>
      <c r="C17" s="23" t="s">
        <v>429</v>
      </c>
      <c r="D17" s="23" t="s">
        <v>419</v>
      </c>
    </row>
    <row r="18" spans="2:4" ht="15" customHeight="1" x14ac:dyDescent="0.25">
      <c r="B18" s="23" t="s">
        <v>430</v>
      </c>
      <c r="C18" s="23" t="s">
        <v>431</v>
      </c>
      <c r="D18" s="23" t="s">
        <v>419</v>
      </c>
    </row>
    <row r="19" spans="2:4" ht="15" customHeight="1" x14ac:dyDescent="0.25">
      <c r="B19" s="23" t="s">
        <v>432</v>
      </c>
      <c r="C19" s="23" t="s">
        <v>433</v>
      </c>
      <c r="D19" s="23" t="s">
        <v>419</v>
      </c>
    </row>
    <row r="20" spans="2:4" ht="15" customHeight="1" x14ac:dyDescent="0.25">
      <c r="B20" s="23" t="s">
        <v>434</v>
      </c>
      <c r="C20" s="23" t="s">
        <v>435</v>
      </c>
      <c r="D20" s="23" t="s">
        <v>419</v>
      </c>
    </row>
    <row r="21" spans="2:4" ht="15" customHeight="1" x14ac:dyDescent="0.25">
      <c r="B21" s="23" t="s">
        <v>436</v>
      </c>
      <c r="C21" s="23" t="s">
        <v>437</v>
      </c>
      <c r="D21" s="23" t="s">
        <v>419</v>
      </c>
    </row>
    <row r="22" spans="2:4" ht="15" customHeight="1" x14ac:dyDescent="0.25">
      <c r="B22" s="23" t="s">
        <v>438</v>
      </c>
      <c r="C22" s="23" t="s">
        <v>439</v>
      </c>
      <c r="D22" s="23" t="s">
        <v>440</v>
      </c>
    </row>
    <row r="23" spans="2:4" ht="15" customHeight="1" x14ac:dyDescent="0.25">
      <c r="B23" s="23" t="s">
        <v>441</v>
      </c>
      <c r="C23" s="23" t="s">
        <v>442</v>
      </c>
      <c r="D23" s="23" t="s">
        <v>419</v>
      </c>
    </row>
    <row r="24" spans="2:4" ht="15" customHeight="1" x14ac:dyDescent="0.25">
      <c r="B24" s="23" t="s">
        <v>443</v>
      </c>
      <c r="C24" s="23" t="s">
        <v>444</v>
      </c>
      <c r="D24" s="23" t="s">
        <v>419</v>
      </c>
    </row>
    <row r="25" spans="2:4" ht="15" customHeight="1" x14ac:dyDescent="0.25">
      <c r="B25" s="23" t="s">
        <v>445</v>
      </c>
      <c r="C25" s="23" t="s">
        <v>446</v>
      </c>
      <c r="D25" s="23" t="s">
        <v>419</v>
      </c>
    </row>
    <row r="26" spans="2:4" ht="15" customHeight="1" x14ac:dyDescent="0.25">
      <c r="B26" s="23" t="s">
        <v>447</v>
      </c>
      <c r="C26" s="23" t="s">
        <v>448</v>
      </c>
      <c r="D26" s="23" t="s">
        <v>419</v>
      </c>
    </row>
    <row r="27" spans="2:4" ht="15" customHeight="1" x14ac:dyDescent="0.25">
      <c r="B27" s="23" t="s">
        <v>449</v>
      </c>
      <c r="C27" s="23" t="s">
        <v>450</v>
      </c>
      <c r="D27" s="23" t="s">
        <v>419</v>
      </c>
    </row>
    <row r="28" spans="2:4" ht="15" customHeight="1" x14ac:dyDescent="0.25">
      <c r="B28" s="23" t="s">
        <v>451</v>
      </c>
      <c r="C28" s="23" t="s">
        <v>452</v>
      </c>
      <c r="D28" s="23" t="s">
        <v>419</v>
      </c>
    </row>
    <row r="29" spans="2:4" ht="15" customHeight="1" x14ac:dyDescent="0.25">
      <c r="B29" s="23" t="s">
        <v>453</v>
      </c>
      <c r="C29" s="23" t="s">
        <v>454</v>
      </c>
      <c r="D29" s="23" t="s">
        <v>419</v>
      </c>
    </row>
    <row r="30" spans="2:4" ht="15" customHeight="1" x14ac:dyDescent="0.25">
      <c r="B30" s="23" t="s">
        <v>455</v>
      </c>
      <c r="C30" s="23" t="s">
        <v>456</v>
      </c>
      <c r="D30" s="23" t="s">
        <v>419</v>
      </c>
    </row>
    <row r="31" spans="2:4" ht="15" customHeight="1" x14ac:dyDescent="0.25">
      <c r="B31" s="23" t="s">
        <v>457</v>
      </c>
      <c r="C31" s="23" t="s">
        <v>458</v>
      </c>
      <c r="D31" s="23" t="s">
        <v>419</v>
      </c>
    </row>
    <row r="32" spans="2:4" ht="15" customHeight="1" x14ac:dyDescent="0.25">
      <c r="B32" s="23" t="s">
        <v>459</v>
      </c>
      <c r="C32" s="23" t="s">
        <v>460</v>
      </c>
      <c r="D32" s="23" t="s">
        <v>419</v>
      </c>
    </row>
    <row r="33" spans="2:4" ht="15" customHeight="1" x14ac:dyDescent="0.25">
      <c r="B33" s="23" t="s">
        <v>461</v>
      </c>
      <c r="C33" s="23" t="s">
        <v>462</v>
      </c>
      <c r="D33" s="23" t="s">
        <v>419</v>
      </c>
    </row>
    <row r="34" spans="2:4" ht="15" customHeight="1" x14ac:dyDescent="0.25">
      <c r="B34" s="23" t="s">
        <v>463</v>
      </c>
      <c r="C34" s="23" t="s">
        <v>464</v>
      </c>
      <c r="D34" s="23" t="s">
        <v>419</v>
      </c>
    </row>
    <row r="35" spans="2:4" ht="15" customHeight="1" x14ac:dyDescent="0.25">
      <c r="B35" s="23" t="s">
        <v>465</v>
      </c>
      <c r="C35" s="23" t="s">
        <v>466</v>
      </c>
      <c r="D35" s="23" t="s">
        <v>419</v>
      </c>
    </row>
    <row r="36" spans="2:4" ht="15" customHeight="1" x14ac:dyDescent="0.25">
      <c r="B36" s="23" t="s">
        <v>467</v>
      </c>
      <c r="C36" s="23" t="s">
        <v>468</v>
      </c>
      <c r="D36" s="23" t="s">
        <v>419</v>
      </c>
    </row>
    <row r="37" spans="2:4" ht="15" customHeight="1" x14ac:dyDescent="0.25">
      <c r="B37" s="23" t="s">
        <v>469</v>
      </c>
      <c r="C37" s="23" t="s">
        <v>470</v>
      </c>
      <c r="D37" s="23" t="s">
        <v>419</v>
      </c>
    </row>
    <row r="38" spans="2:4" ht="15" customHeight="1" x14ac:dyDescent="0.25">
      <c r="B38" s="23" t="s">
        <v>471</v>
      </c>
      <c r="C38" s="23" t="s">
        <v>472</v>
      </c>
      <c r="D38" s="23" t="s">
        <v>419</v>
      </c>
    </row>
    <row r="39" spans="2:4" ht="15" customHeight="1" x14ac:dyDescent="0.25">
      <c r="B39" s="23" t="s">
        <v>473</v>
      </c>
      <c r="C39" s="23" t="s">
        <v>474</v>
      </c>
      <c r="D39" s="23" t="s">
        <v>475</v>
      </c>
    </row>
    <row r="40" spans="2:4" ht="15" customHeight="1" x14ac:dyDescent="0.25">
      <c r="B40" s="23" t="s">
        <v>476</v>
      </c>
      <c r="C40" s="23" t="s">
        <v>477</v>
      </c>
      <c r="D40" s="23" t="s">
        <v>419</v>
      </c>
    </row>
    <row r="41" spans="2:4" ht="15" customHeight="1" x14ac:dyDescent="0.25">
      <c r="B41" s="23" t="s">
        <v>478</v>
      </c>
      <c r="C41" s="23" t="s">
        <v>479</v>
      </c>
      <c r="D41" s="23" t="s">
        <v>419</v>
      </c>
    </row>
    <row r="42" spans="2:4" ht="15" customHeight="1" x14ac:dyDescent="0.25">
      <c r="B42" s="23" t="s">
        <v>480</v>
      </c>
      <c r="C42" s="23" t="s">
        <v>481</v>
      </c>
      <c r="D42" s="23" t="s">
        <v>419</v>
      </c>
    </row>
    <row r="43" spans="2:4" ht="15" customHeight="1" x14ac:dyDescent="0.25">
      <c r="B43" s="23" t="s">
        <v>482</v>
      </c>
      <c r="C43" s="23" t="s">
        <v>483</v>
      </c>
      <c r="D43" s="23" t="s">
        <v>419</v>
      </c>
    </row>
    <row r="44" spans="2:4" ht="15" customHeight="1" x14ac:dyDescent="0.25">
      <c r="B44" s="23" t="s">
        <v>484</v>
      </c>
      <c r="C44" s="23" t="s">
        <v>485</v>
      </c>
      <c r="D44" s="23" t="s">
        <v>419</v>
      </c>
    </row>
    <row r="45" spans="2:4" ht="15" customHeight="1" x14ac:dyDescent="0.25">
      <c r="B45" s="23" t="s">
        <v>486</v>
      </c>
      <c r="C45" s="23" t="s">
        <v>487</v>
      </c>
      <c r="D45" s="23" t="s">
        <v>419</v>
      </c>
    </row>
    <row r="46" spans="2:4" ht="15" customHeight="1" x14ac:dyDescent="0.25">
      <c r="B46" s="23" t="s">
        <v>488</v>
      </c>
      <c r="C46" s="23" t="s">
        <v>489</v>
      </c>
      <c r="D46" s="23" t="s">
        <v>419</v>
      </c>
    </row>
    <row r="47" spans="2:4" ht="15" customHeight="1" x14ac:dyDescent="0.25">
      <c r="B47" s="23" t="s">
        <v>490</v>
      </c>
      <c r="C47" s="23" t="s">
        <v>491</v>
      </c>
      <c r="D47" s="23" t="s">
        <v>419</v>
      </c>
    </row>
    <row r="48" spans="2:4" ht="15" customHeight="1" x14ac:dyDescent="0.25">
      <c r="B48" s="23" t="s">
        <v>492</v>
      </c>
      <c r="C48" s="23" t="s">
        <v>493</v>
      </c>
      <c r="D48" s="23" t="s">
        <v>419</v>
      </c>
    </row>
    <row r="49" spans="2:4" ht="15" customHeight="1" x14ac:dyDescent="0.25">
      <c r="B49" s="23" t="s">
        <v>494</v>
      </c>
      <c r="C49" s="23" t="s">
        <v>495</v>
      </c>
      <c r="D49" s="23" t="s">
        <v>419</v>
      </c>
    </row>
    <row r="50" spans="2:4" ht="15" customHeight="1" x14ac:dyDescent="0.25">
      <c r="B50" s="23" t="s">
        <v>496</v>
      </c>
      <c r="C50" s="23" t="s">
        <v>497</v>
      </c>
      <c r="D50" s="23" t="s">
        <v>419</v>
      </c>
    </row>
    <row r="51" spans="2:4" ht="15" customHeight="1" x14ac:dyDescent="0.25">
      <c r="B51" s="23" t="s">
        <v>498</v>
      </c>
      <c r="C51" s="23" t="s">
        <v>499</v>
      </c>
      <c r="D51" s="23" t="s">
        <v>419</v>
      </c>
    </row>
    <row r="52" spans="2:4" ht="15" customHeight="1" x14ac:dyDescent="0.25">
      <c r="B52" s="23" t="s">
        <v>500</v>
      </c>
      <c r="C52" s="23" t="s">
        <v>501</v>
      </c>
      <c r="D52" s="23" t="s">
        <v>411</v>
      </c>
    </row>
    <row r="53" spans="2:4" ht="15" customHeight="1" x14ac:dyDescent="0.25">
      <c r="B53" s="23" t="s">
        <v>502</v>
      </c>
      <c r="C53" s="23" t="s">
        <v>503</v>
      </c>
      <c r="D53" s="23" t="s">
        <v>419</v>
      </c>
    </row>
    <row r="54" spans="2:4" ht="15" customHeight="1" x14ac:dyDescent="0.25">
      <c r="B54" s="23" t="s">
        <v>504</v>
      </c>
      <c r="C54" s="23" t="s">
        <v>505</v>
      </c>
      <c r="D54" s="23" t="s">
        <v>419</v>
      </c>
    </row>
    <row r="55" spans="2:4" ht="15" customHeight="1" x14ac:dyDescent="0.25">
      <c r="B55" s="23" t="s">
        <v>506</v>
      </c>
      <c r="C55" s="23" t="s">
        <v>507</v>
      </c>
      <c r="D55" s="23" t="s">
        <v>419</v>
      </c>
    </row>
    <row r="56" spans="2:4" ht="15" customHeight="1" x14ac:dyDescent="0.25">
      <c r="B56" s="23" t="s">
        <v>508</v>
      </c>
      <c r="C56" s="23" t="s">
        <v>509</v>
      </c>
      <c r="D56" s="23" t="s">
        <v>419</v>
      </c>
    </row>
    <row r="57" spans="2:4" ht="15" customHeight="1" x14ac:dyDescent="0.25">
      <c r="B57" s="23" t="s">
        <v>510</v>
      </c>
      <c r="C57" s="23" t="s">
        <v>511</v>
      </c>
      <c r="D57" s="23" t="s">
        <v>419</v>
      </c>
    </row>
    <row r="58" spans="2:4" ht="15" customHeight="1" x14ac:dyDescent="0.25">
      <c r="B58" s="23" t="s">
        <v>512</v>
      </c>
      <c r="C58" s="23" t="s">
        <v>513</v>
      </c>
      <c r="D58" s="23" t="s">
        <v>419</v>
      </c>
    </row>
    <row r="59" spans="2:4" ht="15" customHeight="1" x14ac:dyDescent="0.25">
      <c r="B59" s="23" t="s">
        <v>514</v>
      </c>
      <c r="C59" s="23" t="s">
        <v>515</v>
      </c>
      <c r="D59" s="23" t="s">
        <v>419</v>
      </c>
    </row>
    <row r="60" spans="2:4" ht="15" customHeight="1" x14ac:dyDescent="0.25">
      <c r="B60" s="23" t="s">
        <v>516</v>
      </c>
      <c r="C60" s="23" t="s">
        <v>517</v>
      </c>
      <c r="D60" s="23" t="s">
        <v>419</v>
      </c>
    </row>
    <row r="61" spans="2:4" ht="15" customHeight="1" x14ac:dyDescent="0.25">
      <c r="B61" s="23" t="s">
        <v>518</v>
      </c>
      <c r="C61" s="23" t="s">
        <v>519</v>
      </c>
      <c r="D61" s="23" t="s">
        <v>419</v>
      </c>
    </row>
    <row r="62" spans="2:4" ht="15" customHeight="1" x14ac:dyDescent="0.25">
      <c r="B62" s="23" t="s">
        <v>520</v>
      </c>
      <c r="C62" s="23" t="s">
        <v>521</v>
      </c>
      <c r="D62" s="23" t="s">
        <v>419</v>
      </c>
    </row>
    <row r="63" spans="2:4" ht="15" customHeight="1" x14ac:dyDescent="0.25">
      <c r="B63" s="23" t="s">
        <v>522</v>
      </c>
      <c r="C63" s="23" t="s">
        <v>523</v>
      </c>
      <c r="D63" s="23" t="s">
        <v>419</v>
      </c>
    </row>
    <row r="64" spans="2:4" ht="15" customHeight="1" x14ac:dyDescent="0.25">
      <c r="B64" s="23" t="s">
        <v>524</v>
      </c>
      <c r="C64" s="23" t="s">
        <v>525</v>
      </c>
      <c r="D64" s="23" t="s">
        <v>419</v>
      </c>
    </row>
    <row r="65" spans="2:4" ht="15" customHeight="1" x14ac:dyDescent="0.25">
      <c r="B65" s="23" t="s">
        <v>526</v>
      </c>
      <c r="C65" s="23" t="s">
        <v>527</v>
      </c>
      <c r="D65" s="23" t="s">
        <v>419</v>
      </c>
    </row>
    <row r="66" spans="2:4" ht="15" customHeight="1" x14ac:dyDescent="0.25">
      <c r="B66" s="23" t="s">
        <v>528</v>
      </c>
      <c r="C66" s="23" t="s">
        <v>529</v>
      </c>
      <c r="D66" s="23" t="s">
        <v>419</v>
      </c>
    </row>
    <row r="67" spans="2:4" ht="15" customHeight="1" x14ac:dyDescent="0.25">
      <c r="B67" s="23" t="s">
        <v>530</v>
      </c>
      <c r="C67" s="23" t="s">
        <v>531</v>
      </c>
      <c r="D67" s="23" t="s">
        <v>419</v>
      </c>
    </row>
    <row r="68" spans="2:4" ht="15" customHeight="1" x14ac:dyDescent="0.25">
      <c r="B68" s="23" t="s">
        <v>532</v>
      </c>
      <c r="C68" s="23" t="s">
        <v>533</v>
      </c>
      <c r="D68" s="23" t="s">
        <v>419</v>
      </c>
    </row>
    <row r="69" spans="2:4" ht="15" customHeight="1" x14ac:dyDescent="0.25">
      <c r="B69" s="23" t="s">
        <v>534</v>
      </c>
      <c r="C69" s="23" t="s">
        <v>535</v>
      </c>
      <c r="D69" s="23" t="s">
        <v>411</v>
      </c>
    </row>
    <row r="70" spans="2:4" ht="15" customHeight="1" x14ac:dyDescent="0.25">
      <c r="B70" s="23" t="s">
        <v>536</v>
      </c>
      <c r="C70" s="23" t="s">
        <v>537</v>
      </c>
      <c r="D70" s="23"/>
    </row>
    <row r="71" spans="2:4" ht="15" customHeight="1" x14ac:dyDescent="0.25">
      <c r="B71" s="23" t="s">
        <v>538</v>
      </c>
      <c r="C71" s="23" t="s">
        <v>539</v>
      </c>
      <c r="D71" s="23" t="s">
        <v>419</v>
      </c>
    </row>
    <row r="72" spans="2:4" ht="15" customHeight="1" x14ac:dyDescent="0.25">
      <c r="B72" s="23" t="s">
        <v>540</v>
      </c>
      <c r="C72" s="23" t="s">
        <v>541</v>
      </c>
      <c r="D72" s="23" t="s">
        <v>475</v>
      </c>
    </row>
    <row r="73" spans="2:4" ht="15" customHeight="1" x14ac:dyDescent="0.25">
      <c r="B73" s="23" t="s">
        <v>542</v>
      </c>
      <c r="C73" s="23" t="s">
        <v>543</v>
      </c>
      <c r="D73" s="23" t="s">
        <v>419</v>
      </c>
    </row>
    <row r="74" spans="2:4" ht="15" customHeight="1" x14ac:dyDescent="0.25">
      <c r="B74" s="23" t="s">
        <v>544</v>
      </c>
      <c r="C74" s="23" t="s">
        <v>545</v>
      </c>
      <c r="D74" s="23" t="s">
        <v>475</v>
      </c>
    </row>
    <row r="75" spans="2:4" ht="15" customHeight="1" x14ac:dyDescent="0.25">
      <c r="B75" s="23" t="s">
        <v>546</v>
      </c>
      <c r="C75" s="23" t="s">
        <v>547</v>
      </c>
      <c r="D75" s="23" t="s">
        <v>419</v>
      </c>
    </row>
    <row r="76" spans="2:4" ht="15" customHeight="1" x14ac:dyDescent="0.25">
      <c r="B76" s="23" t="s">
        <v>548</v>
      </c>
      <c r="C76" s="23" t="s">
        <v>549</v>
      </c>
      <c r="D76" s="23" t="s">
        <v>419</v>
      </c>
    </row>
    <row r="77" spans="2:4" ht="15" customHeight="1" x14ac:dyDescent="0.25">
      <c r="B77" s="23" t="s">
        <v>550</v>
      </c>
      <c r="C77" s="23" t="s">
        <v>551</v>
      </c>
      <c r="D77" s="23" t="s">
        <v>419</v>
      </c>
    </row>
    <row r="78" spans="2:4" ht="15" customHeight="1" x14ac:dyDescent="0.25">
      <c r="B78" s="23" t="s">
        <v>552</v>
      </c>
      <c r="C78" s="23" t="s">
        <v>553</v>
      </c>
      <c r="D78" s="23" t="s">
        <v>419</v>
      </c>
    </row>
    <row r="79" spans="2:4" ht="15" customHeight="1" x14ac:dyDescent="0.25">
      <c r="B79" s="23" t="s">
        <v>554</v>
      </c>
      <c r="C79" s="23" t="s">
        <v>555</v>
      </c>
      <c r="D79" s="23" t="s">
        <v>419</v>
      </c>
    </row>
    <row r="80" spans="2:4" ht="15" customHeight="1" x14ac:dyDescent="0.25">
      <c r="B80" s="23" t="s">
        <v>556</v>
      </c>
      <c r="C80" s="23" t="s">
        <v>557</v>
      </c>
      <c r="D80" s="23" t="s">
        <v>419</v>
      </c>
    </row>
    <row r="81" spans="2:4" ht="15" customHeight="1" x14ac:dyDescent="0.25">
      <c r="B81" s="23" t="s">
        <v>558</v>
      </c>
      <c r="C81" s="23" t="s">
        <v>559</v>
      </c>
      <c r="D81" s="23" t="s">
        <v>419</v>
      </c>
    </row>
    <row r="82" spans="2:4" ht="15" customHeight="1" x14ac:dyDescent="0.25">
      <c r="B82" s="23" t="s">
        <v>560</v>
      </c>
      <c r="C82" s="23" t="s">
        <v>561</v>
      </c>
      <c r="D82" s="23" t="s">
        <v>419</v>
      </c>
    </row>
    <row r="83" spans="2:4" ht="15" customHeight="1" x14ac:dyDescent="0.25">
      <c r="B83" s="23" t="s">
        <v>562</v>
      </c>
      <c r="C83" s="23" t="s">
        <v>563</v>
      </c>
      <c r="D83" s="23" t="s">
        <v>419</v>
      </c>
    </row>
    <row r="84" spans="2:4" ht="15" customHeight="1" x14ac:dyDescent="0.25">
      <c r="B84" s="23" t="s">
        <v>564</v>
      </c>
      <c r="C84" s="23" t="s">
        <v>565</v>
      </c>
      <c r="D84" s="23" t="s">
        <v>419</v>
      </c>
    </row>
    <row r="85" spans="2:4" ht="15" customHeight="1" x14ac:dyDescent="0.25">
      <c r="B85" s="23" t="s">
        <v>566</v>
      </c>
      <c r="C85" s="23" t="s">
        <v>567</v>
      </c>
      <c r="D85" s="23" t="s">
        <v>419</v>
      </c>
    </row>
    <row r="86" spans="2:4" ht="15" customHeight="1" x14ac:dyDescent="0.25">
      <c r="B86" s="23" t="s">
        <v>568</v>
      </c>
      <c r="C86" s="23" t="s">
        <v>569</v>
      </c>
      <c r="D86" s="23"/>
    </row>
    <row r="87" spans="2:4" ht="15" customHeight="1" x14ac:dyDescent="0.25">
      <c r="B87" s="23" t="s">
        <v>570</v>
      </c>
      <c r="C87" s="23" t="s">
        <v>571</v>
      </c>
      <c r="D87" s="23" t="s">
        <v>419</v>
      </c>
    </row>
    <row r="88" spans="2:4" ht="15" customHeight="1" x14ac:dyDescent="0.25">
      <c r="B88" s="23" t="s">
        <v>572</v>
      </c>
      <c r="C88" s="23" t="s">
        <v>573</v>
      </c>
      <c r="D88" s="23" t="s">
        <v>419</v>
      </c>
    </row>
    <row r="89" spans="2:4" ht="15" customHeight="1" x14ac:dyDescent="0.25">
      <c r="B89" s="23" t="s">
        <v>574</v>
      </c>
      <c r="C89" s="23" t="s">
        <v>575</v>
      </c>
      <c r="D89" s="23" t="s">
        <v>419</v>
      </c>
    </row>
    <row r="90" spans="2:4" ht="15" customHeight="1" x14ac:dyDescent="0.25">
      <c r="B90" s="23" t="s">
        <v>576</v>
      </c>
      <c r="C90" s="23" t="s">
        <v>577</v>
      </c>
      <c r="D90" s="23" t="s">
        <v>419</v>
      </c>
    </row>
    <row r="91" spans="2:4" ht="15" customHeight="1" x14ac:dyDescent="0.25">
      <c r="B91" s="23" t="s">
        <v>578</v>
      </c>
      <c r="C91" s="23" t="s">
        <v>579</v>
      </c>
      <c r="D91" s="23" t="s">
        <v>419</v>
      </c>
    </row>
    <row r="92" spans="2:4" ht="15" customHeight="1" x14ac:dyDescent="0.25">
      <c r="B92" s="23" t="s">
        <v>580</v>
      </c>
      <c r="C92" s="23" t="s">
        <v>581</v>
      </c>
      <c r="D92" s="23" t="s">
        <v>419</v>
      </c>
    </row>
    <row r="93" spans="2:4" ht="15" customHeight="1" x14ac:dyDescent="0.25">
      <c r="B93" s="23" t="s">
        <v>582</v>
      </c>
      <c r="C93" s="23" t="s">
        <v>583</v>
      </c>
      <c r="D93" s="23" t="s">
        <v>419</v>
      </c>
    </row>
    <row r="94" spans="2:4" ht="15" customHeight="1" x14ac:dyDescent="0.25">
      <c r="B94" s="23" t="s">
        <v>584</v>
      </c>
      <c r="C94" s="23" t="s">
        <v>585</v>
      </c>
      <c r="D94" s="23" t="s">
        <v>419</v>
      </c>
    </row>
    <row r="95" spans="2:4" ht="15" customHeight="1" x14ac:dyDescent="0.25">
      <c r="B95" s="23" t="s">
        <v>586</v>
      </c>
      <c r="C95" s="23" t="s">
        <v>587</v>
      </c>
      <c r="D95" s="23" t="s">
        <v>419</v>
      </c>
    </row>
    <row r="96" spans="2:4" ht="15" customHeight="1" x14ac:dyDescent="0.25">
      <c r="B96" s="23" t="s">
        <v>588</v>
      </c>
      <c r="C96" s="23" t="s">
        <v>589</v>
      </c>
      <c r="D96" s="23" t="s">
        <v>419</v>
      </c>
    </row>
    <row r="97" spans="2:4" ht="15" customHeight="1" x14ac:dyDescent="0.25">
      <c r="B97" s="23" t="s">
        <v>590</v>
      </c>
      <c r="C97" s="23" t="s">
        <v>591</v>
      </c>
      <c r="D97" s="23" t="s">
        <v>419</v>
      </c>
    </row>
    <row r="98" spans="2:4" ht="15" customHeight="1" x14ac:dyDescent="0.25">
      <c r="B98" s="23" t="s">
        <v>592</v>
      </c>
      <c r="C98" s="23" t="s">
        <v>593</v>
      </c>
      <c r="D98" s="23" t="s">
        <v>419</v>
      </c>
    </row>
    <row r="99" spans="2:4" ht="15" customHeight="1" x14ac:dyDescent="0.25">
      <c r="B99" s="23" t="s">
        <v>594</v>
      </c>
      <c r="C99" s="23" t="s">
        <v>595</v>
      </c>
      <c r="D99" s="23" t="s">
        <v>419</v>
      </c>
    </row>
    <row r="100" spans="2:4" ht="15" customHeight="1" x14ac:dyDescent="0.25">
      <c r="B100" s="23" t="s">
        <v>596</v>
      </c>
      <c r="C100" s="23" t="s">
        <v>597</v>
      </c>
      <c r="D100" s="23" t="s">
        <v>419</v>
      </c>
    </row>
    <row r="101" spans="2:4" ht="15" customHeight="1" x14ac:dyDescent="0.25">
      <c r="B101" s="23" t="s">
        <v>598</v>
      </c>
      <c r="C101" s="23" t="s">
        <v>599</v>
      </c>
      <c r="D101" s="23" t="s">
        <v>419</v>
      </c>
    </row>
    <row r="102" spans="2:4" ht="15" customHeight="1" x14ac:dyDescent="0.25">
      <c r="B102" s="23" t="s">
        <v>600</v>
      </c>
      <c r="C102" s="23" t="s">
        <v>601</v>
      </c>
      <c r="D102" s="23" t="s">
        <v>419</v>
      </c>
    </row>
    <row r="103" spans="2:4" ht="15" customHeight="1" x14ac:dyDescent="0.25">
      <c r="B103" s="23" t="s">
        <v>602</v>
      </c>
      <c r="C103" s="23" t="s">
        <v>603</v>
      </c>
      <c r="D103" s="23" t="s">
        <v>419</v>
      </c>
    </row>
    <row r="104" spans="2:4" ht="15" customHeight="1" x14ac:dyDescent="0.25">
      <c r="B104" s="23" t="s">
        <v>604</v>
      </c>
      <c r="C104" s="23" t="s">
        <v>605</v>
      </c>
      <c r="D104" s="23" t="s">
        <v>419</v>
      </c>
    </row>
    <row r="105" spans="2:4" ht="15" customHeight="1" x14ac:dyDescent="0.25">
      <c r="B105" s="23" t="s">
        <v>606</v>
      </c>
      <c r="C105" s="23" t="s">
        <v>607</v>
      </c>
      <c r="D105" s="23" t="s">
        <v>419</v>
      </c>
    </row>
    <row r="106" spans="2:4" ht="15" customHeight="1" x14ac:dyDescent="0.25">
      <c r="B106" s="23" t="s">
        <v>608</v>
      </c>
      <c r="C106" s="23" t="s">
        <v>609</v>
      </c>
      <c r="D106" s="23" t="s">
        <v>419</v>
      </c>
    </row>
    <row r="107" spans="2:4" ht="15" customHeight="1" x14ac:dyDescent="0.25">
      <c r="B107" s="23" t="s">
        <v>610</v>
      </c>
      <c r="C107" s="23" t="s">
        <v>611</v>
      </c>
      <c r="D107" s="23" t="s">
        <v>419</v>
      </c>
    </row>
    <row r="108" spans="2:4" ht="15" customHeight="1" x14ac:dyDescent="0.25">
      <c r="B108" s="23" t="s">
        <v>612</v>
      </c>
      <c r="C108" s="23" t="s">
        <v>613</v>
      </c>
      <c r="D108" s="23" t="s">
        <v>419</v>
      </c>
    </row>
    <row r="109" spans="2:4" ht="15" customHeight="1" x14ac:dyDescent="0.25">
      <c r="B109" s="23" t="s">
        <v>614</v>
      </c>
      <c r="C109" s="23" t="s">
        <v>615</v>
      </c>
      <c r="D109" s="23" t="s">
        <v>411</v>
      </c>
    </row>
    <row r="110" spans="2:4" ht="15" customHeight="1" x14ac:dyDescent="0.25">
      <c r="B110" s="23" t="s">
        <v>616</v>
      </c>
      <c r="C110" s="23" t="s">
        <v>617</v>
      </c>
      <c r="D110" s="23" t="s">
        <v>419</v>
      </c>
    </row>
    <row r="111" spans="2:4" ht="15" customHeight="1" x14ac:dyDescent="0.25">
      <c r="B111" s="23" t="s">
        <v>618</v>
      </c>
      <c r="C111" s="23" t="s">
        <v>619</v>
      </c>
      <c r="D111" s="23" t="s">
        <v>419</v>
      </c>
    </row>
    <row r="112" spans="2:4" ht="15" customHeight="1" x14ac:dyDescent="0.25">
      <c r="B112" s="23" t="s">
        <v>620</v>
      </c>
      <c r="C112" s="23" t="s">
        <v>621</v>
      </c>
      <c r="D112" s="23" t="s">
        <v>419</v>
      </c>
    </row>
    <row r="113" spans="2:4" ht="15" customHeight="1" x14ac:dyDescent="0.25">
      <c r="B113" s="23" t="s">
        <v>622</v>
      </c>
      <c r="C113" s="23" t="s">
        <v>623</v>
      </c>
      <c r="D113" s="23" t="s">
        <v>419</v>
      </c>
    </row>
    <row r="114" spans="2:4" ht="15" customHeight="1" x14ac:dyDescent="0.25">
      <c r="B114" s="23" t="s">
        <v>624</v>
      </c>
      <c r="C114" s="23" t="s">
        <v>625</v>
      </c>
      <c r="D114" s="23" t="s">
        <v>419</v>
      </c>
    </row>
    <row r="115" spans="2:4" ht="15" customHeight="1" x14ac:dyDescent="0.25">
      <c r="B115" s="23" t="s">
        <v>626</v>
      </c>
      <c r="C115" s="23" t="s">
        <v>627</v>
      </c>
      <c r="D115" s="23" t="s">
        <v>419</v>
      </c>
    </row>
    <row r="116" spans="2:4" ht="15" customHeight="1" x14ac:dyDescent="0.25">
      <c r="B116" s="23" t="s">
        <v>628</v>
      </c>
      <c r="C116" s="23" t="s">
        <v>629</v>
      </c>
      <c r="D116" s="23" t="s">
        <v>419</v>
      </c>
    </row>
    <row r="117" spans="2:4" ht="15" customHeight="1" x14ac:dyDescent="0.25">
      <c r="B117" s="23" t="s">
        <v>630</v>
      </c>
      <c r="C117" s="23" t="s">
        <v>631</v>
      </c>
      <c r="D117" s="23" t="s">
        <v>419</v>
      </c>
    </row>
    <row r="118" spans="2:4" ht="15" customHeight="1" x14ac:dyDescent="0.25">
      <c r="B118" s="23" t="s">
        <v>632</v>
      </c>
      <c r="C118" s="23" t="s">
        <v>633</v>
      </c>
      <c r="D118" s="23" t="s">
        <v>419</v>
      </c>
    </row>
    <row r="119" spans="2:4" ht="15" customHeight="1" x14ac:dyDescent="0.25">
      <c r="B119" s="23" t="s">
        <v>634</v>
      </c>
      <c r="C119" s="23" t="s">
        <v>635</v>
      </c>
      <c r="D119" s="23" t="s">
        <v>419</v>
      </c>
    </row>
    <row r="120" spans="2:4" ht="15" customHeight="1" x14ac:dyDescent="0.25">
      <c r="B120" s="23" t="s">
        <v>636</v>
      </c>
      <c r="C120" s="23" t="s">
        <v>637</v>
      </c>
      <c r="D120" s="23" t="s">
        <v>419</v>
      </c>
    </row>
    <row r="121" spans="2:4" ht="15" customHeight="1" x14ac:dyDescent="0.25">
      <c r="B121" s="23" t="s">
        <v>638</v>
      </c>
      <c r="C121" s="23" t="s">
        <v>639</v>
      </c>
      <c r="D121" s="23" t="s">
        <v>419</v>
      </c>
    </row>
    <row r="122" spans="2:4" ht="15" customHeight="1" x14ac:dyDescent="0.25">
      <c r="B122" s="23" t="s">
        <v>640</v>
      </c>
      <c r="C122" s="23" t="s">
        <v>641</v>
      </c>
      <c r="D122" s="23" t="s">
        <v>419</v>
      </c>
    </row>
    <row r="123" spans="2:4" ht="15" customHeight="1" x14ac:dyDescent="0.25">
      <c r="B123" s="23" t="s">
        <v>642</v>
      </c>
      <c r="C123" s="23" t="s">
        <v>643</v>
      </c>
      <c r="D123" s="23" t="s">
        <v>419</v>
      </c>
    </row>
    <row r="124" spans="2:4" ht="15" customHeight="1" x14ac:dyDescent="0.25">
      <c r="B124" s="23" t="s">
        <v>644</v>
      </c>
      <c r="C124" s="23" t="s">
        <v>645</v>
      </c>
      <c r="D124" s="23" t="s">
        <v>119</v>
      </c>
    </row>
    <row r="125" spans="2:4" ht="15" customHeight="1" x14ac:dyDescent="0.25">
      <c r="B125" s="23" t="s">
        <v>646</v>
      </c>
      <c r="C125" s="23" t="s">
        <v>647</v>
      </c>
      <c r="D125" s="23" t="s">
        <v>419</v>
      </c>
    </row>
    <row r="126" spans="2:4" ht="15" customHeight="1" x14ac:dyDescent="0.25">
      <c r="B126" s="23" t="s">
        <v>648</v>
      </c>
      <c r="C126" s="23" t="s">
        <v>649</v>
      </c>
      <c r="D126" s="23" t="s">
        <v>419</v>
      </c>
    </row>
    <row r="127" spans="2:4" ht="15" customHeight="1" x14ac:dyDescent="0.25">
      <c r="B127" s="23" t="s">
        <v>650</v>
      </c>
      <c r="C127" s="23" t="s">
        <v>651</v>
      </c>
      <c r="D127" s="23" t="s">
        <v>419</v>
      </c>
    </row>
    <row r="128" spans="2:4" ht="15" customHeight="1" x14ac:dyDescent="0.25">
      <c r="B128" s="23" t="s">
        <v>652</v>
      </c>
      <c r="C128" s="23" t="s">
        <v>653</v>
      </c>
      <c r="D128" s="23" t="s">
        <v>402</v>
      </c>
    </row>
    <row r="129" spans="2:4" ht="15" customHeight="1" x14ac:dyDescent="0.25">
      <c r="B129" s="23" t="s">
        <v>654</v>
      </c>
      <c r="C129" s="23" t="s">
        <v>655</v>
      </c>
      <c r="D129" s="23" t="s">
        <v>419</v>
      </c>
    </row>
    <row r="130" spans="2:4" ht="15" customHeight="1" x14ac:dyDescent="0.25">
      <c r="B130" s="23" t="s">
        <v>656</v>
      </c>
      <c r="C130" s="23" t="s">
        <v>657</v>
      </c>
      <c r="D130" s="23" t="s">
        <v>419</v>
      </c>
    </row>
    <row r="131" spans="2:4" ht="15" customHeight="1" x14ac:dyDescent="0.25">
      <c r="B131" s="23" t="s">
        <v>658</v>
      </c>
      <c r="C131" s="23" t="s">
        <v>659</v>
      </c>
      <c r="D131" s="23" t="s">
        <v>419</v>
      </c>
    </row>
    <row r="132" spans="2:4" ht="15" customHeight="1" x14ac:dyDescent="0.25">
      <c r="B132" s="23" t="s">
        <v>660</v>
      </c>
      <c r="C132" s="23" t="s">
        <v>661</v>
      </c>
      <c r="D132" s="23" t="s">
        <v>419</v>
      </c>
    </row>
    <row r="133" spans="2:4" ht="15" customHeight="1" x14ac:dyDescent="0.25">
      <c r="B133" s="23" t="s">
        <v>662</v>
      </c>
      <c r="C133" s="23" t="s">
        <v>663</v>
      </c>
      <c r="D133" s="23" t="s">
        <v>419</v>
      </c>
    </row>
    <row r="134" spans="2:4" ht="15" customHeight="1" x14ac:dyDescent="0.25">
      <c r="B134" s="23" t="s">
        <v>664</v>
      </c>
      <c r="C134" s="23" t="s">
        <v>665</v>
      </c>
      <c r="D134" s="23" t="s">
        <v>419</v>
      </c>
    </row>
    <row r="135" spans="2:4" ht="15" customHeight="1" x14ac:dyDescent="0.25">
      <c r="B135" s="23" t="s">
        <v>666</v>
      </c>
      <c r="C135" s="23" t="s">
        <v>667</v>
      </c>
      <c r="D135" s="23" t="s">
        <v>419</v>
      </c>
    </row>
    <row r="136" spans="2:4" ht="15" customHeight="1" x14ac:dyDescent="0.25">
      <c r="B136" s="23" t="s">
        <v>668</v>
      </c>
      <c r="C136" s="23" t="s">
        <v>669</v>
      </c>
      <c r="D136" s="23" t="s">
        <v>419</v>
      </c>
    </row>
    <row r="137" spans="2:4" ht="15" customHeight="1" x14ac:dyDescent="0.25">
      <c r="B137" s="23" t="s">
        <v>670</v>
      </c>
      <c r="C137" s="23" t="s">
        <v>671</v>
      </c>
      <c r="D137" s="23" t="s">
        <v>419</v>
      </c>
    </row>
    <row r="138" spans="2:4" ht="15" customHeight="1" x14ac:dyDescent="0.25">
      <c r="B138" s="23" t="s">
        <v>672</v>
      </c>
      <c r="C138" s="23" t="s">
        <v>673</v>
      </c>
      <c r="D138" s="23" t="s">
        <v>419</v>
      </c>
    </row>
    <row r="139" spans="2:4" ht="15" customHeight="1" x14ac:dyDescent="0.25">
      <c r="B139" s="23" t="s">
        <v>674</v>
      </c>
      <c r="C139" s="23" t="s">
        <v>675</v>
      </c>
      <c r="D139" s="23" t="s">
        <v>419</v>
      </c>
    </row>
    <row r="140" spans="2:4" ht="15" customHeight="1" x14ac:dyDescent="0.25">
      <c r="B140" s="23" t="s">
        <v>676</v>
      </c>
      <c r="C140" s="23" t="s">
        <v>677</v>
      </c>
      <c r="D140" s="23" t="s">
        <v>419</v>
      </c>
    </row>
    <row r="141" spans="2:4" ht="15" customHeight="1" x14ac:dyDescent="0.25">
      <c r="B141" s="23" t="s">
        <v>678</v>
      </c>
      <c r="C141" s="23" t="s">
        <v>679</v>
      </c>
      <c r="D141" s="23" t="s">
        <v>419</v>
      </c>
    </row>
    <row r="142" spans="2:4" ht="15" customHeight="1" x14ac:dyDescent="0.25">
      <c r="B142" s="23" t="s">
        <v>680</v>
      </c>
      <c r="C142" s="23" t="s">
        <v>681</v>
      </c>
      <c r="D142" s="23" t="s">
        <v>419</v>
      </c>
    </row>
    <row r="143" spans="2:4" ht="15" customHeight="1" x14ac:dyDescent="0.25">
      <c r="B143" s="23" t="s">
        <v>682</v>
      </c>
      <c r="C143" s="23" t="s">
        <v>683</v>
      </c>
      <c r="D143" s="23" t="s">
        <v>419</v>
      </c>
    </row>
    <row r="144" spans="2:4" ht="15" customHeight="1" x14ac:dyDescent="0.25">
      <c r="B144" s="23" t="s">
        <v>684</v>
      </c>
      <c r="C144" s="23" t="s">
        <v>685</v>
      </c>
      <c r="D144" s="23" t="s">
        <v>419</v>
      </c>
    </row>
    <row r="145" spans="2:4" ht="15" customHeight="1" x14ac:dyDescent="0.25">
      <c r="B145" s="23" t="s">
        <v>686</v>
      </c>
      <c r="C145" s="23" t="s">
        <v>687</v>
      </c>
      <c r="D145" s="23" t="s">
        <v>419</v>
      </c>
    </row>
    <row r="146" spans="2:4" ht="15" customHeight="1" x14ac:dyDescent="0.25">
      <c r="B146" s="23" t="s">
        <v>688</v>
      </c>
      <c r="C146" s="23" t="s">
        <v>689</v>
      </c>
      <c r="D146" s="23" t="s">
        <v>419</v>
      </c>
    </row>
    <row r="147" spans="2:4" ht="15" customHeight="1" x14ac:dyDescent="0.25">
      <c r="B147" s="23" t="s">
        <v>690</v>
      </c>
      <c r="C147" s="23" t="s">
        <v>691</v>
      </c>
      <c r="D147" s="23" t="s">
        <v>419</v>
      </c>
    </row>
    <row r="148" spans="2:4" ht="15" customHeight="1" x14ac:dyDescent="0.25">
      <c r="B148" s="23" t="s">
        <v>692</v>
      </c>
      <c r="C148" s="23" t="s">
        <v>693</v>
      </c>
      <c r="D148" s="23" t="s">
        <v>419</v>
      </c>
    </row>
    <row r="149" spans="2:4" ht="15" customHeight="1" x14ac:dyDescent="0.25">
      <c r="B149" s="23" t="s">
        <v>694</v>
      </c>
      <c r="C149" s="23" t="s">
        <v>695</v>
      </c>
      <c r="D149" s="23" t="s">
        <v>419</v>
      </c>
    </row>
    <row r="150" spans="2:4" ht="15" customHeight="1" x14ac:dyDescent="0.25">
      <c r="B150" s="23" t="s">
        <v>696</v>
      </c>
      <c r="C150" s="23" t="s">
        <v>697</v>
      </c>
      <c r="D150" s="23" t="s">
        <v>363</v>
      </c>
    </row>
    <row r="151" spans="2:4" ht="15" customHeight="1" x14ac:dyDescent="0.25">
      <c r="B151" s="23" t="s">
        <v>698</v>
      </c>
      <c r="C151" s="23" t="s">
        <v>699</v>
      </c>
      <c r="D151" s="23" t="s">
        <v>363</v>
      </c>
    </row>
    <row r="152" spans="2:4" ht="15" customHeight="1" x14ac:dyDescent="0.25">
      <c r="B152" s="23" t="s">
        <v>700</v>
      </c>
      <c r="C152" s="23" t="s">
        <v>701</v>
      </c>
      <c r="D152" s="23" t="s">
        <v>419</v>
      </c>
    </row>
    <row r="153" spans="2:4" ht="15" customHeight="1" x14ac:dyDescent="0.25">
      <c r="B153" s="23" t="s">
        <v>702</v>
      </c>
      <c r="C153" s="23" t="s">
        <v>703</v>
      </c>
      <c r="D153" s="23" t="s">
        <v>419</v>
      </c>
    </row>
    <row r="154" spans="2:4" ht="15" customHeight="1" x14ac:dyDescent="0.25">
      <c r="B154" s="23" t="s">
        <v>704</v>
      </c>
      <c r="C154" s="23" t="s">
        <v>705</v>
      </c>
      <c r="D154" s="23" t="s">
        <v>706</v>
      </c>
    </row>
    <row r="155" spans="2:4" ht="15" customHeight="1" x14ac:dyDescent="0.25">
      <c r="B155" s="23" t="s">
        <v>707</v>
      </c>
      <c r="C155" s="23" t="s">
        <v>708</v>
      </c>
      <c r="D155" s="23" t="s">
        <v>419</v>
      </c>
    </row>
    <row r="156" spans="2:4" ht="15" customHeight="1" x14ac:dyDescent="0.25">
      <c r="B156" s="23" t="s">
        <v>709</v>
      </c>
      <c r="C156" s="23" t="s">
        <v>710</v>
      </c>
      <c r="D156" s="23" t="s">
        <v>419</v>
      </c>
    </row>
    <row r="157" spans="2:4" ht="15" customHeight="1" x14ac:dyDescent="0.25">
      <c r="B157" s="23" t="s">
        <v>711</v>
      </c>
      <c r="C157" s="23" t="s">
        <v>712</v>
      </c>
      <c r="D157" s="23" t="s">
        <v>363</v>
      </c>
    </row>
    <row r="158" spans="2:4" ht="15" customHeight="1" x14ac:dyDescent="0.25">
      <c r="B158" s="23" t="s">
        <v>713</v>
      </c>
      <c r="C158" s="23" t="s">
        <v>714</v>
      </c>
      <c r="D158" s="23" t="s">
        <v>402</v>
      </c>
    </row>
    <row r="159" spans="2:4" ht="15" customHeight="1" x14ac:dyDescent="0.25">
      <c r="B159" s="23" t="s">
        <v>715</v>
      </c>
      <c r="C159" s="23" t="s">
        <v>716</v>
      </c>
      <c r="D159" s="23" t="s">
        <v>419</v>
      </c>
    </row>
    <row r="160" spans="2:4" ht="15" customHeight="1" x14ac:dyDescent="0.25">
      <c r="B160" s="23" t="s">
        <v>717</v>
      </c>
      <c r="C160" s="23" t="s">
        <v>718</v>
      </c>
      <c r="D160" s="23" t="s">
        <v>419</v>
      </c>
    </row>
    <row r="161" spans="2:4" ht="15" customHeight="1" x14ac:dyDescent="0.25">
      <c r="B161" s="23" t="s">
        <v>719</v>
      </c>
      <c r="C161" s="23" t="s">
        <v>720</v>
      </c>
      <c r="D161" s="23" t="s">
        <v>419</v>
      </c>
    </row>
    <row r="162" spans="2:4" ht="15" customHeight="1" x14ac:dyDescent="0.25">
      <c r="B162" s="23" t="s">
        <v>721</v>
      </c>
      <c r="C162" s="23" t="s">
        <v>722</v>
      </c>
      <c r="D162" s="23" t="s">
        <v>419</v>
      </c>
    </row>
    <row r="163" spans="2:4" ht="15" customHeight="1" x14ac:dyDescent="0.25">
      <c r="B163" s="23" t="s">
        <v>723</v>
      </c>
      <c r="C163" s="23" t="s">
        <v>724</v>
      </c>
      <c r="D163" s="23" t="s">
        <v>419</v>
      </c>
    </row>
    <row r="164" spans="2:4" ht="15" customHeight="1" x14ac:dyDescent="0.25">
      <c r="B164" s="23" t="s">
        <v>725</v>
      </c>
      <c r="C164" s="23" t="s">
        <v>726</v>
      </c>
      <c r="D164" s="23" t="s">
        <v>419</v>
      </c>
    </row>
    <row r="165" spans="2:4" ht="15" customHeight="1" x14ac:dyDescent="0.25">
      <c r="B165" s="23" t="s">
        <v>727</v>
      </c>
      <c r="C165" s="23" t="s">
        <v>728</v>
      </c>
      <c r="D165" s="23" t="s">
        <v>419</v>
      </c>
    </row>
    <row r="166" spans="2:4" ht="15" customHeight="1" x14ac:dyDescent="0.25">
      <c r="B166" s="23" t="s">
        <v>729</v>
      </c>
      <c r="C166" s="23" t="s">
        <v>730</v>
      </c>
      <c r="D166" s="23" t="s">
        <v>419</v>
      </c>
    </row>
    <row r="167" spans="2:4" ht="15" customHeight="1" x14ac:dyDescent="0.25">
      <c r="B167" s="23" t="s">
        <v>731</v>
      </c>
      <c r="C167" s="23" t="s">
        <v>732</v>
      </c>
      <c r="D167" s="23" t="s">
        <v>419</v>
      </c>
    </row>
    <row r="168" spans="2:4" ht="15" customHeight="1" x14ac:dyDescent="0.25">
      <c r="B168" s="23" t="s">
        <v>733</v>
      </c>
      <c r="C168" s="23" t="s">
        <v>734</v>
      </c>
      <c r="D168" s="23" t="s">
        <v>735</v>
      </c>
    </row>
    <row r="169" spans="2:4" ht="15" customHeight="1" x14ac:dyDescent="0.25">
      <c r="B169" s="23" t="s">
        <v>736</v>
      </c>
      <c r="C169" s="23" t="s">
        <v>737</v>
      </c>
      <c r="D169" s="23" t="s">
        <v>738</v>
      </c>
    </row>
    <row r="170" spans="2:4" ht="15" customHeight="1" x14ac:dyDescent="0.25">
      <c r="B170" s="23" t="s">
        <v>739</v>
      </c>
      <c r="C170" s="23" t="s">
        <v>740</v>
      </c>
      <c r="D170" s="23" t="s">
        <v>419</v>
      </c>
    </row>
    <row r="171" spans="2:4" ht="15" customHeight="1" x14ac:dyDescent="0.25">
      <c r="B171" s="23" t="s">
        <v>741</v>
      </c>
      <c r="C171" s="23" t="s">
        <v>742</v>
      </c>
      <c r="D171" s="23" t="s">
        <v>402</v>
      </c>
    </row>
    <row r="172" spans="2:4" ht="15" customHeight="1" x14ac:dyDescent="0.25">
      <c r="B172" s="23" t="s">
        <v>743</v>
      </c>
      <c r="C172" s="23" t="s">
        <v>744</v>
      </c>
      <c r="D172" s="23" t="s">
        <v>419</v>
      </c>
    </row>
    <row r="173" spans="2:4" ht="15" customHeight="1" x14ac:dyDescent="0.25">
      <c r="B173" s="23" t="s">
        <v>745</v>
      </c>
      <c r="C173" s="23" t="s">
        <v>746</v>
      </c>
      <c r="D173" s="23" t="s">
        <v>419</v>
      </c>
    </row>
    <row r="174" spans="2:4" ht="15" customHeight="1" x14ac:dyDescent="0.25">
      <c r="B174" s="23" t="s">
        <v>747</v>
      </c>
      <c r="C174" s="23" t="s">
        <v>748</v>
      </c>
      <c r="D174" s="23" t="s">
        <v>419</v>
      </c>
    </row>
    <row r="175" spans="2:4" ht="15" customHeight="1" x14ac:dyDescent="0.25">
      <c r="B175" s="23" t="s">
        <v>749</v>
      </c>
      <c r="C175" s="23" t="s">
        <v>750</v>
      </c>
      <c r="D175" s="23" t="s">
        <v>419</v>
      </c>
    </row>
    <row r="176" spans="2:4" ht="15" customHeight="1" x14ac:dyDescent="0.25">
      <c r="B176" s="23" t="s">
        <v>751</v>
      </c>
      <c r="C176" s="23" t="s">
        <v>752</v>
      </c>
      <c r="D176" s="23" t="s">
        <v>753</v>
      </c>
    </row>
    <row r="177" spans="2:4" ht="15" customHeight="1" x14ac:dyDescent="0.25">
      <c r="B177" s="23" t="s">
        <v>754</v>
      </c>
      <c r="C177" s="23" t="s">
        <v>755</v>
      </c>
      <c r="D177" s="23" t="s">
        <v>363</v>
      </c>
    </row>
    <row r="178" spans="2:4" ht="15" customHeight="1" x14ac:dyDescent="0.25">
      <c r="B178" s="23" t="s">
        <v>756</v>
      </c>
      <c r="C178" s="23" t="s">
        <v>757</v>
      </c>
      <c r="D178" s="23" t="s">
        <v>419</v>
      </c>
    </row>
    <row r="179" spans="2:4" ht="15" customHeight="1" x14ac:dyDescent="0.25">
      <c r="B179" s="23" t="s">
        <v>758</v>
      </c>
      <c r="C179" s="23" t="s">
        <v>759</v>
      </c>
      <c r="D179" s="23" t="s">
        <v>419</v>
      </c>
    </row>
    <row r="180" spans="2:4" ht="15" customHeight="1" x14ac:dyDescent="0.25">
      <c r="B180" s="23" t="s">
        <v>116</v>
      </c>
      <c r="C180" s="23" t="s">
        <v>760</v>
      </c>
      <c r="D180" s="23" t="s">
        <v>761</v>
      </c>
    </row>
    <row r="181" spans="2:4" ht="15" customHeight="1" x14ac:dyDescent="0.25">
      <c r="B181" s="23" t="s">
        <v>762</v>
      </c>
      <c r="C181" s="23" t="s">
        <v>763</v>
      </c>
      <c r="D181" s="23" t="s">
        <v>419</v>
      </c>
    </row>
    <row r="182" spans="2:4" ht="15" customHeight="1" x14ac:dyDescent="0.25">
      <c r="B182" s="23" t="s">
        <v>764</v>
      </c>
      <c r="C182" s="23" t="s">
        <v>765</v>
      </c>
      <c r="D182" s="23" t="s">
        <v>419</v>
      </c>
    </row>
    <row r="183" spans="2:4" ht="15" customHeight="1" x14ac:dyDescent="0.25">
      <c r="B183" s="23" t="s">
        <v>766</v>
      </c>
      <c r="C183" s="23" t="s">
        <v>767</v>
      </c>
      <c r="D183" s="23" t="s">
        <v>419</v>
      </c>
    </row>
    <row r="184" spans="2:4" ht="15" customHeight="1" x14ac:dyDescent="0.25">
      <c r="B184" s="23" t="s">
        <v>768</v>
      </c>
      <c r="C184" s="23" t="s">
        <v>769</v>
      </c>
      <c r="D184" s="23" t="s">
        <v>419</v>
      </c>
    </row>
    <row r="185" spans="2:4" ht="15" customHeight="1" x14ac:dyDescent="0.25">
      <c r="B185" s="23" t="s">
        <v>770</v>
      </c>
      <c r="C185" s="23" t="s">
        <v>771</v>
      </c>
      <c r="D185" s="23" t="s">
        <v>419</v>
      </c>
    </row>
    <row r="186" spans="2:4" ht="15" customHeight="1" x14ac:dyDescent="0.25">
      <c r="B186" s="23" t="s">
        <v>772</v>
      </c>
      <c r="C186" s="23" t="s">
        <v>773</v>
      </c>
      <c r="D186" s="23" t="s">
        <v>419</v>
      </c>
    </row>
    <row r="187" spans="2:4" ht="15" customHeight="1" x14ac:dyDescent="0.25">
      <c r="B187" s="23" t="s">
        <v>774</v>
      </c>
      <c r="C187" s="23" t="s">
        <v>775</v>
      </c>
      <c r="D187" s="23" t="s">
        <v>419</v>
      </c>
    </row>
    <row r="188" spans="2:4" ht="15" customHeight="1" x14ac:dyDescent="0.25">
      <c r="B188" s="23" t="s">
        <v>776</v>
      </c>
      <c r="C188" s="23" t="s">
        <v>777</v>
      </c>
      <c r="D188" s="23" t="s">
        <v>419</v>
      </c>
    </row>
    <row r="189" spans="2:4" ht="15" customHeight="1" x14ac:dyDescent="0.25">
      <c r="B189" s="23" t="s">
        <v>778</v>
      </c>
      <c r="C189" s="23" t="s">
        <v>779</v>
      </c>
      <c r="D189" s="23" t="s">
        <v>419</v>
      </c>
    </row>
    <row r="190" spans="2:4" ht="15" customHeight="1" x14ac:dyDescent="0.25">
      <c r="B190" s="23" t="s">
        <v>780</v>
      </c>
      <c r="C190" s="23" t="s">
        <v>781</v>
      </c>
      <c r="D190" s="23" t="s">
        <v>419</v>
      </c>
    </row>
    <row r="191" spans="2:4" ht="15" customHeight="1" x14ac:dyDescent="0.25">
      <c r="B191" s="23" t="s">
        <v>782</v>
      </c>
      <c r="C191" s="23" t="s">
        <v>783</v>
      </c>
      <c r="D191" s="23" t="s">
        <v>419</v>
      </c>
    </row>
    <row r="192" spans="2:4" ht="15" customHeight="1" x14ac:dyDescent="0.25">
      <c r="B192" s="23" t="s">
        <v>784</v>
      </c>
      <c r="C192" s="23" t="s">
        <v>785</v>
      </c>
      <c r="D192" s="23" t="s">
        <v>419</v>
      </c>
    </row>
    <row r="193" spans="2:4" ht="15" customHeight="1" x14ac:dyDescent="0.25">
      <c r="B193" s="23" t="s">
        <v>786</v>
      </c>
      <c r="C193" s="23" t="s">
        <v>787</v>
      </c>
      <c r="D193" s="23" t="s">
        <v>419</v>
      </c>
    </row>
    <row r="194" spans="2:4" ht="15" customHeight="1" x14ac:dyDescent="0.25">
      <c r="B194" s="23" t="s">
        <v>788</v>
      </c>
      <c r="C194" s="23" t="s">
        <v>789</v>
      </c>
      <c r="D194" s="23" t="s">
        <v>419</v>
      </c>
    </row>
    <row r="195" spans="2:4" ht="15" customHeight="1" x14ac:dyDescent="0.25">
      <c r="B195" s="23" t="s">
        <v>790</v>
      </c>
      <c r="C195" s="23" t="s">
        <v>791</v>
      </c>
      <c r="D195" s="23" t="s">
        <v>419</v>
      </c>
    </row>
    <row r="196" spans="2:4" ht="15" customHeight="1" x14ac:dyDescent="0.25">
      <c r="B196" s="23" t="s">
        <v>792</v>
      </c>
      <c r="C196" s="23" t="s">
        <v>793</v>
      </c>
      <c r="D196" s="23" t="s">
        <v>419</v>
      </c>
    </row>
    <row r="197" spans="2:4" ht="15" customHeight="1" x14ac:dyDescent="0.25">
      <c r="B197" s="23" t="s">
        <v>794</v>
      </c>
      <c r="C197" s="23" t="s">
        <v>795</v>
      </c>
      <c r="D197" s="23" t="s">
        <v>419</v>
      </c>
    </row>
    <row r="198" spans="2:4" ht="15" customHeight="1" x14ac:dyDescent="0.25">
      <c r="B198" s="23" t="s">
        <v>796</v>
      </c>
      <c r="C198" s="23" t="s">
        <v>797</v>
      </c>
      <c r="D198" s="23" t="s">
        <v>419</v>
      </c>
    </row>
    <row r="199" spans="2:4" ht="15" customHeight="1" x14ac:dyDescent="0.25">
      <c r="B199" s="23" t="s">
        <v>798</v>
      </c>
      <c r="C199" s="23" t="s">
        <v>799</v>
      </c>
      <c r="D199" s="23" t="s">
        <v>419</v>
      </c>
    </row>
    <row r="200" spans="2:4" ht="15" customHeight="1" x14ac:dyDescent="0.25">
      <c r="B200" s="23" t="s">
        <v>800</v>
      </c>
      <c r="C200" s="23" t="s">
        <v>801</v>
      </c>
      <c r="D200" s="23" t="s">
        <v>419</v>
      </c>
    </row>
    <row r="201" spans="2:4" ht="15" customHeight="1" x14ac:dyDescent="0.25">
      <c r="B201" s="23" t="s">
        <v>802</v>
      </c>
      <c r="C201" s="23" t="s">
        <v>803</v>
      </c>
      <c r="D201" s="23" t="s">
        <v>419</v>
      </c>
    </row>
    <row r="202" spans="2:4" ht="15" customHeight="1" x14ac:dyDescent="0.25">
      <c r="B202" s="23" t="s">
        <v>804</v>
      </c>
      <c r="C202" s="23" t="s">
        <v>805</v>
      </c>
      <c r="D202" s="23" t="s">
        <v>419</v>
      </c>
    </row>
    <row r="203" spans="2:4" ht="15" customHeight="1" x14ac:dyDescent="0.25">
      <c r="B203" s="23" t="s">
        <v>806</v>
      </c>
      <c r="C203" s="23" t="s">
        <v>807</v>
      </c>
      <c r="D203" s="23" t="s">
        <v>419</v>
      </c>
    </row>
    <row r="204" spans="2:4" ht="15" customHeight="1" x14ac:dyDescent="0.25">
      <c r="B204" s="23" t="s">
        <v>808</v>
      </c>
      <c r="C204" s="23" t="s">
        <v>809</v>
      </c>
      <c r="D204" s="23" t="s">
        <v>419</v>
      </c>
    </row>
    <row r="205" spans="2:4" ht="15" customHeight="1" x14ac:dyDescent="0.25">
      <c r="B205" s="23" t="s">
        <v>810</v>
      </c>
      <c r="C205" s="23" t="s">
        <v>811</v>
      </c>
      <c r="D205" s="23" t="s">
        <v>419</v>
      </c>
    </row>
    <row r="206" spans="2:4" ht="15" customHeight="1" x14ac:dyDescent="0.25">
      <c r="B206" s="23" t="s">
        <v>812</v>
      </c>
      <c r="C206" s="23" t="s">
        <v>813</v>
      </c>
      <c r="D206" s="23" t="s">
        <v>419</v>
      </c>
    </row>
    <row r="207" spans="2:4" ht="15" customHeight="1" x14ac:dyDescent="0.25">
      <c r="B207" s="23" t="s">
        <v>814</v>
      </c>
      <c r="C207" s="23" t="s">
        <v>815</v>
      </c>
      <c r="D207" s="23" t="s">
        <v>419</v>
      </c>
    </row>
    <row r="208" spans="2:4" ht="15" customHeight="1" x14ac:dyDescent="0.25">
      <c r="B208" s="23" t="s">
        <v>816</v>
      </c>
      <c r="C208" s="23" t="s">
        <v>817</v>
      </c>
      <c r="D208" s="23" t="s">
        <v>419</v>
      </c>
    </row>
    <row r="209" spans="2:4" ht="15" customHeight="1" x14ac:dyDescent="0.25">
      <c r="B209" s="23" t="s">
        <v>818</v>
      </c>
      <c r="C209" s="23" t="s">
        <v>819</v>
      </c>
      <c r="D209" s="23" t="s">
        <v>419</v>
      </c>
    </row>
    <row r="210" spans="2:4" ht="15" customHeight="1" x14ac:dyDescent="0.25">
      <c r="B210" s="23" t="s">
        <v>820</v>
      </c>
      <c r="C210" s="23" t="s">
        <v>821</v>
      </c>
      <c r="D210" s="23" t="s">
        <v>419</v>
      </c>
    </row>
    <row r="211" spans="2:4" ht="15" customHeight="1" x14ac:dyDescent="0.25">
      <c r="B211" s="23" t="s">
        <v>822</v>
      </c>
      <c r="C211" s="23" t="s">
        <v>823</v>
      </c>
      <c r="D211" s="23" t="s">
        <v>419</v>
      </c>
    </row>
    <row r="212" spans="2:4" ht="15" customHeight="1" x14ac:dyDescent="0.25">
      <c r="B212" s="23" t="s">
        <v>824</v>
      </c>
      <c r="C212" s="23" t="s">
        <v>825</v>
      </c>
      <c r="D212" s="23" t="s">
        <v>419</v>
      </c>
    </row>
    <row r="213" spans="2:4" ht="15" customHeight="1" x14ac:dyDescent="0.25">
      <c r="B213" s="23" t="s">
        <v>826</v>
      </c>
      <c r="C213" s="23" t="s">
        <v>827</v>
      </c>
      <c r="D213" s="23" t="s">
        <v>411</v>
      </c>
    </row>
    <row r="214" spans="2:4" ht="15" customHeight="1" x14ac:dyDescent="0.25">
      <c r="B214" s="23" t="s">
        <v>828</v>
      </c>
      <c r="C214" s="23" t="s">
        <v>829</v>
      </c>
      <c r="D214" s="23" t="s">
        <v>419</v>
      </c>
    </row>
    <row r="215" spans="2:4" ht="15" customHeight="1" x14ac:dyDescent="0.25">
      <c r="B215" s="23" t="s">
        <v>830</v>
      </c>
      <c r="C215" s="23" t="s">
        <v>831</v>
      </c>
      <c r="D215" s="23" t="s">
        <v>419</v>
      </c>
    </row>
    <row r="216" spans="2:4" ht="15" customHeight="1" x14ac:dyDescent="0.25">
      <c r="B216" s="23" t="s">
        <v>832</v>
      </c>
      <c r="C216" s="23" t="s">
        <v>833</v>
      </c>
      <c r="D216" s="23" t="s">
        <v>419</v>
      </c>
    </row>
    <row r="217" spans="2:4" ht="15" customHeight="1" x14ac:dyDescent="0.25">
      <c r="B217" s="23" t="s">
        <v>834</v>
      </c>
      <c r="C217" s="23" t="s">
        <v>835</v>
      </c>
      <c r="D217" s="23" t="s">
        <v>402</v>
      </c>
    </row>
    <row r="218" spans="2:4" ht="15" customHeight="1" x14ac:dyDescent="0.25">
      <c r="B218" s="23" t="s">
        <v>836</v>
      </c>
      <c r="C218" s="23" t="s">
        <v>837</v>
      </c>
      <c r="D218" s="23" t="s">
        <v>419</v>
      </c>
    </row>
    <row r="219" spans="2:4" ht="15" customHeight="1" x14ac:dyDescent="0.25">
      <c r="B219" s="23" t="s">
        <v>838</v>
      </c>
      <c r="C219" s="23" t="s">
        <v>839</v>
      </c>
      <c r="D219" s="23" t="s">
        <v>363</v>
      </c>
    </row>
    <row r="220" spans="2:4" ht="15" customHeight="1" x14ac:dyDescent="0.25">
      <c r="B220" s="23" t="s">
        <v>840</v>
      </c>
      <c r="C220" s="23" t="s">
        <v>841</v>
      </c>
      <c r="D220" s="23" t="s">
        <v>363</v>
      </c>
    </row>
    <row r="221" spans="2:4" ht="15" customHeight="1" x14ac:dyDescent="0.25">
      <c r="B221" s="23" t="s">
        <v>842</v>
      </c>
      <c r="C221" s="23" t="s">
        <v>843</v>
      </c>
      <c r="D221" s="23" t="s">
        <v>419</v>
      </c>
    </row>
    <row r="222" spans="2:4" ht="15" customHeight="1" x14ac:dyDescent="0.25">
      <c r="B222" s="23" t="s">
        <v>844</v>
      </c>
      <c r="C222" s="23" t="s">
        <v>845</v>
      </c>
      <c r="D222" s="23" t="s">
        <v>419</v>
      </c>
    </row>
    <row r="223" spans="2:4" ht="15" customHeight="1" x14ac:dyDescent="0.25">
      <c r="B223" s="23" t="s">
        <v>846</v>
      </c>
      <c r="C223" s="23" t="s">
        <v>847</v>
      </c>
      <c r="D223" s="23" t="s">
        <v>419</v>
      </c>
    </row>
    <row r="224" spans="2:4" ht="15" customHeight="1" x14ac:dyDescent="0.25">
      <c r="B224" s="23" t="s">
        <v>848</v>
      </c>
      <c r="C224" s="23" t="s">
        <v>849</v>
      </c>
      <c r="D224" s="23" t="s">
        <v>402</v>
      </c>
    </row>
    <row r="225" spans="2:4" ht="15" customHeight="1" x14ac:dyDescent="0.25">
      <c r="B225" s="23" t="s">
        <v>850</v>
      </c>
      <c r="C225" s="23" t="s">
        <v>851</v>
      </c>
      <c r="D225" s="23" t="s">
        <v>419</v>
      </c>
    </row>
    <row r="226" spans="2:4" ht="15" customHeight="1" x14ac:dyDescent="0.25">
      <c r="B226" s="23" t="s">
        <v>852</v>
      </c>
      <c r="C226" s="23" t="s">
        <v>853</v>
      </c>
      <c r="D226" s="23" t="s">
        <v>363</v>
      </c>
    </row>
    <row r="227" spans="2:4" ht="15" customHeight="1" x14ac:dyDescent="0.25">
      <c r="B227" s="23" t="s">
        <v>854</v>
      </c>
      <c r="C227" s="23" t="s">
        <v>855</v>
      </c>
      <c r="D227" s="23" t="s">
        <v>402</v>
      </c>
    </row>
    <row r="228" spans="2:4" ht="15" customHeight="1" x14ac:dyDescent="0.25">
      <c r="B228" s="23" t="s">
        <v>856</v>
      </c>
      <c r="C228" s="23" t="s">
        <v>857</v>
      </c>
      <c r="D228" s="23" t="s">
        <v>419</v>
      </c>
    </row>
    <row r="229" spans="2:4" ht="15" customHeight="1" x14ac:dyDescent="0.25">
      <c r="B229" s="23" t="s">
        <v>858</v>
      </c>
      <c r="C229" s="23" t="s">
        <v>859</v>
      </c>
      <c r="D229" s="23"/>
    </row>
    <row r="230" spans="2:4" ht="15" customHeight="1" x14ac:dyDescent="0.25">
      <c r="B230" s="23" t="s">
        <v>860</v>
      </c>
      <c r="C230" s="23" t="s">
        <v>861</v>
      </c>
      <c r="D230" s="23" t="s">
        <v>419</v>
      </c>
    </row>
    <row r="231" spans="2:4" ht="15" customHeight="1" x14ac:dyDescent="0.25">
      <c r="B231" s="23" t="s">
        <v>862</v>
      </c>
      <c r="C231" s="23" t="s">
        <v>863</v>
      </c>
      <c r="D231" s="23" t="s">
        <v>419</v>
      </c>
    </row>
    <row r="232" spans="2:4" ht="15" customHeight="1" x14ac:dyDescent="0.25">
      <c r="B232" s="23" t="s">
        <v>864</v>
      </c>
      <c r="C232" s="23" t="s">
        <v>865</v>
      </c>
      <c r="D232" s="23" t="s">
        <v>419</v>
      </c>
    </row>
    <row r="233" spans="2:4" ht="15" customHeight="1" x14ac:dyDescent="0.25">
      <c r="B233" s="23" t="s">
        <v>866</v>
      </c>
      <c r="C233" s="23" t="s">
        <v>867</v>
      </c>
      <c r="D233" s="23" t="s">
        <v>419</v>
      </c>
    </row>
    <row r="234" spans="2:4" ht="15" customHeight="1" x14ac:dyDescent="0.25">
      <c r="B234" s="23" t="s">
        <v>868</v>
      </c>
      <c r="C234" s="23" t="s">
        <v>869</v>
      </c>
      <c r="D234" s="23" t="s">
        <v>419</v>
      </c>
    </row>
    <row r="235" spans="2:4" ht="15" customHeight="1" x14ac:dyDescent="0.25">
      <c r="B235" s="23" t="s">
        <v>870</v>
      </c>
      <c r="C235" s="23" t="s">
        <v>871</v>
      </c>
      <c r="D235" s="23" t="s">
        <v>419</v>
      </c>
    </row>
    <row r="236" spans="2:4" ht="15" customHeight="1" x14ac:dyDescent="0.25">
      <c r="B236" s="23" t="s">
        <v>872</v>
      </c>
      <c r="C236" s="23" t="s">
        <v>873</v>
      </c>
      <c r="D236" s="23" t="s">
        <v>419</v>
      </c>
    </row>
    <row r="237" spans="2:4" ht="15" customHeight="1" x14ac:dyDescent="0.25">
      <c r="B237" s="23" t="s">
        <v>874</v>
      </c>
      <c r="C237" s="23" t="s">
        <v>875</v>
      </c>
      <c r="D237" s="23" t="s">
        <v>419</v>
      </c>
    </row>
    <row r="238" spans="2:4" ht="15" customHeight="1" x14ac:dyDescent="0.25">
      <c r="B238" s="23" t="s">
        <v>876</v>
      </c>
      <c r="C238" s="23" t="s">
        <v>877</v>
      </c>
      <c r="D238" s="23" t="s">
        <v>419</v>
      </c>
    </row>
    <row r="239" spans="2:4" ht="15" customHeight="1" x14ac:dyDescent="0.25">
      <c r="B239" s="23" t="s">
        <v>878</v>
      </c>
      <c r="C239" s="23" t="s">
        <v>879</v>
      </c>
      <c r="D239" s="23" t="s">
        <v>402</v>
      </c>
    </row>
    <row r="240" spans="2:4" ht="15" customHeight="1" x14ac:dyDescent="0.25">
      <c r="B240" s="23" t="s">
        <v>880</v>
      </c>
      <c r="C240" s="23" t="s">
        <v>881</v>
      </c>
      <c r="D240" s="23" t="s">
        <v>419</v>
      </c>
    </row>
    <row r="241" spans="2:4" ht="15" customHeight="1" x14ac:dyDescent="0.25">
      <c r="B241" s="23" t="s">
        <v>882</v>
      </c>
      <c r="C241" s="23" t="s">
        <v>883</v>
      </c>
      <c r="D241" s="23" t="s">
        <v>419</v>
      </c>
    </row>
    <row r="242" spans="2:4" ht="15" customHeight="1" x14ac:dyDescent="0.25">
      <c r="B242" s="23" t="s">
        <v>884</v>
      </c>
      <c r="C242" s="23" t="s">
        <v>885</v>
      </c>
      <c r="D242" s="23" t="s">
        <v>419</v>
      </c>
    </row>
    <row r="243" spans="2:4" ht="15" customHeight="1" x14ac:dyDescent="0.25">
      <c r="B243" s="23" t="s">
        <v>886</v>
      </c>
      <c r="C243" s="23" t="s">
        <v>887</v>
      </c>
      <c r="D243" s="23" t="s">
        <v>419</v>
      </c>
    </row>
    <row r="244" spans="2:4" ht="15" customHeight="1" x14ac:dyDescent="0.25">
      <c r="B244" s="23" t="s">
        <v>888</v>
      </c>
      <c r="C244" s="23" t="s">
        <v>889</v>
      </c>
      <c r="D244" s="23" t="s">
        <v>419</v>
      </c>
    </row>
    <row r="245" spans="2:4" ht="15" customHeight="1" x14ac:dyDescent="0.25">
      <c r="B245" s="23" t="s">
        <v>890</v>
      </c>
      <c r="C245" s="23" t="s">
        <v>891</v>
      </c>
      <c r="D245" s="23" t="s">
        <v>419</v>
      </c>
    </row>
    <row r="246" spans="2:4" ht="15" customHeight="1" x14ac:dyDescent="0.25">
      <c r="B246" s="23" t="s">
        <v>892</v>
      </c>
      <c r="C246" s="23" t="s">
        <v>893</v>
      </c>
      <c r="D246" s="23" t="s">
        <v>419</v>
      </c>
    </row>
    <row r="247" spans="2:4" ht="15" customHeight="1" x14ac:dyDescent="0.25">
      <c r="B247" s="23" t="s">
        <v>894</v>
      </c>
      <c r="C247" s="23" t="s">
        <v>895</v>
      </c>
      <c r="D247" s="23" t="s">
        <v>419</v>
      </c>
    </row>
    <row r="248" spans="2:4" ht="15" customHeight="1" x14ac:dyDescent="0.25">
      <c r="B248" s="23" t="s">
        <v>896</v>
      </c>
      <c r="C248" s="23" t="s">
        <v>897</v>
      </c>
      <c r="D248" s="23" t="s">
        <v>419</v>
      </c>
    </row>
    <row r="249" spans="2:4" ht="15" customHeight="1" x14ac:dyDescent="0.25">
      <c r="B249" s="23" t="s">
        <v>898</v>
      </c>
      <c r="C249" s="23" t="s">
        <v>899</v>
      </c>
      <c r="D249" s="23" t="s">
        <v>900</v>
      </c>
    </row>
    <row r="250" spans="2:4" ht="15" customHeight="1" x14ac:dyDescent="0.25">
      <c r="B250" s="23" t="s">
        <v>901</v>
      </c>
      <c r="C250" s="23" t="s">
        <v>902</v>
      </c>
      <c r="D250" s="23" t="s">
        <v>363</v>
      </c>
    </row>
    <row r="251" spans="2:4" ht="15" customHeight="1" x14ac:dyDescent="0.25">
      <c r="B251" s="23" t="s">
        <v>903</v>
      </c>
      <c r="C251" s="23" t="s">
        <v>904</v>
      </c>
      <c r="D251" s="23"/>
    </row>
    <row r="252" spans="2:4" ht="15" customHeight="1" x14ac:dyDescent="0.25">
      <c r="B252" s="23" t="s">
        <v>905</v>
      </c>
      <c r="C252" s="23" t="s">
        <v>906</v>
      </c>
      <c r="D252" s="23"/>
    </row>
    <row r="253" spans="2:4" ht="15" customHeight="1" x14ac:dyDescent="0.25">
      <c r="B253" s="23" t="s">
        <v>907</v>
      </c>
      <c r="C253" s="23" t="s">
        <v>908</v>
      </c>
      <c r="D253" s="23"/>
    </row>
    <row r="254" spans="2:4" ht="15" customHeight="1" x14ac:dyDescent="0.25">
      <c r="B254" s="23" t="s">
        <v>909</v>
      </c>
      <c r="C254" s="23" t="s">
        <v>910</v>
      </c>
      <c r="D254" s="23"/>
    </row>
    <row r="255" spans="2:4" ht="15" customHeight="1" x14ac:dyDescent="0.25">
      <c r="B255" s="23" t="s">
        <v>911</v>
      </c>
      <c r="C255" s="23" t="s">
        <v>912</v>
      </c>
      <c r="D255" s="23"/>
    </row>
    <row r="256" spans="2:4" ht="15" customHeight="1" x14ac:dyDescent="0.25">
      <c r="B256" s="23" t="s">
        <v>913</v>
      </c>
      <c r="C256" s="23" t="s">
        <v>914</v>
      </c>
      <c r="D256" s="23" t="s">
        <v>419</v>
      </c>
    </row>
    <row r="257" spans="2:4" ht="15" customHeight="1" x14ac:dyDescent="0.25">
      <c r="B257" s="23" t="s">
        <v>915</v>
      </c>
      <c r="C257" s="23" t="s">
        <v>916</v>
      </c>
      <c r="D257" s="23" t="s">
        <v>419</v>
      </c>
    </row>
    <row r="258" spans="2:4" ht="15" customHeight="1" x14ac:dyDescent="0.25">
      <c r="B258" s="23" t="s">
        <v>917</v>
      </c>
      <c r="C258" s="23" t="s">
        <v>918</v>
      </c>
      <c r="D258" s="23" t="s">
        <v>419</v>
      </c>
    </row>
    <row r="259" spans="2:4" ht="15" customHeight="1" x14ac:dyDescent="0.25">
      <c r="B259" s="23" t="s">
        <v>919</v>
      </c>
      <c r="C259" s="23" t="s">
        <v>920</v>
      </c>
      <c r="D259" s="23" t="s">
        <v>419</v>
      </c>
    </row>
    <row r="260" spans="2:4" ht="15" customHeight="1" x14ac:dyDescent="0.25">
      <c r="B260" s="23" t="s">
        <v>921</v>
      </c>
      <c r="C260" s="23" t="s">
        <v>922</v>
      </c>
      <c r="D260" s="23" t="s">
        <v>419</v>
      </c>
    </row>
    <row r="261" spans="2:4" ht="15" customHeight="1" x14ac:dyDescent="0.25">
      <c r="B261" s="23" t="s">
        <v>923</v>
      </c>
      <c r="C261" s="23" t="s">
        <v>924</v>
      </c>
      <c r="D261" s="23" t="s">
        <v>419</v>
      </c>
    </row>
    <row r="262" spans="2:4" ht="15" customHeight="1" x14ac:dyDescent="0.25">
      <c r="B262" s="23" t="s">
        <v>925</v>
      </c>
      <c r="C262" s="23" t="s">
        <v>926</v>
      </c>
      <c r="D262" s="23" t="s">
        <v>419</v>
      </c>
    </row>
    <row r="263" spans="2:4" ht="15" customHeight="1" x14ac:dyDescent="0.25">
      <c r="B263" s="23" t="s">
        <v>927</v>
      </c>
      <c r="C263" s="23" t="s">
        <v>928</v>
      </c>
      <c r="D263" s="23" t="s">
        <v>419</v>
      </c>
    </row>
    <row r="264" spans="2:4" ht="15" customHeight="1" x14ac:dyDescent="0.25">
      <c r="B264" s="23" t="s">
        <v>929</v>
      </c>
      <c r="C264" s="23" t="s">
        <v>930</v>
      </c>
      <c r="D264" s="23" t="s">
        <v>419</v>
      </c>
    </row>
    <row r="265" spans="2:4" ht="15" customHeight="1" x14ac:dyDescent="0.25">
      <c r="B265" s="23" t="s">
        <v>931</v>
      </c>
      <c r="C265" s="23" t="s">
        <v>932</v>
      </c>
      <c r="D265" s="23" t="s">
        <v>419</v>
      </c>
    </row>
    <row r="266" spans="2:4" ht="15" customHeight="1" x14ac:dyDescent="0.25">
      <c r="B266" s="23" t="s">
        <v>933</v>
      </c>
      <c r="C266" s="23" t="s">
        <v>934</v>
      </c>
      <c r="D266" s="23" t="s">
        <v>419</v>
      </c>
    </row>
    <row r="267" spans="2:4" ht="15" customHeight="1" x14ac:dyDescent="0.25">
      <c r="B267" s="23" t="s">
        <v>935</v>
      </c>
      <c r="C267" s="23" t="s">
        <v>936</v>
      </c>
      <c r="D267" s="23" t="s">
        <v>419</v>
      </c>
    </row>
    <row r="268" spans="2:4" ht="15" customHeight="1" x14ac:dyDescent="0.25">
      <c r="B268" s="23" t="s">
        <v>937</v>
      </c>
      <c r="C268" s="23" t="s">
        <v>938</v>
      </c>
      <c r="D268" s="23" t="s">
        <v>419</v>
      </c>
    </row>
    <row r="269" spans="2:4" ht="15" customHeight="1" x14ac:dyDescent="0.25">
      <c r="B269" s="23" t="s">
        <v>939</v>
      </c>
      <c r="C269" s="23" t="s">
        <v>940</v>
      </c>
      <c r="D269" s="23" t="s">
        <v>419</v>
      </c>
    </row>
    <row r="270" spans="2:4" ht="15" customHeight="1" x14ac:dyDescent="0.25">
      <c r="B270" s="23" t="s">
        <v>941</v>
      </c>
      <c r="C270" s="23" t="s">
        <v>942</v>
      </c>
      <c r="D270" s="23" t="s">
        <v>419</v>
      </c>
    </row>
    <row r="271" spans="2:4" ht="15" customHeight="1" x14ac:dyDescent="0.25">
      <c r="B271" s="23" t="s">
        <v>943</v>
      </c>
      <c r="C271" s="23" t="s">
        <v>944</v>
      </c>
      <c r="D271" s="23" t="s">
        <v>419</v>
      </c>
    </row>
    <row r="272" spans="2:4" ht="15" customHeight="1" x14ac:dyDescent="0.25">
      <c r="B272" s="23" t="s">
        <v>945</v>
      </c>
      <c r="C272" s="23" t="s">
        <v>946</v>
      </c>
      <c r="D272" s="23" t="s">
        <v>419</v>
      </c>
    </row>
    <row r="273" spans="2:4" ht="15" customHeight="1" x14ac:dyDescent="0.25">
      <c r="B273" s="23" t="s">
        <v>947</v>
      </c>
      <c r="C273" s="23" t="s">
        <v>948</v>
      </c>
      <c r="D273" s="23" t="s">
        <v>419</v>
      </c>
    </row>
    <row r="274" spans="2:4" ht="15" customHeight="1" x14ac:dyDescent="0.25">
      <c r="B274" s="23" t="s">
        <v>949</v>
      </c>
      <c r="C274" s="23" t="s">
        <v>950</v>
      </c>
      <c r="D274" s="23" t="s">
        <v>405</v>
      </c>
    </row>
    <row r="275" spans="2:4" ht="15" customHeight="1" x14ac:dyDescent="0.25">
      <c r="B275" s="23" t="s">
        <v>951</v>
      </c>
      <c r="C275" s="23" t="s">
        <v>952</v>
      </c>
      <c r="D275" s="23" t="s">
        <v>419</v>
      </c>
    </row>
    <row r="276" spans="2:4" ht="15" customHeight="1" x14ac:dyDescent="0.25">
      <c r="B276" s="23" t="s">
        <v>953</v>
      </c>
      <c r="C276" s="23" t="s">
        <v>954</v>
      </c>
      <c r="D276" s="23" t="s">
        <v>419</v>
      </c>
    </row>
    <row r="277" spans="2:4" ht="15" customHeight="1" x14ac:dyDescent="0.25">
      <c r="B277" s="23" t="s">
        <v>955</v>
      </c>
      <c r="C277" s="23" t="s">
        <v>956</v>
      </c>
      <c r="D277" s="23" t="s">
        <v>419</v>
      </c>
    </row>
    <row r="278" spans="2:4" ht="15" customHeight="1" x14ac:dyDescent="0.25">
      <c r="B278" s="23" t="s">
        <v>957</v>
      </c>
      <c r="C278" s="23" t="s">
        <v>958</v>
      </c>
      <c r="D278" s="23" t="s">
        <v>419</v>
      </c>
    </row>
    <row r="279" spans="2:4" ht="15" customHeight="1" x14ac:dyDescent="0.25">
      <c r="B279" s="23" t="s">
        <v>959</v>
      </c>
      <c r="C279" s="23" t="s">
        <v>960</v>
      </c>
      <c r="D279" s="23" t="s">
        <v>405</v>
      </c>
    </row>
    <row r="280" spans="2:4" ht="15" customHeight="1" x14ac:dyDescent="0.25">
      <c r="B280" s="23" t="s">
        <v>961</v>
      </c>
      <c r="C280" s="23" t="s">
        <v>962</v>
      </c>
      <c r="D280" s="23" t="s">
        <v>419</v>
      </c>
    </row>
    <row r="281" spans="2:4" ht="15" customHeight="1" x14ac:dyDescent="0.25">
      <c r="B281" s="23" t="s">
        <v>963</v>
      </c>
      <c r="C281" s="23" t="s">
        <v>964</v>
      </c>
      <c r="D281" s="23" t="s">
        <v>419</v>
      </c>
    </row>
    <row r="282" spans="2:4" ht="15" customHeight="1" x14ac:dyDescent="0.25">
      <c r="B282" s="23" t="s">
        <v>965</v>
      </c>
      <c r="C282" s="23" t="s">
        <v>966</v>
      </c>
      <c r="D282" s="23" t="s">
        <v>419</v>
      </c>
    </row>
    <row r="283" spans="2:4" ht="15" customHeight="1" x14ac:dyDescent="0.25">
      <c r="B283" s="23" t="s">
        <v>967</v>
      </c>
      <c r="C283" s="23" t="s">
        <v>968</v>
      </c>
      <c r="D283" s="23" t="s">
        <v>419</v>
      </c>
    </row>
    <row r="284" spans="2:4" ht="15" customHeight="1" x14ac:dyDescent="0.25">
      <c r="B284" s="23" t="s">
        <v>969</v>
      </c>
      <c r="C284" s="23" t="s">
        <v>970</v>
      </c>
      <c r="D284" s="23" t="s">
        <v>363</v>
      </c>
    </row>
    <row r="285" spans="2:4" ht="15" customHeight="1" x14ac:dyDescent="0.25">
      <c r="B285" s="23" t="s">
        <v>971</v>
      </c>
      <c r="C285" s="23" t="s">
        <v>972</v>
      </c>
      <c r="D285" s="23" t="s">
        <v>419</v>
      </c>
    </row>
    <row r="286" spans="2:4" ht="15" customHeight="1" x14ac:dyDescent="0.25">
      <c r="B286" s="23" t="s">
        <v>973</v>
      </c>
      <c r="C286" s="23" t="s">
        <v>974</v>
      </c>
      <c r="D286" s="23" t="s">
        <v>419</v>
      </c>
    </row>
    <row r="287" spans="2:4" ht="15" customHeight="1" x14ac:dyDescent="0.25">
      <c r="B287" s="23" t="s">
        <v>975</v>
      </c>
      <c r="C287" s="23" t="s">
        <v>976</v>
      </c>
      <c r="D287" s="23" t="s">
        <v>419</v>
      </c>
    </row>
    <row r="288" spans="2:4" ht="15" customHeight="1" x14ac:dyDescent="0.25">
      <c r="B288" s="23" t="s">
        <v>977</v>
      </c>
      <c r="C288" s="23" t="s">
        <v>978</v>
      </c>
      <c r="D288" s="23" t="s">
        <v>419</v>
      </c>
    </row>
    <row r="289" spans="2:4" ht="15" customHeight="1" x14ac:dyDescent="0.25">
      <c r="B289" s="23" t="s">
        <v>979</v>
      </c>
      <c r="C289" s="23" t="s">
        <v>980</v>
      </c>
      <c r="D289" s="23" t="s">
        <v>405</v>
      </c>
    </row>
    <row r="290" spans="2:4" ht="15" customHeight="1" x14ac:dyDescent="0.25">
      <c r="B290" s="23" t="s">
        <v>981</v>
      </c>
      <c r="C290" s="23" t="s">
        <v>982</v>
      </c>
      <c r="D290" s="23" t="s">
        <v>419</v>
      </c>
    </row>
    <row r="291" spans="2:4" ht="15" customHeight="1" x14ac:dyDescent="0.25">
      <c r="B291" s="23" t="s">
        <v>983</v>
      </c>
      <c r="C291" s="23" t="s">
        <v>984</v>
      </c>
      <c r="D291" s="23" t="s">
        <v>419</v>
      </c>
    </row>
    <row r="292" spans="2:4" ht="15" customHeight="1" x14ac:dyDescent="0.25">
      <c r="B292" s="23" t="s">
        <v>985</v>
      </c>
      <c r="C292" s="23" t="s">
        <v>986</v>
      </c>
      <c r="D292" s="23" t="s">
        <v>419</v>
      </c>
    </row>
    <row r="293" spans="2:4" ht="15" customHeight="1" x14ac:dyDescent="0.25">
      <c r="B293" s="23" t="s">
        <v>987</v>
      </c>
      <c r="C293" s="23" t="s">
        <v>988</v>
      </c>
      <c r="D293" s="23" t="s">
        <v>419</v>
      </c>
    </row>
    <row r="294" spans="2:4" ht="15" customHeight="1" x14ac:dyDescent="0.25">
      <c r="B294" s="23" t="s">
        <v>989</v>
      </c>
      <c r="C294" s="23" t="s">
        <v>990</v>
      </c>
      <c r="D294" s="23" t="s">
        <v>991</v>
      </c>
    </row>
    <row r="295" spans="2:4" ht="15" customHeight="1" x14ac:dyDescent="0.25">
      <c r="B295" s="23" t="s">
        <v>992</v>
      </c>
      <c r="C295" s="23" t="s">
        <v>993</v>
      </c>
      <c r="D295" s="23" t="s">
        <v>419</v>
      </c>
    </row>
    <row r="296" spans="2:4" ht="15" customHeight="1" x14ac:dyDescent="0.25">
      <c r="B296" s="23" t="s">
        <v>994</v>
      </c>
      <c r="C296" s="23" t="s">
        <v>995</v>
      </c>
      <c r="D296" s="23"/>
    </row>
    <row r="297" spans="2:4" ht="15" customHeight="1" x14ac:dyDescent="0.25">
      <c r="B297" s="23" t="s">
        <v>996</v>
      </c>
      <c r="C297" s="23" t="s">
        <v>997</v>
      </c>
      <c r="D297" s="23"/>
    </row>
    <row r="298" spans="2:4" ht="15" customHeight="1" x14ac:dyDescent="0.25">
      <c r="B298" s="23" t="s">
        <v>998</v>
      </c>
      <c r="C298" s="23" t="s">
        <v>999</v>
      </c>
      <c r="D298" s="23" t="s">
        <v>419</v>
      </c>
    </row>
    <row r="299" spans="2:4" ht="15" customHeight="1" x14ac:dyDescent="0.25">
      <c r="B299" s="23" t="s">
        <v>1000</v>
      </c>
      <c r="C299" s="23" t="s">
        <v>1001</v>
      </c>
      <c r="D299" s="23" t="s">
        <v>419</v>
      </c>
    </row>
    <row r="300" spans="2:4" ht="15" customHeight="1" x14ac:dyDescent="0.25">
      <c r="B300" s="23" t="s">
        <v>1002</v>
      </c>
      <c r="C300" s="23" t="s">
        <v>1003</v>
      </c>
      <c r="D300" s="23"/>
    </row>
    <row r="301" spans="2:4" ht="15" customHeight="1" x14ac:dyDescent="0.25">
      <c r="B301" s="23" t="s">
        <v>1004</v>
      </c>
      <c r="C301" s="23" t="s">
        <v>1005</v>
      </c>
      <c r="D301" s="23" t="s">
        <v>419</v>
      </c>
    </row>
    <row r="302" spans="2:4" ht="15" customHeight="1" x14ac:dyDescent="0.25">
      <c r="B302" s="23" t="s">
        <v>1006</v>
      </c>
      <c r="C302" s="23" t="s">
        <v>1007</v>
      </c>
      <c r="D302" s="23" t="s">
        <v>419</v>
      </c>
    </row>
    <row r="303" spans="2:4" ht="15" customHeight="1" x14ac:dyDescent="0.25">
      <c r="B303" s="23" t="s">
        <v>1008</v>
      </c>
      <c r="C303" s="23" t="s">
        <v>1009</v>
      </c>
      <c r="D303" s="23" t="s">
        <v>419</v>
      </c>
    </row>
    <row r="304" spans="2:4" ht="15" customHeight="1" x14ac:dyDescent="0.25">
      <c r="B304" s="23" t="s">
        <v>1010</v>
      </c>
      <c r="C304" s="23" t="s">
        <v>1011</v>
      </c>
      <c r="D304" s="23" t="s">
        <v>402</v>
      </c>
    </row>
    <row r="305" spans="2:4" ht="15" customHeight="1" x14ac:dyDescent="0.25">
      <c r="B305" s="23" t="s">
        <v>1012</v>
      </c>
      <c r="C305" s="23" t="s">
        <v>1013</v>
      </c>
      <c r="D305" s="23" t="s">
        <v>363</v>
      </c>
    </row>
    <row r="306" spans="2:4" ht="15" customHeight="1" x14ac:dyDescent="0.25">
      <c r="B306" s="23" t="s">
        <v>1014</v>
      </c>
      <c r="C306" s="23" t="s">
        <v>1015</v>
      </c>
      <c r="D306" s="23" t="s">
        <v>419</v>
      </c>
    </row>
    <row r="307" spans="2:4" ht="15" customHeight="1" x14ac:dyDescent="0.25">
      <c r="B307" s="23" t="s">
        <v>1016</v>
      </c>
      <c r="C307" s="23" t="s">
        <v>1017</v>
      </c>
      <c r="D307" s="23" t="s">
        <v>419</v>
      </c>
    </row>
    <row r="308" spans="2:4" ht="15" customHeight="1" x14ac:dyDescent="0.25">
      <c r="B308" s="23" t="s">
        <v>1018</v>
      </c>
      <c r="C308" s="23" t="s">
        <v>1019</v>
      </c>
      <c r="D308" s="23" t="s">
        <v>419</v>
      </c>
    </row>
    <row r="309" spans="2:4" ht="15" customHeight="1" x14ac:dyDescent="0.25">
      <c r="B309" s="23" t="s">
        <v>1020</v>
      </c>
      <c r="C309" s="23" t="s">
        <v>1021</v>
      </c>
      <c r="D309" s="23" t="s">
        <v>419</v>
      </c>
    </row>
    <row r="310" spans="2:4" ht="15" customHeight="1" x14ac:dyDescent="0.25">
      <c r="B310" s="23" t="s">
        <v>1022</v>
      </c>
      <c r="C310" s="23" t="s">
        <v>1023</v>
      </c>
      <c r="D310" s="23" t="s">
        <v>419</v>
      </c>
    </row>
    <row r="311" spans="2:4" ht="15" customHeight="1" x14ac:dyDescent="0.25">
      <c r="B311" s="23" t="s">
        <v>1024</v>
      </c>
      <c r="C311" s="23" t="s">
        <v>1025</v>
      </c>
      <c r="D311" s="23" t="s">
        <v>419</v>
      </c>
    </row>
    <row r="312" spans="2:4" ht="15" customHeight="1" x14ac:dyDescent="0.25">
      <c r="B312" s="23" t="s">
        <v>1026</v>
      </c>
      <c r="C312" s="23" t="s">
        <v>1027</v>
      </c>
      <c r="D312" s="23" t="s">
        <v>419</v>
      </c>
    </row>
    <row r="313" spans="2:4" ht="15" customHeight="1" x14ac:dyDescent="0.25">
      <c r="B313" s="23" t="s">
        <v>1028</v>
      </c>
      <c r="C313" s="23" t="s">
        <v>1029</v>
      </c>
      <c r="D313" s="23" t="s">
        <v>419</v>
      </c>
    </row>
    <row r="314" spans="2:4" ht="15" customHeight="1" x14ac:dyDescent="0.25">
      <c r="B314" s="23" t="s">
        <v>1030</v>
      </c>
      <c r="C314" s="23" t="s">
        <v>1031</v>
      </c>
      <c r="D314" s="23" t="s">
        <v>1032</v>
      </c>
    </row>
    <row r="315" spans="2:4" ht="15" customHeight="1" x14ac:dyDescent="0.25">
      <c r="B315" s="23" t="s">
        <v>1033</v>
      </c>
      <c r="C315" s="23" t="s">
        <v>1034</v>
      </c>
      <c r="D315" s="23" t="s">
        <v>419</v>
      </c>
    </row>
    <row r="316" spans="2:4" ht="15" customHeight="1" x14ac:dyDescent="0.25">
      <c r="B316" s="23" t="s">
        <v>1035</v>
      </c>
      <c r="C316" s="23" t="s">
        <v>1036</v>
      </c>
      <c r="D316" s="23" t="s">
        <v>419</v>
      </c>
    </row>
    <row r="317" spans="2:4" ht="15" customHeight="1" x14ac:dyDescent="0.25">
      <c r="B317" s="23" t="s">
        <v>1037</v>
      </c>
      <c r="C317" s="23" t="s">
        <v>1038</v>
      </c>
      <c r="D317" s="23" t="s">
        <v>419</v>
      </c>
    </row>
    <row r="318" spans="2:4" ht="15" customHeight="1" x14ac:dyDescent="0.25">
      <c r="B318" s="23" t="s">
        <v>1039</v>
      </c>
      <c r="C318" s="23" t="s">
        <v>1040</v>
      </c>
      <c r="D318" s="23" t="s">
        <v>419</v>
      </c>
    </row>
    <row r="319" spans="2:4" ht="15" customHeight="1" x14ac:dyDescent="0.25">
      <c r="B319" s="23" t="s">
        <v>1041</v>
      </c>
      <c r="C319" s="23" t="s">
        <v>1042</v>
      </c>
      <c r="D319" s="23" t="s">
        <v>419</v>
      </c>
    </row>
    <row r="320" spans="2:4" ht="15" customHeight="1" x14ac:dyDescent="0.25">
      <c r="B320" s="23" t="s">
        <v>1043</v>
      </c>
      <c r="C320" s="23" t="s">
        <v>1044</v>
      </c>
      <c r="D320" s="23"/>
    </row>
    <row r="321" spans="2:4" ht="15" customHeight="1" x14ac:dyDescent="0.25">
      <c r="B321" s="23" t="s">
        <v>1045</v>
      </c>
      <c r="C321" s="23" t="s">
        <v>1046</v>
      </c>
      <c r="D321" s="23" t="s">
        <v>419</v>
      </c>
    </row>
    <row r="322" spans="2:4" ht="15" customHeight="1" x14ac:dyDescent="0.25">
      <c r="B322" s="23" t="s">
        <v>1047</v>
      </c>
      <c r="C322" s="23" t="s">
        <v>1048</v>
      </c>
      <c r="D322" s="23" t="s">
        <v>419</v>
      </c>
    </row>
    <row r="323" spans="2:4" ht="15" customHeight="1" x14ac:dyDescent="0.25">
      <c r="B323" s="23" t="s">
        <v>1049</v>
      </c>
      <c r="C323" s="23" t="s">
        <v>1050</v>
      </c>
      <c r="D323" s="23" t="s">
        <v>419</v>
      </c>
    </row>
    <row r="324" spans="2:4" ht="15" customHeight="1" x14ac:dyDescent="0.25">
      <c r="B324" s="23" t="s">
        <v>1051</v>
      </c>
      <c r="C324" s="23" t="s">
        <v>1052</v>
      </c>
      <c r="D324" s="23" t="s">
        <v>419</v>
      </c>
    </row>
    <row r="325" spans="2:4" ht="15" customHeight="1" x14ac:dyDescent="0.25">
      <c r="B325" s="23" t="s">
        <v>1053</v>
      </c>
      <c r="C325" s="23" t="s">
        <v>1054</v>
      </c>
      <c r="D325" s="23" t="s">
        <v>419</v>
      </c>
    </row>
    <row r="326" spans="2:4" ht="15" customHeight="1" x14ac:dyDescent="0.25">
      <c r="B326" s="23" t="s">
        <v>1055</v>
      </c>
      <c r="C326" s="23" t="s">
        <v>1056</v>
      </c>
      <c r="D326" s="23" t="s">
        <v>419</v>
      </c>
    </row>
    <row r="327" spans="2:4" ht="15" customHeight="1" x14ac:dyDescent="0.25">
      <c r="B327" s="23" t="s">
        <v>1057</v>
      </c>
      <c r="C327" s="23" t="s">
        <v>1058</v>
      </c>
      <c r="D327" s="23" t="s">
        <v>419</v>
      </c>
    </row>
    <row r="328" spans="2:4" ht="15" customHeight="1" x14ac:dyDescent="0.25">
      <c r="B328" s="23" t="s">
        <v>1059</v>
      </c>
      <c r="C328" s="23" t="s">
        <v>1060</v>
      </c>
      <c r="D328" s="23" t="s">
        <v>419</v>
      </c>
    </row>
    <row r="329" spans="2:4" ht="15" customHeight="1" x14ac:dyDescent="0.25">
      <c r="B329" s="23" t="s">
        <v>1061</v>
      </c>
      <c r="C329" s="23" t="s">
        <v>1062</v>
      </c>
      <c r="D329" s="23" t="s">
        <v>419</v>
      </c>
    </row>
    <row r="330" spans="2:4" ht="15" customHeight="1" x14ac:dyDescent="0.25">
      <c r="B330" s="23" t="s">
        <v>1063</v>
      </c>
      <c r="C330" s="23" t="s">
        <v>1064</v>
      </c>
      <c r="D330" s="23" t="s">
        <v>419</v>
      </c>
    </row>
    <row r="331" spans="2:4" ht="15" customHeight="1" x14ac:dyDescent="0.25">
      <c r="B331" s="23" t="s">
        <v>1065</v>
      </c>
      <c r="C331" s="23" t="s">
        <v>1066</v>
      </c>
      <c r="D331" s="23" t="s">
        <v>419</v>
      </c>
    </row>
    <row r="332" spans="2:4" ht="15" customHeight="1" x14ac:dyDescent="0.25">
      <c r="B332" s="23" t="s">
        <v>1067</v>
      </c>
      <c r="C332" s="23" t="s">
        <v>1068</v>
      </c>
      <c r="D332" s="23" t="s">
        <v>411</v>
      </c>
    </row>
    <row r="333" spans="2:4" ht="15" customHeight="1" x14ac:dyDescent="0.25">
      <c r="B333" s="23" t="s">
        <v>1069</v>
      </c>
      <c r="C333" s="23" t="s">
        <v>1070</v>
      </c>
      <c r="D333" s="23" t="s">
        <v>419</v>
      </c>
    </row>
    <row r="334" spans="2:4" ht="15" customHeight="1" x14ac:dyDescent="0.25">
      <c r="B334" s="23" t="s">
        <v>1071</v>
      </c>
      <c r="C334" s="23" t="s">
        <v>1072</v>
      </c>
      <c r="D334" s="23" t="s">
        <v>419</v>
      </c>
    </row>
    <row r="335" spans="2:4" ht="15" customHeight="1" x14ac:dyDescent="0.25">
      <c r="B335" s="23" t="s">
        <v>1073</v>
      </c>
      <c r="C335" s="23" t="s">
        <v>1074</v>
      </c>
      <c r="D335" s="23" t="s">
        <v>411</v>
      </c>
    </row>
    <row r="336" spans="2:4" ht="15" customHeight="1" x14ac:dyDescent="0.25">
      <c r="B336" s="23" t="s">
        <v>1075</v>
      </c>
      <c r="C336" s="23" t="s">
        <v>1076</v>
      </c>
      <c r="D336" s="23" t="s">
        <v>419</v>
      </c>
    </row>
    <row r="337" spans="2:4" ht="15" customHeight="1" x14ac:dyDescent="0.25">
      <c r="B337" s="23" t="s">
        <v>1077</v>
      </c>
      <c r="C337" s="23" t="s">
        <v>1078</v>
      </c>
      <c r="D337" s="23" t="s">
        <v>419</v>
      </c>
    </row>
    <row r="338" spans="2:4" ht="15" customHeight="1" x14ac:dyDescent="0.25">
      <c r="B338" s="23" t="s">
        <v>1079</v>
      </c>
      <c r="C338" s="23" t="s">
        <v>1080</v>
      </c>
      <c r="D338" s="23" t="s">
        <v>419</v>
      </c>
    </row>
    <row r="339" spans="2:4" ht="15" customHeight="1" x14ac:dyDescent="0.25">
      <c r="B339" s="23" t="s">
        <v>1081</v>
      </c>
      <c r="C339" s="23" t="s">
        <v>1082</v>
      </c>
      <c r="D339" s="23" t="s">
        <v>419</v>
      </c>
    </row>
    <row r="340" spans="2:4" ht="15" customHeight="1" x14ac:dyDescent="0.25">
      <c r="B340" s="23" t="s">
        <v>1083</v>
      </c>
      <c r="C340" s="23" t="s">
        <v>1084</v>
      </c>
      <c r="D340" s="23" t="s">
        <v>419</v>
      </c>
    </row>
    <row r="341" spans="2:4" ht="15" customHeight="1" x14ac:dyDescent="0.25">
      <c r="B341" s="23" t="s">
        <v>1085</v>
      </c>
      <c r="C341" s="23" t="s">
        <v>1086</v>
      </c>
      <c r="D341" s="23" t="s">
        <v>419</v>
      </c>
    </row>
    <row r="342" spans="2:4" ht="15" customHeight="1" x14ac:dyDescent="0.25">
      <c r="B342" s="23" t="s">
        <v>1087</v>
      </c>
      <c r="C342" s="23" t="s">
        <v>1088</v>
      </c>
      <c r="D342" s="23" t="s">
        <v>419</v>
      </c>
    </row>
    <row r="343" spans="2:4" ht="15" customHeight="1" x14ac:dyDescent="0.25">
      <c r="B343" s="23" t="s">
        <v>1089</v>
      </c>
      <c r="C343" s="23" t="s">
        <v>1090</v>
      </c>
      <c r="D343" s="23" t="s">
        <v>419</v>
      </c>
    </row>
    <row r="344" spans="2:4" ht="15" customHeight="1" x14ac:dyDescent="0.25">
      <c r="B344" s="23" t="s">
        <v>1091</v>
      </c>
      <c r="C344" s="23" t="s">
        <v>1092</v>
      </c>
      <c r="D344" s="23" t="s">
        <v>419</v>
      </c>
    </row>
    <row r="345" spans="2:4" ht="15" customHeight="1" x14ac:dyDescent="0.25">
      <c r="B345" s="23" t="s">
        <v>1093</v>
      </c>
      <c r="C345" s="23" t="s">
        <v>1094</v>
      </c>
      <c r="D345" s="23" t="s">
        <v>419</v>
      </c>
    </row>
    <row r="346" spans="2:4" ht="15" customHeight="1" x14ac:dyDescent="0.25">
      <c r="B346" s="23" t="s">
        <v>1095</v>
      </c>
      <c r="C346" s="23" t="s">
        <v>1096</v>
      </c>
      <c r="D346" s="23" t="s">
        <v>419</v>
      </c>
    </row>
    <row r="347" spans="2:4" ht="15" customHeight="1" x14ac:dyDescent="0.25">
      <c r="B347" s="23" t="s">
        <v>1097</v>
      </c>
      <c r="C347" s="23" t="s">
        <v>1098</v>
      </c>
      <c r="D347" s="23" t="s">
        <v>419</v>
      </c>
    </row>
    <row r="348" spans="2:4" ht="15" customHeight="1" x14ac:dyDescent="0.25">
      <c r="B348" s="23" t="s">
        <v>1099</v>
      </c>
      <c r="C348" s="23" t="s">
        <v>1100</v>
      </c>
      <c r="D348" s="23" t="s">
        <v>419</v>
      </c>
    </row>
    <row r="349" spans="2:4" ht="15" customHeight="1" x14ac:dyDescent="0.25">
      <c r="B349" s="23" t="s">
        <v>1101</v>
      </c>
      <c r="C349" s="23" t="s">
        <v>1102</v>
      </c>
      <c r="D349" s="23" t="s">
        <v>419</v>
      </c>
    </row>
    <row r="350" spans="2:4" ht="15" customHeight="1" x14ac:dyDescent="0.25">
      <c r="B350" s="23" t="s">
        <v>1103</v>
      </c>
      <c r="C350" s="23" t="s">
        <v>1104</v>
      </c>
      <c r="D350" s="23" t="s">
        <v>419</v>
      </c>
    </row>
    <row r="351" spans="2:4" ht="15" customHeight="1" x14ac:dyDescent="0.25">
      <c r="B351" s="23" t="s">
        <v>1105</v>
      </c>
      <c r="C351" s="23" t="s">
        <v>1106</v>
      </c>
      <c r="D351" s="23" t="s">
        <v>419</v>
      </c>
    </row>
    <row r="352" spans="2:4" ht="15" customHeight="1" x14ac:dyDescent="0.25">
      <c r="B352" s="23" t="s">
        <v>1107</v>
      </c>
      <c r="C352" s="23" t="s">
        <v>1108</v>
      </c>
      <c r="D352" s="23" t="s">
        <v>419</v>
      </c>
    </row>
    <row r="353" spans="2:4" ht="15" customHeight="1" x14ac:dyDescent="0.25">
      <c r="B353" s="23" t="s">
        <v>1109</v>
      </c>
      <c r="C353" s="23" t="s">
        <v>1110</v>
      </c>
      <c r="D353" s="23" t="s">
        <v>419</v>
      </c>
    </row>
    <row r="354" spans="2:4" ht="15" customHeight="1" x14ac:dyDescent="0.25">
      <c r="B354" s="23" t="s">
        <v>1111</v>
      </c>
      <c r="C354" s="23" t="s">
        <v>1112</v>
      </c>
      <c r="D354" s="23" t="s">
        <v>419</v>
      </c>
    </row>
    <row r="355" spans="2:4" ht="15" customHeight="1" x14ac:dyDescent="0.25">
      <c r="B355" s="23" t="s">
        <v>1113</v>
      </c>
      <c r="C355" s="23" t="s">
        <v>1114</v>
      </c>
      <c r="D355" s="23" t="s">
        <v>419</v>
      </c>
    </row>
    <row r="356" spans="2:4" ht="15" customHeight="1" x14ac:dyDescent="0.25">
      <c r="B356" s="23" t="s">
        <v>1115</v>
      </c>
      <c r="C356" s="23" t="s">
        <v>1116</v>
      </c>
      <c r="D356" s="23" t="s">
        <v>419</v>
      </c>
    </row>
    <row r="357" spans="2:4" ht="15" customHeight="1" x14ac:dyDescent="0.25">
      <c r="B357" s="23" t="s">
        <v>1117</v>
      </c>
      <c r="C357" s="23" t="s">
        <v>1118</v>
      </c>
      <c r="D357" s="23" t="s">
        <v>419</v>
      </c>
    </row>
    <row r="358" spans="2:4" ht="15" customHeight="1" x14ac:dyDescent="0.25">
      <c r="B358" s="23" t="s">
        <v>1119</v>
      </c>
      <c r="C358" s="23" t="s">
        <v>1120</v>
      </c>
      <c r="D358" s="23" t="s">
        <v>419</v>
      </c>
    </row>
    <row r="359" spans="2:4" ht="15" customHeight="1" x14ac:dyDescent="0.25">
      <c r="B359" s="23" t="s">
        <v>1121</v>
      </c>
      <c r="C359" s="23" t="s">
        <v>1122</v>
      </c>
      <c r="D359" s="23" t="s">
        <v>419</v>
      </c>
    </row>
    <row r="360" spans="2:4" ht="15" customHeight="1" x14ac:dyDescent="0.25">
      <c r="B360" s="23" t="s">
        <v>1123</v>
      </c>
      <c r="C360" s="23" t="s">
        <v>1124</v>
      </c>
      <c r="D360" s="23" t="s">
        <v>419</v>
      </c>
    </row>
    <row r="361" spans="2:4" ht="15" customHeight="1" x14ac:dyDescent="0.25">
      <c r="B361" s="23" t="s">
        <v>1125</v>
      </c>
      <c r="C361" s="23" t="s">
        <v>1126</v>
      </c>
      <c r="D361" s="23" t="s">
        <v>419</v>
      </c>
    </row>
    <row r="362" spans="2:4" ht="15" customHeight="1" x14ac:dyDescent="0.25">
      <c r="B362" s="23" t="s">
        <v>1127</v>
      </c>
      <c r="C362" s="23" t="s">
        <v>1128</v>
      </c>
      <c r="D362" s="23" t="s">
        <v>419</v>
      </c>
    </row>
    <row r="363" spans="2:4" ht="15" customHeight="1" x14ac:dyDescent="0.25">
      <c r="B363" s="23" t="s">
        <v>1129</v>
      </c>
      <c r="C363" s="23" t="s">
        <v>1130</v>
      </c>
      <c r="D363" s="23" t="s">
        <v>419</v>
      </c>
    </row>
    <row r="364" spans="2:4" ht="15" customHeight="1" x14ac:dyDescent="0.25">
      <c r="B364" s="23" t="s">
        <v>1131</v>
      </c>
      <c r="C364" s="23" t="s">
        <v>1132</v>
      </c>
      <c r="D364" s="23" t="s">
        <v>419</v>
      </c>
    </row>
    <row r="365" spans="2:4" ht="15" customHeight="1" x14ac:dyDescent="0.25">
      <c r="B365" s="23" t="s">
        <v>1133</v>
      </c>
      <c r="C365" s="23" t="s">
        <v>1134</v>
      </c>
      <c r="D365" s="23" t="s">
        <v>419</v>
      </c>
    </row>
    <row r="366" spans="2:4" ht="15" customHeight="1" x14ac:dyDescent="0.25">
      <c r="B366" s="23" t="s">
        <v>1135</v>
      </c>
      <c r="C366" s="23" t="s">
        <v>1136</v>
      </c>
      <c r="D366" s="23" t="s">
        <v>419</v>
      </c>
    </row>
    <row r="367" spans="2:4" ht="15" customHeight="1" x14ac:dyDescent="0.25">
      <c r="B367" s="23" t="s">
        <v>1137</v>
      </c>
      <c r="C367" s="23" t="s">
        <v>1138</v>
      </c>
      <c r="D367" s="23" t="s">
        <v>419</v>
      </c>
    </row>
    <row r="368" spans="2:4" ht="15" customHeight="1" x14ac:dyDescent="0.25">
      <c r="B368" s="23" t="s">
        <v>1139</v>
      </c>
      <c r="C368" s="23" t="s">
        <v>1140</v>
      </c>
      <c r="D368" s="23" t="s">
        <v>419</v>
      </c>
    </row>
    <row r="369" spans="2:4" ht="15" customHeight="1" x14ac:dyDescent="0.25">
      <c r="B369" s="23" t="s">
        <v>1141</v>
      </c>
      <c r="C369" s="23" t="s">
        <v>1142</v>
      </c>
      <c r="D369" s="23" t="s">
        <v>419</v>
      </c>
    </row>
    <row r="370" spans="2:4" ht="15" customHeight="1" x14ac:dyDescent="0.25">
      <c r="B370" s="23" t="s">
        <v>1143</v>
      </c>
      <c r="C370" s="23" t="s">
        <v>1144</v>
      </c>
      <c r="D370" s="23" t="s">
        <v>419</v>
      </c>
    </row>
    <row r="371" spans="2:4" ht="15" customHeight="1" x14ac:dyDescent="0.25">
      <c r="B371" s="23" t="s">
        <v>1145</v>
      </c>
      <c r="C371" s="23" t="s">
        <v>1146</v>
      </c>
      <c r="D371" s="23" t="s">
        <v>419</v>
      </c>
    </row>
    <row r="372" spans="2:4" ht="15" customHeight="1" x14ac:dyDescent="0.25">
      <c r="B372" s="23" t="s">
        <v>1147</v>
      </c>
      <c r="C372" s="23" t="s">
        <v>1148</v>
      </c>
      <c r="D372" s="23" t="s">
        <v>419</v>
      </c>
    </row>
    <row r="373" spans="2:4" ht="15" customHeight="1" x14ac:dyDescent="0.25">
      <c r="B373" s="23" t="s">
        <v>1149</v>
      </c>
      <c r="C373" s="23" t="s">
        <v>1150</v>
      </c>
      <c r="D373" s="23" t="s">
        <v>419</v>
      </c>
    </row>
    <row r="374" spans="2:4" ht="15" customHeight="1" x14ac:dyDescent="0.25">
      <c r="B374" s="23" t="s">
        <v>1151</v>
      </c>
      <c r="C374" s="23" t="s">
        <v>1152</v>
      </c>
      <c r="D374" s="23" t="s">
        <v>419</v>
      </c>
    </row>
    <row r="375" spans="2:4" ht="15" customHeight="1" x14ac:dyDescent="0.25">
      <c r="B375" s="23" t="s">
        <v>1153</v>
      </c>
      <c r="C375" s="23" t="s">
        <v>1154</v>
      </c>
      <c r="D375" s="23" t="s">
        <v>419</v>
      </c>
    </row>
    <row r="376" spans="2:4" ht="15" customHeight="1" x14ac:dyDescent="0.25">
      <c r="B376" s="23" t="s">
        <v>1155</v>
      </c>
      <c r="C376" s="23" t="s">
        <v>1156</v>
      </c>
      <c r="D376" s="23" t="s">
        <v>419</v>
      </c>
    </row>
    <row r="377" spans="2:4" ht="15" customHeight="1" x14ac:dyDescent="0.25">
      <c r="B377" s="23" t="s">
        <v>1157</v>
      </c>
      <c r="C377" s="23" t="s">
        <v>1158</v>
      </c>
      <c r="D377" s="23" t="s">
        <v>419</v>
      </c>
    </row>
    <row r="378" spans="2:4" ht="15" customHeight="1" x14ac:dyDescent="0.25">
      <c r="B378" s="23" t="s">
        <v>1159</v>
      </c>
      <c r="C378" s="23" t="s">
        <v>1160</v>
      </c>
      <c r="D378" s="23" t="s">
        <v>419</v>
      </c>
    </row>
    <row r="379" spans="2:4" ht="15" customHeight="1" x14ac:dyDescent="0.25">
      <c r="B379" s="23" t="s">
        <v>1161</v>
      </c>
      <c r="C379" s="23" t="s">
        <v>1162</v>
      </c>
      <c r="D379" s="23" t="s">
        <v>419</v>
      </c>
    </row>
    <row r="380" spans="2:4" ht="15" customHeight="1" x14ac:dyDescent="0.25">
      <c r="B380" s="23" t="s">
        <v>1163</v>
      </c>
      <c r="C380" s="23" t="s">
        <v>1164</v>
      </c>
      <c r="D380" s="23" t="s">
        <v>419</v>
      </c>
    </row>
    <row r="381" spans="2:4" ht="15" customHeight="1" x14ac:dyDescent="0.25">
      <c r="B381" s="23" t="s">
        <v>1165</v>
      </c>
      <c r="C381" s="23" t="s">
        <v>1166</v>
      </c>
      <c r="D381" s="23" t="s">
        <v>419</v>
      </c>
    </row>
    <row r="382" spans="2:4" ht="15" customHeight="1" x14ac:dyDescent="0.25">
      <c r="B382" s="23" t="s">
        <v>1167</v>
      </c>
      <c r="C382" s="23" t="s">
        <v>1168</v>
      </c>
      <c r="D382" s="23" t="s">
        <v>419</v>
      </c>
    </row>
    <row r="383" spans="2:4" ht="15" customHeight="1" x14ac:dyDescent="0.25">
      <c r="B383" s="23" t="s">
        <v>1169</v>
      </c>
      <c r="C383" s="23" t="s">
        <v>1170</v>
      </c>
      <c r="D383" s="23" t="s">
        <v>419</v>
      </c>
    </row>
    <row r="384" spans="2:4" ht="15" customHeight="1" x14ac:dyDescent="0.25">
      <c r="B384" s="23" t="s">
        <v>1171</v>
      </c>
      <c r="C384" s="23" t="s">
        <v>1172</v>
      </c>
      <c r="D384" s="23" t="s">
        <v>419</v>
      </c>
    </row>
    <row r="385" spans="2:4" ht="15" customHeight="1" x14ac:dyDescent="0.25">
      <c r="B385" s="23" t="s">
        <v>1173</v>
      </c>
      <c r="C385" s="23" t="s">
        <v>1174</v>
      </c>
      <c r="D385" s="23" t="s">
        <v>419</v>
      </c>
    </row>
    <row r="386" spans="2:4" ht="15" customHeight="1" x14ac:dyDescent="0.25">
      <c r="B386" s="23" t="s">
        <v>1175</v>
      </c>
      <c r="C386" s="23" t="s">
        <v>1176</v>
      </c>
      <c r="D386" s="23" t="s">
        <v>419</v>
      </c>
    </row>
    <row r="387" spans="2:4" ht="15" customHeight="1" x14ac:dyDescent="0.25">
      <c r="B387" s="23" t="s">
        <v>1177</v>
      </c>
      <c r="C387" s="23" t="s">
        <v>1178</v>
      </c>
      <c r="D387" s="23" t="s">
        <v>419</v>
      </c>
    </row>
    <row r="388" spans="2:4" ht="15" customHeight="1" x14ac:dyDescent="0.25">
      <c r="B388" s="23" t="s">
        <v>1179</v>
      </c>
      <c r="C388" s="23" t="s">
        <v>1180</v>
      </c>
      <c r="D388" s="23" t="s">
        <v>419</v>
      </c>
    </row>
    <row r="389" spans="2:4" ht="15" customHeight="1" x14ac:dyDescent="0.25">
      <c r="B389" s="23" t="s">
        <v>1181</v>
      </c>
      <c r="C389" s="23" t="s">
        <v>1182</v>
      </c>
      <c r="D389" s="23" t="s">
        <v>419</v>
      </c>
    </row>
    <row r="390" spans="2:4" ht="15" customHeight="1" x14ac:dyDescent="0.25">
      <c r="B390" s="23" t="s">
        <v>1183</v>
      </c>
      <c r="C390" s="23" t="s">
        <v>1184</v>
      </c>
      <c r="D390" s="23" t="s">
        <v>419</v>
      </c>
    </row>
    <row r="391" spans="2:4" ht="15" customHeight="1" x14ac:dyDescent="0.25">
      <c r="B391" s="23" t="s">
        <v>1185</v>
      </c>
      <c r="C391" s="23" t="s">
        <v>1186</v>
      </c>
      <c r="D391" s="23" t="s">
        <v>419</v>
      </c>
    </row>
    <row r="392" spans="2:4" ht="15" customHeight="1" x14ac:dyDescent="0.25">
      <c r="B392" s="23" t="s">
        <v>1187</v>
      </c>
      <c r="C392" s="23" t="s">
        <v>1188</v>
      </c>
      <c r="D392" s="23" t="s">
        <v>419</v>
      </c>
    </row>
    <row r="393" spans="2:4" ht="15" customHeight="1" x14ac:dyDescent="0.25">
      <c r="B393" s="23" t="s">
        <v>1189</v>
      </c>
      <c r="C393" s="23" t="s">
        <v>1190</v>
      </c>
      <c r="D393" s="23" t="s">
        <v>419</v>
      </c>
    </row>
    <row r="394" spans="2:4" ht="15" customHeight="1" x14ac:dyDescent="0.25">
      <c r="B394" s="23" t="s">
        <v>1191</v>
      </c>
      <c r="C394" s="23" t="s">
        <v>1192</v>
      </c>
      <c r="D394" s="23" t="s">
        <v>419</v>
      </c>
    </row>
    <row r="395" spans="2:4" ht="15" customHeight="1" x14ac:dyDescent="0.25">
      <c r="B395" s="23" t="s">
        <v>1193</v>
      </c>
      <c r="C395" s="23" t="s">
        <v>1194</v>
      </c>
      <c r="D395" s="23" t="s">
        <v>363</v>
      </c>
    </row>
    <row r="396" spans="2:4" ht="15" customHeight="1" x14ac:dyDescent="0.25">
      <c r="B396" s="23" t="s">
        <v>1195</v>
      </c>
      <c r="C396" s="23" t="s">
        <v>1196</v>
      </c>
      <c r="D396" s="23" t="s">
        <v>419</v>
      </c>
    </row>
    <row r="397" spans="2:4" ht="15" customHeight="1" x14ac:dyDescent="0.25">
      <c r="B397" s="23" t="s">
        <v>1197</v>
      </c>
      <c r="C397" s="23" t="s">
        <v>1198</v>
      </c>
      <c r="D397" s="23" t="s">
        <v>419</v>
      </c>
    </row>
    <row r="398" spans="2:4" ht="15" customHeight="1" x14ac:dyDescent="0.25">
      <c r="B398" s="23" t="s">
        <v>1199</v>
      </c>
      <c r="C398" s="23" t="s">
        <v>1200</v>
      </c>
      <c r="D398" s="23" t="s">
        <v>419</v>
      </c>
    </row>
    <row r="399" spans="2:4" ht="15" customHeight="1" x14ac:dyDescent="0.25">
      <c r="B399" s="23" t="s">
        <v>1201</v>
      </c>
      <c r="C399" s="23" t="s">
        <v>1202</v>
      </c>
      <c r="D399" s="23" t="s">
        <v>419</v>
      </c>
    </row>
    <row r="400" spans="2:4" ht="15" customHeight="1" x14ac:dyDescent="0.25">
      <c r="B400" s="23" t="s">
        <v>1203</v>
      </c>
      <c r="C400" s="23" t="s">
        <v>1204</v>
      </c>
      <c r="D400" s="23" t="s">
        <v>419</v>
      </c>
    </row>
    <row r="401" spans="2:4" ht="15" customHeight="1" x14ac:dyDescent="0.25">
      <c r="B401" s="23" t="s">
        <v>1205</v>
      </c>
      <c r="C401" s="23" t="s">
        <v>1206</v>
      </c>
      <c r="D401" s="23" t="s">
        <v>419</v>
      </c>
    </row>
    <row r="402" spans="2:4" ht="15" customHeight="1" x14ac:dyDescent="0.25">
      <c r="B402" s="23" t="s">
        <v>1207</v>
      </c>
      <c r="C402" s="23" t="s">
        <v>1208</v>
      </c>
      <c r="D402" s="23" t="s">
        <v>419</v>
      </c>
    </row>
    <row r="403" spans="2:4" ht="15" customHeight="1" x14ac:dyDescent="0.25">
      <c r="B403" s="23" t="s">
        <v>1209</v>
      </c>
      <c r="C403" s="23" t="s">
        <v>1210</v>
      </c>
      <c r="D403" s="23" t="s">
        <v>419</v>
      </c>
    </row>
    <row r="404" spans="2:4" ht="15" customHeight="1" x14ac:dyDescent="0.25">
      <c r="B404" s="23" t="s">
        <v>1211</v>
      </c>
      <c r="C404" s="23" t="s">
        <v>1212</v>
      </c>
      <c r="D404" s="23" t="s">
        <v>419</v>
      </c>
    </row>
    <row r="405" spans="2:4" ht="15" customHeight="1" x14ac:dyDescent="0.25">
      <c r="B405" s="23" t="s">
        <v>1213</v>
      </c>
      <c r="C405" s="23" t="s">
        <v>1214</v>
      </c>
      <c r="D405" s="23" t="s">
        <v>419</v>
      </c>
    </row>
    <row r="406" spans="2:4" ht="15" customHeight="1" x14ac:dyDescent="0.25">
      <c r="B406" s="23" t="s">
        <v>1215</v>
      </c>
      <c r="C406" s="23" t="s">
        <v>1216</v>
      </c>
      <c r="D406" s="23" t="s">
        <v>419</v>
      </c>
    </row>
    <row r="407" spans="2:4" ht="15" customHeight="1" x14ac:dyDescent="0.25">
      <c r="B407" s="23" t="s">
        <v>1217</v>
      </c>
      <c r="C407" s="23" t="s">
        <v>1218</v>
      </c>
      <c r="D407" s="23" t="s">
        <v>419</v>
      </c>
    </row>
    <row r="408" spans="2:4" ht="15" customHeight="1" x14ac:dyDescent="0.25">
      <c r="B408" s="23" t="s">
        <v>1219</v>
      </c>
      <c r="C408" s="23" t="s">
        <v>1220</v>
      </c>
      <c r="D408" s="23" t="s">
        <v>402</v>
      </c>
    </row>
    <row r="409" spans="2:4" ht="15" customHeight="1" x14ac:dyDescent="0.25">
      <c r="B409" s="23" t="s">
        <v>1221</v>
      </c>
      <c r="C409" s="23" t="s">
        <v>1222</v>
      </c>
      <c r="D409" s="23" t="s">
        <v>419</v>
      </c>
    </row>
    <row r="410" spans="2:4" ht="15" customHeight="1" x14ac:dyDescent="0.25">
      <c r="B410" s="23" t="s">
        <v>1223</v>
      </c>
      <c r="C410" s="23" t="s">
        <v>1224</v>
      </c>
      <c r="D410" s="23" t="s">
        <v>419</v>
      </c>
    </row>
    <row r="411" spans="2:4" ht="15" customHeight="1" x14ac:dyDescent="0.25">
      <c r="B411" s="23" t="s">
        <v>1225</v>
      </c>
      <c r="C411" s="23" t="s">
        <v>1226</v>
      </c>
      <c r="D411" s="23" t="s">
        <v>419</v>
      </c>
    </row>
    <row r="412" spans="2:4" ht="15" customHeight="1" x14ac:dyDescent="0.25">
      <c r="B412" s="23" t="s">
        <v>1227</v>
      </c>
      <c r="C412" s="23" t="s">
        <v>1228</v>
      </c>
      <c r="D412" s="23" t="s">
        <v>402</v>
      </c>
    </row>
    <row r="413" spans="2:4" ht="15" customHeight="1" x14ac:dyDescent="0.25">
      <c r="B413" s="23" t="s">
        <v>1229</v>
      </c>
      <c r="C413" s="23" t="s">
        <v>1230</v>
      </c>
      <c r="D413" s="23" t="s">
        <v>419</v>
      </c>
    </row>
    <row r="414" spans="2:4" ht="15" customHeight="1" x14ac:dyDescent="0.25">
      <c r="B414" s="23" t="s">
        <v>1231</v>
      </c>
      <c r="C414" s="23" t="s">
        <v>1232</v>
      </c>
      <c r="D414" s="23" t="s">
        <v>402</v>
      </c>
    </row>
    <row r="415" spans="2:4" ht="15" customHeight="1" x14ac:dyDescent="0.25">
      <c r="B415" s="23" t="s">
        <v>1233</v>
      </c>
      <c r="C415" s="23" t="s">
        <v>1234</v>
      </c>
      <c r="D415" s="23" t="s">
        <v>405</v>
      </c>
    </row>
    <row r="416" spans="2:4" ht="15" customHeight="1" x14ac:dyDescent="0.25">
      <c r="B416" s="23" t="s">
        <v>1235</v>
      </c>
      <c r="C416" s="23" t="s">
        <v>1236</v>
      </c>
      <c r="D416" s="23" t="s">
        <v>405</v>
      </c>
    </row>
    <row r="417" spans="2:4" ht="15" customHeight="1" x14ac:dyDescent="0.25">
      <c r="B417" s="23" t="s">
        <v>1237</v>
      </c>
      <c r="C417" s="23" t="s">
        <v>1238</v>
      </c>
      <c r="D417" s="23" t="s">
        <v>363</v>
      </c>
    </row>
    <row r="418" spans="2:4" ht="15" customHeight="1" x14ac:dyDescent="0.25">
      <c r="B418" s="23" t="s">
        <v>1239</v>
      </c>
      <c r="C418" s="23" t="s">
        <v>1240</v>
      </c>
      <c r="D418" s="23" t="s">
        <v>402</v>
      </c>
    </row>
    <row r="419" spans="2:4" ht="15" customHeight="1" x14ac:dyDescent="0.25">
      <c r="B419" s="23" t="s">
        <v>1241</v>
      </c>
      <c r="C419" s="23" t="s">
        <v>1242</v>
      </c>
      <c r="D419" s="23" t="s">
        <v>419</v>
      </c>
    </row>
    <row r="420" spans="2:4" ht="15" customHeight="1" x14ac:dyDescent="0.25">
      <c r="B420" s="23" t="s">
        <v>1243</v>
      </c>
      <c r="C420" s="23" t="s">
        <v>1244</v>
      </c>
      <c r="D420" s="23" t="s">
        <v>405</v>
      </c>
    </row>
    <row r="421" spans="2:4" ht="15" customHeight="1" x14ac:dyDescent="0.25">
      <c r="B421" s="23" t="s">
        <v>1245</v>
      </c>
      <c r="C421" s="23" t="s">
        <v>1246</v>
      </c>
      <c r="D421" s="23" t="s">
        <v>402</v>
      </c>
    </row>
    <row r="422" spans="2:4" ht="15" customHeight="1" x14ac:dyDescent="0.25">
      <c r="B422" s="23" t="s">
        <v>1247</v>
      </c>
      <c r="C422" s="23" t="s">
        <v>1248</v>
      </c>
      <c r="D422" s="23" t="s">
        <v>363</v>
      </c>
    </row>
    <row r="423" spans="2:4" ht="15" customHeight="1" x14ac:dyDescent="0.25">
      <c r="B423" s="23" t="s">
        <v>1249</v>
      </c>
      <c r="C423" s="23" t="s">
        <v>1250</v>
      </c>
      <c r="D423" s="23" t="s">
        <v>402</v>
      </c>
    </row>
    <row r="424" spans="2:4" ht="15" customHeight="1" x14ac:dyDescent="0.25">
      <c r="B424" s="23" t="s">
        <v>1251</v>
      </c>
      <c r="C424" s="23" t="s">
        <v>1252</v>
      </c>
      <c r="D424" s="23" t="s">
        <v>363</v>
      </c>
    </row>
    <row r="425" spans="2:4" ht="15" customHeight="1" x14ac:dyDescent="0.25">
      <c r="B425" s="23" t="s">
        <v>1253</v>
      </c>
      <c r="C425" s="23" t="s">
        <v>1254</v>
      </c>
      <c r="D425" s="23" t="s">
        <v>419</v>
      </c>
    </row>
    <row r="426" spans="2:4" ht="15" customHeight="1" x14ac:dyDescent="0.25">
      <c r="B426" s="23" t="s">
        <v>1255</v>
      </c>
      <c r="C426" s="23" t="s">
        <v>1256</v>
      </c>
      <c r="D426" s="23" t="s">
        <v>363</v>
      </c>
    </row>
    <row r="427" spans="2:4" ht="15" customHeight="1" x14ac:dyDescent="0.25">
      <c r="B427" s="23" t="s">
        <v>1257</v>
      </c>
      <c r="C427" s="23" t="s">
        <v>1258</v>
      </c>
      <c r="D427" s="23" t="s">
        <v>419</v>
      </c>
    </row>
    <row r="428" spans="2:4" ht="15" customHeight="1" x14ac:dyDescent="0.25">
      <c r="B428" s="23" t="s">
        <v>1259</v>
      </c>
      <c r="C428" s="23" t="s">
        <v>1260</v>
      </c>
      <c r="D428" s="23" t="s">
        <v>419</v>
      </c>
    </row>
    <row r="429" spans="2:4" ht="15" customHeight="1" x14ac:dyDescent="0.25">
      <c r="B429" s="23" t="s">
        <v>1261</v>
      </c>
      <c r="C429" s="23" t="s">
        <v>1262</v>
      </c>
      <c r="D429" s="23" t="s">
        <v>419</v>
      </c>
    </row>
    <row r="430" spans="2:4" ht="15" customHeight="1" x14ac:dyDescent="0.25">
      <c r="B430" s="23" t="s">
        <v>1263</v>
      </c>
      <c r="C430" s="23" t="s">
        <v>1264</v>
      </c>
      <c r="D430" s="23" t="s">
        <v>419</v>
      </c>
    </row>
    <row r="431" spans="2:4" ht="15" customHeight="1" x14ac:dyDescent="0.25">
      <c r="B431" s="23" t="s">
        <v>1265</v>
      </c>
      <c r="C431" s="23" t="s">
        <v>1266</v>
      </c>
      <c r="D431" s="23" t="s">
        <v>419</v>
      </c>
    </row>
    <row r="432" spans="2:4" ht="15" customHeight="1" x14ac:dyDescent="0.25">
      <c r="B432" s="23" t="s">
        <v>1267</v>
      </c>
      <c r="C432" s="23" t="s">
        <v>1268</v>
      </c>
      <c r="D432" s="23" t="s">
        <v>419</v>
      </c>
    </row>
    <row r="433" spans="2:4" ht="15" customHeight="1" x14ac:dyDescent="0.25">
      <c r="B433" s="23" t="s">
        <v>1269</v>
      </c>
      <c r="C433" s="23" t="s">
        <v>1270</v>
      </c>
      <c r="D433" s="23" t="s">
        <v>419</v>
      </c>
    </row>
    <row r="434" spans="2:4" ht="15" customHeight="1" x14ac:dyDescent="0.25">
      <c r="B434" s="23" t="s">
        <v>1271</v>
      </c>
      <c r="C434" s="23" t="s">
        <v>1272</v>
      </c>
      <c r="D434" s="23" t="s">
        <v>419</v>
      </c>
    </row>
    <row r="435" spans="2:4" ht="15" customHeight="1" x14ac:dyDescent="0.25">
      <c r="B435" s="23" t="s">
        <v>1273</v>
      </c>
      <c r="C435" s="23" t="s">
        <v>1274</v>
      </c>
      <c r="D435" s="23" t="s">
        <v>405</v>
      </c>
    </row>
    <row r="436" spans="2:4" ht="15" customHeight="1" x14ac:dyDescent="0.25">
      <c r="B436" s="23" t="s">
        <v>1275</v>
      </c>
      <c r="C436" s="23" t="s">
        <v>1276</v>
      </c>
      <c r="D436" s="23" t="s">
        <v>419</v>
      </c>
    </row>
    <row r="437" spans="2:4" ht="15" customHeight="1" x14ac:dyDescent="0.25">
      <c r="B437" s="23" t="s">
        <v>1277</v>
      </c>
      <c r="C437" s="23" t="s">
        <v>1278</v>
      </c>
      <c r="D437" s="23" t="s">
        <v>363</v>
      </c>
    </row>
    <row r="438" spans="2:4" ht="15" customHeight="1" x14ac:dyDescent="0.25">
      <c r="B438" s="23" t="s">
        <v>1279</v>
      </c>
      <c r="C438" s="23" t="s">
        <v>1280</v>
      </c>
      <c r="D438" s="23" t="s">
        <v>363</v>
      </c>
    </row>
    <row r="439" spans="2:4" ht="15" customHeight="1" x14ac:dyDescent="0.25">
      <c r="B439" s="23" t="s">
        <v>1281</v>
      </c>
      <c r="C439" s="23" t="s">
        <v>1282</v>
      </c>
      <c r="D439" s="23" t="s">
        <v>419</v>
      </c>
    </row>
    <row r="440" spans="2:4" ht="15" customHeight="1" x14ac:dyDescent="0.25">
      <c r="B440" s="23" t="s">
        <v>1283</v>
      </c>
      <c r="C440" s="23" t="s">
        <v>1284</v>
      </c>
      <c r="D440" s="23" t="s">
        <v>363</v>
      </c>
    </row>
    <row r="441" spans="2:4" ht="15" customHeight="1" x14ac:dyDescent="0.25">
      <c r="B441" s="23" t="s">
        <v>1285</v>
      </c>
      <c r="C441" s="23" t="s">
        <v>1286</v>
      </c>
      <c r="D441" s="23" t="s">
        <v>419</v>
      </c>
    </row>
    <row r="442" spans="2:4" ht="15" customHeight="1" x14ac:dyDescent="0.25">
      <c r="B442" s="23" t="s">
        <v>1287</v>
      </c>
      <c r="C442" s="23" t="s">
        <v>1288</v>
      </c>
      <c r="D442" s="23" t="s">
        <v>402</v>
      </c>
    </row>
    <row r="443" spans="2:4" ht="15" customHeight="1" x14ac:dyDescent="0.25">
      <c r="B443" s="23" t="s">
        <v>1289</v>
      </c>
      <c r="C443" s="23" t="s">
        <v>1290</v>
      </c>
      <c r="D443" s="23" t="s">
        <v>402</v>
      </c>
    </row>
    <row r="444" spans="2:4" ht="15" customHeight="1" x14ac:dyDescent="0.25">
      <c r="B444" s="23" t="s">
        <v>1291</v>
      </c>
      <c r="C444" s="23" t="s">
        <v>1292</v>
      </c>
      <c r="D444" s="23" t="s">
        <v>419</v>
      </c>
    </row>
    <row r="445" spans="2:4" ht="15" customHeight="1" x14ac:dyDescent="0.25">
      <c r="B445" s="23" t="s">
        <v>1293</v>
      </c>
      <c r="C445" s="23" t="s">
        <v>1294</v>
      </c>
      <c r="D445" s="23" t="s">
        <v>1295</v>
      </c>
    </row>
    <row r="446" spans="2:4" ht="15" customHeight="1" x14ac:dyDescent="0.25">
      <c r="B446" s="23" t="s">
        <v>1296</v>
      </c>
      <c r="C446" s="23" t="s">
        <v>1297</v>
      </c>
      <c r="D446" s="23" t="s">
        <v>402</v>
      </c>
    </row>
    <row r="447" spans="2:4" ht="15" customHeight="1" x14ac:dyDescent="0.25">
      <c r="B447" s="23" t="s">
        <v>1298</v>
      </c>
      <c r="C447" s="23" t="s">
        <v>1299</v>
      </c>
      <c r="D447" s="23" t="s">
        <v>419</v>
      </c>
    </row>
    <row r="448" spans="2:4" ht="15" customHeight="1" x14ac:dyDescent="0.25">
      <c r="B448" s="23" t="s">
        <v>1300</v>
      </c>
      <c r="C448" s="23" t="s">
        <v>1301</v>
      </c>
      <c r="D448" s="23" t="s">
        <v>419</v>
      </c>
    </row>
    <row r="449" spans="2:4" ht="15" customHeight="1" x14ac:dyDescent="0.25">
      <c r="B449" s="23" t="s">
        <v>1302</v>
      </c>
      <c r="C449" s="23" t="s">
        <v>1303</v>
      </c>
      <c r="D449" s="23" t="s">
        <v>419</v>
      </c>
    </row>
    <row r="450" spans="2:4" ht="15" customHeight="1" x14ac:dyDescent="0.25">
      <c r="B450" s="23" t="s">
        <v>1304</v>
      </c>
      <c r="C450" s="23" t="s">
        <v>1305</v>
      </c>
      <c r="D450" s="23" t="s">
        <v>1306</v>
      </c>
    </row>
    <row r="451" spans="2:4" ht="15" customHeight="1" x14ac:dyDescent="0.25">
      <c r="B451" s="23" t="s">
        <v>1307</v>
      </c>
      <c r="C451" s="23" t="s">
        <v>1308</v>
      </c>
      <c r="D451" s="23" t="s">
        <v>419</v>
      </c>
    </row>
    <row r="452" spans="2:4" ht="15" customHeight="1" x14ac:dyDescent="0.25">
      <c r="B452" s="23" t="s">
        <v>1309</v>
      </c>
      <c r="C452" s="23" t="s">
        <v>1310</v>
      </c>
      <c r="D452" s="23" t="s">
        <v>419</v>
      </c>
    </row>
    <row r="453" spans="2:4" ht="15" customHeight="1" x14ac:dyDescent="0.25">
      <c r="B453" s="23" t="s">
        <v>1311</v>
      </c>
      <c r="C453" s="23" t="s">
        <v>1312</v>
      </c>
      <c r="D453" s="23" t="s">
        <v>419</v>
      </c>
    </row>
    <row r="454" spans="2:4" ht="15" customHeight="1" x14ac:dyDescent="0.25">
      <c r="B454" s="23" t="s">
        <v>1313</v>
      </c>
      <c r="C454" s="23" t="s">
        <v>1314</v>
      </c>
      <c r="D454" s="23" t="s">
        <v>419</v>
      </c>
    </row>
    <row r="455" spans="2:4" ht="15" customHeight="1" x14ac:dyDescent="0.25">
      <c r="B455" s="23" t="s">
        <v>1315</v>
      </c>
      <c r="C455" s="23" t="s">
        <v>1316</v>
      </c>
      <c r="D455" s="23" t="s">
        <v>753</v>
      </c>
    </row>
    <row r="456" spans="2:4" ht="15" customHeight="1" x14ac:dyDescent="0.25">
      <c r="B456" s="23" t="s">
        <v>1317</v>
      </c>
      <c r="C456" s="23" t="s">
        <v>1318</v>
      </c>
      <c r="D456" s="23" t="s">
        <v>402</v>
      </c>
    </row>
    <row r="457" spans="2:4" ht="15" customHeight="1" x14ac:dyDescent="0.25">
      <c r="B457" s="23" t="s">
        <v>1319</v>
      </c>
      <c r="C457" s="23" t="s">
        <v>1320</v>
      </c>
      <c r="D457" s="23" t="s">
        <v>753</v>
      </c>
    </row>
    <row r="458" spans="2:4" ht="15" customHeight="1" x14ac:dyDescent="0.25">
      <c r="B458" s="23" t="s">
        <v>1321</v>
      </c>
      <c r="C458" s="23" t="s">
        <v>1322</v>
      </c>
      <c r="D458" s="23" t="s">
        <v>363</v>
      </c>
    </row>
    <row r="459" spans="2:4" ht="15" customHeight="1" x14ac:dyDescent="0.25">
      <c r="B459" s="23" t="s">
        <v>1323</v>
      </c>
      <c r="C459" s="23" t="s">
        <v>1324</v>
      </c>
      <c r="D459" s="23" t="s">
        <v>419</v>
      </c>
    </row>
    <row r="460" spans="2:4" ht="15" customHeight="1" x14ac:dyDescent="0.25">
      <c r="B460" s="23" t="s">
        <v>1325</v>
      </c>
      <c r="C460" s="23" t="s">
        <v>1326</v>
      </c>
      <c r="D460" s="23" t="s">
        <v>402</v>
      </c>
    </row>
    <row r="461" spans="2:4" ht="15" customHeight="1" x14ac:dyDescent="0.25">
      <c r="B461" s="23" t="s">
        <v>1327</v>
      </c>
      <c r="C461" s="23" t="s">
        <v>1328</v>
      </c>
      <c r="D461" s="23" t="s">
        <v>363</v>
      </c>
    </row>
    <row r="462" spans="2:4" ht="15" customHeight="1" x14ac:dyDescent="0.25">
      <c r="B462" s="23" t="s">
        <v>1329</v>
      </c>
      <c r="C462" s="23" t="s">
        <v>1330</v>
      </c>
      <c r="D462" s="23" t="s">
        <v>419</v>
      </c>
    </row>
    <row r="463" spans="2:4" ht="15" customHeight="1" x14ac:dyDescent="0.25">
      <c r="B463" s="23" t="s">
        <v>1331</v>
      </c>
      <c r="C463" s="23" t="s">
        <v>1332</v>
      </c>
      <c r="D463" s="23" t="s">
        <v>419</v>
      </c>
    </row>
    <row r="464" spans="2:4" ht="15" customHeight="1" x14ac:dyDescent="0.25">
      <c r="B464" s="23" t="s">
        <v>1333</v>
      </c>
      <c r="C464" s="23" t="s">
        <v>1334</v>
      </c>
      <c r="D464" s="23" t="s">
        <v>419</v>
      </c>
    </row>
    <row r="465" spans="2:4" ht="15" customHeight="1" x14ac:dyDescent="0.25">
      <c r="B465" s="23" t="s">
        <v>1335</v>
      </c>
      <c r="C465" s="23" t="s">
        <v>1336</v>
      </c>
      <c r="D465" s="23" t="s">
        <v>419</v>
      </c>
    </row>
    <row r="466" spans="2:4" ht="15" customHeight="1" x14ac:dyDescent="0.25">
      <c r="B466" s="23" t="s">
        <v>1337</v>
      </c>
      <c r="C466" s="23" t="s">
        <v>1338</v>
      </c>
      <c r="D466" s="23" t="s">
        <v>419</v>
      </c>
    </row>
    <row r="467" spans="2:4" ht="15" customHeight="1" x14ac:dyDescent="0.25">
      <c r="B467" s="23" t="s">
        <v>1339</v>
      </c>
      <c r="C467" s="23" t="s">
        <v>1340</v>
      </c>
      <c r="D467" s="23" t="s">
        <v>419</v>
      </c>
    </row>
    <row r="468" spans="2:4" ht="15" customHeight="1" x14ac:dyDescent="0.25">
      <c r="B468" s="23" t="s">
        <v>1341</v>
      </c>
      <c r="C468" s="23" t="s">
        <v>1342</v>
      </c>
      <c r="D468" s="23" t="s">
        <v>419</v>
      </c>
    </row>
    <row r="469" spans="2:4" ht="15" customHeight="1" x14ac:dyDescent="0.25">
      <c r="B469" s="23" t="s">
        <v>1343</v>
      </c>
      <c r="C469" s="23" t="s">
        <v>1344</v>
      </c>
      <c r="D469" s="23"/>
    </row>
    <row r="470" spans="2:4" ht="15" customHeight="1" x14ac:dyDescent="0.25">
      <c r="B470" s="23" t="s">
        <v>1345</v>
      </c>
      <c r="C470" s="23" t="s">
        <v>1346</v>
      </c>
      <c r="D470" s="23"/>
    </row>
    <row r="471" spans="2:4" ht="15" customHeight="1" x14ac:dyDescent="0.25">
      <c r="B471" s="23" t="s">
        <v>1347</v>
      </c>
      <c r="C471" s="23" t="s">
        <v>1348</v>
      </c>
      <c r="D471" s="23" t="s">
        <v>419</v>
      </c>
    </row>
    <row r="472" spans="2:4" ht="15" customHeight="1" x14ac:dyDescent="0.25">
      <c r="B472" s="23" t="s">
        <v>1349</v>
      </c>
      <c r="C472" s="23" t="s">
        <v>1350</v>
      </c>
      <c r="D472" s="23" t="s">
        <v>419</v>
      </c>
    </row>
    <row r="473" spans="2:4" ht="15" customHeight="1" x14ac:dyDescent="0.25">
      <c r="B473" s="23" t="s">
        <v>1351</v>
      </c>
      <c r="C473" s="23" t="s">
        <v>1352</v>
      </c>
      <c r="D473" s="23" t="s">
        <v>419</v>
      </c>
    </row>
    <row r="474" spans="2:4" ht="15" customHeight="1" x14ac:dyDescent="0.25">
      <c r="B474" s="23" t="s">
        <v>1353</v>
      </c>
      <c r="C474" s="23" t="s">
        <v>1354</v>
      </c>
      <c r="D474" s="23" t="s">
        <v>419</v>
      </c>
    </row>
    <row r="475" spans="2:4" ht="15" customHeight="1" x14ac:dyDescent="0.25">
      <c r="B475" s="23" t="s">
        <v>1355</v>
      </c>
      <c r="C475" s="23" t="s">
        <v>1356</v>
      </c>
      <c r="D475" s="23" t="s">
        <v>419</v>
      </c>
    </row>
    <row r="476" spans="2:4" ht="15" customHeight="1" x14ac:dyDescent="0.25">
      <c r="B476" s="23" t="s">
        <v>1357</v>
      </c>
      <c r="C476" s="23" t="s">
        <v>1358</v>
      </c>
      <c r="D476" s="23" t="s">
        <v>419</v>
      </c>
    </row>
    <row r="477" spans="2:4" ht="15" customHeight="1" x14ac:dyDescent="0.25">
      <c r="B477" s="23" t="s">
        <v>1359</v>
      </c>
      <c r="C477" s="23" t="s">
        <v>1360</v>
      </c>
      <c r="D477" s="23"/>
    </row>
    <row r="478" spans="2:4" ht="15" customHeight="1" x14ac:dyDescent="0.25">
      <c r="B478" s="23" t="s">
        <v>1361</v>
      </c>
      <c r="C478" s="23" t="s">
        <v>1362</v>
      </c>
      <c r="D478" s="23" t="s">
        <v>419</v>
      </c>
    </row>
    <row r="479" spans="2:4" ht="15" customHeight="1" x14ac:dyDescent="0.25">
      <c r="B479" s="23" t="s">
        <v>1363</v>
      </c>
      <c r="C479" s="23" t="s">
        <v>1364</v>
      </c>
      <c r="D479" s="23" t="s">
        <v>419</v>
      </c>
    </row>
    <row r="480" spans="2:4" ht="15" customHeight="1" x14ac:dyDescent="0.25">
      <c r="B480" s="23" t="s">
        <v>1365</v>
      </c>
      <c r="C480" s="23" t="s">
        <v>1366</v>
      </c>
      <c r="D480" s="23" t="s">
        <v>419</v>
      </c>
    </row>
    <row r="481" spans="2:4" ht="15" customHeight="1" x14ac:dyDescent="0.25">
      <c r="B481" s="23" t="s">
        <v>1367</v>
      </c>
      <c r="C481" s="23" t="s">
        <v>1368</v>
      </c>
      <c r="D481" s="23" t="s">
        <v>475</v>
      </c>
    </row>
    <row r="482" spans="2:4" ht="15" customHeight="1" x14ac:dyDescent="0.25">
      <c r="B482" s="23" t="s">
        <v>1369</v>
      </c>
      <c r="C482" s="23" t="s">
        <v>1370</v>
      </c>
      <c r="D482" s="23" t="s">
        <v>419</v>
      </c>
    </row>
    <row r="483" spans="2:4" ht="15" customHeight="1" x14ac:dyDescent="0.25">
      <c r="B483" s="23" t="s">
        <v>1371</v>
      </c>
      <c r="C483" s="23" t="s">
        <v>1372</v>
      </c>
      <c r="D483" s="23" t="s">
        <v>1373</v>
      </c>
    </row>
    <row r="484" spans="2:4" ht="15" customHeight="1" x14ac:dyDescent="0.25">
      <c r="B484" s="23" t="s">
        <v>1374</v>
      </c>
      <c r="C484" s="23" t="s">
        <v>1375</v>
      </c>
      <c r="D484" s="23" t="s">
        <v>1306</v>
      </c>
    </row>
    <row r="485" spans="2:4" ht="15" customHeight="1" x14ac:dyDescent="0.25">
      <c r="B485" s="23" t="s">
        <v>1376</v>
      </c>
      <c r="C485" s="23" t="s">
        <v>1377</v>
      </c>
      <c r="D485" s="23" t="s">
        <v>419</v>
      </c>
    </row>
    <row r="486" spans="2:4" ht="15" customHeight="1" x14ac:dyDescent="0.25">
      <c r="B486" s="23" t="s">
        <v>1378</v>
      </c>
      <c r="C486" s="23" t="s">
        <v>1379</v>
      </c>
      <c r="D486" s="23" t="s">
        <v>419</v>
      </c>
    </row>
    <row r="487" spans="2:4" ht="15" customHeight="1" x14ac:dyDescent="0.25">
      <c r="B487" s="23" t="s">
        <v>1380</v>
      </c>
      <c r="C487" s="23" t="s">
        <v>1381</v>
      </c>
      <c r="D487" s="23" t="s">
        <v>419</v>
      </c>
    </row>
    <row r="488" spans="2:4" ht="15" customHeight="1" x14ac:dyDescent="0.25">
      <c r="B488" s="23" t="s">
        <v>1382</v>
      </c>
      <c r="C488" s="23" t="s">
        <v>1383</v>
      </c>
      <c r="D488" s="23" t="s">
        <v>419</v>
      </c>
    </row>
    <row r="489" spans="2:4" ht="15" customHeight="1" x14ac:dyDescent="0.25">
      <c r="B489" s="23" t="s">
        <v>1384</v>
      </c>
      <c r="C489" s="23" t="s">
        <v>1385</v>
      </c>
      <c r="D489" s="23" t="s">
        <v>419</v>
      </c>
    </row>
    <row r="490" spans="2:4" ht="15" customHeight="1" x14ac:dyDescent="0.25">
      <c r="B490" s="23" t="s">
        <v>1386</v>
      </c>
      <c r="C490" s="23" t="s">
        <v>1387</v>
      </c>
      <c r="D490" s="23" t="s">
        <v>419</v>
      </c>
    </row>
    <row r="491" spans="2:4" ht="15" customHeight="1" x14ac:dyDescent="0.25">
      <c r="B491" s="23" t="s">
        <v>1388</v>
      </c>
      <c r="C491" s="23" t="s">
        <v>1389</v>
      </c>
      <c r="D491" s="23" t="s">
        <v>419</v>
      </c>
    </row>
    <row r="492" spans="2:4" ht="15" customHeight="1" x14ac:dyDescent="0.25">
      <c r="B492" s="23" t="s">
        <v>1390</v>
      </c>
      <c r="C492" s="23" t="s">
        <v>1391</v>
      </c>
      <c r="D492" s="23" t="s">
        <v>419</v>
      </c>
    </row>
    <row r="493" spans="2:4" ht="15" customHeight="1" x14ac:dyDescent="0.25">
      <c r="B493" s="23" t="s">
        <v>1392</v>
      </c>
      <c r="C493" s="23" t="s">
        <v>1393</v>
      </c>
      <c r="D493" s="23" t="s">
        <v>363</v>
      </c>
    </row>
    <row r="494" spans="2:4" ht="15" customHeight="1" x14ac:dyDescent="0.25">
      <c r="B494" s="23" t="s">
        <v>1394</v>
      </c>
      <c r="C494" s="23" t="s">
        <v>1395</v>
      </c>
      <c r="D494" s="23" t="s">
        <v>363</v>
      </c>
    </row>
    <row r="495" spans="2:4" ht="15" customHeight="1" x14ac:dyDescent="0.25">
      <c r="B495" s="23" t="s">
        <v>1396</v>
      </c>
      <c r="C495" s="23" t="s">
        <v>1397</v>
      </c>
      <c r="D495" s="23" t="s">
        <v>363</v>
      </c>
    </row>
    <row r="496" spans="2:4" ht="15" customHeight="1" x14ac:dyDescent="0.25">
      <c r="B496" s="23" t="s">
        <v>1398</v>
      </c>
      <c r="C496" s="23" t="s">
        <v>1399</v>
      </c>
      <c r="D496" s="23" t="s">
        <v>991</v>
      </c>
    </row>
    <row r="497" spans="2:4" ht="15" customHeight="1" x14ac:dyDescent="0.25">
      <c r="B497" s="23" t="s">
        <v>1400</v>
      </c>
      <c r="C497" s="23" t="s">
        <v>1401</v>
      </c>
      <c r="D497" s="23" t="s">
        <v>419</v>
      </c>
    </row>
    <row r="498" spans="2:4" ht="15" customHeight="1" x14ac:dyDescent="0.25">
      <c r="B498" s="23" t="s">
        <v>1402</v>
      </c>
      <c r="C498" s="23" t="s">
        <v>1403</v>
      </c>
      <c r="D498" s="23" t="s">
        <v>402</v>
      </c>
    </row>
    <row r="499" spans="2:4" ht="15" customHeight="1" x14ac:dyDescent="0.25">
      <c r="B499" s="23" t="s">
        <v>1404</v>
      </c>
      <c r="C499" s="23" t="s">
        <v>1405</v>
      </c>
      <c r="D499" s="23" t="s">
        <v>419</v>
      </c>
    </row>
    <row r="500" spans="2:4" ht="15" customHeight="1" x14ac:dyDescent="0.25">
      <c r="B500" s="23" t="s">
        <v>1406</v>
      </c>
      <c r="C500" s="23" t="s">
        <v>1407</v>
      </c>
      <c r="D500" s="23" t="s">
        <v>363</v>
      </c>
    </row>
    <row r="501" spans="2:4" ht="15" customHeight="1" x14ac:dyDescent="0.25">
      <c r="B501" s="23" t="s">
        <v>1408</v>
      </c>
      <c r="C501" s="23" t="s">
        <v>1409</v>
      </c>
      <c r="D501" s="23" t="s">
        <v>419</v>
      </c>
    </row>
    <row r="502" spans="2:4" ht="15" customHeight="1" x14ac:dyDescent="0.25">
      <c r="B502" s="23" t="s">
        <v>1410</v>
      </c>
      <c r="C502" s="23" t="s">
        <v>1411</v>
      </c>
      <c r="D502" s="23" t="s">
        <v>419</v>
      </c>
    </row>
    <row r="503" spans="2:4" ht="15" customHeight="1" x14ac:dyDescent="0.25">
      <c r="B503" s="23" t="s">
        <v>1412</v>
      </c>
      <c r="C503" s="23" t="s">
        <v>1413</v>
      </c>
      <c r="D503" s="23" t="s">
        <v>419</v>
      </c>
    </row>
    <row r="504" spans="2:4" ht="15" customHeight="1" x14ac:dyDescent="0.25">
      <c r="B504" s="23" t="s">
        <v>1414</v>
      </c>
      <c r="C504" s="23" t="s">
        <v>1415</v>
      </c>
      <c r="D504" s="23" t="s">
        <v>419</v>
      </c>
    </row>
    <row r="505" spans="2:4" ht="15" customHeight="1" x14ac:dyDescent="0.25">
      <c r="B505" s="23" t="s">
        <v>1416</v>
      </c>
      <c r="C505" s="23" t="s">
        <v>1417</v>
      </c>
      <c r="D505" s="23" t="s">
        <v>419</v>
      </c>
    </row>
    <row r="506" spans="2:4" ht="15" customHeight="1" x14ac:dyDescent="0.25">
      <c r="B506" s="23" t="s">
        <v>1418</v>
      </c>
      <c r="C506" s="23" t="s">
        <v>1419</v>
      </c>
      <c r="D506" s="23" t="s">
        <v>419</v>
      </c>
    </row>
    <row r="507" spans="2:4" ht="15" customHeight="1" x14ac:dyDescent="0.25">
      <c r="B507" s="23" t="s">
        <v>1420</v>
      </c>
      <c r="C507" s="23" t="s">
        <v>1421</v>
      </c>
      <c r="D507" s="23" t="s">
        <v>419</v>
      </c>
    </row>
    <row r="508" spans="2:4" ht="15" customHeight="1" x14ac:dyDescent="0.25">
      <c r="B508" s="23" t="s">
        <v>1422</v>
      </c>
      <c r="C508" s="23" t="s">
        <v>1423</v>
      </c>
      <c r="D508" s="23" t="s">
        <v>419</v>
      </c>
    </row>
    <row r="509" spans="2:4" ht="15" customHeight="1" x14ac:dyDescent="0.25">
      <c r="B509" s="23" t="s">
        <v>1424</v>
      </c>
      <c r="C509" s="23" t="s">
        <v>1425</v>
      </c>
      <c r="D509" s="23" t="s">
        <v>419</v>
      </c>
    </row>
    <row r="510" spans="2:4" ht="15" customHeight="1" x14ac:dyDescent="0.25">
      <c r="B510" s="23" t="s">
        <v>1426</v>
      </c>
      <c r="C510" s="23" t="s">
        <v>1427</v>
      </c>
      <c r="D510" s="23" t="s">
        <v>363</v>
      </c>
    </row>
    <row r="511" spans="2:4" ht="15" customHeight="1" x14ac:dyDescent="0.25">
      <c r="B511" s="23" t="s">
        <v>1428</v>
      </c>
      <c r="C511" s="23" t="s">
        <v>1429</v>
      </c>
      <c r="D511" s="23" t="s">
        <v>419</v>
      </c>
    </row>
    <row r="512" spans="2:4" ht="15" customHeight="1" x14ac:dyDescent="0.25">
      <c r="B512" s="23" t="s">
        <v>1430</v>
      </c>
      <c r="C512" s="23" t="s">
        <v>1431</v>
      </c>
      <c r="D512" s="23" t="s">
        <v>419</v>
      </c>
    </row>
    <row r="513" spans="2:4" ht="15" customHeight="1" x14ac:dyDescent="0.25">
      <c r="B513" s="23" t="s">
        <v>1432</v>
      </c>
      <c r="C513" s="23" t="s">
        <v>1433</v>
      </c>
      <c r="D513" s="23" t="s">
        <v>419</v>
      </c>
    </row>
    <row r="514" spans="2:4" ht="15" customHeight="1" x14ac:dyDescent="0.25">
      <c r="B514" s="23" t="s">
        <v>1434</v>
      </c>
      <c r="C514" s="23" t="s">
        <v>1435</v>
      </c>
      <c r="D514" s="23" t="s">
        <v>419</v>
      </c>
    </row>
    <row r="515" spans="2:4" ht="15" customHeight="1" x14ac:dyDescent="0.25">
      <c r="B515" s="23" t="s">
        <v>1436</v>
      </c>
      <c r="C515" s="23" t="s">
        <v>1437</v>
      </c>
      <c r="D515" s="23" t="s">
        <v>419</v>
      </c>
    </row>
    <row r="516" spans="2:4" ht="15" customHeight="1" x14ac:dyDescent="0.25">
      <c r="B516" s="23" t="s">
        <v>1438</v>
      </c>
      <c r="C516" s="23" t="s">
        <v>1439</v>
      </c>
      <c r="D516" s="23" t="s">
        <v>419</v>
      </c>
    </row>
    <row r="517" spans="2:4" ht="15" customHeight="1" x14ac:dyDescent="0.25">
      <c r="B517" s="23" t="s">
        <v>1440</v>
      </c>
      <c r="C517" s="23" t="s">
        <v>1441</v>
      </c>
      <c r="D517" s="23" t="s">
        <v>419</v>
      </c>
    </row>
    <row r="518" spans="2:4" ht="15" customHeight="1" x14ac:dyDescent="0.25">
      <c r="B518" s="23" t="s">
        <v>1442</v>
      </c>
      <c r="C518" s="23" t="s">
        <v>1443</v>
      </c>
      <c r="D518" s="23" t="s">
        <v>402</v>
      </c>
    </row>
    <row r="519" spans="2:4" ht="15" customHeight="1" x14ac:dyDescent="0.25">
      <c r="B519" s="23" t="s">
        <v>1444</v>
      </c>
      <c r="C519" s="23" t="s">
        <v>1445</v>
      </c>
      <c r="D519" s="23" t="s">
        <v>419</v>
      </c>
    </row>
    <row r="520" spans="2:4" ht="15" customHeight="1" x14ac:dyDescent="0.25">
      <c r="B520" s="23" t="s">
        <v>1446</v>
      </c>
      <c r="C520" s="23" t="s">
        <v>1447</v>
      </c>
      <c r="D520" s="23" t="s">
        <v>419</v>
      </c>
    </row>
    <row r="521" spans="2:4" ht="15" customHeight="1" x14ac:dyDescent="0.25">
      <c r="B521" s="23" t="s">
        <v>1448</v>
      </c>
      <c r="C521" s="23" t="s">
        <v>1449</v>
      </c>
      <c r="D521" s="23" t="s">
        <v>419</v>
      </c>
    </row>
    <row r="522" spans="2:4" ht="15" customHeight="1" x14ac:dyDescent="0.25">
      <c r="B522" s="23" t="s">
        <v>1450</v>
      </c>
      <c r="C522" s="23" t="s">
        <v>1451</v>
      </c>
      <c r="D522" s="23" t="s">
        <v>419</v>
      </c>
    </row>
    <row r="523" spans="2:4" ht="15" customHeight="1" x14ac:dyDescent="0.25">
      <c r="B523" s="23" t="s">
        <v>1452</v>
      </c>
      <c r="C523" s="23" t="s">
        <v>1453</v>
      </c>
      <c r="D523" s="23" t="s">
        <v>419</v>
      </c>
    </row>
    <row r="524" spans="2:4" ht="15" customHeight="1" x14ac:dyDescent="0.25">
      <c r="B524" s="23" t="s">
        <v>1454</v>
      </c>
      <c r="C524" s="23" t="s">
        <v>1455</v>
      </c>
      <c r="D524" s="23"/>
    </row>
    <row r="525" spans="2:4" ht="15" customHeight="1" x14ac:dyDescent="0.25">
      <c r="B525" s="23" t="s">
        <v>1456</v>
      </c>
      <c r="C525" s="23" t="s">
        <v>1457</v>
      </c>
      <c r="D525" s="23" t="s">
        <v>419</v>
      </c>
    </row>
    <row r="526" spans="2:4" ht="15" customHeight="1" x14ac:dyDescent="0.25">
      <c r="B526" s="23" t="s">
        <v>1458</v>
      </c>
      <c r="C526" s="23" t="s">
        <v>1459</v>
      </c>
      <c r="D526" s="23" t="s">
        <v>419</v>
      </c>
    </row>
    <row r="527" spans="2:4" ht="15" customHeight="1" x14ac:dyDescent="0.25">
      <c r="B527" s="23" t="s">
        <v>1460</v>
      </c>
      <c r="C527" s="23" t="s">
        <v>1461</v>
      </c>
      <c r="D527" s="23" t="s">
        <v>119</v>
      </c>
    </row>
    <row r="528" spans="2:4" ht="15" customHeight="1" x14ac:dyDescent="0.25">
      <c r="B528" s="23" t="s">
        <v>1462</v>
      </c>
      <c r="C528" s="23" t="s">
        <v>1463</v>
      </c>
      <c r="D528" s="23" t="s">
        <v>419</v>
      </c>
    </row>
    <row r="529" spans="2:4" ht="15" customHeight="1" x14ac:dyDescent="0.25">
      <c r="B529" s="23" t="s">
        <v>1464</v>
      </c>
      <c r="C529" s="23" t="s">
        <v>1465</v>
      </c>
      <c r="D529" s="23" t="s">
        <v>735</v>
      </c>
    </row>
    <row r="530" spans="2:4" ht="15" customHeight="1" x14ac:dyDescent="0.25">
      <c r="B530" s="23" t="s">
        <v>1466</v>
      </c>
      <c r="C530" s="23" t="s">
        <v>1467</v>
      </c>
      <c r="D530" s="23" t="s">
        <v>419</v>
      </c>
    </row>
    <row r="531" spans="2:4" ht="15" customHeight="1" x14ac:dyDescent="0.25">
      <c r="B531" s="23" t="s">
        <v>1468</v>
      </c>
      <c r="C531" s="23" t="s">
        <v>1469</v>
      </c>
      <c r="D531" s="23" t="s">
        <v>1470</v>
      </c>
    </row>
    <row r="532" spans="2:4" ht="15" customHeight="1" x14ac:dyDescent="0.25">
      <c r="B532" s="23" t="s">
        <v>1471</v>
      </c>
      <c r="C532" s="23" t="s">
        <v>1472</v>
      </c>
      <c r="D532" s="23" t="s">
        <v>753</v>
      </c>
    </row>
    <row r="533" spans="2:4" ht="15" customHeight="1" x14ac:dyDescent="0.25">
      <c r="B533" s="23" t="s">
        <v>1473</v>
      </c>
      <c r="C533" s="23" t="s">
        <v>1474</v>
      </c>
      <c r="D533" s="23" t="s">
        <v>1470</v>
      </c>
    </row>
    <row r="534" spans="2:4" ht="15" customHeight="1" x14ac:dyDescent="0.25">
      <c r="B534" s="23" t="s">
        <v>1475</v>
      </c>
      <c r="C534" s="23" t="s">
        <v>1476</v>
      </c>
      <c r="D534" s="23" t="s">
        <v>1470</v>
      </c>
    </row>
    <row r="535" spans="2:4" ht="15" customHeight="1" x14ac:dyDescent="0.25">
      <c r="B535" s="23" t="s">
        <v>1477</v>
      </c>
      <c r="C535" s="23" t="s">
        <v>1478</v>
      </c>
      <c r="D535" s="23" t="s">
        <v>119</v>
      </c>
    </row>
    <row r="536" spans="2:4" ht="15" customHeight="1" x14ac:dyDescent="0.25">
      <c r="B536" s="23" t="s">
        <v>1479</v>
      </c>
      <c r="C536" s="23" t="s">
        <v>1480</v>
      </c>
      <c r="D536" s="23" t="s">
        <v>1481</v>
      </c>
    </row>
    <row r="537" spans="2:4" ht="15" customHeight="1" x14ac:dyDescent="0.25">
      <c r="B537" s="23" t="s">
        <v>1482</v>
      </c>
      <c r="C537" s="23" t="s">
        <v>1483</v>
      </c>
      <c r="D537" s="23" t="s">
        <v>1481</v>
      </c>
    </row>
    <row r="538" spans="2:4" ht="15" customHeight="1" x14ac:dyDescent="0.25">
      <c r="B538" s="23" t="s">
        <v>1484</v>
      </c>
      <c r="C538" s="23" t="s">
        <v>1485</v>
      </c>
      <c r="D538" s="23" t="s">
        <v>119</v>
      </c>
    </row>
    <row r="539" spans="2:4" ht="15" customHeight="1" x14ac:dyDescent="0.25">
      <c r="B539" s="23" t="s">
        <v>1486</v>
      </c>
      <c r="C539" s="23" t="s">
        <v>1487</v>
      </c>
      <c r="D539" s="23" t="s">
        <v>119</v>
      </c>
    </row>
    <row r="540" spans="2:4" ht="15" customHeight="1" x14ac:dyDescent="0.25">
      <c r="B540" s="23" t="s">
        <v>1488</v>
      </c>
      <c r="C540" s="23" t="s">
        <v>1489</v>
      </c>
      <c r="D540" s="23" t="s">
        <v>119</v>
      </c>
    </row>
    <row r="541" spans="2:4" ht="15" customHeight="1" x14ac:dyDescent="0.25">
      <c r="B541" s="23" t="s">
        <v>1490</v>
      </c>
      <c r="C541" s="23" t="s">
        <v>1491</v>
      </c>
      <c r="D541" s="23" t="s">
        <v>1481</v>
      </c>
    </row>
    <row r="542" spans="2:4" ht="15" customHeight="1" x14ac:dyDescent="0.25">
      <c r="B542" s="23" t="s">
        <v>1492</v>
      </c>
      <c r="C542" s="23" t="s">
        <v>1493</v>
      </c>
      <c r="D542" s="23" t="s">
        <v>1481</v>
      </c>
    </row>
    <row r="543" spans="2:4" ht="15" customHeight="1" x14ac:dyDescent="0.25">
      <c r="B543" s="23" t="s">
        <v>1494</v>
      </c>
      <c r="C543" s="23" t="s">
        <v>1495</v>
      </c>
      <c r="D543" s="23" t="s">
        <v>419</v>
      </c>
    </row>
    <row r="544" spans="2:4" ht="15" customHeight="1" x14ac:dyDescent="0.25">
      <c r="B544" s="23" t="s">
        <v>1496</v>
      </c>
      <c r="C544" s="23" t="s">
        <v>1497</v>
      </c>
      <c r="D544" s="23" t="s">
        <v>119</v>
      </c>
    </row>
    <row r="545" spans="2:4" ht="15" customHeight="1" x14ac:dyDescent="0.25">
      <c r="B545" s="23" t="s">
        <v>1498</v>
      </c>
      <c r="C545" s="23" t="s">
        <v>1499</v>
      </c>
      <c r="D545" s="23" t="s">
        <v>119</v>
      </c>
    </row>
    <row r="546" spans="2:4" ht="15" customHeight="1" x14ac:dyDescent="0.25">
      <c r="B546" s="23" t="s">
        <v>1500</v>
      </c>
      <c r="C546" s="23" t="s">
        <v>1501</v>
      </c>
      <c r="D546" s="23" t="s">
        <v>119</v>
      </c>
    </row>
    <row r="547" spans="2:4" ht="15" customHeight="1" x14ac:dyDescent="0.25">
      <c r="B547" s="23" t="s">
        <v>1502</v>
      </c>
      <c r="C547" s="23" t="s">
        <v>1503</v>
      </c>
      <c r="D547" s="23" t="s">
        <v>119</v>
      </c>
    </row>
    <row r="548" spans="2:4" ht="15" customHeight="1" x14ac:dyDescent="0.25">
      <c r="B548" s="23" t="s">
        <v>1504</v>
      </c>
      <c r="C548" s="23" t="s">
        <v>1505</v>
      </c>
      <c r="D548" s="23" t="s">
        <v>119</v>
      </c>
    </row>
    <row r="549" spans="2:4" ht="15" customHeight="1" x14ac:dyDescent="0.25">
      <c r="B549" s="23" t="s">
        <v>1506</v>
      </c>
      <c r="C549" s="23" t="s">
        <v>1507</v>
      </c>
      <c r="D549" s="23" t="s">
        <v>119</v>
      </c>
    </row>
    <row r="550" spans="2:4" ht="15" customHeight="1" x14ac:dyDescent="0.25">
      <c r="B550" s="23" t="s">
        <v>1508</v>
      </c>
      <c r="C550" s="23" t="s">
        <v>1509</v>
      </c>
      <c r="D550" s="23" t="s">
        <v>119</v>
      </c>
    </row>
    <row r="551" spans="2:4" ht="15" customHeight="1" x14ac:dyDescent="0.25">
      <c r="B551" s="23" t="s">
        <v>1510</v>
      </c>
      <c r="C551" s="23" t="s">
        <v>1511</v>
      </c>
      <c r="D551" s="23" t="s">
        <v>119</v>
      </c>
    </row>
    <row r="552" spans="2:4" ht="15" customHeight="1" x14ac:dyDescent="0.25">
      <c r="B552" s="23" t="s">
        <v>1512</v>
      </c>
      <c r="C552" s="23" t="s">
        <v>1513</v>
      </c>
      <c r="D552" s="23" t="s">
        <v>753</v>
      </c>
    </row>
    <row r="553" spans="2:4" ht="15" customHeight="1" x14ac:dyDescent="0.25">
      <c r="B553" s="23" t="s">
        <v>1514</v>
      </c>
      <c r="C553" s="23" t="s">
        <v>1515</v>
      </c>
      <c r="D553" s="23" t="s">
        <v>119</v>
      </c>
    </row>
    <row r="554" spans="2:4" ht="15" customHeight="1" x14ac:dyDescent="0.25">
      <c r="B554" s="23" t="s">
        <v>1516</v>
      </c>
      <c r="C554" s="23" t="s">
        <v>1517</v>
      </c>
      <c r="D554" s="23" t="s">
        <v>119</v>
      </c>
    </row>
    <row r="555" spans="2:4" ht="15" customHeight="1" x14ac:dyDescent="0.25">
      <c r="B555" s="23" t="s">
        <v>1518</v>
      </c>
      <c r="C555" s="23" t="s">
        <v>1519</v>
      </c>
      <c r="D555" s="23" t="s">
        <v>119</v>
      </c>
    </row>
    <row r="556" spans="2:4" ht="15" customHeight="1" x14ac:dyDescent="0.25">
      <c r="B556" s="23" t="s">
        <v>1520</v>
      </c>
      <c r="C556" s="23" t="s">
        <v>1521</v>
      </c>
      <c r="D556" s="23" t="s">
        <v>119</v>
      </c>
    </row>
    <row r="557" spans="2:4" ht="15" customHeight="1" x14ac:dyDescent="0.25">
      <c r="B557" s="23" t="s">
        <v>1522</v>
      </c>
      <c r="C557" s="23" t="s">
        <v>1523</v>
      </c>
      <c r="D557" s="23" t="s">
        <v>119</v>
      </c>
    </row>
    <row r="558" spans="2:4" ht="15" customHeight="1" x14ac:dyDescent="0.25">
      <c r="B558" s="23" t="s">
        <v>1524</v>
      </c>
      <c r="C558" s="23" t="s">
        <v>1525</v>
      </c>
      <c r="D558" s="23" t="s">
        <v>419</v>
      </c>
    </row>
    <row r="559" spans="2:4" ht="15" customHeight="1" x14ac:dyDescent="0.25">
      <c r="B559" s="23" t="s">
        <v>1526</v>
      </c>
      <c r="C559" s="23" t="s">
        <v>1527</v>
      </c>
      <c r="D559" s="23" t="s">
        <v>419</v>
      </c>
    </row>
    <row r="560" spans="2:4" ht="15" customHeight="1" x14ac:dyDescent="0.25">
      <c r="B560" s="23" t="s">
        <v>1528</v>
      </c>
      <c r="C560" s="23" t="s">
        <v>1529</v>
      </c>
      <c r="D560" s="23" t="s">
        <v>419</v>
      </c>
    </row>
    <row r="561" spans="2:4" ht="15" customHeight="1" x14ac:dyDescent="0.25">
      <c r="B561" s="23" t="s">
        <v>1530</v>
      </c>
      <c r="C561" s="23" t="s">
        <v>1531</v>
      </c>
      <c r="D561" s="23" t="s">
        <v>119</v>
      </c>
    </row>
    <row r="562" spans="2:4" ht="15" customHeight="1" x14ac:dyDescent="0.25">
      <c r="B562" s="23" t="s">
        <v>1532</v>
      </c>
      <c r="C562" s="23" t="s">
        <v>1533</v>
      </c>
      <c r="D562" s="23" t="s">
        <v>119</v>
      </c>
    </row>
    <row r="563" spans="2:4" ht="15" customHeight="1" x14ac:dyDescent="0.25">
      <c r="B563" s="23" t="s">
        <v>1534</v>
      </c>
      <c r="C563" s="23" t="s">
        <v>1535</v>
      </c>
      <c r="D563" s="23" t="s">
        <v>119</v>
      </c>
    </row>
    <row r="564" spans="2:4" ht="15" customHeight="1" x14ac:dyDescent="0.25">
      <c r="B564" s="23" t="s">
        <v>1536</v>
      </c>
      <c r="C564" s="23" t="s">
        <v>1537</v>
      </c>
      <c r="D564" s="23" t="s">
        <v>119</v>
      </c>
    </row>
    <row r="565" spans="2:4" ht="15" customHeight="1" x14ac:dyDescent="0.25">
      <c r="B565" s="23" t="s">
        <v>1538</v>
      </c>
      <c r="C565" s="23" t="s">
        <v>1539</v>
      </c>
      <c r="D565" s="23" t="s">
        <v>119</v>
      </c>
    </row>
    <row r="566" spans="2:4" ht="15" customHeight="1" x14ac:dyDescent="0.25">
      <c r="B566" s="23" t="s">
        <v>1540</v>
      </c>
      <c r="C566" s="23" t="s">
        <v>1541</v>
      </c>
      <c r="D566" s="23" t="s">
        <v>119</v>
      </c>
    </row>
    <row r="567" spans="2:4" ht="15" customHeight="1" x14ac:dyDescent="0.25">
      <c r="B567" s="23" t="s">
        <v>1542</v>
      </c>
      <c r="C567" s="23" t="s">
        <v>1543</v>
      </c>
      <c r="D567" s="23" t="s">
        <v>119</v>
      </c>
    </row>
    <row r="568" spans="2:4" ht="15" customHeight="1" x14ac:dyDescent="0.25">
      <c r="B568" s="23" t="s">
        <v>1544</v>
      </c>
      <c r="C568" s="23" t="s">
        <v>1545</v>
      </c>
      <c r="D568" s="23" t="s">
        <v>419</v>
      </c>
    </row>
    <row r="569" spans="2:4" ht="15" customHeight="1" x14ac:dyDescent="0.25">
      <c r="B569" s="23" t="s">
        <v>1546</v>
      </c>
      <c r="C569" s="23" t="s">
        <v>1547</v>
      </c>
      <c r="D569" s="23" t="s">
        <v>419</v>
      </c>
    </row>
    <row r="570" spans="2:4" ht="15" customHeight="1" x14ac:dyDescent="0.25">
      <c r="B570" s="23" t="s">
        <v>1548</v>
      </c>
      <c r="C570" s="23" t="s">
        <v>1549</v>
      </c>
      <c r="D570" s="23" t="s">
        <v>419</v>
      </c>
    </row>
    <row r="571" spans="2:4" ht="15" customHeight="1" x14ac:dyDescent="0.25">
      <c r="B571" s="23" t="s">
        <v>1550</v>
      </c>
      <c r="C571" s="23" t="s">
        <v>1551</v>
      </c>
      <c r="D571" s="23" t="s">
        <v>419</v>
      </c>
    </row>
    <row r="572" spans="2:4" ht="15" customHeight="1" x14ac:dyDescent="0.25">
      <c r="B572" s="23" t="s">
        <v>1552</v>
      </c>
      <c r="C572" s="23" t="s">
        <v>1553</v>
      </c>
      <c r="D572" s="23" t="s">
        <v>419</v>
      </c>
    </row>
    <row r="573" spans="2:4" ht="15" customHeight="1" x14ac:dyDescent="0.25">
      <c r="B573" s="23" t="s">
        <v>1554</v>
      </c>
      <c r="C573" s="23" t="s">
        <v>1555</v>
      </c>
      <c r="D573" s="23" t="s">
        <v>419</v>
      </c>
    </row>
    <row r="574" spans="2:4" ht="15" customHeight="1" x14ac:dyDescent="0.25">
      <c r="B574" s="23" t="s">
        <v>1556</v>
      </c>
      <c r="C574" s="23" t="s">
        <v>1557</v>
      </c>
      <c r="D574" s="23"/>
    </row>
    <row r="575" spans="2:4" ht="15" customHeight="1" x14ac:dyDescent="0.25">
      <c r="B575" s="23" t="s">
        <v>1558</v>
      </c>
      <c r="C575" s="23" t="s">
        <v>1559</v>
      </c>
      <c r="D575" s="23"/>
    </row>
    <row r="576" spans="2:4" ht="15" customHeight="1" x14ac:dyDescent="0.25">
      <c r="B576" s="23" t="s">
        <v>1560</v>
      </c>
      <c r="C576" s="23" t="s">
        <v>1561</v>
      </c>
      <c r="D576" s="23" t="s">
        <v>735</v>
      </c>
    </row>
    <row r="577" spans="2:4" ht="15" customHeight="1" x14ac:dyDescent="0.25">
      <c r="B577" s="23" t="s">
        <v>1562</v>
      </c>
      <c r="C577" s="23" t="s">
        <v>1563</v>
      </c>
      <c r="D577" s="23"/>
    </row>
    <row r="578" spans="2:4" ht="15" customHeight="1" x14ac:dyDescent="0.25">
      <c r="B578" s="23" t="s">
        <v>1564</v>
      </c>
      <c r="C578" s="23" t="s">
        <v>1565</v>
      </c>
      <c r="D578" s="23" t="s">
        <v>119</v>
      </c>
    </row>
    <row r="579" spans="2:4" ht="15" customHeight="1" x14ac:dyDescent="0.25">
      <c r="B579" s="23" t="s">
        <v>1566</v>
      </c>
      <c r="C579" s="23" t="s">
        <v>1567</v>
      </c>
      <c r="D579" s="23" t="s">
        <v>119</v>
      </c>
    </row>
    <row r="580" spans="2:4" ht="15" customHeight="1" x14ac:dyDescent="0.25">
      <c r="B580" s="23" t="s">
        <v>1568</v>
      </c>
      <c r="C580" s="23" t="s">
        <v>1569</v>
      </c>
      <c r="D580" s="23" t="s">
        <v>119</v>
      </c>
    </row>
    <row r="581" spans="2:4" ht="15" customHeight="1" x14ac:dyDescent="0.25">
      <c r="B581" s="23" t="s">
        <v>1570</v>
      </c>
      <c r="C581" s="23" t="s">
        <v>1571</v>
      </c>
      <c r="D581" s="23" t="s">
        <v>119</v>
      </c>
    </row>
    <row r="582" spans="2:4" ht="15" customHeight="1" x14ac:dyDescent="0.25">
      <c r="B582" s="23" t="s">
        <v>1572</v>
      </c>
      <c r="C582" s="23" t="s">
        <v>1573</v>
      </c>
      <c r="D582" s="23" t="s">
        <v>1574</v>
      </c>
    </row>
    <row r="583" spans="2:4" ht="15" customHeight="1" x14ac:dyDescent="0.25">
      <c r="B583" s="23" t="s">
        <v>1575</v>
      </c>
      <c r="C583" s="23" t="s">
        <v>1576</v>
      </c>
      <c r="D583" s="23"/>
    </row>
    <row r="584" spans="2:4" ht="15" customHeight="1" x14ac:dyDescent="0.25">
      <c r="B584" s="23" t="s">
        <v>1577</v>
      </c>
      <c r="C584" s="23" t="s">
        <v>1578</v>
      </c>
      <c r="D584" s="23"/>
    </row>
    <row r="585" spans="2:4" ht="15" customHeight="1" x14ac:dyDescent="0.25">
      <c r="B585" s="23" t="s">
        <v>1579</v>
      </c>
      <c r="C585" s="23" t="s">
        <v>1573</v>
      </c>
      <c r="D585" s="23" t="s">
        <v>1580</v>
      </c>
    </row>
    <row r="586" spans="2:4" ht="15" customHeight="1" x14ac:dyDescent="0.25">
      <c r="B586" s="23" t="s">
        <v>1581</v>
      </c>
      <c r="C586" s="23" t="s">
        <v>1582</v>
      </c>
      <c r="D586" s="23" t="s">
        <v>1583</v>
      </c>
    </row>
    <row r="587" spans="2:4" ht="15" customHeight="1" x14ac:dyDescent="0.25">
      <c r="B587" s="23" t="s">
        <v>1584</v>
      </c>
      <c r="C587" s="23" t="s">
        <v>1585</v>
      </c>
      <c r="D587" s="23" t="s">
        <v>1586</v>
      </c>
    </row>
    <row r="588" spans="2:4" ht="15" customHeight="1" x14ac:dyDescent="0.25">
      <c r="B588" s="23" t="s">
        <v>1587</v>
      </c>
      <c r="C588" s="23" t="s">
        <v>1588</v>
      </c>
      <c r="D588" s="23" t="s">
        <v>1586</v>
      </c>
    </row>
    <row r="589" spans="2:4" ht="15" customHeight="1" x14ac:dyDescent="0.25">
      <c r="B589" s="23" t="s">
        <v>1589</v>
      </c>
      <c r="C589" s="23" t="s">
        <v>1590</v>
      </c>
      <c r="D589" s="23" t="s">
        <v>1583</v>
      </c>
    </row>
    <row r="590" spans="2:4" ht="15" customHeight="1" x14ac:dyDescent="0.25">
      <c r="B590" s="23" t="s">
        <v>1591</v>
      </c>
      <c r="C590" s="23" t="s">
        <v>1592</v>
      </c>
      <c r="D590" s="23" t="s">
        <v>1586</v>
      </c>
    </row>
    <row r="591" spans="2:4" ht="15" customHeight="1" x14ac:dyDescent="0.25">
      <c r="B591" s="23" t="s">
        <v>1593</v>
      </c>
      <c r="C591" s="23" t="s">
        <v>1594</v>
      </c>
      <c r="D591" s="23" t="s">
        <v>1586</v>
      </c>
    </row>
    <row r="592" spans="2:4" ht="15" customHeight="1" x14ac:dyDescent="0.25">
      <c r="B592" s="23" t="s">
        <v>1595</v>
      </c>
      <c r="C592" s="23" t="s">
        <v>1596</v>
      </c>
      <c r="D592" s="23" t="s">
        <v>1586</v>
      </c>
    </row>
    <row r="593" spans="2:4" ht="15" customHeight="1" x14ac:dyDescent="0.25">
      <c r="B593" s="23" t="s">
        <v>1597</v>
      </c>
      <c r="C593" s="23" t="s">
        <v>1598</v>
      </c>
      <c r="D593" s="23" t="s">
        <v>419</v>
      </c>
    </row>
    <row r="594" spans="2:4" ht="15" customHeight="1" x14ac:dyDescent="0.25">
      <c r="B594" s="23" t="s">
        <v>1599</v>
      </c>
      <c r="C594" s="23" t="s">
        <v>1600</v>
      </c>
      <c r="D594" s="23" t="s">
        <v>1601</v>
      </c>
    </row>
    <row r="595" spans="2:4" ht="15" customHeight="1" x14ac:dyDescent="0.25">
      <c r="B595" s="23" t="s">
        <v>1602</v>
      </c>
      <c r="C595" s="23" t="s">
        <v>1603</v>
      </c>
      <c r="D595" s="23" t="s">
        <v>1604</v>
      </c>
    </row>
    <row r="596" spans="2:4" ht="15" customHeight="1" x14ac:dyDescent="0.25">
      <c r="B596" s="23" t="s">
        <v>1605</v>
      </c>
      <c r="C596" s="23" t="s">
        <v>1606</v>
      </c>
      <c r="D596" s="23" t="s">
        <v>1607</v>
      </c>
    </row>
    <row r="597" spans="2:4" ht="15" customHeight="1" x14ac:dyDescent="0.25">
      <c r="B597" s="23" t="s">
        <v>1608</v>
      </c>
      <c r="C597" s="23" t="s">
        <v>1609</v>
      </c>
      <c r="D597" s="23" t="s">
        <v>1610</v>
      </c>
    </row>
    <row r="598" spans="2:4" ht="15" customHeight="1" x14ac:dyDescent="0.25">
      <c r="B598" s="23" t="s">
        <v>1611</v>
      </c>
      <c r="C598" s="23" t="s">
        <v>1612</v>
      </c>
      <c r="D598" s="23" t="s">
        <v>362</v>
      </c>
    </row>
    <row r="599" spans="2:4" ht="15" customHeight="1" x14ac:dyDescent="0.25">
      <c r="B599" s="23" t="s">
        <v>1613</v>
      </c>
      <c r="C599" s="23" t="s">
        <v>1614</v>
      </c>
      <c r="D599" s="23" t="s">
        <v>1615</v>
      </c>
    </row>
    <row r="600" spans="2:4" ht="15" customHeight="1" x14ac:dyDescent="0.25">
      <c r="B600" s="23" t="s">
        <v>1616</v>
      </c>
      <c r="C600" s="23" t="s">
        <v>1617</v>
      </c>
      <c r="D600" s="23" t="s">
        <v>1618</v>
      </c>
    </row>
    <row r="601" spans="2:4" ht="15" customHeight="1" x14ac:dyDescent="0.25">
      <c r="B601" s="23" t="s">
        <v>1619</v>
      </c>
      <c r="C601" s="23" t="s">
        <v>1620</v>
      </c>
      <c r="D601" s="23" t="s">
        <v>1621</v>
      </c>
    </row>
    <row r="602" spans="2:4" ht="15" customHeight="1" x14ac:dyDescent="0.25">
      <c r="B602" s="23" t="s">
        <v>1622</v>
      </c>
      <c r="C602" s="23" t="s">
        <v>1623</v>
      </c>
      <c r="D602" s="23" t="s">
        <v>1621</v>
      </c>
    </row>
    <row r="603" spans="2:4" ht="15" customHeight="1" x14ac:dyDescent="0.25">
      <c r="B603" s="23" t="s">
        <v>1624</v>
      </c>
      <c r="C603" s="23" t="s">
        <v>1625</v>
      </c>
      <c r="D603" s="23" t="s">
        <v>1621</v>
      </c>
    </row>
    <row r="604" spans="2:4" ht="15" customHeight="1" x14ac:dyDescent="0.25">
      <c r="B604" s="23" t="s">
        <v>1626</v>
      </c>
      <c r="C604" s="23" t="s">
        <v>1627</v>
      </c>
      <c r="D604" s="23" t="s">
        <v>1621</v>
      </c>
    </row>
    <row r="605" spans="2:4" ht="15" customHeight="1" x14ac:dyDescent="0.25">
      <c r="B605" s="23" t="s">
        <v>1628</v>
      </c>
      <c r="C605" s="23" t="s">
        <v>1629</v>
      </c>
      <c r="D605" s="23" t="s">
        <v>1621</v>
      </c>
    </row>
    <row r="606" spans="2:4" ht="15" customHeight="1" x14ac:dyDescent="0.25">
      <c r="B606" s="23" t="s">
        <v>1630</v>
      </c>
      <c r="C606" s="23" t="s">
        <v>1631</v>
      </c>
      <c r="D606" s="23" t="s">
        <v>1632</v>
      </c>
    </row>
    <row r="607" spans="2:4" ht="15" customHeight="1" x14ac:dyDescent="0.25">
      <c r="B607" s="23" t="s">
        <v>1633</v>
      </c>
      <c r="C607" s="23" t="s">
        <v>1634</v>
      </c>
      <c r="D607" s="23" t="s">
        <v>1632</v>
      </c>
    </row>
    <row r="608" spans="2:4" ht="15" customHeight="1" x14ac:dyDescent="0.25">
      <c r="B608" s="23" t="s">
        <v>1635</v>
      </c>
      <c r="C608" s="23" t="s">
        <v>1636</v>
      </c>
      <c r="D608" s="23" t="s">
        <v>1637</v>
      </c>
    </row>
    <row r="609" spans="2:4" ht="15" customHeight="1" x14ac:dyDescent="0.25">
      <c r="B609" s="23" t="s">
        <v>1638</v>
      </c>
      <c r="C609" s="23" t="s">
        <v>1639</v>
      </c>
      <c r="D609" s="23" t="s">
        <v>1640</v>
      </c>
    </row>
    <row r="610" spans="2:4" ht="15" customHeight="1" x14ac:dyDescent="0.25">
      <c r="B610" s="23" t="s">
        <v>1641</v>
      </c>
      <c r="C610" s="23" t="s">
        <v>1642</v>
      </c>
      <c r="D610" s="23" t="s">
        <v>1643</v>
      </c>
    </row>
    <row r="611" spans="2:4" ht="15" customHeight="1" x14ac:dyDescent="0.25">
      <c r="B611" s="23" t="s">
        <v>1644</v>
      </c>
      <c r="C611" s="23" t="s">
        <v>1645</v>
      </c>
      <c r="D611" s="23" t="s">
        <v>1646</v>
      </c>
    </row>
    <row r="612" spans="2:4" ht="15" customHeight="1" x14ac:dyDescent="0.25">
      <c r="B612" s="23" t="s">
        <v>1647</v>
      </c>
      <c r="C612" s="23" t="s">
        <v>1648</v>
      </c>
      <c r="D612" s="23" t="s">
        <v>1621</v>
      </c>
    </row>
    <row r="613" spans="2:4" ht="15" customHeight="1" x14ac:dyDescent="0.25">
      <c r="B613" s="23" t="s">
        <v>1649</v>
      </c>
      <c r="C613" s="23" t="s">
        <v>1650</v>
      </c>
      <c r="D613" s="23" t="s">
        <v>1651</v>
      </c>
    </row>
    <row r="614" spans="2:4" ht="15" customHeight="1" x14ac:dyDescent="0.25">
      <c r="B614" s="23" t="s">
        <v>1652</v>
      </c>
      <c r="C614" s="23" t="s">
        <v>1653</v>
      </c>
      <c r="D614" s="23" t="s">
        <v>1654</v>
      </c>
    </row>
    <row r="615" spans="2:4" ht="15" customHeight="1" x14ac:dyDescent="0.25">
      <c r="B615" s="23" t="s">
        <v>1655</v>
      </c>
      <c r="C615" s="23" t="s">
        <v>1656</v>
      </c>
      <c r="D615" s="23" t="s">
        <v>1657</v>
      </c>
    </row>
    <row r="616" spans="2:4" ht="15" customHeight="1" x14ac:dyDescent="0.25">
      <c r="B616" s="23" t="s">
        <v>1658</v>
      </c>
      <c r="C616" s="23" t="s">
        <v>1659</v>
      </c>
      <c r="D616" s="23" t="s">
        <v>1660</v>
      </c>
    </row>
    <row r="617" spans="2:4" ht="15" customHeight="1" x14ac:dyDescent="0.25">
      <c r="B617" s="23" t="s">
        <v>1661</v>
      </c>
      <c r="C617" s="23" t="s">
        <v>1662</v>
      </c>
      <c r="D617" s="23" t="s">
        <v>1618</v>
      </c>
    </row>
    <row r="618" spans="2:4" ht="15" customHeight="1" x14ac:dyDescent="0.25">
      <c r="B618" s="23" t="s">
        <v>1663</v>
      </c>
      <c r="C618" s="23" t="s">
        <v>1664</v>
      </c>
      <c r="D618" s="23" t="s">
        <v>1665</v>
      </c>
    </row>
    <row r="619" spans="2:4" ht="15" customHeight="1" x14ac:dyDescent="0.25">
      <c r="B619" s="23" t="s">
        <v>1666</v>
      </c>
      <c r="C619" s="23" t="s">
        <v>1667</v>
      </c>
      <c r="D619" s="23" t="s">
        <v>1657</v>
      </c>
    </row>
    <row r="620" spans="2:4" ht="15" customHeight="1" x14ac:dyDescent="0.25">
      <c r="B620" s="23" t="s">
        <v>1668</v>
      </c>
      <c r="C620" s="23" t="s">
        <v>1669</v>
      </c>
      <c r="D620" s="23" t="s">
        <v>1665</v>
      </c>
    </row>
    <row r="621" spans="2:4" ht="15" customHeight="1" x14ac:dyDescent="0.25">
      <c r="B621" s="23" t="s">
        <v>1670</v>
      </c>
      <c r="C621" s="23" t="s">
        <v>1671</v>
      </c>
      <c r="D621" s="23" t="s">
        <v>1672</v>
      </c>
    </row>
    <row r="622" spans="2:4" ht="15" customHeight="1" x14ac:dyDescent="0.25">
      <c r="B622" s="23" t="s">
        <v>1673</v>
      </c>
      <c r="C622" s="23" t="s">
        <v>1674</v>
      </c>
      <c r="D622" s="23" t="s">
        <v>1621</v>
      </c>
    </row>
    <row r="623" spans="2:4" ht="15" customHeight="1" x14ac:dyDescent="0.25">
      <c r="B623" s="23" t="s">
        <v>1675</v>
      </c>
      <c r="C623" s="23" t="s">
        <v>1676</v>
      </c>
      <c r="D623" s="23" t="s">
        <v>1657</v>
      </c>
    </row>
    <row r="624" spans="2:4" ht="15" customHeight="1" x14ac:dyDescent="0.25">
      <c r="B624" s="23" t="s">
        <v>1677</v>
      </c>
      <c r="C624" s="23" t="s">
        <v>1678</v>
      </c>
      <c r="D624" s="23" t="s">
        <v>1657</v>
      </c>
    </row>
    <row r="625" spans="2:4" ht="15" customHeight="1" x14ac:dyDescent="0.25">
      <c r="B625" s="23" t="s">
        <v>1679</v>
      </c>
      <c r="C625" s="23" t="s">
        <v>1680</v>
      </c>
      <c r="D625" s="23" t="s">
        <v>1681</v>
      </c>
    </row>
    <row r="626" spans="2:4" ht="15" customHeight="1" x14ac:dyDescent="0.25">
      <c r="B626" s="23" t="s">
        <v>1682</v>
      </c>
      <c r="C626" s="23" t="s">
        <v>1683</v>
      </c>
      <c r="D626" s="23" t="s">
        <v>1665</v>
      </c>
    </row>
    <row r="627" spans="2:4" ht="15" customHeight="1" x14ac:dyDescent="0.25">
      <c r="B627" s="23" t="s">
        <v>1684</v>
      </c>
      <c r="C627" s="23" t="s">
        <v>1685</v>
      </c>
      <c r="D627" s="23" t="s">
        <v>1686</v>
      </c>
    </row>
    <row r="628" spans="2:4" ht="15" customHeight="1" x14ac:dyDescent="0.25">
      <c r="B628" s="23" t="s">
        <v>1687</v>
      </c>
      <c r="C628" s="23" t="s">
        <v>1688</v>
      </c>
      <c r="D628" s="23" t="s">
        <v>1621</v>
      </c>
    </row>
    <row r="629" spans="2:4" ht="15" customHeight="1" x14ac:dyDescent="0.25">
      <c r="B629" s="23" t="s">
        <v>1689</v>
      </c>
      <c r="C629" s="23" t="s">
        <v>1690</v>
      </c>
      <c r="D629" s="23" t="s">
        <v>1657</v>
      </c>
    </row>
    <row r="630" spans="2:4" ht="15" customHeight="1" x14ac:dyDescent="0.25">
      <c r="B630" s="23" t="s">
        <v>1691</v>
      </c>
      <c r="C630" s="23" t="s">
        <v>1692</v>
      </c>
      <c r="D630" s="23" t="s">
        <v>1686</v>
      </c>
    </row>
    <row r="631" spans="2:4" ht="15" customHeight="1" x14ac:dyDescent="0.25">
      <c r="B631" s="23" t="s">
        <v>1693</v>
      </c>
      <c r="C631" s="23" t="s">
        <v>1694</v>
      </c>
      <c r="D631" s="23" t="s">
        <v>1621</v>
      </c>
    </row>
    <row r="632" spans="2:4" ht="15" customHeight="1" x14ac:dyDescent="0.25">
      <c r="B632" s="23" t="s">
        <v>1695</v>
      </c>
      <c r="C632" s="23" t="s">
        <v>1696</v>
      </c>
      <c r="D632" s="23" t="s">
        <v>1665</v>
      </c>
    </row>
    <row r="633" spans="2:4" ht="15" customHeight="1" x14ac:dyDescent="0.25">
      <c r="B633" s="23" t="s">
        <v>1697</v>
      </c>
      <c r="C633" s="23" t="s">
        <v>1698</v>
      </c>
      <c r="D633" s="23" t="s">
        <v>1665</v>
      </c>
    </row>
    <row r="634" spans="2:4" ht="15" customHeight="1" x14ac:dyDescent="0.25">
      <c r="B634" s="23" t="s">
        <v>1699</v>
      </c>
      <c r="C634" s="23" t="s">
        <v>1700</v>
      </c>
      <c r="D634" s="23" t="s">
        <v>1657</v>
      </c>
    </row>
    <row r="635" spans="2:4" ht="15" customHeight="1" x14ac:dyDescent="0.25">
      <c r="B635" s="23" t="s">
        <v>1701</v>
      </c>
      <c r="C635" s="23" t="s">
        <v>1702</v>
      </c>
      <c r="D635" s="23" t="s">
        <v>1657</v>
      </c>
    </row>
    <row r="636" spans="2:4" ht="15" customHeight="1" x14ac:dyDescent="0.25">
      <c r="B636" s="23" t="s">
        <v>1703</v>
      </c>
      <c r="C636" s="23" t="s">
        <v>1704</v>
      </c>
      <c r="D636" s="23" t="s">
        <v>1657</v>
      </c>
    </row>
    <row r="637" spans="2:4" ht="15" customHeight="1" x14ac:dyDescent="0.25">
      <c r="B637" s="23" t="s">
        <v>1705</v>
      </c>
      <c r="C637" s="23" t="s">
        <v>1706</v>
      </c>
      <c r="D637" s="23" t="s">
        <v>1657</v>
      </c>
    </row>
    <row r="638" spans="2:4" ht="15" customHeight="1" x14ac:dyDescent="0.25">
      <c r="B638" s="23" t="s">
        <v>1707</v>
      </c>
      <c r="C638" s="23" t="s">
        <v>1708</v>
      </c>
      <c r="D638" s="23" t="s">
        <v>1657</v>
      </c>
    </row>
    <row r="639" spans="2:4" ht="15" customHeight="1" x14ac:dyDescent="0.25">
      <c r="B639" s="23" t="s">
        <v>1709</v>
      </c>
      <c r="C639" s="23" t="s">
        <v>1710</v>
      </c>
      <c r="D639" s="23" t="s">
        <v>1657</v>
      </c>
    </row>
    <row r="640" spans="2:4" ht="15" customHeight="1" x14ac:dyDescent="0.25">
      <c r="B640" s="23" t="s">
        <v>1711</v>
      </c>
      <c r="C640" s="23" t="s">
        <v>1712</v>
      </c>
      <c r="D640" s="23" t="s">
        <v>1657</v>
      </c>
    </row>
    <row r="641" spans="2:4" ht="15" customHeight="1" x14ac:dyDescent="0.25">
      <c r="B641" s="23" t="s">
        <v>1713</v>
      </c>
      <c r="C641" s="23" t="s">
        <v>1714</v>
      </c>
      <c r="D641" s="23" t="s">
        <v>1715</v>
      </c>
    </row>
    <row r="642" spans="2:4" ht="15" customHeight="1" x14ac:dyDescent="0.25">
      <c r="B642" s="23" t="s">
        <v>1716</v>
      </c>
      <c r="C642" s="23" t="s">
        <v>1717</v>
      </c>
      <c r="D642" s="23" t="s">
        <v>1610</v>
      </c>
    </row>
    <row r="643" spans="2:4" ht="15" customHeight="1" x14ac:dyDescent="0.25">
      <c r="B643" s="23" t="s">
        <v>1718</v>
      </c>
      <c r="C643" s="23" t="s">
        <v>1719</v>
      </c>
      <c r="D643" s="23" t="s">
        <v>1618</v>
      </c>
    </row>
    <row r="644" spans="2:4" ht="15" customHeight="1" x14ac:dyDescent="0.25">
      <c r="B644" s="23" t="s">
        <v>1720</v>
      </c>
      <c r="C644" s="23" t="s">
        <v>1721</v>
      </c>
      <c r="D644" s="23" t="s">
        <v>1722</v>
      </c>
    </row>
    <row r="645" spans="2:4" ht="15" customHeight="1" x14ac:dyDescent="0.25">
      <c r="B645" s="23" t="s">
        <v>1723</v>
      </c>
      <c r="C645" s="23" t="s">
        <v>1724</v>
      </c>
      <c r="D645" s="23" t="s">
        <v>1665</v>
      </c>
    </row>
    <row r="646" spans="2:4" ht="15" customHeight="1" x14ac:dyDescent="0.25">
      <c r="B646" s="23" t="s">
        <v>1725</v>
      </c>
      <c r="C646" s="23" t="s">
        <v>1726</v>
      </c>
      <c r="D646" s="23" t="s">
        <v>1727</v>
      </c>
    </row>
    <row r="647" spans="2:4" ht="15" customHeight="1" x14ac:dyDescent="0.25">
      <c r="B647" s="23" t="s">
        <v>1728</v>
      </c>
      <c r="C647" s="23" t="s">
        <v>1729</v>
      </c>
      <c r="D647" s="23" t="s">
        <v>1730</v>
      </c>
    </row>
    <row r="648" spans="2:4" ht="15" customHeight="1" x14ac:dyDescent="0.25">
      <c r="B648" s="23" t="s">
        <v>1731</v>
      </c>
      <c r="C648" s="23" t="s">
        <v>1732</v>
      </c>
      <c r="D648" s="23" t="s">
        <v>1733</v>
      </c>
    </row>
    <row r="649" spans="2:4" ht="15" customHeight="1" x14ac:dyDescent="0.25">
      <c r="B649" s="23" t="s">
        <v>1734</v>
      </c>
      <c r="C649" s="23" t="s">
        <v>1735</v>
      </c>
      <c r="D649" s="23" t="s">
        <v>1657</v>
      </c>
    </row>
    <row r="650" spans="2:4" ht="15" customHeight="1" x14ac:dyDescent="0.25">
      <c r="B650" s="23" t="s">
        <v>1736</v>
      </c>
      <c r="C650" s="23" t="s">
        <v>1737</v>
      </c>
      <c r="D650" s="23" t="s">
        <v>1715</v>
      </c>
    </row>
    <row r="651" spans="2:4" ht="15" customHeight="1" x14ac:dyDescent="0.25">
      <c r="B651" s="23" t="s">
        <v>1738</v>
      </c>
      <c r="C651" s="23" t="s">
        <v>1739</v>
      </c>
      <c r="D651" s="23" t="s">
        <v>1665</v>
      </c>
    </row>
    <row r="652" spans="2:4" ht="15" customHeight="1" x14ac:dyDescent="0.25">
      <c r="B652" s="23" t="s">
        <v>1740</v>
      </c>
      <c r="C652" s="23" t="s">
        <v>1741</v>
      </c>
      <c r="D652" s="23" t="s">
        <v>1610</v>
      </c>
    </row>
    <row r="653" spans="2:4" ht="15" customHeight="1" x14ac:dyDescent="0.25">
      <c r="B653" s="23" t="s">
        <v>1742</v>
      </c>
      <c r="C653" s="23" t="s">
        <v>1743</v>
      </c>
      <c r="D653" s="23" t="s">
        <v>1744</v>
      </c>
    </row>
    <row r="654" spans="2:4" ht="15" customHeight="1" x14ac:dyDescent="0.25">
      <c r="B654" s="23" t="s">
        <v>1745</v>
      </c>
      <c r="C654" s="23" t="s">
        <v>1746</v>
      </c>
      <c r="D654" s="23" t="s">
        <v>1747</v>
      </c>
    </row>
    <row r="655" spans="2:4" ht="15" customHeight="1" x14ac:dyDescent="0.25">
      <c r="B655" s="23" t="s">
        <v>1748</v>
      </c>
      <c r="C655" s="23" t="s">
        <v>1749</v>
      </c>
      <c r="D655" s="23" t="s">
        <v>419</v>
      </c>
    </row>
    <row r="656" spans="2:4" ht="15" customHeight="1" x14ac:dyDescent="0.25">
      <c r="B656" s="23" t="s">
        <v>1750</v>
      </c>
      <c r="C656" s="23" t="s">
        <v>1751</v>
      </c>
      <c r="D656" s="23" t="s">
        <v>1722</v>
      </c>
    </row>
    <row r="657" spans="2:4" ht="15" customHeight="1" x14ac:dyDescent="0.25">
      <c r="B657" s="23" t="s">
        <v>1752</v>
      </c>
      <c r="C657" s="23" t="s">
        <v>1753</v>
      </c>
      <c r="D657" s="23" t="s">
        <v>1643</v>
      </c>
    </row>
    <row r="658" spans="2:4" ht="15" customHeight="1" x14ac:dyDescent="0.25">
      <c r="B658" s="23" t="s">
        <v>1754</v>
      </c>
      <c r="C658" s="23" t="s">
        <v>1755</v>
      </c>
      <c r="D658" s="23" t="s">
        <v>1722</v>
      </c>
    </row>
    <row r="659" spans="2:4" ht="15" customHeight="1" x14ac:dyDescent="0.25">
      <c r="B659" s="23" t="s">
        <v>1756</v>
      </c>
      <c r="C659" s="23" t="s">
        <v>1757</v>
      </c>
      <c r="D659" s="23" t="s">
        <v>1722</v>
      </c>
    </row>
    <row r="660" spans="2:4" ht="15" customHeight="1" x14ac:dyDescent="0.25">
      <c r="B660" s="23" t="s">
        <v>1758</v>
      </c>
      <c r="C660" s="23" t="s">
        <v>1759</v>
      </c>
      <c r="D660" s="23" t="s">
        <v>1657</v>
      </c>
    </row>
    <row r="661" spans="2:4" ht="15" customHeight="1" x14ac:dyDescent="0.25">
      <c r="B661" s="23" t="s">
        <v>1760</v>
      </c>
      <c r="C661" s="23" t="s">
        <v>1761</v>
      </c>
      <c r="D661" s="23" t="s">
        <v>419</v>
      </c>
    </row>
    <row r="662" spans="2:4" ht="15" customHeight="1" x14ac:dyDescent="0.25">
      <c r="B662" s="23" t="s">
        <v>1762</v>
      </c>
      <c r="C662" s="23" t="s">
        <v>1763</v>
      </c>
      <c r="D662" s="23" t="s">
        <v>1764</v>
      </c>
    </row>
    <row r="663" spans="2:4" ht="15" customHeight="1" x14ac:dyDescent="0.25">
      <c r="B663" s="23" t="s">
        <v>1765</v>
      </c>
      <c r="C663" s="23" t="s">
        <v>1766</v>
      </c>
      <c r="D663" s="23" t="s">
        <v>419</v>
      </c>
    </row>
    <row r="664" spans="2:4" ht="15" customHeight="1" x14ac:dyDescent="0.25">
      <c r="B664" s="23" t="s">
        <v>1767</v>
      </c>
      <c r="C664" s="23" t="s">
        <v>1768</v>
      </c>
      <c r="D664" s="23" t="s">
        <v>1769</v>
      </c>
    </row>
    <row r="665" spans="2:4" ht="15" customHeight="1" x14ac:dyDescent="0.25">
      <c r="B665" s="23" t="s">
        <v>1770</v>
      </c>
      <c r="C665" s="23" t="s">
        <v>1771</v>
      </c>
      <c r="D665" s="23" t="s">
        <v>1657</v>
      </c>
    </row>
    <row r="666" spans="2:4" ht="15" customHeight="1" x14ac:dyDescent="0.25">
      <c r="B666" s="23" t="s">
        <v>1772</v>
      </c>
      <c r="C666" s="23" t="s">
        <v>1773</v>
      </c>
      <c r="D666" s="23" t="s">
        <v>1657</v>
      </c>
    </row>
    <row r="667" spans="2:4" ht="15" customHeight="1" x14ac:dyDescent="0.25">
      <c r="B667" s="23" t="s">
        <v>1774</v>
      </c>
      <c r="C667" s="23" t="s">
        <v>1775</v>
      </c>
      <c r="D667" s="23" t="s">
        <v>1657</v>
      </c>
    </row>
    <row r="668" spans="2:4" ht="15" customHeight="1" x14ac:dyDescent="0.25">
      <c r="B668" s="23" t="s">
        <v>1776</v>
      </c>
      <c r="C668" s="23" t="s">
        <v>1777</v>
      </c>
      <c r="D668" s="23" t="s">
        <v>1657</v>
      </c>
    </row>
    <row r="669" spans="2:4" ht="15" customHeight="1" x14ac:dyDescent="0.25">
      <c r="B669" s="23" t="s">
        <v>1778</v>
      </c>
      <c r="C669" s="23" t="s">
        <v>1779</v>
      </c>
      <c r="D669" s="23" t="s">
        <v>1657</v>
      </c>
    </row>
    <row r="670" spans="2:4" ht="15" customHeight="1" x14ac:dyDescent="0.25">
      <c r="B670" s="23" t="s">
        <v>1780</v>
      </c>
      <c r="C670" s="23" t="s">
        <v>1781</v>
      </c>
      <c r="D670" s="23" t="s">
        <v>1657</v>
      </c>
    </row>
    <row r="671" spans="2:4" ht="15" customHeight="1" x14ac:dyDescent="0.25">
      <c r="B671" s="23" t="s">
        <v>1782</v>
      </c>
      <c r="C671" s="23" t="s">
        <v>1783</v>
      </c>
      <c r="D671" s="23" t="s">
        <v>1657</v>
      </c>
    </row>
    <row r="672" spans="2:4" ht="15" customHeight="1" x14ac:dyDescent="0.25">
      <c r="B672" s="23" t="s">
        <v>1784</v>
      </c>
      <c r="C672" s="23" t="s">
        <v>1785</v>
      </c>
      <c r="D672" s="23" t="s">
        <v>1657</v>
      </c>
    </row>
    <row r="673" spans="2:4" ht="15" customHeight="1" x14ac:dyDescent="0.25">
      <c r="B673" s="23" t="s">
        <v>1786</v>
      </c>
      <c r="C673" s="23" t="s">
        <v>1787</v>
      </c>
      <c r="D673" s="23" t="s">
        <v>1657</v>
      </c>
    </row>
    <row r="674" spans="2:4" ht="15" customHeight="1" x14ac:dyDescent="0.25">
      <c r="B674" s="23" t="s">
        <v>1788</v>
      </c>
      <c r="C674" s="23" t="s">
        <v>1789</v>
      </c>
      <c r="D674" s="23" t="s">
        <v>1657</v>
      </c>
    </row>
    <row r="675" spans="2:4" ht="15" customHeight="1" x14ac:dyDescent="0.25">
      <c r="B675" s="23" t="s">
        <v>1790</v>
      </c>
      <c r="C675" s="23" t="s">
        <v>1791</v>
      </c>
      <c r="D675" s="23" t="s">
        <v>1657</v>
      </c>
    </row>
    <row r="676" spans="2:4" ht="15" customHeight="1" x14ac:dyDescent="0.25">
      <c r="B676" s="23" t="s">
        <v>1792</v>
      </c>
      <c r="C676" s="23" t="s">
        <v>1793</v>
      </c>
      <c r="D676" s="23" t="s">
        <v>1657</v>
      </c>
    </row>
    <row r="677" spans="2:4" ht="15" customHeight="1" x14ac:dyDescent="0.25">
      <c r="B677" s="23" t="s">
        <v>1794</v>
      </c>
      <c r="C677" s="23" t="s">
        <v>1795</v>
      </c>
      <c r="D677" s="23" t="s">
        <v>1796</v>
      </c>
    </row>
    <row r="678" spans="2:4" ht="15" customHeight="1" x14ac:dyDescent="0.25">
      <c r="B678" s="23" t="s">
        <v>1797</v>
      </c>
      <c r="C678" s="23" t="s">
        <v>1798</v>
      </c>
      <c r="D678" s="23" t="s">
        <v>1657</v>
      </c>
    </row>
    <row r="679" spans="2:4" ht="15" customHeight="1" x14ac:dyDescent="0.25">
      <c r="B679" s="23" t="s">
        <v>1799</v>
      </c>
      <c r="C679" s="23" t="s">
        <v>1800</v>
      </c>
      <c r="D679" s="23" t="s">
        <v>1657</v>
      </c>
    </row>
    <row r="680" spans="2:4" ht="15" customHeight="1" x14ac:dyDescent="0.25">
      <c r="B680" s="23" t="s">
        <v>1801</v>
      </c>
      <c r="C680" s="23" t="s">
        <v>1802</v>
      </c>
      <c r="D680" s="23"/>
    </row>
    <row r="681" spans="2:4" ht="15" customHeight="1" x14ac:dyDescent="0.25">
      <c r="B681" s="23" t="s">
        <v>1803</v>
      </c>
      <c r="C681" s="23" t="s">
        <v>1804</v>
      </c>
      <c r="D681" s="23" t="s">
        <v>1657</v>
      </c>
    </row>
    <row r="682" spans="2:4" ht="15" customHeight="1" x14ac:dyDescent="0.25">
      <c r="B682" s="23" t="s">
        <v>1805</v>
      </c>
      <c r="C682" s="23" t="s">
        <v>1806</v>
      </c>
      <c r="D682" s="23" t="s">
        <v>1657</v>
      </c>
    </row>
    <row r="683" spans="2:4" ht="15" customHeight="1" x14ac:dyDescent="0.25">
      <c r="B683" s="23" t="s">
        <v>1807</v>
      </c>
      <c r="C683" s="23" t="s">
        <v>1808</v>
      </c>
      <c r="D683" s="23"/>
    </row>
    <row r="684" spans="2:4" ht="15" customHeight="1" x14ac:dyDescent="0.25">
      <c r="B684" s="23" t="s">
        <v>1809</v>
      </c>
      <c r="C684" s="23" t="s">
        <v>1810</v>
      </c>
      <c r="D684" s="23" t="s">
        <v>1811</v>
      </c>
    </row>
    <row r="685" spans="2:4" ht="15" customHeight="1" x14ac:dyDescent="0.25">
      <c r="B685" s="23" t="s">
        <v>1812</v>
      </c>
      <c r="C685" s="23" t="s">
        <v>1813</v>
      </c>
      <c r="D685" s="23" t="s">
        <v>1814</v>
      </c>
    </row>
    <row r="686" spans="2:4" ht="15" customHeight="1" x14ac:dyDescent="0.25">
      <c r="B686" s="23" t="s">
        <v>1815</v>
      </c>
      <c r="C686" s="23" t="s">
        <v>1816</v>
      </c>
      <c r="D686" s="23"/>
    </row>
    <row r="687" spans="2:4" ht="15" customHeight="1" x14ac:dyDescent="0.25">
      <c r="B687" s="23" t="s">
        <v>1817</v>
      </c>
      <c r="C687" s="23" t="s">
        <v>1818</v>
      </c>
      <c r="D687" s="23" t="s">
        <v>1811</v>
      </c>
    </row>
    <row r="688" spans="2:4" ht="15" customHeight="1" x14ac:dyDescent="0.25">
      <c r="B688" s="23" t="s">
        <v>1819</v>
      </c>
      <c r="C688" s="23" t="s">
        <v>1820</v>
      </c>
      <c r="D688" s="23" t="s">
        <v>1811</v>
      </c>
    </row>
    <row r="689" spans="2:4" ht="15" customHeight="1" x14ac:dyDescent="0.25">
      <c r="B689" s="23" t="s">
        <v>1821</v>
      </c>
      <c r="C689" s="23" t="s">
        <v>1822</v>
      </c>
      <c r="D689" s="23"/>
    </row>
    <row r="690" spans="2:4" ht="15" customHeight="1" x14ac:dyDescent="0.25">
      <c r="B690" s="23" t="s">
        <v>1823</v>
      </c>
      <c r="C690" s="23" t="s">
        <v>1824</v>
      </c>
      <c r="D690" s="23" t="s">
        <v>1657</v>
      </c>
    </row>
    <row r="691" spans="2:4" ht="15" customHeight="1" x14ac:dyDescent="0.25">
      <c r="B691" s="23" t="s">
        <v>1825</v>
      </c>
      <c r="C691" s="23" t="s">
        <v>1826</v>
      </c>
      <c r="D691" s="23"/>
    </row>
    <row r="692" spans="2:4" ht="15" customHeight="1" x14ac:dyDescent="0.25">
      <c r="B692" s="23" t="s">
        <v>1827</v>
      </c>
      <c r="C692" s="23" t="s">
        <v>1828</v>
      </c>
      <c r="D692" s="23" t="s">
        <v>1811</v>
      </c>
    </row>
    <row r="693" spans="2:4" ht="15" customHeight="1" x14ac:dyDescent="0.25">
      <c r="B693" s="23" t="s">
        <v>1829</v>
      </c>
      <c r="C693" s="23" t="s">
        <v>1830</v>
      </c>
      <c r="D693" s="23" t="s">
        <v>1811</v>
      </c>
    </row>
    <row r="694" spans="2:4" ht="15" customHeight="1" x14ac:dyDescent="0.25">
      <c r="B694" s="23" t="s">
        <v>1831</v>
      </c>
      <c r="C694" s="23" t="s">
        <v>1832</v>
      </c>
      <c r="D694" s="23"/>
    </row>
    <row r="695" spans="2:4" ht="15" customHeight="1" x14ac:dyDescent="0.25">
      <c r="B695" s="23" t="s">
        <v>1833</v>
      </c>
      <c r="C695" s="23" t="s">
        <v>1834</v>
      </c>
      <c r="D695" s="23" t="s">
        <v>1657</v>
      </c>
    </row>
    <row r="696" spans="2:4" ht="15" customHeight="1" x14ac:dyDescent="0.25">
      <c r="B696" s="23" t="s">
        <v>1835</v>
      </c>
      <c r="C696" s="23" t="s">
        <v>1836</v>
      </c>
      <c r="D696" s="23" t="s">
        <v>1657</v>
      </c>
    </row>
    <row r="697" spans="2:4" ht="15" customHeight="1" x14ac:dyDescent="0.25">
      <c r="B697" s="23" t="s">
        <v>1837</v>
      </c>
      <c r="C697" s="23" t="s">
        <v>1838</v>
      </c>
      <c r="D697" s="23" t="s">
        <v>419</v>
      </c>
    </row>
    <row r="698" spans="2:4" ht="15" customHeight="1" x14ac:dyDescent="0.25">
      <c r="B698" s="23" t="s">
        <v>1839</v>
      </c>
      <c r="C698" s="23" t="s">
        <v>1840</v>
      </c>
      <c r="D698" s="23" t="s">
        <v>1811</v>
      </c>
    </row>
    <row r="699" spans="2:4" ht="15" customHeight="1" x14ac:dyDescent="0.25">
      <c r="B699" s="23" t="s">
        <v>1841</v>
      </c>
      <c r="C699" s="23" t="s">
        <v>1842</v>
      </c>
      <c r="D699" s="23" t="s">
        <v>1843</v>
      </c>
    </row>
    <row r="700" spans="2:4" ht="15" customHeight="1" x14ac:dyDescent="0.25">
      <c r="B700" s="23" t="s">
        <v>1844</v>
      </c>
      <c r="C700" s="23" t="s">
        <v>1845</v>
      </c>
      <c r="D700" s="23" t="s">
        <v>419</v>
      </c>
    </row>
    <row r="701" spans="2:4" ht="15" customHeight="1" x14ac:dyDescent="0.25">
      <c r="B701" s="23" t="s">
        <v>1846</v>
      </c>
      <c r="C701" s="23" t="s">
        <v>1847</v>
      </c>
      <c r="D701" s="23" t="s">
        <v>1764</v>
      </c>
    </row>
    <row r="702" spans="2:4" ht="15" customHeight="1" x14ac:dyDescent="0.25">
      <c r="B702" s="23" t="s">
        <v>1848</v>
      </c>
      <c r="C702" s="23" t="s">
        <v>1849</v>
      </c>
      <c r="D702" s="23" t="s">
        <v>1850</v>
      </c>
    </row>
    <row r="703" spans="2:4" ht="15" customHeight="1" x14ac:dyDescent="0.25">
      <c r="B703" s="23" t="s">
        <v>1851</v>
      </c>
      <c r="C703" s="23" t="s">
        <v>1852</v>
      </c>
      <c r="D703" s="23" t="s">
        <v>419</v>
      </c>
    </row>
    <row r="704" spans="2:4" ht="15" customHeight="1" x14ac:dyDescent="0.25">
      <c r="B704" s="23" t="s">
        <v>1853</v>
      </c>
      <c r="C704" s="23" t="s">
        <v>1854</v>
      </c>
      <c r="D704" s="23" t="s">
        <v>1811</v>
      </c>
    </row>
    <row r="705" spans="2:4" ht="15" customHeight="1" x14ac:dyDescent="0.25">
      <c r="B705" s="23" t="s">
        <v>1855</v>
      </c>
      <c r="C705" s="23" t="s">
        <v>1856</v>
      </c>
      <c r="D705" s="23" t="s">
        <v>1857</v>
      </c>
    </row>
    <row r="706" spans="2:4" ht="15" customHeight="1" x14ac:dyDescent="0.25">
      <c r="B706" s="23" t="s">
        <v>1858</v>
      </c>
      <c r="C706" s="23" t="s">
        <v>1859</v>
      </c>
      <c r="D706" s="23" t="s">
        <v>419</v>
      </c>
    </row>
    <row r="707" spans="2:4" ht="15" customHeight="1" x14ac:dyDescent="0.25">
      <c r="B707" s="23" t="s">
        <v>1860</v>
      </c>
      <c r="C707" s="23" t="s">
        <v>1861</v>
      </c>
      <c r="D707" s="23" t="s">
        <v>1764</v>
      </c>
    </row>
    <row r="708" spans="2:4" ht="15" customHeight="1" x14ac:dyDescent="0.25">
      <c r="B708" s="23" t="s">
        <v>1862</v>
      </c>
      <c r="C708" s="23" t="s">
        <v>1863</v>
      </c>
      <c r="D708" s="23" t="s">
        <v>1864</v>
      </c>
    </row>
    <row r="709" spans="2:4" ht="15" customHeight="1" x14ac:dyDescent="0.25">
      <c r="B709" s="23" t="s">
        <v>1865</v>
      </c>
      <c r="C709" s="23" t="s">
        <v>1866</v>
      </c>
      <c r="D709" s="23" t="s">
        <v>1867</v>
      </c>
    </row>
    <row r="710" spans="2:4" ht="15" customHeight="1" x14ac:dyDescent="0.25">
      <c r="B710" s="23" t="s">
        <v>1868</v>
      </c>
      <c r="C710" s="23" t="s">
        <v>1869</v>
      </c>
      <c r="D710" s="23" t="s">
        <v>1870</v>
      </c>
    </row>
    <row r="711" spans="2:4" ht="15" customHeight="1" x14ac:dyDescent="0.25">
      <c r="B711" s="23" t="s">
        <v>1871</v>
      </c>
      <c r="C711" s="23" t="s">
        <v>1872</v>
      </c>
      <c r="D711" s="23" t="s">
        <v>1657</v>
      </c>
    </row>
    <row r="712" spans="2:4" ht="15" customHeight="1" x14ac:dyDescent="0.25">
      <c r="B712" s="23" t="s">
        <v>1873</v>
      </c>
      <c r="C712" s="23" t="s">
        <v>1874</v>
      </c>
      <c r="D712" s="23" t="s">
        <v>1875</v>
      </c>
    </row>
    <row r="713" spans="2:4" ht="15" customHeight="1" x14ac:dyDescent="0.25">
      <c r="B713" s="23" t="s">
        <v>1876</v>
      </c>
      <c r="C713" s="23" t="s">
        <v>1877</v>
      </c>
      <c r="D713" s="23" t="s">
        <v>1657</v>
      </c>
    </row>
    <row r="714" spans="2:4" ht="15" customHeight="1" x14ac:dyDescent="0.25">
      <c r="B714" s="23" t="s">
        <v>1878</v>
      </c>
      <c r="C714" s="23" t="s">
        <v>1879</v>
      </c>
      <c r="D714" s="23" t="s">
        <v>1586</v>
      </c>
    </row>
    <row r="715" spans="2:4" ht="15" customHeight="1" x14ac:dyDescent="0.25">
      <c r="B715" s="23" t="s">
        <v>1880</v>
      </c>
      <c r="C715" s="23" t="s">
        <v>1881</v>
      </c>
      <c r="D715" s="23" t="s">
        <v>1882</v>
      </c>
    </row>
    <row r="716" spans="2:4" ht="15" customHeight="1" x14ac:dyDescent="0.25">
      <c r="B716" s="23" t="s">
        <v>1883</v>
      </c>
      <c r="C716" s="23" t="s">
        <v>1884</v>
      </c>
      <c r="D716" s="23" t="s">
        <v>1885</v>
      </c>
    </row>
    <row r="717" spans="2:4" ht="15" customHeight="1" x14ac:dyDescent="0.25">
      <c r="B717" s="23" t="s">
        <v>1886</v>
      </c>
      <c r="C717" s="23" t="s">
        <v>1887</v>
      </c>
      <c r="D717" s="23" t="s">
        <v>1888</v>
      </c>
    </row>
    <row r="718" spans="2:4" ht="15" customHeight="1" x14ac:dyDescent="0.25">
      <c r="B718" s="23" t="s">
        <v>1889</v>
      </c>
      <c r="C718" s="23" t="s">
        <v>1890</v>
      </c>
      <c r="D718" s="23" t="s">
        <v>362</v>
      </c>
    </row>
    <row r="719" spans="2:4" ht="15" customHeight="1" x14ac:dyDescent="0.25">
      <c r="B719" s="23" t="s">
        <v>1891</v>
      </c>
      <c r="C719" s="23" t="s">
        <v>1892</v>
      </c>
      <c r="D719" s="23" t="s">
        <v>364</v>
      </c>
    </row>
    <row r="720" spans="2:4" ht="15" customHeight="1" x14ac:dyDescent="0.25">
      <c r="B720" s="23" t="s">
        <v>1893</v>
      </c>
      <c r="C720" s="23" t="s">
        <v>1894</v>
      </c>
      <c r="D720" s="23" t="s">
        <v>1895</v>
      </c>
    </row>
    <row r="721" spans="2:4" ht="15" customHeight="1" x14ac:dyDescent="0.25">
      <c r="B721" s="23" t="s">
        <v>1896</v>
      </c>
      <c r="C721" s="23" t="s">
        <v>1897</v>
      </c>
      <c r="D721" s="23" t="s">
        <v>1657</v>
      </c>
    </row>
    <row r="722" spans="2:4" ht="15" customHeight="1" x14ac:dyDescent="0.25">
      <c r="B722" s="23" t="s">
        <v>1898</v>
      </c>
      <c r="C722" s="23" t="s">
        <v>1899</v>
      </c>
      <c r="D722" s="23" t="s">
        <v>1657</v>
      </c>
    </row>
    <row r="723" spans="2:4" ht="15" customHeight="1" x14ac:dyDescent="0.25">
      <c r="B723" s="23" t="s">
        <v>1900</v>
      </c>
      <c r="C723" s="23" t="s">
        <v>1901</v>
      </c>
      <c r="D723" s="23" t="s">
        <v>1902</v>
      </c>
    </row>
    <row r="724" spans="2:4" ht="15" customHeight="1" x14ac:dyDescent="0.25">
      <c r="B724" s="23" t="s">
        <v>1903</v>
      </c>
      <c r="C724" s="23" t="s">
        <v>1904</v>
      </c>
      <c r="D724" s="23" t="s">
        <v>1905</v>
      </c>
    </row>
    <row r="725" spans="2:4" ht="15" customHeight="1" x14ac:dyDescent="0.25">
      <c r="B725" s="23" t="s">
        <v>1906</v>
      </c>
      <c r="C725" s="23" t="s">
        <v>1907</v>
      </c>
      <c r="D725" s="23" t="s">
        <v>1908</v>
      </c>
    </row>
    <row r="726" spans="2:4" ht="15" customHeight="1" x14ac:dyDescent="0.25">
      <c r="B726" s="23" t="s">
        <v>1909</v>
      </c>
      <c r="C726" s="23" t="s">
        <v>1910</v>
      </c>
      <c r="D726" s="23" t="s">
        <v>1908</v>
      </c>
    </row>
    <row r="727" spans="2:4" ht="15" customHeight="1" x14ac:dyDescent="0.25">
      <c r="B727" s="23" t="s">
        <v>1911</v>
      </c>
      <c r="C727" s="23" t="s">
        <v>1912</v>
      </c>
      <c r="D727" s="23" t="s">
        <v>1908</v>
      </c>
    </row>
    <row r="728" spans="2:4" ht="15" customHeight="1" x14ac:dyDescent="0.25">
      <c r="B728" s="23" t="s">
        <v>1913</v>
      </c>
      <c r="C728" s="23" t="s">
        <v>1914</v>
      </c>
      <c r="D728" s="23" t="s">
        <v>1908</v>
      </c>
    </row>
    <row r="729" spans="2:4" ht="15" customHeight="1" x14ac:dyDescent="0.25">
      <c r="B729" s="23" t="s">
        <v>1915</v>
      </c>
      <c r="C729" s="23" t="s">
        <v>1916</v>
      </c>
      <c r="D729" s="23" t="s">
        <v>1908</v>
      </c>
    </row>
    <row r="730" spans="2:4" x14ac:dyDescent="0.25">
      <c r="B730" s="23" t="s">
        <v>1917</v>
      </c>
      <c r="C730" s="23" t="s">
        <v>1918</v>
      </c>
      <c r="D730" s="23" t="s">
        <v>1657</v>
      </c>
    </row>
    <row r="731" spans="2:4" x14ac:dyDescent="0.25">
      <c r="B731" s="23" t="s">
        <v>1919</v>
      </c>
      <c r="C731" s="23" t="s">
        <v>1920</v>
      </c>
      <c r="D731" s="23" t="s">
        <v>1657</v>
      </c>
    </row>
    <row r="732" spans="2:4" x14ac:dyDescent="0.25">
      <c r="B732" s="23" t="s">
        <v>1921</v>
      </c>
      <c r="C732" s="23" t="s">
        <v>1922</v>
      </c>
      <c r="D732" s="23" t="s">
        <v>1764</v>
      </c>
    </row>
    <row r="733" spans="2:4" x14ac:dyDescent="0.25">
      <c r="B733" s="23" t="s">
        <v>1923</v>
      </c>
      <c r="C733" s="23" t="s">
        <v>1924</v>
      </c>
      <c r="D733" s="23" t="s">
        <v>1925</v>
      </c>
    </row>
    <row r="734" spans="2:4" x14ac:dyDescent="0.25">
      <c r="B734" s="23" t="s">
        <v>1926</v>
      </c>
      <c r="C734" s="23" t="s">
        <v>1927</v>
      </c>
      <c r="D734" s="23" t="s">
        <v>1657</v>
      </c>
    </row>
    <row r="735" spans="2:4" x14ac:dyDescent="0.25">
      <c r="B735" s="23" t="s">
        <v>1928</v>
      </c>
      <c r="C735" s="23" t="s">
        <v>1929</v>
      </c>
      <c r="D735" s="23" t="s">
        <v>1657</v>
      </c>
    </row>
    <row r="736" spans="2:4" x14ac:dyDescent="0.25">
      <c r="B736" s="23" t="s">
        <v>1930</v>
      </c>
      <c r="C736" s="23" t="s">
        <v>1931</v>
      </c>
      <c r="D736" s="23" t="s">
        <v>1932</v>
      </c>
    </row>
    <row r="737" spans="2:4" x14ac:dyDescent="0.25">
      <c r="B737" s="23" t="s">
        <v>1933</v>
      </c>
      <c r="C737" s="23" t="s">
        <v>1934</v>
      </c>
      <c r="D737" s="23" t="s">
        <v>1843</v>
      </c>
    </row>
    <row r="738" spans="2:4" x14ac:dyDescent="0.25">
      <c r="B738" s="23" t="s">
        <v>1935</v>
      </c>
      <c r="C738" s="23" t="s">
        <v>1936</v>
      </c>
      <c r="D738" s="23" t="s">
        <v>1657</v>
      </c>
    </row>
    <row r="739" spans="2:4" x14ac:dyDescent="0.25">
      <c r="B739" s="23" t="s">
        <v>1937</v>
      </c>
      <c r="C739" s="23" t="s">
        <v>1938</v>
      </c>
      <c r="D739" s="23" t="s">
        <v>1657</v>
      </c>
    </row>
    <row r="740" spans="2:4" x14ac:dyDescent="0.25">
      <c r="B740" s="23" t="s">
        <v>1939</v>
      </c>
      <c r="C740" s="23" t="s">
        <v>1940</v>
      </c>
      <c r="D740" s="23" t="s">
        <v>1657</v>
      </c>
    </row>
    <row r="741" spans="2:4" x14ac:dyDescent="0.25">
      <c r="B741" s="23" t="s">
        <v>1941</v>
      </c>
      <c r="C741" s="23" t="s">
        <v>1942</v>
      </c>
      <c r="D741" s="23" t="s">
        <v>1657</v>
      </c>
    </row>
    <row r="742" spans="2:4" x14ac:dyDescent="0.25">
      <c r="B742" s="23" t="s">
        <v>1943</v>
      </c>
      <c r="C742" s="23" t="s">
        <v>1944</v>
      </c>
      <c r="D742" s="23" t="s">
        <v>1657</v>
      </c>
    </row>
    <row r="743" spans="2:4" x14ac:dyDescent="0.25">
      <c r="B743" s="23" t="s">
        <v>1945</v>
      </c>
      <c r="C743" s="23" t="s">
        <v>1946</v>
      </c>
      <c r="D743" s="23" t="s">
        <v>1657</v>
      </c>
    </row>
    <row r="744" spans="2:4" x14ac:dyDescent="0.25">
      <c r="B744" s="23" t="s">
        <v>1947</v>
      </c>
      <c r="C744" s="23" t="s">
        <v>1948</v>
      </c>
      <c r="D744" s="23" t="s">
        <v>1796</v>
      </c>
    </row>
    <row r="745" spans="2:4" x14ac:dyDescent="0.25">
      <c r="B745" s="23" t="s">
        <v>1949</v>
      </c>
      <c r="C745" s="23" t="s">
        <v>1950</v>
      </c>
      <c r="D745" s="23" t="s">
        <v>1796</v>
      </c>
    </row>
    <row r="746" spans="2:4" x14ac:dyDescent="0.25">
      <c r="B746" s="23" t="s">
        <v>1951</v>
      </c>
      <c r="C746" s="23" t="s">
        <v>1952</v>
      </c>
      <c r="D746" s="23" t="s">
        <v>1796</v>
      </c>
    </row>
    <row r="747" spans="2:4" x14ac:dyDescent="0.25">
      <c r="B747" s="23" t="s">
        <v>1953</v>
      </c>
      <c r="C747" s="23" t="s">
        <v>1954</v>
      </c>
      <c r="D747" s="23" t="s">
        <v>1955</v>
      </c>
    </row>
    <row r="748" spans="2:4" x14ac:dyDescent="0.25">
      <c r="B748" s="23" t="s">
        <v>1956</v>
      </c>
      <c r="C748" s="23" t="s">
        <v>1957</v>
      </c>
      <c r="D748" s="23" t="s">
        <v>1908</v>
      </c>
    </row>
    <row r="749" spans="2:4" x14ac:dyDescent="0.25">
      <c r="B749" s="23" t="s">
        <v>1958</v>
      </c>
      <c r="C749" s="23" t="s">
        <v>1959</v>
      </c>
      <c r="D749" s="23" t="s">
        <v>1960</v>
      </c>
    </row>
    <row r="750" spans="2:4" x14ac:dyDescent="0.25">
      <c r="B750" s="23" t="s">
        <v>1961</v>
      </c>
      <c r="C750" s="23" t="s">
        <v>1962</v>
      </c>
      <c r="D750" s="23" t="s">
        <v>1657</v>
      </c>
    </row>
    <row r="751" spans="2:4" x14ac:dyDescent="0.25">
      <c r="B751" s="23" t="s">
        <v>1963</v>
      </c>
      <c r="C751" s="23" t="s">
        <v>1964</v>
      </c>
      <c r="D751" s="23" t="s">
        <v>1657</v>
      </c>
    </row>
    <row r="752" spans="2:4" x14ac:dyDescent="0.25">
      <c r="B752" s="23" t="s">
        <v>1965</v>
      </c>
      <c r="C752" s="23" t="s">
        <v>1966</v>
      </c>
      <c r="D752" s="23" t="s">
        <v>1657</v>
      </c>
    </row>
    <row r="753" spans="2:4" x14ac:dyDescent="0.25">
      <c r="B753" s="23" t="s">
        <v>1967</v>
      </c>
      <c r="C753" s="23" t="s">
        <v>1968</v>
      </c>
      <c r="D753" s="23" t="s">
        <v>1657</v>
      </c>
    </row>
    <row r="754" spans="2:4" x14ac:dyDescent="0.25">
      <c r="B754" s="23" t="s">
        <v>1969</v>
      </c>
      <c r="C754" s="23" t="s">
        <v>1970</v>
      </c>
      <c r="D754" s="23" t="s">
        <v>1657</v>
      </c>
    </row>
    <row r="755" spans="2:4" x14ac:dyDescent="0.25">
      <c r="B755" s="23" t="s">
        <v>1971</v>
      </c>
      <c r="C755" s="23" t="s">
        <v>1972</v>
      </c>
      <c r="D755" s="23" t="s">
        <v>362</v>
      </c>
    </row>
    <row r="756" spans="2:4" x14ac:dyDescent="0.25">
      <c r="B756" s="23" t="s">
        <v>1973</v>
      </c>
      <c r="C756" s="23" t="s">
        <v>1974</v>
      </c>
      <c r="D756" s="23" t="s">
        <v>1975</v>
      </c>
    </row>
    <row r="757" spans="2:4" x14ac:dyDescent="0.25">
      <c r="B757" s="23" t="s">
        <v>1976</v>
      </c>
      <c r="C757" s="23" t="s">
        <v>1977</v>
      </c>
      <c r="D757" s="23" t="s">
        <v>1978</v>
      </c>
    </row>
    <row r="758" spans="2:4" x14ac:dyDescent="0.25">
      <c r="B758" s="23" t="s">
        <v>1979</v>
      </c>
      <c r="C758" s="23" t="s">
        <v>1980</v>
      </c>
      <c r="D758" s="23" t="s">
        <v>1981</v>
      </c>
    </row>
    <row r="759" spans="2:4" x14ac:dyDescent="0.25">
      <c r="B759" s="23" t="s">
        <v>1982</v>
      </c>
      <c r="C759" s="23" t="s">
        <v>1983</v>
      </c>
      <c r="D759" s="23" t="s">
        <v>1984</v>
      </c>
    </row>
    <row r="760" spans="2:4" x14ac:dyDescent="0.25">
      <c r="B760" s="23" t="s">
        <v>1985</v>
      </c>
      <c r="C760" s="23" t="s">
        <v>1986</v>
      </c>
      <c r="D760" s="23" t="s">
        <v>1987</v>
      </c>
    </row>
    <row r="761" spans="2:4" x14ac:dyDescent="0.25">
      <c r="B761" s="23" t="s">
        <v>1988</v>
      </c>
      <c r="C761" s="23" t="s">
        <v>1989</v>
      </c>
      <c r="D761" s="23" t="s">
        <v>1987</v>
      </c>
    </row>
    <row r="762" spans="2:4" x14ac:dyDescent="0.25">
      <c r="B762" s="23" t="s">
        <v>1990</v>
      </c>
      <c r="C762" s="23" t="s">
        <v>1991</v>
      </c>
      <c r="D762" s="23" t="s">
        <v>1992</v>
      </c>
    </row>
    <row r="763" spans="2:4" x14ac:dyDescent="0.25">
      <c r="B763" s="23" t="s">
        <v>1993</v>
      </c>
      <c r="C763" s="23" t="s">
        <v>1994</v>
      </c>
      <c r="D763" s="23" t="s">
        <v>1995</v>
      </c>
    </row>
    <row r="764" spans="2:4" x14ac:dyDescent="0.25">
      <c r="B764" s="23" t="s">
        <v>1996</v>
      </c>
      <c r="C764" s="23" t="s">
        <v>1997</v>
      </c>
      <c r="D764" s="23" t="s">
        <v>1998</v>
      </c>
    </row>
    <row r="765" spans="2:4" x14ac:dyDescent="0.25">
      <c r="B765" s="23" t="s">
        <v>1999</v>
      </c>
      <c r="C765" s="23" t="s">
        <v>2000</v>
      </c>
      <c r="D765" s="23" t="s">
        <v>2001</v>
      </c>
    </row>
    <row r="766" spans="2:4" x14ac:dyDescent="0.25">
      <c r="B766" s="23" t="s">
        <v>2002</v>
      </c>
      <c r="C766" s="23" t="s">
        <v>2003</v>
      </c>
      <c r="D766" s="23" t="s">
        <v>2004</v>
      </c>
    </row>
    <row r="767" spans="2:4" x14ac:dyDescent="0.25">
      <c r="B767" s="23" t="s">
        <v>2005</v>
      </c>
      <c r="C767" s="23" t="s">
        <v>2006</v>
      </c>
      <c r="D767" s="23" t="s">
        <v>2007</v>
      </c>
    </row>
    <row r="768" spans="2:4" x14ac:dyDescent="0.25">
      <c r="B768" s="23" t="s">
        <v>2008</v>
      </c>
      <c r="C768" s="23" t="s">
        <v>2009</v>
      </c>
      <c r="D768" s="23" t="s">
        <v>362</v>
      </c>
    </row>
    <row r="769" spans="2:4" x14ac:dyDescent="0.25">
      <c r="B769" s="23" t="s">
        <v>2010</v>
      </c>
      <c r="C769" s="23" t="s">
        <v>2011</v>
      </c>
      <c r="D769" s="23" t="s">
        <v>2012</v>
      </c>
    </row>
    <row r="770" spans="2:4" x14ac:dyDescent="0.25">
      <c r="B770" s="23" t="s">
        <v>2013</v>
      </c>
      <c r="C770" s="23" t="s">
        <v>2014</v>
      </c>
      <c r="D770" s="23" t="s">
        <v>119</v>
      </c>
    </row>
    <row r="771" spans="2:4" x14ac:dyDescent="0.25">
      <c r="B771" s="23" t="s">
        <v>2015</v>
      </c>
      <c r="C771" s="23" t="s">
        <v>2016</v>
      </c>
      <c r="D771" s="23" t="s">
        <v>2017</v>
      </c>
    </row>
    <row r="772" spans="2:4" x14ac:dyDescent="0.25">
      <c r="B772" s="23" t="s">
        <v>2018</v>
      </c>
      <c r="C772" s="23" t="s">
        <v>2019</v>
      </c>
      <c r="D772" s="23" t="s">
        <v>2020</v>
      </c>
    </row>
    <row r="773" spans="2:4" x14ac:dyDescent="0.25">
      <c r="B773" s="23" t="s">
        <v>2021</v>
      </c>
      <c r="C773" s="23" t="s">
        <v>2022</v>
      </c>
      <c r="D773" s="23" t="s">
        <v>2020</v>
      </c>
    </row>
    <row r="774" spans="2:4" x14ac:dyDescent="0.25">
      <c r="B774" s="23" t="s">
        <v>2023</v>
      </c>
      <c r="C774" s="23" t="s">
        <v>2024</v>
      </c>
      <c r="D774" s="23" t="s">
        <v>2025</v>
      </c>
    </row>
    <row r="775" spans="2:4" x14ac:dyDescent="0.25">
      <c r="B775" s="23" t="s">
        <v>2026</v>
      </c>
      <c r="C775" s="23" t="s">
        <v>2027</v>
      </c>
      <c r="D775" s="23" t="s">
        <v>2020</v>
      </c>
    </row>
    <row r="776" spans="2:4" x14ac:dyDescent="0.25">
      <c r="B776" s="23" t="s">
        <v>2028</v>
      </c>
      <c r="C776" s="23" t="s">
        <v>2029</v>
      </c>
      <c r="D776" s="23" t="s">
        <v>2030</v>
      </c>
    </row>
    <row r="777" spans="2:4" x14ac:dyDescent="0.25">
      <c r="B777" s="23" t="s">
        <v>2031</v>
      </c>
      <c r="C777" s="23" t="s">
        <v>2032</v>
      </c>
      <c r="D777" s="23" t="s">
        <v>2020</v>
      </c>
    </row>
    <row r="778" spans="2:4" x14ac:dyDescent="0.25">
      <c r="B778" s="23" t="s">
        <v>2033</v>
      </c>
      <c r="C778" s="23" t="s">
        <v>2034</v>
      </c>
      <c r="D778" s="23" t="s">
        <v>2035</v>
      </c>
    </row>
    <row r="779" spans="2:4" x14ac:dyDescent="0.25">
      <c r="B779" s="23" t="s">
        <v>2036</v>
      </c>
      <c r="C779" s="23" t="s">
        <v>2037</v>
      </c>
      <c r="D779" s="23" t="s">
        <v>2038</v>
      </c>
    </row>
    <row r="780" spans="2:4" x14ac:dyDescent="0.25">
      <c r="B780" s="23" t="s">
        <v>2039</v>
      </c>
      <c r="C780" s="23" t="s">
        <v>2040</v>
      </c>
      <c r="D780" s="23" t="s">
        <v>2041</v>
      </c>
    </row>
    <row r="781" spans="2:4" x14ac:dyDescent="0.25">
      <c r="B781" s="23" t="s">
        <v>2042</v>
      </c>
      <c r="C781" s="23" t="s">
        <v>2043</v>
      </c>
      <c r="D781" s="23" t="s">
        <v>411</v>
      </c>
    </row>
    <row r="782" spans="2:4" x14ac:dyDescent="0.25">
      <c r="B782" s="23" t="s">
        <v>2044</v>
      </c>
      <c r="C782" s="23" t="s">
        <v>2045</v>
      </c>
      <c r="D782" s="23"/>
    </row>
    <row r="783" spans="2:4" x14ac:dyDescent="0.25">
      <c r="B783" s="23" t="s">
        <v>2046</v>
      </c>
      <c r="C783" s="23" t="s">
        <v>2047</v>
      </c>
      <c r="D783" s="23"/>
    </row>
    <row r="784" spans="2:4" x14ac:dyDescent="0.25">
      <c r="B784" s="23" t="s">
        <v>2048</v>
      </c>
      <c r="C784" s="23" t="s">
        <v>2049</v>
      </c>
      <c r="D784" s="23"/>
    </row>
    <row r="785" spans="2:4" x14ac:dyDescent="0.25">
      <c r="B785" s="23" t="s">
        <v>2050</v>
      </c>
      <c r="C785" s="23" t="s">
        <v>2051</v>
      </c>
      <c r="D785" s="23"/>
    </row>
    <row r="786" spans="2:4" x14ac:dyDescent="0.25">
      <c r="B786" s="23" t="s">
        <v>2052</v>
      </c>
      <c r="C786" s="23" t="s">
        <v>2053</v>
      </c>
      <c r="D786" s="23"/>
    </row>
    <row r="787" spans="2:4" x14ac:dyDescent="0.25">
      <c r="B787" s="23" t="s">
        <v>2054</v>
      </c>
      <c r="C787" s="23" t="s">
        <v>2055</v>
      </c>
      <c r="D787" s="23"/>
    </row>
    <row r="788" spans="2:4" x14ac:dyDescent="0.25">
      <c r="B788" s="23" t="s">
        <v>2056</v>
      </c>
      <c r="C788" s="23" t="s">
        <v>2057</v>
      </c>
      <c r="D788" s="23" t="s">
        <v>2058</v>
      </c>
    </row>
    <row r="789" spans="2:4" x14ac:dyDescent="0.25">
      <c r="B789" s="23" t="s">
        <v>2059</v>
      </c>
      <c r="C789" s="23" t="s">
        <v>2060</v>
      </c>
      <c r="D789" s="23" t="s">
        <v>2061</v>
      </c>
    </row>
    <row r="790" spans="2:4" x14ac:dyDescent="0.25">
      <c r="B790" s="23" t="s">
        <v>2062</v>
      </c>
      <c r="C790" s="23" t="s">
        <v>2063</v>
      </c>
      <c r="D790" s="23" t="s">
        <v>2064</v>
      </c>
    </row>
    <row r="791" spans="2:4" x14ac:dyDescent="0.25">
      <c r="B791" s="23" t="s">
        <v>2065</v>
      </c>
      <c r="C791" s="23" t="s">
        <v>2066</v>
      </c>
      <c r="D791" s="23" t="s">
        <v>2067</v>
      </c>
    </row>
    <row r="792" spans="2:4" x14ac:dyDescent="0.25">
      <c r="B792" s="23" t="s">
        <v>2068</v>
      </c>
      <c r="C792" s="23" t="s">
        <v>2069</v>
      </c>
      <c r="D792" s="23" t="s">
        <v>2070</v>
      </c>
    </row>
    <row r="793" spans="2:4" x14ac:dyDescent="0.25">
      <c r="B793" s="23" t="s">
        <v>2071</v>
      </c>
      <c r="C793" s="23" t="s">
        <v>2072</v>
      </c>
      <c r="D793" s="23" t="s">
        <v>2073</v>
      </c>
    </row>
    <row r="794" spans="2:4" x14ac:dyDescent="0.25">
      <c r="B794" s="23" t="s">
        <v>2074</v>
      </c>
      <c r="C794" s="23" t="s">
        <v>2075</v>
      </c>
      <c r="D794" s="23" t="s">
        <v>2076</v>
      </c>
    </row>
    <row r="795" spans="2:4" x14ac:dyDescent="0.25">
      <c r="B795" s="23" t="s">
        <v>2077</v>
      </c>
      <c r="C795" s="23" t="s">
        <v>2078</v>
      </c>
      <c r="D795" s="23" t="s">
        <v>2073</v>
      </c>
    </row>
    <row r="796" spans="2:4" x14ac:dyDescent="0.25">
      <c r="B796" s="23" t="s">
        <v>2079</v>
      </c>
      <c r="C796" s="23" t="s">
        <v>2080</v>
      </c>
      <c r="D796" s="23" t="s">
        <v>1657</v>
      </c>
    </row>
    <row r="797" spans="2:4" x14ac:dyDescent="0.25">
      <c r="B797" s="23" t="s">
        <v>2081</v>
      </c>
      <c r="C797" s="23" t="s">
        <v>2082</v>
      </c>
      <c r="D797" s="23" t="s">
        <v>1978</v>
      </c>
    </row>
    <row r="798" spans="2:4" x14ac:dyDescent="0.25">
      <c r="B798" s="23" t="s">
        <v>2083</v>
      </c>
      <c r="C798" s="23" t="s">
        <v>2084</v>
      </c>
      <c r="D798" s="23" t="s">
        <v>362</v>
      </c>
    </row>
    <row r="799" spans="2:4" x14ac:dyDescent="0.25">
      <c r="B799" s="23" t="s">
        <v>2085</v>
      </c>
      <c r="C799" s="23" t="s">
        <v>2086</v>
      </c>
      <c r="D799" s="23" t="s">
        <v>1607</v>
      </c>
    </row>
    <row r="800" spans="2:4" x14ac:dyDescent="0.25">
      <c r="B800" s="23" t="s">
        <v>2087</v>
      </c>
      <c r="C800" s="23" t="s">
        <v>2088</v>
      </c>
      <c r="D800" s="23" t="s">
        <v>2073</v>
      </c>
    </row>
    <row r="801" spans="2:4" x14ac:dyDescent="0.25">
      <c r="B801" s="23" t="s">
        <v>2089</v>
      </c>
      <c r="C801" s="23" t="s">
        <v>2090</v>
      </c>
      <c r="D801" s="23" t="s">
        <v>2091</v>
      </c>
    </row>
    <row r="802" spans="2:4" x14ac:dyDescent="0.25">
      <c r="B802" s="23" t="s">
        <v>2092</v>
      </c>
      <c r="C802" s="23" t="s">
        <v>2093</v>
      </c>
      <c r="D802" s="23" t="s">
        <v>2094</v>
      </c>
    </row>
    <row r="803" spans="2:4" x14ac:dyDescent="0.25">
      <c r="B803" s="23" t="s">
        <v>2095</v>
      </c>
      <c r="C803" s="23" t="s">
        <v>2096</v>
      </c>
      <c r="D803" s="23" t="s">
        <v>411</v>
      </c>
    </row>
    <row r="804" spans="2:4" x14ac:dyDescent="0.25">
      <c r="B804" s="23" t="s">
        <v>2097</v>
      </c>
      <c r="C804" s="23" t="s">
        <v>2098</v>
      </c>
      <c r="D804" s="23" t="s">
        <v>1978</v>
      </c>
    </row>
    <row r="805" spans="2:4" x14ac:dyDescent="0.25">
      <c r="B805" s="23" t="s">
        <v>2099</v>
      </c>
      <c r="C805" s="23" t="s">
        <v>2100</v>
      </c>
      <c r="D805" s="23" t="s">
        <v>2094</v>
      </c>
    </row>
    <row r="806" spans="2:4" x14ac:dyDescent="0.25">
      <c r="B806" s="23" t="s">
        <v>2101</v>
      </c>
      <c r="C806" s="23" t="s">
        <v>2102</v>
      </c>
      <c r="D806" s="23" t="s">
        <v>735</v>
      </c>
    </row>
    <row r="807" spans="2:4" x14ac:dyDescent="0.25">
      <c r="B807" s="23" t="s">
        <v>2103</v>
      </c>
      <c r="C807" s="23" t="s">
        <v>2104</v>
      </c>
      <c r="D807" s="23" t="s">
        <v>735</v>
      </c>
    </row>
    <row r="808" spans="2:4" x14ac:dyDescent="0.25">
      <c r="B808" s="23" t="s">
        <v>2105</v>
      </c>
      <c r="C808" s="23" t="s">
        <v>2106</v>
      </c>
      <c r="D808" s="23" t="s">
        <v>735</v>
      </c>
    </row>
    <row r="809" spans="2:4" x14ac:dyDescent="0.25">
      <c r="B809" s="23" t="s">
        <v>2107</v>
      </c>
      <c r="C809" s="23" t="s">
        <v>2108</v>
      </c>
      <c r="D809" s="23" t="s">
        <v>735</v>
      </c>
    </row>
    <row r="810" spans="2:4" x14ac:dyDescent="0.25">
      <c r="B810" s="23" t="s">
        <v>2109</v>
      </c>
      <c r="C810" s="23" t="s">
        <v>2110</v>
      </c>
      <c r="D810" s="23" t="s">
        <v>735</v>
      </c>
    </row>
    <row r="811" spans="2:4" x14ac:dyDescent="0.25">
      <c r="B811" s="23" t="s">
        <v>2111</v>
      </c>
      <c r="C811" s="23" t="s">
        <v>2112</v>
      </c>
      <c r="D811" s="23" t="s">
        <v>735</v>
      </c>
    </row>
    <row r="812" spans="2:4" x14ac:dyDescent="0.25">
      <c r="B812" s="23" t="s">
        <v>2113</v>
      </c>
      <c r="C812" s="23" t="s">
        <v>2114</v>
      </c>
      <c r="D812" s="23" t="s">
        <v>735</v>
      </c>
    </row>
    <row r="813" spans="2:4" x14ac:dyDescent="0.25">
      <c r="B813" s="23" t="s">
        <v>2115</v>
      </c>
      <c r="C813" s="23" t="s">
        <v>2116</v>
      </c>
      <c r="D813" s="23" t="s">
        <v>735</v>
      </c>
    </row>
    <row r="814" spans="2:4" x14ac:dyDescent="0.25">
      <c r="B814" s="23" t="s">
        <v>2117</v>
      </c>
      <c r="C814" s="23" t="s">
        <v>2118</v>
      </c>
      <c r="D814" s="23" t="s">
        <v>735</v>
      </c>
    </row>
    <row r="815" spans="2:4" x14ac:dyDescent="0.25">
      <c r="B815" s="23" t="s">
        <v>2119</v>
      </c>
      <c r="C815" s="23" t="s">
        <v>2120</v>
      </c>
      <c r="D815" s="23" t="s">
        <v>735</v>
      </c>
    </row>
    <row r="816" spans="2:4" x14ac:dyDescent="0.25">
      <c r="B816" s="23" t="s">
        <v>2121</v>
      </c>
      <c r="C816" s="23" t="s">
        <v>2122</v>
      </c>
      <c r="D816" s="23" t="s">
        <v>735</v>
      </c>
    </row>
    <row r="817" spans="2:4" x14ac:dyDescent="0.25">
      <c r="B817" s="23" t="s">
        <v>2123</v>
      </c>
      <c r="C817" s="23" t="s">
        <v>2124</v>
      </c>
      <c r="D817" s="23" t="s">
        <v>735</v>
      </c>
    </row>
    <row r="818" spans="2:4" x14ac:dyDescent="0.25">
      <c r="B818" s="23" t="s">
        <v>2125</v>
      </c>
      <c r="C818" s="23" t="s">
        <v>2126</v>
      </c>
      <c r="D818" s="23" t="s">
        <v>735</v>
      </c>
    </row>
    <row r="819" spans="2:4" x14ac:dyDescent="0.25">
      <c r="B819" s="23" t="s">
        <v>2127</v>
      </c>
      <c r="C819" s="23" t="s">
        <v>2128</v>
      </c>
      <c r="D819" s="23" t="s">
        <v>735</v>
      </c>
    </row>
    <row r="820" spans="2:4" x14ac:dyDescent="0.25">
      <c r="B820" s="23" t="s">
        <v>2129</v>
      </c>
      <c r="C820" s="23" t="s">
        <v>2130</v>
      </c>
      <c r="D820" s="23" t="s">
        <v>735</v>
      </c>
    </row>
    <row r="821" spans="2:4" x14ac:dyDescent="0.25">
      <c r="B821" s="23" t="s">
        <v>2131</v>
      </c>
      <c r="C821" s="23" t="s">
        <v>2132</v>
      </c>
      <c r="D821" s="23" t="s">
        <v>2073</v>
      </c>
    </row>
    <row r="822" spans="2:4" x14ac:dyDescent="0.25">
      <c r="B822" s="23" t="s">
        <v>2133</v>
      </c>
      <c r="C822" s="23" t="s">
        <v>2134</v>
      </c>
      <c r="D822" s="23" t="s">
        <v>2073</v>
      </c>
    </row>
    <row r="823" spans="2:4" x14ac:dyDescent="0.25">
      <c r="B823" s="23" t="s">
        <v>2135</v>
      </c>
      <c r="C823" s="23" t="s">
        <v>2136</v>
      </c>
      <c r="D823" s="23" t="s">
        <v>2137</v>
      </c>
    </row>
    <row r="824" spans="2:4" x14ac:dyDescent="0.25">
      <c r="B824" s="23" t="s">
        <v>2138</v>
      </c>
      <c r="C824" s="23" t="s">
        <v>2139</v>
      </c>
      <c r="D824" s="23"/>
    </row>
    <row r="825" spans="2:4" x14ac:dyDescent="0.25">
      <c r="B825" s="23" t="s">
        <v>2140</v>
      </c>
      <c r="C825" s="23" t="s">
        <v>2141</v>
      </c>
      <c r="D825" s="23" t="s">
        <v>411</v>
      </c>
    </row>
    <row r="826" spans="2:4" x14ac:dyDescent="0.25">
      <c r="B826" s="23" t="s">
        <v>2142</v>
      </c>
      <c r="C826" s="23" t="s">
        <v>2143</v>
      </c>
      <c r="D826" s="23" t="s">
        <v>2144</v>
      </c>
    </row>
    <row r="827" spans="2:4" x14ac:dyDescent="0.25">
      <c r="B827" s="23" t="s">
        <v>2145</v>
      </c>
      <c r="C827" s="23" t="s">
        <v>2146</v>
      </c>
      <c r="D827" s="23"/>
    </row>
    <row r="828" spans="2:4" x14ac:dyDescent="0.25">
      <c r="B828" s="23" t="s">
        <v>2147</v>
      </c>
      <c r="C828" s="23" t="s">
        <v>2148</v>
      </c>
      <c r="D828" s="23" t="s">
        <v>362</v>
      </c>
    </row>
    <row r="829" spans="2:4" x14ac:dyDescent="0.25">
      <c r="B829" s="23" t="s">
        <v>2149</v>
      </c>
      <c r="C829" s="23" t="s">
        <v>2150</v>
      </c>
      <c r="D829" s="23" t="s">
        <v>1604</v>
      </c>
    </row>
    <row r="830" spans="2:4" x14ac:dyDescent="0.25">
      <c r="B830" s="23" t="s">
        <v>2151</v>
      </c>
      <c r="C830" s="23" t="s">
        <v>2152</v>
      </c>
      <c r="D830" s="23" t="s">
        <v>2153</v>
      </c>
    </row>
    <row r="831" spans="2:4" x14ac:dyDescent="0.25">
      <c r="B831" s="23" t="s">
        <v>2154</v>
      </c>
      <c r="C831" s="23" t="s">
        <v>2155</v>
      </c>
      <c r="D831" s="23" t="s">
        <v>419</v>
      </c>
    </row>
    <row r="832" spans="2:4" x14ac:dyDescent="0.25">
      <c r="B832" s="23" t="s">
        <v>2156</v>
      </c>
      <c r="C832" s="23" t="s">
        <v>2157</v>
      </c>
      <c r="D832" s="23" t="s">
        <v>2017</v>
      </c>
    </row>
    <row r="833" spans="2:4" x14ac:dyDescent="0.25">
      <c r="B833" s="23" t="s">
        <v>2158</v>
      </c>
      <c r="C833" s="23" t="s">
        <v>2159</v>
      </c>
      <c r="D833" s="23" t="s">
        <v>2017</v>
      </c>
    </row>
    <row r="834" spans="2:4" x14ac:dyDescent="0.25">
      <c r="B834" s="23" t="s">
        <v>2160</v>
      </c>
      <c r="C834" s="23" t="s">
        <v>2161</v>
      </c>
      <c r="D834" s="23" t="s">
        <v>2162</v>
      </c>
    </row>
    <row r="835" spans="2:4" x14ac:dyDescent="0.25">
      <c r="B835" s="23" t="s">
        <v>2163</v>
      </c>
      <c r="C835" s="23" t="s">
        <v>2164</v>
      </c>
      <c r="D835" s="23"/>
    </row>
    <row r="836" spans="2:4" x14ac:dyDescent="0.25">
      <c r="B836" s="23" t="s">
        <v>2165</v>
      </c>
      <c r="C836" s="23" t="s">
        <v>2166</v>
      </c>
      <c r="D836" s="23"/>
    </row>
    <row r="837" spans="2:4" x14ac:dyDescent="0.25">
      <c r="B837" s="23" t="s">
        <v>2167</v>
      </c>
      <c r="C837" s="23" t="s">
        <v>2168</v>
      </c>
      <c r="D837" s="23" t="s">
        <v>2169</v>
      </c>
    </row>
    <row r="838" spans="2:4" x14ac:dyDescent="0.25">
      <c r="B838" s="23" t="s">
        <v>2170</v>
      </c>
      <c r="C838" s="23" t="s">
        <v>2171</v>
      </c>
      <c r="D838" s="23" t="s">
        <v>1657</v>
      </c>
    </row>
    <row r="839" spans="2:4" x14ac:dyDescent="0.25">
      <c r="B839" s="23" t="s">
        <v>2172</v>
      </c>
      <c r="C839" s="23" t="s">
        <v>2173</v>
      </c>
      <c r="D839" s="23" t="s">
        <v>2169</v>
      </c>
    </row>
    <row r="840" spans="2:4" x14ac:dyDescent="0.25">
      <c r="B840" s="23" t="s">
        <v>2174</v>
      </c>
      <c r="C840" s="23" t="s">
        <v>2175</v>
      </c>
      <c r="D840" s="23" t="s">
        <v>2169</v>
      </c>
    </row>
    <row r="841" spans="2:4" x14ac:dyDescent="0.25">
      <c r="B841" s="23" t="s">
        <v>2176</v>
      </c>
      <c r="C841" s="23" t="s">
        <v>2177</v>
      </c>
      <c r="D841" s="23" t="s">
        <v>2169</v>
      </c>
    </row>
    <row r="842" spans="2:4" x14ac:dyDescent="0.25">
      <c r="B842" s="23" t="s">
        <v>2178</v>
      </c>
      <c r="C842" s="23" t="s">
        <v>2179</v>
      </c>
      <c r="D842" s="23" t="s">
        <v>2017</v>
      </c>
    </row>
    <row r="843" spans="2:4" x14ac:dyDescent="0.25">
      <c r="B843" s="23" t="s">
        <v>2180</v>
      </c>
      <c r="C843" s="23" t="s">
        <v>2181</v>
      </c>
      <c r="D843" s="23"/>
    </row>
    <row r="844" spans="2:4" x14ac:dyDescent="0.25">
      <c r="B844" s="23" t="s">
        <v>2182</v>
      </c>
      <c r="C844" s="23" t="s">
        <v>2183</v>
      </c>
      <c r="D844" s="23"/>
    </row>
    <row r="845" spans="2:4" x14ac:dyDescent="0.25">
      <c r="B845" s="23" t="s">
        <v>2184</v>
      </c>
      <c r="C845" s="23" t="s">
        <v>2185</v>
      </c>
      <c r="D845" s="23" t="s">
        <v>2186</v>
      </c>
    </row>
    <row r="846" spans="2:4" x14ac:dyDescent="0.25">
      <c r="B846" s="23" t="s">
        <v>2187</v>
      </c>
      <c r="C846" s="23" t="s">
        <v>2188</v>
      </c>
      <c r="D846" s="23" t="s">
        <v>2186</v>
      </c>
    </row>
    <row r="847" spans="2:4" x14ac:dyDescent="0.25">
      <c r="B847" s="23" t="s">
        <v>2189</v>
      </c>
      <c r="C847" s="23" t="s">
        <v>2190</v>
      </c>
      <c r="D847" s="23" t="s">
        <v>2191</v>
      </c>
    </row>
    <row r="848" spans="2:4" x14ac:dyDescent="0.25">
      <c r="B848" s="23" t="s">
        <v>2192</v>
      </c>
      <c r="C848" s="23" t="s">
        <v>2193</v>
      </c>
      <c r="D848" s="23" t="s">
        <v>2186</v>
      </c>
    </row>
    <row r="849" spans="2:4" x14ac:dyDescent="0.25">
      <c r="B849" s="23" t="s">
        <v>2194</v>
      </c>
      <c r="C849" s="23" t="s">
        <v>2195</v>
      </c>
      <c r="D849" s="23" t="s">
        <v>2186</v>
      </c>
    </row>
    <row r="850" spans="2:4" x14ac:dyDescent="0.25">
      <c r="B850" s="23" t="s">
        <v>2196</v>
      </c>
      <c r="C850" s="23" t="s">
        <v>2197</v>
      </c>
      <c r="D850" s="23" t="s">
        <v>2186</v>
      </c>
    </row>
    <row r="851" spans="2:4" x14ac:dyDescent="0.25">
      <c r="B851" s="23" t="s">
        <v>2198</v>
      </c>
      <c r="C851" s="23" t="s">
        <v>2199</v>
      </c>
      <c r="D851" s="23" t="s">
        <v>2191</v>
      </c>
    </row>
    <row r="852" spans="2:4" x14ac:dyDescent="0.25">
      <c r="B852" s="23" t="s">
        <v>2200</v>
      </c>
      <c r="C852" s="23" t="s">
        <v>2201</v>
      </c>
      <c r="D852" s="23" t="s">
        <v>2191</v>
      </c>
    </row>
    <row r="853" spans="2:4" x14ac:dyDescent="0.25">
      <c r="B853" s="23" t="s">
        <v>2202</v>
      </c>
      <c r="C853" s="23" t="s">
        <v>2203</v>
      </c>
      <c r="D853" s="23" t="s">
        <v>2186</v>
      </c>
    </row>
    <row r="854" spans="2:4" x14ac:dyDescent="0.25">
      <c r="B854" s="23" t="s">
        <v>2204</v>
      </c>
      <c r="C854" s="23" t="s">
        <v>2205</v>
      </c>
      <c r="D854" s="23" t="s">
        <v>2186</v>
      </c>
    </row>
    <row r="855" spans="2:4" x14ac:dyDescent="0.25">
      <c r="B855" s="23" t="s">
        <v>2206</v>
      </c>
      <c r="C855" s="23" t="s">
        <v>2207</v>
      </c>
      <c r="D855" s="23" t="s">
        <v>2186</v>
      </c>
    </row>
    <row r="856" spans="2:4" x14ac:dyDescent="0.25">
      <c r="B856" s="23" t="s">
        <v>2208</v>
      </c>
      <c r="C856" s="23" t="s">
        <v>2209</v>
      </c>
      <c r="D856" s="23" t="s">
        <v>1975</v>
      </c>
    </row>
    <row r="857" spans="2:4" x14ac:dyDescent="0.25">
      <c r="B857" s="23" t="s">
        <v>2210</v>
      </c>
      <c r="C857" s="23" t="s">
        <v>2211</v>
      </c>
      <c r="D857" s="23" t="s">
        <v>2212</v>
      </c>
    </row>
    <row r="858" spans="2:4" x14ac:dyDescent="0.25">
      <c r="B858" s="23" t="s">
        <v>2213</v>
      </c>
      <c r="C858" s="23" t="s">
        <v>2214</v>
      </c>
      <c r="D858" s="23" t="s">
        <v>2186</v>
      </c>
    </row>
    <row r="859" spans="2:4" x14ac:dyDescent="0.25">
      <c r="B859" s="23" t="s">
        <v>2215</v>
      </c>
      <c r="C859" s="23" t="s">
        <v>2216</v>
      </c>
      <c r="D859" s="23" t="s">
        <v>2217</v>
      </c>
    </row>
    <row r="860" spans="2:4" x14ac:dyDescent="0.25">
      <c r="B860" s="23" t="s">
        <v>2218</v>
      </c>
      <c r="C860" s="23" t="s">
        <v>2219</v>
      </c>
      <c r="D860" s="23" t="s">
        <v>2217</v>
      </c>
    </row>
    <row r="861" spans="2:4" x14ac:dyDescent="0.25">
      <c r="B861" s="23" t="s">
        <v>2220</v>
      </c>
      <c r="C861" s="23" t="s">
        <v>2221</v>
      </c>
      <c r="D861" s="23" t="s">
        <v>2217</v>
      </c>
    </row>
    <row r="862" spans="2:4" x14ac:dyDescent="0.25">
      <c r="B862" s="23" t="s">
        <v>2222</v>
      </c>
      <c r="C862" s="23" t="s">
        <v>2223</v>
      </c>
      <c r="D862" s="23" t="s">
        <v>2191</v>
      </c>
    </row>
    <row r="863" spans="2:4" x14ac:dyDescent="0.25">
      <c r="B863" s="23" t="s">
        <v>2224</v>
      </c>
      <c r="C863" s="23" t="s">
        <v>2225</v>
      </c>
      <c r="D863" s="23" t="s">
        <v>2217</v>
      </c>
    </row>
    <row r="864" spans="2:4" x14ac:dyDescent="0.25">
      <c r="B864" s="23" t="s">
        <v>2226</v>
      </c>
      <c r="C864" s="23" t="s">
        <v>2227</v>
      </c>
      <c r="D864" s="23" t="s">
        <v>2217</v>
      </c>
    </row>
    <row r="865" spans="2:4" x14ac:dyDescent="0.25">
      <c r="B865" s="23" t="s">
        <v>2228</v>
      </c>
      <c r="C865" s="23" t="s">
        <v>2229</v>
      </c>
      <c r="D865" s="23" t="s">
        <v>2217</v>
      </c>
    </row>
    <row r="866" spans="2:4" x14ac:dyDescent="0.25">
      <c r="B866" s="23" t="s">
        <v>2230</v>
      </c>
      <c r="C866" s="23" t="s">
        <v>1683</v>
      </c>
      <c r="D866" s="23" t="s">
        <v>2217</v>
      </c>
    </row>
    <row r="867" spans="2:4" x14ac:dyDescent="0.25">
      <c r="B867" s="23" t="s">
        <v>2231</v>
      </c>
      <c r="C867" s="23" t="s">
        <v>2232</v>
      </c>
      <c r="D867" s="23" t="s">
        <v>2217</v>
      </c>
    </row>
    <row r="868" spans="2:4" x14ac:dyDescent="0.25">
      <c r="B868" s="23" t="s">
        <v>2233</v>
      </c>
      <c r="C868" s="23" t="s">
        <v>2234</v>
      </c>
      <c r="D868" s="23" t="s">
        <v>2191</v>
      </c>
    </row>
    <row r="869" spans="2:4" x14ac:dyDescent="0.25">
      <c r="B869" s="23" t="s">
        <v>2235</v>
      </c>
      <c r="C869" s="23" t="s">
        <v>2236</v>
      </c>
      <c r="D869" s="23" t="s">
        <v>2217</v>
      </c>
    </row>
    <row r="870" spans="2:4" x14ac:dyDescent="0.25">
      <c r="B870" s="23" t="s">
        <v>2237</v>
      </c>
      <c r="C870" s="23" t="s">
        <v>2238</v>
      </c>
      <c r="D870" s="23" t="s">
        <v>2217</v>
      </c>
    </row>
    <row r="871" spans="2:4" x14ac:dyDescent="0.25">
      <c r="B871" s="23" t="s">
        <v>2239</v>
      </c>
      <c r="C871" s="23" t="s">
        <v>2240</v>
      </c>
      <c r="D871" s="23" t="s">
        <v>2191</v>
      </c>
    </row>
    <row r="872" spans="2:4" x14ac:dyDescent="0.25">
      <c r="B872" s="23" t="s">
        <v>2241</v>
      </c>
      <c r="C872" s="23" t="s">
        <v>1696</v>
      </c>
      <c r="D872" s="23" t="s">
        <v>2217</v>
      </c>
    </row>
    <row r="873" spans="2:4" x14ac:dyDescent="0.25">
      <c r="B873" s="23" t="s">
        <v>2242</v>
      </c>
      <c r="C873" s="23" t="s">
        <v>2243</v>
      </c>
      <c r="D873" s="23" t="s">
        <v>2217</v>
      </c>
    </row>
    <row r="874" spans="2:4" x14ac:dyDescent="0.25">
      <c r="B874" s="23" t="s">
        <v>2244</v>
      </c>
      <c r="C874" s="23" t="s">
        <v>2245</v>
      </c>
      <c r="D874" s="23" t="s">
        <v>2217</v>
      </c>
    </row>
    <row r="875" spans="2:4" x14ac:dyDescent="0.25">
      <c r="B875" s="23" t="s">
        <v>2246</v>
      </c>
      <c r="C875" s="23" t="s">
        <v>2247</v>
      </c>
      <c r="D875" s="23" t="s">
        <v>2217</v>
      </c>
    </row>
    <row r="876" spans="2:4" x14ac:dyDescent="0.25">
      <c r="B876" s="23" t="s">
        <v>2248</v>
      </c>
      <c r="C876" s="23" t="s">
        <v>2249</v>
      </c>
      <c r="D876" s="23" t="s">
        <v>2217</v>
      </c>
    </row>
    <row r="877" spans="2:4" x14ac:dyDescent="0.25">
      <c r="B877" s="23" t="s">
        <v>2250</v>
      </c>
      <c r="C877" s="23" t="s">
        <v>2251</v>
      </c>
      <c r="D877" s="23" t="s">
        <v>2217</v>
      </c>
    </row>
    <row r="878" spans="2:4" x14ac:dyDescent="0.25">
      <c r="B878" s="23" t="s">
        <v>2252</v>
      </c>
      <c r="C878" s="23" t="s">
        <v>2253</v>
      </c>
      <c r="D878" s="23" t="s">
        <v>2217</v>
      </c>
    </row>
    <row r="879" spans="2:4" x14ac:dyDescent="0.25">
      <c r="B879" s="23" t="s">
        <v>2254</v>
      </c>
      <c r="C879" s="23" t="s">
        <v>2255</v>
      </c>
      <c r="D879" s="23" t="s">
        <v>2217</v>
      </c>
    </row>
    <row r="880" spans="2:4" x14ac:dyDescent="0.25">
      <c r="B880" s="23" t="s">
        <v>2256</v>
      </c>
      <c r="C880" s="23" t="s">
        <v>2257</v>
      </c>
      <c r="D880" s="23" t="s">
        <v>2217</v>
      </c>
    </row>
    <row r="881" spans="2:4" x14ac:dyDescent="0.25">
      <c r="B881" s="23" t="s">
        <v>2258</v>
      </c>
      <c r="C881" s="23" t="s">
        <v>2259</v>
      </c>
      <c r="D881" s="23" t="s">
        <v>2217</v>
      </c>
    </row>
    <row r="882" spans="2:4" x14ac:dyDescent="0.25">
      <c r="B882" s="23" t="s">
        <v>2260</v>
      </c>
      <c r="C882" s="23" t="s">
        <v>2261</v>
      </c>
      <c r="D882" s="23" t="s">
        <v>2217</v>
      </c>
    </row>
    <row r="883" spans="2:4" x14ac:dyDescent="0.25">
      <c r="B883" s="23" t="s">
        <v>2262</v>
      </c>
      <c r="C883" s="23" t="s">
        <v>2263</v>
      </c>
      <c r="D883" s="23" t="s">
        <v>2217</v>
      </c>
    </row>
    <row r="884" spans="2:4" x14ac:dyDescent="0.25">
      <c r="B884" s="23" t="s">
        <v>2264</v>
      </c>
      <c r="C884" s="23" t="s">
        <v>2265</v>
      </c>
      <c r="D884" s="23" t="s">
        <v>2217</v>
      </c>
    </row>
    <row r="885" spans="2:4" x14ac:dyDescent="0.25">
      <c r="B885" s="23" t="s">
        <v>2266</v>
      </c>
      <c r="C885" s="23" t="s">
        <v>2267</v>
      </c>
      <c r="D885" s="23" t="s">
        <v>2217</v>
      </c>
    </row>
    <row r="886" spans="2:4" x14ac:dyDescent="0.25">
      <c r="B886" s="23" t="s">
        <v>2268</v>
      </c>
      <c r="C886" s="23" t="s">
        <v>2269</v>
      </c>
      <c r="D886" s="23" t="s">
        <v>2217</v>
      </c>
    </row>
    <row r="887" spans="2:4" x14ac:dyDescent="0.25">
      <c r="B887" s="23" t="s">
        <v>2270</v>
      </c>
      <c r="C887" s="23" t="s">
        <v>2271</v>
      </c>
      <c r="D887" s="23" t="s">
        <v>2272</v>
      </c>
    </row>
    <row r="888" spans="2:4" x14ac:dyDescent="0.25">
      <c r="B888" s="23" t="s">
        <v>2273</v>
      </c>
      <c r="C888" s="23" t="s">
        <v>2274</v>
      </c>
      <c r="D888" s="23" t="s">
        <v>2217</v>
      </c>
    </row>
    <row r="889" spans="2:4" x14ac:dyDescent="0.25">
      <c r="B889" s="23" t="s">
        <v>2275</v>
      </c>
      <c r="C889" s="23" t="s">
        <v>2276</v>
      </c>
      <c r="D889" s="23" t="s">
        <v>2217</v>
      </c>
    </row>
    <row r="890" spans="2:4" x14ac:dyDescent="0.25">
      <c r="B890" s="23" t="s">
        <v>2277</v>
      </c>
      <c r="C890" s="23" t="s">
        <v>2278</v>
      </c>
      <c r="D890" s="23" t="s">
        <v>2217</v>
      </c>
    </row>
    <row r="891" spans="2:4" x14ac:dyDescent="0.25">
      <c r="B891" s="23" t="s">
        <v>2279</v>
      </c>
      <c r="C891" s="23" t="s">
        <v>2280</v>
      </c>
      <c r="D891" s="23" t="s">
        <v>2186</v>
      </c>
    </row>
    <row r="892" spans="2:4" x14ac:dyDescent="0.25">
      <c r="B892" s="23" t="s">
        <v>2281</v>
      </c>
      <c r="C892" s="23" t="s">
        <v>2282</v>
      </c>
      <c r="D892" s="23" t="s">
        <v>2217</v>
      </c>
    </row>
    <row r="893" spans="2:4" x14ac:dyDescent="0.25">
      <c r="B893" s="23" t="s">
        <v>2283</v>
      </c>
      <c r="C893" s="23" t="s">
        <v>2284</v>
      </c>
      <c r="D893" s="23" t="s">
        <v>2217</v>
      </c>
    </row>
    <row r="894" spans="2:4" x14ac:dyDescent="0.25">
      <c r="B894" s="23" t="s">
        <v>2285</v>
      </c>
      <c r="C894" s="23" t="s">
        <v>2286</v>
      </c>
      <c r="D894" s="23" t="s">
        <v>2217</v>
      </c>
    </row>
    <row r="895" spans="2:4" x14ac:dyDescent="0.25">
      <c r="B895" s="23" t="s">
        <v>2287</v>
      </c>
      <c r="C895" s="23" t="s">
        <v>2288</v>
      </c>
      <c r="D895" s="23" t="s">
        <v>2191</v>
      </c>
    </row>
    <row r="896" spans="2:4" x14ac:dyDescent="0.25">
      <c r="B896" s="23" t="s">
        <v>2289</v>
      </c>
      <c r="C896" s="23" t="s">
        <v>2290</v>
      </c>
      <c r="D896" s="23" t="s">
        <v>2217</v>
      </c>
    </row>
    <row r="897" spans="2:4" x14ac:dyDescent="0.25">
      <c r="B897" s="23" t="s">
        <v>2291</v>
      </c>
      <c r="C897" s="23" t="s">
        <v>2292</v>
      </c>
      <c r="D897" s="23" t="s">
        <v>2186</v>
      </c>
    </row>
    <row r="898" spans="2:4" x14ac:dyDescent="0.25">
      <c r="B898" s="23" t="s">
        <v>2293</v>
      </c>
      <c r="C898" s="23" t="s">
        <v>2294</v>
      </c>
      <c r="D898" s="23" t="s">
        <v>2272</v>
      </c>
    </row>
    <row r="899" spans="2:4" x14ac:dyDescent="0.25">
      <c r="B899" s="23" t="s">
        <v>2295</v>
      </c>
      <c r="C899" s="23" t="s">
        <v>2296</v>
      </c>
      <c r="D899" s="23" t="s">
        <v>2297</v>
      </c>
    </row>
    <row r="900" spans="2:4" x14ac:dyDescent="0.25">
      <c r="B900" s="23" t="s">
        <v>2298</v>
      </c>
      <c r="C900" s="23" t="s">
        <v>2299</v>
      </c>
      <c r="D900" s="23" t="s">
        <v>2300</v>
      </c>
    </row>
    <row r="901" spans="2:4" x14ac:dyDescent="0.25">
      <c r="B901" s="23" t="s">
        <v>2301</v>
      </c>
      <c r="C901" s="23" t="s">
        <v>2302</v>
      </c>
      <c r="D901" s="23" t="s">
        <v>2191</v>
      </c>
    </row>
    <row r="902" spans="2:4" x14ac:dyDescent="0.25">
      <c r="B902" s="23" t="s">
        <v>2303</v>
      </c>
      <c r="C902" s="23" t="s">
        <v>2304</v>
      </c>
      <c r="D902" s="23" t="s">
        <v>2305</v>
      </c>
    </row>
    <row r="903" spans="2:4" x14ac:dyDescent="0.25">
      <c r="B903" s="23" t="s">
        <v>2306</v>
      </c>
      <c r="C903" s="23" t="s">
        <v>2307</v>
      </c>
      <c r="D903" s="23" t="s">
        <v>2308</v>
      </c>
    </row>
    <row r="904" spans="2:4" x14ac:dyDescent="0.25">
      <c r="B904" s="23" t="s">
        <v>2309</v>
      </c>
      <c r="C904" s="23" t="s">
        <v>2310</v>
      </c>
      <c r="D904" s="23" t="s">
        <v>2186</v>
      </c>
    </row>
    <row r="905" spans="2:4" x14ac:dyDescent="0.25">
      <c r="B905" s="23" t="s">
        <v>2311</v>
      </c>
      <c r="C905" s="23" t="s">
        <v>2312</v>
      </c>
      <c r="D905" s="23" t="s">
        <v>2186</v>
      </c>
    </row>
    <row r="906" spans="2:4" x14ac:dyDescent="0.25">
      <c r="B906" s="23" t="s">
        <v>2313</v>
      </c>
      <c r="C906" s="23" t="s">
        <v>2314</v>
      </c>
      <c r="D906" s="23" t="s">
        <v>372</v>
      </c>
    </row>
    <row r="907" spans="2:4" x14ac:dyDescent="0.25">
      <c r="B907" s="23" t="s">
        <v>2315</v>
      </c>
      <c r="C907" s="23" t="s">
        <v>2316</v>
      </c>
      <c r="D907" s="23" t="s">
        <v>2317</v>
      </c>
    </row>
    <row r="908" spans="2:4" x14ac:dyDescent="0.25">
      <c r="B908" s="23" t="s">
        <v>2318</v>
      </c>
      <c r="C908" s="23" t="s">
        <v>2319</v>
      </c>
      <c r="D908" s="23" t="s">
        <v>2320</v>
      </c>
    </row>
    <row r="909" spans="2:4" x14ac:dyDescent="0.25">
      <c r="B909" s="23" t="s">
        <v>2321</v>
      </c>
      <c r="C909" s="23" t="s">
        <v>2322</v>
      </c>
      <c r="D909" s="23" t="s">
        <v>2186</v>
      </c>
    </row>
    <row r="910" spans="2:4" x14ac:dyDescent="0.25">
      <c r="B910" s="23" t="s">
        <v>2323</v>
      </c>
      <c r="C910" s="23" t="s">
        <v>2324</v>
      </c>
      <c r="D910" s="23" t="s">
        <v>2325</v>
      </c>
    </row>
    <row r="911" spans="2:4" x14ac:dyDescent="0.25">
      <c r="B911" s="23" t="s">
        <v>2326</v>
      </c>
      <c r="C911" s="23" t="s">
        <v>2327</v>
      </c>
      <c r="D911" s="23" t="s">
        <v>2328</v>
      </c>
    </row>
    <row r="912" spans="2:4" x14ac:dyDescent="0.25">
      <c r="B912" s="23" t="s">
        <v>2329</v>
      </c>
      <c r="C912" s="23" t="s">
        <v>2330</v>
      </c>
      <c r="D912" s="23"/>
    </row>
    <row r="913" spans="2:4" x14ac:dyDescent="0.25">
      <c r="B913" s="23" t="s">
        <v>2331</v>
      </c>
      <c r="C913" s="23" t="s">
        <v>2332</v>
      </c>
      <c r="D913" s="23" t="s">
        <v>2186</v>
      </c>
    </row>
    <row r="914" spans="2:4" x14ac:dyDescent="0.25">
      <c r="B914" s="23" t="s">
        <v>2333</v>
      </c>
      <c r="C914" s="23" t="s">
        <v>2334</v>
      </c>
      <c r="D914" s="23" t="s">
        <v>2186</v>
      </c>
    </row>
    <row r="915" spans="2:4" x14ac:dyDescent="0.25">
      <c r="B915" s="23" t="s">
        <v>2335</v>
      </c>
      <c r="C915" s="23" t="s">
        <v>2336</v>
      </c>
      <c r="D915" s="23" t="s">
        <v>2186</v>
      </c>
    </row>
    <row r="916" spans="2:4" x14ac:dyDescent="0.25">
      <c r="B916" s="23" t="s">
        <v>2337</v>
      </c>
      <c r="C916" s="23" t="s">
        <v>2338</v>
      </c>
      <c r="D916" s="23" t="s">
        <v>2317</v>
      </c>
    </row>
    <row r="917" spans="2:4" x14ac:dyDescent="0.25">
      <c r="B917" s="35"/>
      <c r="C917" s="23"/>
      <c r="D917" s="23"/>
    </row>
    <row r="918" spans="2:4" x14ac:dyDescent="0.25">
      <c r="B918" s="35"/>
      <c r="C918" s="23"/>
      <c r="D918" s="23"/>
    </row>
    <row r="919" spans="2:4" x14ac:dyDescent="0.25">
      <c r="B919" s="35"/>
      <c r="C919" s="23"/>
      <c r="D919" s="23"/>
    </row>
    <row r="920" spans="2:4" x14ac:dyDescent="0.25">
      <c r="B920" s="35"/>
      <c r="C920" s="23"/>
      <c r="D920" s="23"/>
    </row>
    <row r="921" spans="2:4" x14ac:dyDescent="0.25">
      <c r="B921" s="35"/>
      <c r="C921" s="23"/>
      <c r="D921" s="23"/>
    </row>
    <row r="922" spans="2:4" x14ac:dyDescent="0.25">
      <c r="B922" s="35"/>
      <c r="C922" s="23"/>
      <c r="D922" s="23"/>
    </row>
    <row r="923" spans="2:4" x14ac:dyDescent="0.25">
      <c r="B923" s="35"/>
      <c r="C923" s="23"/>
      <c r="D923" s="23"/>
    </row>
    <row r="924" spans="2:4" x14ac:dyDescent="0.25">
      <c r="B924" s="35"/>
      <c r="C924" s="23"/>
      <c r="D924" s="23"/>
    </row>
    <row r="925" spans="2:4" x14ac:dyDescent="0.25">
      <c r="B925" s="35"/>
      <c r="C925" s="23"/>
      <c r="D925" s="23"/>
    </row>
    <row r="926" spans="2:4" x14ac:dyDescent="0.25">
      <c r="B926" s="35"/>
      <c r="C926" s="23"/>
      <c r="D926" s="23"/>
    </row>
    <row r="927" spans="2:4" x14ac:dyDescent="0.25">
      <c r="B927" s="35"/>
      <c r="C927" s="23"/>
      <c r="D927" s="23"/>
    </row>
    <row r="928" spans="2:4" x14ac:dyDescent="0.25">
      <c r="B928" s="35"/>
      <c r="C928" s="23"/>
      <c r="D928" s="23"/>
    </row>
    <row r="929" spans="2:4" x14ac:dyDescent="0.25">
      <c r="B929" s="35"/>
      <c r="C929" s="23"/>
      <c r="D929" s="23"/>
    </row>
    <row r="930" spans="2:4" x14ac:dyDescent="0.25">
      <c r="B930" s="35"/>
      <c r="C930" s="23"/>
      <c r="D930" s="23"/>
    </row>
    <row r="931" spans="2:4" x14ac:dyDescent="0.25">
      <c r="B931" s="35"/>
      <c r="C931" s="23"/>
      <c r="D931" s="23"/>
    </row>
    <row r="932" spans="2:4" x14ac:dyDescent="0.25">
      <c r="B932" s="35"/>
      <c r="C932" s="23"/>
      <c r="D932" s="23"/>
    </row>
    <row r="933" spans="2:4" x14ac:dyDescent="0.25">
      <c r="B933" s="35"/>
      <c r="C933" s="23"/>
      <c r="D933" s="23"/>
    </row>
    <row r="934" spans="2:4" x14ac:dyDescent="0.25">
      <c r="B934" s="35"/>
      <c r="C934" s="23"/>
      <c r="D934" s="23"/>
    </row>
    <row r="935" spans="2:4" x14ac:dyDescent="0.25">
      <c r="B935" s="35"/>
      <c r="C935" s="23"/>
      <c r="D935" s="23"/>
    </row>
    <row r="936" spans="2:4" x14ac:dyDescent="0.25">
      <c r="B936" s="35"/>
      <c r="C936" s="23"/>
      <c r="D936" s="23"/>
    </row>
    <row r="937" spans="2:4" x14ac:dyDescent="0.25">
      <c r="B937" s="35"/>
      <c r="C937" s="23"/>
      <c r="D937" s="23"/>
    </row>
    <row r="938" spans="2:4" x14ac:dyDescent="0.25">
      <c r="B938" s="35"/>
      <c r="C938" s="23"/>
      <c r="D938" s="23"/>
    </row>
    <row r="939" spans="2:4" x14ac:dyDescent="0.25">
      <c r="B939" s="35"/>
      <c r="C939" s="23"/>
      <c r="D939" s="23"/>
    </row>
    <row r="940" spans="2:4" x14ac:dyDescent="0.25">
      <c r="B940" s="35"/>
      <c r="C940" s="23"/>
      <c r="D940" s="23"/>
    </row>
    <row r="941" spans="2:4" x14ac:dyDescent="0.25">
      <c r="B941" s="35"/>
      <c r="C941" s="23"/>
      <c r="D941" s="23"/>
    </row>
    <row r="942" spans="2:4" x14ac:dyDescent="0.25">
      <c r="B942" s="35"/>
      <c r="C942" s="23"/>
      <c r="D942" s="23"/>
    </row>
    <row r="943" spans="2:4" x14ac:dyDescent="0.25">
      <c r="B943" s="35"/>
      <c r="C943" s="23"/>
      <c r="D943" s="23"/>
    </row>
    <row r="944" spans="2:4" x14ac:dyDescent="0.25">
      <c r="B944" s="35"/>
      <c r="C944" s="23"/>
      <c r="D944" s="23"/>
    </row>
    <row r="945" spans="2:4" x14ac:dyDescent="0.25">
      <c r="B945" s="35"/>
      <c r="C945" s="23"/>
      <c r="D945" s="23"/>
    </row>
    <row r="946" spans="2:4" x14ac:dyDescent="0.25">
      <c r="B946" s="35"/>
      <c r="C946" s="23"/>
      <c r="D946" s="23"/>
    </row>
    <row r="947" spans="2:4" x14ac:dyDescent="0.25">
      <c r="B947" s="35"/>
      <c r="C947" s="23"/>
      <c r="D947" s="23"/>
    </row>
    <row r="948" spans="2:4" x14ac:dyDescent="0.25">
      <c r="B948" s="35"/>
      <c r="C948" s="23"/>
      <c r="D948" s="23"/>
    </row>
    <row r="949" spans="2:4" x14ac:dyDescent="0.25">
      <c r="B949" s="35"/>
      <c r="C949" s="23"/>
      <c r="D949" s="23"/>
    </row>
    <row r="950" spans="2:4" x14ac:dyDescent="0.25">
      <c r="B950" s="35"/>
      <c r="C950" s="23"/>
      <c r="D950" s="23"/>
    </row>
    <row r="951" spans="2:4" x14ac:dyDescent="0.25">
      <c r="B951" s="35"/>
      <c r="C951" s="23"/>
      <c r="D951" s="23"/>
    </row>
    <row r="952" spans="2:4" x14ac:dyDescent="0.25">
      <c r="B952" s="35"/>
      <c r="C952" s="23"/>
      <c r="D952" s="23"/>
    </row>
    <row r="953" spans="2:4" x14ac:dyDescent="0.25">
      <c r="B953" s="35"/>
      <c r="C953" s="23"/>
      <c r="D953" s="23"/>
    </row>
    <row r="954" spans="2:4" x14ac:dyDescent="0.25">
      <c r="B954" s="35"/>
      <c r="C954" s="23"/>
      <c r="D954" s="23"/>
    </row>
    <row r="955" spans="2:4" x14ac:dyDescent="0.25">
      <c r="B955" s="35"/>
      <c r="C955" s="23"/>
      <c r="D955" s="23"/>
    </row>
    <row r="956" spans="2:4" x14ac:dyDescent="0.25">
      <c r="B956" s="35"/>
      <c r="C956" s="23"/>
      <c r="D956" s="23"/>
    </row>
    <row r="957" spans="2:4" x14ac:dyDescent="0.25">
      <c r="B957" s="35"/>
      <c r="C957" s="23"/>
      <c r="D957" s="23"/>
    </row>
    <row r="958" spans="2:4" x14ac:dyDescent="0.25">
      <c r="B958" s="35"/>
      <c r="C958" s="23"/>
      <c r="D958" s="23"/>
    </row>
    <row r="959" spans="2:4" x14ac:dyDescent="0.25">
      <c r="B959" s="35"/>
      <c r="C959" s="23"/>
      <c r="D959" s="23"/>
    </row>
    <row r="960" spans="2:4" x14ac:dyDescent="0.25">
      <c r="B960" s="35"/>
      <c r="C960" s="23"/>
      <c r="D960" s="23"/>
    </row>
    <row r="961" spans="2:4" x14ac:dyDescent="0.25">
      <c r="B961" s="35"/>
      <c r="C961" s="23"/>
      <c r="D961" s="23"/>
    </row>
    <row r="962" spans="2:4" x14ac:dyDescent="0.25">
      <c r="B962" s="35"/>
      <c r="C962" s="23"/>
      <c r="D962" s="23"/>
    </row>
    <row r="963" spans="2:4" x14ac:dyDescent="0.25">
      <c r="B963" s="35"/>
      <c r="C963" s="23"/>
      <c r="D963" s="23"/>
    </row>
    <row r="964" spans="2:4" x14ac:dyDescent="0.25">
      <c r="B964" s="35"/>
      <c r="C964" s="23"/>
      <c r="D964" s="23"/>
    </row>
    <row r="965" spans="2:4" x14ac:dyDescent="0.25">
      <c r="B965" s="35"/>
      <c r="C965" s="23"/>
      <c r="D965" s="23"/>
    </row>
    <row r="966" spans="2:4" x14ac:dyDescent="0.25">
      <c r="B966" s="35"/>
      <c r="C966" s="23"/>
      <c r="D966" s="23"/>
    </row>
    <row r="967" spans="2:4" x14ac:dyDescent="0.25">
      <c r="B967" s="35"/>
      <c r="C967" s="23"/>
      <c r="D967" s="23"/>
    </row>
    <row r="968" spans="2:4" x14ac:dyDescent="0.25">
      <c r="B968" s="35"/>
      <c r="C968" s="23"/>
      <c r="D968" s="23"/>
    </row>
    <row r="969" spans="2:4" x14ac:dyDescent="0.25">
      <c r="B969" s="35"/>
      <c r="C969" s="23"/>
      <c r="D969" s="23"/>
    </row>
    <row r="970" spans="2:4" x14ac:dyDescent="0.25">
      <c r="B970" s="35"/>
      <c r="C970" s="23"/>
      <c r="D970" s="23"/>
    </row>
    <row r="971" spans="2:4" x14ac:dyDescent="0.25">
      <c r="B971" s="35"/>
      <c r="C971" s="23"/>
      <c r="D971" s="23"/>
    </row>
    <row r="972" spans="2:4" x14ac:dyDescent="0.25">
      <c r="B972" s="35"/>
      <c r="C972" s="23"/>
      <c r="D972" s="23"/>
    </row>
    <row r="973" spans="2:4" x14ac:dyDescent="0.25">
      <c r="B973" s="35"/>
      <c r="C973" s="23"/>
      <c r="D973" s="23"/>
    </row>
    <row r="974" spans="2:4" x14ac:dyDescent="0.25">
      <c r="B974" s="35"/>
      <c r="C974" s="23"/>
      <c r="D974" s="23"/>
    </row>
    <row r="975" spans="2:4" x14ac:dyDescent="0.25">
      <c r="B975" s="35"/>
      <c r="C975" s="23"/>
      <c r="D975" s="23"/>
    </row>
    <row r="976" spans="2:4" x14ac:dyDescent="0.25">
      <c r="B976" s="35"/>
      <c r="C976" s="23"/>
      <c r="D976" s="23"/>
    </row>
    <row r="977" spans="2:4" x14ac:dyDescent="0.25">
      <c r="B977" s="35"/>
      <c r="C977" s="23"/>
      <c r="D977" s="23"/>
    </row>
    <row r="978" spans="2:4" x14ac:dyDescent="0.25">
      <c r="B978" s="35"/>
      <c r="C978" s="23"/>
      <c r="D978" s="23"/>
    </row>
    <row r="979" spans="2:4" x14ac:dyDescent="0.25">
      <c r="B979" s="35"/>
      <c r="C979" s="23"/>
      <c r="D979" s="23"/>
    </row>
    <row r="980" spans="2:4" x14ac:dyDescent="0.25">
      <c r="B980" s="35"/>
      <c r="C980" s="23"/>
      <c r="D980" s="23"/>
    </row>
    <row r="981" spans="2:4" x14ac:dyDescent="0.25">
      <c r="B981" s="35"/>
      <c r="C981" s="23"/>
      <c r="D981" s="23"/>
    </row>
    <row r="982" spans="2:4" x14ac:dyDescent="0.25">
      <c r="B982" s="35"/>
      <c r="C982" s="23"/>
      <c r="D982" s="23"/>
    </row>
    <row r="983" spans="2:4" x14ac:dyDescent="0.25">
      <c r="B983" s="35"/>
      <c r="C983" s="23"/>
      <c r="D983" s="23"/>
    </row>
    <row r="984" spans="2:4" x14ac:dyDescent="0.25">
      <c r="B984" s="35"/>
      <c r="C984" s="23"/>
      <c r="D984" s="23"/>
    </row>
    <row r="985" spans="2:4" x14ac:dyDescent="0.25">
      <c r="B985" s="35"/>
      <c r="C985" s="23"/>
      <c r="D985" s="23"/>
    </row>
    <row r="986" spans="2:4" x14ac:dyDescent="0.25">
      <c r="B986" s="35"/>
      <c r="C986" s="23"/>
      <c r="D986" s="23"/>
    </row>
    <row r="987" spans="2:4" x14ac:dyDescent="0.25">
      <c r="B987" s="35"/>
      <c r="C987" s="23"/>
      <c r="D987" s="23"/>
    </row>
    <row r="988" spans="2:4" x14ac:dyDescent="0.25">
      <c r="B988" s="35"/>
      <c r="C988" s="23"/>
      <c r="D988" s="23"/>
    </row>
    <row r="989" spans="2:4" x14ac:dyDescent="0.25">
      <c r="B989" s="35"/>
      <c r="C989" s="23"/>
      <c r="D989" s="23"/>
    </row>
    <row r="990" spans="2:4" x14ac:dyDescent="0.25">
      <c r="B990" s="35"/>
      <c r="C990" s="23"/>
      <c r="D990" s="23"/>
    </row>
    <row r="991" spans="2:4" x14ac:dyDescent="0.25">
      <c r="B991" s="35"/>
      <c r="C991" s="23"/>
      <c r="D991" s="23"/>
    </row>
    <row r="992" spans="2:4" x14ac:dyDescent="0.25">
      <c r="B992" s="35"/>
      <c r="C992" s="23"/>
      <c r="D992" s="23"/>
    </row>
    <row r="993" spans="2:4" x14ac:dyDescent="0.25">
      <c r="B993" s="35"/>
      <c r="C993" s="23"/>
      <c r="D993" s="23"/>
    </row>
    <row r="994" spans="2:4" x14ac:dyDescent="0.25">
      <c r="B994" s="35"/>
      <c r="C994" s="23"/>
      <c r="D994" s="23"/>
    </row>
    <row r="995" spans="2:4" x14ac:dyDescent="0.25">
      <c r="B995" s="35"/>
      <c r="C995" s="23"/>
      <c r="D995" s="23"/>
    </row>
    <row r="996" spans="2:4" x14ac:dyDescent="0.25">
      <c r="B996" s="35"/>
      <c r="C996" s="23"/>
      <c r="D996" s="23"/>
    </row>
    <row r="997" spans="2:4" x14ac:dyDescent="0.25">
      <c r="B997" s="35"/>
      <c r="C997" s="23"/>
      <c r="D997" s="23"/>
    </row>
    <row r="998" spans="2:4" x14ac:dyDescent="0.25">
      <c r="B998" s="35"/>
      <c r="C998" s="23"/>
      <c r="D998" s="23"/>
    </row>
    <row r="999" spans="2:4" x14ac:dyDescent="0.25">
      <c r="B999" s="35"/>
      <c r="C999" s="23"/>
      <c r="D999" s="23"/>
    </row>
    <row r="1000" spans="2:4" x14ac:dyDescent="0.25">
      <c r="B1000" s="35"/>
      <c r="C1000" s="23"/>
      <c r="D1000" s="23"/>
    </row>
    <row r="1001" spans="2:4" x14ac:dyDescent="0.25">
      <c r="B1001" s="35"/>
      <c r="C1001" s="23"/>
      <c r="D1001" s="23"/>
    </row>
    <row r="1002" spans="2:4" x14ac:dyDescent="0.25">
      <c r="B1002" s="35"/>
      <c r="C1002" s="23"/>
      <c r="D1002" s="23"/>
    </row>
    <row r="1003" spans="2:4" x14ac:dyDescent="0.25">
      <c r="B1003" s="35"/>
      <c r="C1003" s="23"/>
      <c r="D1003" s="23"/>
    </row>
    <row r="1004" spans="2:4" x14ac:dyDescent="0.25">
      <c r="B1004" s="35"/>
      <c r="C1004" s="23"/>
      <c r="D1004" s="23"/>
    </row>
    <row r="1005" spans="2:4" x14ac:dyDescent="0.25">
      <c r="B1005" s="35"/>
      <c r="C1005" s="23"/>
      <c r="D1005" s="23"/>
    </row>
    <row r="1006" spans="2:4" x14ac:dyDescent="0.25">
      <c r="B1006" s="35"/>
      <c r="C1006" s="23"/>
      <c r="D1006" s="23"/>
    </row>
    <row r="1007" spans="2:4" x14ac:dyDescent="0.25">
      <c r="B1007" s="35"/>
      <c r="C1007" s="23"/>
      <c r="D1007" s="23"/>
    </row>
    <row r="1008" spans="2:4" x14ac:dyDescent="0.25">
      <c r="B1008" s="35"/>
      <c r="C1008" s="23"/>
      <c r="D1008" s="23"/>
    </row>
    <row r="1009" spans="2:4" x14ac:dyDescent="0.25">
      <c r="B1009" s="35"/>
      <c r="C1009" s="23"/>
      <c r="D1009" s="23"/>
    </row>
    <row r="1010" spans="2:4" x14ac:dyDescent="0.25">
      <c r="B1010" s="35"/>
      <c r="C1010" s="23"/>
      <c r="D1010" s="23"/>
    </row>
    <row r="1011" spans="2:4" x14ac:dyDescent="0.25">
      <c r="B1011" s="35"/>
      <c r="C1011" s="23"/>
      <c r="D1011" s="23"/>
    </row>
    <row r="1012" spans="2:4" x14ac:dyDescent="0.25">
      <c r="B1012" s="35"/>
      <c r="C1012" s="23"/>
      <c r="D1012" s="23"/>
    </row>
    <row r="1013" spans="2:4" x14ac:dyDescent="0.25">
      <c r="B1013" s="35"/>
      <c r="C1013" s="23"/>
      <c r="D1013" s="23"/>
    </row>
    <row r="1014" spans="2:4" x14ac:dyDescent="0.25">
      <c r="B1014" s="35"/>
      <c r="C1014" s="23"/>
      <c r="D1014" s="23"/>
    </row>
    <row r="1015" spans="2:4" x14ac:dyDescent="0.25">
      <c r="B1015" s="35"/>
      <c r="C1015" s="23"/>
      <c r="D1015" s="23"/>
    </row>
    <row r="1016" spans="2:4" x14ac:dyDescent="0.25">
      <c r="B1016" s="35"/>
      <c r="C1016" s="23"/>
      <c r="D1016" s="23"/>
    </row>
    <row r="1017" spans="2:4" x14ac:dyDescent="0.25">
      <c r="B1017" s="35"/>
      <c r="C1017" s="23"/>
      <c r="D1017" s="23"/>
    </row>
    <row r="1018" spans="2:4" x14ac:dyDescent="0.25">
      <c r="B1018" s="35"/>
      <c r="C1018" s="23"/>
      <c r="D1018" s="23"/>
    </row>
    <row r="1019" spans="2:4" x14ac:dyDescent="0.25">
      <c r="B1019" s="35"/>
      <c r="C1019" s="23"/>
      <c r="D1019" s="23"/>
    </row>
    <row r="1020" spans="2:4" x14ac:dyDescent="0.25">
      <c r="B1020" s="35"/>
      <c r="C1020" s="23"/>
      <c r="D1020" s="23"/>
    </row>
    <row r="1021" spans="2:4" x14ac:dyDescent="0.25">
      <c r="B1021" s="35"/>
      <c r="C1021" s="23"/>
      <c r="D1021" s="23"/>
    </row>
    <row r="1022" spans="2:4" x14ac:dyDescent="0.25">
      <c r="B1022" s="35"/>
      <c r="C1022" s="23"/>
      <c r="D1022" s="23"/>
    </row>
    <row r="1023" spans="2:4" x14ac:dyDescent="0.25">
      <c r="B1023" s="35"/>
      <c r="C1023" s="23"/>
      <c r="D1023" s="23"/>
    </row>
    <row r="1024" spans="2:4" x14ac:dyDescent="0.25">
      <c r="B1024" s="35"/>
      <c r="C1024" s="23"/>
      <c r="D1024" s="23"/>
    </row>
    <row r="1025" spans="2:4" x14ac:dyDescent="0.25">
      <c r="B1025" s="35"/>
      <c r="C1025" s="23"/>
      <c r="D1025" s="23"/>
    </row>
    <row r="1026" spans="2:4" x14ac:dyDescent="0.25">
      <c r="B1026" s="35"/>
      <c r="C1026" s="23"/>
      <c r="D1026" s="23"/>
    </row>
    <row r="1027" spans="2:4" x14ac:dyDescent="0.25">
      <c r="B1027" s="35"/>
      <c r="C1027" s="23"/>
      <c r="D1027" s="23"/>
    </row>
    <row r="1028" spans="2:4" x14ac:dyDescent="0.25">
      <c r="B1028" s="35"/>
      <c r="C1028" s="23"/>
      <c r="D1028" s="23"/>
    </row>
    <row r="1029" spans="2:4" x14ac:dyDescent="0.25">
      <c r="B1029" s="35"/>
      <c r="C1029" s="23"/>
      <c r="D1029" s="23"/>
    </row>
    <row r="1030" spans="2:4" x14ac:dyDescent="0.25">
      <c r="B1030" s="35"/>
      <c r="C1030" s="23"/>
      <c r="D1030" s="23"/>
    </row>
    <row r="1031" spans="2:4" x14ac:dyDescent="0.25">
      <c r="B1031" s="35"/>
      <c r="C1031" s="23"/>
      <c r="D1031" s="23"/>
    </row>
    <row r="1032" spans="2:4" x14ac:dyDescent="0.25">
      <c r="B1032" s="35"/>
      <c r="C1032" s="23"/>
      <c r="D1032" s="23"/>
    </row>
    <row r="1033" spans="2:4" x14ac:dyDescent="0.25">
      <c r="B1033" s="35"/>
      <c r="C1033" s="23"/>
      <c r="D1033" s="23"/>
    </row>
    <row r="1034" spans="2:4" x14ac:dyDescent="0.25">
      <c r="B1034" s="35"/>
      <c r="C1034" s="23"/>
      <c r="D1034" s="23"/>
    </row>
    <row r="1035" spans="2:4" x14ac:dyDescent="0.25">
      <c r="B1035" s="35"/>
      <c r="C1035" s="23"/>
      <c r="D1035" s="23"/>
    </row>
    <row r="1036" spans="2:4" x14ac:dyDescent="0.25">
      <c r="B1036" s="35"/>
      <c r="C1036" s="23"/>
      <c r="D1036" s="23"/>
    </row>
    <row r="1037" spans="2:4" x14ac:dyDescent="0.25">
      <c r="B1037" s="35"/>
      <c r="C1037" s="23"/>
      <c r="D1037" s="23"/>
    </row>
    <row r="1038" spans="2:4" x14ac:dyDescent="0.25">
      <c r="B1038" s="35"/>
      <c r="C1038" s="23"/>
      <c r="D1038" s="23"/>
    </row>
    <row r="1039" spans="2:4" x14ac:dyDescent="0.25">
      <c r="B1039" s="35"/>
      <c r="C1039" s="23"/>
      <c r="D1039" s="23"/>
    </row>
    <row r="1040" spans="2:4" x14ac:dyDescent="0.25">
      <c r="B1040" s="35"/>
      <c r="C1040" s="23"/>
      <c r="D1040" s="23"/>
    </row>
    <row r="1041" spans="2:4" x14ac:dyDescent="0.25">
      <c r="B1041" s="35"/>
      <c r="C1041" s="23"/>
      <c r="D1041" s="23"/>
    </row>
    <row r="1042" spans="2:4" x14ac:dyDescent="0.25">
      <c r="B1042" s="35"/>
      <c r="C1042" s="23"/>
      <c r="D1042" s="23"/>
    </row>
    <row r="1043" spans="2:4" x14ac:dyDescent="0.25">
      <c r="B1043" s="35"/>
      <c r="C1043" s="23"/>
      <c r="D1043" s="23"/>
    </row>
    <row r="1044" spans="2:4" x14ac:dyDescent="0.25">
      <c r="B1044" s="35"/>
      <c r="C1044" s="23"/>
      <c r="D1044" s="23"/>
    </row>
    <row r="1045" spans="2:4" x14ac:dyDescent="0.25">
      <c r="B1045" s="35"/>
      <c r="C1045" s="23"/>
      <c r="D1045" s="23"/>
    </row>
    <row r="1046" spans="2:4" x14ac:dyDescent="0.25">
      <c r="B1046" s="35"/>
      <c r="C1046" s="23"/>
      <c r="D1046" s="23"/>
    </row>
    <row r="1047" spans="2:4" x14ac:dyDescent="0.25">
      <c r="B1047" s="35"/>
      <c r="C1047" s="23"/>
      <c r="D1047" s="23"/>
    </row>
    <row r="1048" spans="2:4" x14ac:dyDescent="0.25">
      <c r="B1048" s="35"/>
      <c r="C1048" s="23"/>
      <c r="D1048" s="23"/>
    </row>
    <row r="1049" spans="2:4" x14ac:dyDescent="0.25">
      <c r="B1049" s="35"/>
      <c r="C1049" s="23"/>
      <c r="D1049" s="23"/>
    </row>
    <row r="1050" spans="2:4" x14ac:dyDescent="0.25">
      <c r="B1050" s="35"/>
      <c r="C1050" s="23"/>
      <c r="D1050" s="23"/>
    </row>
    <row r="1051" spans="2:4" x14ac:dyDescent="0.25">
      <c r="B1051" s="35"/>
      <c r="C1051" s="23"/>
      <c r="D1051" s="23"/>
    </row>
    <row r="1052" spans="2:4" x14ac:dyDescent="0.25">
      <c r="B1052" s="35"/>
      <c r="C1052" s="23"/>
      <c r="D1052" s="23"/>
    </row>
    <row r="1053" spans="2:4" x14ac:dyDescent="0.25">
      <c r="B1053" s="35"/>
      <c r="C1053" s="23"/>
      <c r="D1053" s="23"/>
    </row>
    <row r="1054" spans="2:4" x14ac:dyDescent="0.25">
      <c r="B1054" s="35"/>
      <c r="C1054" s="23"/>
      <c r="D1054" s="23"/>
    </row>
    <row r="1055" spans="2:4" x14ac:dyDescent="0.25">
      <c r="B1055" s="35"/>
      <c r="C1055" s="23"/>
      <c r="D1055" s="23"/>
    </row>
    <row r="1056" spans="2:4" x14ac:dyDescent="0.25">
      <c r="B1056" s="35"/>
      <c r="C1056" s="23"/>
      <c r="D1056" s="23"/>
    </row>
    <row r="1057" spans="2:4" x14ac:dyDescent="0.25">
      <c r="B1057" s="35"/>
      <c r="C1057" s="23"/>
      <c r="D1057" s="23"/>
    </row>
    <row r="1058" spans="2:4" x14ac:dyDescent="0.25">
      <c r="B1058" s="35"/>
      <c r="C1058" s="23"/>
      <c r="D1058" s="23"/>
    </row>
    <row r="1059" spans="2:4" x14ac:dyDescent="0.25">
      <c r="B1059" s="35"/>
      <c r="C1059" s="23"/>
      <c r="D1059" s="23"/>
    </row>
    <row r="1060" spans="2:4" x14ac:dyDescent="0.25">
      <c r="B1060" s="35"/>
      <c r="C1060" s="23"/>
      <c r="D1060" s="23"/>
    </row>
    <row r="1061" spans="2:4" x14ac:dyDescent="0.25">
      <c r="B1061" s="35"/>
      <c r="C1061" s="23"/>
      <c r="D1061" s="23"/>
    </row>
    <row r="1062" spans="2:4" x14ac:dyDescent="0.25">
      <c r="B1062" s="35"/>
      <c r="C1062" s="23"/>
      <c r="D1062" s="23"/>
    </row>
    <row r="1063" spans="2:4" x14ac:dyDescent="0.25">
      <c r="B1063" s="35"/>
      <c r="C1063" s="23"/>
      <c r="D1063" s="23"/>
    </row>
    <row r="1064" spans="2:4" x14ac:dyDescent="0.25">
      <c r="B1064" s="35"/>
      <c r="C1064" s="23"/>
      <c r="D1064" s="23"/>
    </row>
    <row r="1065" spans="2:4" x14ac:dyDescent="0.25">
      <c r="B1065" s="35"/>
      <c r="C1065" s="23"/>
      <c r="D1065" s="23"/>
    </row>
    <row r="1066" spans="2:4" x14ac:dyDescent="0.25">
      <c r="B1066" s="35"/>
      <c r="C1066" s="23"/>
      <c r="D1066" s="23"/>
    </row>
    <row r="1067" spans="2:4" x14ac:dyDescent="0.25">
      <c r="B1067" s="35"/>
      <c r="C1067" s="23"/>
      <c r="D1067" s="23"/>
    </row>
    <row r="1068" spans="2:4" x14ac:dyDescent="0.25">
      <c r="B1068" s="35"/>
      <c r="C1068" s="23"/>
      <c r="D1068" s="23"/>
    </row>
    <row r="1069" spans="2:4" x14ac:dyDescent="0.25">
      <c r="B1069" s="35"/>
      <c r="C1069" s="23"/>
      <c r="D1069" s="23"/>
    </row>
    <row r="1070" spans="2:4" x14ac:dyDescent="0.25">
      <c r="B1070" s="35"/>
      <c r="C1070" s="23"/>
      <c r="D1070" s="23"/>
    </row>
    <row r="1071" spans="2:4" x14ac:dyDescent="0.25">
      <c r="B1071" s="35"/>
      <c r="C1071" s="23"/>
      <c r="D1071" s="23"/>
    </row>
    <row r="1072" spans="2:4" x14ac:dyDescent="0.25">
      <c r="B1072" s="35"/>
      <c r="C1072" s="23"/>
      <c r="D1072" s="23"/>
    </row>
    <row r="1073" spans="2:4" x14ac:dyDescent="0.25">
      <c r="B1073" s="35"/>
      <c r="C1073" s="23"/>
      <c r="D1073" s="23"/>
    </row>
    <row r="1074" spans="2:4" x14ac:dyDescent="0.25">
      <c r="B1074" s="35"/>
      <c r="C1074" s="23"/>
      <c r="D1074" s="23"/>
    </row>
    <row r="1075" spans="2:4" x14ac:dyDescent="0.25">
      <c r="B1075" s="35"/>
      <c r="C1075" s="23"/>
      <c r="D1075" s="23"/>
    </row>
    <row r="1076" spans="2:4" x14ac:dyDescent="0.25">
      <c r="B1076" s="35"/>
      <c r="C1076" s="23"/>
      <c r="D1076" s="23"/>
    </row>
    <row r="1077" spans="2:4" x14ac:dyDescent="0.25">
      <c r="B1077" s="35"/>
      <c r="C1077" s="23"/>
      <c r="D1077" s="23"/>
    </row>
    <row r="1078" spans="2:4" x14ac:dyDescent="0.25">
      <c r="B1078" s="35"/>
      <c r="C1078" s="23"/>
      <c r="D1078" s="23"/>
    </row>
    <row r="1079" spans="2:4" x14ac:dyDescent="0.25">
      <c r="B1079" s="35"/>
      <c r="C1079" s="23"/>
      <c r="D1079" s="23"/>
    </row>
    <row r="1080" spans="2:4" x14ac:dyDescent="0.25">
      <c r="B1080" s="35"/>
      <c r="C1080" s="23"/>
      <c r="D1080" s="23"/>
    </row>
    <row r="1081" spans="2:4" x14ac:dyDescent="0.25">
      <c r="B1081" s="35"/>
      <c r="C1081" s="23"/>
      <c r="D1081" s="23"/>
    </row>
    <row r="1082" spans="2:4" x14ac:dyDescent="0.25">
      <c r="B1082" s="35"/>
      <c r="C1082" s="23"/>
      <c r="D1082" s="23"/>
    </row>
    <row r="1083" spans="2:4" x14ac:dyDescent="0.25">
      <c r="B1083" s="35"/>
      <c r="C1083" s="23"/>
      <c r="D1083" s="23"/>
    </row>
    <row r="1084" spans="2:4" x14ac:dyDescent="0.25">
      <c r="B1084" s="35"/>
      <c r="C1084" s="23"/>
      <c r="D1084" s="23"/>
    </row>
    <row r="1085" spans="2:4" x14ac:dyDescent="0.25">
      <c r="B1085" s="35"/>
      <c r="C1085" s="23"/>
      <c r="D1085" s="23"/>
    </row>
    <row r="1086" spans="2:4" x14ac:dyDescent="0.25">
      <c r="B1086" s="35"/>
      <c r="C1086" s="23"/>
      <c r="D1086" s="23"/>
    </row>
    <row r="1087" spans="2:4" x14ac:dyDescent="0.25">
      <c r="B1087" s="35"/>
      <c r="C1087" s="23"/>
      <c r="D1087" s="23"/>
    </row>
    <row r="1088" spans="2:4" x14ac:dyDescent="0.25">
      <c r="B1088" s="35"/>
      <c r="C1088" s="23"/>
      <c r="D1088" s="23"/>
    </row>
    <row r="1089" spans="2:4" x14ac:dyDescent="0.25">
      <c r="B1089" s="35"/>
      <c r="C1089" s="23"/>
      <c r="D1089" s="23"/>
    </row>
    <row r="1090" spans="2:4" x14ac:dyDescent="0.25">
      <c r="B1090" s="35"/>
      <c r="C1090" s="23"/>
      <c r="D1090" s="23"/>
    </row>
    <row r="1091" spans="2:4" x14ac:dyDescent="0.25">
      <c r="B1091" s="35"/>
      <c r="C1091" s="23"/>
      <c r="D1091" s="23"/>
    </row>
    <row r="1092" spans="2:4" x14ac:dyDescent="0.25">
      <c r="B1092" s="35"/>
      <c r="C1092" s="23"/>
      <c r="D1092" s="23"/>
    </row>
    <row r="1093" spans="2:4" x14ac:dyDescent="0.25">
      <c r="B1093" s="35"/>
      <c r="C1093" s="23"/>
      <c r="D1093" s="23"/>
    </row>
    <row r="1094" spans="2:4" x14ac:dyDescent="0.25">
      <c r="B1094" s="35"/>
      <c r="C1094" s="23"/>
      <c r="D1094" s="23"/>
    </row>
    <row r="1095" spans="2:4" x14ac:dyDescent="0.25">
      <c r="B1095" s="35"/>
      <c r="C1095" s="23"/>
      <c r="D1095" s="23"/>
    </row>
    <row r="1096" spans="2:4" x14ac:dyDescent="0.25">
      <c r="B1096" s="35"/>
      <c r="C1096" s="23"/>
      <c r="D1096" s="23"/>
    </row>
    <row r="1097" spans="2:4" x14ac:dyDescent="0.25">
      <c r="B1097" s="35"/>
      <c r="C1097" s="23"/>
      <c r="D1097" s="23"/>
    </row>
    <row r="1098" spans="2:4" x14ac:dyDescent="0.25">
      <c r="B1098" s="35"/>
      <c r="C1098" s="23"/>
      <c r="D1098" s="23"/>
    </row>
    <row r="1099" spans="2:4" x14ac:dyDescent="0.25">
      <c r="B1099" s="35"/>
      <c r="C1099" s="23"/>
      <c r="D1099" s="23"/>
    </row>
    <row r="1100" spans="2:4" x14ac:dyDescent="0.25">
      <c r="B1100" s="35"/>
      <c r="C1100" s="23"/>
      <c r="D1100" s="23"/>
    </row>
    <row r="1101" spans="2:4" x14ac:dyDescent="0.25">
      <c r="B1101" s="35"/>
      <c r="C1101" s="23"/>
      <c r="D1101" s="23"/>
    </row>
    <row r="1102" spans="2:4" x14ac:dyDescent="0.25">
      <c r="B1102" s="35"/>
      <c r="C1102" s="23"/>
      <c r="D1102" s="23"/>
    </row>
    <row r="1103" spans="2:4" x14ac:dyDescent="0.25">
      <c r="B1103" s="35"/>
      <c r="C1103" s="23"/>
      <c r="D1103" s="23"/>
    </row>
    <row r="1104" spans="2:4" x14ac:dyDescent="0.25">
      <c r="B1104" s="35"/>
      <c r="C1104" s="23"/>
      <c r="D1104" s="23"/>
    </row>
    <row r="1105" spans="2:4" x14ac:dyDescent="0.25">
      <c r="B1105" s="35"/>
      <c r="C1105" s="23"/>
      <c r="D1105" s="23"/>
    </row>
    <row r="1106" spans="2:4" x14ac:dyDescent="0.25">
      <c r="B1106" s="35"/>
      <c r="C1106" s="23"/>
      <c r="D1106" s="23"/>
    </row>
    <row r="1107" spans="2:4" x14ac:dyDescent="0.25">
      <c r="B1107" s="35"/>
      <c r="C1107" s="23"/>
      <c r="D1107" s="23"/>
    </row>
    <row r="1108" spans="2:4" x14ac:dyDescent="0.25">
      <c r="B1108" s="35"/>
      <c r="C1108" s="23"/>
      <c r="D1108" s="23"/>
    </row>
    <row r="1109" spans="2:4" x14ac:dyDescent="0.25">
      <c r="B1109" s="35"/>
      <c r="C1109" s="23"/>
      <c r="D1109" s="23"/>
    </row>
    <row r="1110" spans="2:4" x14ac:dyDescent="0.25">
      <c r="B1110" s="35"/>
      <c r="C1110" s="23"/>
      <c r="D1110" s="23"/>
    </row>
    <row r="1111" spans="2:4" x14ac:dyDescent="0.25">
      <c r="B1111" s="35"/>
      <c r="C1111" s="23"/>
      <c r="D1111" s="23"/>
    </row>
    <row r="1112" spans="2:4" x14ac:dyDescent="0.25">
      <c r="B1112" s="35"/>
      <c r="C1112" s="23"/>
      <c r="D1112" s="23"/>
    </row>
    <row r="1113" spans="2:4" x14ac:dyDescent="0.25">
      <c r="B1113" s="35"/>
      <c r="C1113" s="23"/>
      <c r="D1113" s="23"/>
    </row>
    <row r="1114" spans="2:4" x14ac:dyDescent="0.25">
      <c r="B1114" s="35"/>
      <c r="C1114" s="23"/>
      <c r="D1114" s="23"/>
    </row>
    <row r="1115" spans="2:4" x14ac:dyDescent="0.25">
      <c r="B1115" s="35"/>
      <c r="C1115" s="23"/>
      <c r="D1115" s="23"/>
    </row>
    <row r="1116" spans="2:4" x14ac:dyDescent="0.25">
      <c r="B1116" s="35"/>
      <c r="C1116" s="23"/>
      <c r="D1116" s="23"/>
    </row>
    <row r="1117" spans="2:4" x14ac:dyDescent="0.25">
      <c r="B1117" s="35"/>
      <c r="C1117" s="23"/>
      <c r="D1117" s="23"/>
    </row>
    <row r="1118" spans="2:4" x14ac:dyDescent="0.25">
      <c r="B1118" s="35"/>
      <c r="C1118" s="23"/>
      <c r="D1118" s="23"/>
    </row>
    <row r="1119" spans="2:4" x14ac:dyDescent="0.25">
      <c r="B1119" s="35"/>
      <c r="C1119" s="23"/>
      <c r="D1119" s="23"/>
    </row>
    <row r="1120" spans="2:4" x14ac:dyDescent="0.25">
      <c r="B1120" s="35"/>
      <c r="C1120" s="23"/>
      <c r="D1120" s="23"/>
    </row>
    <row r="1121" spans="2:4" x14ac:dyDescent="0.25">
      <c r="B1121" s="35"/>
      <c r="C1121" s="23"/>
      <c r="D1121" s="23"/>
    </row>
    <row r="1122" spans="2:4" x14ac:dyDescent="0.25">
      <c r="B1122" s="35"/>
      <c r="C1122" s="23"/>
      <c r="D1122" s="23"/>
    </row>
    <row r="1123" spans="2:4" x14ac:dyDescent="0.25">
      <c r="B1123" s="35"/>
      <c r="C1123" s="23"/>
      <c r="D1123" s="23"/>
    </row>
    <row r="1124" spans="2:4" x14ac:dyDescent="0.25">
      <c r="B1124" s="35"/>
      <c r="C1124" s="23"/>
      <c r="D1124" s="23"/>
    </row>
    <row r="1125" spans="2:4" x14ac:dyDescent="0.25">
      <c r="B1125" s="35"/>
      <c r="C1125" s="23"/>
      <c r="D1125" s="23"/>
    </row>
    <row r="1126" spans="2:4" x14ac:dyDescent="0.25">
      <c r="B1126" s="35"/>
      <c r="C1126" s="23"/>
      <c r="D1126" s="23"/>
    </row>
    <row r="1127" spans="2:4" x14ac:dyDescent="0.25">
      <c r="B1127" s="35"/>
      <c r="C1127" s="23"/>
      <c r="D1127" s="23"/>
    </row>
    <row r="1128" spans="2:4" x14ac:dyDescent="0.25">
      <c r="B1128" s="35"/>
      <c r="C1128" s="23"/>
      <c r="D1128" s="23"/>
    </row>
    <row r="1129" spans="2:4" x14ac:dyDescent="0.25">
      <c r="B1129" s="35"/>
      <c r="C1129" s="23"/>
      <c r="D1129" s="23"/>
    </row>
    <row r="1130" spans="2:4" x14ac:dyDescent="0.25">
      <c r="B1130" s="35"/>
      <c r="C1130" s="23"/>
      <c r="D1130" s="23"/>
    </row>
    <row r="1131" spans="2:4" x14ac:dyDescent="0.25">
      <c r="B1131" s="35"/>
      <c r="C1131" s="23"/>
      <c r="D1131" s="23"/>
    </row>
    <row r="1132" spans="2:4" x14ac:dyDescent="0.25">
      <c r="B1132" s="35"/>
      <c r="C1132" s="23"/>
      <c r="D1132" s="23"/>
    </row>
    <row r="1133" spans="2:4" x14ac:dyDescent="0.25">
      <c r="B1133" s="35"/>
      <c r="C1133" s="23"/>
      <c r="D1133" s="23"/>
    </row>
    <row r="1134" spans="2:4" x14ac:dyDescent="0.25">
      <c r="B1134" s="35"/>
      <c r="C1134" s="23"/>
      <c r="D1134" s="23"/>
    </row>
    <row r="1135" spans="2:4" x14ac:dyDescent="0.25">
      <c r="B1135" s="35"/>
      <c r="C1135" s="23"/>
      <c r="D1135" s="23"/>
    </row>
    <row r="1136" spans="2:4" x14ac:dyDescent="0.25">
      <c r="B1136" s="35"/>
      <c r="C1136" s="23"/>
      <c r="D1136" s="23"/>
    </row>
    <row r="1137" spans="2:4" x14ac:dyDescent="0.25">
      <c r="B1137" s="35"/>
      <c r="C1137" s="23"/>
      <c r="D1137" s="23"/>
    </row>
    <row r="1138" spans="2:4" x14ac:dyDescent="0.25">
      <c r="B1138" s="35"/>
      <c r="C1138" s="23"/>
      <c r="D1138" s="23"/>
    </row>
    <row r="1139" spans="2:4" x14ac:dyDescent="0.25">
      <c r="B1139" s="35"/>
      <c r="C1139" s="23"/>
      <c r="D1139" s="23"/>
    </row>
    <row r="1140" spans="2:4" x14ac:dyDescent="0.25">
      <c r="B1140" s="35"/>
      <c r="C1140" s="23"/>
      <c r="D1140" s="23"/>
    </row>
    <row r="1141" spans="2:4" x14ac:dyDescent="0.25">
      <c r="B1141" s="35"/>
      <c r="C1141" s="23"/>
      <c r="D1141" s="23"/>
    </row>
    <row r="1142" spans="2:4" x14ac:dyDescent="0.25">
      <c r="B1142" s="35"/>
      <c r="C1142" s="23"/>
      <c r="D1142" s="23"/>
    </row>
    <row r="1143" spans="2:4" x14ac:dyDescent="0.25">
      <c r="B1143" s="35"/>
      <c r="C1143" s="23"/>
      <c r="D1143" s="23"/>
    </row>
    <row r="1144" spans="2:4" x14ac:dyDescent="0.25">
      <c r="B1144" s="35"/>
      <c r="C1144" s="23"/>
      <c r="D1144" s="23"/>
    </row>
    <row r="1145" spans="2:4" x14ac:dyDescent="0.25">
      <c r="B1145" s="35"/>
      <c r="C1145" s="23"/>
      <c r="D1145" s="23"/>
    </row>
    <row r="1146" spans="2:4" x14ac:dyDescent="0.25">
      <c r="B1146" s="35"/>
      <c r="C1146" s="23"/>
      <c r="D1146" s="23"/>
    </row>
    <row r="1147" spans="2:4" x14ac:dyDescent="0.25">
      <c r="B1147" s="35"/>
      <c r="C1147" s="23"/>
      <c r="D1147" s="23"/>
    </row>
    <row r="1148" spans="2:4" x14ac:dyDescent="0.25">
      <c r="B1148" s="35"/>
      <c r="C1148" s="23"/>
      <c r="D1148" s="23"/>
    </row>
    <row r="1149" spans="2:4" x14ac:dyDescent="0.25">
      <c r="B1149" s="35"/>
      <c r="C1149" s="23"/>
      <c r="D1149" s="23"/>
    </row>
    <row r="1150" spans="2:4" x14ac:dyDescent="0.25">
      <c r="B1150" s="35"/>
      <c r="C1150" s="23"/>
      <c r="D1150" s="23"/>
    </row>
    <row r="1151" spans="2:4" x14ac:dyDescent="0.25">
      <c r="B1151" s="35"/>
      <c r="C1151" s="23"/>
      <c r="D1151" s="23"/>
    </row>
    <row r="1152" spans="2:4" x14ac:dyDescent="0.25">
      <c r="B1152" s="35"/>
      <c r="C1152" s="23"/>
      <c r="D1152" s="23"/>
    </row>
    <row r="1153" spans="2:4" x14ac:dyDescent="0.25">
      <c r="B1153" s="35"/>
      <c r="C1153" s="23"/>
      <c r="D1153" s="23"/>
    </row>
    <row r="1154" spans="2:4" x14ac:dyDescent="0.25">
      <c r="B1154" s="35"/>
      <c r="C1154" s="23"/>
      <c r="D1154" s="23"/>
    </row>
    <row r="1155" spans="2:4" x14ac:dyDescent="0.25">
      <c r="B1155" s="35"/>
      <c r="C1155" s="23"/>
      <c r="D1155" s="23"/>
    </row>
    <row r="1156" spans="2:4" x14ac:dyDescent="0.25">
      <c r="B1156" s="35"/>
      <c r="C1156" s="23"/>
      <c r="D1156" s="23"/>
    </row>
    <row r="1157" spans="2:4" x14ac:dyDescent="0.25">
      <c r="B1157" s="35"/>
      <c r="C1157" s="23"/>
      <c r="D1157" s="23"/>
    </row>
    <row r="1158" spans="2:4" x14ac:dyDescent="0.25">
      <c r="B1158" s="35"/>
      <c r="C1158" s="23"/>
      <c r="D1158" s="23"/>
    </row>
    <row r="1159" spans="2:4" x14ac:dyDescent="0.25">
      <c r="B1159" s="35"/>
      <c r="C1159" s="23"/>
      <c r="D1159" s="23"/>
    </row>
    <row r="1160" spans="2:4" x14ac:dyDescent="0.25">
      <c r="B1160" s="35"/>
      <c r="C1160" s="23"/>
      <c r="D1160" s="23"/>
    </row>
    <row r="1161" spans="2:4" x14ac:dyDescent="0.25">
      <c r="B1161" s="35"/>
      <c r="C1161" s="23"/>
      <c r="D1161" s="23"/>
    </row>
    <row r="1162" spans="2:4" x14ac:dyDescent="0.25">
      <c r="B1162" s="35"/>
      <c r="C1162" s="23"/>
      <c r="D1162" s="23"/>
    </row>
    <row r="1163" spans="2:4" x14ac:dyDescent="0.25">
      <c r="B1163" s="35"/>
      <c r="C1163" s="23"/>
      <c r="D1163" s="23"/>
    </row>
    <row r="1164" spans="2:4" x14ac:dyDescent="0.25">
      <c r="B1164" s="35"/>
      <c r="C1164" s="23"/>
      <c r="D1164" s="23"/>
    </row>
    <row r="1165" spans="2:4" x14ac:dyDescent="0.25">
      <c r="B1165" s="35"/>
      <c r="C1165" s="23"/>
      <c r="D1165" s="23"/>
    </row>
    <row r="1166" spans="2:4" x14ac:dyDescent="0.25">
      <c r="B1166" s="35"/>
      <c r="C1166" s="23"/>
      <c r="D1166" s="23"/>
    </row>
    <row r="1167" spans="2:4" x14ac:dyDescent="0.25">
      <c r="B1167" s="35"/>
      <c r="C1167" s="23"/>
      <c r="D1167" s="23"/>
    </row>
    <row r="1168" spans="2:4" x14ac:dyDescent="0.25">
      <c r="B1168" s="35"/>
      <c r="C1168" s="23"/>
      <c r="D1168" s="23"/>
    </row>
    <row r="1169" spans="2:4" x14ac:dyDescent="0.25">
      <c r="B1169" s="35"/>
      <c r="C1169" s="23"/>
      <c r="D1169" s="23"/>
    </row>
    <row r="1170" spans="2:4" x14ac:dyDescent="0.25">
      <c r="B1170" s="35"/>
      <c r="C1170" s="23"/>
      <c r="D1170" s="23"/>
    </row>
    <row r="1171" spans="2:4" x14ac:dyDescent="0.25">
      <c r="B1171" s="35"/>
      <c r="C1171" s="23"/>
      <c r="D1171" s="23"/>
    </row>
    <row r="1172" spans="2:4" x14ac:dyDescent="0.25">
      <c r="B1172" s="35"/>
      <c r="C1172" s="23"/>
      <c r="D1172" s="23"/>
    </row>
    <row r="1173" spans="2:4" x14ac:dyDescent="0.25">
      <c r="B1173" s="35"/>
      <c r="C1173" s="23"/>
      <c r="D1173" s="23"/>
    </row>
    <row r="1174" spans="2:4" x14ac:dyDescent="0.25">
      <c r="B1174" s="35"/>
      <c r="C1174" s="23"/>
      <c r="D1174" s="23"/>
    </row>
    <row r="1175" spans="2:4" x14ac:dyDescent="0.25">
      <c r="B1175" s="35"/>
      <c r="C1175" s="23"/>
      <c r="D1175" s="23"/>
    </row>
    <row r="1176" spans="2:4" x14ac:dyDescent="0.25">
      <c r="B1176" s="35"/>
      <c r="C1176" s="23"/>
      <c r="D1176" s="23"/>
    </row>
    <row r="1177" spans="2:4" x14ac:dyDescent="0.25">
      <c r="B1177" s="35"/>
      <c r="C1177" s="23"/>
      <c r="D1177" s="23"/>
    </row>
    <row r="1178" spans="2:4" x14ac:dyDescent="0.25">
      <c r="B1178" s="35"/>
      <c r="C1178" s="23"/>
      <c r="D1178" s="23"/>
    </row>
    <row r="1179" spans="2:4" x14ac:dyDescent="0.25">
      <c r="B1179" s="35"/>
      <c r="C1179" s="23"/>
      <c r="D1179" s="23"/>
    </row>
    <row r="1180" spans="2:4" x14ac:dyDescent="0.25">
      <c r="B1180" s="35"/>
      <c r="C1180" s="23"/>
      <c r="D1180" s="23"/>
    </row>
    <row r="1181" spans="2:4" x14ac:dyDescent="0.25">
      <c r="B1181" s="35"/>
      <c r="C1181" s="23"/>
      <c r="D1181" s="23"/>
    </row>
    <row r="1182" spans="2:4" x14ac:dyDescent="0.25">
      <c r="B1182" s="35"/>
      <c r="C1182" s="23"/>
      <c r="D1182" s="23"/>
    </row>
    <row r="1183" spans="2:4" x14ac:dyDescent="0.25">
      <c r="B1183" s="35"/>
      <c r="C1183" s="23"/>
      <c r="D1183" s="23"/>
    </row>
    <row r="1184" spans="2:4" x14ac:dyDescent="0.25">
      <c r="B1184" s="35"/>
      <c r="C1184" s="23"/>
      <c r="D1184" s="23"/>
    </row>
    <row r="1185" spans="2:4" x14ac:dyDescent="0.25">
      <c r="B1185" s="35"/>
      <c r="C1185" s="23"/>
      <c r="D1185" s="23"/>
    </row>
    <row r="1186" spans="2:4" x14ac:dyDescent="0.25">
      <c r="B1186" s="35"/>
      <c r="C1186" s="23"/>
      <c r="D1186" s="23"/>
    </row>
    <row r="1187" spans="2:4" x14ac:dyDescent="0.25">
      <c r="B1187" s="35"/>
      <c r="C1187" s="23"/>
      <c r="D1187" s="23"/>
    </row>
    <row r="1188" spans="2:4" x14ac:dyDescent="0.25">
      <c r="B1188" s="35"/>
      <c r="C1188" s="23"/>
      <c r="D1188" s="23"/>
    </row>
    <row r="1189" spans="2:4" x14ac:dyDescent="0.25">
      <c r="B1189" s="35"/>
      <c r="C1189" s="23"/>
      <c r="D1189" s="23"/>
    </row>
    <row r="1190" spans="2:4" x14ac:dyDescent="0.25">
      <c r="B1190" s="35"/>
      <c r="C1190" s="23"/>
      <c r="D1190" s="23"/>
    </row>
    <row r="1191" spans="2:4" x14ac:dyDescent="0.25">
      <c r="B1191" s="35"/>
      <c r="C1191" s="23"/>
      <c r="D1191" s="23"/>
    </row>
    <row r="1192" spans="2:4" x14ac:dyDescent="0.25">
      <c r="B1192" s="35"/>
      <c r="C1192" s="23"/>
      <c r="D1192" s="23"/>
    </row>
    <row r="1193" spans="2:4" x14ac:dyDescent="0.25">
      <c r="B1193" s="35"/>
      <c r="C1193" s="23"/>
      <c r="D1193" s="23"/>
    </row>
    <row r="1194" spans="2:4" x14ac:dyDescent="0.25">
      <c r="B1194" s="35"/>
      <c r="C1194" s="23"/>
      <c r="D1194" s="23"/>
    </row>
    <row r="1195" spans="2:4" x14ac:dyDescent="0.25">
      <c r="B1195" s="35"/>
      <c r="C1195" s="23"/>
      <c r="D1195" s="23"/>
    </row>
    <row r="1196" spans="2:4" x14ac:dyDescent="0.25">
      <c r="B1196" s="35"/>
      <c r="C1196" s="23"/>
      <c r="D1196" s="23"/>
    </row>
    <row r="1197" spans="2:4" x14ac:dyDescent="0.25">
      <c r="B1197" s="35"/>
      <c r="C1197" s="23"/>
      <c r="D1197" s="23"/>
    </row>
    <row r="1198" spans="2:4" x14ac:dyDescent="0.25">
      <c r="B1198" s="35"/>
      <c r="C1198" s="23"/>
      <c r="D1198" s="23"/>
    </row>
    <row r="1199" spans="2:4" x14ac:dyDescent="0.25">
      <c r="B1199" s="35"/>
      <c r="C1199" s="23"/>
      <c r="D1199" s="23"/>
    </row>
    <row r="1200" spans="2:4" x14ac:dyDescent="0.25">
      <c r="B1200" s="35"/>
      <c r="C1200" s="23"/>
      <c r="D1200" s="23"/>
    </row>
    <row r="1201" spans="2:4" x14ac:dyDescent="0.25">
      <c r="B1201" s="35"/>
      <c r="C1201" s="23"/>
      <c r="D1201" s="23"/>
    </row>
    <row r="1202" spans="2:4" x14ac:dyDescent="0.25">
      <c r="B1202" s="35"/>
      <c r="C1202" s="23"/>
      <c r="D1202" s="23"/>
    </row>
    <row r="1203" spans="2:4" x14ac:dyDescent="0.25">
      <c r="B1203" s="35"/>
      <c r="C1203" s="23"/>
      <c r="D1203" s="23"/>
    </row>
    <row r="1204" spans="2:4" x14ac:dyDescent="0.25">
      <c r="B1204" s="35"/>
      <c r="C1204" s="23"/>
      <c r="D1204" s="23"/>
    </row>
    <row r="1205" spans="2:4" x14ac:dyDescent="0.25">
      <c r="B1205" s="35"/>
      <c r="C1205" s="23"/>
      <c r="D1205" s="23"/>
    </row>
    <row r="1206" spans="2:4" x14ac:dyDescent="0.25">
      <c r="B1206" s="35"/>
      <c r="C1206" s="23"/>
      <c r="D1206" s="23"/>
    </row>
    <row r="1207" spans="2:4" x14ac:dyDescent="0.25">
      <c r="B1207" s="35"/>
      <c r="C1207" s="23"/>
      <c r="D1207" s="23"/>
    </row>
    <row r="1208" spans="2:4" x14ac:dyDescent="0.25">
      <c r="B1208" s="35"/>
      <c r="C1208" s="23"/>
      <c r="D1208" s="23"/>
    </row>
    <row r="1209" spans="2:4" x14ac:dyDescent="0.25">
      <c r="B1209" s="35"/>
      <c r="C1209" s="23"/>
      <c r="D1209" s="23"/>
    </row>
    <row r="1210" spans="2:4" x14ac:dyDescent="0.25">
      <c r="B1210" s="35"/>
      <c r="C1210" s="23"/>
      <c r="D1210" s="23"/>
    </row>
    <row r="1211" spans="2:4" x14ac:dyDescent="0.25">
      <c r="B1211" s="35"/>
      <c r="C1211" s="23"/>
      <c r="D1211" s="23"/>
    </row>
    <row r="1212" spans="2:4" x14ac:dyDescent="0.25">
      <c r="B1212" s="35"/>
      <c r="C1212" s="23"/>
      <c r="D1212" s="23"/>
    </row>
    <row r="1213" spans="2:4" x14ac:dyDescent="0.25">
      <c r="B1213" s="35"/>
      <c r="C1213" s="23"/>
      <c r="D1213" s="23"/>
    </row>
    <row r="1214" spans="2:4" x14ac:dyDescent="0.25">
      <c r="B1214" s="35"/>
      <c r="C1214" s="23"/>
      <c r="D1214" s="23"/>
    </row>
    <row r="1215" spans="2:4" x14ac:dyDescent="0.25">
      <c r="B1215" s="35"/>
      <c r="C1215" s="23"/>
      <c r="D1215" s="23"/>
    </row>
    <row r="1216" spans="2:4" x14ac:dyDescent="0.25">
      <c r="B1216" s="35"/>
      <c r="C1216" s="23"/>
      <c r="D1216" s="23"/>
    </row>
    <row r="1217" spans="2:4" x14ac:dyDescent="0.25">
      <c r="B1217" s="35"/>
      <c r="C1217" s="23"/>
      <c r="D1217" s="23"/>
    </row>
    <row r="1218" spans="2:4" x14ac:dyDescent="0.25">
      <c r="B1218" s="35"/>
      <c r="C1218" s="23"/>
      <c r="D1218" s="23"/>
    </row>
    <row r="1219" spans="2:4" x14ac:dyDescent="0.25">
      <c r="B1219" s="35"/>
      <c r="C1219" s="23"/>
      <c r="D1219" s="23"/>
    </row>
    <row r="1220" spans="2:4" x14ac:dyDescent="0.25">
      <c r="B1220" s="35"/>
      <c r="C1220" s="23"/>
      <c r="D1220" s="23"/>
    </row>
    <row r="1221" spans="2:4" x14ac:dyDescent="0.25">
      <c r="B1221" s="35"/>
      <c r="C1221" s="23"/>
      <c r="D1221" s="23"/>
    </row>
    <row r="1222" spans="2:4" x14ac:dyDescent="0.25">
      <c r="B1222" s="35"/>
      <c r="C1222" s="23"/>
      <c r="D1222" s="23"/>
    </row>
    <row r="1223" spans="2:4" x14ac:dyDescent="0.25">
      <c r="B1223" s="35"/>
      <c r="C1223" s="23"/>
      <c r="D1223" s="23"/>
    </row>
    <row r="1224" spans="2:4" x14ac:dyDescent="0.25">
      <c r="B1224" s="35"/>
      <c r="C1224" s="23"/>
      <c r="D1224" s="23"/>
    </row>
    <row r="1225" spans="2:4" x14ac:dyDescent="0.25">
      <c r="B1225" s="35"/>
      <c r="C1225" s="23"/>
      <c r="D1225" s="23"/>
    </row>
    <row r="1226" spans="2:4" x14ac:dyDescent="0.25">
      <c r="B1226" s="35"/>
      <c r="C1226" s="23"/>
      <c r="D1226" s="23"/>
    </row>
    <row r="1227" spans="2:4" x14ac:dyDescent="0.25">
      <c r="B1227" s="35"/>
      <c r="C1227" s="23"/>
      <c r="D1227" s="23"/>
    </row>
    <row r="1228" spans="2:4" x14ac:dyDescent="0.25">
      <c r="B1228" s="35"/>
      <c r="C1228" s="23"/>
      <c r="D1228" s="23"/>
    </row>
    <row r="1229" spans="2:4" x14ac:dyDescent="0.25">
      <c r="B1229" s="35"/>
      <c r="C1229" s="23"/>
      <c r="D1229" s="23"/>
    </row>
    <row r="1230" spans="2:4" x14ac:dyDescent="0.25">
      <c r="B1230" s="35"/>
      <c r="C1230" s="23"/>
      <c r="D1230" s="23"/>
    </row>
    <row r="1231" spans="2:4" x14ac:dyDescent="0.25">
      <c r="B1231" s="35"/>
      <c r="C1231" s="23"/>
      <c r="D1231" s="23"/>
    </row>
    <row r="1232" spans="2:4" x14ac:dyDescent="0.25">
      <c r="B1232" s="35"/>
      <c r="C1232" s="23"/>
      <c r="D1232" s="23"/>
    </row>
    <row r="1233" spans="2:4" x14ac:dyDescent="0.25">
      <c r="B1233" s="35"/>
      <c r="C1233" s="23"/>
      <c r="D1233" s="23"/>
    </row>
    <row r="1234" spans="2:4" x14ac:dyDescent="0.25">
      <c r="B1234" s="35"/>
      <c r="C1234" s="23"/>
      <c r="D1234" s="23"/>
    </row>
    <row r="1235" spans="2:4" x14ac:dyDescent="0.25">
      <c r="B1235" s="35"/>
      <c r="C1235" s="23"/>
      <c r="D1235" s="23"/>
    </row>
    <row r="1236" spans="2:4" x14ac:dyDescent="0.25">
      <c r="B1236" s="35"/>
      <c r="C1236" s="23"/>
      <c r="D1236" s="23"/>
    </row>
    <row r="1237" spans="2:4" x14ac:dyDescent="0.25">
      <c r="B1237" s="35"/>
      <c r="C1237" s="23"/>
      <c r="D1237" s="23"/>
    </row>
    <row r="1238" spans="2:4" x14ac:dyDescent="0.25">
      <c r="B1238" s="35"/>
      <c r="C1238" s="23"/>
      <c r="D1238" s="23"/>
    </row>
    <row r="1239" spans="2:4" x14ac:dyDescent="0.25">
      <c r="B1239" s="35"/>
      <c r="C1239" s="23"/>
      <c r="D1239" s="23"/>
    </row>
    <row r="1240" spans="2:4" x14ac:dyDescent="0.25">
      <c r="B1240" s="35"/>
      <c r="C1240" s="23"/>
      <c r="D1240" s="23"/>
    </row>
    <row r="1241" spans="2:4" x14ac:dyDescent="0.25">
      <c r="B1241" s="35"/>
      <c r="C1241" s="23"/>
      <c r="D1241" s="23"/>
    </row>
    <row r="1242" spans="2:4" x14ac:dyDescent="0.25">
      <c r="B1242" s="35"/>
      <c r="C1242" s="23"/>
      <c r="D1242" s="23"/>
    </row>
    <row r="1243" spans="2:4" x14ac:dyDescent="0.25">
      <c r="B1243" s="35"/>
      <c r="C1243" s="23"/>
      <c r="D1243" s="23"/>
    </row>
    <row r="1244" spans="2:4" x14ac:dyDescent="0.25">
      <c r="B1244" s="35"/>
      <c r="C1244" s="23"/>
      <c r="D1244" s="23"/>
    </row>
    <row r="1245" spans="2:4" x14ac:dyDescent="0.25">
      <c r="B1245" s="35"/>
      <c r="C1245" s="23"/>
      <c r="D1245" s="23"/>
    </row>
    <row r="1246" spans="2:4" x14ac:dyDescent="0.25">
      <c r="B1246" s="35"/>
      <c r="C1246" s="23"/>
      <c r="D1246" s="23"/>
    </row>
    <row r="1247" spans="2:4" x14ac:dyDescent="0.25">
      <c r="B1247" s="35"/>
      <c r="C1247" s="23"/>
      <c r="D1247" s="23"/>
    </row>
    <row r="1248" spans="2:4" x14ac:dyDescent="0.25">
      <c r="B1248" s="35"/>
      <c r="C1248" s="23"/>
      <c r="D1248" s="23"/>
    </row>
    <row r="1249" spans="2:4" x14ac:dyDescent="0.25">
      <c r="B1249" s="35"/>
      <c r="C1249" s="23"/>
      <c r="D1249" s="23"/>
    </row>
    <row r="1250" spans="2:4" x14ac:dyDescent="0.25">
      <c r="B1250" s="35"/>
      <c r="C1250" s="23"/>
      <c r="D1250" s="23"/>
    </row>
    <row r="1251" spans="2:4" x14ac:dyDescent="0.25">
      <c r="B1251" s="35"/>
      <c r="C1251" s="23"/>
      <c r="D1251" s="23"/>
    </row>
    <row r="1252" spans="2:4" x14ac:dyDescent="0.25">
      <c r="B1252" s="35"/>
      <c r="C1252" s="23"/>
      <c r="D1252" s="23"/>
    </row>
    <row r="1253" spans="2:4" x14ac:dyDescent="0.25">
      <c r="B1253" s="35"/>
      <c r="C1253" s="23"/>
      <c r="D1253" s="23"/>
    </row>
    <row r="1254" spans="2:4" x14ac:dyDescent="0.25">
      <c r="B1254" s="35"/>
      <c r="C1254" s="23"/>
      <c r="D1254" s="23"/>
    </row>
    <row r="1255" spans="2:4" x14ac:dyDescent="0.25">
      <c r="B1255" s="35"/>
      <c r="C1255" s="23"/>
      <c r="D1255" s="23"/>
    </row>
    <row r="1256" spans="2:4" x14ac:dyDescent="0.25">
      <c r="B1256" s="35"/>
      <c r="C1256" s="23"/>
      <c r="D1256" s="23"/>
    </row>
    <row r="1257" spans="2:4" x14ac:dyDescent="0.25">
      <c r="B1257" s="35"/>
      <c r="C1257" s="23"/>
      <c r="D1257" s="23"/>
    </row>
    <row r="1258" spans="2:4" x14ac:dyDescent="0.25">
      <c r="B1258" s="35"/>
      <c r="C1258" s="23"/>
      <c r="D1258" s="23"/>
    </row>
    <row r="1259" spans="2:4" x14ac:dyDescent="0.25">
      <c r="B1259" s="35"/>
      <c r="C1259" s="23"/>
      <c r="D1259" s="23"/>
    </row>
    <row r="1260" spans="2:4" x14ac:dyDescent="0.25">
      <c r="B1260" s="35"/>
      <c r="C1260" s="23"/>
      <c r="D1260" s="23"/>
    </row>
    <row r="1261" spans="2:4" x14ac:dyDescent="0.25">
      <c r="B1261" s="35"/>
      <c r="C1261" s="23"/>
      <c r="D1261" s="23"/>
    </row>
    <row r="1262" spans="2:4" x14ac:dyDescent="0.25">
      <c r="B1262" s="35"/>
      <c r="C1262" s="23"/>
      <c r="D1262" s="23"/>
    </row>
    <row r="1263" spans="2:4" x14ac:dyDescent="0.25">
      <c r="B1263" s="35"/>
      <c r="C1263" s="23"/>
      <c r="D1263" s="23"/>
    </row>
    <row r="1264" spans="2:4" x14ac:dyDescent="0.25">
      <c r="B1264" s="35"/>
      <c r="C1264" s="23"/>
      <c r="D1264" s="23"/>
    </row>
    <row r="1265" spans="2:4" x14ac:dyDescent="0.25">
      <c r="B1265" s="35"/>
      <c r="C1265" s="23"/>
      <c r="D1265" s="23"/>
    </row>
    <row r="1266" spans="2:4" x14ac:dyDescent="0.25">
      <c r="B1266" s="35"/>
      <c r="C1266" s="23"/>
      <c r="D1266" s="23"/>
    </row>
    <row r="1267" spans="2:4" x14ac:dyDescent="0.25">
      <c r="B1267" s="35"/>
      <c r="C1267" s="23"/>
      <c r="D1267" s="23"/>
    </row>
    <row r="1268" spans="2:4" x14ac:dyDescent="0.25">
      <c r="B1268" s="35"/>
      <c r="C1268" s="23"/>
      <c r="D1268" s="23"/>
    </row>
    <row r="1269" spans="2:4" x14ac:dyDescent="0.25">
      <c r="B1269" s="35"/>
      <c r="C1269" s="23"/>
      <c r="D1269" s="23"/>
    </row>
    <row r="1270" spans="2:4" x14ac:dyDescent="0.25">
      <c r="B1270" s="35"/>
      <c r="C1270" s="23"/>
      <c r="D1270" s="23"/>
    </row>
    <row r="1271" spans="2:4" x14ac:dyDescent="0.25">
      <c r="B1271" s="35"/>
      <c r="C1271" s="23"/>
      <c r="D1271" s="23"/>
    </row>
    <row r="1272" spans="2:4" x14ac:dyDescent="0.25">
      <c r="B1272" s="35"/>
      <c r="C1272" s="23"/>
      <c r="D1272" s="23"/>
    </row>
    <row r="1273" spans="2:4" x14ac:dyDescent="0.25">
      <c r="B1273" s="35"/>
      <c r="C1273" s="23"/>
      <c r="D1273" s="23"/>
    </row>
    <row r="1274" spans="2:4" x14ac:dyDescent="0.25">
      <c r="B1274" s="35"/>
      <c r="C1274" s="23"/>
      <c r="D1274" s="23"/>
    </row>
    <row r="1275" spans="2:4" x14ac:dyDescent="0.25">
      <c r="B1275" s="35"/>
      <c r="C1275" s="23"/>
      <c r="D1275" s="23"/>
    </row>
    <row r="1276" spans="2:4" x14ac:dyDescent="0.25">
      <c r="B1276" s="35"/>
      <c r="C1276" s="23"/>
      <c r="D1276" s="23"/>
    </row>
    <row r="1277" spans="2:4" x14ac:dyDescent="0.25">
      <c r="B1277" s="35"/>
      <c r="C1277" s="23"/>
      <c r="D1277" s="23"/>
    </row>
    <row r="1278" spans="2:4" x14ac:dyDescent="0.25">
      <c r="B1278" s="35"/>
      <c r="C1278" s="23"/>
      <c r="D1278" s="23"/>
    </row>
    <row r="1279" spans="2:4" x14ac:dyDescent="0.25">
      <c r="B1279" s="35"/>
      <c r="C1279" s="23"/>
      <c r="D1279" s="23"/>
    </row>
    <row r="1280" spans="2:4" x14ac:dyDescent="0.25">
      <c r="B1280" s="35"/>
      <c r="C1280" s="23"/>
      <c r="D1280" s="23"/>
    </row>
    <row r="1281" spans="2:4" x14ac:dyDescent="0.25">
      <c r="B1281" s="35"/>
      <c r="C1281" s="23"/>
      <c r="D1281" s="23"/>
    </row>
    <row r="1282" spans="2:4" x14ac:dyDescent="0.25">
      <c r="B1282" s="35"/>
      <c r="C1282" s="23"/>
      <c r="D1282" s="23"/>
    </row>
    <row r="1283" spans="2:4" x14ac:dyDescent="0.25">
      <c r="B1283" s="35"/>
      <c r="C1283" s="23"/>
      <c r="D1283" s="23"/>
    </row>
    <row r="1284" spans="2:4" x14ac:dyDescent="0.25">
      <c r="B1284" s="35"/>
      <c r="C1284" s="23"/>
      <c r="D1284" s="23"/>
    </row>
    <row r="1285" spans="2:4" x14ac:dyDescent="0.25">
      <c r="B1285" s="35"/>
      <c r="C1285" s="23"/>
      <c r="D1285" s="23"/>
    </row>
    <row r="1286" spans="2:4" x14ac:dyDescent="0.25">
      <c r="B1286" s="35"/>
      <c r="C1286" s="23"/>
      <c r="D1286" s="23"/>
    </row>
    <row r="1287" spans="2:4" x14ac:dyDescent="0.25">
      <c r="B1287" s="35"/>
      <c r="C1287" s="23"/>
      <c r="D1287" s="23"/>
    </row>
    <row r="1288" spans="2:4" x14ac:dyDescent="0.25">
      <c r="B1288" s="35"/>
      <c r="C1288" s="23"/>
      <c r="D1288" s="23"/>
    </row>
    <row r="1289" spans="2:4" x14ac:dyDescent="0.25">
      <c r="B1289" s="35"/>
      <c r="C1289" s="23"/>
      <c r="D1289" s="23"/>
    </row>
    <row r="1290" spans="2:4" x14ac:dyDescent="0.25">
      <c r="B1290" s="35"/>
      <c r="C1290" s="23"/>
      <c r="D1290" s="23"/>
    </row>
    <row r="1291" spans="2:4" x14ac:dyDescent="0.25">
      <c r="B1291" s="35"/>
      <c r="C1291" s="23"/>
      <c r="D1291" s="23"/>
    </row>
    <row r="1292" spans="2:4" x14ac:dyDescent="0.25">
      <c r="B1292" s="35"/>
      <c r="C1292" s="23"/>
      <c r="D1292" s="23"/>
    </row>
    <row r="1293" spans="2:4" x14ac:dyDescent="0.25">
      <c r="B1293" s="35"/>
      <c r="C1293" s="23"/>
      <c r="D1293" s="23"/>
    </row>
    <row r="1294" spans="2:4" x14ac:dyDescent="0.25">
      <c r="B1294" s="35"/>
      <c r="C1294" s="23"/>
      <c r="D1294" s="23"/>
    </row>
    <row r="1295" spans="2:4" x14ac:dyDescent="0.25">
      <c r="B1295" s="35"/>
      <c r="C1295" s="23"/>
      <c r="D1295" s="23"/>
    </row>
    <row r="1296" spans="2:4" x14ac:dyDescent="0.25">
      <c r="B1296" s="35"/>
      <c r="C1296" s="23"/>
      <c r="D1296" s="23"/>
    </row>
    <row r="1297" spans="2:4" x14ac:dyDescent="0.25">
      <c r="B1297" s="35"/>
      <c r="C1297" s="23"/>
      <c r="D1297" s="23"/>
    </row>
    <row r="1298" spans="2:4" x14ac:dyDescent="0.25">
      <c r="B1298" s="35"/>
      <c r="C1298" s="23"/>
      <c r="D1298" s="23"/>
    </row>
    <row r="1299" spans="2:4" x14ac:dyDescent="0.25">
      <c r="B1299" s="35"/>
      <c r="C1299" s="23"/>
      <c r="D1299" s="23"/>
    </row>
    <row r="1300" spans="2:4" x14ac:dyDescent="0.25">
      <c r="B1300" s="35"/>
      <c r="C1300" s="23"/>
      <c r="D1300" s="23"/>
    </row>
    <row r="1301" spans="2:4" x14ac:dyDescent="0.25">
      <c r="B1301" s="35"/>
      <c r="C1301" s="23"/>
      <c r="D1301" s="23"/>
    </row>
    <row r="1302" spans="2:4" x14ac:dyDescent="0.25">
      <c r="B1302" s="35"/>
      <c r="C1302" s="23"/>
      <c r="D1302" s="23"/>
    </row>
    <row r="1303" spans="2:4" x14ac:dyDescent="0.25">
      <c r="B1303" s="35"/>
      <c r="C1303" s="23"/>
      <c r="D1303" s="23"/>
    </row>
    <row r="1304" spans="2:4" x14ac:dyDescent="0.25">
      <c r="B1304" s="35"/>
      <c r="C1304" s="23"/>
      <c r="D1304" s="23"/>
    </row>
    <row r="1305" spans="2:4" x14ac:dyDescent="0.25">
      <c r="B1305" s="35"/>
      <c r="C1305" s="23"/>
      <c r="D1305" s="23"/>
    </row>
    <row r="1306" spans="2:4" x14ac:dyDescent="0.25">
      <c r="B1306" s="35"/>
      <c r="C1306" s="23"/>
      <c r="D1306" s="23"/>
    </row>
    <row r="1307" spans="2:4" x14ac:dyDescent="0.25">
      <c r="B1307" s="35"/>
      <c r="C1307" s="23"/>
      <c r="D1307" s="23"/>
    </row>
    <row r="1308" spans="2:4" x14ac:dyDescent="0.25">
      <c r="B1308" s="35"/>
      <c r="C1308" s="23"/>
      <c r="D1308" s="23"/>
    </row>
    <row r="1309" spans="2:4" x14ac:dyDescent="0.25">
      <c r="B1309" s="35"/>
      <c r="C1309" s="23"/>
      <c r="D1309" s="23"/>
    </row>
    <row r="1310" spans="2:4" x14ac:dyDescent="0.25">
      <c r="B1310" s="35"/>
      <c r="C1310" s="23"/>
      <c r="D1310" s="23"/>
    </row>
    <row r="1311" spans="2:4" x14ac:dyDescent="0.25">
      <c r="B1311" s="35"/>
      <c r="C1311" s="23"/>
      <c r="D1311" s="23"/>
    </row>
    <row r="1312" spans="2:4" x14ac:dyDescent="0.25">
      <c r="B1312" s="35"/>
      <c r="C1312" s="23"/>
      <c r="D1312" s="23"/>
    </row>
    <row r="1313" spans="2:4" x14ac:dyDescent="0.25">
      <c r="B1313" s="35"/>
      <c r="C1313" s="23"/>
      <c r="D1313" s="23"/>
    </row>
    <row r="1314" spans="2:4" x14ac:dyDescent="0.25">
      <c r="B1314" s="35"/>
      <c r="C1314" s="23"/>
      <c r="D1314" s="23"/>
    </row>
    <row r="1315" spans="2:4" x14ac:dyDescent="0.25">
      <c r="B1315" s="35"/>
      <c r="C1315" s="23"/>
      <c r="D1315" s="23"/>
    </row>
    <row r="1316" spans="2:4" x14ac:dyDescent="0.25">
      <c r="B1316" s="35"/>
      <c r="C1316" s="23"/>
      <c r="D1316" s="23"/>
    </row>
    <row r="1317" spans="2:4" x14ac:dyDescent="0.25">
      <c r="B1317" s="35"/>
      <c r="C1317" s="23"/>
      <c r="D1317" s="23"/>
    </row>
    <row r="1318" spans="2:4" x14ac:dyDescent="0.25">
      <c r="B1318" s="35"/>
      <c r="C1318" s="23"/>
      <c r="D1318" s="23"/>
    </row>
    <row r="1319" spans="2:4" x14ac:dyDescent="0.25">
      <c r="B1319" s="35"/>
      <c r="C1319" s="23"/>
      <c r="D1319" s="23"/>
    </row>
    <row r="1320" spans="2:4" x14ac:dyDescent="0.25">
      <c r="B1320" s="35"/>
      <c r="C1320" s="23"/>
      <c r="D1320" s="23"/>
    </row>
    <row r="1321" spans="2:4" x14ac:dyDescent="0.25">
      <c r="B1321" s="35"/>
      <c r="C1321" s="23"/>
      <c r="D1321" s="23"/>
    </row>
    <row r="1322" spans="2:4" x14ac:dyDescent="0.25">
      <c r="B1322" s="35"/>
      <c r="C1322" s="23"/>
      <c r="D1322" s="23"/>
    </row>
    <row r="1323" spans="2:4" x14ac:dyDescent="0.25">
      <c r="B1323" s="35"/>
      <c r="C1323" s="23"/>
      <c r="D1323" s="23"/>
    </row>
    <row r="1324" spans="2:4" x14ac:dyDescent="0.25">
      <c r="B1324" s="35"/>
      <c r="C1324" s="23"/>
      <c r="D1324" s="23"/>
    </row>
    <row r="1325" spans="2:4" x14ac:dyDescent="0.25">
      <c r="B1325" s="35"/>
      <c r="C1325" s="23"/>
      <c r="D1325" s="23"/>
    </row>
    <row r="1326" spans="2:4" x14ac:dyDescent="0.25">
      <c r="B1326" s="35"/>
      <c r="C1326" s="23"/>
      <c r="D1326" s="23"/>
    </row>
    <row r="1327" spans="2:4" x14ac:dyDescent="0.25">
      <c r="B1327" s="35"/>
      <c r="C1327" s="23"/>
      <c r="D1327" s="23"/>
    </row>
    <row r="1328" spans="2:4" x14ac:dyDescent="0.25">
      <c r="B1328" s="35"/>
      <c r="C1328" s="23"/>
      <c r="D1328" s="23"/>
    </row>
    <row r="1329" spans="2:4" x14ac:dyDescent="0.25">
      <c r="B1329" s="35"/>
      <c r="C1329" s="23"/>
      <c r="D1329" s="23"/>
    </row>
    <row r="1330" spans="2:4" x14ac:dyDescent="0.25">
      <c r="B1330" s="35"/>
      <c r="C1330" s="23"/>
      <c r="D1330" s="23"/>
    </row>
    <row r="1331" spans="2:4" x14ac:dyDescent="0.25">
      <c r="B1331" s="35"/>
      <c r="C1331" s="23"/>
      <c r="D1331" s="23"/>
    </row>
    <row r="1332" spans="2:4" x14ac:dyDescent="0.25">
      <c r="B1332" s="35"/>
      <c r="C1332" s="23"/>
      <c r="D1332" s="23"/>
    </row>
    <row r="1333" spans="2:4" x14ac:dyDescent="0.25">
      <c r="B1333" s="35"/>
      <c r="C1333" s="23"/>
      <c r="D1333" s="23"/>
    </row>
    <row r="1334" spans="2:4" x14ac:dyDescent="0.25">
      <c r="B1334" s="35"/>
      <c r="C1334" s="23"/>
      <c r="D1334" s="23"/>
    </row>
    <row r="1335" spans="2:4" x14ac:dyDescent="0.25">
      <c r="B1335" s="35"/>
      <c r="C1335" s="23"/>
      <c r="D1335" s="23"/>
    </row>
    <row r="1336" spans="2:4" x14ac:dyDescent="0.25">
      <c r="B1336" s="35"/>
      <c r="C1336" s="23"/>
      <c r="D1336" s="23"/>
    </row>
    <row r="1337" spans="2:4" x14ac:dyDescent="0.25">
      <c r="B1337" s="35"/>
      <c r="C1337" s="23"/>
      <c r="D1337" s="23"/>
    </row>
    <row r="1338" spans="2:4" x14ac:dyDescent="0.25">
      <c r="B1338" s="35"/>
      <c r="C1338" s="23"/>
      <c r="D1338" s="23"/>
    </row>
    <row r="1339" spans="2:4" x14ac:dyDescent="0.25">
      <c r="B1339" s="35"/>
      <c r="C1339" s="23"/>
      <c r="D1339" s="23"/>
    </row>
    <row r="1340" spans="2:4" x14ac:dyDescent="0.25">
      <c r="B1340" s="35"/>
      <c r="C1340" s="23"/>
      <c r="D1340" s="23"/>
    </row>
    <row r="1341" spans="2:4" x14ac:dyDescent="0.25">
      <c r="B1341" s="35"/>
      <c r="C1341" s="23"/>
      <c r="D1341" s="23"/>
    </row>
    <row r="1342" spans="2:4" x14ac:dyDescent="0.25">
      <c r="B1342" s="35"/>
      <c r="C1342" s="23"/>
      <c r="D1342" s="23"/>
    </row>
    <row r="1343" spans="2:4" x14ac:dyDescent="0.25">
      <c r="B1343" s="35"/>
      <c r="C1343" s="23"/>
      <c r="D1343" s="23"/>
    </row>
    <row r="1344" spans="2:4" x14ac:dyDescent="0.25">
      <c r="B1344" s="35"/>
      <c r="C1344" s="23"/>
      <c r="D1344" s="23"/>
    </row>
    <row r="1345" spans="2:4" x14ac:dyDescent="0.25">
      <c r="B1345" s="35"/>
      <c r="C1345" s="23"/>
      <c r="D1345" s="23"/>
    </row>
    <row r="1346" spans="2:4" x14ac:dyDescent="0.25">
      <c r="B1346" s="35"/>
      <c r="C1346" s="23"/>
      <c r="D1346" s="23"/>
    </row>
    <row r="1347" spans="2:4" x14ac:dyDescent="0.25">
      <c r="B1347" s="35"/>
      <c r="C1347" s="23"/>
      <c r="D1347" s="23"/>
    </row>
    <row r="1348" spans="2:4" x14ac:dyDescent="0.25">
      <c r="B1348" s="35"/>
      <c r="C1348" s="23"/>
      <c r="D1348" s="23"/>
    </row>
    <row r="1349" spans="2:4" x14ac:dyDescent="0.25">
      <c r="B1349" s="35"/>
      <c r="C1349" s="23"/>
      <c r="D1349" s="23"/>
    </row>
    <row r="1350" spans="2:4" x14ac:dyDescent="0.25">
      <c r="B1350" s="35"/>
      <c r="C1350" s="23"/>
      <c r="D1350" s="23"/>
    </row>
    <row r="1351" spans="2:4" x14ac:dyDescent="0.25">
      <c r="B1351" s="35"/>
      <c r="C1351" s="23"/>
      <c r="D1351" s="23"/>
    </row>
    <row r="1352" spans="2:4" x14ac:dyDescent="0.25">
      <c r="B1352" s="35"/>
      <c r="C1352" s="23"/>
      <c r="D1352" s="23"/>
    </row>
    <row r="1353" spans="2:4" x14ac:dyDescent="0.25">
      <c r="B1353" s="35"/>
      <c r="C1353" s="23"/>
      <c r="D1353" s="23"/>
    </row>
    <row r="1354" spans="2:4" x14ac:dyDescent="0.25">
      <c r="B1354" s="35"/>
      <c r="C1354" s="23"/>
      <c r="D1354" s="23"/>
    </row>
    <row r="1355" spans="2:4" x14ac:dyDescent="0.25">
      <c r="B1355" s="35"/>
      <c r="C1355" s="23"/>
      <c r="D1355" s="23"/>
    </row>
    <row r="1356" spans="2:4" x14ac:dyDescent="0.25">
      <c r="B1356" s="35"/>
      <c r="C1356" s="23"/>
      <c r="D1356" s="23"/>
    </row>
    <row r="1357" spans="2:4" x14ac:dyDescent="0.25">
      <c r="B1357" s="35"/>
      <c r="C1357" s="23"/>
      <c r="D1357" s="23"/>
    </row>
    <row r="1358" spans="2:4" x14ac:dyDescent="0.25">
      <c r="B1358" s="35"/>
      <c r="C1358" s="23"/>
      <c r="D1358" s="23"/>
    </row>
    <row r="1359" spans="2:4" x14ac:dyDescent="0.25">
      <c r="B1359" s="35"/>
      <c r="C1359" s="23"/>
      <c r="D1359" s="23"/>
    </row>
    <row r="1360" spans="2:4" x14ac:dyDescent="0.25">
      <c r="B1360" s="35"/>
      <c r="C1360" s="23"/>
      <c r="D1360" s="23"/>
    </row>
    <row r="1361" spans="2:4" x14ac:dyDescent="0.25">
      <c r="B1361" s="35"/>
      <c r="C1361" s="23"/>
      <c r="D1361" s="23"/>
    </row>
    <row r="1362" spans="2:4" x14ac:dyDescent="0.25">
      <c r="B1362" s="35"/>
      <c r="C1362" s="23"/>
      <c r="D1362" s="23"/>
    </row>
    <row r="1363" spans="2:4" x14ac:dyDescent="0.25">
      <c r="B1363" s="35"/>
      <c r="C1363" s="23"/>
      <c r="D1363" s="23"/>
    </row>
    <row r="1364" spans="2:4" x14ac:dyDescent="0.25">
      <c r="B1364" s="35"/>
      <c r="C1364" s="23"/>
      <c r="D1364" s="23"/>
    </row>
    <row r="1365" spans="2:4" x14ac:dyDescent="0.25">
      <c r="B1365" s="35"/>
      <c r="C1365" s="23"/>
      <c r="D1365" s="23"/>
    </row>
    <row r="1366" spans="2:4" x14ac:dyDescent="0.25">
      <c r="B1366" s="35"/>
      <c r="C1366" s="23"/>
      <c r="D1366" s="23"/>
    </row>
    <row r="1367" spans="2:4" x14ac:dyDescent="0.25">
      <c r="B1367" s="35"/>
      <c r="C1367" s="23"/>
      <c r="D1367" s="23"/>
    </row>
    <row r="1368" spans="2:4" x14ac:dyDescent="0.25">
      <c r="B1368" s="35"/>
      <c r="C1368" s="23"/>
      <c r="D1368" s="23"/>
    </row>
    <row r="1369" spans="2:4" x14ac:dyDescent="0.25">
      <c r="B1369" s="35"/>
      <c r="C1369" s="23"/>
      <c r="D1369" s="23"/>
    </row>
    <row r="1370" spans="2:4" x14ac:dyDescent="0.25">
      <c r="B1370" s="35"/>
      <c r="C1370" s="23"/>
      <c r="D1370" s="23"/>
    </row>
    <row r="1371" spans="2:4" x14ac:dyDescent="0.25">
      <c r="B1371" s="35"/>
      <c r="C1371" s="23"/>
      <c r="D1371" s="23"/>
    </row>
    <row r="1372" spans="2:4" x14ac:dyDescent="0.25">
      <c r="B1372" s="35"/>
      <c r="C1372" s="23"/>
      <c r="D1372" s="23"/>
    </row>
    <row r="1373" spans="2:4" x14ac:dyDescent="0.25">
      <c r="B1373" s="35"/>
      <c r="C1373" s="23"/>
      <c r="D1373" s="23"/>
    </row>
    <row r="1374" spans="2:4" x14ac:dyDescent="0.25">
      <c r="B1374" s="35"/>
      <c r="C1374" s="23"/>
      <c r="D1374" s="23"/>
    </row>
    <row r="1375" spans="2:4" x14ac:dyDescent="0.25">
      <c r="B1375" s="35"/>
      <c r="C1375" s="23"/>
      <c r="D1375" s="23"/>
    </row>
    <row r="1376" spans="2:4" x14ac:dyDescent="0.25">
      <c r="B1376" s="35"/>
      <c r="C1376" s="23"/>
      <c r="D1376" s="23"/>
    </row>
    <row r="1377" spans="2:4" x14ac:dyDescent="0.25">
      <c r="B1377" s="35"/>
      <c r="C1377" s="23"/>
      <c r="D1377" s="23"/>
    </row>
    <row r="1378" spans="2:4" x14ac:dyDescent="0.25">
      <c r="B1378" s="35"/>
      <c r="C1378" s="23"/>
      <c r="D1378" s="23"/>
    </row>
    <row r="1379" spans="2:4" x14ac:dyDescent="0.25">
      <c r="B1379" s="35"/>
      <c r="C1379" s="23"/>
      <c r="D1379" s="23"/>
    </row>
    <row r="1380" spans="2:4" x14ac:dyDescent="0.25">
      <c r="B1380" s="35"/>
      <c r="C1380" s="23"/>
      <c r="D1380" s="23"/>
    </row>
    <row r="1381" spans="2:4" x14ac:dyDescent="0.25">
      <c r="B1381" s="35"/>
      <c r="C1381" s="23"/>
      <c r="D1381" s="23"/>
    </row>
    <row r="1382" spans="2:4" x14ac:dyDescent="0.25">
      <c r="B1382" s="35"/>
      <c r="C1382" s="23"/>
      <c r="D1382" s="23"/>
    </row>
    <row r="1383" spans="2:4" x14ac:dyDescent="0.25">
      <c r="B1383" s="35"/>
      <c r="C1383" s="23"/>
      <c r="D1383" s="23"/>
    </row>
    <row r="1384" spans="2:4" x14ac:dyDescent="0.25">
      <c r="B1384" s="35"/>
      <c r="C1384" s="23"/>
      <c r="D1384" s="23"/>
    </row>
    <row r="1385" spans="2:4" x14ac:dyDescent="0.25">
      <c r="B1385" s="35"/>
      <c r="C1385" s="23"/>
      <c r="D1385" s="23"/>
    </row>
    <row r="1386" spans="2:4" x14ac:dyDescent="0.25">
      <c r="B1386" s="35"/>
      <c r="C1386" s="23"/>
      <c r="D1386" s="23"/>
    </row>
    <row r="1387" spans="2:4" x14ac:dyDescent="0.25">
      <c r="B1387" s="35"/>
      <c r="C1387" s="23"/>
      <c r="D1387" s="23"/>
    </row>
    <row r="1388" spans="2:4" x14ac:dyDescent="0.25">
      <c r="B1388" s="35"/>
      <c r="C1388" s="23"/>
      <c r="D1388" s="23"/>
    </row>
    <row r="1389" spans="2:4" x14ac:dyDescent="0.25">
      <c r="B1389" s="35"/>
      <c r="C1389" s="23"/>
      <c r="D1389" s="23"/>
    </row>
    <row r="1390" spans="2:4" x14ac:dyDescent="0.25">
      <c r="B1390" s="35"/>
      <c r="C1390" s="23"/>
      <c r="D1390" s="23"/>
    </row>
    <row r="1391" spans="2:4" x14ac:dyDescent="0.25">
      <c r="B1391" s="35"/>
      <c r="C1391" s="23"/>
      <c r="D1391" s="23"/>
    </row>
    <row r="1392" spans="2:4" x14ac:dyDescent="0.25">
      <c r="B1392" s="35"/>
      <c r="C1392" s="23"/>
      <c r="D1392" s="23"/>
    </row>
    <row r="1393" spans="2:4" x14ac:dyDescent="0.25">
      <c r="B1393" s="35"/>
      <c r="C1393" s="23"/>
      <c r="D1393" s="23"/>
    </row>
    <row r="1394" spans="2:4" x14ac:dyDescent="0.25">
      <c r="B1394" s="35"/>
      <c r="C1394" s="23"/>
      <c r="D1394" s="23"/>
    </row>
    <row r="1395" spans="2:4" x14ac:dyDescent="0.25">
      <c r="B1395" s="41"/>
      <c r="C1395" s="28"/>
      <c r="D1395" s="28"/>
    </row>
    <row r="1396" spans="2:4" x14ac:dyDescent="0.25">
      <c r="B1396" s="35"/>
      <c r="C1396" s="23"/>
      <c r="D1396" s="23"/>
    </row>
    <row r="1397" spans="2:4" x14ac:dyDescent="0.25">
      <c r="B1397" s="35"/>
      <c r="C1397" s="23"/>
      <c r="D1397" s="23"/>
    </row>
    <row r="1398" spans="2:4" x14ac:dyDescent="0.25">
      <c r="B1398" s="35"/>
      <c r="C1398" s="23"/>
      <c r="D1398" s="23"/>
    </row>
    <row r="1399" spans="2:4" x14ac:dyDescent="0.25">
      <c r="B1399" s="35"/>
      <c r="C1399" s="23"/>
      <c r="D1399" s="23"/>
    </row>
    <row r="1400" spans="2:4" x14ac:dyDescent="0.25">
      <c r="B1400" s="35"/>
      <c r="C1400" s="23"/>
      <c r="D1400" s="23"/>
    </row>
    <row r="1401" spans="2:4" x14ac:dyDescent="0.25">
      <c r="B1401" s="35"/>
      <c r="C1401" s="23"/>
      <c r="D1401" s="23"/>
    </row>
    <row r="1402" spans="2:4" x14ac:dyDescent="0.25">
      <c r="B1402" s="35"/>
      <c r="C1402" s="23"/>
      <c r="D1402" s="23"/>
    </row>
    <row r="1403" spans="2:4" x14ac:dyDescent="0.25">
      <c r="B1403" s="35"/>
      <c r="C1403" s="23"/>
      <c r="D1403" s="23"/>
    </row>
    <row r="1404" spans="2:4" x14ac:dyDescent="0.25">
      <c r="B1404" s="35"/>
      <c r="C1404" s="23"/>
      <c r="D1404" s="23"/>
    </row>
    <row r="1405" spans="2:4" x14ac:dyDescent="0.25">
      <c r="B1405" s="35"/>
      <c r="C1405" s="23"/>
      <c r="D1405" s="23"/>
    </row>
    <row r="1406" spans="2:4" x14ac:dyDescent="0.25">
      <c r="B1406" s="35"/>
      <c r="C1406" s="23"/>
      <c r="D1406" s="23"/>
    </row>
    <row r="1407" spans="2:4" x14ac:dyDescent="0.25">
      <c r="B1407" s="35"/>
      <c r="C1407" s="23"/>
      <c r="D1407" s="23"/>
    </row>
    <row r="1408" spans="2:4" x14ac:dyDescent="0.25">
      <c r="B1408" s="35"/>
      <c r="C1408" s="23"/>
      <c r="D1408" s="23"/>
    </row>
    <row r="1409" spans="2:4" x14ac:dyDescent="0.25">
      <c r="B1409" s="35"/>
      <c r="C1409" s="23"/>
      <c r="D1409" s="23"/>
    </row>
    <row r="1410" spans="2:4" x14ac:dyDescent="0.25">
      <c r="B1410" s="35"/>
      <c r="C1410" s="23"/>
      <c r="D1410" s="23"/>
    </row>
    <row r="1411" spans="2:4" x14ac:dyDescent="0.25">
      <c r="B1411" s="35"/>
      <c r="C1411" s="23"/>
      <c r="D1411" s="23"/>
    </row>
    <row r="1412" spans="2:4" x14ac:dyDescent="0.25">
      <c r="B1412" s="35"/>
      <c r="C1412" s="23"/>
      <c r="D1412" s="23"/>
    </row>
    <row r="1413" spans="2:4" x14ac:dyDescent="0.25">
      <c r="B1413" s="35"/>
      <c r="C1413" s="23"/>
      <c r="D1413" s="23"/>
    </row>
    <row r="1414" spans="2:4" x14ac:dyDescent="0.25">
      <c r="B1414" s="35"/>
      <c r="C1414" s="23"/>
      <c r="D1414" s="23"/>
    </row>
    <row r="1415" spans="2:4" x14ac:dyDescent="0.25">
      <c r="B1415" s="35"/>
      <c r="C1415" s="23"/>
      <c r="D1415" s="23"/>
    </row>
    <row r="1416" spans="2:4" x14ac:dyDescent="0.25">
      <c r="B1416" s="35"/>
      <c r="C1416" s="23"/>
      <c r="D1416" s="23"/>
    </row>
    <row r="1417" spans="2:4" x14ac:dyDescent="0.25">
      <c r="B1417" s="35"/>
      <c r="C1417" s="23"/>
      <c r="D1417" s="23"/>
    </row>
    <row r="1418" spans="2:4" x14ac:dyDescent="0.25">
      <c r="B1418" s="35"/>
      <c r="C1418" s="23"/>
      <c r="D1418" s="23"/>
    </row>
    <row r="1419" spans="2:4" x14ac:dyDescent="0.25">
      <c r="B1419" s="35"/>
      <c r="C1419" s="23"/>
      <c r="D1419" s="23"/>
    </row>
    <row r="1420" spans="2:4" x14ac:dyDescent="0.25">
      <c r="B1420" s="35"/>
      <c r="C1420" s="23"/>
      <c r="D1420" s="23"/>
    </row>
    <row r="1421" spans="2:4" x14ac:dyDescent="0.25">
      <c r="B1421" s="35"/>
      <c r="C1421" s="23"/>
      <c r="D1421" s="23"/>
    </row>
    <row r="1422" spans="2:4" x14ac:dyDescent="0.25">
      <c r="B1422" s="35"/>
      <c r="C1422" s="23"/>
      <c r="D1422" s="23"/>
    </row>
    <row r="1423" spans="2:4" x14ac:dyDescent="0.25">
      <c r="B1423" s="35"/>
      <c r="C1423" s="23"/>
      <c r="D1423" s="23"/>
    </row>
    <row r="1424" spans="2:4" x14ac:dyDescent="0.25">
      <c r="B1424" s="35"/>
      <c r="C1424" s="23"/>
      <c r="D1424" s="23"/>
    </row>
    <row r="1425" spans="2:4" x14ac:dyDescent="0.25">
      <c r="B1425" s="35"/>
      <c r="C1425" s="23"/>
      <c r="D1425" s="23"/>
    </row>
    <row r="1426" spans="2:4" x14ac:dyDescent="0.25">
      <c r="B1426" s="35"/>
      <c r="C1426" s="23"/>
      <c r="D1426" s="23"/>
    </row>
    <row r="1427" spans="2:4" x14ac:dyDescent="0.25">
      <c r="B1427" s="35"/>
      <c r="C1427" s="23"/>
      <c r="D1427" s="23"/>
    </row>
    <row r="1428" spans="2:4" x14ac:dyDescent="0.25">
      <c r="B1428" s="35"/>
      <c r="C1428" s="23"/>
      <c r="D1428" s="23"/>
    </row>
    <row r="1429" spans="2:4" x14ac:dyDescent="0.25">
      <c r="B1429" s="35"/>
      <c r="C1429" s="23"/>
      <c r="D1429" s="23"/>
    </row>
    <row r="1430" spans="2:4" x14ac:dyDescent="0.25">
      <c r="B1430" s="35"/>
      <c r="C1430" s="23"/>
      <c r="D1430" s="23"/>
    </row>
    <row r="1431" spans="2:4" x14ac:dyDescent="0.25">
      <c r="B1431" s="35"/>
      <c r="C1431" s="23"/>
      <c r="D1431" s="23"/>
    </row>
    <row r="1432" spans="2:4" x14ac:dyDescent="0.25">
      <c r="B1432" s="35"/>
      <c r="C1432" s="23"/>
      <c r="D1432" s="23"/>
    </row>
    <row r="1433" spans="2:4" x14ac:dyDescent="0.25">
      <c r="B1433" s="35"/>
      <c r="C1433" s="23"/>
      <c r="D1433" s="23"/>
    </row>
    <row r="1434" spans="2:4" x14ac:dyDescent="0.25">
      <c r="B1434" s="35"/>
      <c r="C1434" s="23"/>
      <c r="D1434" s="23"/>
    </row>
    <row r="1435" spans="2:4" x14ac:dyDescent="0.25">
      <c r="B1435" s="35"/>
      <c r="C1435" s="23"/>
      <c r="D1435" s="23"/>
    </row>
    <row r="1436" spans="2:4" x14ac:dyDescent="0.25">
      <c r="B1436" s="35"/>
      <c r="C1436" s="23"/>
      <c r="D1436" s="23"/>
    </row>
    <row r="1437" spans="2:4" x14ac:dyDescent="0.25">
      <c r="B1437" s="35"/>
      <c r="C1437" s="23"/>
      <c r="D1437" s="23"/>
    </row>
    <row r="1438" spans="2:4" x14ac:dyDescent="0.25">
      <c r="B1438" s="35"/>
      <c r="C1438" s="23"/>
      <c r="D1438" s="23"/>
    </row>
    <row r="1439" spans="2:4" x14ac:dyDescent="0.25">
      <c r="B1439" s="35"/>
      <c r="C1439" s="23"/>
      <c r="D1439" s="23"/>
    </row>
    <row r="1440" spans="2:4" x14ac:dyDescent="0.25">
      <c r="B1440" s="35"/>
      <c r="C1440" s="23"/>
      <c r="D1440" s="23"/>
    </row>
    <row r="1441" spans="2:4" x14ac:dyDescent="0.25">
      <c r="B1441" s="35"/>
      <c r="C1441" s="23"/>
      <c r="D1441" s="23"/>
    </row>
    <row r="1442" spans="2:4" x14ac:dyDescent="0.25">
      <c r="B1442" s="35"/>
      <c r="C1442" s="23"/>
      <c r="D1442" s="23"/>
    </row>
    <row r="1443" spans="2:4" x14ac:dyDescent="0.25">
      <c r="B1443" s="35"/>
      <c r="C1443" s="23"/>
      <c r="D1443" s="23"/>
    </row>
    <row r="1444" spans="2:4" x14ac:dyDescent="0.25">
      <c r="B1444" s="35"/>
      <c r="C1444" s="23"/>
      <c r="D1444" s="23"/>
    </row>
    <row r="1445" spans="2:4" x14ac:dyDescent="0.25">
      <c r="B1445" s="35"/>
      <c r="C1445" s="23"/>
      <c r="D1445" s="23"/>
    </row>
    <row r="1446" spans="2:4" x14ac:dyDescent="0.25">
      <c r="B1446" s="35"/>
      <c r="C1446" s="23"/>
      <c r="D1446" s="23"/>
    </row>
    <row r="1447" spans="2:4" x14ac:dyDescent="0.25">
      <c r="B1447" s="35"/>
      <c r="C1447" s="23"/>
      <c r="D1447" s="23"/>
    </row>
    <row r="1448" spans="2:4" x14ac:dyDescent="0.25">
      <c r="B1448" s="35"/>
      <c r="C1448" s="23"/>
      <c r="D1448" s="23"/>
    </row>
    <row r="1449" spans="2:4" x14ac:dyDescent="0.25">
      <c r="B1449" s="35"/>
      <c r="C1449" s="23"/>
      <c r="D1449" s="23"/>
    </row>
    <row r="1450" spans="2:4" x14ac:dyDescent="0.25">
      <c r="B1450" s="35"/>
      <c r="C1450" s="23"/>
      <c r="D1450" s="23"/>
    </row>
    <row r="1451" spans="2:4" x14ac:dyDescent="0.25">
      <c r="B1451" s="35"/>
      <c r="C1451" s="23"/>
      <c r="D1451" s="23"/>
    </row>
    <row r="1452" spans="2:4" x14ac:dyDescent="0.25">
      <c r="B1452" s="35"/>
      <c r="C1452" s="23"/>
      <c r="D1452" s="23"/>
    </row>
    <row r="1453" spans="2:4" x14ac:dyDescent="0.25">
      <c r="B1453" s="35"/>
      <c r="C1453" s="23"/>
      <c r="D1453" s="23"/>
    </row>
    <row r="1454" spans="2:4" x14ac:dyDescent="0.25">
      <c r="B1454" s="35"/>
      <c r="C1454" s="23"/>
      <c r="D1454" s="23"/>
    </row>
    <row r="1455" spans="2:4" x14ac:dyDescent="0.25">
      <c r="B1455" s="35"/>
      <c r="C1455" s="23"/>
      <c r="D1455" s="23"/>
    </row>
    <row r="1456" spans="2:4" x14ac:dyDescent="0.25">
      <c r="B1456" s="35"/>
      <c r="C1456" s="23"/>
      <c r="D1456" s="23"/>
    </row>
    <row r="1457" spans="2:4" x14ac:dyDescent="0.25">
      <c r="B1457" s="35"/>
      <c r="C1457" s="23"/>
      <c r="D1457" s="23"/>
    </row>
    <row r="1458" spans="2:4" x14ac:dyDescent="0.25">
      <c r="B1458" s="35"/>
      <c r="C1458" s="23"/>
      <c r="D1458" s="23"/>
    </row>
    <row r="1459" spans="2:4" x14ac:dyDescent="0.25">
      <c r="B1459" s="35"/>
      <c r="C1459" s="23"/>
      <c r="D1459" s="23"/>
    </row>
    <row r="1460" spans="2:4" x14ac:dyDescent="0.25">
      <c r="B1460" s="35"/>
      <c r="C1460" s="23"/>
      <c r="D1460" s="23"/>
    </row>
    <row r="1461" spans="2:4" x14ac:dyDescent="0.25">
      <c r="B1461" s="35"/>
      <c r="C1461" s="23"/>
      <c r="D1461" s="23"/>
    </row>
    <row r="1462" spans="2:4" x14ac:dyDescent="0.25">
      <c r="B1462" s="35"/>
      <c r="C1462" s="23"/>
      <c r="D1462" s="23"/>
    </row>
    <row r="1463" spans="2:4" x14ac:dyDescent="0.25">
      <c r="B1463" s="35"/>
      <c r="C1463" s="23"/>
      <c r="D1463" s="23"/>
    </row>
    <row r="1464" spans="2:4" x14ac:dyDescent="0.25">
      <c r="B1464" s="35"/>
      <c r="C1464" s="23"/>
      <c r="D1464" s="23"/>
    </row>
    <row r="1465" spans="2:4" x14ac:dyDescent="0.25">
      <c r="B1465" s="35"/>
      <c r="C1465" s="23"/>
      <c r="D1465" s="23"/>
    </row>
    <row r="1466" spans="2:4" x14ac:dyDescent="0.25">
      <c r="B1466" s="35"/>
      <c r="C1466" s="23"/>
      <c r="D1466" s="23"/>
    </row>
    <row r="1467" spans="2:4" x14ac:dyDescent="0.25">
      <c r="B1467" s="35"/>
      <c r="C1467" s="23"/>
      <c r="D1467" s="23"/>
    </row>
    <row r="1468" spans="2:4" x14ac:dyDescent="0.25">
      <c r="B1468" s="35"/>
      <c r="C1468" s="23"/>
      <c r="D1468" s="23"/>
    </row>
    <row r="1469" spans="2:4" x14ac:dyDescent="0.25">
      <c r="B1469" s="35"/>
      <c r="C1469" s="23"/>
      <c r="D1469" s="23"/>
    </row>
    <row r="1470" spans="2:4" x14ac:dyDescent="0.25">
      <c r="B1470" s="35"/>
      <c r="C1470" s="23"/>
      <c r="D1470" s="23"/>
    </row>
    <row r="1471" spans="2:4" x14ac:dyDescent="0.25">
      <c r="B1471" s="35"/>
      <c r="C1471" s="23"/>
      <c r="D1471" s="23"/>
    </row>
    <row r="1472" spans="2:4" x14ac:dyDescent="0.25">
      <c r="B1472" s="35"/>
      <c r="C1472" s="23"/>
      <c r="D1472" s="23"/>
    </row>
    <row r="1473" spans="2:4" x14ac:dyDescent="0.25">
      <c r="B1473" s="35"/>
      <c r="C1473" s="23"/>
      <c r="D1473" s="23"/>
    </row>
    <row r="1474" spans="2:4" x14ac:dyDescent="0.25">
      <c r="B1474" s="35"/>
      <c r="C1474" s="23"/>
      <c r="D1474" s="23"/>
    </row>
    <row r="1475" spans="2:4" x14ac:dyDescent="0.25">
      <c r="B1475" s="35"/>
      <c r="C1475" s="23"/>
      <c r="D1475" s="23"/>
    </row>
    <row r="1476" spans="2:4" x14ac:dyDescent="0.25">
      <c r="B1476" s="35"/>
      <c r="C1476" s="23"/>
      <c r="D1476" s="23"/>
    </row>
    <row r="1477" spans="2:4" x14ac:dyDescent="0.25">
      <c r="B1477" s="35"/>
      <c r="C1477" s="23"/>
      <c r="D1477" s="23"/>
    </row>
    <row r="1478" spans="2:4" x14ac:dyDescent="0.25">
      <c r="B1478" s="35"/>
      <c r="C1478" s="23"/>
      <c r="D1478" s="23"/>
    </row>
    <row r="1479" spans="2:4" x14ac:dyDescent="0.25">
      <c r="B1479" s="35"/>
      <c r="C1479" s="23"/>
      <c r="D1479" s="23"/>
    </row>
    <row r="1480" spans="2:4" x14ac:dyDescent="0.25">
      <c r="B1480" s="35"/>
      <c r="C1480" s="23"/>
      <c r="D1480" s="23"/>
    </row>
    <row r="1481" spans="2:4" x14ac:dyDescent="0.25">
      <c r="B1481" s="35"/>
      <c r="C1481" s="23"/>
      <c r="D1481" s="23"/>
    </row>
    <row r="1482" spans="2:4" x14ac:dyDescent="0.25">
      <c r="B1482" s="35"/>
      <c r="C1482" s="23"/>
      <c r="D1482" s="23"/>
    </row>
    <row r="1483" spans="2:4" x14ac:dyDescent="0.25">
      <c r="B1483" s="35"/>
      <c r="C1483" s="23"/>
      <c r="D1483" s="23"/>
    </row>
    <row r="1484" spans="2:4" x14ac:dyDescent="0.25">
      <c r="B1484" s="35"/>
      <c r="C1484" s="23"/>
      <c r="D1484" s="23"/>
    </row>
    <row r="1485" spans="2:4" x14ac:dyDescent="0.25">
      <c r="B1485" s="35"/>
      <c r="C1485" s="23"/>
      <c r="D1485" s="23"/>
    </row>
    <row r="1486" spans="2:4" x14ac:dyDescent="0.25">
      <c r="B1486" s="35"/>
      <c r="C1486" s="23"/>
      <c r="D1486" s="23"/>
    </row>
    <row r="1487" spans="2:4" x14ac:dyDescent="0.25">
      <c r="B1487" s="35"/>
      <c r="C1487" s="23"/>
      <c r="D1487" s="23"/>
    </row>
    <row r="1488" spans="2:4" x14ac:dyDescent="0.25">
      <c r="B1488" s="35"/>
      <c r="C1488" s="23"/>
      <c r="D1488" s="23"/>
    </row>
    <row r="1489" spans="2:4" x14ac:dyDescent="0.25">
      <c r="B1489" s="35"/>
      <c r="C1489" s="23"/>
      <c r="D1489" s="23"/>
    </row>
    <row r="1490" spans="2:4" x14ac:dyDescent="0.25">
      <c r="B1490" s="35"/>
      <c r="C1490" s="23"/>
      <c r="D1490" s="23"/>
    </row>
    <row r="1491" spans="2:4" x14ac:dyDescent="0.25">
      <c r="B1491" s="35"/>
      <c r="C1491" s="23"/>
      <c r="D1491" s="23"/>
    </row>
    <row r="1492" spans="2:4" x14ac:dyDescent="0.25">
      <c r="B1492" s="35"/>
      <c r="C1492" s="23"/>
      <c r="D1492" s="23"/>
    </row>
    <row r="1493" spans="2:4" x14ac:dyDescent="0.25">
      <c r="B1493" s="35"/>
      <c r="C1493" s="23"/>
      <c r="D1493" s="23"/>
    </row>
    <row r="1494" spans="2:4" x14ac:dyDescent="0.25">
      <c r="B1494" s="35"/>
      <c r="C1494" s="23"/>
      <c r="D1494" s="23"/>
    </row>
    <row r="1495" spans="2:4" x14ac:dyDescent="0.25">
      <c r="B1495" s="35"/>
      <c r="C1495" s="23"/>
      <c r="D1495" s="23"/>
    </row>
    <row r="1496" spans="2:4" x14ac:dyDescent="0.25">
      <c r="B1496" s="35"/>
      <c r="C1496" s="23"/>
      <c r="D1496" s="23"/>
    </row>
    <row r="1497" spans="2:4" x14ac:dyDescent="0.25">
      <c r="B1497" s="35"/>
      <c r="C1497" s="23"/>
      <c r="D1497" s="23"/>
    </row>
    <row r="1498" spans="2:4" x14ac:dyDescent="0.25">
      <c r="B1498" s="35"/>
      <c r="C1498" s="23"/>
      <c r="D1498" s="23"/>
    </row>
    <row r="1499" spans="2:4" x14ac:dyDescent="0.25">
      <c r="B1499" s="35"/>
      <c r="C1499" s="23"/>
      <c r="D1499" s="23"/>
    </row>
    <row r="1500" spans="2:4" x14ac:dyDescent="0.25">
      <c r="B1500" s="35"/>
      <c r="C1500" s="23"/>
      <c r="D1500" s="23"/>
    </row>
    <row r="1501" spans="2:4" x14ac:dyDescent="0.25">
      <c r="B1501" s="35"/>
      <c r="C1501" s="23"/>
      <c r="D1501" s="23"/>
    </row>
    <row r="1502" spans="2:4" x14ac:dyDescent="0.25">
      <c r="B1502" s="35"/>
      <c r="C1502" s="23"/>
      <c r="D1502" s="23"/>
    </row>
    <row r="1503" spans="2:4" x14ac:dyDescent="0.25">
      <c r="B1503" s="35"/>
      <c r="C1503" s="23"/>
      <c r="D1503" s="23"/>
    </row>
    <row r="1504" spans="2:4" x14ac:dyDescent="0.25">
      <c r="B1504" s="35"/>
      <c r="C1504" s="23"/>
      <c r="D1504" s="23"/>
    </row>
    <row r="1505" spans="2:4" x14ac:dyDescent="0.25">
      <c r="B1505" s="35"/>
      <c r="C1505" s="23"/>
      <c r="D1505" s="23"/>
    </row>
    <row r="1506" spans="2:4" x14ac:dyDescent="0.25">
      <c r="B1506" s="35"/>
      <c r="C1506" s="23"/>
      <c r="D1506" s="23"/>
    </row>
    <row r="1507" spans="2:4" x14ac:dyDescent="0.25">
      <c r="B1507" s="35"/>
      <c r="C1507" s="23"/>
      <c r="D1507" s="23"/>
    </row>
    <row r="1508" spans="2:4" x14ac:dyDescent="0.25">
      <c r="B1508" s="35"/>
      <c r="C1508" s="23"/>
      <c r="D1508" s="23"/>
    </row>
    <row r="1509" spans="2:4" x14ac:dyDescent="0.25">
      <c r="B1509" s="35"/>
      <c r="C1509" s="23"/>
      <c r="D1509" s="23"/>
    </row>
    <row r="1510" spans="2:4" x14ac:dyDescent="0.25">
      <c r="B1510" s="35"/>
      <c r="C1510" s="23"/>
      <c r="D1510" s="23"/>
    </row>
    <row r="1511" spans="2:4" x14ac:dyDescent="0.25">
      <c r="B1511" s="35"/>
      <c r="C1511" s="23"/>
      <c r="D1511" s="23"/>
    </row>
    <row r="1512" spans="2:4" x14ac:dyDescent="0.25">
      <c r="B1512" s="35"/>
      <c r="C1512" s="23"/>
      <c r="D1512" s="23"/>
    </row>
    <row r="1513" spans="2:4" x14ac:dyDescent="0.25">
      <c r="B1513" s="35"/>
      <c r="C1513" s="23"/>
      <c r="D1513" s="23"/>
    </row>
    <row r="1514" spans="2:4" x14ac:dyDescent="0.25">
      <c r="B1514" s="35"/>
      <c r="C1514" s="23"/>
      <c r="D1514" s="23"/>
    </row>
    <row r="1515" spans="2:4" x14ac:dyDescent="0.25">
      <c r="B1515" s="35"/>
      <c r="C1515" s="23"/>
      <c r="D1515" s="23"/>
    </row>
    <row r="1516" spans="2:4" x14ac:dyDescent="0.25">
      <c r="B1516" s="35"/>
      <c r="C1516" s="23"/>
      <c r="D1516" s="23"/>
    </row>
    <row r="1517" spans="2:4" x14ac:dyDescent="0.25">
      <c r="B1517" s="35"/>
      <c r="C1517" s="23"/>
      <c r="D1517" s="23"/>
    </row>
    <row r="1518" spans="2:4" x14ac:dyDescent="0.25">
      <c r="B1518" s="35"/>
      <c r="C1518" s="23"/>
      <c r="D1518" s="23"/>
    </row>
    <row r="1519" spans="2:4" x14ac:dyDescent="0.25">
      <c r="B1519" s="35"/>
      <c r="C1519" s="23"/>
      <c r="D1519" s="23"/>
    </row>
    <row r="1520" spans="2:4" x14ac:dyDescent="0.25">
      <c r="B1520" s="35"/>
      <c r="C1520" s="23"/>
      <c r="D1520" s="23"/>
    </row>
    <row r="1521" spans="2:4" x14ac:dyDescent="0.25">
      <c r="B1521" s="35"/>
      <c r="C1521" s="23"/>
      <c r="D1521" s="23"/>
    </row>
    <row r="1522" spans="2:4" x14ac:dyDescent="0.25">
      <c r="B1522" s="35"/>
      <c r="C1522" s="23"/>
      <c r="D1522" s="23"/>
    </row>
    <row r="1523" spans="2:4" x14ac:dyDescent="0.25">
      <c r="B1523" s="35"/>
      <c r="C1523" s="23"/>
      <c r="D1523" s="23"/>
    </row>
    <row r="1524" spans="2:4" x14ac:dyDescent="0.25">
      <c r="B1524" s="35"/>
      <c r="C1524" s="23"/>
      <c r="D1524" s="23"/>
    </row>
    <row r="1525" spans="2:4" x14ac:dyDescent="0.25">
      <c r="B1525" s="35"/>
      <c r="C1525" s="23"/>
      <c r="D1525" s="23"/>
    </row>
    <row r="1526" spans="2:4" x14ac:dyDescent="0.25">
      <c r="B1526" s="35"/>
      <c r="C1526" s="23"/>
      <c r="D1526" s="23"/>
    </row>
    <row r="1527" spans="2:4" x14ac:dyDescent="0.25">
      <c r="B1527" s="35"/>
      <c r="C1527" s="23"/>
      <c r="D1527" s="23"/>
    </row>
    <row r="1528" spans="2:4" x14ac:dyDescent="0.25">
      <c r="B1528" s="35"/>
      <c r="C1528" s="23"/>
      <c r="D1528" s="23"/>
    </row>
    <row r="1529" spans="2:4" x14ac:dyDescent="0.25">
      <c r="B1529" s="35"/>
      <c r="C1529" s="23"/>
      <c r="D1529" s="23"/>
    </row>
    <row r="1530" spans="2:4" x14ac:dyDescent="0.25">
      <c r="B1530" s="35"/>
      <c r="C1530" s="23"/>
      <c r="D1530" s="23"/>
    </row>
    <row r="1531" spans="2:4" x14ac:dyDescent="0.25">
      <c r="B1531" s="35"/>
      <c r="C1531" s="23"/>
      <c r="D1531" s="23"/>
    </row>
    <row r="1532" spans="2:4" x14ac:dyDescent="0.25">
      <c r="B1532" s="35"/>
      <c r="C1532" s="23"/>
      <c r="D1532" s="23"/>
    </row>
    <row r="1533" spans="2:4" x14ac:dyDescent="0.25">
      <c r="B1533" s="35"/>
      <c r="C1533" s="23"/>
      <c r="D1533" s="23"/>
    </row>
    <row r="1534" spans="2:4" x14ac:dyDescent="0.25">
      <c r="B1534" s="35"/>
      <c r="C1534" s="23"/>
      <c r="D1534" s="23"/>
    </row>
    <row r="1535" spans="2:4" x14ac:dyDescent="0.25">
      <c r="B1535" s="35"/>
      <c r="C1535" s="23"/>
      <c r="D1535" s="23"/>
    </row>
    <row r="1536" spans="2:4" x14ac:dyDescent="0.25">
      <c r="B1536" s="35"/>
      <c r="C1536" s="23"/>
      <c r="D1536" s="23"/>
    </row>
    <row r="1537" spans="2:4" x14ac:dyDescent="0.25">
      <c r="B1537" s="35"/>
      <c r="C1537" s="23"/>
      <c r="D1537" s="23"/>
    </row>
    <row r="1538" spans="2:4" x14ac:dyDescent="0.25">
      <c r="B1538" s="35"/>
      <c r="C1538" s="23"/>
      <c r="D1538" s="23"/>
    </row>
    <row r="1539" spans="2:4" x14ac:dyDescent="0.25">
      <c r="B1539" s="35"/>
      <c r="C1539" s="23"/>
      <c r="D1539" s="23"/>
    </row>
    <row r="1540" spans="2:4" x14ac:dyDescent="0.25">
      <c r="B1540" s="35"/>
      <c r="C1540" s="23"/>
      <c r="D1540" s="23"/>
    </row>
    <row r="1541" spans="2:4" x14ac:dyDescent="0.25">
      <c r="B1541" s="35"/>
      <c r="C1541" s="23"/>
      <c r="D1541" s="23"/>
    </row>
    <row r="1542" spans="2:4" x14ac:dyDescent="0.25">
      <c r="B1542" s="35"/>
      <c r="C1542" s="23"/>
      <c r="D1542" s="23"/>
    </row>
    <row r="1543" spans="2:4" x14ac:dyDescent="0.25">
      <c r="B1543" s="35"/>
      <c r="C1543" s="23"/>
      <c r="D1543" s="23"/>
    </row>
    <row r="1544" spans="2:4" x14ac:dyDescent="0.25">
      <c r="B1544" s="35"/>
      <c r="C1544" s="23"/>
      <c r="D1544" s="23"/>
    </row>
    <row r="1545" spans="2:4" x14ac:dyDescent="0.25">
      <c r="B1545" s="35"/>
      <c r="C1545" s="23"/>
      <c r="D1545" s="23"/>
    </row>
    <row r="1546" spans="2:4" x14ac:dyDescent="0.25">
      <c r="B1546" s="35"/>
      <c r="C1546" s="23"/>
      <c r="D1546" s="23"/>
    </row>
    <row r="1547" spans="2:4" x14ac:dyDescent="0.25">
      <c r="B1547" s="35"/>
      <c r="C1547" s="23"/>
      <c r="D1547" s="23"/>
    </row>
    <row r="1548" spans="2:4" x14ac:dyDescent="0.25">
      <c r="B1548" s="35"/>
      <c r="C1548" s="23"/>
      <c r="D1548" s="23"/>
    </row>
    <row r="1549" spans="2:4" x14ac:dyDescent="0.25">
      <c r="B1549" s="35"/>
      <c r="C1549" s="23"/>
      <c r="D1549" s="23"/>
    </row>
    <row r="1550" spans="2:4" x14ac:dyDescent="0.25">
      <c r="B1550" s="35"/>
      <c r="C1550" s="23"/>
      <c r="D1550" s="23"/>
    </row>
    <row r="1551" spans="2:4" x14ac:dyDescent="0.25">
      <c r="B1551" s="35"/>
      <c r="C1551" s="23"/>
      <c r="D1551" s="23"/>
    </row>
    <row r="1552" spans="2:4" x14ac:dyDescent="0.25">
      <c r="B1552" s="35"/>
      <c r="C1552" s="23"/>
      <c r="D1552" s="23"/>
    </row>
    <row r="1553" spans="2:4" x14ac:dyDescent="0.25">
      <c r="B1553" s="35"/>
      <c r="C1553" s="23"/>
      <c r="D1553" s="23"/>
    </row>
    <row r="1554" spans="2:4" x14ac:dyDescent="0.25">
      <c r="B1554" s="35"/>
      <c r="C1554" s="23"/>
      <c r="D1554" s="23"/>
    </row>
    <row r="1555" spans="2:4" x14ac:dyDescent="0.25">
      <c r="B1555" s="35"/>
      <c r="C1555" s="23"/>
      <c r="D1555" s="23"/>
    </row>
    <row r="1556" spans="2:4" x14ac:dyDescent="0.25">
      <c r="B1556" s="35"/>
      <c r="C1556" s="23"/>
      <c r="D1556" s="23"/>
    </row>
    <row r="1557" spans="2:4" x14ac:dyDescent="0.25">
      <c r="B1557" s="35"/>
      <c r="C1557" s="23"/>
      <c r="D1557" s="23"/>
    </row>
    <row r="1558" spans="2:4" x14ac:dyDescent="0.25">
      <c r="B1558" s="35"/>
      <c r="C1558" s="23"/>
      <c r="D1558" s="23"/>
    </row>
    <row r="1559" spans="2:4" x14ac:dyDescent="0.25">
      <c r="B1559" s="35"/>
      <c r="C1559" s="23"/>
      <c r="D1559" s="23"/>
    </row>
    <row r="1560" spans="2:4" x14ac:dyDescent="0.25">
      <c r="B1560" s="35"/>
      <c r="C1560" s="23"/>
      <c r="D1560" s="23"/>
    </row>
    <row r="1561" spans="2:4" x14ac:dyDescent="0.25">
      <c r="B1561" s="35"/>
      <c r="C1561" s="23"/>
      <c r="D1561" s="23"/>
    </row>
    <row r="1562" spans="2:4" x14ac:dyDescent="0.25">
      <c r="B1562" s="35"/>
      <c r="C1562" s="23"/>
      <c r="D1562" s="23"/>
    </row>
    <row r="1563" spans="2:4" x14ac:dyDescent="0.25">
      <c r="B1563" s="35"/>
      <c r="C1563" s="23"/>
      <c r="D1563" s="23"/>
    </row>
    <row r="1564" spans="2:4" x14ac:dyDescent="0.25">
      <c r="B1564" s="35"/>
      <c r="C1564" s="23"/>
      <c r="D1564" s="23"/>
    </row>
    <row r="1565" spans="2:4" x14ac:dyDescent="0.25">
      <c r="B1565" s="35"/>
      <c r="C1565" s="23"/>
      <c r="D1565" s="23"/>
    </row>
    <row r="1566" spans="2:4" x14ac:dyDescent="0.25">
      <c r="B1566" s="35"/>
      <c r="C1566" s="23"/>
      <c r="D1566" s="23"/>
    </row>
    <row r="1567" spans="2:4" x14ac:dyDescent="0.25">
      <c r="B1567" s="35"/>
      <c r="C1567" s="23"/>
      <c r="D1567" s="23"/>
    </row>
    <row r="1568" spans="2:4" x14ac:dyDescent="0.25">
      <c r="B1568" s="35"/>
      <c r="C1568" s="23"/>
      <c r="D1568" s="23"/>
    </row>
    <row r="1569" spans="2:4" x14ac:dyDescent="0.25">
      <c r="B1569" s="35"/>
      <c r="C1569" s="23"/>
      <c r="D1569" s="23"/>
    </row>
    <row r="1570" spans="2:4" x14ac:dyDescent="0.25">
      <c r="B1570" s="35"/>
      <c r="C1570" s="23"/>
      <c r="D1570" s="23"/>
    </row>
    <row r="1571" spans="2:4" x14ac:dyDescent="0.25">
      <c r="B1571" s="35"/>
      <c r="C1571" s="23"/>
      <c r="D1571" s="23"/>
    </row>
    <row r="1572" spans="2:4" x14ac:dyDescent="0.25">
      <c r="B1572" s="35"/>
      <c r="C1572" s="23"/>
      <c r="D1572" s="23"/>
    </row>
    <row r="1573" spans="2:4" x14ac:dyDescent="0.25">
      <c r="B1573" s="35"/>
      <c r="C1573" s="23"/>
      <c r="D1573" s="23"/>
    </row>
    <row r="1574" spans="2:4" x14ac:dyDescent="0.25">
      <c r="B1574" s="35"/>
      <c r="C1574" s="23"/>
      <c r="D1574" s="23"/>
    </row>
    <row r="1575" spans="2:4" x14ac:dyDescent="0.25">
      <c r="B1575" s="35"/>
      <c r="C1575" s="23"/>
      <c r="D1575" s="23"/>
    </row>
    <row r="1576" spans="2:4" x14ac:dyDescent="0.25">
      <c r="B1576" s="35"/>
      <c r="C1576" s="23"/>
      <c r="D1576" s="23"/>
    </row>
    <row r="1577" spans="2:4" x14ac:dyDescent="0.25">
      <c r="B1577" s="35"/>
      <c r="C1577" s="23"/>
      <c r="D1577" s="23"/>
    </row>
    <row r="1578" spans="2:4" x14ac:dyDescent="0.25">
      <c r="B1578" s="35"/>
      <c r="C1578" s="23"/>
      <c r="D1578" s="23"/>
    </row>
    <row r="1579" spans="2:4" x14ac:dyDescent="0.25">
      <c r="B1579" s="35"/>
      <c r="C1579" s="23"/>
      <c r="D1579" s="23"/>
    </row>
    <row r="1580" spans="2:4" x14ac:dyDescent="0.25">
      <c r="B1580" s="35"/>
      <c r="C1580" s="23"/>
      <c r="D1580" s="23"/>
    </row>
    <row r="1581" spans="2:4" x14ac:dyDescent="0.25">
      <c r="B1581" s="35"/>
      <c r="C1581" s="23"/>
      <c r="D1581" s="23"/>
    </row>
    <row r="1582" spans="2:4" x14ac:dyDescent="0.25">
      <c r="B1582" s="35"/>
      <c r="C1582" s="23"/>
      <c r="D1582" s="23"/>
    </row>
    <row r="1583" spans="2:4" x14ac:dyDescent="0.25">
      <c r="B1583" s="35"/>
      <c r="C1583" s="23"/>
      <c r="D1583" s="23"/>
    </row>
    <row r="1584" spans="2:4" x14ac:dyDescent="0.25">
      <c r="B1584" s="35"/>
      <c r="C1584" s="23"/>
      <c r="D1584" s="23"/>
    </row>
    <row r="1585" spans="2:4" x14ac:dyDescent="0.25">
      <c r="B1585" s="35"/>
      <c r="C1585" s="23"/>
      <c r="D1585" s="23"/>
    </row>
    <row r="1586" spans="2:4" x14ac:dyDescent="0.25">
      <c r="B1586" s="35"/>
      <c r="C1586" s="23"/>
      <c r="D1586" s="23"/>
    </row>
    <row r="1587" spans="2:4" x14ac:dyDescent="0.25">
      <c r="B1587" s="35"/>
      <c r="C1587" s="23"/>
      <c r="D1587" s="23"/>
    </row>
    <row r="1588" spans="2:4" x14ac:dyDescent="0.25">
      <c r="B1588" s="35"/>
      <c r="C1588" s="23"/>
      <c r="D1588" s="23"/>
    </row>
    <row r="1589" spans="2:4" x14ac:dyDescent="0.25">
      <c r="B1589" s="35"/>
      <c r="C1589" s="23"/>
      <c r="D1589" s="23"/>
    </row>
    <row r="1590" spans="2:4" x14ac:dyDescent="0.25">
      <c r="B1590" s="35"/>
      <c r="C1590" s="23"/>
      <c r="D1590" s="23"/>
    </row>
    <row r="1591" spans="2:4" x14ac:dyDescent="0.25">
      <c r="B1591" s="35"/>
      <c r="C1591" s="23"/>
      <c r="D1591" s="23"/>
    </row>
    <row r="1592" spans="2:4" x14ac:dyDescent="0.25">
      <c r="B1592" s="35"/>
      <c r="C1592" s="23"/>
      <c r="D1592" s="23"/>
    </row>
    <row r="1593" spans="2:4" x14ac:dyDescent="0.25">
      <c r="B1593" s="35"/>
      <c r="C1593" s="23"/>
      <c r="D1593" s="23"/>
    </row>
    <row r="1594" spans="2:4" x14ac:dyDescent="0.25">
      <c r="B1594" s="35"/>
      <c r="C1594" s="23"/>
      <c r="D1594" s="23"/>
    </row>
    <row r="1595" spans="2:4" x14ac:dyDescent="0.25">
      <c r="B1595" s="35"/>
      <c r="C1595" s="23"/>
      <c r="D1595" s="23"/>
    </row>
    <row r="1596" spans="2:4" x14ac:dyDescent="0.25">
      <c r="B1596" s="35"/>
      <c r="C1596" s="23"/>
      <c r="D1596" s="23"/>
    </row>
    <row r="1597" spans="2:4" x14ac:dyDescent="0.25">
      <c r="B1597" s="35"/>
      <c r="C1597" s="23"/>
      <c r="D1597" s="23"/>
    </row>
    <row r="1598" spans="2:4" x14ac:dyDescent="0.25">
      <c r="B1598" s="35"/>
      <c r="C1598" s="23"/>
      <c r="D1598" s="23"/>
    </row>
    <row r="1599" spans="2:4" x14ac:dyDescent="0.25">
      <c r="B1599" s="35"/>
      <c r="C1599" s="23"/>
      <c r="D1599" s="23"/>
    </row>
    <row r="1600" spans="2:4" x14ac:dyDescent="0.25">
      <c r="B1600" s="35"/>
      <c r="C1600" s="23"/>
      <c r="D1600" s="23"/>
    </row>
    <row r="1601" spans="2:4" x14ac:dyDescent="0.25">
      <c r="B1601" s="35"/>
      <c r="C1601" s="23"/>
      <c r="D1601" s="23"/>
    </row>
    <row r="1602" spans="2:4" x14ac:dyDescent="0.25">
      <c r="B1602" s="35"/>
      <c r="C1602" s="23"/>
      <c r="D1602" s="23"/>
    </row>
    <row r="1603" spans="2:4" x14ac:dyDescent="0.25">
      <c r="B1603" s="35"/>
      <c r="C1603" s="23"/>
      <c r="D1603" s="23"/>
    </row>
    <row r="1604" spans="2:4" x14ac:dyDescent="0.25">
      <c r="B1604" s="35"/>
      <c r="C1604" s="23"/>
      <c r="D1604" s="23"/>
    </row>
    <row r="1605" spans="2:4" x14ac:dyDescent="0.25">
      <c r="B1605" s="35"/>
      <c r="C1605" s="23"/>
      <c r="D1605" s="23"/>
    </row>
    <row r="1606" spans="2:4" x14ac:dyDescent="0.25">
      <c r="B1606" s="35"/>
      <c r="C1606" s="23"/>
      <c r="D1606" s="23"/>
    </row>
    <row r="1607" spans="2:4" x14ac:dyDescent="0.25">
      <c r="B1607" s="35"/>
      <c r="C1607" s="23"/>
      <c r="D1607" s="23"/>
    </row>
    <row r="1608" spans="2:4" x14ac:dyDescent="0.25">
      <c r="B1608" s="35"/>
      <c r="C1608" s="23"/>
      <c r="D1608" s="23"/>
    </row>
    <row r="1609" spans="2:4" x14ac:dyDescent="0.25">
      <c r="B1609" s="35"/>
      <c r="C1609" s="23"/>
      <c r="D1609" s="23"/>
    </row>
    <row r="1610" spans="2:4" x14ac:dyDescent="0.25">
      <c r="B1610" s="35"/>
      <c r="C1610" s="23"/>
      <c r="D1610" s="23"/>
    </row>
    <row r="1611" spans="2:4" x14ac:dyDescent="0.25">
      <c r="B1611" s="35"/>
      <c r="C1611" s="23"/>
      <c r="D1611" s="23"/>
    </row>
    <row r="1612" spans="2:4" x14ac:dyDescent="0.25">
      <c r="B1612" s="35"/>
      <c r="C1612" s="23"/>
      <c r="D1612" s="23"/>
    </row>
    <row r="1613" spans="2:4" x14ac:dyDescent="0.25">
      <c r="B1613" s="35"/>
      <c r="C1613" s="23"/>
      <c r="D1613" s="23"/>
    </row>
    <row r="1614" spans="2:4" x14ac:dyDescent="0.25">
      <c r="B1614" s="35"/>
      <c r="C1614" s="23"/>
      <c r="D1614" s="23"/>
    </row>
    <row r="1615" spans="2:4" x14ac:dyDescent="0.25">
      <c r="B1615" s="35"/>
      <c r="C1615" s="23"/>
      <c r="D1615" s="23"/>
    </row>
    <row r="1616" spans="2:4" x14ac:dyDescent="0.25">
      <c r="B1616" s="35"/>
      <c r="C1616" s="23"/>
      <c r="D1616" s="23"/>
    </row>
    <row r="1617" spans="2:4" x14ac:dyDescent="0.25">
      <c r="B1617" s="35"/>
      <c r="C1617" s="23"/>
      <c r="D1617" s="23"/>
    </row>
    <row r="1618" spans="2:4" x14ac:dyDescent="0.25">
      <c r="B1618" s="35"/>
      <c r="C1618" s="23"/>
      <c r="D1618" s="23"/>
    </row>
    <row r="1619" spans="2:4" x14ac:dyDescent="0.25">
      <c r="B1619" s="35"/>
      <c r="C1619" s="23"/>
      <c r="D1619" s="23"/>
    </row>
    <row r="1620" spans="2:4" x14ac:dyDescent="0.25">
      <c r="B1620" s="35"/>
      <c r="C1620" s="23"/>
      <c r="D1620" s="23"/>
    </row>
    <row r="1621" spans="2:4" x14ac:dyDescent="0.25">
      <c r="B1621" s="35"/>
      <c r="C1621" s="23"/>
      <c r="D1621" s="23"/>
    </row>
    <row r="1622" spans="2:4" x14ac:dyDescent="0.25">
      <c r="B1622" s="35"/>
      <c r="C1622" s="23"/>
      <c r="D1622" s="23"/>
    </row>
    <row r="1623" spans="2:4" x14ac:dyDescent="0.25">
      <c r="B1623" s="35"/>
      <c r="C1623" s="23"/>
      <c r="D1623" s="23"/>
    </row>
    <row r="1624" spans="2:4" x14ac:dyDescent="0.25">
      <c r="B1624" s="35"/>
      <c r="C1624" s="23"/>
      <c r="D1624" s="23"/>
    </row>
    <row r="1625" spans="2:4" x14ac:dyDescent="0.25">
      <c r="B1625" s="35"/>
      <c r="C1625" s="23"/>
      <c r="D1625" s="23"/>
    </row>
    <row r="1626" spans="2:4" x14ac:dyDescent="0.25">
      <c r="B1626" s="35"/>
      <c r="C1626" s="23"/>
      <c r="D1626" s="23"/>
    </row>
    <row r="1627" spans="2:4" x14ac:dyDescent="0.25">
      <c r="B1627" s="35"/>
      <c r="C1627" s="23"/>
      <c r="D1627" s="23"/>
    </row>
    <row r="1628" spans="2:4" x14ac:dyDescent="0.25">
      <c r="B1628" s="35"/>
      <c r="C1628" s="23"/>
      <c r="D1628" s="23"/>
    </row>
    <row r="1629" spans="2:4" x14ac:dyDescent="0.25">
      <c r="B1629" s="35"/>
      <c r="C1629" s="23"/>
      <c r="D1629" s="23"/>
    </row>
    <row r="1630" spans="2:4" x14ac:dyDescent="0.25">
      <c r="B1630" s="35"/>
      <c r="C1630" s="23"/>
      <c r="D1630" s="23"/>
    </row>
    <row r="1631" spans="2:4" x14ac:dyDescent="0.25">
      <c r="B1631" s="35"/>
      <c r="C1631" s="23"/>
      <c r="D1631" s="23"/>
    </row>
    <row r="1632" spans="2:4" x14ac:dyDescent="0.25">
      <c r="B1632" s="35"/>
      <c r="C1632" s="23"/>
      <c r="D1632" s="23"/>
    </row>
    <row r="1633" spans="2:4" x14ac:dyDescent="0.25">
      <c r="B1633" s="35"/>
      <c r="C1633" s="23"/>
      <c r="D1633" s="23"/>
    </row>
    <row r="1634" spans="2:4" x14ac:dyDescent="0.25">
      <c r="B1634" s="35"/>
      <c r="C1634" s="23"/>
      <c r="D1634" s="23"/>
    </row>
    <row r="1635" spans="2:4" x14ac:dyDescent="0.25">
      <c r="B1635" s="35"/>
      <c r="C1635" s="23"/>
      <c r="D1635" s="23"/>
    </row>
    <row r="1636" spans="2:4" x14ac:dyDescent="0.25">
      <c r="B1636" s="35"/>
      <c r="C1636" s="23"/>
      <c r="D1636" s="23"/>
    </row>
    <row r="1637" spans="2:4" x14ac:dyDescent="0.25">
      <c r="B1637" s="35"/>
      <c r="C1637" s="23"/>
      <c r="D1637" s="23"/>
    </row>
    <row r="1638" spans="2:4" x14ac:dyDescent="0.25">
      <c r="B1638" s="35"/>
      <c r="C1638" s="23"/>
      <c r="D1638" s="23"/>
    </row>
    <row r="1639" spans="2:4" x14ac:dyDescent="0.25">
      <c r="B1639" s="35"/>
      <c r="C1639" s="23"/>
      <c r="D1639" s="23"/>
    </row>
    <row r="1640" spans="2:4" x14ac:dyDescent="0.25">
      <c r="B1640" s="35"/>
      <c r="C1640" s="23"/>
      <c r="D1640" s="23"/>
    </row>
    <row r="1641" spans="2:4" x14ac:dyDescent="0.25">
      <c r="B1641" s="35"/>
      <c r="C1641" s="23"/>
      <c r="D1641" s="23"/>
    </row>
    <row r="1642" spans="2:4" x14ac:dyDescent="0.25">
      <c r="B1642" s="35"/>
      <c r="C1642" s="23"/>
      <c r="D1642" s="23"/>
    </row>
    <row r="1643" spans="2:4" x14ac:dyDescent="0.25">
      <c r="B1643" s="35"/>
      <c r="C1643" s="23"/>
      <c r="D1643" s="23"/>
    </row>
    <row r="1644" spans="2:4" x14ac:dyDescent="0.25">
      <c r="B1644" s="35"/>
      <c r="C1644" s="23"/>
      <c r="D1644" s="23"/>
    </row>
    <row r="1645" spans="2:4" x14ac:dyDescent="0.25">
      <c r="B1645" s="35"/>
      <c r="C1645" s="23"/>
      <c r="D1645" s="23"/>
    </row>
    <row r="1646" spans="2:4" x14ac:dyDescent="0.25">
      <c r="B1646" s="35"/>
      <c r="C1646" s="23"/>
      <c r="D1646" s="23"/>
    </row>
    <row r="1647" spans="2:4" x14ac:dyDescent="0.25">
      <c r="B1647" s="35"/>
      <c r="C1647" s="23"/>
      <c r="D1647" s="23"/>
    </row>
    <row r="1648" spans="2:4" x14ac:dyDescent="0.25">
      <c r="B1648" s="35"/>
      <c r="C1648" s="23"/>
      <c r="D1648" s="23"/>
    </row>
    <row r="1649" spans="2:4" x14ac:dyDescent="0.25">
      <c r="B1649" s="35"/>
      <c r="C1649" s="23"/>
      <c r="D1649" s="23"/>
    </row>
    <row r="1650" spans="2:4" x14ac:dyDescent="0.25">
      <c r="B1650" s="35"/>
      <c r="C1650" s="23"/>
      <c r="D1650" s="23"/>
    </row>
    <row r="1651" spans="2:4" x14ac:dyDescent="0.25">
      <c r="B1651" s="35"/>
      <c r="C1651" s="23"/>
      <c r="D1651" s="23"/>
    </row>
    <row r="1652" spans="2:4" x14ac:dyDescent="0.25">
      <c r="B1652" s="35"/>
      <c r="C1652" s="23"/>
      <c r="D1652" s="23"/>
    </row>
    <row r="1653" spans="2:4" x14ac:dyDescent="0.25">
      <c r="B1653" s="35"/>
      <c r="C1653" s="23"/>
      <c r="D1653" s="23"/>
    </row>
    <row r="1654" spans="2:4" x14ac:dyDescent="0.25">
      <c r="B1654" s="35"/>
      <c r="C1654" s="23"/>
      <c r="D1654" s="23"/>
    </row>
    <row r="1655" spans="2:4" x14ac:dyDescent="0.25">
      <c r="B1655" s="35"/>
      <c r="C1655" s="23"/>
      <c r="D1655" s="23"/>
    </row>
    <row r="1656" spans="2:4" x14ac:dyDescent="0.25">
      <c r="B1656" s="35"/>
      <c r="C1656" s="23"/>
      <c r="D1656" s="23"/>
    </row>
    <row r="1657" spans="2:4" x14ac:dyDescent="0.25">
      <c r="B1657" s="35"/>
      <c r="C1657" s="23"/>
      <c r="D1657" s="23"/>
    </row>
    <row r="1658" spans="2:4" x14ac:dyDescent="0.25">
      <c r="B1658" s="35"/>
      <c r="C1658" s="23"/>
      <c r="D1658" s="23"/>
    </row>
    <row r="1659" spans="2:4" x14ac:dyDescent="0.25">
      <c r="B1659" s="35"/>
      <c r="C1659" s="23"/>
      <c r="D1659" s="23"/>
    </row>
    <row r="1660" spans="2:4" x14ac:dyDescent="0.25">
      <c r="B1660" s="35"/>
      <c r="C1660" s="23"/>
      <c r="D1660" s="23"/>
    </row>
    <row r="1661" spans="2:4" x14ac:dyDescent="0.25">
      <c r="B1661" s="35"/>
      <c r="C1661" s="23"/>
      <c r="D1661" s="23"/>
    </row>
    <row r="1662" spans="2:4" x14ac:dyDescent="0.25">
      <c r="B1662" s="35"/>
      <c r="C1662" s="23"/>
      <c r="D1662" s="23"/>
    </row>
    <row r="1663" spans="2:4" x14ac:dyDescent="0.25">
      <c r="B1663" s="35"/>
      <c r="C1663" s="23"/>
      <c r="D1663" s="23"/>
    </row>
    <row r="1664" spans="2:4" x14ac:dyDescent="0.25">
      <c r="B1664" s="35"/>
      <c r="C1664" s="23"/>
      <c r="D1664" s="23"/>
    </row>
    <row r="1665" spans="2:4" x14ac:dyDescent="0.25">
      <c r="B1665" s="35"/>
      <c r="C1665" s="23"/>
      <c r="D1665" s="23"/>
    </row>
    <row r="1666" spans="2:4" x14ac:dyDescent="0.25">
      <c r="B1666" s="35"/>
      <c r="C1666" s="23"/>
      <c r="D1666" s="23"/>
    </row>
    <row r="1667" spans="2:4" x14ac:dyDescent="0.25">
      <c r="B1667" s="35"/>
      <c r="C1667" s="23"/>
      <c r="D1667" s="23"/>
    </row>
    <row r="1668" spans="2:4" x14ac:dyDescent="0.25">
      <c r="B1668" s="35"/>
      <c r="C1668" s="23"/>
      <c r="D1668" s="23"/>
    </row>
    <row r="1669" spans="2:4" x14ac:dyDescent="0.25">
      <c r="B1669" s="35"/>
      <c r="C1669" s="23"/>
      <c r="D1669" s="23"/>
    </row>
    <row r="1670" spans="2:4" x14ac:dyDescent="0.25">
      <c r="B1670" s="35"/>
      <c r="C1670" s="23"/>
      <c r="D1670" s="23"/>
    </row>
    <row r="1671" spans="2:4" x14ac:dyDescent="0.25">
      <c r="B1671" s="35"/>
      <c r="C1671" s="23"/>
      <c r="D1671" s="23"/>
    </row>
    <row r="1672" spans="2:4" x14ac:dyDescent="0.25">
      <c r="B1672" s="35"/>
      <c r="C1672" s="23"/>
      <c r="D1672" s="23"/>
    </row>
    <row r="1673" spans="2:4" x14ac:dyDescent="0.25">
      <c r="B1673" s="35"/>
      <c r="C1673" s="23"/>
      <c r="D1673" s="23"/>
    </row>
    <row r="1674" spans="2:4" x14ac:dyDescent="0.25">
      <c r="B1674" s="35"/>
      <c r="C1674" s="23"/>
      <c r="D1674" s="23"/>
    </row>
    <row r="1675" spans="2:4" x14ac:dyDescent="0.25">
      <c r="B1675" s="35"/>
      <c r="C1675" s="23"/>
      <c r="D1675" s="23"/>
    </row>
    <row r="1676" spans="2:4" x14ac:dyDescent="0.25">
      <c r="B1676" s="35"/>
      <c r="C1676" s="23"/>
      <c r="D1676" s="23"/>
    </row>
    <row r="1677" spans="2:4" x14ac:dyDescent="0.25">
      <c r="B1677" s="35"/>
      <c r="C1677" s="23"/>
      <c r="D1677" s="23"/>
    </row>
    <row r="1678" spans="2:4" x14ac:dyDescent="0.25">
      <c r="B1678" s="35"/>
      <c r="C1678" s="23"/>
      <c r="D1678" s="23"/>
    </row>
    <row r="1679" spans="2:4" x14ac:dyDescent="0.25">
      <c r="B1679" s="35"/>
      <c r="C1679" s="23"/>
      <c r="D1679" s="23"/>
    </row>
    <row r="1680" spans="2:4" x14ac:dyDescent="0.25">
      <c r="B1680" s="35"/>
      <c r="C1680" s="23"/>
      <c r="D1680" s="23"/>
    </row>
    <row r="1681" spans="2:4" x14ac:dyDescent="0.25">
      <c r="B1681" s="35"/>
      <c r="C1681" s="23"/>
      <c r="D1681" s="23"/>
    </row>
    <row r="1682" spans="2:4" x14ac:dyDescent="0.25">
      <c r="B1682" s="35"/>
      <c r="C1682" s="23"/>
      <c r="D1682" s="23"/>
    </row>
    <row r="1683" spans="2:4" x14ac:dyDescent="0.25">
      <c r="B1683" s="35"/>
      <c r="C1683" s="23"/>
      <c r="D1683" s="23"/>
    </row>
    <row r="1684" spans="2:4" x14ac:dyDescent="0.25">
      <c r="B1684" s="35"/>
      <c r="C1684" s="23"/>
      <c r="D1684" s="23"/>
    </row>
    <row r="1685" spans="2:4" x14ac:dyDescent="0.25">
      <c r="B1685" s="35"/>
      <c r="C1685" s="23"/>
      <c r="D1685" s="23"/>
    </row>
    <row r="1686" spans="2:4" x14ac:dyDescent="0.25">
      <c r="B1686" s="35"/>
      <c r="C1686" s="23"/>
      <c r="D1686" s="23"/>
    </row>
    <row r="1687" spans="2:4" x14ac:dyDescent="0.25">
      <c r="B1687" s="35"/>
      <c r="C1687" s="23"/>
      <c r="D1687" s="23"/>
    </row>
    <row r="1688" spans="2:4" x14ac:dyDescent="0.25">
      <c r="B1688" s="35"/>
      <c r="C1688" s="23"/>
      <c r="D1688" s="23"/>
    </row>
    <row r="1689" spans="2:4" x14ac:dyDescent="0.25">
      <c r="B1689" s="35"/>
      <c r="C1689" s="23"/>
      <c r="D1689" s="23"/>
    </row>
    <row r="1690" spans="2:4" x14ac:dyDescent="0.25">
      <c r="B1690" s="35"/>
      <c r="C1690" s="23"/>
      <c r="D1690" s="23"/>
    </row>
    <row r="1691" spans="2:4" x14ac:dyDescent="0.25">
      <c r="B1691" s="35"/>
      <c r="C1691" s="23"/>
      <c r="D1691" s="23"/>
    </row>
    <row r="1692" spans="2:4" x14ac:dyDescent="0.25">
      <c r="B1692" s="35"/>
      <c r="C1692" s="23"/>
      <c r="D1692" s="23"/>
    </row>
    <row r="1693" spans="2:4" x14ac:dyDescent="0.25">
      <c r="B1693" s="35"/>
      <c r="C1693" s="23"/>
      <c r="D1693" s="23"/>
    </row>
    <row r="1694" spans="2:4" x14ac:dyDescent="0.25">
      <c r="B1694" s="35"/>
      <c r="C1694" s="23"/>
      <c r="D1694" s="23"/>
    </row>
    <row r="1695" spans="2:4" x14ac:dyDescent="0.25">
      <c r="B1695" s="35"/>
      <c r="C1695" s="23"/>
      <c r="D1695" s="23"/>
    </row>
    <row r="1696" spans="2:4" x14ac:dyDescent="0.25">
      <c r="B1696" s="35"/>
      <c r="C1696" s="23"/>
      <c r="D1696" s="23"/>
    </row>
    <row r="1697" spans="2:4" x14ac:dyDescent="0.25">
      <c r="B1697" s="35"/>
      <c r="C1697" s="23"/>
      <c r="D1697" s="23"/>
    </row>
    <row r="1698" spans="2:4" x14ac:dyDescent="0.25">
      <c r="B1698" s="35"/>
      <c r="C1698" s="23"/>
      <c r="D1698" s="23"/>
    </row>
    <row r="1699" spans="2:4" x14ac:dyDescent="0.25">
      <c r="B1699" s="35"/>
      <c r="C1699" s="23"/>
      <c r="D1699" s="23"/>
    </row>
    <row r="1700" spans="2:4" x14ac:dyDescent="0.25">
      <c r="B1700" s="35"/>
      <c r="C1700" s="23"/>
      <c r="D1700" s="23"/>
    </row>
    <row r="1701" spans="2:4" x14ac:dyDescent="0.25">
      <c r="B1701" s="35"/>
      <c r="C1701" s="23"/>
      <c r="D1701" s="23"/>
    </row>
    <row r="1702" spans="2:4" x14ac:dyDescent="0.25">
      <c r="B1702" s="35"/>
      <c r="C1702" s="23"/>
      <c r="D1702" s="23"/>
    </row>
    <row r="1703" spans="2:4" x14ac:dyDescent="0.25">
      <c r="B1703" s="35"/>
      <c r="C1703" s="23"/>
      <c r="D1703" s="23"/>
    </row>
    <row r="1704" spans="2:4" x14ac:dyDescent="0.25">
      <c r="B1704" s="35"/>
      <c r="C1704" s="23"/>
      <c r="D1704" s="23"/>
    </row>
    <row r="1705" spans="2:4" x14ac:dyDescent="0.25">
      <c r="B1705" s="35"/>
      <c r="C1705" s="23"/>
      <c r="D1705" s="23"/>
    </row>
    <row r="1706" spans="2:4" x14ac:dyDescent="0.25">
      <c r="B1706" s="35"/>
      <c r="C1706" s="23"/>
      <c r="D1706" s="23"/>
    </row>
    <row r="1707" spans="2:4" x14ac:dyDescent="0.25">
      <c r="B1707" s="35"/>
      <c r="C1707" s="23"/>
      <c r="D1707" s="23"/>
    </row>
    <row r="1708" spans="2:4" x14ac:dyDescent="0.25">
      <c r="B1708" s="35"/>
      <c r="C1708" s="23"/>
      <c r="D1708" s="23"/>
    </row>
    <row r="1709" spans="2:4" x14ac:dyDescent="0.25">
      <c r="B1709" s="35"/>
      <c r="C1709" s="23"/>
      <c r="D1709" s="23"/>
    </row>
    <row r="1710" spans="2:4" x14ac:dyDescent="0.25">
      <c r="B1710" s="35"/>
      <c r="C1710" s="23"/>
      <c r="D1710" s="23"/>
    </row>
    <row r="1711" spans="2:4" x14ac:dyDescent="0.25">
      <c r="B1711" s="35"/>
      <c r="C1711" s="23"/>
      <c r="D1711" s="23"/>
    </row>
    <row r="1712" spans="2:4" x14ac:dyDescent="0.25">
      <c r="B1712" s="35"/>
      <c r="C1712" s="23"/>
      <c r="D1712" s="23"/>
    </row>
    <row r="1713" spans="2:4" x14ac:dyDescent="0.25">
      <c r="B1713" s="35"/>
      <c r="C1713" s="23"/>
      <c r="D1713" s="23"/>
    </row>
    <row r="1714" spans="2:4" x14ac:dyDescent="0.25">
      <c r="B1714" s="35"/>
      <c r="C1714" s="23"/>
      <c r="D1714" s="23"/>
    </row>
    <row r="1715" spans="2:4" x14ac:dyDescent="0.25">
      <c r="B1715" s="35"/>
      <c r="C1715" s="23"/>
      <c r="D1715" s="23"/>
    </row>
    <row r="1716" spans="2:4" x14ac:dyDescent="0.25">
      <c r="B1716" s="35"/>
      <c r="C1716" s="23"/>
      <c r="D1716" s="23"/>
    </row>
    <row r="1717" spans="2:4" x14ac:dyDescent="0.25">
      <c r="B1717" s="35"/>
      <c r="C1717" s="23"/>
      <c r="D1717" s="23"/>
    </row>
    <row r="1718" spans="2:4" x14ac:dyDescent="0.25">
      <c r="B1718" s="35"/>
      <c r="C1718" s="23"/>
      <c r="D1718" s="23"/>
    </row>
    <row r="1719" spans="2:4" x14ac:dyDescent="0.25">
      <c r="B1719" s="35"/>
      <c r="C1719" s="23"/>
      <c r="D1719" s="23"/>
    </row>
    <row r="1720" spans="2:4" x14ac:dyDescent="0.25">
      <c r="B1720" s="35"/>
      <c r="C1720" s="23"/>
      <c r="D1720" s="23"/>
    </row>
    <row r="1721" spans="2:4" x14ac:dyDescent="0.25">
      <c r="B1721" s="35"/>
      <c r="C1721" s="23"/>
      <c r="D1721" s="23"/>
    </row>
    <row r="1722" spans="2:4" x14ac:dyDescent="0.25">
      <c r="B1722" s="35"/>
      <c r="C1722" s="23"/>
      <c r="D1722" s="23"/>
    </row>
    <row r="1723" spans="2:4" x14ac:dyDescent="0.25">
      <c r="B1723" s="35"/>
      <c r="C1723" s="23"/>
      <c r="D1723" s="23"/>
    </row>
    <row r="1724" spans="2:4" x14ac:dyDescent="0.25">
      <c r="B1724" s="35"/>
      <c r="C1724" s="23"/>
      <c r="D1724" s="23"/>
    </row>
    <row r="1725" spans="2:4" x14ac:dyDescent="0.25">
      <c r="B1725" s="35"/>
      <c r="C1725" s="23"/>
      <c r="D1725" s="23"/>
    </row>
    <row r="1726" spans="2:4" x14ac:dyDescent="0.25">
      <c r="B1726" s="35"/>
      <c r="C1726" s="23"/>
      <c r="D1726" s="23"/>
    </row>
    <row r="1727" spans="2:4" x14ac:dyDescent="0.25">
      <c r="B1727" s="35"/>
      <c r="C1727" s="23"/>
      <c r="D1727" s="23"/>
    </row>
    <row r="1728" spans="2:4" x14ac:dyDescent="0.25">
      <c r="B1728" s="35"/>
      <c r="C1728" s="23"/>
      <c r="D1728" s="23"/>
    </row>
    <row r="1729" spans="2:4" x14ac:dyDescent="0.25">
      <c r="B1729" s="35"/>
      <c r="C1729" s="23"/>
      <c r="D1729" s="23"/>
    </row>
    <row r="1730" spans="2:4" x14ac:dyDescent="0.25">
      <c r="B1730" s="35"/>
      <c r="C1730" s="23"/>
      <c r="D1730" s="23"/>
    </row>
    <row r="1731" spans="2:4" x14ac:dyDescent="0.25">
      <c r="B1731" s="35"/>
      <c r="C1731" s="23"/>
      <c r="D1731" s="23"/>
    </row>
    <row r="1732" spans="2:4" x14ac:dyDescent="0.25">
      <c r="B1732" s="35"/>
      <c r="C1732" s="23"/>
      <c r="D1732" s="23"/>
    </row>
    <row r="1733" spans="2:4" x14ac:dyDescent="0.25">
      <c r="B1733" s="35"/>
      <c r="C1733" s="23"/>
      <c r="D1733" s="23"/>
    </row>
    <row r="1734" spans="2:4" x14ac:dyDescent="0.25">
      <c r="B1734" s="35"/>
      <c r="C1734" s="23"/>
      <c r="D1734" s="23"/>
    </row>
    <row r="1735" spans="2:4" x14ac:dyDescent="0.25">
      <c r="B1735" s="35"/>
      <c r="C1735" s="23"/>
      <c r="D1735" s="23"/>
    </row>
    <row r="1736" spans="2:4" x14ac:dyDescent="0.25">
      <c r="B1736" s="35"/>
      <c r="C1736" s="23"/>
      <c r="D1736" s="23"/>
    </row>
    <row r="1737" spans="2:4" x14ac:dyDescent="0.25">
      <c r="B1737" s="35"/>
      <c r="C1737" s="23"/>
      <c r="D1737" s="23"/>
    </row>
    <row r="1738" spans="2:4" x14ac:dyDescent="0.25">
      <c r="B1738" s="35"/>
      <c r="C1738" s="23"/>
      <c r="D1738" s="23"/>
    </row>
    <row r="1739" spans="2:4" x14ac:dyDescent="0.25">
      <c r="B1739" s="35"/>
      <c r="C1739" s="23"/>
      <c r="D1739" s="23"/>
    </row>
    <row r="1740" spans="2:4" x14ac:dyDescent="0.25">
      <c r="B1740" s="35"/>
      <c r="C1740" s="23"/>
      <c r="D1740" s="23"/>
    </row>
    <row r="1741" spans="2:4" x14ac:dyDescent="0.25">
      <c r="B1741" s="35"/>
      <c r="C1741" s="23"/>
      <c r="D1741" s="23"/>
    </row>
    <row r="1742" spans="2:4" x14ac:dyDescent="0.25">
      <c r="B1742" s="35"/>
      <c r="C1742" s="23"/>
      <c r="D1742" s="23"/>
    </row>
    <row r="1743" spans="2:4" x14ac:dyDescent="0.25">
      <c r="B1743" s="35"/>
      <c r="C1743" s="23"/>
      <c r="D1743" s="23"/>
    </row>
    <row r="1744" spans="2:4" x14ac:dyDescent="0.25">
      <c r="B1744" s="35"/>
      <c r="C1744" s="23"/>
      <c r="D1744" s="23"/>
    </row>
    <row r="1745" spans="2:4" x14ac:dyDescent="0.25">
      <c r="B1745" s="35"/>
      <c r="C1745" s="23"/>
      <c r="D1745" s="23"/>
    </row>
    <row r="1746" spans="2:4" x14ac:dyDescent="0.25">
      <c r="B1746" s="35"/>
      <c r="C1746" s="23"/>
      <c r="D1746" s="23"/>
    </row>
    <row r="1747" spans="2:4" x14ac:dyDescent="0.25">
      <c r="B1747" s="35"/>
      <c r="C1747" s="23"/>
      <c r="D1747" s="23"/>
    </row>
    <row r="1748" spans="2:4" x14ac:dyDescent="0.25">
      <c r="B1748" s="35"/>
      <c r="C1748" s="23"/>
      <c r="D1748" s="23"/>
    </row>
    <row r="1749" spans="2:4" x14ac:dyDescent="0.25">
      <c r="B1749" s="35"/>
      <c r="C1749" s="23"/>
      <c r="D1749" s="23"/>
    </row>
    <row r="1750" spans="2:4" x14ac:dyDescent="0.25">
      <c r="B1750" s="35"/>
      <c r="C1750" s="23"/>
      <c r="D1750" s="23"/>
    </row>
    <row r="1751" spans="2:4" x14ac:dyDescent="0.25">
      <c r="B1751" s="35"/>
      <c r="C1751" s="23"/>
      <c r="D1751" s="23"/>
    </row>
    <row r="1752" spans="2:4" x14ac:dyDescent="0.25">
      <c r="B1752" s="35"/>
      <c r="C1752" s="23"/>
      <c r="D1752" s="23"/>
    </row>
    <row r="1753" spans="2:4" x14ac:dyDescent="0.25">
      <c r="B1753" s="35"/>
      <c r="C1753" s="23"/>
      <c r="D1753" s="23"/>
    </row>
    <row r="1754" spans="2:4" x14ac:dyDescent="0.25">
      <c r="B1754" s="35"/>
      <c r="C1754" s="23"/>
      <c r="D1754" s="23"/>
    </row>
    <row r="1755" spans="2:4" x14ac:dyDescent="0.25">
      <c r="B1755" s="35"/>
      <c r="C1755" s="23"/>
      <c r="D1755" s="23"/>
    </row>
    <row r="1756" spans="2:4" x14ac:dyDescent="0.25">
      <c r="B1756" s="35"/>
      <c r="C1756" s="23"/>
      <c r="D1756" s="23"/>
    </row>
    <row r="1757" spans="2:4" x14ac:dyDescent="0.25">
      <c r="B1757" s="35"/>
      <c r="C1757" s="23"/>
      <c r="D1757" s="23"/>
    </row>
    <row r="1758" spans="2:4" x14ac:dyDescent="0.25">
      <c r="B1758" s="35"/>
      <c r="C1758" s="23"/>
      <c r="D1758" s="23"/>
    </row>
    <row r="1759" spans="2:4" x14ac:dyDescent="0.25">
      <c r="B1759" s="35"/>
      <c r="C1759" s="23"/>
      <c r="D1759" s="23"/>
    </row>
    <row r="1760" spans="2:4" x14ac:dyDescent="0.25">
      <c r="B1760" s="35"/>
      <c r="C1760" s="23"/>
      <c r="D1760" s="23"/>
    </row>
    <row r="1761" spans="2:4" x14ac:dyDescent="0.25">
      <c r="B1761" s="35"/>
      <c r="C1761" s="23"/>
      <c r="D1761" s="23"/>
    </row>
    <row r="1762" spans="2:4" x14ac:dyDescent="0.25">
      <c r="B1762" s="35"/>
      <c r="C1762" s="23"/>
      <c r="D1762" s="23"/>
    </row>
    <row r="1763" spans="2:4" x14ac:dyDescent="0.25">
      <c r="B1763" s="35"/>
      <c r="C1763" s="23"/>
      <c r="D1763" s="23"/>
    </row>
    <row r="1764" spans="2:4" x14ac:dyDescent="0.25">
      <c r="B1764" s="35"/>
      <c r="C1764" s="23"/>
      <c r="D1764" s="23"/>
    </row>
    <row r="1765" spans="2:4" x14ac:dyDescent="0.25">
      <c r="B1765" s="35"/>
      <c r="C1765" s="23"/>
      <c r="D1765" s="23"/>
    </row>
    <row r="1766" spans="2:4" x14ac:dyDescent="0.25">
      <c r="B1766" s="35"/>
      <c r="C1766" s="23"/>
      <c r="D1766" s="23"/>
    </row>
    <row r="1767" spans="2:4" x14ac:dyDescent="0.25">
      <c r="B1767" s="35"/>
      <c r="C1767" s="23"/>
      <c r="D1767" s="23"/>
    </row>
    <row r="1768" spans="2:4" x14ac:dyDescent="0.25">
      <c r="B1768" s="35"/>
      <c r="C1768" s="23"/>
      <c r="D1768" s="23"/>
    </row>
    <row r="1769" spans="2:4" x14ac:dyDescent="0.25">
      <c r="B1769" s="35"/>
      <c r="C1769" s="23"/>
      <c r="D1769" s="23"/>
    </row>
    <row r="1770" spans="2:4" x14ac:dyDescent="0.25">
      <c r="B1770" s="35"/>
      <c r="C1770" s="23"/>
      <c r="D1770" s="23"/>
    </row>
    <row r="1771" spans="2:4" x14ac:dyDescent="0.25">
      <c r="B1771" s="35"/>
      <c r="C1771" s="23"/>
      <c r="D1771" s="23"/>
    </row>
    <row r="1772" spans="2:4" x14ac:dyDescent="0.25">
      <c r="B1772" s="35"/>
      <c r="C1772" s="23"/>
      <c r="D1772" s="23"/>
    </row>
    <row r="1773" spans="2:4" x14ac:dyDescent="0.25">
      <c r="B1773" s="35"/>
      <c r="C1773" s="23"/>
      <c r="D1773" s="23"/>
    </row>
    <row r="1774" spans="2:4" x14ac:dyDescent="0.25">
      <c r="B1774" s="35"/>
      <c r="C1774" s="23"/>
      <c r="D1774" s="23"/>
    </row>
    <row r="1775" spans="2:4" x14ac:dyDescent="0.25">
      <c r="B1775" s="35"/>
      <c r="C1775" s="23"/>
      <c r="D1775" s="23"/>
    </row>
    <row r="1776" spans="2:4" x14ac:dyDescent="0.25">
      <c r="B1776" s="35"/>
      <c r="C1776" s="23"/>
      <c r="D1776" s="23"/>
    </row>
    <row r="1777" spans="2:4" x14ac:dyDescent="0.25">
      <c r="B1777" s="35"/>
      <c r="C1777" s="23"/>
      <c r="D1777" s="23"/>
    </row>
    <row r="1778" spans="2:4" x14ac:dyDescent="0.25">
      <c r="B1778" s="35"/>
      <c r="C1778" s="23"/>
      <c r="D1778" s="23"/>
    </row>
    <row r="1779" spans="2:4" x14ac:dyDescent="0.25">
      <c r="B1779" s="35"/>
      <c r="C1779" s="23"/>
      <c r="D1779" s="23"/>
    </row>
    <row r="1780" spans="2:4" x14ac:dyDescent="0.25">
      <c r="B1780" s="35"/>
      <c r="C1780" s="23"/>
      <c r="D1780" s="23"/>
    </row>
    <row r="1781" spans="2:4" x14ac:dyDescent="0.25">
      <c r="B1781" s="35"/>
      <c r="C1781" s="23"/>
      <c r="D1781" s="23"/>
    </row>
    <row r="1782" spans="2:4" x14ac:dyDescent="0.25">
      <c r="B1782" s="35"/>
      <c r="C1782" s="23"/>
      <c r="D1782" s="23"/>
    </row>
    <row r="1783" spans="2:4" x14ac:dyDescent="0.25">
      <c r="B1783" s="35"/>
      <c r="C1783" s="23"/>
      <c r="D1783" s="23"/>
    </row>
    <row r="1784" spans="2:4" x14ac:dyDescent="0.25">
      <c r="B1784" s="35"/>
      <c r="C1784" s="23"/>
      <c r="D1784" s="23"/>
    </row>
    <row r="1785" spans="2:4" x14ac:dyDescent="0.25">
      <c r="B1785" s="35"/>
      <c r="C1785" s="23"/>
      <c r="D1785" s="23"/>
    </row>
    <row r="1786" spans="2:4" x14ac:dyDescent="0.25">
      <c r="B1786" s="35"/>
      <c r="C1786" s="23"/>
      <c r="D1786" s="23"/>
    </row>
    <row r="1787" spans="2:4" x14ac:dyDescent="0.25">
      <c r="B1787" s="35"/>
      <c r="C1787" s="23"/>
      <c r="D1787" s="23"/>
    </row>
    <row r="1788" spans="2:4" x14ac:dyDescent="0.25">
      <c r="B1788" s="35"/>
      <c r="C1788" s="23"/>
      <c r="D1788" s="23"/>
    </row>
    <row r="1789" spans="2:4" x14ac:dyDescent="0.25">
      <c r="B1789" s="35"/>
      <c r="C1789" s="23"/>
      <c r="D1789" s="23"/>
    </row>
    <row r="1790" spans="2:4" x14ac:dyDescent="0.25">
      <c r="B1790" s="35"/>
      <c r="C1790" s="23"/>
      <c r="D1790" s="23"/>
    </row>
    <row r="1791" spans="2:4" x14ac:dyDescent="0.25">
      <c r="B1791" s="35"/>
      <c r="C1791" s="23"/>
      <c r="D1791" s="23"/>
    </row>
    <row r="1792" spans="2:4" x14ac:dyDescent="0.25">
      <c r="B1792" s="35"/>
      <c r="C1792" s="23"/>
      <c r="D1792" s="23"/>
    </row>
    <row r="1793" spans="2:4" x14ac:dyDescent="0.25">
      <c r="B1793" s="35"/>
      <c r="C1793" s="23"/>
      <c r="D1793" s="23"/>
    </row>
    <row r="1794" spans="2:4" x14ac:dyDescent="0.25">
      <c r="B1794" s="35"/>
      <c r="C1794" s="23"/>
      <c r="D1794" s="23"/>
    </row>
    <row r="1795" spans="2:4" x14ac:dyDescent="0.25">
      <c r="B1795" s="35"/>
      <c r="C1795" s="23"/>
      <c r="D1795" s="23"/>
    </row>
    <row r="1796" spans="2:4" x14ac:dyDescent="0.25">
      <c r="B1796" s="35"/>
      <c r="C1796" s="23"/>
      <c r="D1796" s="23"/>
    </row>
    <row r="1797" spans="2:4" x14ac:dyDescent="0.25">
      <c r="B1797" s="35"/>
      <c r="C1797" s="23"/>
      <c r="D1797" s="23"/>
    </row>
    <row r="1798" spans="2:4" x14ac:dyDescent="0.25">
      <c r="B1798" s="35"/>
      <c r="C1798" s="23"/>
      <c r="D1798" s="23"/>
    </row>
    <row r="1799" spans="2:4" x14ac:dyDescent="0.25">
      <c r="B1799" s="35"/>
      <c r="C1799" s="23"/>
      <c r="D1799" s="23"/>
    </row>
    <row r="1800" spans="2:4" x14ac:dyDescent="0.25">
      <c r="B1800" s="35"/>
      <c r="C1800" s="23"/>
      <c r="D1800" s="23"/>
    </row>
    <row r="1801" spans="2:4" x14ac:dyDescent="0.25">
      <c r="B1801" s="35"/>
      <c r="C1801" s="23"/>
      <c r="D1801" s="23"/>
    </row>
    <row r="1802" spans="2:4" x14ac:dyDescent="0.25">
      <c r="B1802" s="35"/>
      <c r="C1802" s="23"/>
      <c r="D1802" s="23"/>
    </row>
    <row r="1803" spans="2:4" x14ac:dyDescent="0.25">
      <c r="B1803" s="35"/>
      <c r="C1803" s="23"/>
      <c r="D1803" s="23"/>
    </row>
    <row r="1804" spans="2:4" x14ac:dyDescent="0.25">
      <c r="B1804" s="35"/>
      <c r="C1804" s="23"/>
      <c r="D1804" s="23"/>
    </row>
    <row r="1805" spans="2:4" x14ac:dyDescent="0.25">
      <c r="B1805" s="35"/>
      <c r="C1805" s="23"/>
      <c r="D1805" s="23"/>
    </row>
    <row r="1806" spans="2:4" x14ac:dyDescent="0.25">
      <c r="B1806" s="35"/>
      <c r="C1806" s="23"/>
      <c r="D1806" s="23"/>
    </row>
    <row r="1807" spans="2:4" x14ac:dyDescent="0.25">
      <c r="B1807" s="35"/>
      <c r="C1807" s="23"/>
      <c r="D1807" s="23"/>
    </row>
    <row r="1808" spans="2:4" x14ac:dyDescent="0.25">
      <c r="B1808" s="35"/>
      <c r="C1808" s="23"/>
      <c r="D1808" s="23"/>
    </row>
    <row r="1809" spans="2:4" x14ac:dyDescent="0.25">
      <c r="B1809" s="35"/>
      <c r="C1809" s="23"/>
      <c r="D1809" s="23"/>
    </row>
    <row r="1810" spans="2:4" x14ac:dyDescent="0.25">
      <c r="B1810" s="35"/>
      <c r="C1810" s="23"/>
      <c r="D1810" s="23"/>
    </row>
    <row r="1811" spans="2:4" x14ac:dyDescent="0.25">
      <c r="B1811" s="35"/>
      <c r="C1811" s="23"/>
      <c r="D1811" s="23"/>
    </row>
    <row r="1812" spans="2:4" x14ac:dyDescent="0.25">
      <c r="B1812" s="35"/>
      <c r="C1812" s="23"/>
      <c r="D1812" s="23"/>
    </row>
    <row r="1813" spans="2:4" x14ac:dyDescent="0.25">
      <c r="B1813" s="35"/>
      <c r="C1813" s="23"/>
      <c r="D1813" s="23"/>
    </row>
    <row r="1814" spans="2:4" x14ac:dyDescent="0.25">
      <c r="B1814" s="35"/>
      <c r="C1814" s="23"/>
      <c r="D1814" s="23"/>
    </row>
    <row r="1815" spans="2:4" x14ac:dyDescent="0.25">
      <c r="B1815" s="35"/>
      <c r="C1815" s="23"/>
      <c r="D1815" s="23"/>
    </row>
    <row r="1816" spans="2:4" x14ac:dyDescent="0.25">
      <c r="B1816" s="35"/>
      <c r="C1816" s="23"/>
      <c r="D1816" s="23"/>
    </row>
    <row r="1817" spans="2:4" x14ac:dyDescent="0.25">
      <c r="B1817" s="35"/>
      <c r="C1817" s="23"/>
      <c r="D1817" s="23"/>
    </row>
    <row r="1818" spans="2:4" x14ac:dyDescent="0.25">
      <c r="B1818" s="35"/>
      <c r="C1818" s="23"/>
      <c r="D1818" s="23"/>
    </row>
    <row r="1819" spans="2:4" x14ac:dyDescent="0.25">
      <c r="B1819" s="35"/>
      <c r="C1819" s="23"/>
      <c r="D1819" s="23"/>
    </row>
    <row r="1820" spans="2:4" x14ac:dyDescent="0.25">
      <c r="B1820" s="35"/>
      <c r="C1820" s="23"/>
      <c r="D1820" s="23"/>
    </row>
    <row r="1821" spans="2:4" x14ac:dyDescent="0.25">
      <c r="B1821" s="35"/>
      <c r="C1821" s="23"/>
      <c r="D1821" s="23"/>
    </row>
    <row r="1822" spans="2:4" x14ac:dyDescent="0.25">
      <c r="B1822" s="35"/>
      <c r="C1822" s="23"/>
      <c r="D1822" s="23"/>
    </row>
    <row r="1823" spans="2:4" x14ac:dyDescent="0.25">
      <c r="B1823" s="35"/>
      <c r="C1823" s="23"/>
      <c r="D1823" s="23"/>
    </row>
    <row r="1824" spans="2:4" x14ac:dyDescent="0.25">
      <c r="B1824" s="35"/>
      <c r="C1824" s="23"/>
      <c r="D1824" s="23"/>
    </row>
    <row r="1825" spans="2:4" x14ac:dyDescent="0.25">
      <c r="B1825" s="35"/>
      <c r="C1825" s="23"/>
      <c r="D1825" s="23"/>
    </row>
    <row r="1826" spans="2:4" x14ac:dyDescent="0.25">
      <c r="B1826" s="35"/>
      <c r="C1826" s="23"/>
      <c r="D1826" s="23"/>
    </row>
    <row r="1827" spans="2:4" x14ac:dyDescent="0.25">
      <c r="B1827" s="35"/>
      <c r="C1827" s="23"/>
      <c r="D1827" s="23"/>
    </row>
    <row r="1828" spans="2:4" x14ac:dyDescent="0.25">
      <c r="B1828" s="35"/>
      <c r="C1828" s="23"/>
      <c r="D1828" s="23"/>
    </row>
    <row r="1829" spans="2:4" x14ac:dyDescent="0.25">
      <c r="B1829" s="35"/>
      <c r="C1829" s="23"/>
      <c r="D1829" s="23"/>
    </row>
    <row r="1830" spans="2:4" x14ac:dyDescent="0.25">
      <c r="B1830" s="35"/>
      <c r="C1830" s="23"/>
      <c r="D1830" s="23"/>
    </row>
    <row r="1831" spans="2:4" x14ac:dyDescent="0.25">
      <c r="B1831" s="35"/>
      <c r="C1831" s="23"/>
      <c r="D1831" s="23"/>
    </row>
    <row r="1832" spans="2:4" x14ac:dyDescent="0.25">
      <c r="B1832" s="35"/>
      <c r="C1832" s="23"/>
      <c r="D1832" s="23"/>
    </row>
    <row r="1833" spans="2:4" x14ac:dyDescent="0.25">
      <c r="B1833" s="35"/>
      <c r="C1833" s="23"/>
      <c r="D1833" s="23"/>
    </row>
    <row r="1834" spans="2:4" x14ac:dyDescent="0.25">
      <c r="B1834" s="35"/>
      <c r="C1834" s="23"/>
      <c r="D1834" s="23"/>
    </row>
    <row r="1835" spans="2:4" x14ac:dyDescent="0.25">
      <c r="B1835" s="35"/>
      <c r="C1835" s="23"/>
      <c r="D1835" s="23"/>
    </row>
    <row r="1836" spans="2:4" x14ac:dyDescent="0.25">
      <c r="B1836" s="35"/>
      <c r="C1836" s="23"/>
      <c r="D1836" s="23"/>
    </row>
    <row r="1837" spans="2:4" x14ac:dyDescent="0.25">
      <c r="B1837" s="35"/>
      <c r="C1837" s="23"/>
      <c r="D1837" s="23"/>
    </row>
    <row r="1838" spans="2:4" x14ac:dyDescent="0.25">
      <c r="B1838" s="35"/>
      <c r="C1838" s="23"/>
      <c r="D1838" s="23"/>
    </row>
    <row r="1839" spans="2:4" x14ac:dyDescent="0.25">
      <c r="B1839" s="35"/>
      <c r="C1839" s="23"/>
      <c r="D1839" s="23"/>
    </row>
    <row r="1840" spans="2:4" x14ac:dyDescent="0.25">
      <c r="B1840" s="35"/>
      <c r="C1840" s="23"/>
      <c r="D1840" s="23"/>
    </row>
    <row r="1841" spans="2:4" x14ac:dyDescent="0.25">
      <c r="B1841" s="35"/>
      <c r="C1841" s="23"/>
      <c r="D1841" s="23"/>
    </row>
    <row r="1842" spans="2:4" x14ac:dyDescent="0.25">
      <c r="B1842" s="35"/>
      <c r="C1842" s="23"/>
      <c r="D1842" s="23"/>
    </row>
    <row r="1843" spans="2:4" x14ac:dyDescent="0.25">
      <c r="B1843" s="35"/>
      <c r="C1843" s="23"/>
      <c r="D1843" s="23"/>
    </row>
    <row r="1844" spans="2:4" x14ac:dyDescent="0.25">
      <c r="B1844" s="35"/>
      <c r="C1844" s="23"/>
      <c r="D1844" s="23"/>
    </row>
    <row r="1845" spans="2:4" x14ac:dyDescent="0.25">
      <c r="B1845" s="35"/>
      <c r="C1845" s="23"/>
      <c r="D1845" s="23"/>
    </row>
    <row r="1846" spans="2:4" x14ac:dyDescent="0.25">
      <c r="B1846" s="35"/>
      <c r="C1846" s="23"/>
      <c r="D1846" s="23"/>
    </row>
    <row r="1847" spans="2:4" x14ac:dyDescent="0.25">
      <c r="B1847" s="35"/>
      <c r="C1847" s="23"/>
      <c r="D1847" s="23"/>
    </row>
    <row r="1848" spans="2:4" x14ac:dyDescent="0.25">
      <c r="B1848" s="35"/>
      <c r="C1848" s="23"/>
      <c r="D1848" s="23"/>
    </row>
    <row r="1849" spans="2:4" x14ac:dyDescent="0.25">
      <c r="B1849" s="35"/>
      <c r="C1849" s="23"/>
      <c r="D1849" s="23"/>
    </row>
    <row r="1850" spans="2:4" x14ac:dyDescent="0.25">
      <c r="B1850" s="35"/>
      <c r="C1850" s="23"/>
      <c r="D1850" s="23"/>
    </row>
    <row r="1851" spans="2:4" x14ac:dyDescent="0.25">
      <c r="B1851" s="35"/>
      <c r="C1851" s="23"/>
      <c r="D1851" s="23"/>
    </row>
    <row r="1852" spans="2:4" x14ac:dyDescent="0.25">
      <c r="B1852" s="35"/>
      <c r="C1852" s="23"/>
      <c r="D1852" s="23"/>
    </row>
    <row r="1853" spans="2:4" x14ac:dyDescent="0.25">
      <c r="B1853" s="35"/>
      <c r="C1853" s="23"/>
      <c r="D1853" s="23"/>
    </row>
    <row r="1854" spans="2:4" x14ac:dyDescent="0.25">
      <c r="B1854" s="35"/>
      <c r="C1854" s="23"/>
      <c r="D1854" s="23"/>
    </row>
    <row r="1855" spans="2:4" x14ac:dyDescent="0.25">
      <c r="B1855" s="35"/>
      <c r="C1855" s="23"/>
      <c r="D1855" s="23"/>
    </row>
    <row r="1856" spans="2:4" x14ac:dyDescent="0.25">
      <c r="B1856" s="35"/>
      <c r="C1856" s="23"/>
      <c r="D1856" s="23"/>
    </row>
    <row r="1857" spans="2:4" x14ac:dyDescent="0.25">
      <c r="B1857" s="35"/>
      <c r="C1857" s="23"/>
      <c r="D1857" s="23"/>
    </row>
    <row r="1858" spans="2:4" x14ac:dyDescent="0.25">
      <c r="B1858" s="35"/>
      <c r="C1858" s="23"/>
      <c r="D1858" s="23"/>
    </row>
    <row r="1859" spans="2:4" x14ac:dyDescent="0.25">
      <c r="B1859" s="35"/>
      <c r="C1859" s="23"/>
      <c r="D1859" s="23"/>
    </row>
    <row r="1860" spans="2:4" x14ac:dyDescent="0.25">
      <c r="B1860" s="35"/>
      <c r="C1860" s="23"/>
      <c r="D1860" s="23"/>
    </row>
    <row r="1861" spans="2:4" x14ac:dyDescent="0.25">
      <c r="B1861" s="35"/>
      <c r="C1861" s="23"/>
      <c r="D1861" s="23"/>
    </row>
    <row r="1862" spans="2:4" x14ac:dyDescent="0.25">
      <c r="B1862" s="35"/>
      <c r="C1862" s="23"/>
      <c r="D1862" s="23"/>
    </row>
    <row r="1863" spans="2:4" x14ac:dyDescent="0.25">
      <c r="B1863" s="35"/>
      <c r="C1863" s="23"/>
      <c r="D1863" s="23"/>
    </row>
    <row r="1864" spans="2:4" x14ac:dyDescent="0.25">
      <c r="B1864" s="35"/>
      <c r="C1864" s="23"/>
      <c r="D1864" s="23"/>
    </row>
    <row r="1865" spans="2:4" x14ac:dyDescent="0.25">
      <c r="B1865" s="35"/>
      <c r="C1865" s="23"/>
      <c r="D1865" s="23"/>
    </row>
    <row r="1866" spans="2:4" x14ac:dyDescent="0.25">
      <c r="B1866" s="35"/>
      <c r="C1866" s="23"/>
      <c r="D1866" s="23"/>
    </row>
    <row r="1867" spans="2:4" x14ac:dyDescent="0.25">
      <c r="B1867" s="35"/>
      <c r="C1867" s="23"/>
      <c r="D1867" s="23"/>
    </row>
    <row r="1868" spans="2:4" x14ac:dyDescent="0.25">
      <c r="B1868" s="35"/>
      <c r="C1868" s="23"/>
      <c r="D1868" s="23"/>
    </row>
    <row r="1869" spans="2:4" x14ac:dyDescent="0.25">
      <c r="B1869" s="35"/>
      <c r="C1869" s="23"/>
      <c r="D1869" s="23"/>
    </row>
    <row r="1870" spans="2:4" x14ac:dyDescent="0.25">
      <c r="B1870" s="35"/>
      <c r="C1870" s="23"/>
      <c r="D1870" s="23"/>
    </row>
    <row r="1871" spans="2:4" x14ac:dyDescent="0.25">
      <c r="B1871" s="35"/>
      <c r="C1871" s="23"/>
      <c r="D1871" s="23"/>
    </row>
    <row r="1872" spans="2:4" x14ac:dyDescent="0.25">
      <c r="B1872" s="35"/>
      <c r="C1872" s="23"/>
      <c r="D1872" s="23"/>
    </row>
    <row r="1873" spans="2:4" x14ac:dyDescent="0.25">
      <c r="B1873" s="35"/>
      <c r="C1873" s="23"/>
      <c r="D1873" s="23"/>
    </row>
    <row r="1874" spans="2:4" x14ac:dyDescent="0.25">
      <c r="B1874" s="35"/>
      <c r="C1874" s="23"/>
      <c r="D1874" s="23"/>
    </row>
    <row r="1875" spans="2:4" x14ac:dyDescent="0.25">
      <c r="B1875" s="35"/>
      <c r="C1875" s="23"/>
      <c r="D1875" s="23"/>
    </row>
    <row r="1876" spans="2:4" x14ac:dyDescent="0.25">
      <c r="B1876" s="35"/>
      <c r="C1876" s="23"/>
      <c r="D1876" s="23"/>
    </row>
    <row r="1877" spans="2:4" x14ac:dyDescent="0.25">
      <c r="B1877" s="35"/>
      <c r="C1877" s="23"/>
      <c r="D1877" s="23"/>
    </row>
    <row r="1878" spans="2:4" x14ac:dyDescent="0.25">
      <c r="B1878" s="35"/>
      <c r="C1878" s="23"/>
      <c r="D1878" s="23"/>
    </row>
    <row r="1879" spans="2:4" x14ac:dyDescent="0.25">
      <c r="B1879" s="35"/>
      <c r="C1879" s="23"/>
      <c r="D1879" s="23"/>
    </row>
    <row r="1880" spans="2:4" x14ac:dyDescent="0.25">
      <c r="B1880" s="35" t="s">
        <v>2339</v>
      </c>
      <c r="C1880" s="23" t="s">
        <v>2340</v>
      </c>
      <c r="D1880" s="23"/>
    </row>
    <row r="1881" spans="2:4" x14ac:dyDescent="0.25">
      <c r="B1881" s="35" t="s">
        <v>2341</v>
      </c>
      <c r="C1881" s="23" t="s">
        <v>2342</v>
      </c>
      <c r="D1881" s="23"/>
    </row>
    <row r="1882" spans="2:4" x14ac:dyDescent="0.25">
      <c r="B1882" s="35" t="s">
        <v>2343</v>
      </c>
      <c r="C1882" s="23" t="s">
        <v>2344</v>
      </c>
      <c r="D1882" s="23"/>
    </row>
    <row r="1883" spans="2:4" x14ac:dyDescent="0.25">
      <c r="B1883" s="35" t="s">
        <v>2345</v>
      </c>
      <c r="C1883" s="23" t="s">
        <v>2346</v>
      </c>
      <c r="D1883" s="23"/>
    </row>
    <row r="1884" spans="2:4" x14ac:dyDescent="0.25">
      <c r="B1884" s="35" t="s">
        <v>2347</v>
      </c>
      <c r="C1884" s="23" t="s">
        <v>2348</v>
      </c>
      <c r="D1884" s="23"/>
    </row>
    <row r="1885" spans="2:4" x14ac:dyDescent="0.25">
      <c r="B1885" s="35" t="s">
        <v>2349</v>
      </c>
      <c r="C1885" s="23" t="s">
        <v>2350</v>
      </c>
      <c r="D1885" s="23"/>
    </row>
    <row r="1886" spans="2:4" x14ac:dyDescent="0.25">
      <c r="B1886" s="35" t="s">
        <v>2351</v>
      </c>
      <c r="C1886" s="23" t="s">
        <v>2352</v>
      </c>
      <c r="D1886" s="23"/>
    </row>
    <row r="1887" spans="2:4" x14ac:dyDescent="0.25">
      <c r="B1887" s="35" t="s">
        <v>2353</v>
      </c>
      <c r="C1887" s="23" t="s">
        <v>2354</v>
      </c>
      <c r="D1887" s="23"/>
    </row>
    <row r="1888" spans="2:4" x14ac:dyDescent="0.25">
      <c r="B1888" s="35" t="s">
        <v>2355</v>
      </c>
      <c r="C1888" s="23" t="s">
        <v>2356</v>
      </c>
      <c r="D1888" s="23"/>
    </row>
    <row r="1889" spans="2:4" x14ac:dyDescent="0.25">
      <c r="B1889" s="35" t="s">
        <v>2357</v>
      </c>
      <c r="C1889" s="23" t="s">
        <v>2358</v>
      </c>
      <c r="D1889" s="23"/>
    </row>
    <row r="1890" spans="2:4" x14ac:dyDescent="0.25">
      <c r="B1890" s="35" t="s">
        <v>2359</v>
      </c>
      <c r="C1890" s="23" t="s">
        <v>2360</v>
      </c>
      <c r="D1890" s="23"/>
    </row>
    <row r="1891" spans="2:4" x14ac:dyDescent="0.25">
      <c r="B1891" s="35" t="s">
        <v>2361</v>
      </c>
      <c r="C1891" s="23" t="s">
        <v>2362</v>
      </c>
      <c r="D1891" s="23"/>
    </row>
    <row r="1892" spans="2:4" x14ac:dyDescent="0.25">
      <c r="B1892" s="35" t="s">
        <v>2363</v>
      </c>
      <c r="C1892" s="23" t="s">
        <v>2364</v>
      </c>
      <c r="D1892" s="23"/>
    </row>
    <row r="1893" spans="2:4" x14ac:dyDescent="0.25">
      <c r="B1893" s="35" t="s">
        <v>2365</v>
      </c>
      <c r="C1893" s="23" t="s">
        <v>2366</v>
      </c>
      <c r="D1893" s="23"/>
    </row>
    <row r="1894" spans="2:4" x14ac:dyDescent="0.25">
      <c r="B1894" s="35" t="s">
        <v>2367</v>
      </c>
      <c r="C1894" s="23" t="s">
        <v>2368</v>
      </c>
      <c r="D1894" s="23"/>
    </row>
    <row r="1895" spans="2:4" x14ac:dyDescent="0.25">
      <c r="B1895" s="35" t="s">
        <v>2369</v>
      </c>
      <c r="C1895" s="23" t="s">
        <v>2370</v>
      </c>
      <c r="D1895" s="23"/>
    </row>
    <row r="1896" spans="2:4" x14ac:dyDescent="0.25">
      <c r="B1896" s="35" t="s">
        <v>2371</v>
      </c>
      <c r="C1896" s="23" t="s">
        <v>2372</v>
      </c>
      <c r="D1896" s="23"/>
    </row>
    <row r="1897" spans="2:4" x14ac:dyDescent="0.25">
      <c r="B1897" s="35" t="s">
        <v>2373</v>
      </c>
      <c r="C1897" s="23" t="s">
        <v>2374</v>
      </c>
      <c r="D1897" s="23"/>
    </row>
    <row r="1898" spans="2:4" x14ac:dyDescent="0.25">
      <c r="B1898" s="35" t="s">
        <v>2375</v>
      </c>
      <c r="C1898" s="23" t="s">
        <v>2376</v>
      </c>
      <c r="D1898" s="23"/>
    </row>
    <row r="1899" spans="2:4" x14ac:dyDescent="0.25">
      <c r="B1899" s="35" t="s">
        <v>2377</v>
      </c>
      <c r="C1899" s="23" t="s">
        <v>2378</v>
      </c>
      <c r="D1899" s="23"/>
    </row>
    <row r="1900" spans="2:4" x14ac:dyDescent="0.25">
      <c r="B1900" s="35" t="s">
        <v>2379</v>
      </c>
      <c r="C1900" s="23" t="s">
        <v>2380</v>
      </c>
      <c r="D1900" s="23"/>
    </row>
    <row r="1901" spans="2:4" x14ac:dyDescent="0.25">
      <c r="B1901" s="35" t="s">
        <v>2381</v>
      </c>
      <c r="C1901" s="23" t="s">
        <v>2382</v>
      </c>
      <c r="D1901" s="23"/>
    </row>
    <row r="1902" spans="2:4" x14ac:dyDescent="0.25">
      <c r="B1902" s="35" t="s">
        <v>2383</v>
      </c>
      <c r="C1902" s="23" t="s">
        <v>2384</v>
      </c>
      <c r="D1902" s="23"/>
    </row>
    <row r="1903" spans="2:4" x14ac:dyDescent="0.25">
      <c r="B1903" s="35" t="s">
        <v>2385</v>
      </c>
      <c r="C1903" s="23" t="s">
        <v>2386</v>
      </c>
      <c r="D1903" s="23"/>
    </row>
    <row r="1904" spans="2:4" x14ac:dyDescent="0.25">
      <c r="B1904" s="35" t="s">
        <v>2387</v>
      </c>
      <c r="C1904" s="23" t="s">
        <v>2388</v>
      </c>
      <c r="D1904" s="23"/>
    </row>
    <row r="1905" spans="2:4" x14ac:dyDescent="0.25">
      <c r="B1905" s="35" t="s">
        <v>2389</v>
      </c>
      <c r="C1905" s="23" t="s">
        <v>2390</v>
      </c>
      <c r="D1905" s="23"/>
    </row>
    <row r="1906" spans="2:4" x14ac:dyDescent="0.25">
      <c r="B1906" s="35" t="s">
        <v>2391</v>
      </c>
      <c r="C1906" s="23" t="s">
        <v>2392</v>
      </c>
      <c r="D1906" s="23"/>
    </row>
    <row r="1907" spans="2:4" x14ac:dyDescent="0.25">
      <c r="B1907" s="35" t="s">
        <v>2393</v>
      </c>
      <c r="C1907" s="23" t="s">
        <v>2394</v>
      </c>
      <c r="D1907" s="23"/>
    </row>
    <row r="1908" spans="2:4" x14ac:dyDescent="0.25">
      <c r="B1908" s="35" t="s">
        <v>2395</v>
      </c>
      <c r="C1908" s="23" t="s">
        <v>2396</v>
      </c>
      <c r="D1908" s="23"/>
    </row>
    <row r="1909" spans="2:4" x14ac:dyDescent="0.25">
      <c r="B1909" s="35" t="s">
        <v>2397</v>
      </c>
      <c r="C1909" s="23" t="s">
        <v>2398</v>
      </c>
      <c r="D1909" s="23"/>
    </row>
    <row r="1910" spans="2:4" x14ac:dyDescent="0.25">
      <c r="B1910" s="35" t="s">
        <v>2399</v>
      </c>
      <c r="C1910" s="23" t="s">
        <v>2400</v>
      </c>
      <c r="D1910" s="23"/>
    </row>
    <row r="1911" spans="2:4" x14ac:dyDescent="0.25">
      <c r="B1911" s="35" t="s">
        <v>2401</v>
      </c>
      <c r="C1911" s="23" t="s">
        <v>2402</v>
      </c>
      <c r="D1911" s="23"/>
    </row>
    <row r="1912" spans="2:4" x14ac:dyDescent="0.25">
      <c r="B1912" s="35" t="s">
        <v>2403</v>
      </c>
      <c r="C1912" s="23" t="s">
        <v>2404</v>
      </c>
      <c r="D1912" s="23"/>
    </row>
    <row r="1913" spans="2:4" x14ac:dyDescent="0.25">
      <c r="B1913" s="35" t="s">
        <v>2405</v>
      </c>
      <c r="C1913" s="23" t="s">
        <v>2406</v>
      </c>
      <c r="D1913" s="23"/>
    </row>
    <row r="1914" spans="2:4" x14ac:dyDescent="0.25">
      <c r="B1914" s="35" t="s">
        <v>2407</v>
      </c>
      <c r="C1914" s="23" t="s">
        <v>2408</v>
      </c>
      <c r="D1914" s="23"/>
    </row>
    <row r="1915" spans="2:4" x14ac:dyDescent="0.25">
      <c r="B1915" s="35" t="s">
        <v>2409</v>
      </c>
      <c r="C1915" s="23" t="s">
        <v>2410</v>
      </c>
      <c r="D1915" s="23"/>
    </row>
    <row r="1916" spans="2:4" x14ac:dyDescent="0.25">
      <c r="B1916" s="35" t="s">
        <v>2411</v>
      </c>
      <c r="C1916" s="23" t="s">
        <v>2412</v>
      </c>
      <c r="D1916" s="23"/>
    </row>
    <row r="1917" spans="2:4" x14ac:dyDescent="0.25">
      <c r="B1917" s="35" t="s">
        <v>2413</v>
      </c>
      <c r="C1917" s="23" t="s">
        <v>2414</v>
      </c>
      <c r="D1917" s="23"/>
    </row>
    <row r="1918" spans="2:4" x14ac:dyDescent="0.25">
      <c r="B1918" s="35" t="s">
        <v>2415</v>
      </c>
      <c r="C1918" s="23" t="s">
        <v>2416</v>
      </c>
      <c r="D1918" s="23"/>
    </row>
    <row r="1919" spans="2:4" x14ac:dyDescent="0.25">
      <c r="B1919" s="35" t="s">
        <v>2417</v>
      </c>
      <c r="C1919" s="23" t="s">
        <v>2418</v>
      </c>
      <c r="D1919" s="23"/>
    </row>
    <row r="1920" spans="2:4" x14ac:dyDescent="0.25">
      <c r="B1920" s="35" t="s">
        <v>2419</v>
      </c>
      <c r="C1920" s="23" t="s">
        <v>2420</v>
      </c>
      <c r="D1920" s="23"/>
    </row>
    <row r="1921" spans="2:4" x14ac:dyDescent="0.25">
      <c r="B1921" s="35" t="s">
        <v>2421</v>
      </c>
      <c r="C1921" s="23" t="s">
        <v>2422</v>
      </c>
      <c r="D1921" s="23"/>
    </row>
    <row r="1922" spans="2:4" x14ac:dyDescent="0.25">
      <c r="B1922" s="35" t="s">
        <v>2423</v>
      </c>
      <c r="C1922" s="23" t="s">
        <v>2424</v>
      </c>
      <c r="D1922" s="23"/>
    </row>
    <row r="1923" spans="2:4" x14ac:dyDescent="0.25">
      <c r="B1923" s="35" t="s">
        <v>2425</v>
      </c>
      <c r="C1923" s="23" t="s">
        <v>2426</v>
      </c>
      <c r="D1923" s="23"/>
    </row>
    <row r="1924" spans="2:4" x14ac:dyDescent="0.25">
      <c r="B1924" s="35" t="s">
        <v>2427</v>
      </c>
      <c r="C1924" s="23" t="s">
        <v>2428</v>
      </c>
      <c r="D1924" s="23"/>
    </row>
    <row r="1925" spans="2:4" x14ac:dyDescent="0.25">
      <c r="B1925" s="35" t="s">
        <v>2429</v>
      </c>
      <c r="C1925" s="23" t="s">
        <v>2430</v>
      </c>
      <c r="D1925" s="23"/>
    </row>
    <row r="1926" spans="2:4" x14ac:dyDescent="0.25">
      <c r="B1926" s="35" t="s">
        <v>2431</v>
      </c>
      <c r="C1926" s="23" t="s">
        <v>2432</v>
      </c>
      <c r="D1926" s="23"/>
    </row>
    <row r="1927" spans="2:4" x14ac:dyDescent="0.25">
      <c r="B1927" s="35" t="s">
        <v>2433</v>
      </c>
      <c r="C1927" s="23" t="s">
        <v>2434</v>
      </c>
      <c r="D1927" s="23"/>
    </row>
    <row r="1928" spans="2:4" x14ac:dyDescent="0.25">
      <c r="B1928" s="35" t="s">
        <v>2435</v>
      </c>
      <c r="C1928" s="23" t="s">
        <v>2436</v>
      </c>
      <c r="D1928" s="23"/>
    </row>
    <row r="1929" spans="2:4" x14ac:dyDescent="0.25">
      <c r="B1929" s="35" t="s">
        <v>2437</v>
      </c>
      <c r="C1929" s="23" t="s">
        <v>2438</v>
      </c>
      <c r="D1929" s="23"/>
    </row>
    <row r="1930" spans="2:4" x14ac:dyDescent="0.25">
      <c r="B1930" s="35" t="s">
        <v>2439</v>
      </c>
      <c r="C1930" s="23" t="s">
        <v>2440</v>
      </c>
      <c r="D1930" s="23"/>
    </row>
    <row r="1931" spans="2:4" x14ac:dyDescent="0.25">
      <c r="B1931" s="35" t="s">
        <v>2441</v>
      </c>
      <c r="C1931" s="23" t="s">
        <v>2442</v>
      </c>
      <c r="D1931" s="23"/>
    </row>
    <row r="1932" spans="2:4" x14ac:dyDescent="0.25">
      <c r="B1932" s="35" t="s">
        <v>2443</v>
      </c>
      <c r="C1932" s="23" t="s">
        <v>2444</v>
      </c>
      <c r="D1932" s="23"/>
    </row>
    <row r="1933" spans="2:4" x14ac:dyDescent="0.25">
      <c r="B1933" s="35" t="s">
        <v>2445</v>
      </c>
      <c r="C1933" s="23" t="s">
        <v>2446</v>
      </c>
      <c r="D1933" s="23"/>
    </row>
    <row r="1934" spans="2:4" x14ac:dyDescent="0.25">
      <c r="B1934" s="35" t="s">
        <v>2447</v>
      </c>
      <c r="C1934" s="23" t="s">
        <v>2448</v>
      </c>
      <c r="D1934" s="23"/>
    </row>
    <row r="1935" spans="2:4" x14ac:dyDescent="0.25">
      <c r="B1935" s="35" t="s">
        <v>2449</v>
      </c>
      <c r="C1935" s="23" t="s">
        <v>2450</v>
      </c>
      <c r="D1935" s="23"/>
    </row>
    <row r="1936" spans="2:4" x14ac:dyDescent="0.25">
      <c r="B1936" s="35" t="s">
        <v>2451</v>
      </c>
      <c r="C1936" s="23" t="s">
        <v>2452</v>
      </c>
      <c r="D1936" s="23"/>
    </row>
    <row r="1937" spans="2:4" x14ac:dyDescent="0.25">
      <c r="B1937" s="35" t="s">
        <v>2453</v>
      </c>
      <c r="C1937" s="23" t="s">
        <v>2454</v>
      </c>
      <c r="D1937" s="23"/>
    </row>
    <row r="1938" spans="2:4" x14ac:dyDescent="0.25">
      <c r="B1938" s="35" t="s">
        <v>2455</v>
      </c>
      <c r="C1938" s="23" t="s">
        <v>2456</v>
      </c>
      <c r="D1938" s="23"/>
    </row>
    <row r="1939" spans="2:4" x14ac:dyDescent="0.25">
      <c r="B1939" s="35" t="s">
        <v>2457</v>
      </c>
      <c r="C1939" s="23" t="s">
        <v>2458</v>
      </c>
      <c r="D1939" s="23"/>
    </row>
    <row r="1940" spans="2:4" x14ac:dyDescent="0.25">
      <c r="B1940" s="35" t="s">
        <v>2459</v>
      </c>
      <c r="C1940" s="23" t="s">
        <v>2460</v>
      </c>
      <c r="D1940" s="23"/>
    </row>
    <row r="1941" spans="2:4" x14ac:dyDescent="0.25">
      <c r="B1941" s="35" t="s">
        <v>2461</v>
      </c>
      <c r="C1941" s="23" t="s">
        <v>2462</v>
      </c>
      <c r="D1941" s="23"/>
    </row>
    <row r="1942" spans="2:4" x14ac:dyDescent="0.25">
      <c r="B1942" s="35" t="s">
        <v>2463</v>
      </c>
      <c r="C1942" s="23" t="s">
        <v>2464</v>
      </c>
      <c r="D1942" s="23"/>
    </row>
    <row r="1943" spans="2:4" x14ac:dyDescent="0.25">
      <c r="B1943" s="35" t="s">
        <v>2465</v>
      </c>
      <c r="C1943" s="23" t="s">
        <v>2466</v>
      </c>
      <c r="D1943" s="23"/>
    </row>
    <row r="1944" spans="2:4" x14ac:dyDescent="0.25">
      <c r="B1944" s="35" t="s">
        <v>2467</v>
      </c>
      <c r="C1944" s="23" t="s">
        <v>2468</v>
      </c>
      <c r="D1944" s="23"/>
    </row>
    <row r="1945" spans="2:4" x14ac:dyDescent="0.25">
      <c r="B1945" s="35" t="s">
        <v>2469</v>
      </c>
      <c r="C1945" s="23" t="s">
        <v>2470</v>
      </c>
      <c r="D1945" s="23"/>
    </row>
    <row r="1946" spans="2:4" x14ac:dyDescent="0.25">
      <c r="B1946" s="35" t="s">
        <v>2471</v>
      </c>
      <c r="C1946" s="23" t="s">
        <v>2472</v>
      </c>
      <c r="D1946" s="23"/>
    </row>
    <row r="1947" spans="2:4" x14ac:dyDescent="0.25">
      <c r="B1947" s="35" t="s">
        <v>2473</v>
      </c>
      <c r="C1947" s="23" t="s">
        <v>2474</v>
      </c>
      <c r="D1947" s="23"/>
    </row>
    <row r="1948" spans="2:4" x14ac:dyDescent="0.25">
      <c r="B1948" s="35" t="s">
        <v>2475</v>
      </c>
      <c r="C1948" s="23" t="s">
        <v>2476</v>
      </c>
      <c r="D1948" s="23"/>
    </row>
    <row r="1949" spans="2:4" x14ac:dyDescent="0.25">
      <c r="B1949" s="35" t="s">
        <v>2477</v>
      </c>
      <c r="C1949" s="23" t="s">
        <v>2478</v>
      </c>
      <c r="D1949" s="23"/>
    </row>
    <row r="1950" spans="2:4" x14ac:dyDescent="0.25">
      <c r="B1950" s="35" t="s">
        <v>2479</v>
      </c>
      <c r="C1950" s="23" t="s">
        <v>2480</v>
      </c>
      <c r="D1950" s="23"/>
    </row>
    <row r="1951" spans="2:4" x14ac:dyDescent="0.25">
      <c r="B1951" s="35" t="s">
        <v>2481</v>
      </c>
      <c r="C1951" s="23" t="s">
        <v>2482</v>
      </c>
      <c r="D1951" s="23"/>
    </row>
    <row r="1952" spans="2:4" x14ac:dyDescent="0.25">
      <c r="B1952" s="35" t="s">
        <v>2483</v>
      </c>
      <c r="C1952" s="23" t="s">
        <v>2484</v>
      </c>
      <c r="D1952" s="23"/>
    </row>
    <row r="1953" spans="2:4" x14ac:dyDescent="0.25">
      <c r="B1953" s="35" t="s">
        <v>2485</v>
      </c>
      <c r="C1953" s="23" t="s">
        <v>2486</v>
      </c>
      <c r="D1953" s="23"/>
    </row>
    <row r="1954" spans="2:4" x14ac:dyDescent="0.25">
      <c r="B1954" s="35" t="s">
        <v>2487</v>
      </c>
      <c r="C1954" s="23" t="s">
        <v>2488</v>
      </c>
      <c r="D1954" s="23"/>
    </row>
    <row r="1955" spans="2:4" x14ac:dyDescent="0.25">
      <c r="B1955" s="35" t="s">
        <v>2489</v>
      </c>
      <c r="C1955" s="23" t="s">
        <v>2490</v>
      </c>
      <c r="D1955" s="23"/>
    </row>
    <row r="1956" spans="2:4" x14ac:dyDescent="0.25">
      <c r="B1956" s="35" t="s">
        <v>2491</v>
      </c>
      <c r="C1956" s="23" t="s">
        <v>2492</v>
      </c>
      <c r="D1956" s="23"/>
    </row>
    <row r="1957" spans="2:4" x14ac:dyDescent="0.25">
      <c r="B1957" s="35" t="s">
        <v>2493</v>
      </c>
      <c r="C1957" s="23" t="s">
        <v>2494</v>
      </c>
      <c r="D1957" s="23"/>
    </row>
    <row r="1958" spans="2:4" x14ac:dyDescent="0.25">
      <c r="B1958" s="35" t="s">
        <v>2495</v>
      </c>
      <c r="C1958" s="23" t="s">
        <v>2496</v>
      </c>
      <c r="D1958" s="23"/>
    </row>
    <row r="1959" spans="2:4" x14ac:dyDescent="0.25">
      <c r="B1959" s="35" t="s">
        <v>2497</v>
      </c>
      <c r="C1959" s="23" t="s">
        <v>2498</v>
      </c>
      <c r="D1959" s="23"/>
    </row>
    <row r="1960" spans="2:4" x14ac:dyDescent="0.25">
      <c r="B1960" s="35" t="s">
        <v>2499</v>
      </c>
      <c r="C1960" s="23" t="s">
        <v>2500</v>
      </c>
      <c r="D1960" s="23"/>
    </row>
    <row r="1961" spans="2:4" x14ac:dyDescent="0.25">
      <c r="B1961" s="35" t="s">
        <v>2501</v>
      </c>
      <c r="C1961" s="23" t="s">
        <v>2502</v>
      </c>
      <c r="D1961" s="23"/>
    </row>
    <row r="1962" spans="2:4" x14ac:dyDescent="0.25">
      <c r="B1962" s="35" t="s">
        <v>2503</v>
      </c>
      <c r="C1962" s="23" t="s">
        <v>2504</v>
      </c>
      <c r="D1962" s="23"/>
    </row>
    <row r="1963" spans="2:4" x14ac:dyDescent="0.25">
      <c r="B1963" s="35" t="s">
        <v>2505</v>
      </c>
      <c r="C1963" s="23" t="s">
        <v>2506</v>
      </c>
      <c r="D1963" s="23"/>
    </row>
    <row r="1964" spans="2:4" x14ac:dyDescent="0.25">
      <c r="B1964" s="35" t="s">
        <v>2507</v>
      </c>
      <c r="C1964" s="23" t="s">
        <v>2508</v>
      </c>
      <c r="D1964" s="23"/>
    </row>
    <row r="1965" spans="2:4" x14ac:dyDescent="0.25">
      <c r="B1965" s="35" t="s">
        <v>2509</v>
      </c>
      <c r="C1965" s="23" t="s">
        <v>2510</v>
      </c>
      <c r="D1965" s="23"/>
    </row>
    <row r="1966" spans="2:4" x14ac:dyDescent="0.25">
      <c r="B1966" s="35" t="s">
        <v>2511</v>
      </c>
      <c r="C1966" s="23" t="s">
        <v>2512</v>
      </c>
      <c r="D1966" s="23"/>
    </row>
    <row r="1967" spans="2:4" x14ac:dyDescent="0.25">
      <c r="B1967" s="35" t="s">
        <v>2513</v>
      </c>
      <c r="C1967" s="23" t="s">
        <v>2514</v>
      </c>
      <c r="D1967" s="23"/>
    </row>
    <row r="1968" spans="2:4" x14ac:dyDescent="0.25">
      <c r="B1968" s="35" t="s">
        <v>2515</v>
      </c>
      <c r="C1968" s="23" t="s">
        <v>2516</v>
      </c>
      <c r="D1968" s="23"/>
    </row>
    <row r="1969" spans="2:4" x14ac:dyDescent="0.25">
      <c r="B1969" s="35" t="s">
        <v>2517</v>
      </c>
      <c r="C1969" s="23" t="s">
        <v>2518</v>
      </c>
      <c r="D1969" s="23"/>
    </row>
    <row r="1970" spans="2:4" x14ac:dyDescent="0.25">
      <c r="B1970" s="35" t="s">
        <v>2519</v>
      </c>
      <c r="C1970" s="23" t="s">
        <v>2520</v>
      </c>
      <c r="D1970" s="23"/>
    </row>
    <row r="1971" spans="2:4" x14ac:dyDescent="0.25">
      <c r="B1971" s="35" t="s">
        <v>2521</v>
      </c>
      <c r="C1971" s="23" t="s">
        <v>2522</v>
      </c>
      <c r="D1971" s="23"/>
    </row>
    <row r="1972" spans="2:4" x14ac:dyDescent="0.25">
      <c r="B1972" s="35" t="s">
        <v>2523</v>
      </c>
      <c r="C1972" s="23" t="s">
        <v>2524</v>
      </c>
      <c r="D1972" s="23"/>
    </row>
    <row r="1973" spans="2:4" x14ac:dyDescent="0.25">
      <c r="B1973" s="35" t="s">
        <v>2525</v>
      </c>
      <c r="C1973" s="23" t="s">
        <v>2526</v>
      </c>
      <c r="D1973" s="23"/>
    </row>
    <row r="1974" spans="2:4" x14ac:dyDescent="0.25">
      <c r="B1974" s="35" t="s">
        <v>2527</v>
      </c>
      <c r="C1974" s="23" t="s">
        <v>2528</v>
      </c>
      <c r="D1974" s="23"/>
    </row>
    <row r="1975" spans="2:4" x14ac:dyDescent="0.25">
      <c r="B1975" s="35" t="s">
        <v>2529</v>
      </c>
      <c r="C1975" s="23" t="s">
        <v>2530</v>
      </c>
      <c r="D1975" s="23"/>
    </row>
    <row r="1976" spans="2:4" x14ac:dyDescent="0.25">
      <c r="B1976" s="35" t="s">
        <v>2531</v>
      </c>
      <c r="C1976" s="23" t="s">
        <v>2532</v>
      </c>
      <c r="D1976" s="23"/>
    </row>
    <row r="1977" spans="2:4" x14ac:dyDescent="0.25">
      <c r="B1977" s="35" t="s">
        <v>2533</v>
      </c>
      <c r="C1977" s="23" t="s">
        <v>2534</v>
      </c>
      <c r="D1977" s="23"/>
    </row>
    <row r="1978" spans="2:4" x14ac:dyDescent="0.25">
      <c r="B1978" s="35" t="s">
        <v>2535</v>
      </c>
      <c r="C1978" s="23" t="s">
        <v>2536</v>
      </c>
      <c r="D1978" s="23"/>
    </row>
    <row r="1979" spans="2:4" x14ac:dyDescent="0.25">
      <c r="B1979" s="35" t="s">
        <v>2537</v>
      </c>
      <c r="C1979" s="23" t="s">
        <v>2538</v>
      </c>
      <c r="D1979" s="23"/>
    </row>
    <row r="1980" spans="2:4" x14ac:dyDescent="0.25">
      <c r="B1980" s="35" t="s">
        <v>2539</v>
      </c>
      <c r="C1980" s="23" t="s">
        <v>2540</v>
      </c>
      <c r="D1980" s="23"/>
    </row>
    <row r="1981" spans="2:4" x14ac:dyDescent="0.25">
      <c r="B1981" s="35" t="s">
        <v>2541</v>
      </c>
      <c r="C1981" s="23" t="s">
        <v>2542</v>
      </c>
      <c r="D1981" s="23"/>
    </row>
    <row r="1982" spans="2:4" x14ac:dyDescent="0.25">
      <c r="B1982" s="35" t="s">
        <v>2543</v>
      </c>
      <c r="C1982" s="23" t="s">
        <v>2544</v>
      </c>
      <c r="D1982" s="23"/>
    </row>
    <row r="1983" spans="2:4" x14ac:dyDescent="0.25">
      <c r="B1983" s="35" t="s">
        <v>2545</v>
      </c>
      <c r="C1983" s="23" t="s">
        <v>2546</v>
      </c>
      <c r="D1983" s="23"/>
    </row>
    <row r="1984" spans="2:4" x14ac:dyDescent="0.25">
      <c r="B1984" s="35" t="s">
        <v>2547</v>
      </c>
      <c r="C1984" s="23" t="s">
        <v>2548</v>
      </c>
      <c r="D1984" s="23"/>
    </row>
    <row r="1985" spans="2:4" x14ac:dyDescent="0.25">
      <c r="B1985" s="35" t="s">
        <v>2549</v>
      </c>
      <c r="C1985" s="23" t="s">
        <v>2550</v>
      </c>
      <c r="D1985" s="23"/>
    </row>
    <row r="1986" spans="2:4" x14ac:dyDescent="0.25">
      <c r="B1986" s="35" t="s">
        <v>2551</v>
      </c>
      <c r="C1986" s="23" t="s">
        <v>2552</v>
      </c>
      <c r="D1986" s="23"/>
    </row>
    <row r="1987" spans="2:4" x14ac:dyDescent="0.25">
      <c r="B1987" s="35" t="s">
        <v>2553</v>
      </c>
      <c r="C1987" s="23" t="s">
        <v>2554</v>
      </c>
      <c r="D1987" s="23"/>
    </row>
    <row r="1988" spans="2:4" x14ac:dyDescent="0.25">
      <c r="B1988" s="35" t="s">
        <v>2555</v>
      </c>
      <c r="C1988" s="23" t="s">
        <v>2556</v>
      </c>
      <c r="D1988" s="23"/>
    </row>
    <row r="1989" spans="2:4" x14ac:dyDescent="0.25">
      <c r="B1989" s="35" t="s">
        <v>2557</v>
      </c>
      <c r="C1989" s="23" t="s">
        <v>2558</v>
      </c>
      <c r="D1989" s="23"/>
    </row>
    <row r="1990" spans="2:4" x14ac:dyDescent="0.25">
      <c r="B1990" s="35" t="s">
        <v>2559</v>
      </c>
      <c r="C1990" s="23" t="s">
        <v>2560</v>
      </c>
      <c r="D1990" s="23"/>
    </row>
    <row r="1991" spans="2:4" x14ac:dyDescent="0.25">
      <c r="B1991" s="35" t="s">
        <v>2561</v>
      </c>
      <c r="C1991" s="23" t="s">
        <v>2562</v>
      </c>
      <c r="D1991" s="23"/>
    </row>
    <row r="1992" spans="2:4" x14ac:dyDescent="0.25">
      <c r="B1992" s="35" t="s">
        <v>2563</v>
      </c>
      <c r="C1992" s="23" t="s">
        <v>2564</v>
      </c>
      <c r="D1992" s="23"/>
    </row>
    <row r="1993" spans="2:4" x14ac:dyDescent="0.25">
      <c r="B1993" s="35" t="s">
        <v>2565</v>
      </c>
      <c r="C1993" s="23" t="s">
        <v>2566</v>
      </c>
      <c r="D1993" s="23"/>
    </row>
    <row r="1994" spans="2:4" x14ac:dyDescent="0.25">
      <c r="B1994" s="35" t="s">
        <v>2567</v>
      </c>
      <c r="C1994" s="23" t="s">
        <v>2568</v>
      </c>
      <c r="D1994" s="23"/>
    </row>
    <row r="1995" spans="2:4" x14ac:dyDescent="0.25">
      <c r="B1995" s="35" t="s">
        <v>2569</v>
      </c>
      <c r="C1995" s="23" t="s">
        <v>2570</v>
      </c>
      <c r="D1995" s="23"/>
    </row>
    <row r="1996" spans="2:4" x14ac:dyDescent="0.25">
      <c r="B1996" s="35" t="s">
        <v>2571</v>
      </c>
      <c r="C1996" s="23" t="s">
        <v>2572</v>
      </c>
      <c r="D1996" s="23"/>
    </row>
    <row r="1997" spans="2:4" x14ac:dyDescent="0.25">
      <c r="B1997" s="35" t="s">
        <v>2573</v>
      </c>
      <c r="C1997" s="23" t="s">
        <v>2574</v>
      </c>
      <c r="D1997" s="23"/>
    </row>
    <row r="1998" spans="2:4" x14ac:dyDescent="0.25">
      <c r="B1998" s="35" t="s">
        <v>2575</v>
      </c>
      <c r="C1998" s="23" t="s">
        <v>2576</v>
      </c>
      <c r="D1998" s="23"/>
    </row>
    <row r="1999" spans="2:4" x14ac:dyDescent="0.25">
      <c r="B1999" s="35" t="s">
        <v>2577</v>
      </c>
      <c r="C1999" s="23" t="s">
        <v>2578</v>
      </c>
      <c r="D1999" s="23"/>
    </row>
    <row r="2000" spans="2:4" x14ac:dyDescent="0.25">
      <c r="B2000" s="35" t="s">
        <v>2579</v>
      </c>
      <c r="C2000" s="23" t="s">
        <v>2580</v>
      </c>
      <c r="D2000" s="23"/>
    </row>
    <row r="2001" spans="2:4" x14ac:dyDescent="0.25">
      <c r="B2001" s="35" t="s">
        <v>2581</v>
      </c>
      <c r="C2001" s="23" t="s">
        <v>2582</v>
      </c>
      <c r="D2001" s="23"/>
    </row>
    <row r="2002" spans="2:4" x14ac:dyDescent="0.25">
      <c r="B2002" s="35" t="s">
        <v>2583</v>
      </c>
      <c r="C2002" s="23" t="s">
        <v>2584</v>
      </c>
      <c r="D2002" s="23"/>
    </row>
    <row r="2003" spans="2:4" x14ac:dyDescent="0.25">
      <c r="B2003" s="35" t="s">
        <v>2585</v>
      </c>
      <c r="C2003" s="23" t="s">
        <v>2586</v>
      </c>
      <c r="D2003" s="23"/>
    </row>
    <row r="2004" spans="2:4" x14ac:dyDescent="0.25">
      <c r="B2004" s="35" t="s">
        <v>2587</v>
      </c>
      <c r="C2004" s="23" t="s">
        <v>2588</v>
      </c>
      <c r="D2004" s="23"/>
    </row>
    <row r="2005" spans="2:4" x14ac:dyDescent="0.25">
      <c r="B2005" s="35" t="s">
        <v>2589</v>
      </c>
      <c r="C2005" s="23" t="s">
        <v>2590</v>
      </c>
      <c r="D2005" s="23"/>
    </row>
    <row r="2006" spans="2:4" x14ac:dyDescent="0.25">
      <c r="B2006" s="35" t="s">
        <v>2591</v>
      </c>
      <c r="C2006" s="23" t="s">
        <v>2592</v>
      </c>
      <c r="D2006" s="23"/>
    </row>
    <row r="2007" spans="2:4" x14ac:dyDescent="0.25">
      <c r="B2007" s="35" t="s">
        <v>2593</v>
      </c>
      <c r="C2007" s="23" t="s">
        <v>2594</v>
      </c>
      <c r="D2007" s="23"/>
    </row>
    <row r="2008" spans="2:4" x14ac:dyDescent="0.25">
      <c r="B2008" s="35" t="s">
        <v>2595</v>
      </c>
      <c r="C2008" s="23" t="s">
        <v>2596</v>
      </c>
      <c r="D2008" s="23"/>
    </row>
    <row r="2009" spans="2:4" x14ac:dyDescent="0.25">
      <c r="B2009" s="35" t="s">
        <v>2597</v>
      </c>
      <c r="C2009" s="23" t="s">
        <v>2598</v>
      </c>
      <c r="D2009" s="23"/>
    </row>
    <row r="2010" spans="2:4" x14ac:dyDescent="0.25">
      <c r="B2010" s="35" t="s">
        <v>2599</v>
      </c>
      <c r="C2010" s="23" t="s">
        <v>2600</v>
      </c>
      <c r="D2010" s="23"/>
    </row>
    <row r="2011" spans="2:4" x14ac:dyDescent="0.25">
      <c r="B2011" s="35" t="s">
        <v>2601</v>
      </c>
      <c r="C2011" s="23" t="s">
        <v>2602</v>
      </c>
      <c r="D2011" s="23"/>
    </row>
    <row r="2012" spans="2:4" x14ac:dyDescent="0.25">
      <c r="B2012" s="35" t="s">
        <v>2603</v>
      </c>
      <c r="C2012" s="23" t="s">
        <v>2604</v>
      </c>
      <c r="D2012" s="23"/>
    </row>
    <row r="2013" spans="2:4" x14ac:dyDescent="0.25">
      <c r="B2013" s="35" t="s">
        <v>2605</v>
      </c>
      <c r="C2013" s="23" t="s">
        <v>2606</v>
      </c>
      <c r="D2013" s="23"/>
    </row>
    <row r="2014" spans="2:4" x14ac:dyDescent="0.25">
      <c r="B2014" s="35" t="s">
        <v>2607</v>
      </c>
      <c r="C2014" s="23" t="s">
        <v>2608</v>
      </c>
      <c r="D2014" s="23"/>
    </row>
    <row r="2015" spans="2:4" x14ac:dyDescent="0.25">
      <c r="B2015" s="35" t="s">
        <v>2609</v>
      </c>
      <c r="C2015" s="23" t="s">
        <v>2610</v>
      </c>
      <c r="D2015" s="23"/>
    </row>
    <row r="2016" spans="2:4" x14ac:dyDescent="0.25">
      <c r="B2016" s="35" t="s">
        <v>2611</v>
      </c>
      <c r="C2016" s="23" t="s">
        <v>2612</v>
      </c>
      <c r="D2016" s="23"/>
    </row>
    <row r="2017" spans="2:4" x14ac:dyDescent="0.25">
      <c r="B2017" s="35" t="s">
        <v>2613</v>
      </c>
      <c r="C2017" s="23" t="s">
        <v>2614</v>
      </c>
      <c r="D2017" s="23"/>
    </row>
    <row r="2018" spans="2:4" x14ac:dyDescent="0.25">
      <c r="B2018" s="35" t="s">
        <v>2615</v>
      </c>
      <c r="C2018" s="23" t="s">
        <v>2616</v>
      </c>
      <c r="D2018" s="23"/>
    </row>
  </sheetData>
  <autoFilter ref="B5:C847" xr:uid="{FB1D5E75-0F50-4057-A5E1-55C15CAD9B87}"/>
  <pageMargins left="0.7" right="0.7" top="0.7" bottom="0.7" header="0.5" footer="0.5"/>
  <pageSetup scale="32" fitToHeight="990" orientation="portrait" useFirstPageNumber="1" r:id="rId1"/>
  <headerFooter alignWithMargins="0">
    <oddHeader>&amp;R&amp;B&amp;D &amp;T</oddHeader>
    <oddFooter>&amp;C&amp;B Page &amp;P of &amp;N</oddFooter>
  </headerFooter>
  <rowBreaks count="1" manualBreakCount="1">
    <brk id="36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24986-B9C1-4096-AEC0-2C751BC1881E}">
  <sheetPr codeName="Sheet10"/>
  <dimension ref="A1:J908"/>
  <sheetViews>
    <sheetView workbookViewId="0">
      <pane ySplit="4" topLeftCell="A149" activePane="bottomLeft" state="frozen"/>
      <selection pane="bottomLeft"/>
    </sheetView>
  </sheetViews>
  <sheetFormatPr defaultColWidth="9.109375" defaultRowHeight="13.2" x14ac:dyDescent="0.25"/>
  <cols>
    <col min="1" max="2" width="5.44140625" style="65" customWidth="1"/>
    <col min="3" max="3" width="10.6640625" style="68" bestFit="1" customWidth="1"/>
    <col min="4" max="4" width="11.88671875" style="68" customWidth="1"/>
    <col min="5" max="5" width="50.88671875" style="65" bestFit="1" customWidth="1"/>
    <col min="6" max="6" width="11.33203125" style="65" bestFit="1" customWidth="1"/>
    <col min="7" max="7" width="4.44140625" style="56" customWidth="1"/>
    <col min="8" max="8" width="13.5546875" style="65" customWidth="1"/>
    <col min="9" max="9" width="47.88671875" style="65" bestFit="1" customWidth="1"/>
    <col min="10" max="10" width="10.44140625" style="65" bestFit="1" customWidth="1"/>
    <col min="11" max="16384" width="9.109375" style="65"/>
  </cols>
  <sheetData>
    <row r="1" spans="2:10" s="112" customFormat="1" x14ac:dyDescent="0.25">
      <c r="B1" s="109"/>
      <c r="C1" s="110"/>
      <c r="D1" s="111"/>
      <c r="G1" s="113"/>
    </row>
    <row r="3" spans="2:10" ht="17.399999999999999" customHeight="1" x14ac:dyDescent="0.25">
      <c r="C3" s="66" t="s">
        <v>2617</v>
      </c>
      <c r="D3" s="62"/>
      <c r="E3" s="62"/>
      <c r="F3" s="62"/>
      <c r="G3" s="89"/>
      <c r="H3" s="100" t="s">
        <v>2618</v>
      </c>
      <c r="I3" s="89"/>
      <c r="J3" s="89"/>
    </row>
    <row r="4" spans="2:10" ht="18.600000000000001" customHeight="1" x14ac:dyDescent="0.25">
      <c r="C4" s="101" t="s">
        <v>2619</v>
      </c>
      <c r="D4" s="101" t="s">
        <v>360</v>
      </c>
      <c r="E4" s="102" t="s">
        <v>378</v>
      </c>
      <c r="F4" s="103"/>
      <c r="G4" s="104"/>
      <c r="H4" s="105" t="s">
        <v>2620</v>
      </c>
      <c r="I4" s="105" t="s">
        <v>2621</v>
      </c>
      <c r="J4" s="106"/>
    </row>
    <row r="5" spans="2:10" x14ac:dyDescent="0.25">
      <c r="C5" s="107">
        <v>10516011</v>
      </c>
      <c r="D5" s="88" t="s">
        <v>2622</v>
      </c>
      <c r="E5" s="89" t="s">
        <v>2623</v>
      </c>
      <c r="F5" s="90" t="s">
        <v>2624</v>
      </c>
      <c r="G5" s="89"/>
      <c r="H5" s="89"/>
      <c r="I5" s="89"/>
      <c r="J5" s="89" t="s">
        <v>2624</v>
      </c>
    </row>
    <row r="6" spans="2:10" x14ac:dyDescent="0.25">
      <c r="C6" s="107">
        <v>10516019</v>
      </c>
      <c r="D6" s="88" t="s">
        <v>2625</v>
      </c>
      <c r="E6" s="89" t="s">
        <v>2626</v>
      </c>
      <c r="F6" s="90" t="s">
        <v>2624</v>
      </c>
      <c r="G6" s="89"/>
      <c r="H6" s="89"/>
      <c r="I6" s="89"/>
      <c r="J6" s="89" t="s">
        <v>2624</v>
      </c>
    </row>
    <row r="7" spans="2:10" x14ac:dyDescent="0.25">
      <c r="C7" s="107">
        <v>10516021</v>
      </c>
      <c r="D7" s="88" t="s">
        <v>2627</v>
      </c>
      <c r="E7" s="89" t="s">
        <v>2628</v>
      </c>
      <c r="F7" s="90" t="s">
        <v>2624</v>
      </c>
      <c r="G7" s="89"/>
      <c r="H7" s="89"/>
      <c r="I7" s="89"/>
      <c r="J7" s="89" t="s">
        <v>2624</v>
      </c>
    </row>
    <row r="8" spans="2:10" x14ac:dyDescent="0.25">
      <c r="C8" s="107">
        <v>10516031</v>
      </c>
      <c r="D8" s="88" t="s">
        <v>2629</v>
      </c>
      <c r="E8" s="89" t="s">
        <v>2630</v>
      </c>
      <c r="F8" s="90" t="s">
        <v>2624</v>
      </c>
      <c r="G8" s="89"/>
      <c r="H8" s="89"/>
      <c r="I8" s="89"/>
      <c r="J8" s="89" t="s">
        <v>2624</v>
      </c>
    </row>
    <row r="9" spans="2:10" x14ac:dyDescent="0.25">
      <c r="C9" s="107">
        <v>10516041</v>
      </c>
      <c r="D9" s="88" t="s">
        <v>2631</v>
      </c>
      <c r="E9" s="89" t="s">
        <v>2632</v>
      </c>
      <c r="F9" s="90" t="s">
        <v>2624</v>
      </c>
      <c r="G9" s="89"/>
      <c r="H9" s="89"/>
      <c r="I9" s="89"/>
      <c r="J9" s="89" t="s">
        <v>2624</v>
      </c>
    </row>
    <row r="10" spans="2:10" x14ac:dyDescent="0.25">
      <c r="C10" s="107">
        <v>11080113</v>
      </c>
      <c r="D10" s="88" t="s">
        <v>2633</v>
      </c>
      <c r="E10" s="89" t="s">
        <v>2634</v>
      </c>
      <c r="F10" s="90" t="s">
        <v>2624</v>
      </c>
      <c r="G10" s="89"/>
      <c r="H10" s="89"/>
      <c r="I10" s="89"/>
      <c r="J10" s="89" t="s">
        <v>2624</v>
      </c>
    </row>
    <row r="11" spans="2:10" x14ac:dyDescent="0.25">
      <c r="C11" s="107">
        <v>11080114</v>
      </c>
      <c r="D11" s="88" t="s">
        <v>2635</v>
      </c>
      <c r="E11" s="89" t="s">
        <v>2636</v>
      </c>
      <c r="F11" s="90" t="s">
        <v>2624</v>
      </c>
      <c r="G11" s="89"/>
      <c r="H11" s="89"/>
      <c r="I11" s="89"/>
      <c r="J11" s="89" t="s">
        <v>2624</v>
      </c>
    </row>
    <row r="12" spans="2:10" x14ac:dyDescent="0.25">
      <c r="C12" s="107">
        <v>11800033</v>
      </c>
      <c r="D12" s="88" t="s">
        <v>2637</v>
      </c>
      <c r="E12" s="89" t="s">
        <v>2638</v>
      </c>
      <c r="F12" s="90" t="s">
        <v>2624</v>
      </c>
      <c r="G12" s="89"/>
      <c r="H12" s="89" t="s">
        <v>2639</v>
      </c>
      <c r="I12" s="89" t="s">
        <v>2640</v>
      </c>
      <c r="J12" s="89" t="s">
        <v>2624</v>
      </c>
    </row>
    <row r="13" spans="2:10" x14ac:dyDescent="0.25">
      <c r="C13" s="107">
        <v>11800034</v>
      </c>
      <c r="D13" s="88" t="s">
        <v>2639</v>
      </c>
      <c r="E13" s="89" t="s">
        <v>2640</v>
      </c>
      <c r="F13" s="90" t="s">
        <v>2624</v>
      </c>
      <c r="G13" s="89"/>
      <c r="H13" s="89" t="s">
        <v>2637</v>
      </c>
      <c r="I13" s="89" t="s">
        <v>2638</v>
      </c>
      <c r="J13" s="89" t="s">
        <v>2624</v>
      </c>
    </row>
    <row r="14" spans="2:10" x14ac:dyDescent="0.25">
      <c r="C14" s="107">
        <v>11800040</v>
      </c>
      <c r="D14" s="88" t="s">
        <v>2641</v>
      </c>
      <c r="E14" s="89" t="s">
        <v>2642</v>
      </c>
      <c r="F14" s="90" t="s">
        <v>2624</v>
      </c>
      <c r="G14" s="89"/>
      <c r="H14" s="89" t="s">
        <v>2643</v>
      </c>
      <c r="I14" s="89" t="s">
        <v>2644</v>
      </c>
      <c r="J14" s="89" t="s">
        <v>2624</v>
      </c>
    </row>
    <row r="15" spans="2:10" x14ac:dyDescent="0.25">
      <c r="C15" s="107">
        <v>11800041</v>
      </c>
      <c r="D15" s="88" t="s">
        <v>2643</v>
      </c>
      <c r="E15" s="89" t="s">
        <v>2644</v>
      </c>
      <c r="F15" s="90" t="s">
        <v>2624</v>
      </c>
      <c r="G15" s="89"/>
      <c r="H15" s="89" t="s">
        <v>2641</v>
      </c>
      <c r="I15" s="89" t="s">
        <v>2642</v>
      </c>
      <c r="J15" s="89" t="s">
        <v>2624</v>
      </c>
    </row>
    <row r="16" spans="2:10" x14ac:dyDescent="0.25">
      <c r="C16" s="107">
        <v>11800042</v>
      </c>
      <c r="D16" s="88" t="s">
        <v>2645</v>
      </c>
      <c r="E16" s="89" t="s">
        <v>2646</v>
      </c>
      <c r="F16" s="90" t="s">
        <v>2624</v>
      </c>
      <c r="G16" s="89"/>
      <c r="H16" s="89"/>
      <c r="I16" s="89"/>
      <c r="J16" s="89" t="s">
        <v>2624</v>
      </c>
    </row>
    <row r="17" spans="3:10" x14ac:dyDescent="0.25">
      <c r="C17" s="107">
        <v>11800043</v>
      </c>
      <c r="D17" s="88" t="s">
        <v>2647</v>
      </c>
      <c r="E17" s="89" t="s">
        <v>2648</v>
      </c>
      <c r="F17" s="90" t="s">
        <v>2624</v>
      </c>
      <c r="G17" s="89"/>
      <c r="H17" s="89" t="s">
        <v>2649</v>
      </c>
      <c r="I17" s="89" t="s">
        <v>2650</v>
      </c>
      <c r="J17" s="89" t="s">
        <v>2624</v>
      </c>
    </row>
    <row r="18" spans="3:10" x14ac:dyDescent="0.25">
      <c r="C18" s="107">
        <v>11800044</v>
      </c>
      <c r="D18" s="88" t="s">
        <v>2649</v>
      </c>
      <c r="E18" s="89" t="s">
        <v>2650</v>
      </c>
      <c r="F18" s="90" t="s">
        <v>2624</v>
      </c>
      <c r="G18" s="89"/>
      <c r="H18" s="89" t="s">
        <v>2647</v>
      </c>
      <c r="I18" s="89" t="s">
        <v>2648</v>
      </c>
      <c r="J18" s="89" t="s">
        <v>2624</v>
      </c>
    </row>
    <row r="19" spans="3:10" x14ac:dyDescent="0.25">
      <c r="C19" s="107">
        <v>13151000</v>
      </c>
      <c r="D19" s="88" t="s">
        <v>2651</v>
      </c>
      <c r="E19" s="89" t="s">
        <v>2652</v>
      </c>
      <c r="F19" s="90" t="s">
        <v>2624</v>
      </c>
      <c r="G19" s="89"/>
      <c r="H19" s="89"/>
      <c r="I19" s="89"/>
      <c r="J19" s="89" t="s">
        <v>2624</v>
      </c>
    </row>
    <row r="20" spans="3:10" x14ac:dyDescent="0.25">
      <c r="C20" s="107">
        <v>13151001</v>
      </c>
      <c r="D20" s="88" t="s">
        <v>2653</v>
      </c>
      <c r="E20" s="89" t="s">
        <v>2654</v>
      </c>
      <c r="F20" s="90" t="s">
        <v>2624</v>
      </c>
      <c r="G20" s="89"/>
      <c r="H20" s="108" t="s">
        <v>2653</v>
      </c>
      <c r="I20" s="108" t="s">
        <v>2654</v>
      </c>
      <c r="J20" s="89" t="s">
        <v>2624</v>
      </c>
    </row>
    <row r="21" spans="3:10" x14ac:dyDescent="0.25">
      <c r="C21" s="107">
        <v>13151002</v>
      </c>
      <c r="D21" s="88" t="s">
        <v>2655</v>
      </c>
      <c r="E21" s="89" t="s">
        <v>2656</v>
      </c>
      <c r="F21" s="90" t="s">
        <v>2624</v>
      </c>
      <c r="G21" s="89"/>
      <c r="H21" s="89" t="s">
        <v>2657</v>
      </c>
      <c r="I21" s="89" t="s">
        <v>2658</v>
      </c>
      <c r="J21" s="89" t="s">
        <v>2624</v>
      </c>
    </row>
    <row r="22" spans="3:10" x14ac:dyDescent="0.25">
      <c r="C22" s="107">
        <v>13151003</v>
      </c>
      <c r="D22" s="88" t="s">
        <v>2659</v>
      </c>
      <c r="E22" s="89" t="s">
        <v>2660</v>
      </c>
      <c r="F22" s="90" t="s">
        <v>2624</v>
      </c>
      <c r="G22" s="89"/>
      <c r="H22" s="89" t="s">
        <v>2661</v>
      </c>
      <c r="I22" s="89" t="s">
        <v>2662</v>
      </c>
      <c r="J22" s="89" t="s">
        <v>2624</v>
      </c>
    </row>
    <row r="23" spans="3:10" x14ac:dyDescent="0.25">
      <c r="C23" s="107">
        <v>13151006</v>
      </c>
      <c r="D23" s="88" t="s">
        <v>2663</v>
      </c>
      <c r="E23" s="89" t="s">
        <v>2664</v>
      </c>
      <c r="F23" s="90" t="s">
        <v>2624</v>
      </c>
      <c r="G23" s="89"/>
      <c r="H23" s="89" t="s">
        <v>2665</v>
      </c>
      <c r="I23" s="89" t="s">
        <v>2666</v>
      </c>
      <c r="J23" s="89" t="s">
        <v>2624</v>
      </c>
    </row>
    <row r="24" spans="3:10" x14ac:dyDescent="0.25">
      <c r="C24" s="107">
        <v>13151007</v>
      </c>
      <c r="D24" s="88" t="s">
        <v>2667</v>
      </c>
      <c r="E24" s="89" t="s">
        <v>2668</v>
      </c>
      <c r="F24" s="90" t="s">
        <v>2624</v>
      </c>
      <c r="G24" s="89"/>
      <c r="H24" s="89" t="s">
        <v>2669</v>
      </c>
      <c r="I24" s="89" t="s">
        <v>2670</v>
      </c>
      <c r="J24" s="89" t="s">
        <v>2624</v>
      </c>
    </row>
    <row r="25" spans="3:10" x14ac:dyDescent="0.25">
      <c r="C25" s="107">
        <v>13151009</v>
      </c>
      <c r="D25" s="88" t="s">
        <v>2671</v>
      </c>
      <c r="E25" s="89" t="s">
        <v>2672</v>
      </c>
      <c r="F25" s="90" t="s">
        <v>2624</v>
      </c>
      <c r="G25" s="89"/>
      <c r="H25" s="89"/>
      <c r="I25" s="89"/>
      <c r="J25" s="89" t="s">
        <v>2624</v>
      </c>
    </row>
    <row r="26" spans="3:10" x14ac:dyDescent="0.25">
      <c r="C26" s="107">
        <v>13151011</v>
      </c>
      <c r="D26" s="88" t="s">
        <v>2673</v>
      </c>
      <c r="E26" s="89" t="s">
        <v>2674</v>
      </c>
      <c r="F26" s="90" t="s">
        <v>2624</v>
      </c>
      <c r="G26" s="89"/>
      <c r="H26" s="89" t="s">
        <v>2675</v>
      </c>
      <c r="I26" s="89" t="s">
        <v>2676</v>
      </c>
      <c r="J26" s="89" t="s">
        <v>2624</v>
      </c>
    </row>
    <row r="27" spans="3:10" x14ac:dyDescent="0.25">
      <c r="C27" s="107">
        <v>13151021</v>
      </c>
      <c r="D27" s="88" t="s">
        <v>2677</v>
      </c>
      <c r="E27" s="89" t="s">
        <v>2678</v>
      </c>
      <c r="F27" s="90" t="s">
        <v>2624</v>
      </c>
      <c r="G27" s="89"/>
      <c r="H27" s="89" t="s">
        <v>2679</v>
      </c>
      <c r="I27" s="89" t="s">
        <v>2680</v>
      </c>
      <c r="J27" s="89" t="s">
        <v>2624</v>
      </c>
    </row>
    <row r="28" spans="3:10" x14ac:dyDescent="0.25">
      <c r="C28" s="107">
        <v>13151031</v>
      </c>
      <c r="D28" s="88" t="s">
        <v>2681</v>
      </c>
      <c r="E28" s="89" t="s">
        <v>2682</v>
      </c>
      <c r="F28" s="90" t="s">
        <v>2624</v>
      </c>
      <c r="G28" s="89"/>
      <c r="H28" s="89" t="s">
        <v>2683</v>
      </c>
      <c r="I28" s="89" t="s">
        <v>2684</v>
      </c>
      <c r="J28" s="89" t="s">
        <v>2624</v>
      </c>
    </row>
    <row r="29" spans="3:10" x14ac:dyDescent="0.25">
      <c r="C29" s="107">
        <v>13151041</v>
      </c>
      <c r="D29" s="88" t="s">
        <v>2685</v>
      </c>
      <c r="E29" s="89" t="s">
        <v>2686</v>
      </c>
      <c r="F29" s="90" t="s">
        <v>2624</v>
      </c>
      <c r="G29" s="89"/>
      <c r="H29" s="89" t="s">
        <v>2687</v>
      </c>
      <c r="I29" s="89" t="s">
        <v>2688</v>
      </c>
      <c r="J29" s="89" t="s">
        <v>2624</v>
      </c>
    </row>
    <row r="30" spans="3:10" x14ac:dyDescent="0.25">
      <c r="C30" s="107">
        <v>13152001</v>
      </c>
      <c r="D30" s="88" t="s">
        <v>2689</v>
      </c>
      <c r="E30" s="89" t="s">
        <v>2690</v>
      </c>
      <c r="F30" s="90" t="s">
        <v>2624</v>
      </c>
      <c r="G30" s="89"/>
      <c r="H30" s="89" t="s">
        <v>2691</v>
      </c>
      <c r="I30" s="89" t="s">
        <v>2692</v>
      </c>
      <c r="J30" s="89" t="s">
        <v>2624</v>
      </c>
    </row>
    <row r="31" spans="3:10" x14ac:dyDescent="0.25">
      <c r="C31" s="107">
        <v>13153001</v>
      </c>
      <c r="D31" s="88" t="s">
        <v>2693</v>
      </c>
      <c r="E31" s="89" t="s">
        <v>2694</v>
      </c>
      <c r="F31" s="90" t="s">
        <v>2624</v>
      </c>
      <c r="G31" s="89"/>
      <c r="H31" s="108" t="s">
        <v>2693</v>
      </c>
      <c r="I31" s="108" t="s">
        <v>2694</v>
      </c>
      <c r="J31" s="89" t="s">
        <v>2624</v>
      </c>
    </row>
    <row r="32" spans="3:10" x14ac:dyDescent="0.25">
      <c r="C32" s="107">
        <v>13154001</v>
      </c>
      <c r="D32" s="88" t="s">
        <v>2695</v>
      </c>
      <c r="E32" s="89" t="s">
        <v>2696</v>
      </c>
      <c r="F32" s="90" t="s">
        <v>2624</v>
      </c>
      <c r="G32" s="89"/>
      <c r="H32" s="89"/>
      <c r="I32" s="89"/>
      <c r="J32" s="89" t="s">
        <v>2624</v>
      </c>
    </row>
    <row r="33" spans="3:10" x14ac:dyDescent="0.25">
      <c r="C33" s="107">
        <v>13161601</v>
      </c>
      <c r="D33" s="88" t="s">
        <v>2697</v>
      </c>
      <c r="E33" s="89" t="s">
        <v>2698</v>
      </c>
      <c r="F33" s="90" t="s">
        <v>2624</v>
      </c>
      <c r="G33" s="89"/>
      <c r="H33" s="89" t="s">
        <v>2699</v>
      </c>
      <c r="I33" s="89" t="s">
        <v>2700</v>
      </c>
      <c r="J33" s="89" t="s">
        <v>2624</v>
      </c>
    </row>
    <row r="34" spans="3:10" x14ac:dyDescent="0.25">
      <c r="C34" s="107">
        <v>13161611</v>
      </c>
      <c r="D34" s="88" t="s">
        <v>2701</v>
      </c>
      <c r="E34" s="89" t="s">
        <v>2702</v>
      </c>
      <c r="F34" s="90" t="s">
        <v>2624</v>
      </c>
      <c r="G34" s="89"/>
      <c r="H34" s="89" t="s">
        <v>2703</v>
      </c>
      <c r="I34" s="89" t="s">
        <v>2704</v>
      </c>
      <c r="J34" s="89" t="s">
        <v>2624</v>
      </c>
    </row>
    <row r="35" spans="3:10" x14ac:dyDescent="0.25">
      <c r="C35" s="107">
        <v>13161621</v>
      </c>
      <c r="D35" s="88" t="s">
        <v>2705</v>
      </c>
      <c r="E35" s="89" t="s">
        <v>2706</v>
      </c>
      <c r="F35" s="90" t="s">
        <v>2624</v>
      </c>
      <c r="G35" s="89"/>
      <c r="H35" s="89" t="s">
        <v>2707</v>
      </c>
      <c r="I35" s="89" t="s">
        <v>2708</v>
      </c>
      <c r="J35" s="89" t="s">
        <v>2624</v>
      </c>
    </row>
    <row r="36" spans="3:10" x14ac:dyDescent="0.25">
      <c r="C36" s="107">
        <v>13161631</v>
      </c>
      <c r="D36" s="88" t="s">
        <v>2709</v>
      </c>
      <c r="E36" s="89" t="s">
        <v>2710</v>
      </c>
      <c r="F36" s="90" t="s">
        <v>2624</v>
      </c>
      <c r="G36" s="89"/>
      <c r="H36" s="89" t="s">
        <v>2711</v>
      </c>
      <c r="I36" s="89" t="s">
        <v>2712</v>
      </c>
      <c r="J36" s="89" t="s">
        <v>2624</v>
      </c>
    </row>
    <row r="37" spans="3:10" x14ac:dyDescent="0.25">
      <c r="C37" s="107">
        <v>13161641</v>
      </c>
      <c r="D37" s="88" t="s">
        <v>2713</v>
      </c>
      <c r="E37" s="89" t="s">
        <v>2714</v>
      </c>
      <c r="F37" s="90" t="s">
        <v>2624</v>
      </c>
      <c r="G37" s="89"/>
      <c r="H37" s="89" t="s">
        <v>2715</v>
      </c>
      <c r="I37" s="89" t="s">
        <v>2716</v>
      </c>
      <c r="J37" s="89" t="s">
        <v>2624</v>
      </c>
    </row>
    <row r="38" spans="3:10" x14ac:dyDescent="0.25">
      <c r="C38" s="107">
        <v>13161661</v>
      </c>
      <c r="D38" s="88" t="s">
        <v>2717</v>
      </c>
      <c r="E38" s="89" t="s">
        <v>2718</v>
      </c>
      <c r="F38" s="90" t="s">
        <v>2624</v>
      </c>
      <c r="G38" s="89"/>
      <c r="H38" s="89" t="s">
        <v>2719</v>
      </c>
      <c r="I38" s="89" t="s">
        <v>2720</v>
      </c>
      <c r="J38" s="89" t="s">
        <v>2624</v>
      </c>
    </row>
    <row r="39" spans="3:10" x14ac:dyDescent="0.25">
      <c r="C39" s="107">
        <v>13161662</v>
      </c>
      <c r="D39" s="88" t="s">
        <v>2721</v>
      </c>
      <c r="E39" s="89" t="s">
        <v>2722</v>
      </c>
      <c r="F39" s="90" t="s">
        <v>2624</v>
      </c>
      <c r="G39" s="89"/>
      <c r="H39" s="89" t="s">
        <v>2723</v>
      </c>
      <c r="I39" s="89" t="s">
        <v>2724</v>
      </c>
      <c r="J39" s="89" t="s">
        <v>2624</v>
      </c>
    </row>
    <row r="40" spans="3:10" x14ac:dyDescent="0.25">
      <c r="C40" s="107">
        <v>15059001</v>
      </c>
      <c r="D40" s="88" t="s">
        <v>2725</v>
      </c>
      <c r="E40" s="89" t="s">
        <v>2726</v>
      </c>
      <c r="F40" s="90" t="s">
        <v>2624</v>
      </c>
      <c r="G40" s="89"/>
      <c r="H40" s="89" t="s">
        <v>2727</v>
      </c>
      <c r="I40" s="89" t="s">
        <v>2728</v>
      </c>
      <c r="J40" s="89" t="s">
        <v>2624</v>
      </c>
    </row>
    <row r="41" spans="3:10" x14ac:dyDescent="0.25">
      <c r="C41" s="107">
        <v>15059011</v>
      </c>
      <c r="D41" s="88" t="s">
        <v>2729</v>
      </c>
      <c r="E41" s="89" t="s">
        <v>2730</v>
      </c>
      <c r="F41" s="90" t="s">
        <v>2624</v>
      </c>
      <c r="G41" s="89"/>
      <c r="H41" s="89" t="s">
        <v>2731</v>
      </c>
      <c r="I41" s="89" t="s">
        <v>2732</v>
      </c>
      <c r="J41" s="89" t="s">
        <v>2624</v>
      </c>
    </row>
    <row r="42" spans="3:10" x14ac:dyDescent="0.25">
      <c r="C42" s="107">
        <v>15059021</v>
      </c>
      <c r="D42" s="88" t="s">
        <v>2733</v>
      </c>
      <c r="E42" s="89" t="s">
        <v>2734</v>
      </c>
      <c r="F42" s="90" t="s">
        <v>2624</v>
      </c>
      <c r="G42" s="89"/>
      <c r="H42" s="89" t="s">
        <v>2735</v>
      </c>
      <c r="I42" s="89" t="s">
        <v>2736</v>
      </c>
      <c r="J42" s="89" t="s">
        <v>2624</v>
      </c>
    </row>
    <row r="43" spans="3:10" x14ac:dyDescent="0.25">
      <c r="C43" s="107">
        <v>15059031</v>
      </c>
      <c r="D43" s="88" t="s">
        <v>2737</v>
      </c>
      <c r="E43" s="89" t="s">
        <v>2738</v>
      </c>
      <c r="F43" s="90" t="s">
        <v>2624</v>
      </c>
      <c r="G43" s="89"/>
      <c r="H43" s="89" t="s">
        <v>2739</v>
      </c>
      <c r="I43" s="89" t="s">
        <v>2740</v>
      </c>
      <c r="J43" s="89" t="s">
        <v>2624</v>
      </c>
    </row>
    <row r="44" spans="3:10" x14ac:dyDescent="0.25">
      <c r="C44" s="107">
        <v>15059041</v>
      </c>
      <c r="D44" s="88" t="s">
        <v>2741</v>
      </c>
      <c r="E44" s="89" t="s">
        <v>2742</v>
      </c>
      <c r="F44" s="90" t="s">
        <v>2624</v>
      </c>
      <c r="G44" s="89"/>
      <c r="H44" s="89" t="s">
        <v>2743</v>
      </c>
      <c r="I44" s="89" t="s">
        <v>2744</v>
      </c>
      <c r="J44" s="89" t="s">
        <v>2624</v>
      </c>
    </row>
    <row r="45" spans="3:10" x14ac:dyDescent="0.25">
      <c r="C45" s="107">
        <v>15059051</v>
      </c>
      <c r="D45" s="88" t="s">
        <v>2745</v>
      </c>
      <c r="E45" s="89" t="s">
        <v>2746</v>
      </c>
      <c r="F45" s="90" t="s">
        <v>2624</v>
      </c>
      <c r="G45" s="89"/>
      <c r="H45" s="89" t="s">
        <v>2747</v>
      </c>
      <c r="I45" s="89" t="s">
        <v>2748</v>
      </c>
      <c r="J45" s="89" t="s">
        <v>2624</v>
      </c>
    </row>
    <row r="46" spans="3:10" x14ac:dyDescent="0.25">
      <c r="C46" s="107">
        <v>15059061</v>
      </c>
      <c r="D46" s="88" t="s">
        <v>2749</v>
      </c>
      <c r="E46" s="89" t="s">
        <v>2750</v>
      </c>
      <c r="F46" s="90" t="s">
        <v>2624</v>
      </c>
      <c r="G46" s="89"/>
      <c r="H46" s="89" t="s">
        <v>2751</v>
      </c>
      <c r="I46" s="89" t="s">
        <v>2752</v>
      </c>
      <c r="J46" s="89" t="s">
        <v>2624</v>
      </c>
    </row>
    <row r="47" spans="3:10" x14ac:dyDescent="0.25">
      <c r="C47" s="107">
        <v>15059071</v>
      </c>
      <c r="D47" s="88" t="s">
        <v>2753</v>
      </c>
      <c r="E47" s="89" t="s">
        <v>2754</v>
      </c>
      <c r="F47" s="90" t="s">
        <v>2624</v>
      </c>
      <c r="G47" s="89"/>
      <c r="H47" s="89" t="s">
        <v>2755</v>
      </c>
      <c r="I47" s="89" t="s">
        <v>2756</v>
      </c>
      <c r="J47" s="89" t="s">
        <v>2624</v>
      </c>
    </row>
    <row r="48" spans="3:10" x14ac:dyDescent="0.25">
      <c r="C48" s="107">
        <v>24151001</v>
      </c>
      <c r="D48" s="88" t="s">
        <v>2757</v>
      </c>
      <c r="E48" s="89" t="s">
        <v>2758</v>
      </c>
      <c r="F48" s="90" t="s">
        <v>2624</v>
      </c>
      <c r="G48" s="89"/>
      <c r="H48" s="89"/>
      <c r="I48" s="89"/>
      <c r="J48" s="89" t="s">
        <v>2624</v>
      </c>
    </row>
    <row r="49" spans="3:10" x14ac:dyDescent="0.25">
      <c r="C49" s="107">
        <v>24151002</v>
      </c>
      <c r="D49" s="88" t="s">
        <v>2657</v>
      </c>
      <c r="E49" s="89" t="s">
        <v>2658</v>
      </c>
      <c r="F49" s="90" t="s">
        <v>2624</v>
      </c>
      <c r="G49" s="89"/>
      <c r="H49" s="89" t="s">
        <v>2655</v>
      </c>
      <c r="I49" s="89" t="s">
        <v>2656</v>
      </c>
      <c r="J49" s="89" t="s">
        <v>2624</v>
      </c>
    </row>
    <row r="50" spans="3:10" x14ac:dyDescent="0.25">
      <c r="C50" s="107">
        <v>24151003</v>
      </c>
      <c r="D50" s="88" t="s">
        <v>2661</v>
      </c>
      <c r="E50" s="89" t="s">
        <v>2662</v>
      </c>
      <c r="F50" s="90" t="s">
        <v>2624</v>
      </c>
      <c r="G50" s="89"/>
      <c r="H50" s="89" t="s">
        <v>2659</v>
      </c>
      <c r="I50" s="89" t="s">
        <v>2660</v>
      </c>
      <c r="J50" s="89" t="s">
        <v>2624</v>
      </c>
    </row>
    <row r="51" spans="3:10" x14ac:dyDescent="0.25">
      <c r="C51" s="107">
        <v>24151006</v>
      </c>
      <c r="D51" s="88" t="s">
        <v>2665</v>
      </c>
      <c r="E51" s="89" t="s">
        <v>2666</v>
      </c>
      <c r="F51" s="90" t="s">
        <v>2624</v>
      </c>
      <c r="G51" s="89"/>
      <c r="H51" s="89" t="s">
        <v>2663</v>
      </c>
      <c r="I51" s="89" t="s">
        <v>2664</v>
      </c>
      <c r="J51" s="89" t="s">
        <v>2624</v>
      </c>
    </row>
    <row r="52" spans="3:10" x14ac:dyDescent="0.25">
      <c r="C52" s="107">
        <v>24151007</v>
      </c>
      <c r="D52" s="88" t="s">
        <v>2669</v>
      </c>
      <c r="E52" s="89" t="s">
        <v>2670</v>
      </c>
      <c r="F52" s="90" t="s">
        <v>2624</v>
      </c>
      <c r="G52" s="89"/>
      <c r="H52" s="89" t="s">
        <v>2667</v>
      </c>
      <c r="I52" s="89" t="s">
        <v>2668</v>
      </c>
      <c r="J52" s="89" t="s">
        <v>2624</v>
      </c>
    </row>
    <row r="53" spans="3:10" x14ac:dyDescent="0.25">
      <c r="C53" s="107">
        <v>24151011</v>
      </c>
      <c r="D53" s="88" t="s">
        <v>2675</v>
      </c>
      <c r="E53" s="89" t="s">
        <v>2676</v>
      </c>
      <c r="F53" s="90" t="s">
        <v>2624</v>
      </c>
      <c r="G53" s="89"/>
      <c r="H53" s="89" t="s">
        <v>2673</v>
      </c>
      <c r="I53" s="89" t="s">
        <v>2674</v>
      </c>
      <c r="J53" s="89" t="s">
        <v>2624</v>
      </c>
    </row>
    <row r="54" spans="3:10" x14ac:dyDescent="0.25">
      <c r="C54" s="107">
        <v>24151021</v>
      </c>
      <c r="D54" s="88" t="s">
        <v>2679</v>
      </c>
      <c r="E54" s="89" t="s">
        <v>2680</v>
      </c>
      <c r="F54" s="90" t="s">
        <v>2624</v>
      </c>
      <c r="G54" s="89"/>
      <c r="H54" s="89" t="s">
        <v>2677</v>
      </c>
      <c r="I54" s="89" t="s">
        <v>2678</v>
      </c>
      <c r="J54" s="89" t="s">
        <v>2624</v>
      </c>
    </row>
    <row r="55" spans="3:10" x14ac:dyDescent="0.25">
      <c r="C55" s="107">
        <v>24151031</v>
      </c>
      <c r="D55" s="88" t="s">
        <v>2683</v>
      </c>
      <c r="E55" s="89" t="s">
        <v>2684</v>
      </c>
      <c r="F55" s="90" t="s">
        <v>2624</v>
      </c>
      <c r="G55" s="89"/>
      <c r="H55" s="89" t="s">
        <v>2681</v>
      </c>
      <c r="I55" s="89" t="s">
        <v>2682</v>
      </c>
      <c r="J55" s="89" t="s">
        <v>2624</v>
      </c>
    </row>
    <row r="56" spans="3:10" x14ac:dyDescent="0.25">
      <c r="C56" s="107">
        <v>24151041</v>
      </c>
      <c r="D56" s="88" t="s">
        <v>2687</v>
      </c>
      <c r="E56" s="89" t="s">
        <v>2688</v>
      </c>
      <c r="F56" s="90" t="s">
        <v>2624</v>
      </c>
      <c r="G56" s="89"/>
      <c r="H56" s="89" t="s">
        <v>2685</v>
      </c>
      <c r="I56" s="89" t="s">
        <v>2686</v>
      </c>
      <c r="J56" s="89" t="s">
        <v>2624</v>
      </c>
    </row>
    <row r="57" spans="3:10" x14ac:dyDescent="0.25">
      <c r="C57" s="107">
        <v>24152001</v>
      </c>
      <c r="D57" s="88" t="s">
        <v>2691</v>
      </c>
      <c r="E57" s="89" t="s">
        <v>2692</v>
      </c>
      <c r="F57" s="90" t="s">
        <v>2624</v>
      </c>
      <c r="G57" s="89"/>
      <c r="H57" s="89" t="s">
        <v>2689</v>
      </c>
      <c r="I57" s="89" t="s">
        <v>2690</v>
      </c>
      <c r="J57" s="89" t="s">
        <v>2624</v>
      </c>
    </row>
    <row r="58" spans="3:10" x14ac:dyDescent="0.25">
      <c r="C58" s="107">
        <v>24161601</v>
      </c>
      <c r="D58" s="88" t="s">
        <v>2699</v>
      </c>
      <c r="E58" s="89" t="s">
        <v>2700</v>
      </c>
      <c r="F58" s="90" t="s">
        <v>2624</v>
      </c>
      <c r="G58" s="89"/>
      <c r="H58" s="89" t="s">
        <v>2697</v>
      </c>
      <c r="I58" s="89" t="s">
        <v>2698</v>
      </c>
      <c r="J58" s="89" t="s">
        <v>2624</v>
      </c>
    </row>
    <row r="59" spans="3:10" x14ac:dyDescent="0.25">
      <c r="C59" s="107">
        <v>24161611</v>
      </c>
      <c r="D59" s="88" t="s">
        <v>2703</v>
      </c>
      <c r="E59" s="89" t="s">
        <v>2704</v>
      </c>
      <c r="F59" s="90" t="s">
        <v>2624</v>
      </c>
      <c r="G59" s="89"/>
      <c r="H59" s="89" t="s">
        <v>2701</v>
      </c>
      <c r="I59" s="89" t="s">
        <v>2702</v>
      </c>
      <c r="J59" s="89" t="s">
        <v>2624</v>
      </c>
    </row>
    <row r="60" spans="3:10" x14ac:dyDescent="0.25">
      <c r="C60" s="107">
        <v>24161612</v>
      </c>
      <c r="D60" s="88" t="s">
        <v>2759</v>
      </c>
      <c r="E60" s="89" t="s">
        <v>2760</v>
      </c>
      <c r="F60" s="90" t="s">
        <v>2624</v>
      </c>
      <c r="G60" s="89"/>
      <c r="H60" s="89"/>
      <c r="I60" s="89"/>
      <c r="J60" s="89" t="s">
        <v>2624</v>
      </c>
    </row>
    <row r="61" spans="3:10" x14ac:dyDescent="0.25">
      <c r="C61" s="107">
        <v>24161621</v>
      </c>
      <c r="D61" s="88" t="s">
        <v>2707</v>
      </c>
      <c r="E61" s="89" t="s">
        <v>2708</v>
      </c>
      <c r="F61" s="90" t="s">
        <v>2624</v>
      </c>
      <c r="G61" s="89"/>
      <c r="H61" s="89" t="s">
        <v>2705</v>
      </c>
      <c r="I61" s="89" t="s">
        <v>2706</v>
      </c>
      <c r="J61" s="89" t="s">
        <v>2624</v>
      </c>
    </row>
    <row r="62" spans="3:10" x14ac:dyDescent="0.25">
      <c r="C62" s="107">
        <v>24161631</v>
      </c>
      <c r="D62" s="88" t="s">
        <v>2711</v>
      </c>
      <c r="E62" s="89" t="s">
        <v>2712</v>
      </c>
      <c r="F62" s="90" t="s">
        <v>2624</v>
      </c>
      <c r="G62" s="89"/>
      <c r="H62" s="89" t="s">
        <v>2709</v>
      </c>
      <c r="I62" s="89" t="s">
        <v>2710</v>
      </c>
      <c r="J62" s="89" t="s">
        <v>2624</v>
      </c>
    </row>
    <row r="63" spans="3:10" x14ac:dyDescent="0.25">
      <c r="C63" s="107">
        <v>24161641</v>
      </c>
      <c r="D63" s="88" t="s">
        <v>2715</v>
      </c>
      <c r="E63" s="89" t="s">
        <v>2716</v>
      </c>
      <c r="F63" s="90" t="s">
        <v>2624</v>
      </c>
      <c r="G63" s="89"/>
      <c r="H63" s="89" t="s">
        <v>2713</v>
      </c>
      <c r="I63" s="89" t="s">
        <v>2714</v>
      </c>
      <c r="J63" s="89" t="s">
        <v>2624</v>
      </c>
    </row>
    <row r="64" spans="3:10" x14ac:dyDescent="0.25">
      <c r="C64" s="107">
        <v>24161661</v>
      </c>
      <c r="D64" s="88" t="s">
        <v>2719</v>
      </c>
      <c r="E64" s="89" t="s">
        <v>2720</v>
      </c>
      <c r="F64" s="90" t="s">
        <v>2624</v>
      </c>
      <c r="G64" s="89"/>
      <c r="H64" s="89" t="s">
        <v>2717</v>
      </c>
      <c r="I64" s="89" t="s">
        <v>2718</v>
      </c>
      <c r="J64" s="89" t="s">
        <v>2624</v>
      </c>
    </row>
    <row r="65" spans="1:10" x14ac:dyDescent="0.25">
      <c r="C65" s="107">
        <v>24161662</v>
      </c>
      <c r="D65" s="88" t="s">
        <v>2723</v>
      </c>
      <c r="E65" s="89" t="s">
        <v>2724</v>
      </c>
      <c r="F65" s="90" t="s">
        <v>2624</v>
      </c>
      <c r="G65" s="89"/>
      <c r="H65" s="89" t="s">
        <v>2721</v>
      </c>
      <c r="I65" s="89" t="s">
        <v>2722</v>
      </c>
      <c r="J65" s="89" t="s">
        <v>2624</v>
      </c>
    </row>
    <row r="66" spans="1:10" x14ac:dyDescent="0.25">
      <c r="C66" s="107">
        <v>27231071</v>
      </c>
      <c r="D66" s="88" t="s">
        <v>2761</v>
      </c>
      <c r="E66" s="89" t="s">
        <v>2762</v>
      </c>
      <c r="F66" s="90" t="s">
        <v>2624</v>
      </c>
      <c r="G66" s="89"/>
      <c r="H66" s="89"/>
      <c r="I66" s="89"/>
      <c r="J66" s="89" t="s">
        <v>2624</v>
      </c>
    </row>
    <row r="67" spans="1:10" x14ac:dyDescent="0.25">
      <c r="C67" s="107">
        <v>27239001</v>
      </c>
      <c r="D67" s="88" t="s">
        <v>2727</v>
      </c>
      <c r="E67" s="89" t="s">
        <v>2728</v>
      </c>
      <c r="F67" s="90" t="s">
        <v>2624</v>
      </c>
      <c r="G67" s="89"/>
      <c r="H67" s="89" t="s">
        <v>2725</v>
      </c>
      <c r="I67" s="89" t="s">
        <v>2726</v>
      </c>
      <c r="J67" s="89" t="s">
        <v>2624</v>
      </c>
    </row>
    <row r="68" spans="1:10" x14ac:dyDescent="0.25">
      <c r="C68" s="107">
        <v>27239011</v>
      </c>
      <c r="D68" s="88" t="s">
        <v>2731</v>
      </c>
      <c r="E68" s="89" t="s">
        <v>2732</v>
      </c>
      <c r="F68" s="90" t="s">
        <v>2624</v>
      </c>
      <c r="G68" s="89"/>
      <c r="H68" s="89" t="s">
        <v>2729</v>
      </c>
      <c r="I68" s="89" t="s">
        <v>2730</v>
      </c>
      <c r="J68" s="89" t="s">
        <v>2624</v>
      </c>
    </row>
    <row r="69" spans="1:10" x14ac:dyDescent="0.25">
      <c r="C69" s="107">
        <v>27239021</v>
      </c>
      <c r="D69" s="88" t="s">
        <v>2735</v>
      </c>
      <c r="E69" s="89" t="s">
        <v>2736</v>
      </c>
      <c r="F69" s="90" t="s">
        <v>2624</v>
      </c>
      <c r="G69" s="89"/>
      <c r="H69" s="89" t="s">
        <v>2733</v>
      </c>
      <c r="I69" s="89" t="s">
        <v>2734</v>
      </c>
      <c r="J69" s="89" t="s">
        <v>2624</v>
      </c>
    </row>
    <row r="70" spans="1:10" s="56" customFormat="1" x14ac:dyDescent="0.25">
      <c r="A70" s="65"/>
      <c r="B70" s="65"/>
      <c r="C70" s="107">
        <v>27239031</v>
      </c>
      <c r="D70" s="88" t="s">
        <v>2739</v>
      </c>
      <c r="E70" s="89" t="s">
        <v>2740</v>
      </c>
      <c r="F70" s="90" t="s">
        <v>2624</v>
      </c>
      <c r="G70" s="89"/>
      <c r="H70" s="89" t="s">
        <v>2737</v>
      </c>
      <c r="I70" s="89" t="s">
        <v>2738</v>
      </c>
      <c r="J70" s="89" t="s">
        <v>2624</v>
      </c>
    </row>
    <row r="71" spans="1:10" x14ac:dyDescent="0.25">
      <c r="C71" s="107">
        <v>27239041</v>
      </c>
      <c r="D71" s="88" t="s">
        <v>2743</v>
      </c>
      <c r="E71" s="89" t="s">
        <v>2744</v>
      </c>
      <c r="F71" s="90" t="s">
        <v>2624</v>
      </c>
      <c r="G71" s="89"/>
      <c r="H71" s="89" t="s">
        <v>2741</v>
      </c>
      <c r="I71" s="89" t="s">
        <v>2742</v>
      </c>
      <c r="J71" s="89" t="s">
        <v>2624</v>
      </c>
    </row>
    <row r="72" spans="1:10" x14ac:dyDescent="0.25">
      <c r="C72" s="107">
        <v>27239051</v>
      </c>
      <c r="D72" s="88" t="s">
        <v>2747</v>
      </c>
      <c r="E72" s="89" t="s">
        <v>2748</v>
      </c>
      <c r="F72" s="90" t="s">
        <v>2624</v>
      </c>
      <c r="G72" s="89"/>
      <c r="H72" s="89" t="s">
        <v>2745</v>
      </c>
      <c r="I72" s="89" t="s">
        <v>2746</v>
      </c>
      <c r="J72" s="89" t="s">
        <v>2624</v>
      </c>
    </row>
    <row r="73" spans="1:10" x14ac:dyDescent="0.25">
      <c r="C73" s="107">
        <v>27239061</v>
      </c>
      <c r="D73" s="88" t="s">
        <v>2751</v>
      </c>
      <c r="E73" s="89" t="s">
        <v>2752</v>
      </c>
      <c r="F73" s="90" t="s">
        <v>2624</v>
      </c>
      <c r="G73" s="89"/>
      <c r="H73" s="89" t="s">
        <v>2749</v>
      </c>
      <c r="I73" s="89" t="s">
        <v>2750</v>
      </c>
      <c r="J73" s="89" t="s">
        <v>2624</v>
      </c>
    </row>
    <row r="74" spans="1:10" x14ac:dyDescent="0.25">
      <c r="C74" s="107">
        <v>27239071</v>
      </c>
      <c r="D74" s="88" t="s">
        <v>2755</v>
      </c>
      <c r="E74" s="89" t="s">
        <v>2756</v>
      </c>
      <c r="F74" s="90" t="s">
        <v>2624</v>
      </c>
      <c r="G74" s="89"/>
      <c r="H74" s="89" t="s">
        <v>2753</v>
      </c>
      <c r="I74" s="89" t="s">
        <v>2754</v>
      </c>
      <c r="J74" s="89" t="s">
        <v>2624</v>
      </c>
    </row>
    <row r="75" spans="1:10" x14ac:dyDescent="0.25">
      <c r="C75" s="107">
        <v>27239081</v>
      </c>
      <c r="D75" s="88" t="s">
        <v>2763</v>
      </c>
      <c r="E75" s="89" t="s">
        <v>2764</v>
      </c>
      <c r="F75" s="90" t="s">
        <v>2624</v>
      </c>
      <c r="G75" s="89"/>
      <c r="H75" s="89"/>
      <c r="I75" s="89"/>
      <c r="J75" s="89" t="s">
        <v>2624</v>
      </c>
    </row>
    <row r="76" spans="1:10" x14ac:dyDescent="0.25">
      <c r="C76" s="107">
        <v>27239091</v>
      </c>
      <c r="D76" s="88" t="s">
        <v>2765</v>
      </c>
      <c r="E76" s="89" t="s">
        <v>2766</v>
      </c>
      <c r="F76" s="90" t="s">
        <v>2624</v>
      </c>
      <c r="G76" s="89"/>
      <c r="H76" s="89"/>
      <c r="I76" s="89"/>
      <c r="J76" s="89" t="s">
        <v>2624</v>
      </c>
    </row>
    <row r="77" spans="1:10" x14ac:dyDescent="0.25">
      <c r="C77" s="107">
        <v>28201012</v>
      </c>
      <c r="D77" s="88" t="s">
        <v>2767</v>
      </c>
      <c r="E77" s="89" t="s">
        <v>2768</v>
      </c>
      <c r="F77" s="90" t="s">
        <v>2624</v>
      </c>
      <c r="G77" s="89"/>
      <c r="H77" s="89"/>
      <c r="I77" s="89"/>
      <c r="J77" s="89" t="s">
        <v>2624</v>
      </c>
    </row>
    <row r="78" spans="1:10" x14ac:dyDescent="0.25">
      <c r="C78" s="107">
        <v>41151011</v>
      </c>
      <c r="D78" s="88" t="s">
        <v>2769</v>
      </c>
      <c r="E78" s="89" t="s">
        <v>2770</v>
      </c>
      <c r="F78" s="90" t="s">
        <v>2624</v>
      </c>
      <c r="G78" s="89"/>
      <c r="H78" s="89" t="s">
        <v>2771</v>
      </c>
      <c r="I78" s="89" t="s">
        <v>2772</v>
      </c>
      <c r="J78" s="89" t="s">
        <v>2624</v>
      </c>
    </row>
    <row r="79" spans="1:10" x14ac:dyDescent="0.25">
      <c r="C79" s="107">
        <v>41151012</v>
      </c>
      <c r="D79" s="88" t="s">
        <v>2773</v>
      </c>
      <c r="E79" s="89" t="s">
        <v>2774</v>
      </c>
      <c r="F79" s="90" t="s">
        <v>2624</v>
      </c>
      <c r="G79" s="89"/>
      <c r="H79" s="89" t="s">
        <v>2775</v>
      </c>
      <c r="I79" s="89" t="s">
        <v>2776</v>
      </c>
      <c r="J79" s="89" t="s">
        <v>2624</v>
      </c>
    </row>
    <row r="80" spans="1:10" x14ac:dyDescent="0.25">
      <c r="C80" s="107">
        <v>41151021</v>
      </c>
      <c r="D80" s="88" t="s">
        <v>2777</v>
      </c>
      <c r="E80" s="89" t="s">
        <v>2778</v>
      </c>
      <c r="F80" s="90" t="s">
        <v>2624</v>
      </c>
      <c r="G80" s="89"/>
      <c r="H80" s="89" t="s">
        <v>2779</v>
      </c>
      <c r="I80" s="89" t="s">
        <v>2780</v>
      </c>
      <c r="J80" s="89" t="s">
        <v>2624</v>
      </c>
    </row>
    <row r="81" spans="3:10" x14ac:dyDescent="0.25">
      <c r="C81" s="107">
        <v>41151031</v>
      </c>
      <c r="D81" s="88" t="s">
        <v>2781</v>
      </c>
      <c r="E81" s="89" t="s">
        <v>2782</v>
      </c>
      <c r="F81" s="90" t="s">
        <v>2624</v>
      </c>
      <c r="G81" s="89"/>
      <c r="H81" s="89" t="s">
        <v>2783</v>
      </c>
      <c r="I81" s="89" t="s">
        <v>2784</v>
      </c>
      <c r="J81" s="89" t="s">
        <v>2624</v>
      </c>
    </row>
    <row r="82" spans="3:10" x14ac:dyDescent="0.25">
      <c r="C82" s="107">
        <v>41151042</v>
      </c>
      <c r="D82" s="88" t="s">
        <v>2785</v>
      </c>
      <c r="E82" s="89" t="s">
        <v>2786</v>
      </c>
      <c r="F82" s="90" t="s">
        <v>2624</v>
      </c>
      <c r="G82" s="89"/>
      <c r="H82" s="89" t="s">
        <v>2787</v>
      </c>
      <c r="I82" s="89" t="s">
        <v>2788</v>
      </c>
      <c r="J82" s="89" t="s">
        <v>2624</v>
      </c>
    </row>
    <row r="83" spans="3:10" x14ac:dyDescent="0.25">
      <c r="C83" s="107">
        <v>41151051</v>
      </c>
      <c r="D83" s="88" t="s">
        <v>2789</v>
      </c>
      <c r="E83" s="89" t="s">
        <v>2790</v>
      </c>
      <c r="F83" s="90" t="s">
        <v>2624</v>
      </c>
      <c r="G83" s="89"/>
      <c r="H83" s="89" t="s">
        <v>2791</v>
      </c>
      <c r="I83" s="89" t="s">
        <v>2792</v>
      </c>
      <c r="J83" s="89" t="s">
        <v>2624</v>
      </c>
    </row>
    <row r="84" spans="3:10" x14ac:dyDescent="0.25">
      <c r="C84" s="107">
        <v>41151061</v>
      </c>
      <c r="D84" s="88" t="s">
        <v>2793</v>
      </c>
      <c r="E84" s="89" t="s">
        <v>2794</v>
      </c>
      <c r="F84" s="90" t="s">
        <v>2624</v>
      </c>
      <c r="G84" s="89"/>
      <c r="H84" s="89" t="s">
        <v>2795</v>
      </c>
      <c r="I84" s="89" t="s">
        <v>2796</v>
      </c>
      <c r="J84" s="89" t="s">
        <v>2624</v>
      </c>
    </row>
    <row r="85" spans="3:10" x14ac:dyDescent="0.25">
      <c r="C85" s="107">
        <v>41151062</v>
      </c>
      <c r="D85" s="88" t="s">
        <v>2797</v>
      </c>
      <c r="E85" s="89" t="s">
        <v>2798</v>
      </c>
      <c r="F85" s="90" t="s">
        <v>2624</v>
      </c>
      <c r="G85" s="89"/>
      <c r="H85" s="89"/>
      <c r="I85" s="89"/>
      <c r="J85" s="89" t="s">
        <v>2624</v>
      </c>
    </row>
    <row r="86" spans="3:10" x14ac:dyDescent="0.25">
      <c r="C86" s="107">
        <v>41151071</v>
      </c>
      <c r="D86" s="88" t="s">
        <v>2799</v>
      </c>
      <c r="E86" s="89" t="s">
        <v>2800</v>
      </c>
      <c r="F86" s="90" t="s">
        <v>2624</v>
      </c>
      <c r="G86" s="89"/>
      <c r="H86" s="89" t="s">
        <v>2801</v>
      </c>
      <c r="I86" s="89" t="s">
        <v>2802</v>
      </c>
      <c r="J86" s="89" t="s">
        <v>2624</v>
      </c>
    </row>
    <row r="87" spans="3:10" x14ac:dyDescent="0.25">
      <c r="C87" s="107">
        <v>41151081</v>
      </c>
      <c r="D87" s="88" t="s">
        <v>2803</v>
      </c>
      <c r="E87" s="89" t="s">
        <v>2804</v>
      </c>
      <c r="F87" s="90" t="s">
        <v>2624</v>
      </c>
      <c r="G87" s="89"/>
      <c r="H87" s="89" t="s">
        <v>2805</v>
      </c>
      <c r="I87" s="89" t="s">
        <v>2806</v>
      </c>
      <c r="J87" s="89" t="s">
        <v>2624</v>
      </c>
    </row>
    <row r="88" spans="3:10" x14ac:dyDescent="0.25">
      <c r="C88" s="107">
        <v>41151082</v>
      </c>
      <c r="D88" s="88" t="s">
        <v>2807</v>
      </c>
      <c r="E88" s="89" t="s">
        <v>2808</v>
      </c>
      <c r="F88" s="90" t="s">
        <v>2624</v>
      </c>
      <c r="G88" s="89"/>
      <c r="H88" s="89"/>
      <c r="I88" s="89"/>
      <c r="J88" s="89" t="s">
        <v>2624</v>
      </c>
    </row>
    <row r="89" spans="3:10" x14ac:dyDescent="0.25">
      <c r="C89" s="107">
        <v>41151091</v>
      </c>
      <c r="D89" s="88" t="s">
        <v>2809</v>
      </c>
      <c r="E89" s="89" t="s">
        <v>2810</v>
      </c>
      <c r="F89" s="90" t="s">
        <v>2624</v>
      </c>
      <c r="G89" s="89"/>
      <c r="H89" s="89" t="s">
        <v>2811</v>
      </c>
      <c r="I89" s="89" t="s">
        <v>2812</v>
      </c>
      <c r="J89" s="89" t="s">
        <v>2624</v>
      </c>
    </row>
    <row r="90" spans="3:10" x14ac:dyDescent="0.25">
      <c r="C90" s="107">
        <v>41411001</v>
      </c>
      <c r="D90" s="88" t="s">
        <v>2813</v>
      </c>
      <c r="E90" s="89" t="s">
        <v>2814</v>
      </c>
      <c r="F90" s="90" t="s">
        <v>2624</v>
      </c>
      <c r="G90" s="89"/>
      <c r="H90" s="89" t="s">
        <v>2815</v>
      </c>
      <c r="I90" s="89" t="s">
        <v>2816</v>
      </c>
      <c r="J90" s="89" t="s">
        <v>2624</v>
      </c>
    </row>
    <row r="91" spans="3:10" x14ac:dyDescent="0.25">
      <c r="C91" s="107">
        <v>41411002</v>
      </c>
      <c r="D91" s="88" t="s">
        <v>2817</v>
      </c>
      <c r="E91" s="89" t="s">
        <v>2818</v>
      </c>
      <c r="F91" s="90" t="s">
        <v>2624</v>
      </c>
      <c r="G91" s="89"/>
      <c r="H91" s="89"/>
      <c r="I91" s="89"/>
      <c r="J91" s="89" t="s">
        <v>2624</v>
      </c>
    </row>
    <row r="92" spans="3:10" x14ac:dyDescent="0.25">
      <c r="C92" s="107">
        <v>41421001</v>
      </c>
      <c r="D92" s="88" t="s">
        <v>2819</v>
      </c>
      <c r="E92" s="89" t="s">
        <v>2820</v>
      </c>
      <c r="F92" s="90" t="s">
        <v>2624</v>
      </c>
      <c r="G92" s="89"/>
      <c r="H92" s="89" t="s">
        <v>2821</v>
      </c>
      <c r="I92" s="89" t="s">
        <v>2820</v>
      </c>
      <c r="J92" s="89" t="s">
        <v>2624</v>
      </c>
    </row>
    <row r="93" spans="3:10" x14ac:dyDescent="0.25">
      <c r="C93" s="107">
        <v>41431001</v>
      </c>
      <c r="D93" s="88" t="s">
        <v>2822</v>
      </c>
      <c r="E93" s="89" t="s">
        <v>2823</v>
      </c>
      <c r="F93" s="90" t="s">
        <v>2624</v>
      </c>
      <c r="G93" s="89"/>
      <c r="H93" s="89" t="s">
        <v>2824</v>
      </c>
      <c r="I93" s="89" t="s">
        <v>2823</v>
      </c>
      <c r="J93" s="89" t="s">
        <v>2624</v>
      </c>
    </row>
    <row r="94" spans="3:10" x14ac:dyDescent="0.25">
      <c r="C94" s="107">
        <v>41441001</v>
      </c>
      <c r="D94" s="88" t="s">
        <v>2825</v>
      </c>
      <c r="E94" s="89" t="s">
        <v>2826</v>
      </c>
      <c r="F94" s="90" t="s">
        <v>2624</v>
      </c>
      <c r="G94" s="89"/>
      <c r="H94" s="89" t="s">
        <v>2827</v>
      </c>
      <c r="I94" s="89" t="s">
        <v>2826</v>
      </c>
      <c r="J94" s="89" t="s">
        <v>2624</v>
      </c>
    </row>
    <row r="95" spans="3:10" x14ac:dyDescent="0.25">
      <c r="C95" s="107">
        <v>41501421</v>
      </c>
      <c r="D95" s="88" t="s">
        <v>2828</v>
      </c>
      <c r="E95" s="89" t="s">
        <v>2829</v>
      </c>
      <c r="F95" s="90" t="s">
        <v>2624</v>
      </c>
      <c r="G95" s="89"/>
      <c r="H95" s="89" t="s">
        <v>2830</v>
      </c>
      <c r="I95" s="89" t="s">
        <v>2831</v>
      </c>
      <c r="J95" s="89" t="s">
        <v>2624</v>
      </c>
    </row>
    <row r="96" spans="3:10" x14ac:dyDescent="0.25">
      <c r="C96" s="107">
        <v>41501422</v>
      </c>
      <c r="D96" s="88" t="s">
        <v>2832</v>
      </c>
      <c r="E96" s="89" t="s">
        <v>2833</v>
      </c>
      <c r="F96" s="90" t="s">
        <v>2624</v>
      </c>
      <c r="G96" s="89"/>
      <c r="H96" s="89" t="s">
        <v>2834</v>
      </c>
      <c r="I96" s="89" t="s">
        <v>2835</v>
      </c>
      <c r="J96" s="89" t="s">
        <v>2624</v>
      </c>
    </row>
    <row r="97" spans="1:10" x14ac:dyDescent="0.25">
      <c r="C97" s="107">
        <v>41501431</v>
      </c>
      <c r="D97" s="88" t="s">
        <v>2836</v>
      </c>
      <c r="E97" s="89" t="s">
        <v>2837</v>
      </c>
      <c r="F97" s="90" t="s">
        <v>2624</v>
      </c>
      <c r="G97" s="89"/>
      <c r="H97" s="89" t="s">
        <v>2838</v>
      </c>
      <c r="I97" s="89" t="s">
        <v>2839</v>
      </c>
      <c r="J97" s="89" t="s">
        <v>2624</v>
      </c>
    </row>
    <row r="98" spans="1:10" x14ac:dyDescent="0.25">
      <c r="C98" s="107">
        <v>41501432</v>
      </c>
      <c r="D98" s="88" t="s">
        <v>2840</v>
      </c>
      <c r="E98" s="89" t="s">
        <v>2841</v>
      </c>
      <c r="F98" s="90" t="s">
        <v>2624</v>
      </c>
      <c r="G98" s="89"/>
      <c r="H98" s="89" t="s">
        <v>2842</v>
      </c>
      <c r="I98" s="89" t="s">
        <v>2843</v>
      </c>
      <c r="J98" s="89" t="s">
        <v>2624</v>
      </c>
    </row>
    <row r="99" spans="1:10" s="56" customFormat="1" x14ac:dyDescent="0.25">
      <c r="A99" s="65"/>
      <c r="B99" s="65"/>
      <c r="C99" s="107">
        <v>41501621</v>
      </c>
      <c r="D99" s="88" t="s">
        <v>2844</v>
      </c>
      <c r="E99" s="89" t="s">
        <v>2845</v>
      </c>
      <c r="F99" s="90" t="s">
        <v>2624</v>
      </c>
      <c r="G99" s="89"/>
      <c r="H99" s="89" t="s">
        <v>2846</v>
      </c>
      <c r="I99" s="89" t="s">
        <v>2847</v>
      </c>
      <c r="J99" s="89" t="s">
        <v>2624</v>
      </c>
    </row>
    <row r="100" spans="1:10" x14ac:dyDescent="0.25">
      <c r="C100" s="107">
        <v>41501622</v>
      </c>
      <c r="D100" s="88" t="s">
        <v>2848</v>
      </c>
      <c r="E100" s="89" t="s">
        <v>2849</v>
      </c>
      <c r="F100" s="90" t="s">
        <v>2624</v>
      </c>
      <c r="G100" s="89"/>
      <c r="H100" s="89" t="s">
        <v>2850</v>
      </c>
      <c r="I100" s="89" t="s">
        <v>2851</v>
      </c>
      <c r="J100" s="89" t="s">
        <v>2624</v>
      </c>
    </row>
    <row r="101" spans="1:10" x14ac:dyDescent="0.25">
      <c r="C101" s="107">
        <v>41501721</v>
      </c>
      <c r="D101" s="88" t="s">
        <v>2852</v>
      </c>
      <c r="E101" s="89" t="s">
        <v>2853</v>
      </c>
      <c r="F101" s="90" t="s">
        <v>2624</v>
      </c>
      <c r="G101" s="89"/>
      <c r="H101" s="89" t="s">
        <v>2854</v>
      </c>
      <c r="I101" s="89" t="s">
        <v>2855</v>
      </c>
      <c r="J101" s="89" t="s">
        <v>2624</v>
      </c>
    </row>
    <row r="102" spans="1:10" x14ac:dyDescent="0.25">
      <c r="C102" s="107">
        <v>41501722</v>
      </c>
      <c r="D102" s="88" t="s">
        <v>2856</v>
      </c>
      <c r="E102" s="89" t="s">
        <v>2857</v>
      </c>
      <c r="F102" s="90" t="s">
        <v>2624</v>
      </c>
      <c r="G102" s="89"/>
      <c r="H102" s="89" t="s">
        <v>2858</v>
      </c>
      <c r="I102" s="89" t="s">
        <v>2859</v>
      </c>
      <c r="J102" s="89" t="s">
        <v>2624</v>
      </c>
    </row>
    <row r="103" spans="1:10" x14ac:dyDescent="0.25">
      <c r="C103" s="107">
        <v>41751411</v>
      </c>
      <c r="D103" s="88" t="s">
        <v>2860</v>
      </c>
      <c r="E103" s="89" t="s">
        <v>2861</v>
      </c>
      <c r="F103" s="90" t="s">
        <v>2624</v>
      </c>
      <c r="G103" s="89"/>
      <c r="H103" s="89" t="s">
        <v>2862</v>
      </c>
      <c r="I103" s="89" t="s">
        <v>2861</v>
      </c>
      <c r="J103" s="89" t="s">
        <v>2624</v>
      </c>
    </row>
    <row r="104" spans="1:10" x14ac:dyDescent="0.25">
      <c r="C104" s="107">
        <v>41751511</v>
      </c>
      <c r="D104" s="88" t="s">
        <v>2863</v>
      </c>
      <c r="E104" s="89" t="s">
        <v>2864</v>
      </c>
      <c r="F104" s="90" t="s">
        <v>2624</v>
      </c>
      <c r="G104" s="89"/>
      <c r="H104" s="89" t="s">
        <v>2865</v>
      </c>
      <c r="I104" s="89" t="s">
        <v>2864</v>
      </c>
      <c r="J104" s="89" t="s">
        <v>2624</v>
      </c>
    </row>
    <row r="105" spans="1:10" x14ac:dyDescent="0.25">
      <c r="C105" s="107">
        <v>47400311</v>
      </c>
      <c r="D105" s="88" t="s">
        <v>2866</v>
      </c>
      <c r="E105" s="89" t="s">
        <v>2867</v>
      </c>
      <c r="F105" s="90" t="s">
        <v>2624</v>
      </c>
      <c r="G105" s="89"/>
      <c r="H105" s="89"/>
      <c r="I105" s="89"/>
      <c r="J105" s="89" t="s">
        <v>2624</v>
      </c>
    </row>
    <row r="106" spans="1:10" x14ac:dyDescent="0.25">
      <c r="C106" s="107">
        <v>47402411</v>
      </c>
      <c r="D106" s="88" t="s">
        <v>2868</v>
      </c>
      <c r="E106" s="89" t="s">
        <v>2869</v>
      </c>
      <c r="F106" s="90" t="s">
        <v>2624</v>
      </c>
      <c r="G106" s="89"/>
      <c r="H106" s="89"/>
      <c r="I106" s="89"/>
      <c r="J106" s="89" t="s">
        <v>2624</v>
      </c>
    </row>
    <row r="107" spans="1:10" x14ac:dyDescent="0.25">
      <c r="C107" s="107">
        <v>47406031</v>
      </c>
      <c r="D107" s="88" t="s">
        <v>2870</v>
      </c>
      <c r="E107" s="89" t="s">
        <v>2871</v>
      </c>
      <c r="F107" s="90" t="s">
        <v>2624</v>
      </c>
      <c r="G107" s="89"/>
      <c r="H107" s="89" t="s">
        <v>2872</v>
      </c>
      <c r="I107" s="89" t="s">
        <v>2873</v>
      </c>
      <c r="J107" s="89" t="s">
        <v>2624</v>
      </c>
    </row>
    <row r="108" spans="1:10" x14ac:dyDescent="0.25">
      <c r="C108" s="107">
        <v>47406032</v>
      </c>
      <c r="D108" s="88" t="s">
        <v>2874</v>
      </c>
      <c r="E108" s="89" t="s">
        <v>2875</v>
      </c>
      <c r="F108" s="90" t="s">
        <v>2624</v>
      </c>
      <c r="G108" s="89"/>
      <c r="H108" s="89" t="s">
        <v>2876</v>
      </c>
      <c r="I108" s="89" t="s">
        <v>2877</v>
      </c>
      <c r="J108" s="89" t="s">
        <v>2624</v>
      </c>
    </row>
    <row r="109" spans="1:10" x14ac:dyDescent="0.25">
      <c r="C109" s="107">
        <v>47406033</v>
      </c>
      <c r="D109" s="88" t="s">
        <v>2878</v>
      </c>
      <c r="E109" s="89" t="s">
        <v>2879</v>
      </c>
      <c r="F109" s="90" t="s">
        <v>2624</v>
      </c>
      <c r="G109" s="89"/>
      <c r="H109" s="89"/>
      <c r="I109" s="89"/>
      <c r="J109" s="89" t="s">
        <v>2624</v>
      </c>
    </row>
    <row r="110" spans="1:10" x14ac:dyDescent="0.25">
      <c r="C110" s="107">
        <v>47411211</v>
      </c>
      <c r="D110" s="88" t="s">
        <v>2880</v>
      </c>
      <c r="E110" s="89" t="s">
        <v>2881</v>
      </c>
      <c r="F110" s="90" t="s">
        <v>2624</v>
      </c>
      <c r="G110" s="89"/>
      <c r="H110" s="89"/>
      <c r="I110" s="89"/>
      <c r="J110" s="89" t="s">
        <v>2624</v>
      </c>
    </row>
    <row r="111" spans="1:10" x14ac:dyDescent="0.25">
      <c r="C111" s="107">
        <v>47501032</v>
      </c>
      <c r="D111" s="88" t="s">
        <v>2882</v>
      </c>
      <c r="E111" s="89" t="s">
        <v>2883</v>
      </c>
      <c r="F111" s="90" t="s">
        <v>2624</v>
      </c>
      <c r="G111" s="89"/>
      <c r="H111" s="89" t="s">
        <v>2884</v>
      </c>
      <c r="I111" s="89" t="s">
        <v>2885</v>
      </c>
      <c r="J111" s="89" t="s">
        <v>2624</v>
      </c>
    </row>
    <row r="112" spans="1:10" x14ac:dyDescent="0.25">
      <c r="C112" s="107">
        <v>48501021</v>
      </c>
      <c r="D112" s="88" t="s">
        <v>2886</v>
      </c>
      <c r="E112" s="89" t="s">
        <v>2887</v>
      </c>
      <c r="F112" s="90" t="s">
        <v>2624</v>
      </c>
      <c r="G112" s="89"/>
      <c r="H112" s="89" t="s">
        <v>2888</v>
      </c>
      <c r="I112" s="89" t="s">
        <v>2889</v>
      </c>
      <c r="J112" s="89" t="s">
        <v>2624</v>
      </c>
    </row>
    <row r="113" spans="3:10" x14ac:dyDescent="0.25">
      <c r="C113" s="107">
        <v>48501031</v>
      </c>
      <c r="D113" s="88" t="s">
        <v>2890</v>
      </c>
      <c r="E113" s="89" t="s">
        <v>2891</v>
      </c>
      <c r="F113" s="90" t="s">
        <v>2624</v>
      </c>
      <c r="G113" s="89"/>
      <c r="H113" s="89"/>
      <c r="I113" s="89"/>
      <c r="J113" s="89" t="s">
        <v>2624</v>
      </c>
    </row>
    <row r="114" spans="3:10" x14ac:dyDescent="0.25">
      <c r="C114" s="107">
        <v>51151011</v>
      </c>
      <c r="D114" s="88" t="s">
        <v>2771</v>
      </c>
      <c r="E114" s="89" t="s">
        <v>2772</v>
      </c>
      <c r="F114" s="90" t="s">
        <v>2624</v>
      </c>
      <c r="G114" s="89"/>
      <c r="H114" s="89" t="s">
        <v>2769</v>
      </c>
      <c r="I114" s="89" t="s">
        <v>2770</v>
      </c>
      <c r="J114" s="89" t="s">
        <v>2624</v>
      </c>
    </row>
    <row r="115" spans="3:10" x14ac:dyDescent="0.25">
      <c r="C115" s="107">
        <v>51151012</v>
      </c>
      <c r="D115" s="88" t="s">
        <v>2775</v>
      </c>
      <c r="E115" s="89" t="s">
        <v>2776</v>
      </c>
      <c r="F115" s="90" t="s">
        <v>2624</v>
      </c>
      <c r="G115" s="89"/>
      <c r="H115" s="89" t="s">
        <v>2773</v>
      </c>
      <c r="I115" s="89" t="s">
        <v>2774</v>
      </c>
      <c r="J115" s="89" t="s">
        <v>2624</v>
      </c>
    </row>
    <row r="116" spans="3:10" x14ac:dyDescent="0.25">
      <c r="C116" s="107">
        <v>51151021</v>
      </c>
      <c r="D116" s="88" t="s">
        <v>2779</v>
      </c>
      <c r="E116" s="89" t="s">
        <v>2780</v>
      </c>
      <c r="F116" s="90" t="s">
        <v>2624</v>
      </c>
      <c r="G116" s="89"/>
      <c r="H116" s="89" t="s">
        <v>2777</v>
      </c>
      <c r="I116" s="89" t="s">
        <v>2778</v>
      </c>
      <c r="J116" s="89" t="s">
        <v>2624</v>
      </c>
    </row>
    <row r="117" spans="3:10" x14ac:dyDescent="0.25">
      <c r="C117" s="107">
        <v>51151031</v>
      </c>
      <c r="D117" s="88" t="s">
        <v>2783</v>
      </c>
      <c r="E117" s="89" t="s">
        <v>2784</v>
      </c>
      <c r="F117" s="90" t="s">
        <v>2624</v>
      </c>
      <c r="G117" s="89"/>
      <c r="H117" s="89" t="s">
        <v>2781</v>
      </c>
      <c r="I117" s="89" t="s">
        <v>2782</v>
      </c>
      <c r="J117" s="89" t="s">
        <v>2624</v>
      </c>
    </row>
    <row r="118" spans="3:10" x14ac:dyDescent="0.25">
      <c r="C118" s="107">
        <v>51151042</v>
      </c>
      <c r="D118" s="88" t="s">
        <v>2787</v>
      </c>
      <c r="E118" s="89" t="s">
        <v>2788</v>
      </c>
      <c r="F118" s="90" t="s">
        <v>2624</v>
      </c>
      <c r="G118" s="89"/>
      <c r="H118" s="89" t="s">
        <v>2785</v>
      </c>
      <c r="I118" s="89" t="s">
        <v>2786</v>
      </c>
      <c r="J118" s="89" t="s">
        <v>2624</v>
      </c>
    </row>
    <row r="119" spans="3:10" x14ac:dyDescent="0.25">
      <c r="C119" s="107">
        <v>51151051</v>
      </c>
      <c r="D119" s="88" t="s">
        <v>2791</v>
      </c>
      <c r="E119" s="89" t="s">
        <v>2792</v>
      </c>
      <c r="F119" s="90" t="s">
        <v>2624</v>
      </c>
      <c r="G119" s="89"/>
      <c r="H119" s="89" t="s">
        <v>2789</v>
      </c>
      <c r="I119" s="89" t="s">
        <v>2790</v>
      </c>
      <c r="J119" s="89" t="s">
        <v>2624</v>
      </c>
    </row>
    <row r="120" spans="3:10" x14ac:dyDescent="0.25">
      <c r="C120" s="107">
        <v>51151061</v>
      </c>
      <c r="D120" s="88" t="s">
        <v>2795</v>
      </c>
      <c r="E120" s="89" t="s">
        <v>2796</v>
      </c>
      <c r="F120" s="90" t="s">
        <v>2624</v>
      </c>
      <c r="G120" s="89"/>
      <c r="H120" s="89" t="s">
        <v>2793</v>
      </c>
      <c r="I120" s="89" t="s">
        <v>2794</v>
      </c>
      <c r="J120" s="89" t="s">
        <v>2624</v>
      </c>
    </row>
    <row r="121" spans="3:10" x14ac:dyDescent="0.25">
      <c r="C121" s="107">
        <v>51151071</v>
      </c>
      <c r="D121" s="88" t="s">
        <v>2801</v>
      </c>
      <c r="E121" s="89" t="s">
        <v>2802</v>
      </c>
      <c r="F121" s="90" t="s">
        <v>2624</v>
      </c>
      <c r="G121" s="89"/>
      <c r="H121" s="89" t="s">
        <v>2799</v>
      </c>
      <c r="I121" s="89" t="s">
        <v>2800</v>
      </c>
      <c r="J121" s="89" t="s">
        <v>2624</v>
      </c>
    </row>
    <row r="122" spans="3:10" x14ac:dyDescent="0.25">
      <c r="C122" s="107">
        <v>51151081</v>
      </c>
      <c r="D122" s="88" t="s">
        <v>2805</v>
      </c>
      <c r="E122" s="89" t="s">
        <v>2806</v>
      </c>
      <c r="F122" s="90" t="s">
        <v>2624</v>
      </c>
      <c r="G122" s="89"/>
      <c r="H122" s="89" t="s">
        <v>2803</v>
      </c>
      <c r="I122" s="89" t="s">
        <v>2804</v>
      </c>
      <c r="J122" s="89" t="s">
        <v>2624</v>
      </c>
    </row>
    <row r="123" spans="3:10" x14ac:dyDescent="0.25">
      <c r="C123" s="107">
        <v>51151091</v>
      </c>
      <c r="D123" s="88" t="s">
        <v>2811</v>
      </c>
      <c r="E123" s="89" t="s">
        <v>2812</v>
      </c>
      <c r="F123" s="90" t="s">
        <v>2624</v>
      </c>
      <c r="G123" s="89"/>
      <c r="H123" s="89" t="s">
        <v>2809</v>
      </c>
      <c r="I123" s="89" t="s">
        <v>2810</v>
      </c>
      <c r="J123" s="89" t="s">
        <v>2624</v>
      </c>
    </row>
    <row r="124" spans="3:10" x14ac:dyDescent="0.25">
      <c r="C124" s="107">
        <v>51170011</v>
      </c>
      <c r="D124" s="88" t="s">
        <v>2892</v>
      </c>
      <c r="E124" s="89" t="s">
        <v>2893</v>
      </c>
      <c r="F124" s="90" t="s">
        <v>2624</v>
      </c>
      <c r="G124" s="89"/>
      <c r="H124" s="89"/>
      <c r="I124" s="89"/>
      <c r="J124" s="89" t="s">
        <v>2624</v>
      </c>
    </row>
    <row r="125" spans="3:10" x14ac:dyDescent="0.25">
      <c r="C125" s="107">
        <v>51411001</v>
      </c>
      <c r="D125" s="88" t="s">
        <v>2815</v>
      </c>
      <c r="E125" s="89" t="s">
        <v>2816</v>
      </c>
      <c r="F125" s="90" t="s">
        <v>2624</v>
      </c>
      <c r="G125" s="89"/>
      <c r="H125" s="89" t="s">
        <v>2813</v>
      </c>
      <c r="I125" s="89" t="s">
        <v>2814</v>
      </c>
      <c r="J125" s="89" t="s">
        <v>2624</v>
      </c>
    </row>
    <row r="126" spans="3:10" x14ac:dyDescent="0.25">
      <c r="C126" s="107">
        <v>51421001</v>
      </c>
      <c r="D126" s="88" t="s">
        <v>2821</v>
      </c>
      <c r="E126" s="89" t="s">
        <v>2820</v>
      </c>
      <c r="F126" s="90" t="s">
        <v>2624</v>
      </c>
      <c r="G126" s="89"/>
      <c r="H126" s="89" t="s">
        <v>2819</v>
      </c>
      <c r="I126" s="89" t="s">
        <v>2820</v>
      </c>
      <c r="J126" s="89" t="s">
        <v>2624</v>
      </c>
    </row>
    <row r="127" spans="3:10" x14ac:dyDescent="0.25">
      <c r="C127" s="107">
        <v>51431001</v>
      </c>
      <c r="D127" s="88" t="s">
        <v>2824</v>
      </c>
      <c r="E127" s="89" t="s">
        <v>2823</v>
      </c>
      <c r="F127" s="90" t="s">
        <v>2624</v>
      </c>
      <c r="G127" s="89"/>
      <c r="H127" s="89" t="s">
        <v>2822</v>
      </c>
      <c r="I127" s="89" t="s">
        <v>2823</v>
      </c>
      <c r="J127" s="89" t="s">
        <v>2624</v>
      </c>
    </row>
    <row r="128" spans="3:10" x14ac:dyDescent="0.25">
      <c r="C128" s="107">
        <v>51501421</v>
      </c>
      <c r="D128" s="88" t="s">
        <v>2830</v>
      </c>
      <c r="E128" s="89" t="s">
        <v>2831</v>
      </c>
      <c r="F128" s="90" t="s">
        <v>2624</v>
      </c>
      <c r="G128" s="89"/>
      <c r="H128" s="89" t="s">
        <v>2828</v>
      </c>
      <c r="I128" s="89" t="s">
        <v>2829</v>
      </c>
      <c r="J128" s="89" t="s">
        <v>2624</v>
      </c>
    </row>
    <row r="129" spans="3:10" x14ac:dyDescent="0.25">
      <c r="C129" s="107">
        <v>51501422</v>
      </c>
      <c r="D129" s="88" t="s">
        <v>2834</v>
      </c>
      <c r="E129" s="89" t="s">
        <v>2835</v>
      </c>
      <c r="F129" s="90" t="s">
        <v>2624</v>
      </c>
      <c r="G129" s="89"/>
      <c r="H129" s="89" t="s">
        <v>2832</v>
      </c>
      <c r="I129" s="89" t="s">
        <v>2833</v>
      </c>
      <c r="J129" s="89" t="s">
        <v>2624</v>
      </c>
    </row>
    <row r="130" spans="3:10" x14ac:dyDescent="0.25">
      <c r="C130" s="107">
        <v>51501431</v>
      </c>
      <c r="D130" s="88" t="s">
        <v>2838</v>
      </c>
      <c r="E130" s="89" t="s">
        <v>2839</v>
      </c>
      <c r="F130" s="90" t="s">
        <v>2624</v>
      </c>
      <c r="G130" s="89"/>
      <c r="H130" s="89" t="s">
        <v>2836</v>
      </c>
      <c r="I130" s="89" t="s">
        <v>2837</v>
      </c>
      <c r="J130" s="89" t="s">
        <v>2624</v>
      </c>
    </row>
    <row r="131" spans="3:10" x14ac:dyDescent="0.25">
      <c r="C131" s="107">
        <v>51501432</v>
      </c>
      <c r="D131" s="88" t="s">
        <v>2842</v>
      </c>
      <c r="E131" s="89" t="s">
        <v>2843</v>
      </c>
      <c r="F131" s="90" t="s">
        <v>2624</v>
      </c>
      <c r="G131" s="89"/>
      <c r="H131" s="89" t="s">
        <v>2840</v>
      </c>
      <c r="I131" s="89" t="s">
        <v>2841</v>
      </c>
      <c r="J131" s="89" t="s">
        <v>2624</v>
      </c>
    </row>
    <row r="132" spans="3:10" x14ac:dyDescent="0.25">
      <c r="C132" s="107">
        <v>51501621</v>
      </c>
      <c r="D132" s="88" t="s">
        <v>2846</v>
      </c>
      <c r="E132" s="89" t="s">
        <v>2847</v>
      </c>
      <c r="F132" s="90" t="s">
        <v>2624</v>
      </c>
      <c r="G132" s="89"/>
      <c r="H132" s="89" t="s">
        <v>2844</v>
      </c>
      <c r="I132" s="89" t="s">
        <v>2845</v>
      </c>
      <c r="J132" s="89" t="s">
        <v>2624</v>
      </c>
    </row>
    <row r="133" spans="3:10" x14ac:dyDescent="0.25">
      <c r="C133" s="107">
        <v>51501622</v>
      </c>
      <c r="D133" s="88" t="s">
        <v>2850</v>
      </c>
      <c r="E133" s="89" t="s">
        <v>2851</v>
      </c>
      <c r="F133" s="90" t="s">
        <v>2624</v>
      </c>
      <c r="G133" s="89"/>
      <c r="H133" s="89" t="s">
        <v>2848</v>
      </c>
      <c r="I133" s="89" t="s">
        <v>2849</v>
      </c>
      <c r="J133" s="89" t="s">
        <v>2624</v>
      </c>
    </row>
    <row r="134" spans="3:10" x14ac:dyDescent="0.25">
      <c r="C134" s="107">
        <v>51501721</v>
      </c>
      <c r="D134" s="88" t="s">
        <v>2854</v>
      </c>
      <c r="E134" s="89" t="s">
        <v>2855</v>
      </c>
      <c r="F134" s="90" t="s">
        <v>2624</v>
      </c>
      <c r="G134" s="89"/>
      <c r="H134" s="89" t="s">
        <v>2852</v>
      </c>
      <c r="I134" s="89" t="s">
        <v>2853</v>
      </c>
      <c r="J134" s="89" t="s">
        <v>2624</v>
      </c>
    </row>
    <row r="135" spans="3:10" x14ac:dyDescent="0.25">
      <c r="C135" s="107">
        <v>51501722</v>
      </c>
      <c r="D135" s="88" t="s">
        <v>2858</v>
      </c>
      <c r="E135" s="89" t="s">
        <v>2859</v>
      </c>
      <c r="F135" s="90" t="s">
        <v>2624</v>
      </c>
      <c r="G135" s="89"/>
      <c r="H135" s="89" t="s">
        <v>2856</v>
      </c>
      <c r="I135" s="89" t="s">
        <v>2857</v>
      </c>
      <c r="J135" s="89" t="s">
        <v>2624</v>
      </c>
    </row>
    <row r="136" spans="3:10" x14ac:dyDescent="0.25">
      <c r="C136" s="107">
        <v>51751411</v>
      </c>
      <c r="D136" s="88" t="s">
        <v>2862</v>
      </c>
      <c r="E136" s="89" t="s">
        <v>2861</v>
      </c>
      <c r="F136" s="90" t="s">
        <v>2624</v>
      </c>
      <c r="G136" s="89"/>
      <c r="H136" s="89" t="s">
        <v>2860</v>
      </c>
      <c r="I136" s="89" t="s">
        <v>2894</v>
      </c>
      <c r="J136" s="89" t="s">
        <v>2624</v>
      </c>
    </row>
    <row r="137" spans="3:10" x14ac:dyDescent="0.25">
      <c r="C137" s="107">
        <v>51751511</v>
      </c>
      <c r="D137" s="88" t="s">
        <v>2865</v>
      </c>
      <c r="E137" s="89" t="s">
        <v>2864</v>
      </c>
      <c r="F137" s="90" t="s">
        <v>2624</v>
      </c>
      <c r="G137" s="89"/>
      <c r="H137" s="89" t="s">
        <v>2863</v>
      </c>
      <c r="I137" s="89" t="s">
        <v>2864</v>
      </c>
      <c r="J137" s="89" t="s">
        <v>2624</v>
      </c>
    </row>
    <row r="138" spans="3:10" x14ac:dyDescent="0.25">
      <c r="C138" s="107">
        <v>52611021</v>
      </c>
      <c r="D138" s="88" t="s">
        <v>2888</v>
      </c>
      <c r="E138" s="89" t="s">
        <v>2889</v>
      </c>
      <c r="F138" s="90" t="s">
        <v>2624</v>
      </c>
      <c r="G138" s="89"/>
      <c r="H138" s="89" t="s">
        <v>2886</v>
      </c>
      <c r="I138" s="89" t="s">
        <v>2887</v>
      </c>
      <c r="J138" s="89" t="s">
        <v>2624</v>
      </c>
    </row>
    <row r="139" spans="3:10" x14ac:dyDescent="0.25">
      <c r="C139" s="107">
        <v>52710112</v>
      </c>
      <c r="D139" s="88" t="s">
        <v>2895</v>
      </c>
      <c r="E139" s="89" t="s">
        <v>2861</v>
      </c>
      <c r="F139" s="90" t="s">
        <v>2624</v>
      </c>
      <c r="G139" s="89"/>
      <c r="H139" s="89"/>
      <c r="I139" s="89"/>
      <c r="J139" s="89" t="s">
        <v>2624</v>
      </c>
    </row>
    <row r="140" spans="3:10" x14ac:dyDescent="0.25">
      <c r="C140" s="107">
        <v>57406031</v>
      </c>
      <c r="D140" s="88" t="s">
        <v>2872</v>
      </c>
      <c r="E140" s="89" t="s">
        <v>2873</v>
      </c>
      <c r="F140" s="90" t="s">
        <v>2624</v>
      </c>
      <c r="G140" s="89"/>
      <c r="H140" s="89" t="s">
        <v>2870</v>
      </c>
      <c r="I140" s="89" t="s">
        <v>2871</v>
      </c>
      <c r="J140" s="89" t="s">
        <v>2624</v>
      </c>
    </row>
    <row r="141" spans="3:10" x14ac:dyDescent="0.25">
      <c r="C141" s="107">
        <v>57406032</v>
      </c>
      <c r="D141" s="88" t="s">
        <v>2876</v>
      </c>
      <c r="E141" s="89" t="s">
        <v>2877</v>
      </c>
      <c r="F141" s="90" t="s">
        <v>2624</v>
      </c>
      <c r="G141" s="89"/>
      <c r="H141" s="89" t="s">
        <v>2874</v>
      </c>
      <c r="I141" s="89" t="s">
        <v>2875</v>
      </c>
      <c r="J141" s="89" t="s">
        <v>2624</v>
      </c>
    </row>
    <row r="142" spans="3:10" x14ac:dyDescent="0.25">
      <c r="C142" s="107">
        <v>57910111</v>
      </c>
      <c r="D142" s="88" t="s">
        <v>2884</v>
      </c>
      <c r="E142" s="89" t="s">
        <v>2885</v>
      </c>
      <c r="F142" s="90" t="s">
        <v>2624</v>
      </c>
      <c r="G142" s="89"/>
      <c r="H142" s="89" t="s">
        <v>2882</v>
      </c>
      <c r="I142" s="89" t="s">
        <v>2883</v>
      </c>
      <c r="J142" s="89" t="s">
        <v>2624</v>
      </c>
    </row>
    <row r="143" spans="3:10" x14ac:dyDescent="0.25">
      <c r="C143" s="107">
        <v>60001001</v>
      </c>
      <c r="D143" s="88" t="s">
        <v>2827</v>
      </c>
      <c r="E143" s="89" t="s">
        <v>2826</v>
      </c>
      <c r="F143" s="90" t="s">
        <v>2624</v>
      </c>
      <c r="G143" s="89"/>
      <c r="H143" s="89" t="s">
        <v>2825</v>
      </c>
      <c r="I143" s="89" t="s">
        <v>2826</v>
      </c>
      <c r="J143" s="89" t="s">
        <v>2624</v>
      </c>
    </row>
    <row r="144" spans="3:10" x14ac:dyDescent="0.25">
      <c r="C144" s="107">
        <v>60001031</v>
      </c>
      <c r="D144" s="88" t="s">
        <v>2896</v>
      </c>
      <c r="E144" s="89" t="s">
        <v>2897</v>
      </c>
      <c r="F144" s="90" t="s">
        <v>2624</v>
      </c>
      <c r="G144" s="89"/>
      <c r="H144" s="89"/>
      <c r="I144" s="89"/>
      <c r="J144" s="89" t="s">
        <v>2624</v>
      </c>
    </row>
    <row r="145" spans="3:10" x14ac:dyDescent="0.25">
      <c r="C145" s="107">
        <v>62251032</v>
      </c>
      <c r="D145" s="88" t="s">
        <v>2898</v>
      </c>
      <c r="E145" s="89" t="s">
        <v>2883</v>
      </c>
      <c r="F145" s="90" t="s">
        <v>2624</v>
      </c>
      <c r="G145" s="89"/>
      <c r="H145" s="89"/>
      <c r="I145" s="89"/>
      <c r="J145" s="89" t="s">
        <v>2624</v>
      </c>
    </row>
    <row r="146" spans="3:10" x14ac:dyDescent="0.25">
      <c r="C146" s="107">
        <v>63001011</v>
      </c>
      <c r="D146" s="88" t="s">
        <v>2899</v>
      </c>
      <c r="E146" s="89" t="s">
        <v>2900</v>
      </c>
      <c r="F146" s="90" t="s">
        <v>2624</v>
      </c>
      <c r="G146" s="89"/>
      <c r="H146" s="89"/>
      <c r="I146" s="89"/>
      <c r="J146" s="89" t="s">
        <v>2624</v>
      </c>
    </row>
    <row r="147" spans="3:10" x14ac:dyDescent="0.25">
      <c r="C147" s="107">
        <v>63001021</v>
      </c>
      <c r="D147" s="88" t="s">
        <v>2901</v>
      </c>
      <c r="E147" s="89" t="s">
        <v>2902</v>
      </c>
      <c r="F147" s="90" t="s">
        <v>2624</v>
      </c>
      <c r="G147" s="89"/>
      <c r="H147" s="89"/>
      <c r="I147" s="89"/>
      <c r="J147" s="89" t="s">
        <v>2624</v>
      </c>
    </row>
    <row r="148" spans="3:10" x14ac:dyDescent="0.25">
      <c r="C148" s="107">
        <v>63001031</v>
      </c>
      <c r="D148" s="88" t="s">
        <v>2903</v>
      </c>
      <c r="E148" s="89" t="s">
        <v>2904</v>
      </c>
      <c r="F148" s="90" t="s">
        <v>2624</v>
      </c>
      <c r="G148" s="89"/>
      <c r="H148" s="89"/>
      <c r="I148" s="89"/>
      <c r="J148" s="89" t="s">
        <v>2624</v>
      </c>
    </row>
    <row r="149" spans="3:10" x14ac:dyDescent="0.25">
      <c r="C149" s="107">
        <v>63001061</v>
      </c>
      <c r="D149" s="88" t="s">
        <v>2905</v>
      </c>
      <c r="E149" s="89" t="s">
        <v>2906</v>
      </c>
      <c r="F149" s="90" t="s">
        <v>2624</v>
      </c>
      <c r="G149" s="89"/>
      <c r="H149" s="89" t="s">
        <v>2907</v>
      </c>
      <c r="I149" s="89" t="s">
        <v>2908</v>
      </c>
      <c r="J149" s="89" t="s">
        <v>2624</v>
      </c>
    </row>
    <row r="150" spans="3:10" x14ac:dyDescent="0.25">
      <c r="C150" s="107">
        <v>63001071</v>
      </c>
      <c r="D150" s="88" t="s">
        <v>2909</v>
      </c>
      <c r="E150" s="89" t="s">
        <v>2910</v>
      </c>
      <c r="F150" s="90" t="s">
        <v>2624</v>
      </c>
      <c r="G150" s="89"/>
      <c r="H150" s="89" t="s">
        <v>2911</v>
      </c>
      <c r="I150" s="89" t="s">
        <v>2912</v>
      </c>
      <c r="J150" s="89" t="s">
        <v>2624</v>
      </c>
    </row>
    <row r="151" spans="3:10" x14ac:dyDescent="0.25">
      <c r="C151" s="107">
        <v>63001081</v>
      </c>
      <c r="D151" s="88" t="s">
        <v>2913</v>
      </c>
      <c r="E151" s="89" t="s">
        <v>2914</v>
      </c>
      <c r="F151" s="90" t="s">
        <v>2624</v>
      </c>
      <c r="G151" s="89"/>
      <c r="H151" s="89" t="s">
        <v>2915</v>
      </c>
      <c r="I151" s="89" t="s">
        <v>2916</v>
      </c>
      <c r="J151" s="89" t="s">
        <v>2624</v>
      </c>
    </row>
    <row r="152" spans="3:10" x14ac:dyDescent="0.25">
      <c r="C152" s="107">
        <v>63001091</v>
      </c>
      <c r="D152" s="88" t="s">
        <v>2917</v>
      </c>
      <c r="E152" s="89" t="s">
        <v>2918</v>
      </c>
      <c r="F152" s="90" t="s">
        <v>2624</v>
      </c>
      <c r="G152" s="89"/>
      <c r="H152" s="89"/>
      <c r="I152" s="89"/>
      <c r="J152" s="89" t="s">
        <v>2624</v>
      </c>
    </row>
    <row r="153" spans="3:10" x14ac:dyDescent="0.25">
      <c r="C153" s="107">
        <v>63001101</v>
      </c>
      <c r="D153" s="88" t="s">
        <v>2919</v>
      </c>
      <c r="E153" s="89" t="s">
        <v>2920</v>
      </c>
      <c r="F153" s="90" t="s">
        <v>2624</v>
      </c>
      <c r="G153" s="89"/>
      <c r="H153" s="89" t="s">
        <v>2921</v>
      </c>
      <c r="I153" s="89" t="s">
        <v>2922</v>
      </c>
      <c r="J153" s="89" t="s">
        <v>2624</v>
      </c>
    </row>
    <row r="154" spans="3:10" x14ac:dyDescent="0.25">
      <c r="C154" s="107">
        <v>63001201</v>
      </c>
      <c r="D154" s="88" t="s">
        <v>2923</v>
      </c>
      <c r="E154" s="89" t="s">
        <v>2924</v>
      </c>
      <c r="F154" s="90" t="s">
        <v>2624</v>
      </c>
      <c r="G154" s="89"/>
      <c r="H154" s="89"/>
      <c r="I154" s="89"/>
      <c r="J154" s="89" t="s">
        <v>2624</v>
      </c>
    </row>
    <row r="155" spans="3:10" x14ac:dyDescent="0.25">
      <c r="C155" s="107">
        <v>72001021</v>
      </c>
      <c r="D155" s="88" t="s">
        <v>2925</v>
      </c>
      <c r="E155" s="89" t="s">
        <v>2926</v>
      </c>
      <c r="F155" s="90" t="s">
        <v>2624</v>
      </c>
      <c r="G155" s="89"/>
      <c r="H155" s="89" t="s">
        <v>2927</v>
      </c>
      <c r="I155" s="89" t="s">
        <v>2928</v>
      </c>
      <c r="J155" s="89" t="s">
        <v>2624</v>
      </c>
    </row>
    <row r="156" spans="3:10" x14ac:dyDescent="0.25">
      <c r="C156" s="107">
        <v>72001031</v>
      </c>
      <c r="D156" s="88" t="s">
        <v>2929</v>
      </c>
      <c r="E156" s="89" t="s">
        <v>2930</v>
      </c>
      <c r="F156" s="90" t="s">
        <v>2624</v>
      </c>
      <c r="G156" s="89"/>
      <c r="H156" s="89" t="s">
        <v>2931</v>
      </c>
      <c r="I156" s="89" t="s">
        <v>2932</v>
      </c>
      <c r="J156" s="89" t="s">
        <v>2624</v>
      </c>
    </row>
    <row r="157" spans="3:10" x14ac:dyDescent="0.25">
      <c r="C157" s="107">
        <v>72001041</v>
      </c>
      <c r="D157" s="88" t="s">
        <v>2933</v>
      </c>
      <c r="E157" s="89" t="s">
        <v>2934</v>
      </c>
      <c r="F157" s="90" t="s">
        <v>2624</v>
      </c>
      <c r="G157" s="89"/>
      <c r="H157" s="89" t="s">
        <v>2935</v>
      </c>
      <c r="I157" s="89" t="s">
        <v>2936</v>
      </c>
      <c r="J157" s="89" t="s">
        <v>2624</v>
      </c>
    </row>
    <row r="158" spans="3:10" x14ac:dyDescent="0.25">
      <c r="C158" s="107">
        <v>72001051</v>
      </c>
      <c r="D158" s="88" t="s">
        <v>2937</v>
      </c>
      <c r="E158" s="89" t="s">
        <v>2938</v>
      </c>
      <c r="F158" s="90" t="s">
        <v>2624</v>
      </c>
      <c r="G158" s="89"/>
      <c r="H158" s="89" t="s">
        <v>2939</v>
      </c>
      <c r="I158" s="89" t="s">
        <v>2940</v>
      </c>
      <c r="J158" s="89" t="s">
        <v>2624</v>
      </c>
    </row>
    <row r="159" spans="3:10" x14ac:dyDescent="0.25">
      <c r="C159" s="107">
        <v>72001061</v>
      </c>
      <c r="D159" s="88" t="s">
        <v>2941</v>
      </c>
      <c r="E159" s="89" t="s">
        <v>2942</v>
      </c>
      <c r="F159" s="90" t="s">
        <v>2624</v>
      </c>
      <c r="G159" s="89"/>
      <c r="H159" s="89" t="s">
        <v>2943</v>
      </c>
      <c r="I159" s="89" t="s">
        <v>2944</v>
      </c>
      <c r="J159" s="89" t="s">
        <v>2624</v>
      </c>
    </row>
    <row r="160" spans="3:10" x14ac:dyDescent="0.25">
      <c r="C160" s="107">
        <v>72001071</v>
      </c>
      <c r="D160" s="88" t="s">
        <v>2945</v>
      </c>
      <c r="E160" s="89" t="s">
        <v>2946</v>
      </c>
      <c r="F160" s="90" t="s">
        <v>2624</v>
      </c>
      <c r="G160" s="89"/>
      <c r="H160" s="89" t="s">
        <v>2947</v>
      </c>
      <c r="I160" s="89" t="s">
        <v>2948</v>
      </c>
      <c r="J160" s="89" t="s">
        <v>2624</v>
      </c>
    </row>
    <row r="161" spans="3:10" x14ac:dyDescent="0.25">
      <c r="C161" s="107">
        <v>72001081</v>
      </c>
      <c r="D161" s="88" t="s">
        <v>2949</v>
      </c>
      <c r="E161" s="89" t="s">
        <v>2950</v>
      </c>
      <c r="F161" s="90" t="s">
        <v>2624</v>
      </c>
      <c r="G161" s="89"/>
      <c r="H161" s="89" t="s">
        <v>2951</v>
      </c>
      <c r="I161" s="89" t="s">
        <v>2952</v>
      </c>
      <c r="J161" s="89" t="s">
        <v>2624</v>
      </c>
    </row>
    <row r="162" spans="3:10" x14ac:dyDescent="0.25">
      <c r="C162" s="107">
        <v>72001091</v>
      </c>
      <c r="D162" s="88" t="s">
        <v>2953</v>
      </c>
      <c r="E162" s="89" t="s">
        <v>2954</v>
      </c>
      <c r="F162" s="90" t="s">
        <v>2624</v>
      </c>
      <c r="G162" s="89"/>
      <c r="H162" s="89" t="s">
        <v>2955</v>
      </c>
      <c r="I162" s="89" t="s">
        <v>2956</v>
      </c>
      <c r="J162" s="89" t="s">
        <v>2624</v>
      </c>
    </row>
    <row r="163" spans="3:10" x14ac:dyDescent="0.25">
      <c r="C163" s="107">
        <v>72001101</v>
      </c>
      <c r="D163" s="88" t="s">
        <v>2957</v>
      </c>
      <c r="E163" s="89" t="s">
        <v>2958</v>
      </c>
      <c r="F163" s="90" t="s">
        <v>2624</v>
      </c>
      <c r="G163" s="89"/>
      <c r="H163" s="89"/>
      <c r="I163" s="89"/>
      <c r="J163" s="89" t="s">
        <v>2624</v>
      </c>
    </row>
    <row r="164" spans="3:10" x14ac:dyDescent="0.25">
      <c r="C164" s="107">
        <v>72001111</v>
      </c>
      <c r="D164" s="88" t="s">
        <v>2959</v>
      </c>
      <c r="E164" s="89" t="s">
        <v>2960</v>
      </c>
      <c r="F164" s="90" t="s">
        <v>2624</v>
      </c>
      <c r="G164" s="89"/>
      <c r="H164" s="89"/>
      <c r="I164" s="89"/>
      <c r="J164" s="89" t="s">
        <v>2624</v>
      </c>
    </row>
    <row r="165" spans="3:10" x14ac:dyDescent="0.25">
      <c r="C165" s="107">
        <v>72001131</v>
      </c>
      <c r="D165" s="88" t="s">
        <v>2961</v>
      </c>
      <c r="E165" s="89" t="s">
        <v>2962</v>
      </c>
      <c r="F165" s="90" t="s">
        <v>2624</v>
      </c>
      <c r="G165" s="89"/>
      <c r="H165" s="89" t="s">
        <v>2963</v>
      </c>
      <c r="I165" s="89" t="s">
        <v>2962</v>
      </c>
      <c r="J165" s="89" t="s">
        <v>2624</v>
      </c>
    </row>
    <row r="166" spans="3:10" x14ac:dyDescent="0.25">
      <c r="C166" s="107">
        <v>72003091</v>
      </c>
      <c r="D166" s="88" t="s">
        <v>2964</v>
      </c>
      <c r="E166" s="89" t="s">
        <v>2965</v>
      </c>
      <c r="F166" s="90" t="s">
        <v>2624</v>
      </c>
      <c r="G166" s="89"/>
      <c r="H166" s="89" t="s">
        <v>2966</v>
      </c>
      <c r="I166" s="89" t="s">
        <v>2967</v>
      </c>
      <c r="J166" s="89" t="s">
        <v>2624</v>
      </c>
    </row>
    <row r="167" spans="3:10" x14ac:dyDescent="0.25">
      <c r="C167" s="107">
        <v>72170011</v>
      </c>
      <c r="D167" s="88" t="s">
        <v>2968</v>
      </c>
      <c r="E167" s="89" t="s">
        <v>2969</v>
      </c>
      <c r="F167" s="90" t="s">
        <v>2624</v>
      </c>
      <c r="G167" s="89"/>
      <c r="H167" s="89" t="s">
        <v>2970</v>
      </c>
      <c r="I167" s="89" t="s">
        <v>2971</v>
      </c>
      <c r="J167" s="89" t="s">
        <v>2624</v>
      </c>
    </row>
    <row r="168" spans="3:10" x14ac:dyDescent="0.25">
      <c r="C168" s="107">
        <v>82001021</v>
      </c>
      <c r="D168" s="88" t="s">
        <v>2927</v>
      </c>
      <c r="E168" s="89" t="s">
        <v>2928</v>
      </c>
      <c r="F168" s="90" t="s">
        <v>2624</v>
      </c>
      <c r="G168" s="89"/>
      <c r="H168" s="89" t="s">
        <v>2925</v>
      </c>
      <c r="I168" s="89" t="s">
        <v>2926</v>
      </c>
      <c r="J168" s="89" t="s">
        <v>2624</v>
      </c>
    </row>
    <row r="169" spans="3:10" x14ac:dyDescent="0.25">
      <c r="C169" s="107">
        <v>82001031</v>
      </c>
      <c r="D169" s="88" t="s">
        <v>2931</v>
      </c>
      <c r="E169" s="89" t="s">
        <v>2932</v>
      </c>
      <c r="F169" s="90" t="s">
        <v>2624</v>
      </c>
      <c r="G169" s="89"/>
      <c r="H169" s="89" t="s">
        <v>2929</v>
      </c>
      <c r="I169" s="89" t="s">
        <v>2930</v>
      </c>
      <c r="J169" s="89" t="s">
        <v>2624</v>
      </c>
    </row>
    <row r="170" spans="3:10" x14ac:dyDescent="0.25">
      <c r="C170" s="107">
        <v>82001041</v>
      </c>
      <c r="D170" s="88" t="s">
        <v>2935</v>
      </c>
      <c r="E170" s="89" t="s">
        <v>2936</v>
      </c>
      <c r="F170" s="90" t="s">
        <v>2624</v>
      </c>
      <c r="G170" s="89"/>
      <c r="H170" s="89" t="s">
        <v>2933</v>
      </c>
      <c r="I170" s="89" t="s">
        <v>2934</v>
      </c>
      <c r="J170" s="89" t="s">
        <v>2624</v>
      </c>
    </row>
    <row r="171" spans="3:10" x14ac:dyDescent="0.25">
      <c r="C171" s="107">
        <v>82001051</v>
      </c>
      <c r="D171" s="88" t="s">
        <v>2939</v>
      </c>
      <c r="E171" s="89" t="s">
        <v>2940</v>
      </c>
      <c r="F171" s="90" t="s">
        <v>2624</v>
      </c>
      <c r="G171" s="89"/>
      <c r="H171" s="89" t="s">
        <v>2937</v>
      </c>
      <c r="I171" s="89" t="s">
        <v>2938</v>
      </c>
      <c r="J171" s="89" t="s">
        <v>2624</v>
      </c>
    </row>
    <row r="172" spans="3:10" x14ac:dyDescent="0.25">
      <c r="C172" s="107">
        <v>82001061</v>
      </c>
      <c r="D172" s="88" t="s">
        <v>2943</v>
      </c>
      <c r="E172" s="89" t="s">
        <v>2944</v>
      </c>
      <c r="F172" s="90" t="s">
        <v>2624</v>
      </c>
      <c r="G172" s="89"/>
      <c r="H172" s="89" t="s">
        <v>2941</v>
      </c>
      <c r="I172" s="89" t="s">
        <v>2942</v>
      </c>
      <c r="J172" s="89" t="s">
        <v>2624</v>
      </c>
    </row>
    <row r="173" spans="3:10" x14ac:dyDescent="0.25">
      <c r="C173" s="107">
        <v>82001071</v>
      </c>
      <c r="D173" s="88" t="s">
        <v>2947</v>
      </c>
      <c r="E173" s="89" t="s">
        <v>2948</v>
      </c>
      <c r="F173" s="90" t="s">
        <v>2624</v>
      </c>
      <c r="G173" s="89"/>
      <c r="H173" s="89" t="s">
        <v>2945</v>
      </c>
      <c r="I173" s="89" t="s">
        <v>2946</v>
      </c>
      <c r="J173" s="89" t="s">
        <v>2624</v>
      </c>
    </row>
    <row r="174" spans="3:10" x14ac:dyDescent="0.25">
      <c r="C174" s="107">
        <v>82001081</v>
      </c>
      <c r="D174" s="88" t="s">
        <v>2951</v>
      </c>
      <c r="E174" s="89" t="s">
        <v>2952</v>
      </c>
      <c r="F174" s="90" t="s">
        <v>2624</v>
      </c>
      <c r="G174" s="89"/>
      <c r="H174" s="89" t="s">
        <v>2949</v>
      </c>
      <c r="I174" s="89" t="s">
        <v>2950</v>
      </c>
      <c r="J174" s="89" t="s">
        <v>2624</v>
      </c>
    </row>
    <row r="175" spans="3:10" x14ac:dyDescent="0.25">
      <c r="C175" s="107">
        <v>82001091</v>
      </c>
      <c r="D175" s="88" t="s">
        <v>2955</v>
      </c>
      <c r="E175" s="89" t="s">
        <v>2956</v>
      </c>
      <c r="F175" s="90" t="s">
        <v>2624</v>
      </c>
      <c r="G175" s="89"/>
      <c r="H175" s="89" t="s">
        <v>2953</v>
      </c>
      <c r="I175" s="89" t="s">
        <v>2954</v>
      </c>
      <c r="J175" s="89" t="s">
        <v>2624</v>
      </c>
    </row>
    <row r="176" spans="3:10" x14ac:dyDescent="0.25">
      <c r="C176" s="107">
        <v>82001111</v>
      </c>
      <c r="D176" s="88" t="s">
        <v>2972</v>
      </c>
      <c r="E176" s="89" t="s">
        <v>2960</v>
      </c>
      <c r="F176" s="90" t="s">
        <v>2624</v>
      </c>
      <c r="G176" s="89"/>
      <c r="H176" s="89"/>
      <c r="I176" s="89"/>
      <c r="J176" s="89" t="s">
        <v>2624</v>
      </c>
    </row>
    <row r="177" spans="3:10" x14ac:dyDescent="0.25">
      <c r="C177" s="107">
        <v>82001121</v>
      </c>
      <c r="D177" s="88" t="s">
        <v>2973</v>
      </c>
      <c r="E177" s="89" t="s">
        <v>2974</v>
      </c>
      <c r="F177" s="90" t="s">
        <v>2624</v>
      </c>
      <c r="G177" s="89"/>
      <c r="H177" s="89"/>
      <c r="I177" s="89"/>
      <c r="J177" s="89" t="s">
        <v>2624</v>
      </c>
    </row>
    <row r="178" spans="3:10" x14ac:dyDescent="0.25">
      <c r="C178" s="107">
        <v>82001131</v>
      </c>
      <c r="D178" s="88" t="s">
        <v>2963</v>
      </c>
      <c r="E178" s="89" t="s">
        <v>2962</v>
      </c>
      <c r="F178" s="90" t="s">
        <v>2624</v>
      </c>
      <c r="G178" s="89"/>
      <c r="H178" s="89" t="s">
        <v>2961</v>
      </c>
      <c r="I178" s="89" t="s">
        <v>2962</v>
      </c>
      <c r="J178" s="89" t="s">
        <v>2624</v>
      </c>
    </row>
    <row r="179" spans="3:10" x14ac:dyDescent="0.25">
      <c r="C179" s="107">
        <v>82003091</v>
      </c>
      <c r="D179" s="88" t="s">
        <v>2966</v>
      </c>
      <c r="E179" s="89" t="s">
        <v>2967</v>
      </c>
      <c r="F179" s="90" t="s">
        <v>2624</v>
      </c>
      <c r="G179" s="89"/>
      <c r="H179" s="89" t="s">
        <v>2964</v>
      </c>
      <c r="I179" s="89" t="s">
        <v>2958</v>
      </c>
      <c r="J179" s="89" t="s">
        <v>2624</v>
      </c>
    </row>
    <row r="180" spans="3:10" x14ac:dyDescent="0.25">
      <c r="C180" s="107">
        <v>82101061</v>
      </c>
      <c r="D180" s="88" t="s">
        <v>2907</v>
      </c>
      <c r="E180" s="89" t="s">
        <v>2908</v>
      </c>
      <c r="F180" s="90" t="s">
        <v>2624</v>
      </c>
      <c r="G180" s="89"/>
      <c r="H180" s="89" t="s">
        <v>2905</v>
      </c>
      <c r="I180" s="89" t="s">
        <v>2906</v>
      </c>
      <c r="J180" s="89" t="s">
        <v>2624</v>
      </c>
    </row>
    <row r="181" spans="3:10" x14ac:dyDescent="0.25">
      <c r="C181" s="107">
        <v>82170011</v>
      </c>
      <c r="D181" s="88" t="s">
        <v>2970</v>
      </c>
      <c r="E181" s="89" t="s">
        <v>2971</v>
      </c>
      <c r="F181" s="90" t="s">
        <v>2624</v>
      </c>
      <c r="G181" s="89"/>
      <c r="H181" s="89" t="s">
        <v>2968</v>
      </c>
      <c r="I181" s="89" t="s">
        <v>2969</v>
      </c>
      <c r="J181" s="89" t="s">
        <v>2624</v>
      </c>
    </row>
    <row r="182" spans="3:10" x14ac:dyDescent="0.25">
      <c r="C182" s="107">
        <v>95100011</v>
      </c>
      <c r="D182" s="88" t="s">
        <v>2911</v>
      </c>
      <c r="E182" s="89" t="s">
        <v>2912</v>
      </c>
      <c r="F182" s="90" t="s">
        <v>2624</v>
      </c>
      <c r="G182" s="89"/>
      <c r="H182" s="89" t="s">
        <v>2909</v>
      </c>
      <c r="I182" s="89" t="s">
        <v>2910</v>
      </c>
      <c r="J182" s="89" t="s">
        <v>2624</v>
      </c>
    </row>
    <row r="183" spans="3:10" x14ac:dyDescent="0.25">
      <c r="C183" s="107">
        <v>95100111</v>
      </c>
      <c r="D183" s="88" t="s">
        <v>2915</v>
      </c>
      <c r="E183" s="89" t="s">
        <v>2916</v>
      </c>
      <c r="F183" s="90" t="s">
        <v>2624</v>
      </c>
      <c r="G183" s="89"/>
      <c r="H183" s="89" t="s">
        <v>2913</v>
      </c>
      <c r="I183" s="89" t="s">
        <v>2914</v>
      </c>
      <c r="J183" s="89" t="s">
        <v>2624</v>
      </c>
    </row>
    <row r="184" spans="3:10" x14ac:dyDescent="0.25">
      <c r="C184" s="107">
        <v>95100311</v>
      </c>
      <c r="D184" s="88" t="s">
        <v>2921</v>
      </c>
      <c r="E184" s="89" t="s">
        <v>2922</v>
      </c>
      <c r="F184" s="90" t="s">
        <v>2624</v>
      </c>
      <c r="G184" s="89"/>
      <c r="H184" s="89" t="s">
        <v>2919</v>
      </c>
      <c r="I184" s="89" t="s">
        <v>2920</v>
      </c>
      <c r="J184" s="89" t="s">
        <v>2624</v>
      </c>
    </row>
    <row r="185" spans="3:10" x14ac:dyDescent="0.25">
      <c r="C185" s="67"/>
      <c r="D185" s="67"/>
      <c r="E185" s="56"/>
      <c r="F185" s="56"/>
    </row>
    <row r="186" spans="3:10" x14ac:dyDescent="0.25">
      <c r="C186" s="67"/>
      <c r="D186" s="67"/>
      <c r="E186" s="56"/>
      <c r="F186" s="56"/>
    </row>
    <row r="187" spans="3:10" x14ac:dyDescent="0.25">
      <c r="C187" s="67"/>
      <c r="D187" s="67"/>
      <c r="E187" s="56"/>
      <c r="F187" s="56"/>
    </row>
    <row r="188" spans="3:10" x14ac:dyDescent="0.25">
      <c r="C188" s="67"/>
      <c r="D188" s="67"/>
      <c r="E188" s="56"/>
      <c r="F188" s="56"/>
    </row>
    <row r="189" spans="3:10" x14ac:dyDescent="0.25">
      <c r="C189" s="67"/>
      <c r="D189" s="67"/>
      <c r="E189" s="56"/>
      <c r="F189" s="56"/>
    </row>
    <row r="190" spans="3:10" x14ac:dyDescent="0.25">
      <c r="C190" s="67"/>
      <c r="D190" s="67"/>
      <c r="E190" s="56"/>
      <c r="F190" s="56"/>
    </row>
    <row r="191" spans="3:10" x14ac:dyDescent="0.25">
      <c r="C191" s="67"/>
      <c r="D191" s="67"/>
      <c r="E191" s="56"/>
      <c r="F191" s="56"/>
    </row>
    <row r="192" spans="3:10" x14ac:dyDescent="0.25">
      <c r="C192" s="67"/>
      <c r="D192" s="67"/>
      <c r="E192" s="56"/>
      <c r="F192" s="56"/>
    </row>
    <row r="193" spans="3:6" x14ac:dyDescent="0.25">
      <c r="C193" s="67"/>
      <c r="D193" s="67"/>
      <c r="E193" s="56"/>
      <c r="F193" s="56"/>
    </row>
    <row r="194" spans="3:6" x14ac:dyDescent="0.25">
      <c r="C194" s="67"/>
      <c r="D194" s="67"/>
      <c r="E194" s="56"/>
      <c r="F194" s="56"/>
    </row>
    <row r="195" spans="3:6" x14ac:dyDescent="0.25">
      <c r="C195" s="67"/>
      <c r="D195" s="67"/>
      <c r="E195" s="56"/>
      <c r="F195" s="56"/>
    </row>
    <row r="196" spans="3:6" x14ac:dyDescent="0.25">
      <c r="C196" s="67"/>
      <c r="D196" s="67"/>
      <c r="E196" s="56"/>
      <c r="F196" s="56"/>
    </row>
    <row r="197" spans="3:6" x14ac:dyDescent="0.25">
      <c r="C197" s="67"/>
      <c r="D197" s="67"/>
      <c r="E197" s="56"/>
      <c r="F197" s="56"/>
    </row>
    <row r="198" spans="3:6" x14ac:dyDescent="0.25">
      <c r="C198" s="67"/>
      <c r="D198" s="67"/>
      <c r="E198" s="56"/>
      <c r="F198" s="56"/>
    </row>
    <row r="199" spans="3:6" x14ac:dyDescent="0.25">
      <c r="C199" s="67"/>
      <c r="D199" s="67"/>
      <c r="E199" s="56"/>
      <c r="F199" s="56"/>
    </row>
    <row r="200" spans="3:6" x14ac:dyDescent="0.25">
      <c r="C200" s="67"/>
      <c r="D200" s="67"/>
      <c r="E200" s="56"/>
      <c r="F200" s="56"/>
    </row>
    <row r="201" spans="3:6" x14ac:dyDescent="0.25">
      <c r="C201" s="67"/>
      <c r="D201" s="67"/>
      <c r="E201" s="56"/>
      <c r="F201" s="56"/>
    </row>
    <row r="202" spans="3:6" x14ac:dyDescent="0.25">
      <c r="C202" s="67"/>
      <c r="D202" s="67"/>
      <c r="E202" s="56"/>
      <c r="F202" s="56"/>
    </row>
    <row r="203" spans="3:6" x14ac:dyDescent="0.25">
      <c r="C203" s="67"/>
      <c r="D203" s="67"/>
      <c r="E203" s="56"/>
      <c r="F203" s="56"/>
    </row>
    <row r="204" spans="3:6" x14ac:dyDescent="0.25">
      <c r="C204" s="67"/>
      <c r="D204" s="67"/>
      <c r="E204" s="56"/>
      <c r="F204" s="56"/>
    </row>
    <row r="205" spans="3:6" x14ac:dyDescent="0.25">
      <c r="C205" s="67"/>
      <c r="D205" s="67"/>
      <c r="E205" s="56"/>
      <c r="F205" s="56"/>
    </row>
    <row r="206" spans="3:6" x14ac:dyDescent="0.25">
      <c r="C206" s="67"/>
      <c r="D206" s="67"/>
      <c r="E206" s="56"/>
      <c r="F206" s="56"/>
    </row>
    <row r="207" spans="3:6" x14ac:dyDescent="0.25">
      <c r="C207" s="67"/>
      <c r="D207" s="67"/>
      <c r="E207" s="56"/>
      <c r="F207" s="56"/>
    </row>
    <row r="208" spans="3:6" x14ac:dyDescent="0.25">
      <c r="C208" s="67"/>
      <c r="D208" s="67"/>
      <c r="E208" s="56"/>
      <c r="F208" s="56"/>
    </row>
    <row r="209" spans="3:6" x14ac:dyDescent="0.25">
      <c r="C209" s="67"/>
      <c r="D209" s="67"/>
      <c r="E209" s="56"/>
      <c r="F209" s="56"/>
    </row>
    <row r="210" spans="3:6" x14ac:dyDescent="0.25">
      <c r="C210" s="67"/>
      <c r="D210" s="67"/>
      <c r="E210" s="56"/>
      <c r="F210" s="56"/>
    </row>
    <row r="211" spans="3:6" x14ac:dyDescent="0.25">
      <c r="C211" s="67"/>
      <c r="D211" s="67"/>
      <c r="E211" s="56"/>
      <c r="F211" s="56"/>
    </row>
    <row r="212" spans="3:6" x14ac:dyDescent="0.25">
      <c r="C212" s="67"/>
      <c r="D212" s="67"/>
      <c r="E212" s="56"/>
      <c r="F212" s="56"/>
    </row>
    <row r="213" spans="3:6" x14ac:dyDescent="0.25">
      <c r="C213" s="67"/>
      <c r="D213" s="67"/>
      <c r="E213" s="56"/>
      <c r="F213" s="56"/>
    </row>
    <row r="214" spans="3:6" x14ac:dyDescent="0.25">
      <c r="C214" s="67"/>
      <c r="D214" s="67"/>
      <c r="E214" s="56"/>
      <c r="F214" s="56"/>
    </row>
    <row r="215" spans="3:6" x14ac:dyDescent="0.25">
      <c r="C215" s="67"/>
      <c r="D215" s="67"/>
      <c r="E215" s="56"/>
      <c r="F215" s="56"/>
    </row>
    <row r="216" spans="3:6" x14ac:dyDescent="0.25">
      <c r="C216" s="67"/>
      <c r="D216" s="67"/>
      <c r="E216" s="56"/>
      <c r="F216" s="56"/>
    </row>
    <row r="217" spans="3:6" x14ac:dyDescent="0.25">
      <c r="C217" s="67"/>
      <c r="D217" s="67"/>
      <c r="E217" s="56"/>
      <c r="F217" s="56"/>
    </row>
    <row r="218" spans="3:6" x14ac:dyDescent="0.25">
      <c r="C218" s="67"/>
      <c r="D218" s="67"/>
      <c r="E218" s="56"/>
      <c r="F218" s="56"/>
    </row>
    <row r="219" spans="3:6" x14ac:dyDescent="0.25">
      <c r="C219" s="67"/>
      <c r="D219" s="67"/>
      <c r="E219" s="56"/>
      <c r="F219" s="56"/>
    </row>
    <row r="220" spans="3:6" x14ac:dyDescent="0.25">
      <c r="C220" s="67"/>
      <c r="D220" s="67"/>
      <c r="E220" s="56"/>
      <c r="F220" s="56"/>
    </row>
    <row r="221" spans="3:6" x14ac:dyDescent="0.25">
      <c r="C221" s="67"/>
      <c r="D221" s="67"/>
      <c r="E221" s="56"/>
      <c r="F221" s="56"/>
    </row>
    <row r="222" spans="3:6" x14ac:dyDescent="0.25">
      <c r="C222" s="67"/>
      <c r="D222" s="67"/>
      <c r="E222" s="56"/>
      <c r="F222" s="56"/>
    </row>
    <row r="223" spans="3:6" x14ac:dyDescent="0.25">
      <c r="C223" s="67"/>
      <c r="D223" s="67"/>
      <c r="E223" s="56"/>
      <c r="F223" s="56"/>
    </row>
    <row r="224" spans="3:6" x14ac:dyDescent="0.25">
      <c r="C224" s="67"/>
      <c r="D224" s="67"/>
      <c r="E224" s="56"/>
      <c r="F224" s="56"/>
    </row>
    <row r="225" spans="3:6" x14ac:dyDescent="0.25">
      <c r="C225" s="67"/>
      <c r="D225" s="67"/>
      <c r="E225" s="56"/>
      <c r="F225" s="56"/>
    </row>
    <row r="226" spans="3:6" x14ac:dyDescent="0.25">
      <c r="C226" s="67"/>
      <c r="D226" s="67"/>
      <c r="E226" s="56"/>
      <c r="F226" s="56"/>
    </row>
    <row r="227" spans="3:6" x14ac:dyDescent="0.25">
      <c r="C227" s="67"/>
      <c r="D227" s="67"/>
      <c r="E227" s="56"/>
      <c r="F227" s="56"/>
    </row>
    <row r="228" spans="3:6" x14ac:dyDescent="0.25">
      <c r="C228" s="67"/>
      <c r="D228" s="67"/>
      <c r="E228" s="56"/>
      <c r="F228" s="56"/>
    </row>
    <row r="229" spans="3:6" x14ac:dyDescent="0.25">
      <c r="C229" s="67"/>
      <c r="D229" s="67"/>
      <c r="E229" s="56"/>
      <c r="F229" s="56"/>
    </row>
    <row r="230" spans="3:6" x14ac:dyDescent="0.25">
      <c r="C230" s="67"/>
      <c r="D230" s="67"/>
      <c r="E230" s="56"/>
      <c r="F230" s="56"/>
    </row>
    <row r="231" spans="3:6" x14ac:dyDescent="0.25">
      <c r="C231" s="67"/>
      <c r="D231" s="67"/>
      <c r="E231" s="56"/>
      <c r="F231" s="56"/>
    </row>
    <row r="232" spans="3:6" x14ac:dyDescent="0.25">
      <c r="C232" s="67"/>
      <c r="D232" s="67"/>
      <c r="E232" s="56"/>
      <c r="F232" s="56"/>
    </row>
    <row r="233" spans="3:6" x14ac:dyDescent="0.25">
      <c r="C233" s="67"/>
      <c r="D233" s="67"/>
      <c r="E233" s="56"/>
      <c r="F233" s="56"/>
    </row>
    <row r="234" spans="3:6" x14ac:dyDescent="0.25">
      <c r="C234" s="67"/>
      <c r="D234" s="67"/>
      <c r="E234" s="56"/>
      <c r="F234" s="56"/>
    </row>
    <row r="235" spans="3:6" x14ac:dyDescent="0.25">
      <c r="C235" s="67"/>
      <c r="D235" s="67"/>
      <c r="E235" s="56"/>
      <c r="F235" s="56"/>
    </row>
    <row r="236" spans="3:6" x14ac:dyDescent="0.25">
      <c r="C236" s="67"/>
      <c r="D236" s="67"/>
      <c r="E236" s="56"/>
      <c r="F236" s="56"/>
    </row>
    <row r="237" spans="3:6" x14ac:dyDescent="0.25">
      <c r="C237" s="67"/>
      <c r="D237" s="67"/>
      <c r="E237" s="56"/>
      <c r="F237" s="56"/>
    </row>
    <row r="238" spans="3:6" x14ac:dyDescent="0.25">
      <c r="C238" s="67"/>
      <c r="D238" s="67"/>
      <c r="E238" s="56"/>
      <c r="F238" s="56"/>
    </row>
    <row r="239" spans="3:6" x14ac:dyDescent="0.25">
      <c r="C239" s="67"/>
      <c r="D239" s="67"/>
      <c r="E239" s="56"/>
      <c r="F239" s="56"/>
    </row>
    <row r="240" spans="3:6" x14ac:dyDescent="0.25">
      <c r="C240" s="67"/>
      <c r="D240" s="67"/>
      <c r="E240" s="56"/>
      <c r="F240" s="56"/>
    </row>
    <row r="241" spans="3:6" x14ac:dyDescent="0.25">
      <c r="C241" s="67"/>
      <c r="D241" s="67"/>
      <c r="E241" s="56"/>
      <c r="F241" s="56"/>
    </row>
    <row r="242" spans="3:6" x14ac:dyDescent="0.25">
      <c r="C242" s="67"/>
      <c r="D242" s="67"/>
      <c r="E242" s="56"/>
      <c r="F242" s="56"/>
    </row>
    <row r="243" spans="3:6" x14ac:dyDescent="0.25">
      <c r="C243" s="67"/>
      <c r="D243" s="67"/>
      <c r="E243" s="56"/>
      <c r="F243" s="56"/>
    </row>
    <row r="244" spans="3:6" x14ac:dyDescent="0.25">
      <c r="C244" s="67"/>
      <c r="D244" s="67"/>
      <c r="E244" s="56"/>
      <c r="F244" s="56"/>
    </row>
    <row r="245" spans="3:6" x14ac:dyDescent="0.25">
      <c r="C245" s="67"/>
      <c r="D245" s="67"/>
      <c r="E245" s="56"/>
      <c r="F245" s="56"/>
    </row>
    <row r="246" spans="3:6" x14ac:dyDescent="0.25">
      <c r="C246" s="67"/>
      <c r="D246" s="67"/>
      <c r="E246" s="56"/>
      <c r="F246" s="56"/>
    </row>
    <row r="247" spans="3:6" x14ac:dyDescent="0.25">
      <c r="C247" s="67"/>
      <c r="D247" s="67"/>
      <c r="E247" s="56"/>
      <c r="F247" s="56"/>
    </row>
    <row r="248" spans="3:6" x14ac:dyDescent="0.25">
      <c r="C248" s="67"/>
      <c r="D248" s="67"/>
      <c r="E248" s="56"/>
      <c r="F248" s="56"/>
    </row>
    <row r="249" spans="3:6" x14ac:dyDescent="0.25">
      <c r="C249" s="67"/>
      <c r="D249" s="67"/>
      <c r="E249" s="56"/>
      <c r="F249" s="56"/>
    </row>
    <row r="250" spans="3:6" x14ac:dyDescent="0.25">
      <c r="C250" s="67"/>
      <c r="D250" s="67"/>
      <c r="E250" s="56"/>
      <c r="F250" s="56"/>
    </row>
    <row r="251" spans="3:6" x14ac:dyDescent="0.25">
      <c r="C251" s="67"/>
      <c r="D251" s="67"/>
      <c r="E251" s="56"/>
      <c r="F251" s="56"/>
    </row>
    <row r="252" spans="3:6" x14ac:dyDescent="0.25">
      <c r="C252" s="67"/>
      <c r="D252" s="67"/>
      <c r="E252" s="56"/>
      <c r="F252" s="56"/>
    </row>
    <row r="253" spans="3:6" x14ac:dyDescent="0.25">
      <c r="C253" s="67"/>
      <c r="D253" s="67"/>
      <c r="E253" s="56"/>
      <c r="F253" s="56"/>
    </row>
    <row r="254" spans="3:6" x14ac:dyDescent="0.25">
      <c r="C254" s="67"/>
      <c r="D254" s="67"/>
      <c r="E254" s="56"/>
      <c r="F254" s="56"/>
    </row>
    <row r="255" spans="3:6" x14ac:dyDescent="0.25">
      <c r="C255" s="67"/>
      <c r="D255" s="67"/>
      <c r="E255" s="56"/>
      <c r="F255" s="56"/>
    </row>
    <row r="256" spans="3:6" x14ac:dyDescent="0.25">
      <c r="C256" s="67"/>
      <c r="D256" s="67"/>
      <c r="E256" s="56"/>
      <c r="F256" s="56"/>
    </row>
    <row r="257" spans="3:6" x14ac:dyDescent="0.25">
      <c r="C257" s="67"/>
      <c r="D257" s="67"/>
      <c r="E257" s="56"/>
      <c r="F257" s="56"/>
    </row>
    <row r="258" spans="3:6" x14ac:dyDescent="0.25">
      <c r="C258" s="67"/>
      <c r="D258" s="67"/>
      <c r="E258" s="56"/>
      <c r="F258" s="56"/>
    </row>
    <row r="259" spans="3:6" x14ac:dyDescent="0.25">
      <c r="C259" s="67"/>
      <c r="D259" s="67"/>
      <c r="E259" s="56"/>
      <c r="F259" s="56"/>
    </row>
    <row r="260" spans="3:6" x14ac:dyDescent="0.25">
      <c r="C260" s="67"/>
      <c r="D260" s="67"/>
      <c r="E260" s="56"/>
      <c r="F260" s="56"/>
    </row>
    <row r="261" spans="3:6" x14ac:dyDescent="0.25">
      <c r="C261" s="67"/>
      <c r="D261" s="67"/>
      <c r="E261" s="56"/>
      <c r="F261" s="56"/>
    </row>
    <row r="262" spans="3:6" x14ac:dyDescent="0.25">
      <c r="C262" s="67"/>
      <c r="D262" s="67"/>
      <c r="E262" s="56"/>
      <c r="F262" s="56"/>
    </row>
    <row r="263" spans="3:6" x14ac:dyDescent="0.25">
      <c r="C263" s="67"/>
      <c r="D263" s="67"/>
      <c r="E263" s="56"/>
      <c r="F263" s="56"/>
    </row>
    <row r="264" spans="3:6" x14ac:dyDescent="0.25">
      <c r="C264" s="67"/>
      <c r="D264" s="67"/>
      <c r="E264" s="56"/>
      <c r="F264" s="56"/>
    </row>
    <row r="265" spans="3:6" x14ac:dyDescent="0.25">
      <c r="C265" s="67"/>
      <c r="D265" s="67"/>
      <c r="E265" s="56"/>
      <c r="F265" s="56"/>
    </row>
    <row r="266" spans="3:6" x14ac:dyDescent="0.25">
      <c r="C266" s="67"/>
      <c r="D266" s="67"/>
      <c r="E266" s="56"/>
      <c r="F266" s="56"/>
    </row>
    <row r="267" spans="3:6" x14ac:dyDescent="0.25">
      <c r="C267" s="67"/>
      <c r="D267" s="67"/>
      <c r="E267" s="56"/>
      <c r="F267" s="56"/>
    </row>
    <row r="268" spans="3:6" x14ac:dyDescent="0.25">
      <c r="C268" s="67"/>
      <c r="D268" s="67"/>
      <c r="E268" s="56"/>
      <c r="F268" s="56"/>
    </row>
    <row r="269" spans="3:6" x14ac:dyDescent="0.25">
      <c r="C269" s="67"/>
      <c r="D269" s="67"/>
      <c r="E269" s="56"/>
      <c r="F269" s="56"/>
    </row>
    <row r="270" spans="3:6" x14ac:dyDescent="0.25">
      <c r="C270" s="67"/>
      <c r="D270" s="67"/>
      <c r="E270" s="56"/>
      <c r="F270" s="56"/>
    </row>
    <row r="271" spans="3:6" x14ac:dyDescent="0.25">
      <c r="C271" s="67"/>
      <c r="D271" s="67"/>
      <c r="E271" s="56"/>
      <c r="F271" s="56"/>
    </row>
    <row r="272" spans="3:6" x14ac:dyDescent="0.25">
      <c r="C272" s="67"/>
      <c r="D272" s="67"/>
      <c r="E272" s="56"/>
      <c r="F272" s="56"/>
    </row>
    <row r="273" spans="3:6" x14ac:dyDescent="0.25">
      <c r="C273" s="67"/>
      <c r="D273" s="67"/>
      <c r="E273" s="56"/>
      <c r="F273" s="56"/>
    </row>
    <row r="274" spans="3:6" x14ac:dyDescent="0.25">
      <c r="C274" s="67"/>
      <c r="D274" s="67"/>
      <c r="E274" s="56"/>
      <c r="F274" s="56"/>
    </row>
    <row r="275" spans="3:6" x14ac:dyDescent="0.25">
      <c r="C275" s="67"/>
      <c r="D275" s="67"/>
      <c r="E275" s="56"/>
      <c r="F275" s="56"/>
    </row>
    <row r="276" spans="3:6" x14ac:dyDescent="0.25">
      <c r="C276" s="67"/>
      <c r="D276" s="67"/>
      <c r="E276" s="56"/>
      <c r="F276" s="56"/>
    </row>
    <row r="277" spans="3:6" x14ac:dyDescent="0.25">
      <c r="C277" s="67"/>
      <c r="D277" s="67"/>
      <c r="E277" s="56"/>
      <c r="F277" s="56"/>
    </row>
    <row r="278" spans="3:6" x14ac:dyDescent="0.25">
      <c r="C278" s="67"/>
      <c r="D278" s="67"/>
      <c r="E278" s="56"/>
      <c r="F278" s="56"/>
    </row>
    <row r="279" spans="3:6" x14ac:dyDescent="0.25">
      <c r="C279" s="67"/>
      <c r="D279" s="67"/>
      <c r="E279" s="56"/>
      <c r="F279" s="56"/>
    </row>
    <row r="280" spans="3:6" x14ac:dyDescent="0.25">
      <c r="C280" s="67"/>
      <c r="D280" s="67"/>
      <c r="E280" s="56"/>
      <c r="F280" s="56"/>
    </row>
    <row r="281" spans="3:6" x14ac:dyDescent="0.25">
      <c r="C281" s="67"/>
      <c r="D281" s="67"/>
      <c r="E281" s="56"/>
      <c r="F281" s="56"/>
    </row>
    <row r="282" spans="3:6" x14ac:dyDescent="0.25">
      <c r="C282" s="67"/>
      <c r="D282" s="67"/>
      <c r="E282" s="56"/>
      <c r="F282" s="56"/>
    </row>
    <row r="283" spans="3:6" x14ac:dyDescent="0.25">
      <c r="C283" s="67"/>
      <c r="D283" s="67"/>
      <c r="E283" s="56"/>
      <c r="F283" s="56"/>
    </row>
    <row r="284" spans="3:6" x14ac:dyDescent="0.25">
      <c r="C284" s="67"/>
      <c r="D284" s="67"/>
      <c r="E284" s="56"/>
      <c r="F284" s="56"/>
    </row>
    <row r="285" spans="3:6" x14ac:dyDescent="0.25">
      <c r="C285" s="67"/>
      <c r="D285" s="67"/>
      <c r="E285" s="56"/>
      <c r="F285" s="56"/>
    </row>
    <row r="286" spans="3:6" x14ac:dyDescent="0.25">
      <c r="C286" s="67"/>
      <c r="D286" s="67"/>
      <c r="E286" s="56"/>
      <c r="F286" s="56"/>
    </row>
    <row r="287" spans="3:6" x14ac:dyDescent="0.25">
      <c r="C287" s="67"/>
      <c r="D287" s="67"/>
      <c r="E287" s="56"/>
      <c r="F287" s="56"/>
    </row>
    <row r="288" spans="3:6" x14ac:dyDescent="0.25">
      <c r="C288" s="67"/>
      <c r="D288" s="67"/>
      <c r="E288" s="56"/>
      <c r="F288" s="56"/>
    </row>
    <row r="289" spans="3:6" x14ac:dyDescent="0.25">
      <c r="C289" s="67"/>
      <c r="D289" s="67"/>
      <c r="E289" s="56"/>
      <c r="F289" s="56"/>
    </row>
    <row r="290" spans="3:6" x14ac:dyDescent="0.25">
      <c r="C290" s="67"/>
      <c r="D290" s="67"/>
      <c r="E290" s="56"/>
      <c r="F290" s="56"/>
    </row>
    <row r="291" spans="3:6" x14ac:dyDescent="0.25">
      <c r="C291" s="67"/>
      <c r="D291" s="67"/>
      <c r="E291" s="56"/>
      <c r="F291" s="56"/>
    </row>
    <row r="292" spans="3:6" x14ac:dyDescent="0.25">
      <c r="C292" s="67"/>
      <c r="D292" s="67"/>
      <c r="E292" s="56"/>
      <c r="F292" s="56"/>
    </row>
    <row r="293" spans="3:6" x14ac:dyDescent="0.25">
      <c r="C293" s="67"/>
      <c r="D293" s="67"/>
      <c r="E293" s="56"/>
      <c r="F293" s="56"/>
    </row>
    <row r="294" spans="3:6" x14ac:dyDescent="0.25">
      <c r="C294" s="67"/>
      <c r="D294" s="67"/>
      <c r="E294" s="56"/>
      <c r="F294" s="56"/>
    </row>
    <row r="295" spans="3:6" x14ac:dyDescent="0.25">
      <c r="C295" s="67"/>
      <c r="D295" s="67"/>
      <c r="E295" s="56"/>
      <c r="F295" s="56"/>
    </row>
    <row r="296" spans="3:6" x14ac:dyDescent="0.25">
      <c r="C296" s="67"/>
      <c r="D296" s="67"/>
      <c r="E296" s="56"/>
      <c r="F296" s="56"/>
    </row>
    <row r="297" spans="3:6" x14ac:dyDescent="0.25">
      <c r="C297" s="67"/>
      <c r="D297" s="67"/>
      <c r="E297" s="56"/>
      <c r="F297" s="56"/>
    </row>
    <row r="298" spans="3:6" x14ac:dyDescent="0.25">
      <c r="C298" s="67"/>
      <c r="D298" s="67"/>
      <c r="E298" s="56"/>
      <c r="F298" s="56"/>
    </row>
    <row r="299" spans="3:6" x14ac:dyDescent="0.25">
      <c r="C299" s="67"/>
      <c r="D299" s="67"/>
      <c r="E299" s="56"/>
      <c r="F299" s="56"/>
    </row>
    <row r="300" spans="3:6" x14ac:dyDescent="0.25">
      <c r="C300" s="67"/>
      <c r="D300" s="67"/>
      <c r="E300" s="56"/>
      <c r="F300" s="56"/>
    </row>
    <row r="301" spans="3:6" x14ac:dyDescent="0.25">
      <c r="C301" s="67"/>
      <c r="D301" s="67"/>
      <c r="E301" s="56"/>
      <c r="F301" s="56"/>
    </row>
    <row r="302" spans="3:6" x14ac:dyDescent="0.25">
      <c r="C302" s="67"/>
      <c r="D302" s="67"/>
      <c r="E302" s="56"/>
      <c r="F302" s="56"/>
    </row>
    <row r="303" spans="3:6" x14ac:dyDescent="0.25">
      <c r="C303" s="67"/>
      <c r="D303" s="67"/>
      <c r="E303" s="56"/>
      <c r="F303" s="56"/>
    </row>
    <row r="304" spans="3:6" x14ac:dyDescent="0.25">
      <c r="C304" s="67"/>
      <c r="D304" s="67"/>
      <c r="E304" s="56"/>
      <c r="F304" s="56"/>
    </row>
    <row r="305" spans="3:6" x14ac:dyDescent="0.25">
      <c r="C305" s="67"/>
      <c r="D305" s="67"/>
      <c r="E305" s="56"/>
      <c r="F305" s="56"/>
    </row>
    <row r="306" spans="3:6" x14ac:dyDescent="0.25">
      <c r="C306" s="67"/>
      <c r="D306" s="67"/>
      <c r="E306" s="56"/>
      <c r="F306" s="56"/>
    </row>
    <row r="307" spans="3:6" x14ac:dyDescent="0.25">
      <c r="C307" s="67"/>
      <c r="D307" s="67"/>
      <c r="E307" s="56"/>
      <c r="F307" s="56"/>
    </row>
    <row r="308" spans="3:6" x14ac:dyDescent="0.25">
      <c r="C308" s="67"/>
      <c r="D308" s="67"/>
      <c r="E308" s="56"/>
      <c r="F308" s="56"/>
    </row>
    <row r="309" spans="3:6" x14ac:dyDescent="0.25">
      <c r="C309" s="67"/>
      <c r="D309" s="67"/>
      <c r="E309" s="56"/>
      <c r="F309" s="56"/>
    </row>
    <row r="310" spans="3:6" x14ac:dyDescent="0.25">
      <c r="C310" s="67"/>
      <c r="D310" s="67"/>
      <c r="E310" s="56"/>
      <c r="F310" s="56"/>
    </row>
    <row r="311" spans="3:6" x14ac:dyDescent="0.25">
      <c r="C311" s="67"/>
      <c r="D311" s="67"/>
      <c r="E311" s="56"/>
      <c r="F311" s="56"/>
    </row>
    <row r="312" spans="3:6" x14ac:dyDescent="0.25">
      <c r="C312" s="67"/>
      <c r="D312" s="67"/>
      <c r="E312" s="56"/>
      <c r="F312" s="56"/>
    </row>
    <row r="313" spans="3:6" x14ac:dyDescent="0.25">
      <c r="C313" s="67"/>
      <c r="D313" s="67"/>
      <c r="E313" s="56"/>
      <c r="F313" s="56"/>
    </row>
    <row r="314" spans="3:6" x14ac:dyDescent="0.25">
      <c r="C314" s="67"/>
      <c r="D314" s="67"/>
      <c r="E314" s="56"/>
      <c r="F314" s="56"/>
    </row>
    <row r="315" spans="3:6" x14ac:dyDescent="0.25">
      <c r="C315" s="67"/>
      <c r="D315" s="67"/>
      <c r="E315" s="56"/>
      <c r="F315" s="56"/>
    </row>
    <row r="316" spans="3:6" x14ac:dyDescent="0.25">
      <c r="C316" s="67"/>
      <c r="D316" s="67"/>
      <c r="E316" s="56"/>
      <c r="F316" s="56"/>
    </row>
    <row r="317" spans="3:6" x14ac:dyDescent="0.25">
      <c r="C317" s="67"/>
      <c r="D317" s="67"/>
      <c r="E317" s="56"/>
      <c r="F317" s="56"/>
    </row>
    <row r="318" spans="3:6" x14ac:dyDescent="0.25">
      <c r="C318" s="67"/>
      <c r="D318" s="67"/>
      <c r="E318" s="56"/>
      <c r="F318" s="56"/>
    </row>
    <row r="319" spans="3:6" x14ac:dyDescent="0.25">
      <c r="C319" s="67"/>
      <c r="D319" s="67"/>
      <c r="E319" s="56"/>
      <c r="F319" s="56"/>
    </row>
    <row r="320" spans="3:6" x14ac:dyDescent="0.25">
      <c r="C320" s="67"/>
      <c r="D320" s="67"/>
      <c r="E320" s="56"/>
      <c r="F320" s="56"/>
    </row>
    <row r="321" spans="3:6" x14ac:dyDescent="0.25">
      <c r="C321" s="67"/>
      <c r="D321" s="67"/>
      <c r="E321" s="56"/>
      <c r="F321" s="56"/>
    </row>
    <row r="322" spans="3:6" x14ac:dyDescent="0.25">
      <c r="C322" s="67"/>
      <c r="D322" s="67"/>
      <c r="E322" s="56"/>
      <c r="F322" s="56"/>
    </row>
    <row r="323" spans="3:6" x14ac:dyDescent="0.25">
      <c r="C323" s="67"/>
      <c r="D323" s="67"/>
      <c r="E323" s="56"/>
      <c r="F323" s="56"/>
    </row>
    <row r="324" spans="3:6" x14ac:dyDescent="0.25">
      <c r="C324" s="67"/>
      <c r="D324" s="67"/>
      <c r="E324" s="56"/>
      <c r="F324" s="56"/>
    </row>
    <row r="325" spans="3:6" x14ac:dyDescent="0.25">
      <c r="C325" s="67"/>
      <c r="D325" s="67"/>
      <c r="E325" s="56"/>
      <c r="F325" s="56"/>
    </row>
    <row r="326" spans="3:6" x14ac:dyDescent="0.25">
      <c r="C326" s="67"/>
      <c r="D326" s="67"/>
      <c r="E326" s="56"/>
      <c r="F326" s="56"/>
    </row>
    <row r="327" spans="3:6" x14ac:dyDescent="0.25">
      <c r="C327" s="67"/>
      <c r="D327" s="67"/>
      <c r="E327" s="56"/>
      <c r="F327" s="56"/>
    </row>
    <row r="328" spans="3:6" x14ac:dyDescent="0.25">
      <c r="C328" s="67"/>
      <c r="D328" s="67"/>
      <c r="E328" s="56"/>
      <c r="F328" s="56"/>
    </row>
    <row r="329" spans="3:6" x14ac:dyDescent="0.25">
      <c r="C329" s="67"/>
      <c r="D329" s="67"/>
      <c r="E329" s="56"/>
      <c r="F329" s="56"/>
    </row>
    <row r="330" spans="3:6" x14ac:dyDescent="0.25">
      <c r="C330" s="67"/>
      <c r="D330" s="67"/>
      <c r="E330" s="56"/>
      <c r="F330" s="56"/>
    </row>
    <row r="331" spans="3:6" x14ac:dyDescent="0.25">
      <c r="C331" s="67"/>
      <c r="D331" s="67"/>
      <c r="E331" s="56"/>
      <c r="F331" s="56"/>
    </row>
    <row r="332" spans="3:6" x14ac:dyDescent="0.25">
      <c r="C332" s="67"/>
      <c r="D332" s="67"/>
      <c r="E332" s="56"/>
      <c r="F332" s="56"/>
    </row>
    <row r="333" spans="3:6" x14ac:dyDescent="0.25">
      <c r="C333" s="67"/>
      <c r="D333" s="67"/>
      <c r="E333" s="56"/>
      <c r="F333" s="56"/>
    </row>
    <row r="334" spans="3:6" x14ac:dyDescent="0.25">
      <c r="C334" s="67"/>
      <c r="D334" s="67"/>
      <c r="E334" s="56"/>
      <c r="F334" s="56"/>
    </row>
    <row r="335" spans="3:6" x14ac:dyDescent="0.25">
      <c r="C335" s="67"/>
      <c r="D335" s="67"/>
      <c r="E335" s="56"/>
      <c r="F335" s="56"/>
    </row>
    <row r="336" spans="3:6" x14ac:dyDescent="0.25">
      <c r="C336" s="67"/>
      <c r="D336" s="67"/>
      <c r="E336" s="56"/>
      <c r="F336" s="56"/>
    </row>
    <row r="337" spans="3:6" x14ac:dyDescent="0.25">
      <c r="C337" s="67"/>
      <c r="D337" s="67"/>
      <c r="E337" s="56"/>
      <c r="F337" s="56"/>
    </row>
    <row r="338" spans="3:6" x14ac:dyDescent="0.25">
      <c r="C338" s="67"/>
      <c r="D338" s="67"/>
      <c r="E338" s="56"/>
      <c r="F338" s="56"/>
    </row>
    <row r="339" spans="3:6" x14ac:dyDescent="0.25">
      <c r="C339" s="67"/>
      <c r="D339" s="67"/>
      <c r="E339" s="56"/>
      <c r="F339" s="56"/>
    </row>
    <row r="340" spans="3:6" x14ac:dyDescent="0.25">
      <c r="C340" s="67"/>
      <c r="D340" s="67"/>
      <c r="E340" s="56"/>
      <c r="F340" s="56"/>
    </row>
    <row r="341" spans="3:6" x14ac:dyDescent="0.25">
      <c r="C341" s="67"/>
      <c r="D341" s="67"/>
      <c r="E341" s="56"/>
      <c r="F341" s="56"/>
    </row>
    <row r="342" spans="3:6" x14ac:dyDescent="0.25">
      <c r="C342" s="67"/>
      <c r="D342" s="67"/>
      <c r="E342" s="56"/>
      <c r="F342" s="56"/>
    </row>
    <row r="343" spans="3:6" x14ac:dyDescent="0.25">
      <c r="C343" s="67"/>
      <c r="D343" s="67"/>
      <c r="E343" s="56"/>
      <c r="F343" s="56"/>
    </row>
    <row r="344" spans="3:6" x14ac:dyDescent="0.25">
      <c r="C344" s="67"/>
      <c r="D344" s="67"/>
      <c r="E344" s="56"/>
      <c r="F344" s="56"/>
    </row>
    <row r="345" spans="3:6" x14ac:dyDescent="0.25">
      <c r="C345" s="67"/>
      <c r="D345" s="67"/>
      <c r="E345" s="56"/>
      <c r="F345" s="56"/>
    </row>
    <row r="346" spans="3:6" x14ac:dyDescent="0.25">
      <c r="C346" s="67"/>
      <c r="D346" s="67"/>
      <c r="E346" s="56"/>
      <c r="F346" s="56"/>
    </row>
    <row r="347" spans="3:6" x14ac:dyDescent="0.25">
      <c r="C347" s="67"/>
      <c r="D347" s="67"/>
      <c r="E347" s="56"/>
      <c r="F347" s="56"/>
    </row>
    <row r="348" spans="3:6" x14ac:dyDescent="0.25">
      <c r="C348" s="67"/>
      <c r="D348" s="67"/>
      <c r="E348" s="56"/>
      <c r="F348" s="56"/>
    </row>
    <row r="349" spans="3:6" x14ac:dyDescent="0.25">
      <c r="C349" s="67"/>
      <c r="D349" s="67"/>
      <c r="E349" s="56"/>
      <c r="F349" s="56"/>
    </row>
    <row r="350" spans="3:6" x14ac:dyDescent="0.25">
      <c r="C350" s="67"/>
      <c r="D350" s="67"/>
      <c r="E350" s="56"/>
      <c r="F350" s="56"/>
    </row>
    <row r="351" spans="3:6" x14ac:dyDescent="0.25">
      <c r="C351" s="67"/>
      <c r="D351" s="67"/>
      <c r="E351" s="56"/>
      <c r="F351" s="56"/>
    </row>
    <row r="352" spans="3:6" x14ac:dyDescent="0.25">
      <c r="C352" s="67"/>
      <c r="D352" s="67"/>
      <c r="E352" s="56"/>
      <c r="F352" s="56"/>
    </row>
    <row r="353" spans="3:6" x14ac:dyDescent="0.25">
      <c r="C353" s="67"/>
      <c r="D353" s="67"/>
      <c r="E353" s="56"/>
      <c r="F353" s="56"/>
    </row>
    <row r="354" spans="3:6" x14ac:dyDescent="0.25">
      <c r="C354" s="67"/>
      <c r="D354" s="67"/>
      <c r="E354" s="56"/>
      <c r="F354" s="56"/>
    </row>
    <row r="355" spans="3:6" x14ac:dyDescent="0.25">
      <c r="C355" s="67"/>
      <c r="D355" s="67"/>
      <c r="E355" s="56"/>
      <c r="F355" s="56"/>
    </row>
    <row r="356" spans="3:6" x14ac:dyDescent="0.25">
      <c r="C356" s="67"/>
      <c r="D356" s="67"/>
      <c r="E356" s="56"/>
      <c r="F356" s="56"/>
    </row>
    <row r="357" spans="3:6" x14ac:dyDescent="0.25">
      <c r="C357" s="67"/>
      <c r="D357" s="67"/>
      <c r="E357" s="56"/>
      <c r="F357" s="56"/>
    </row>
    <row r="358" spans="3:6" x14ac:dyDescent="0.25">
      <c r="C358" s="67"/>
      <c r="D358" s="67"/>
      <c r="E358" s="56"/>
      <c r="F358" s="56"/>
    </row>
    <row r="359" spans="3:6" x14ac:dyDescent="0.25">
      <c r="C359" s="67"/>
      <c r="D359" s="67"/>
      <c r="E359" s="56"/>
      <c r="F359" s="56"/>
    </row>
    <row r="360" spans="3:6" x14ac:dyDescent="0.25">
      <c r="C360" s="67"/>
      <c r="D360" s="67"/>
      <c r="E360" s="56"/>
      <c r="F360" s="56"/>
    </row>
    <row r="361" spans="3:6" x14ac:dyDescent="0.25">
      <c r="C361" s="67"/>
      <c r="D361" s="67"/>
      <c r="E361" s="56"/>
      <c r="F361" s="56"/>
    </row>
    <row r="362" spans="3:6" x14ac:dyDescent="0.25">
      <c r="C362" s="67"/>
      <c r="D362" s="67"/>
      <c r="E362" s="56"/>
      <c r="F362" s="56"/>
    </row>
    <row r="363" spans="3:6" x14ac:dyDescent="0.25">
      <c r="C363" s="67"/>
      <c r="D363" s="67"/>
      <c r="E363" s="56"/>
      <c r="F363" s="56"/>
    </row>
    <row r="364" spans="3:6" x14ac:dyDescent="0.25">
      <c r="C364" s="67"/>
      <c r="D364" s="67"/>
      <c r="E364" s="56"/>
      <c r="F364" s="56"/>
    </row>
    <row r="365" spans="3:6" x14ac:dyDescent="0.25">
      <c r="C365" s="67"/>
      <c r="D365" s="67"/>
      <c r="E365" s="56"/>
      <c r="F365" s="56"/>
    </row>
    <row r="366" spans="3:6" x14ac:dyDescent="0.25">
      <c r="C366" s="67"/>
      <c r="D366" s="67"/>
      <c r="E366" s="56"/>
      <c r="F366" s="56"/>
    </row>
    <row r="367" spans="3:6" x14ac:dyDescent="0.25">
      <c r="C367" s="67"/>
      <c r="D367" s="67"/>
      <c r="E367" s="56"/>
      <c r="F367" s="56"/>
    </row>
    <row r="368" spans="3:6" x14ac:dyDescent="0.25">
      <c r="C368" s="67"/>
      <c r="D368" s="67"/>
      <c r="E368" s="56"/>
      <c r="F368" s="56"/>
    </row>
    <row r="369" spans="3:6" x14ac:dyDescent="0.25">
      <c r="C369" s="67"/>
      <c r="D369" s="67"/>
      <c r="E369" s="56"/>
      <c r="F369" s="56"/>
    </row>
    <row r="370" spans="3:6" x14ac:dyDescent="0.25">
      <c r="C370" s="67"/>
      <c r="D370" s="67"/>
      <c r="E370" s="56"/>
      <c r="F370" s="56"/>
    </row>
    <row r="371" spans="3:6" x14ac:dyDescent="0.25">
      <c r="C371" s="67"/>
      <c r="D371" s="67"/>
      <c r="E371" s="56"/>
      <c r="F371" s="56"/>
    </row>
    <row r="372" spans="3:6" x14ac:dyDescent="0.25">
      <c r="C372" s="67"/>
      <c r="D372" s="67"/>
      <c r="E372" s="56"/>
      <c r="F372" s="56"/>
    </row>
    <row r="373" spans="3:6" x14ac:dyDescent="0.25">
      <c r="C373" s="67"/>
      <c r="D373" s="67"/>
      <c r="E373" s="56"/>
      <c r="F373" s="56"/>
    </row>
    <row r="374" spans="3:6" x14ac:dyDescent="0.25">
      <c r="C374" s="67"/>
      <c r="D374" s="67"/>
      <c r="E374" s="56"/>
      <c r="F374" s="56"/>
    </row>
    <row r="375" spans="3:6" x14ac:dyDescent="0.25">
      <c r="C375" s="67"/>
      <c r="D375" s="67"/>
      <c r="E375" s="56"/>
      <c r="F375" s="56"/>
    </row>
    <row r="376" spans="3:6" x14ac:dyDescent="0.25">
      <c r="C376" s="67"/>
      <c r="D376" s="67"/>
      <c r="E376" s="56"/>
      <c r="F376" s="56"/>
    </row>
    <row r="377" spans="3:6" x14ac:dyDescent="0.25">
      <c r="C377" s="67"/>
      <c r="D377" s="67"/>
      <c r="E377" s="56"/>
      <c r="F377" s="56"/>
    </row>
    <row r="378" spans="3:6" x14ac:dyDescent="0.25">
      <c r="C378" s="67"/>
      <c r="D378" s="67"/>
      <c r="E378" s="56"/>
      <c r="F378" s="56"/>
    </row>
    <row r="379" spans="3:6" x14ac:dyDescent="0.25">
      <c r="C379" s="67"/>
      <c r="D379" s="67"/>
      <c r="E379" s="56"/>
      <c r="F379" s="56"/>
    </row>
    <row r="380" spans="3:6" x14ac:dyDescent="0.25">
      <c r="C380" s="67"/>
      <c r="D380" s="67"/>
      <c r="E380" s="56"/>
      <c r="F380" s="56"/>
    </row>
    <row r="381" spans="3:6" x14ac:dyDescent="0.25">
      <c r="C381" s="67"/>
      <c r="D381" s="67"/>
      <c r="E381" s="56"/>
      <c r="F381" s="56"/>
    </row>
    <row r="382" spans="3:6" x14ac:dyDescent="0.25">
      <c r="C382" s="67"/>
      <c r="D382" s="67"/>
      <c r="E382" s="56"/>
      <c r="F382" s="56"/>
    </row>
    <row r="383" spans="3:6" x14ac:dyDescent="0.25">
      <c r="C383" s="67"/>
      <c r="D383" s="67"/>
      <c r="E383" s="56"/>
      <c r="F383" s="56"/>
    </row>
    <row r="384" spans="3:6" x14ac:dyDescent="0.25">
      <c r="C384" s="67"/>
      <c r="D384" s="67"/>
      <c r="E384" s="56"/>
      <c r="F384" s="56"/>
    </row>
    <row r="385" spans="3:6" x14ac:dyDescent="0.25">
      <c r="C385" s="67"/>
      <c r="D385" s="67"/>
      <c r="E385" s="56"/>
      <c r="F385" s="56"/>
    </row>
    <row r="386" spans="3:6" x14ac:dyDescent="0.25">
      <c r="C386" s="67"/>
      <c r="D386" s="67"/>
      <c r="E386" s="56"/>
      <c r="F386" s="56"/>
    </row>
    <row r="387" spans="3:6" x14ac:dyDescent="0.25">
      <c r="C387" s="67"/>
      <c r="D387" s="67"/>
      <c r="E387" s="56"/>
      <c r="F387" s="56"/>
    </row>
    <row r="388" spans="3:6" x14ac:dyDescent="0.25">
      <c r="C388" s="67"/>
      <c r="D388" s="67"/>
      <c r="E388" s="56"/>
      <c r="F388" s="56"/>
    </row>
    <row r="389" spans="3:6" x14ac:dyDescent="0.25">
      <c r="C389" s="67"/>
      <c r="D389" s="67"/>
      <c r="E389" s="56"/>
      <c r="F389" s="56"/>
    </row>
    <row r="390" spans="3:6" x14ac:dyDescent="0.25">
      <c r="C390" s="67"/>
      <c r="D390" s="67"/>
      <c r="E390" s="56"/>
      <c r="F390" s="56"/>
    </row>
    <row r="391" spans="3:6" x14ac:dyDescent="0.25">
      <c r="C391" s="67"/>
      <c r="D391" s="67"/>
      <c r="E391" s="56"/>
      <c r="F391" s="56"/>
    </row>
    <row r="392" spans="3:6" x14ac:dyDescent="0.25">
      <c r="C392" s="67"/>
      <c r="D392" s="67"/>
      <c r="E392" s="56"/>
      <c r="F392" s="56"/>
    </row>
    <row r="393" spans="3:6" x14ac:dyDescent="0.25">
      <c r="C393" s="67"/>
      <c r="D393" s="67"/>
      <c r="E393" s="56"/>
      <c r="F393" s="56"/>
    </row>
    <row r="394" spans="3:6" x14ac:dyDescent="0.25">
      <c r="C394" s="67"/>
      <c r="D394" s="67"/>
      <c r="E394" s="56"/>
      <c r="F394" s="56"/>
    </row>
    <row r="395" spans="3:6" x14ac:dyDescent="0.25">
      <c r="C395" s="67"/>
      <c r="D395" s="67"/>
      <c r="E395" s="56"/>
      <c r="F395" s="56"/>
    </row>
    <row r="396" spans="3:6" x14ac:dyDescent="0.25">
      <c r="C396" s="67"/>
      <c r="D396" s="67"/>
      <c r="E396" s="56"/>
      <c r="F396" s="56"/>
    </row>
    <row r="397" spans="3:6" x14ac:dyDescent="0.25">
      <c r="C397" s="67"/>
      <c r="D397" s="67"/>
      <c r="E397" s="56"/>
      <c r="F397" s="56"/>
    </row>
    <row r="398" spans="3:6" x14ac:dyDescent="0.25">
      <c r="C398" s="67"/>
      <c r="D398" s="67"/>
      <c r="E398" s="56"/>
      <c r="F398" s="56"/>
    </row>
    <row r="399" spans="3:6" x14ac:dyDescent="0.25">
      <c r="C399" s="67"/>
      <c r="D399" s="67"/>
      <c r="E399" s="56"/>
      <c r="F399" s="56"/>
    </row>
    <row r="400" spans="3:6" x14ac:dyDescent="0.25">
      <c r="C400" s="67"/>
      <c r="D400" s="67"/>
      <c r="E400" s="56"/>
      <c r="F400" s="56"/>
    </row>
    <row r="401" spans="3:6" x14ac:dyDescent="0.25">
      <c r="C401" s="67"/>
      <c r="D401" s="67"/>
      <c r="E401" s="56"/>
      <c r="F401" s="56"/>
    </row>
    <row r="402" spans="3:6" x14ac:dyDescent="0.25">
      <c r="C402" s="67"/>
      <c r="D402" s="67"/>
      <c r="E402" s="56"/>
      <c r="F402" s="56"/>
    </row>
    <row r="403" spans="3:6" x14ac:dyDescent="0.25">
      <c r="C403" s="67"/>
      <c r="D403" s="67"/>
      <c r="E403" s="56"/>
      <c r="F403" s="56"/>
    </row>
    <row r="404" spans="3:6" x14ac:dyDescent="0.25">
      <c r="C404" s="67"/>
      <c r="D404" s="67"/>
      <c r="E404" s="56"/>
      <c r="F404" s="56"/>
    </row>
    <row r="405" spans="3:6" x14ac:dyDescent="0.25">
      <c r="C405" s="67"/>
      <c r="D405" s="67"/>
      <c r="E405" s="56"/>
      <c r="F405" s="56"/>
    </row>
    <row r="406" spans="3:6" x14ac:dyDescent="0.25">
      <c r="C406" s="67"/>
      <c r="D406" s="67"/>
      <c r="E406" s="56"/>
      <c r="F406" s="56"/>
    </row>
    <row r="407" spans="3:6" x14ac:dyDescent="0.25">
      <c r="C407" s="67"/>
      <c r="D407" s="67"/>
      <c r="E407" s="56"/>
      <c r="F407" s="56"/>
    </row>
    <row r="408" spans="3:6" x14ac:dyDescent="0.25">
      <c r="C408" s="67"/>
      <c r="D408" s="67"/>
      <c r="E408" s="56"/>
      <c r="F408" s="56"/>
    </row>
    <row r="409" spans="3:6" x14ac:dyDescent="0.25">
      <c r="C409" s="67"/>
      <c r="D409" s="67"/>
      <c r="E409" s="56"/>
      <c r="F409" s="56"/>
    </row>
    <row r="410" spans="3:6" x14ac:dyDescent="0.25">
      <c r="C410" s="67"/>
      <c r="D410" s="67"/>
      <c r="E410" s="56"/>
      <c r="F410" s="56"/>
    </row>
    <row r="411" spans="3:6" x14ac:dyDescent="0.25">
      <c r="C411" s="67"/>
      <c r="D411" s="67"/>
      <c r="E411" s="56"/>
      <c r="F411" s="56"/>
    </row>
    <row r="412" spans="3:6" x14ac:dyDescent="0.25">
      <c r="C412" s="67"/>
      <c r="D412" s="67"/>
      <c r="E412" s="56"/>
      <c r="F412" s="56"/>
    </row>
    <row r="413" spans="3:6" x14ac:dyDescent="0.25">
      <c r="C413" s="67"/>
      <c r="D413" s="67"/>
      <c r="E413" s="56"/>
      <c r="F413" s="56"/>
    </row>
    <row r="414" spans="3:6" x14ac:dyDescent="0.25">
      <c r="C414" s="67"/>
      <c r="D414" s="67"/>
      <c r="E414" s="56"/>
      <c r="F414" s="56"/>
    </row>
    <row r="415" spans="3:6" x14ac:dyDescent="0.25">
      <c r="C415" s="67"/>
      <c r="D415" s="67"/>
      <c r="E415" s="56"/>
      <c r="F415" s="56"/>
    </row>
    <row r="416" spans="3:6" x14ac:dyDescent="0.25">
      <c r="C416" s="67"/>
      <c r="D416" s="67"/>
      <c r="E416" s="56"/>
      <c r="F416" s="56"/>
    </row>
    <row r="417" spans="3:6" x14ac:dyDescent="0.25">
      <c r="C417" s="67"/>
      <c r="D417" s="67"/>
      <c r="E417" s="56"/>
      <c r="F417" s="56"/>
    </row>
    <row r="418" spans="3:6" x14ac:dyDescent="0.25">
      <c r="C418" s="67"/>
      <c r="D418" s="67"/>
      <c r="E418" s="56"/>
      <c r="F418" s="56"/>
    </row>
    <row r="419" spans="3:6" x14ac:dyDescent="0.25">
      <c r="C419" s="67"/>
      <c r="D419" s="67"/>
      <c r="E419" s="56"/>
      <c r="F419" s="56"/>
    </row>
    <row r="420" spans="3:6" x14ac:dyDescent="0.25">
      <c r="C420" s="67"/>
      <c r="D420" s="67"/>
      <c r="E420" s="56"/>
      <c r="F420" s="56"/>
    </row>
    <row r="421" spans="3:6" x14ac:dyDescent="0.25">
      <c r="C421" s="67"/>
      <c r="D421" s="67"/>
      <c r="E421" s="56"/>
      <c r="F421" s="56"/>
    </row>
    <row r="422" spans="3:6" x14ac:dyDescent="0.25">
      <c r="C422" s="67"/>
      <c r="D422" s="67"/>
      <c r="E422" s="56"/>
      <c r="F422" s="56"/>
    </row>
    <row r="423" spans="3:6" x14ac:dyDescent="0.25">
      <c r="C423" s="67"/>
      <c r="D423" s="67"/>
      <c r="E423" s="56"/>
      <c r="F423" s="56"/>
    </row>
    <row r="424" spans="3:6" x14ac:dyDescent="0.25">
      <c r="C424" s="67"/>
      <c r="D424" s="67"/>
      <c r="E424" s="56"/>
      <c r="F424" s="56"/>
    </row>
    <row r="425" spans="3:6" x14ac:dyDescent="0.25">
      <c r="C425" s="67"/>
      <c r="D425" s="67"/>
      <c r="E425" s="56"/>
      <c r="F425" s="56"/>
    </row>
    <row r="426" spans="3:6" x14ac:dyDescent="0.25">
      <c r="C426" s="67"/>
      <c r="D426" s="67"/>
      <c r="E426" s="56"/>
      <c r="F426" s="56"/>
    </row>
    <row r="427" spans="3:6" x14ac:dyDescent="0.25">
      <c r="C427" s="67"/>
      <c r="D427" s="67"/>
      <c r="E427" s="56"/>
      <c r="F427" s="56"/>
    </row>
    <row r="428" spans="3:6" x14ac:dyDescent="0.25">
      <c r="C428" s="67"/>
      <c r="D428" s="67"/>
      <c r="E428" s="56"/>
      <c r="F428" s="56"/>
    </row>
    <row r="429" spans="3:6" x14ac:dyDescent="0.25">
      <c r="C429" s="67"/>
      <c r="D429" s="67"/>
      <c r="E429" s="56"/>
      <c r="F429" s="56"/>
    </row>
    <row r="430" spans="3:6" x14ac:dyDescent="0.25">
      <c r="C430" s="67"/>
      <c r="D430" s="67"/>
      <c r="E430" s="56"/>
      <c r="F430" s="56"/>
    </row>
    <row r="431" spans="3:6" x14ac:dyDescent="0.25">
      <c r="C431" s="67"/>
      <c r="D431" s="67"/>
      <c r="E431" s="56"/>
      <c r="F431" s="56"/>
    </row>
    <row r="432" spans="3:6" x14ac:dyDescent="0.25">
      <c r="C432" s="67"/>
      <c r="D432" s="67"/>
      <c r="E432" s="56"/>
      <c r="F432" s="56"/>
    </row>
    <row r="433" spans="3:6" x14ac:dyDescent="0.25">
      <c r="C433" s="67"/>
      <c r="D433" s="67"/>
      <c r="E433" s="56"/>
      <c r="F433" s="56"/>
    </row>
    <row r="434" spans="3:6" x14ac:dyDescent="0.25">
      <c r="C434" s="67"/>
      <c r="D434" s="67"/>
      <c r="E434" s="56"/>
      <c r="F434" s="56"/>
    </row>
    <row r="435" spans="3:6" x14ac:dyDescent="0.25">
      <c r="C435" s="67"/>
      <c r="D435" s="67"/>
      <c r="E435" s="56"/>
      <c r="F435" s="56"/>
    </row>
    <row r="436" spans="3:6" x14ac:dyDescent="0.25">
      <c r="C436" s="67"/>
      <c r="D436" s="67"/>
      <c r="E436" s="56"/>
      <c r="F436" s="56"/>
    </row>
    <row r="437" spans="3:6" x14ac:dyDescent="0.25">
      <c r="C437" s="67"/>
      <c r="D437" s="67"/>
      <c r="E437" s="56"/>
      <c r="F437" s="56"/>
    </row>
    <row r="438" spans="3:6" x14ac:dyDescent="0.25">
      <c r="C438" s="67"/>
      <c r="D438" s="67"/>
      <c r="E438" s="56"/>
      <c r="F438" s="56"/>
    </row>
    <row r="439" spans="3:6" x14ac:dyDescent="0.25">
      <c r="C439" s="67"/>
      <c r="D439" s="67"/>
      <c r="E439" s="56"/>
      <c r="F439" s="56"/>
    </row>
    <row r="440" spans="3:6" x14ac:dyDescent="0.25">
      <c r="C440" s="67"/>
      <c r="D440" s="67"/>
      <c r="E440" s="56"/>
      <c r="F440" s="56"/>
    </row>
    <row r="441" spans="3:6" x14ac:dyDescent="0.25">
      <c r="C441" s="67"/>
      <c r="D441" s="67"/>
      <c r="E441" s="56"/>
      <c r="F441" s="56"/>
    </row>
    <row r="442" spans="3:6" x14ac:dyDescent="0.25">
      <c r="C442" s="67"/>
      <c r="D442" s="67"/>
      <c r="E442" s="56"/>
      <c r="F442" s="56"/>
    </row>
    <row r="443" spans="3:6" x14ac:dyDescent="0.25">
      <c r="C443" s="67"/>
      <c r="D443" s="67"/>
      <c r="E443" s="56"/>
      <c r="F443" s="56"/>
    </row>
    <row r="444" spans="3:6" x14ac:dyDescent="0.25">
      <c r="C444" s="67"/>
      <c r="D444" s="67"/>
      <c r="E444" s="56"/>
      <c r="F444" s="56"/>
    </row>
    <row r="445" spans="3:6" x14ac:dyDescent="0.25">
      <c r="C445" s="67"/>
      <c r="D445" s="67"/>
      <c r="E445" s="56"/>
      <c r="F445" s="56"/>
    </row>
    <row r="446" spans="3:6" x14ac:dyDescent="0.25">
      <c r="C446" s="67"/>
      <c r="D446" s="67"/>
      <c r="E446" s="56"/>
      <c r="F446" s="56"/>
    </row>
    <row r="447" spans="3:6" x14ac:dyDescent="0.25">
      <c r="C447" s="67"/>
      <c r="D447" s="67"/>
      <c r="E447" s="56"/>
      <c r="F447" s="56"/>
    </row>
    <row r="448" spans="3:6" x14ac:dyDescent="0.25">
      <c r="C448" s="67"/>
      <c r="D448" s="67"/>
      <c r="E448" s="56"/>
      <c r="F448" s="56"/>
    </row>
    <row r="449" spans="3:6" x14ac:dyDescent="0.25">
      <c r="C449" s="67"/>
      <c r="D449" s="67"/>
      <c r="E449" s="56"/>
      <c r="F449" s="56"/>
    </row>
    <row r="450" spans="3:6" x14ac:dyDescent="0.25">
      <c r="C450" s="67"/>
      <c r="D450" s="67"/>
      <c r="E450" s="56"/>
      <c r="F450" s="56"/>
    </row>
    <row r="451" spans="3:6" x14ac:dyDescent="0.25">
      <c r="C451" s="67"/>
      <c r="D451" s="67"/>
      <c r="E451" s="56"/>
      <c r="F451" s="56"/>
    </row>
    <row r="452" spans="3:6" x14ac:dyDescent="0.25">
      <c r="C452" s="67"/>
      <c r="D452" s="67"/>
      <c r="E452" s="56"/>
      <c r="F452" s="56"/>
    </row>
    <row r="453" spans="3:6" x14ac:dyDescent="0.25">
      <c r="C453" s="67"/>
      <c r="D453" s="67"/>
      <c r="E453" s="56"/>
      <c r="F453" s="56"/>
    </row>
    <row r="454" spans="3:6" x14ac:dyDescent="0.25">
      <c r="C454" s="67"/>
      <c r="D454" s="67"/>
      <c r="E454" s="56"/>
      <c r="F454" s="56"/>
    </row>
    <row r="455" spans="3:6" x14ac:dyDescent="0.25">
      <c r="C455" s="67"/>
      <c r="D455" s="67"/>
      <c r="E455" s="56"/>
      <c r="F455" s="56"/>
    </row>
    <row r="456" spans="3:6" x14ac:dyDescent="0.25">
      <c r="C456" s="67"/>
      <c r="D456" s="67"/>
      <c r="E456" s="56"/>
      <c r="F456" s="56"/>
    </row>
    <row r="457" spans="3:6" x14ac:dyDescent="0.25">
      <c r="C457" s="67"/>
      <c r="D457" s="67"/>
      <c r="E457" s="56"/>
      <c r="F457" s="56"/>
    </row>
    <row r="458" spans="3:6" x14ac:dyDescent="0.25">
      <c r="C458" s="67"/>
      <c r="D458" s="67"/>
      <c r="E458" s="56"/>
      <c r="F458" s="56"/>
    </row>
    <row r="459" spans="3:6" x14ac:dyDescent="0.25">
      <c r="C459" s="67"/>
      <c r="D459" s="67"/>
      <c r="E459" s="56"/>
      <c r="F459" s="56"/>
    </row>
    <row r="460" spans="3:6" x14ac:dyDescent="0.25">
      <c r="C460" s="67"/>
      <c r="D460" s="67"/>
      <c r="E460" s="56"/>
      <c r="F460" s="56"/>
    </row>
    <row r="461" spans="3:6" x14ac:dyDescent="0.25">
      <c r="C461" s="67"/>
      <c r="D461" s="67"/>
      <c r="E461" s="56"/>
      <c r="F461" s="56"/>
    </row>
    <row r="462" spans="3:6" x14ac:dyDescent="0.25">
      <c r="C462" s="67"/>
      <c r="D462" s="67"/>
      <c r="E462" s="56"/>
      <c r="F462" s="56"/>
    </row>
    <row r="463" spans="3:6" x14ac:dyDescent="0.25">
      <c r="C463" s="67"/>
      <c r="D463" s="67"/>
      <c r="E463" s="56"/>
      <c r="F463" s="56"/>
    </row>
    <row r="464" spans="3:6" x14ac:dyDescent="0.25">
      <c r="C464" s="67"/>
      <c r="D464" s="67"/>
      <c r="E464" s="56"/>
      <c r="F464" s="56"/>
    </row>
    <row r="465" spans="3:6" x14ac:dyDescent="0.25">
      <c r="C465" s="67"/>
      <c r="D465" s="67"/>
      <c r="E465" s="56"/>
      <c r="F465" s="56"/>
    </row>
    <row r="466" spans="3:6" x14ac:dyDescent="0.25">
      <c r="C466" s="67"/>
      <c r="D466" s="67"/>
      <c r="E466" s="56"/>
      <c r="F466" s="56"/>
    </row>
    <row r="467" spans="3:6" x14ac:dyDescent="0.25">
      <c r="C467" s="67"/>
      <c r="D467" s="67"/>
      <c r="E467" s="56"/>
      <c r="F467" s="56"/>
    </row>
    <row r="468" spans="3:6" x14ac:dyDescent="0.25">
      <c r="C468" s="67"/>
      <c r="D468" s="67"/>
      <c r="E468" s="56"/>
      <c r="F468" s="56"/>
    </row>
    <row r="469" spans="3:6" x14ac:dyDescent="0.25">
      <c r="C469" s="67"/>
      <c r="D469" s="67"/>
      <c r="E469" s="56"/>
      <c r="F469" s="56"/>
    </row>
    <row r="470" spans="3:6" x14ac:dyDescent="0.25">
      <c r="C470" s="67"/>
      <c r="D470" s="67"/>
      <c r="E470" s="56"/>
      <c r="F470" s="56"/>
    </row>
    <row r="471" spans="3:6" x14ac:dyDescent="0.25">
      <c r="C471" s="67"/>
      <c r="D471" s="67"/>
      <c r="E471" s="56"/>
      <c r="F471" s="56"/>
    </row>
    <row r="472" spans="3:6" x14ac:dyDescent="0.25">
      <c r="C472" s="67"/>
      <c r="D472" s="67"/>
      <c r="E472" s="56"/>
      <c r="F472" s="56"/>
    </row>
    <row r="473" spans="3:6" x14ac:dyDescent="0.25">
      <c r="C473" s="67"/>
      <c r="D473" s="67"/>
      <c r="E473" s="56"/>
      <c r="F473" s="56"/>
    </row>
    <row r="474" spans="3:6" x14ac:dyDescent="0.25">
      <c r="C474" s="67"/>
      <c r="D474" s="67"/>
      <c r="E474" s="56"/>
      <c r="F474" s="56"/>
    </row>
    <row r="475" spans="3:6" x14ac:dyDescent="0.25">
      <c r="C475" s="67"/>
      <c r="D475" s="67"/>
      <c r="E475" s="56"/>
      <c r="F475" s="56"/>
    </row>
    <row r="476" spans="3:6" x14ac:dyDescent="0.25">
      <c r="C476" s="67"/>
      <c r="D476" s="67"/>
      <c r="E476" s="56"/>
      <c r="F476" s="56"/>
    </row>
    <row r="477" spans="3:6" x14ac:dyDescent="0.25">
      <c r="C477" s="67"/>
      <c r="D477" s="67"/>
      <c r="E477" s="56"/>
      <c r="F477" s="56"/>
    </row>
    <row r="478" spans="3:6" x14ac:dyDescent="0.25">
      <c r="C478" s="67"/>
      <c r="D478" s="67"/>
      <c r="E478" s="56"/>
      <c r="F478" s="56"/>
    </row>
    <row r="479" spans="3:6" x14ac:dyDescent="0.25">
      <c r="C479" s="67"/>
      <c r="D479" s="67"/>
      <c r="E479" s="56"/>
      <c r="F479" s="56"/>
    </row>
    <row r="480" spans="3:6" x14ac:dyDescent="0.25">
      <c r="C480" s="67"/>
      <c r="D480" s="67"/>
      <c r="E480" s="56"/>
      <c r="F480" s="56"/>
    </row>
    <row r="481" spans="3:6" x14ac:dyDescent="0.25">
      <c r="C481" s="67"/>
      <c r="D481" s="67"/>
      <c r="E481" s="56"/>
      <c r="F481" s="56"/>
    </row>
    <row r="482" spans="3:6" x14ac:dyDescent="0.25">
      <c r="C482" s="67"/>
      <c r="D482" s="67"/>
      <c r="E482" s="56"/>
      <c r="F482" s="56"/>
    </row>
    <row r="483" spans="3:6" x14ac:dyDescent="0.25">
      <c r="C483" s="67"/>
      <c r="D483" s="67"/>
      <c r="E483" s="56"/>
      <c r="F483" s="56"/>
    </row>
    <row r="484" spans="3:6" x14ac:dyDescent="0.25">
      <c r="C484" s="67"/>
      <c r="D484" s="67"/>
      <c r="E484" s="56"/>
      <c r="F484" s="56"/>
    </row>
    <row r="485" spans="3:6" x14ac:dyDescent="0.25">
      <c r="C485" s="67"/>
      <c r="D485" s="67"/>
      <c r="E485" s="56"/>
      <c r="F485" s="56"/>
    </row>
    <row r="486" spans="3:6" x14ac:dyDescent="0.25">
      <c r="C486" s="67"/>
      <c r="D486" s="67"/>
      <c r="E486" s="56"/>
      <c r="F486" s="56"/>
    </row>
    <row r="487" spans="3:6" x14ac:dyDescent="0.25">
      <c r="C487" s="67"/>
      <c r="D487" s="67"/>
      <c r="E487" s="56"/>
      <c r="F487" s="56"/>
    </row>
    <row r="488" spans="3:6" x14ac:dyDescent="0.25">
      <c r="C488" s="67"/>
      <c r="D488" s="67"/>
      <c r="E488" s="56"/>
      <c r="F488" s="56"/>
    </row>
    <row r="489" spans="3:6" x14ac:dyDescent="0.25">
      <c r="C489" s="67"/>
      <c r="D489" s="67"/>
      <c r="E489" s="56"/>
      <c r="F489" s="56"/>
    </row>
    <row r="490" spans="3:6" x14ac:dyDescent="0.25">
      <c r="C490" s="67"/>
      <c r="D490" s="67"/>
      <c r="E490" s="56"/>
      <c r="F490" s="56"/>
    </row>
    <row r="491" spans="3:6" x14ac:dyDescent="0.25">
      <c r="C491" s="67"/>
      <c r="D491" s="67"/>
      <c r="E491" s="56"/>
      <c r="F491" s="56"/>
    </row>
    <row r="492" spans="3:6" x14ac:dyDescent="0.25">
      <c r="C492" s="67"/>
      <c r="D492" s="67"/>
      <c r="E492" s="56"/>
      <c r="F492" s="56"/>
    </row>
    <row r="493" spans="3:6" x14ac:dyDescent="0.25">
      <c r="C493" s="67"/>
      <c r="D493" s="67"/>
      <c r="E493" s="56"/>
      <c r="F493" s="56"/>
    </row>
    <row r="494" spans="3:6" x14ac:dyDescent="0.25">
      <c r="C494" s="67"/>
      <c r="D494" s="67"/>
      <c r="E494" s="56"/>
      <c r="F494" s="56"/>
    </row>
    <row r="495" spans="3:6" x14ac:dyDescent="0.25">
      <c r="C495" s="67"/>
      <c r="D495" s="67"/>
      <c r="E495" s="56"/>
      <c r="F495" s="56"/>
    </row>
    <row r="496" spans="3:6" x14ac:dyDescent="0.25">
      <c r="C496" s="67"/>
      <c r="D496" s="67"/>
      <c r="E496" s="56"/>
      <c r="F496" s="56"/>
    </row>
    <row r="497" spans="3:6" x14ac:dyDescent="0.25">
      <c r="C497" s="67"/>
      <c r="D497" s="67"/>
      <c r="E497" s="56"/>
      <c r="F497" s="56"/>
    </row>
    <row r="498" spans="3:6" x14ac:dyDescent="0.25">
      <c r="C498" s="67"/>
      <c r="D498" s="67"/>
      <c r="E498" s="56"/>
      <c r="F498" s="56"/>
    </row>
    <row r="499" spans="3:6" x14ac:dyDescent="0.25">
      <c r="C499" s="67"/>
      <c r="D499" s="67"/>
      <c r="E499" s="56"/>
      <c r="F499" s="56"/>
    </row>
    <row r="500" spans="3:6" x14ac:dyDescent="0.25">
      <c r="C500" s="67"/>
      <c r="D500" s="67"/>
      <c r="E500" s="56"/>
      <c r="F500" s="56"/>
    </row>
    <row r="501" spans="3:6" x14ac:dyDescent="0.25">
      <c r="C501" s="67"/>
      <c r="D501" s="67"/>
      <c r="E501" s="56"/>
      <c r="F501" s="56"/>
    </row>
    <row r="502" spans="3:6" x14ac:dyDescent="0.25">
      <c r="C502" s="67"/>
      <c r="D502" s="67"/>
      <c r="E502" s="56"/>
      <c r="F502" s="56"/>
    </row>
    <row r="503" spans="3:6" x14ac:dyDescent="0.25">
      <c r="C503" s="67"/>
      <c r="D503" s="67"/>
      <c r="E503" s="56"/>
      <c r="F503" s="56"/>
    </row>
    <row r="504" spans="3:6" x14ac:dyDescent="0.25">
      <c r="C504" s="67"/>
      <c r="D504" s="67"/>
      <c r="E504" s="56"/>
      <c r="F504" s="56"/>
    </row>
    <row r="505" spans="3:6" x14ac:dyDescent="0.25">
      <c r="C505" s="67"/>
      <c r="D505" s="67"/>
      <c r="E505" s="56"/>
      <c r="F505" s="56"/>
    </row>
    <row r="506" spans="3:6" x14ac:dyDescent="0.25">
      <c r="C506" s="67"/>
      <c r="D506" s="67"/>
      <c r="E506" s="56"/>
      <c r="F506" s="56"/>
    </row>
    <row r="507" spans="3:6" x14ac:dyDescent="0.25">
      <c r="C507" s="67"/>
      <c r="D507" s="67"/>
      <c r="E507" s="56"/>
      <c r="F507" s="56"/>
    </row>
    <row r="508" spans="3:6" x14ac:dyDescent="0.25">
      <c r="C508" s="67"/>
      <c r="D508" s="67"/>
      <c r="E508" s="56"/>
      <c r="F508" s="56"/>
    </row>
    <row r="509" spans="3:6" x14ac:dyDescent="0.25">
      <c r="C509" s="67"/>
      <c r="D509" s="67"/>
      <c r="E509" s="56"/>
      <c r="F509" s="56"/>
    </row>
    <row r="510" spans="3:6" x14ac:dyDescent="0.25">
      <c r="C510" s="67"/>
      <c r="D510" s="67"/>
      <c r="E510" s="56"/>
      <c r="F510" s="56"/>
    </row>
    <row r="511" spans="3:6" x14ac:dyDescent="0.25">
      <c r="C511" s="67"/>
      <c r="D511" s="67"/>
      <c r="E511" s="56"/>
      <c r="F511" s="56"/>
    </row>
    <row r="512" spans="3:6" x14ac:dyDescent="0.25">
      <c r="C512" s="67"/>
      <c r="D512" s="67"/>
      <c r="E512" s="56"/>
      <c r="F512" s="56"/>
    </row>
    <row r="513" spans="3:6" x14ac:dyDescent="0.25">
      <c r="C513" s="67"/>
      <c r="D513" s="67"/>
      <c r="E513" s="56"/>
      <c r="F513" s="56"/>
    </row>
    <row r="514" spans="3:6" x14ac:dyDescent="0.25">
      <c r="C514" s="67"/>
      <c r="D514" s="67"/>
      <c r="E514" s="56"/>
      <c r="F514" s="56"/>
    </row>
    <row r="515" spans="3:6" x14ac:dyDescent="0.25">
      <c r="C515" s="67"/>
      <c r="D515" s="67"/>
      <c r="E515" s="56"/>
      <c r="F515" s="56"/>
    </row>
    <row r="516" spans="3:6" x14ac:dyDescent="0.25">
      <c r="C516" s="67"/>
      <c r="D516" s="67"/>
      <c r="E516" s="56"/>
      <c r="F516" s="56"/>
    </row>
    <row r="517" spans="3:6" x14ac:dyDescent="0.25">
      <c r="C517" s="67"/>
      <c r="D517" s="67"/>
      <c r="E517" s="56"/>
      <c r="F517" s="56"/>
    </row>
    <row r="518" spans="3:6" x14ac:dyDescent="0.25">
      <c r="C518" s="67"/>
      <c r="D518" s="67"/>
      <c r="E518" s="56"/>
      <c r="F518" s="56"/>
    </row>
    <row r="519" spans="3:6" x14ac:dyDescent="0.25">
      <c r="C519" s="67"/>
      <c r="D519" s="67"/>
      <c r="E519" s="56"/>
      <c r="F519" s="56"/>
    </row>
    <row r="520" spans="3:6" x14ac:dyDescent="0.25">
      <c r="C520" s="67"/>
      <c r="D520" s="67"/>
      <c r="E520" s="56"/>
      <c r="F520" s="56"/>
    </row>
    <row r="521" spans="3:6" x14ac:dyDescent="0.25">
      <c r="C521" s="67"/>
      <c r="D521" s="67"/>
      <c r="E521" s="56"/>
      <c r="F521" s="56"/>
    </row>
    <row r="522" spans="3:6" x14ac:dyDescent="0.25">
      <c r="C522" s="67"/>
      <c r="D522" s="67"/>
      <c r="E522" s="56"/>
      <c r="F522" s="56"/>
    </row>
    <row r="523" spans="3:6" x14ac:dyDescent="0.25">
      <c r="C523" s="67"/>
      <c r="D523" s="67"/>
      <c r="E523" s="56"/>
      <c r="F523" s="56"/>
    </row>
    <row r="524" spans="3:6" x14ac:dyDescent="0.25">
      <c r="C524" s="67"/>
      <c r="D524" s="67"/>
      <c r="E524" s="56"/>
      <c r="F524" s="56"/>
    </row>
    <row r="525" spans="3:6" x14ac:dyDescent="0.25">
      <c r="C525" s="67"/>
      <c r="D525" s="67"/>
      <c r="E525" s="56"/>
      <c r="F525" s="56"/>
    </row>
    <row r="526" spans="3:6" x14ac:dyDescent="0.25">
      <c r="C526" s="67"/>
      <c r="D526" s="67"/>
      <c r="E526" s="56"/>
      <c r="F526" s="56"/>
    </row>
    <row r="527" spans="3:6" x14ac:dyDescent="0.25">
      <c r="C527" s="67"/>
      <c r="D527" s="67"/>
      <c r="E527" s="56"/>
      <c r="F527" s="56"/>
    </row>
    <row r="528" spans="3:6" x14ac:dyDescent="0.25">
      <c r="C528" s="67"/>
      <c r="D528" s="67"/>
      <c r="E528" s="56"/>
      <c r="F528" s="56"/>
    </row>
    <row r="529" spans="3:6" x14ac:dyDescent="0.25">
      <c r="C529" s="67"/>
      <c r="D529" s="67"/>
      <c r="E529" s="56"/>
      <c r="F529" s="56"/>
    </row>
    <row r="530" spans="3:6" x14ac:dyDescent="0.25">
      <c r="C530" s="67"/>
      <c r="D530" s="67"/>
      <c r="E530" s="56"/>
      <c r="F530" s="56"/>
    </row>
    <row r="531" spans="3:6" x14ac:dyDescent="0.25">
      <c r="C531" s="67"/>
      <c r="D531" s="67"/>
      <c r="E531" s="56"/>
      <c r="F531" s="56"/>
    </row>
    <row r="532" spans="3:6" x14ac:dyDescent="0.25">
      <c r="C532" s="67"/>
      <c r="D532" s="67"/>
      <c r="E532" s="56"/>
      <c r="F532" s="56"/>
    </row>
    <row r="533" spans="3:6" x14ac:dyDescent="0.25">
      <c r="C533" s="67"/>
      <c r="D533" s="67"/>
      <c r="E533" s="56"/>
      <c r="F533" s="56"/>
    </row>
    <row r="534" spans="3:6" x14ac:dyDescent="0.25">
      <c r="C534" s="67"/>
      <c r="D534" s="67"/>
      <c r="E534" s="56"/>
      <c r="F534" s="56"/>
    </row>
    <row r="535" spans="3:6" x14ac:dyDescent="0.25">
      <c r="C535" s="67"/>
      <c r="D535" s="67"/>
      <c r="E535" s="56"/>
      <c r="F535" s="56"/>
    </row>
    <row r="536" spans="3:6" x14ac:dyDescent="0.25">
      <c r="C536" s="67"/>
      <c r="D536" s="67"/>
      <c r="E536" s="56"/>
      <c r="F536" s="56"/>
    </row>
    <row r="537" spans="3:6" x14ac:dyDescent="0.25">
      <c r="C537" s="67"/>
      <c r="D537" s="67"/>
      <c r="E537" s="56"/>
      <c r="F537" s="56"/>
    </row>
    <row r="538" spans="3:6" x14ac:dyDescent="0.25">
      <c r="C538" s="67"/>
      <c r="D538" s="67"/>
      <c r="E538" s="56"/>
      <c r="F538" s="56"/>
    </row>
    <row r="539" spans="3:6" x14ac:dyDescent="0.25">
      <c r="C539" s="67"/>
      <c r="D539" s="67"/>
      <c r="E539" s="56"/>
      <c r="F539" s="56"/>
    </row>
    <row r="540" spans="3:6" x14ac:dyDescent="0.25">
      <c r="C540" s="67"/>
      <c r="D540" s="67"/>
      <c r="E540" s="56"/>
      <c r="F540" s="56"/>
    </row>
    <row r="541" spans="3:6" x14ac:dyDescent="0.25">
      <c r="C541" s="67"/>
      <c r="D541" s="67"/>
      <c r="E541" s="56"/>
      <c r="F541" s="56"/>
    </row>
    <row r="542" spans="3:6" x14ac:dyDescent="0.25">
      <c r="C542" s="67"/>
      <c r="D542" s="67"/>
      <c r="E542" s="56"/>
      <c r="F542" s="56"/>
    </row>
    <row r="543" spans="3:6" x14ac:dyDescent="0.25">
      <c r="C543" s="67"/>
      <c r="D543" s="67"/>
      <c r="E543" s="56"/>
      <c r="F543" s="56"/>
    </row>
    <row r="544" spans="3:6" x14ac:dyDescent="0.25">
      <c r="C544" s="67"/>
      <c r="D544" s="67"/>
      <c r="E544" s="56"/>
      <c r="F544" s="56"/>
    </row>
    <row r="545" spans="3:6" x14ac:dyDescent="0.25">
      <c r="C545" s="67"/>
      <c r="D545" s="67"/>
      <c r="E545" s="56"/>
      <c r="F545" s="56"/>
    </row>
    <row r="546" spans="3:6" x14ac:dyDescent="0.25">
      <c r="C546" s="67"/>
      <c r="D546" s="67"/>
      <c r="E546" s="56"/>
      <c r="F546" s="56"/>
    </row>
    <row r="547" spans="3:6" x14ac:dyDescent="0.25">
      <c r="C547" s="67"/>
      <c r="D547" s="67"/>
      <c r="E547" s="56"/>
      <c r="F547" s="56"/>
    </row>
    <row r="548" spans="3:6" x14ac:dyDescent="0.25">
      <c r="C548" s="67"/>
      <c r="D548" s="67"/>
      <c r="E548" s="56"/>
      <c r="F548" s="56"/>
    </row>
    <row r="549" spans="3:6" x14ac:dyDescent="0.25">
      <c r="C549" s="67"/>
      <c r="D549" s="67"/>
      <c r="E549" s="56"/>
      <c r="F549" s="56"/>
    </row>
    <row r="550" spans="3:6" x14ac:dyDescent="0.25">
      <c r="C550" s="67"/>
      <c r="D550" s="67"/>
      <c r="E550" s="56"/>
      <c r="F550" s="56"/>
    </row>
    <row r="551" spans="3:6" x14ac:dyDescent="0.25">
      <c r="C551" s="67"/>
      <c r="D551" s="67"/>
      <c r="E551" s="56"/>
      <c r="F551" s="56"/>
    </row>
    <row r="552" spans="3:6" x14ac:dyDescent="0.25">
      <c r="C552" s="67"/>
      <c r="D552" s="67"/>
      <c r="E552" s="56"/>
      <c r="F552" s="56"/>
    </row>
    <row r="553" spans="3:6" x14ac:dyDescent="0.25">
      <c r="C553" s="67"/>
      <c r="D553" s="67"/>
      <c r="E553" s="56"/>
      <c r="F553" s="56"/>
    </row>
    <row r="554" spans="3:6" x14ac:dyDescent="0.25">
      <c r="C554" s="67"/>
      <c r="D554" s="67"/>
      <c r="E554" s="56"/>
      <c r="F554" s="56"/>
    </row>
    <row r="555" spans="3:6" x14ac:dyDescent="0.25">
      <c r="C555" s="67"/>
      <c r="D555" s="67"/>
      <c r="E555" s="56"/>
      <c r="F555" s="56"/>
    </row>
    <row r="556" spans="3:6" x14ac:dyDescent="0.25">
      <c r="C556" s="67"/>
      <c r="D556" s="67"/>
      <c r="E556" s="56"/>
      <c r="F556" s="56"/>
    </row>
    <row r="557" spans="3:6" x14ac:dyDescent="0.25">
      <c r="C557" s="67"/>
      <c r="D557" s="67"/>
      <c r="E557" s="56"/>
      <c r="F557" s="56"/>
    </row>
    <row r="558" spans="3:6" x14ac:dyDescent="0.25">
      <c r="C558" s="67"/>
      <c r="D558" s="67"/>
      <c r="E558" s="56"/>
      <c r="F558" s="56"/>
    </row>
    <row r="559" spans="3:6" x14ac:dyDescent="0.25">
      <c r="C559" s="67"/>
      <c r="D559" s="67"/>
      <c r="E559" s="56"/>
      <c r="F559" s="56"/>
    </row>
    <row r="560" spans="3:6" x14ac:dyDescent="0.25">
      <c r="C560" s="67"/>
      <c r="D560" s="67"/>
      <c r="E560" s="56"/>
      <c r="F560" s="56"/>
    </row>
    <row r="561" spans="3:6" x14ac:dyDescent="0.25">
      <c r="C561" s="67"/>
      <c r="D561" s="67"/>
      <c r="E561" s="56"/>
      <c r="F561" s="56"/>
    </row>
    <row r="562" spans="3:6" x14ac:dyDescent="0.25">
      <c r="C562" s="67"/>
      <c r="D562" s="67"/>
      <c r="E562" s="56"/>
      <c r="F562" s="56"/>
    </row>
    <row r="563" spans="3:6" x14ac:dyDescent="0.25">
      <c r="C563" s="67"/>
      <c r="D563" s="67"/>
      <c r="E563" s="56"/>
      <c r="F563" s="56"/>
    </row>
    <row r="564" spans="3:6" x14ac:dyDescent="0.25">
      <c r="C564" s="67"/>
      <c r="D564" s="67"/>
      <c r="E564" s="56"/>
      <c r="F564" s="56"/>
    </row>
    <row r="565" spans="3:6" x14ac:dyDescent="0.25">
      <c r="C565" s="67"/>
      <c r="D565" s="67"/>
      <c r="E565" s="56"/>
      <c r="F565" s="56"/>
    </row>
    <row r="566" spans="3:6" x14ac:dyDescent="0.25">
      <c r="C566" s="67"/>
      <c r="D566" s="67"/>
      <c r="E566" s="56"/>
      <c r="F566" s="56"/>
    </row>
    <row r="567" spans="3:6" x14ac:dyDescent="0.25">
      <c r="C567" s="67"/>
      <c r="D567" s="67"/>
      <c r="E567" s="56"/>
      <c r="F567" s="56"/>
    </row>
    <row r="568" spans="3:6" x14ac:dyDescent="0.25">
      <c r="C568" s="67"/>
      <c r="D568" s="67"/>
      <c r="E568" s="56"/>
      <c r="F568" s="56"/>
    </row>
    <row r="569" spans="3:6" x14ac:dyDescent="0.25">
      <c r="C569" s="67"/>
      <c r="D569" s="67"/>
      <c r="E569" s="56"/>
      <c r="F569" s="56"/>
    </row>
    <row r="570" spans="3:6" x14ac:dyDescent="0.25">
      <c r="C570" s="67"/>
      <c r="D570" s="67"/>
      <c r="E570" s="56"/>
      <c r="F570" s="56"/>
    </row>
    <row r="571" spans="3:6" x14ac:dyDescent="0.25">
      <c r="C571" s="67"/>
      <c r="D571" s="67"/>
      <c r="E571" s="56"/>
      <c r="F571" s="56"/>
    </row>
    <row r="572" spans="3:6" x14ac:dyDescent="0.25">
      <c r="C572" s="67"/>
      <c r="D572" s="67"/>
      <c r="E572" s="56"/>
      <c r="F572" s="56"/>
    </row>
    <row r="573" spans="3:6" x14ac:dyDescent="0.25">
      <c r="C573" s="67"/>
      <c r="D573" s="67"/>
      <c r="E573" s="56"/>
      <c r="F573" s="56"/>
    </row>
    <row r="574" spans="3:6" x14ac:dyDescent="0.25">
      <c r="C574" s="67"/>
      <c r="D574" s="67"/>
      <c r="E574" s="56"/>
      <c r="F574" s="56"/>
    </row>
    <row r="575" spans="3:6" x14ac:dyDescent="0.25">
      <c r="C575" s="67"/>
      <c r="D575" s="67"/>
      <c r="E575" s="56"/>
      <c r="F575" s="56"/>
    </row>
    <row r="576" spans="3:6" x14ac:dyDescent="0.25">
      <c r="C576" s="67"/>
      <c r="D576" s="67"/>
      <c r="E576" s="56"/>
      <c r="F576" s="56"/>
    </row>
    <row r="577" spans="3:6" x14ac:dyDescent="0.25">
      <c r="C577" s="67"/>
      <c r="D577" s="67"/>
      <c r="E577" s="56"/>
      <c r="F577" s="56"/>
    </row>
    <row r="578" spans="3:6" x14ac:dyDescent="0.25">
      <c r="C578" s="67"/>
      <c r="D578" s="67"/>
      <c r="E578" s="56"/>
      <c r="F578" s="56"/>
    </row>
    <row r="579" spans="3:6" x14ac:dyDescent="0.25">
      <c r="C579" s="67"/>
      <c r="D579" s="67"/>
      <c r="E579" s="56"/>
      <c r="F579" s="56"/>
    </row>
    <row r="580" spans="3:6" x14ac:dyDescent="0.25">
      <c r="C580" s="67"/>
      <c r="D580" s="67"/>
      <c r="E580" s="56"/>
      <c r="F580" s="56"/>
    </row>
    <row r="581" spans="3:6" x14ac:dyDescent="0.25">
      <c r="C581" s="67"/>
      <c r="D581" s="67"/>
      <c r="E581" s="56"/>
      <c r="F581" s="56"/>
    </row>
    <row r="582" spans="3:6" x14ac:dyDescent="0.25">
      <c r="C582" s="67"/>
      <c r="D582" s="67"/>
      <c r="E582" s="56"/>
      <c r="F582" s="56"/>
    </row>
    <row r="583" spans="3:6" x14ac:dyDescent="0.25">
      <c r="C583" s="67"/>
      <c r="D583" s="67"/>
      <c r="E583" s="56"/>
      <c r="F583" s="56"/>
    </row>
    <row r="584" spans="3:6" x14ac:dyDescent="0.25">
      <c r="C584" s="67"/>
      <c r="D584" s="67"/>
      <c r="E584" s="56"/>
      <c r="F584" s="56"/>
    </row>
    <row r="585" spans="3:6" x14ac:dyDescent="0.25">
      <c r="C585" s="67"/>
      <c r="D585" s="67"/>
      <c r="E585" s="56"/>
      <c r="F585" s="56"/>
    </row>
    <row r="586" spans="3:6" x14ac:dyDescent="0.25">
      <c r="C586" s="67"/>
      <c r="D586" s="67"/>
      <c r="E586" s="56"/>
      <c r="F586" s="56"/>
    </row>
    <row r="587" spans="3:6" x14ac:dyDescent="0.25">
      <c r="C587" s="67"/>
      <c r="D587" s="67"/>
      <c r="E587" s="56"/>
      <c r="F587" s="56"/>
    </row>
    <row r="588" spans="3:6" x14ac:dyDescent="0.25">
      <c r="C588" s="67"/>
      <c r="D588" s="67"/>
      <c r="E588" s="56"/>
      <c r="F588" s="56"/>
    </row>
    <row r="589" spans="3:6" x14ac:dyDescent="0.25">
      <c r="C589" s="67"/>
      <c r="D589" s="67"/>
      <c r="E589" s="56"/>
      <c r="F589" s="56"/>
    </row>
    <row r="590" spans="3:6" x14ac:dyDescent="0.25">
      <c r="C590" s="67"/>
      <c r="D590" s="67"/>
      <c r="E590" s="56"/>
      <c r="F590" s="56"/>
    </row>
    <row r="591" spans="3:6" x14ac:dyDescent="0.25">
      <c r="C591" s="67"/>
      <c r="D591" s="67"/>
      <c r="E591" s="56"/>
      <c r="F591" s="56"/>
    </row>
    <row r="592" spans="3:6" x14ac:dyDescent="0.25">
      <c r="C592" s="67"/>
      <c r="D592" s="67"/>
      <c r="E592" s="56"/>
      <c r="F592" s="56"/>
    </row>
    <row r="593" spans="3:6" x14ac:dyDescent="0.25">
      <c r="C593" s="67"/>
      <c r="D593" s="67"/>
      <c r="E593" s="56"/>
      <c r="F593" s="56"/>
    </row>
    <row r="594" spans="3:6" x14ac:dyDescent="0.25">
      <c r="C594" s="67"/>
      <c r="D594" s="67"/>
      <c r="E594" s="56"/>
      <c r="F594" s="56"/>
    </row>
    <row r="595" spans="3:6" x14ac:dyDescent="0.25">
      <c r="C595" s="67"/>
      <c r="D595" s="67"/>
      <c r="E595" s="56"/>
      <c r="F595" s="56"/>
    </row>
    <row r="596" spans="3:6" x14ac:dyDescent="0.25">
      <c r="C596" s="67"/>
      <c r="D596" s="67"/>
      <c r="E596" s="56"/>
      <c r="F596" s="56"/>
    </row>
    <row r="597" spans="3:6" x14ac:dyDescent="0.25">
      <c r="C597" s="67"/>
      <c r="D597" s="67"/>
      <c r="E597" s="56"/>
      <c r="F597" s="56"/>
    </row>
    <row r="598" spans="3:6" x14ac:dyDescent="0.25">
      <c r="C598" s="67"/>
      <c r="D598" s="67"/>
      <c r="E598" s="56"/>
      <c r="F598" s="56"/>
    </row>
    <row r="599" spans="3:6" x14ac:dyDescent="0.25">
      <c r="C599" s="67"/>
      <c r="D599" s="67"/>
      <c r="E599" s="56"/>
      <c r="F599" s="56"/>
    </row>
    <row r="600" spans="3:6" x14ac:dyDescent="0.25">
      <c r="C600" s="67"/>
      <c r="D600" s="67"/>
      <c r="E600" s="56"/>
      <c r="F600" s="56"/>
    </row>
    <row r="601" spans="3:6" x14ac:dyDescent="0.25">
      <c r="C601" s="67"/>
      <c r="D601" s="67"/>
      <c r="E601" s="56"/>
      <c r="F601" s="56"/>
    </row>
    <row r="602" spans="3:6" x14ac:dyDescent="0.25">
      <c r="C602" s="67"/>
      <c r="D602" s="67"/>
      <c r="E602" s="56"/>
      <c r="F602" s="56"/>
    </row>
    <row r="603" spans="3:6" x14ac:dyDescent="0.25">
      <c r="C603" s="67"/>
      <c r="D603" s="67"/>
      <c r="E603" s="56"/>
      <c r="F603" s="56"/>
    </row>
    <row r="604" spans="3:6" x14ac:dyDescent="0.25">
      <c r="C604" s="67"/>
      <c r="D604" s="67"/>
      <c r="E604" s="56"/>
      <c r="F604" s="56"/>
    </row>
    <row r="605" spans="3:6" x14ac:dyDescent="0.25">
      <c r="C605" s="67"/>
      <c r="D605" s="67"/>
      <c r="E605" s="56"/>
      <c r="F605" s="56"/>
    </row>
    <row r="606" spans="3:6" x14ac:dyDescent="0.25">
      <c r="C606" s="67"/>
      <c r="D606" s="67"/>
      <c r="E606" s="56"/>
      <c r="F606" s="56"/>
    </row>
    <row r="607" spans="3:6" x14ac:dyDescent="0.25">
      <c r="C607" s="67"/>
      <c r="D607" s="67"/>
      <c r="E607" s="56"/>
      <c r="F607" s="56"/>
    </row>
    <row r="608" spans="3:6" x14ac:dyDescent="0.25">
      <c r="C608" s="67"/>
      <c r="D608" s="67"/>
      <c r="E608" s="56"/>
      <c r="F608" s="56"/>
    </row>
    <row r="609" spans="3:6" x14ac:dyDescent="0.25">
      <c r="C609" s="67"/>
      <c r="D609" s="67"/>
      <c r="E609" s="56"/>
      <c r="F609" s="56"/>
    </row>
    <row r="610" spans="3:6" x14ac:dyDescent="0.25">
      <c r="C610" s="67"/>
      <c r="D610" s="67"/>
      <c r="E610" s="56"/>
      <c r="F610" s="56"/>
    </row>
    <row r="611" spans="3:6" x14ac:dyDescent="0.25">
      <c r="C611" s="67"/>
      <c r="D611" s="67"/>
      <c r="E611" s="56"/>
      <c r="F611" s="56"/>
    </row>
    <row r="612" spans="3:6" x14ac:dyDescent="0.25">
      <c r="C612" s="67"/>
      <c r="D612" s="67"/>
      <c r="E612" s="56"/>
      <c r="F612" s="56"/>
    </row>
    <row r="613" spans="3:6" x14ac:dyDescent="0.25">
      <c r="C613" s="67"/>
      <c r="D613" s="67"/>
      <c r="E613" s="56"/>
      <c r="F613" s="56"/>
    </row>
    <row r="614" spans="3:6" x14ac:dyDescent="0.25">
      <c r="C614" s="67"/>
      <c r="D614" s="67"/>
      <c r="E614" s="56"/>
      <c r="F614" s="56"/>
    </row>
    <row r="615" spans="3:6" x14ac:dyDescent="0.25">
      <c r="C615" s="67"/>
      <c r="D615" s="67"/>
      <c r="E615" s="56"/>
      <c r="F615" s="56"/>
    </row>
    <row r="616" spans="3:6" x14ac:dyDescent="0.25">
      <c r="C616" s="67"/>
      <c r="D616" s="67"/>
      <c r="E616" s="56"/>
      <c r="F616" s="56"/>
    </row>
    <row r="617" spans="3:6" x14ac:dyDescent="0.25">
      <c r="C617" s="67"/>
      <c r="D617" s="67"/>
      <c r="E617" s="56"/>
      <c r="F617" s="56"/>
    </row>
    <row r="618" spans="3:6" x14ac:dyDescent="0.25">
      <c r="C618" s="67"/>
      <c r="D618" s="67"/>
      <c r="E618" s="56"/>
      <c r="F618" s="56"/>
    </row>
    <row r="619" spans="3:6" x14ac:dyDescent="0.25">
      <c r="C619" s="67"/>
      <c r="D619" s="67"/>
      <c r="E619" s="56"/>
      <c r="F619" s="56"/>
    </row>
    <row r="620" spans="3:6" x14ac:dyDescent="0.25">
      <c r="C620" s="67"/>
      <c r="D620" s="67"/>
      <c r="E620" s="56"/>
      <c r="F620" s="56"/>
    </row>
    <row r="621" spans="3:6" x14ac:dyDescent="0.25">
      <c r="C621" s="67"/>
      <c r="D621" s="67"/>
      <c r="E621" s="56"/>
      <c r="F621" s="56"/>
    </row>
    <row r="622" spans="3:6" x14ac:dyDescent="0.25">
      <c r="C622" s="67"/>
      <c r="D622" s="67"/>
      <c r="E622" s="56"/>
      <c r="F622" s="56"/>
    </row>
    <row r="623" spans="3:6" x14ac:dyDescent="0.25">
      <c r="C623" s="67"/>
      <c r="D623" s="67"/>
      <c r="E623" s="56"/>
      <c r="F623" s="56"/>
    </row>
    <row r="624" spans="3:6" x14ac:dyDescent="0.25">
      <c r="C624" s="67"/>
      <c r="D624" s="67"/>
      <c r="E624" s="56"/>
      <c r="F624" s="56"/>
    </row>
    <row r="625" spans="3:6" x14ac:dyDescent="0.25">
      <c r="C625" s="67"/>
      <c r="D625" s="67"/>
      <c r="E625" s="56"/>
      <c r="F625" s="56"/>
    </row>
    <row r="626" spans="3:6" x14ac:dyDescent="0.25">
      <c r="C626" s="67"/>
      <c r="D626" s="67"/>
      <c r="E626" s="56"/>
      <c r="F626" s="56"/>
    </row>
    <row r="627" spans="3:6" x14ac:dyDescent="0.25">
      <c r="C627" s="67"/>
      <c r="D627" s="67"/>
      <c r="E627" s="56"/>
      <c r="F627" s="56"/>
    </row>
    <row r="628" spans="3:6" x14ac:dyDescent="0.25">
      <c r="C628" s="67"/>
      <c r="D628" s="67"/>
      <c r="E628" s="56"/>
      <c r="F628" s="56"/>
    </row>
    <row r="629" spans="3:6" x14ac:dyDescent="0.25">
      <c r="C629" s="67"/>
      <c r="D629" s="67"/>
      <c r="E629" s="56"/>
      <c r="F629" s="56"/>
    </row>
    <row r="630" spans="3:6" x14ac:dyDescent="0.25">
      <c r="C630" s="67"/>
      <c r="D630" s="67"/>
      <c r="E630" s="56"/>
      <c r="F630" s="56"/>
    </row>
    <row r="631" spans="3:6" x14ac:dyDescent="0.25">
      <c r="C631" s="67"/>
      <c r="D631" s="67"/>
      <c r="E631" s="56"/>
      <c r="F631" s="56"/>
    </row>
    <row r="632" spans="3:6" x14ac:dyDescent="0.25">
      <c r="C632" s="67"/>
      <c r="D632" s="67"/>
      <c r="E632" s="56"/>
      <c r="F632" s="56"/>
    </row>
    <row r="633" spans="3:6" x14ac:dyDescent="0.25">
      <c r="C633" s="67"/>
      <c r="D633" s="67"/>
      <c r="E633" s="56"/>
      <c r="F633" s="56"/>
    </row>
    <row r="634" spans="3:6" x14ac:dyDescent="0.25">
      <c r="C634" s="67"/>
      <c r="D634" s="67"/>
      <c r="E634" s="56"/>
      <c r="F634" s="56"/>
    </row>
    <row r="635" spans="3:6" x14ac:dyDescent="0.25">
      <c r="C635" s="67"/>
      <c r="D635" s="67"/>
      <c r="E635" s="56"/>
      <c r="F635" s="56"/>
    </row>
    <row r="636" spans="3:6" x14ac:dyDescent="0.25">
      <c r="C636" s="67"/>
      <c r="D636" s="67"/>
      <c r="E636" s="56"/>
      <c r="F636" s="56"/>
    </row>
    <row r="637" spans="3:6" x14ac:dyDescent="0.25">
      <c r="C637" s="67"/>
      <c r="D637" s="67"/>
      <c r="E637" s="56"/>
      <c r="F637" s="56"/>
    </row>
    <row r="638" spans="3:6" x14ac:dyDescent="0.25">
      <c r="C638" s="67"/>
      <c r="D638" s="67"/>
      <c r="E638" s="56"/>
      <c r="F638" s="56"/>
    </row>
    <row r="639" spans="3:6" x14ac:dyDescent="0.25">
      <c r="C639" s="67"/>
      <c r="D639" s="67"/>
      <c r="E639" s="56"/>
      <c r="F639" s="56"/>
    </row>
    <row r="640" spans="3:6" x14ac:dyDescent="0.25">
      <c r="C640" s="67"/>
      <c r="D640" s="67"/>
      <c r="E640" s="56"/>
      <c r="F640" s="56"/>
    </row>
    <row r="641" spans="3:6" x14ac:dyDescent="0.25">
      <c r="C641" s="67"/>
      <c r="D641" s="67"/>
      <c r="E641" s="56"/>
      <c r="F641" s="56"/>
    </row>
    <row r="642" spans="3:6" x14ac:dyDescent="0.25">
      <c r="C642" s="67"/>
      <c r="D642" s="67"/>
      <c r="E642" s="56"/>
      <c r="F642" s="56"/>
    </row>
    <row r="643" spans="3:6" x14ac:dyDescent="0.25">
      <c r="C643" s="67"/>
      <c r="D643" s="67"/>
      <c r="E643" s="56"/>
      <c r="F643" s="56"/>
    </row>
    <row r="644" spans="3:6" x14ac:dyDescent="0.25">
      <c r="C644" s="67"/>
      <c r="D644" s="67"/>
      <c r="E644" s="56"/>
      <c r="F644" s="56"/>
    </row>
    <row r="645" spans="3:6" x14ac:dyDescent="0.25">
      <c r="C645" s="67"/>
      <c r="D645" s="67"/>
      <c r="E645" s="56"/>
      <c r="F645" s="56"/>
    </row>
    <row r="646" spans="3:6" x14ac:dyDescent="0.25">
      <c r="C646" s="67"/>
      <c r="D646" s="67"/>
      <c r="E646" s="56"/>
      <c r="F646" s="56"/>
    </row>
    <row r="647" spans="3:6" x14ac:dyDescent="0.25">
      <c r="C647" s="67"/>
      <c r="D647" s="67"/>
      <c r="E647" s="56"/>
      <c r="F647" s="56"/>
    </row>
    <row r="648" spans="3:6" x14ac:dyDescent="0.25">
      <c r="C648" s="67"/>
      <c r="D648" s="67"/>
      <c r="E648" s="56"/>
      <c r="F648" s="56"/>
    </row>
    <row r="649" spans="3:6" x14ac:dyDescent="0.25">
      <c r="C649" s="67"/>
      <c r="D649" s="67"/>
      <c r="E649" s="56"/>
      <c r="F649" s="56"/>
    </row>
    <row r="650" spans="3:6" x14ac:dyDescent="0.25">
      <c r="C650" s="67"/>
      <c r="D650" s="67"/>
      <c r="E650" s="56"/>
      <c r="F650" s="56"/>
    </row>
    <row r="651" spans="3:6" x14ac:dyDescent="0.25">
      <c r="C651" s="67"/>
      <c r="D651" s="67"/>
      <c r="E651" s="56"/>
      <c r="F651" s="56"/>
    </row>
    <row r="652" spans="3:6" x14ac:dyDescent="0.25">
      <c r="C652" s="67"/>
      <c r="D652" s="67"/>
      <c r="E652" s="56"/>
      <c r="F652" s="56"/>
    </row>
    <row r="653" spans="3:6" x14ac:dyDescent="0.25">
      <c r="C653" s="67"/>
      <c r="D653" s="67"/>
      <c r="E653" s="56"/>
      <c r="F653" s="56"/>
    </row>
    <row r="654" spans="3:6" x14ac:dyDescent="0.25">
      <c r="C654" s="67"/>
      <c r="D654" s="67"/>
      <c r="E654" s="56"/>
      <c r="F654" s="56"/>
    </row>
    <row r="655" spans="3:6" x14ac:dyDescent="0.25">
      <c r="C655" s="67"/>
      <c r="D655" s="67"/>
      <c r="E655" s="56"/>
      <c r="F655" s="56"/>
    </row>
    <row r="656" spans="3:6" x14ac:dyDescent="0.25">
      <c r="C656" s="67"/>
      <c r="D656" s="67"/>
      <c r="E656" s="56"/>
      <c r="F656" s="56"/>
    </row>
    <row r="657" spans="3:6" x14ac:dyDescent="0.25">
      <c r="C657" s="67"/>
      <c r="D657" s="67"/>
      <c r="E657" s="56"/>
      <c r="F657" s="56"/>
    </row>
    <row r="658" spans="3:6" x14ac:dyDescent="0.25">
      <c r="C658" s="67"/>
      <c r="D658" s="67"/>
      <c r="E658" s="56"/>
      <c r="F658" s="56"/>
    </row>
    <row r="659" spans="3:6" x14ac:dyDescent="0.25">
      <c r="C659" s="67"/>
      <c r="D659" s="67"/>
      <c r="E659" s="56"/>
      <c r="F659" s="56"/>
    </row>
    <row r="660" spans="3:6" x14ac:dyDescent="0.25">
      <c r="C660" s="67"/>
      <c r="D660" s="67"/>
      <c r="E660" s="56"/>
      <c r="F660" s="56"/>
    </row>
    <row r="661" spans="3:6" x14ac:dyDescent="0.25">
      <c r="C661" s="67"/>
      <c r="D661" s="67"/>
      <c r="E661" s="56"/>
      <c r="F661" s="56"/>
    </row>
    <row r="662" spans="3:6" x14ac:dyDescent="0.25">
      <c r="C662" s="67"/>
      <c r="D662" s="67"/>
      <c r="E662" s="56"/>
      <c r="F662" s="56"/>
    </row>
    <row r="663" spans="3:6" x14ac:dyDescent="0.25">
      <c r="C663" s="67"/>
      <c r="D663" s="67"/>
      <c r="E663" s="56"/>
      <c r="F663" s="56"/>
    </row>
    <row r="664" spans="3:6" x14ac:dyDescent="0.25">
      <c r="C664" s="67"/>
      <c r="D664" s="67"/>
      <c r="E664" s="56"/>
      <c r="F664" s="56"/>
    </row>
    <row r="665" spans="3:6" x14ac:dyDescent="0.25">
      <c r="C665" s="67"/>
      <c r="D665" s="67"/>
      <c r="E665" s="56"/>
      <c r="F665" s="56"/>
    </row>
    <row r="666" spans="3:6" x14ac:dyDescent="0.25">
      <c r="C666" s="67"/>
      <c r="D666" s="67"/>
      <c r="E666" s="56"/>
      <c r="F666" s="56"/>
    </row>
    <row r="667" spans="3:6" x14ac:dyDescent="0.25">
      <c r="C667" s="67"/>
      <c r="D667" s="67"/>
      <c r="E667" s="56"/>
      <c r="F667" s="56"/>
    </row>
    <row r="668" spans="3:6" x14ac:dyDescent="0.25">
      <c r="C668" s="67"/>
      <c r="D668" s="67"/>
      <c r="E668" s="56"/>
      <c r="F668" s="56"/>
    </row>
    <row r="669" spans="3:6" x14ac:dyDescent="0.25">
      <c r="C669" s="67"/>
      <c r="D669" s="67"/>
      <c r="E669" s="56"/>
      <c r="F669" s="56"/>
    </row>
    <row r="670" spans="3:6" x14ac:dyDescent="0.25">
      <c r="C670" s="67"/>
      <c r="D670" s="67"/>
      <c r="E670" s="56"/>
      <c r="F670" s="56"/>
    </row>
    <row r="671" spans="3:6" x14ac:dyDescent="0.25">
      <c r="C671" s="67"/>
      <c r="D671" s="67"/>
      <c r="E671" s="56"/>
      <c r="F671" s="56"/>
    </row>
    <row r="672" spans="3:6" x14ac:dyDescent="0.25">
      <c r="C672" s="67"/>
      <c r="D672" s="67"/>
      <c r="E672" s="56"/>
      <c r="F672" s="56"/>
    </row>
    <row r="673" spans="3:6" x14ac:dyDescent="0.25">
      <c r="C673" s="67"/>
      <c r="D673" s="67"/>
      <c r="E673" s="56"/>
      <c r="F673" s="56"/>
    </row>
    <row r="674" spans="3:6" x14ac:dyDescent="0.25">
      <c r="C674" s="67"/>
      <c r="D674" s="67"/>
      <c r="E674" s="56"/>
      <c r="F674" s="56"/>
    </row>
    <row r="675" spans="3:6" x14ac:dyDescent="0.25">
      <c r="C675" s="67"/>
      <c r="D675" s="67"/>
      <c r="E675" s="56"/>
      <c r="F675" s="56"/>
    </row>
    <row r="676" spans="3:6" x14ac:dyDescent="0.25">
      <c r="C676" s="67"/>
      <c r="D676" s="67"/>
      <c r="E676" s="56"/>
      <c r="F676" s="56"/>
    </row>
    <row r="677" spans="3:6" x14ac:dyDescent="0.25">
      <c r="C677" s="67"/>
      <c r="D677" s="67"/>
      <c r="E677" s="56"/>
      <c r="F677" s="56"/>
    </row>
    <row r="678" spans="3:6" x14ac:dyDescent="0.25">
      <c r="C678" s="67"/>
      <c r="D678" s="67"/>
      <c r="E678" s="56"/>
      <c r="F678" s="56"/>
    </row>
    <row r="679" spans="3:6" x14ac:dyDescent="0.25">
      <c r="C679" s="67"/>
      <c r="D679" s="67"/>
      <c r="E679" s="56"/>
      <c r="F679" s="56"/>
    </row>
    <row r="680" spans="3:6" x14ac:dyDescent="0.25">
      <c r="C680" s="67"/>
      <c r="D680" s="67"/>
      <c r="E680" s="56"/>
      <c r="F680" s="56"/>
    </row>
    <row r="681" spans="3:6" x14ac:dyDescent="0.25">
      <c r="C681" s="67"/>
      <c r="D681" s="67"/>
      <c r="E681" s="56"/>
      <c r="F681" s="56"/>
    </row>
    <row r="682" spans="3:6" x14ac:dyDescent="0.25">
      <c r="C682" s="67"/>
      <c r="D682" s="67"/>
      <c r="E682" s="56"/>
      <c r="F682" s="56"/>
    </row>
    <row r="683" spans="3:6" x14ac:dyDescent="0.25">
      <c r="C683" s="67"/>
      <c r="D683" s="67"/>
      <c r="E683" s="56"/>
      <c r="F683" s="56"/>
    </row>
    <row r="684" spans="3:6" x14ac:dyDescent="0.25">
      <c r="C684" s="67"/>
      <c r="D684" s="67"/>
      <c r="E684" s="56"/>
      <c r="F684" s="56"/>
    </row>
    <row r="685" spans="3:6" x14ac:dyDescent="0.25">
      <c r="C685" s="67"/>
      <c r="D685" s="67"/>
      <c r="E685" s="56"/>
      <c r="F685" s="56"/>
    </row>
    <row r="686" spans="3:6" x14ac:dyDescent="0.25">
      <c r="C686" s="67"/>
      <c r="D686" s="67"/>
      <c r="E686" s="56"/>
      <c r="F686" s="56"/>
    </row>
    <row r="687" spans="3:6" x14ac:dyDescent="0.25">
      <c r="C687" s="67"/>
      <c r="D687" s="67"/>
      <c r="E687" s="56"/>
      <c r="F687" s="56"/>
    </row>
    <row r="688" spans="3:6" x14ac:dyDescent="0.25">
      <c r="C688" s="67"/>
      <c r="D688" s="67"/>
      <c r="E688" s="56"/>
      <c r="F688" s="56"/>
    </row>
    <row r="689" spans="3:6" x14ac:dyDescent="0.25">
      <c r="C689" s="67"/>
      <c r="D689" s="67"/>
      <c r="E689" s="56"/>
      <c r="F689" s="56"/>
    </row>
    <row r="690" spans="3:6" x14ac:dyDescent="0.25">
      <c r="C690" s="67"/>
      <c r="D690" s="67"/>
      <c r="E690" s="56"/>
      <c r="F690" s="56"/>
    </row>
    <row r="691" spans="3:6" x14ac:dyDescent="0.25">
      <c r="C691" s="67"/>
      <c r="D691" s="67"/>
      <c r="E691" s="56"/>
      <c r="F691" s="56"/>
    </row>
    <row r="692" spans="3:6" x14ac:dyDescent="0.25">
      <c r="C692" s="67"/>
      <c r="D692" s="67"/>
      <c r="E692" s="56"/>
      <c r="F692" s="56"/>
    </row>
    <row r="693" spans="3:6" x14ac:dyDescent="0.25">
      <c r="C693" s="67"/>
      <c r="D693" s="67"/>
      <c r="E693" s="56"/>
      <c r="F693" s="56"/>
    </row>
    <row r="694" spans="3:6" x14ac:dyDescent="0.25">
      <c r="C694" s="67"/>
      <c r="D694" s="67"/>
      <c r="E694" s="56"/>
      <c r="F694" s="56"/>
    </row>
    <row r="695" spans="3:6" x14ac:dyDescent="0.25">
      <c r="C695" s="67"/>
      <c r="D695" s="67"/>
      <c r="E695" s="56"/>
      <c r="F695" s="56"/>
    </row>
    <row r="696" spans="3:6" x14ac:dyDescent="0.25">
      <c r="C696" s="67"/>
      <c r="D696" s="67"/>
      <c r="E696" s="56"/>
      <c r="F696" s="56"/>
    </row>
    <row r="697" spans="3:6" x14ac:dyDescent="0.25">
      <c r="C697" s="67"/>
      <c r="D697" s="67"/>
      <c r="E697" s="56"/>
      <c r="F697" s="56"/>
    </row>
    <row r="698" spans="3:6" x14ac:dyDescent="0.25">
      <c r="C698" s="67"/>
      <c r="D698" s="67"/>
      <c r="E698" s="56"/>
      <c r="F698" s="56"/>
    </row>
    <row r="699" spans="3:6" x14ac:dyDescent="0.25">
      <c r="C699" s="67"/>
      <c r="D699" s="67"/>
      <c r="E699" s="56"/>
      <c r="F699" s="56"/>
    </row>
    <row r="700" spans="3:6" x14ac:dyDescent="0.25">
      <c r="C700" s="67"/>
      <c r="D700" s="67"/>
      <c r="E700" s="56"/>
      <c r="F700" s="56"/>
    </row>
    <row r="701" spans="3:6" x14ac:dyDescent="0.25">
      <c r="C701" s="67"/>
      <c r="D701" s="67"/>
      <c r="E701" s="56"/>
      <c r="F701" s="56"/>
    </row>
    <row r="702" spans="3:6" x14ac:dyDescent="0.25">
      <c r="C702" s="67"/>
      <c r="D702" s="67"/>
      <c r="E702" s="56"/>
      <c r="F702" s="56"/>
    </row>
    <row r="703" spans="3:6" x14ac:dyDescent="0.25">
      <c r="C703" s="67"/>
      <c r="D703" s="67"/>
      <c r="E703" s="56"/>
      <c r="F703" s="56"/>
    </row>
    <row r="704" spans="3:6" x14ac:dyDescent="0.25">
      <c r="C704" s="67"/>
      <c r="D704" s="67"/>
      <c r="E704" s="56"/>
      <c r="F704" s="56"/>
    </row>
    <row r="705" spans="3:6" x14ac:dyDescent="0.25">
      <c r="C705" s="67"/>
      <c r="D705" s="67"/>
      <c r="E705" s="56"/>
      <c r="F705" s="56"/>
    </row>
    <row r="706" spans="3:6" x14ac:dyDescent="0.25">
      <c r="C706" s="67"/>
      <c r="D706" s="67"/>
      <c r="E706" s="56"/>
      <c r="F706" s="56"/>
    </row>
    <row r="707" spans="3:6" x14ac:dyDescent="0.25">
      <c r="C707" s="67"/>
      <c r="D707" s="67"/>
      <c r="E707" s="56"/>
      <c r="F707" s="56"/>
    </row>
    <row r="708" spans="3:6" x14ac:dyDescent="0.25">
      <c r="C708" s="67"/>
      <c r="D708" s="67"/>
      <c r="E708" s="56"/>
      <c r="F708" s="56"/>
    </row>
    <row r="709" spans="3:6" x14ac:dyDescent="0.25">
      <c r="C709" s="67"/>
      <c r="D709" s="67"/>
      <c r="E709" s="56"/>
      <c r="F709" s="56"/>
    </row>
    <row r="710" spans="3:6" x14ac:dyDescent="0.25">
      <c r="C710" s="67"/>
      <c r="D710" s="67"/>
      <c r="E710" s="56"/>
      <c r="F710" s="56"/>
    </row>
    <row r="711" spans="3:6" x14ac:dyDescent="0.25">
      <c r="C711" s="67"/>
      <c r="D711" s="67"/>
      <c r="E711" s="56"/>
      <c r="F711" s="56"/>
    </row>
    <row r="712" spans="3:6" x14ac:dyDescent="0.25">
      <c r="C712" s="67"/>
      <c r="D712" s="67"/>
      <c r="E712" s="56"/>
      <c r="F712" s="56"/>
    </row>
    <row r="713" spans="3:6" x14ac:dyDescent="0.25">
      <c r="C713" s="67"/>
      <c r="D713" s="67"/>
      <c r="E713" s="56"/>
      <c r="F713" s="56"/>
    </row>
    <row r="714" spans="3:6" x14ac:dyDescent="0.25">
      <c r="C714" s="67"/>
      <c r="D714" s="67"/>
      <c r="E714" s="56"/>
      <c r="F714" s="56"/>
    </row>
    <row r="715" spans="3:6" x14ac:dyDescent="0.25">
      <c r="C715" s="67"/>
      <c r="D715" s="67"/>
      <c r="E715" s="56"/>
      <c r="F715" s="56"/>
    </row>
    <row r="716" spans="3:6" x14ac:dyDescent="0.25">
      <c r="C716" s="67"/>
      <c r="D716" s="67"/>
      <c r="E716" s="56"/>
      <c r="F716" s="56"/>
    </row>
    <row r="717" spans="3:6" x14ac:dyDescent="0.25">
      <c r="C717" s="67"/>
      <c r="D717" s="67"/>
      <c r="E717" s="56"/>
      <c r="F717" s="56"/>
    </row>
    <row r="718" spans="3:6" x14ac:dyDescent="0.25">
      <c r="C718" s="67"/>
      <c r="D718" s="67"/>
      <c r="E718" s="56"/>
      <c r="F718" s="56"/>
    </row>
    <row r="719" spans="3:6" x14ac:dyDescent="0.25">
      <c r="C719" s="67"/>
      <c r="D719" s="67"/>
      <c r="E719" s="56"/>
      <c r="F719" s="56"/>
    </row>
    <row r="720" spans="3:6" x14ac:dyDescent="0.25">
      <c r="C720" s="67"/>
      <c r="D720" s="67"/>
      <c r="E720" s="56"/>
      <c r="F720" s="56"/>
    </row>
    <row r="721" spans="3:6" x14ac:dyDescent="0.25">
      <c r="C721" s="67"/>
      <c r="D721" s="67"/>
      <c r="E721" s="56"/>
      <c r="F721" s="56"/>
    </row>
    <row r="722" spans="3:6" x14ac:dyDescent="0.25">
      <c r="C722" s="67"/>
      <c r="D722" s="67"/>
      <c r="E722" s="56"/>
      <c r="F722" s="56"/>
    </row>
    <row r="723" spans="3:6" x14ac:dyDescent="0.25">
      <c r="C723" s="67"/>
      <c r="D723" s="67"/>
      <c r="E723" s="56"/>
      <c r="F723" s="56"/>
    </row>
    <row r="724" spans="3:6" x14ac:dyDescent="0.25">
      <c r="C724" s="67"/>
      <c r="D724" s="67"/>
      <c r="E724" s="56"/>
      <c r="F724" s="56"/>
    </row>
    <row r="725" spans="3:6" x14ac:dyDescent="0.25">
      <c r="C725" s="67"/>
      <c r="D725" s="67"/>
      <c r="E725" s="56"/>
      <c r="F725" s="56"/>
    </row>
    <row r="726" spans="3:6" x14ac:dyDescent="0.25">
      <c r="C726" s="67"/>
      <c r="D726" s="67"/>
      <c r="E726" s="56"/>
      <c r="F726" s="56"/>
    </row>
    <row r="727" spans="3:6" x14ac:dyDescent="0.25">
      <c r="C727" s="67"/>
      <c r="D727" s="67"/>
      <c r="E727" s="56"/>
      <c r="F727" s="56"/>
    </row>
    <row r="728" spans="3:6" x14ac:dyDescent="0.25">
      <c r="C728" s="67"/>
      <c r="D728" s="67"/>
      <c r="E728" s="56"/>
      <c r="F728" s="56"/>
    </row>
    <row r="729" spans="3:6" x14ac:dyDescent="0.25">
      <c r="C729" s="67"/>
      <c r="D729" s="67"/>
      <c r="E729" s="56"/>
      <c r="F729" s="56"/>
    </row>
    <row r="730" spans="3:6" x14ac:dyDescent="0.25">
      <c r="C730" s="67"/>
      <c r="D730" s="67"/>
      <c r="E730" s="56"/>
      <c r="F730" s="56"/>
    </row>
    <row r="731" spans="3:6" x14ac:dyDescent="0.25">
      <c r="C731" s="67"/>
      <c r="D731" s="67"/>
      <c r="E731" s="56"/>
      <c r="F731" s="56"/>
    </row>
    <row r="732" spans="3:6" x14ac:dyDescent="0.25">
      <c r="C732" s="67"/>
      <c r="D732" s="67"/>
      <c r="E732" s="56"/>
      <c r="F732" s="56"/>
    </row>
    <row r="733" spans="3:6" x14ac:dyDescent="0.25">
      <c r="C733" s="67"/>
      <c r="D733" s="67"/>
      <c r="E733" s="56"/>
      <c r="F733" s="56"/>
    </row>
    <row r="734" spans="3:6" x14ac:dyDescent="0.25">
      <c r="C734" s="67"/>
      <c r="D734" s="67"/>
      <c r="E734" s="56"/>
      <c r="F734" s="56"/>
    </row>
    <row r="735" spans="3:6" x14ac:dyDescent="0.25">
      <c r="C735" s="67"/>
      <c r="D735" s="67"/>
      <c r="E735" s="56"/>
      <c r="F735" s="56"/>
    </row>
    <row r="736" spans="3:6" x14ac:dyDescent="0.25">
      <c r="C736" s="67"/>
      <c r="D736" s="67"/>
      <c r="E736" s="56"/>
      <c r="F736" s="56"/>
    </row>
    <row r="737" spans="3:6" x14ac:dyDescent="0.25">
      <c r="C737" s="67"/>
      <c r="D737" s="67"/>
      <c r="E737" s="56"/>
      <c r="F737" s="56"/>
    </row>
    <row r="738" spans="3:6" x14ac:dyDescent="0.25">
      <c r="C738" s="67"/>
      <c r="D738" s="67"/>
      <c r="E738" s="56"/>
      <c r="F738" s="56"/>
    </row>
    <row r="739" spans="3:6" x14ac:dyDescent="0.25">
      <c r="C739" s="67"/>
      <c r="D739" s="67"/>
      <c r="E739" s="56"/>
      <c r="F739" s="56"/>
    </row>
    <row r="740" spans="3:6" x14ac:dyDescent="0.25">
      <c r="C740" s="67"/>
      <c r="D740" s="67"/>
      <c r="E740" s="56"/>
      <c r="F740" s="56"/>
    </row>
    <row r="741" spans="3:6" x14ac:dyDescent="0.25">
      <c r="C741" s="67"/>
      <c r="D741" s="67"/>
      <c r="E741" s="56"/>
      <c r="F741" s="56"/>
    </row>
    <row r="742" spans="3:6" x14ac:dyDescent="0.25">
      <c r="C742" s="67"/>
      <c r="D742" s="67"/>
      <c r="E742" s="56"/>
      <c r="F742" s="56"/>
    </row>
    <row r="743" spans="3:6" x14ac:dyDescent="0.25">
      <c r="C743" s="67"/>
      <c r="D743" s="67"/>
      <c r="E743" s="56"/>
      <c r="F743" s="56"/>
    </row>
    <row r="744" spans="3:6" x14ac:dyDescent="0.25">
      <c r="C744" s="67"/>
      <c r="D744" s="67"/>
      <c r="E744" s="56"/>
      <c r="F744" s="56"/>
    </row>
    <row r="745" spans="3:6" x14ac:dyDescent="0.25">
      <c r="C745" s="67"/>
      <c r="D745" s="67"/>
      <c r="E745" s="56"/>
      <c r="F745" s="56"/>
    </row>
    <row r="746" spans="3:6" x14ac:dyDescent="0.25">
      <c r="C746" s="67"/>
      <c r="D746" s="67"/>
      <c r="E746" s="56"/>
      <c r="F746" s="56"/>
    </row>
    <row r="747" spans="3:6" x14ac:dyDescent="0.25">
      <c r="C747" s="67"/>
      <c r="D747" s="67"/>
      <c r="E747" s="56"/>
      <c r="F747" s="56"/>
    </row>
    <row r="748" spans="3:6" x14ac:dyDescent="0.25">
      <c r="C748" s="67"/>
      <c r="D748" s="67"/>
      <c r="E748" s="56"/>
      <c r="F748" s="56"/>
    </row>
    <row r="749" spans="3:6" x14ac:dyDescent="0.25">
      <c r="C749" s="67"/>
      <c r="D749" s="67"/>
      <c r="E749" s="56"/>
      <c r="F749" s="56"/>
    </row>
    <row r="750" spans="3:6" x14ac:dyDescent="0.25">
      <c r="C750" s="67"/>
      <c r="D750" s="67"/>
      <c r="E750" s="56"/>
      <c r="F750" s="56"/>
    </row>
    <row r="751" spans="3:6" x14ac:dyDescent="0.25">
      <c r="C751" s="67"/>
      <c r="D751" s="67"/>
      <c r="E751" s="56"/>
      <c r="F751" s="56"/>
    </row>
    <row r="752" spans="3:6" x14ac:dyDescent="0.25">
      <c r="C752" s="67"/>
      <c r="D752" s="67"/>
      <c r="E752" s="56"/>
      <c r="F752" s="56"/>
    </row>
    <row r="753" spans="3:6" x14ac:dyDescent="0.25">
      <c r="C753" s="67"/>
      <c r="D753" s="67"/>
      <c r="E753" s="56"/>
      <c r="F753" s="56"/>
    </row>
    <row r="754" spans="3:6" x14ac:dyDescent="0.25">
      <c r="C754" s="67"/>
      <c r="D754" s="67"/>
      <c r="E754" s="56"/>
      <c r="F754" s="56"/>
    </row>
    <row r="755" spans="3:6" x14ac:dyDescent="0.25">
      <c r="C755" s="67"/>
      <c r="D755" s="67"/>
      <c r="E755" s="56"/>
      <c r="F755" s="56"/>
    </row>
    <row r="756" spans="3:6" x14ac:dyDescent="0.25">
      <c r="C756" s="67"/>
      <c r="D756" s="67"/>
      <c r="E756" s="56"/>
      <c r="F756" s="56"/>
    </row>
    <row r="757" spans="3:6" x14ac:dyDescent="0.25">
      <c r="C757" s="67"/>
      <c r="D757" s="67"/>
      <c r="E757" s="56"/>
      <c r="F757" s="56"/>
    </row>
    <row r="758" spans="3:6" x14ac:dyDescent="0.25">
      <c r="C758" s="67"/>
      <c r="D758" s="67"/>
      <c r="E758" s="56"/>
      <c r="F758" s="56"/>
    </row>
    <row r="759" spans="3:6" x14ac:dyDescent="0.25">
      <c r="C759" s="67"/>
      <c r="D759" s="67"/>
      <c r="E759" s="56"/>
      <c r="F759" s="56"/>
    </row>
    <row r="760" spans="3:6" x14ac:dyDescent="0.25">
      <c r="C760" s="67"/>
      <c r="D760" s="67"/>
      <c r="E760" s="56"/>
      <c r="F760" s="56"/>
    </row>
    <row r="761" spans="3:6" x14ac:dyDescent="0.25">
      <c r="C761" s="67"/>
      <c r="D761" s="67"/>
      <c r="E761" s="56"/>
      <c r="F761" s="56"/>
    </row>
    <row r="762" spans="3:6" x14ac:dyDescent="0.25">
      <c r="C762" s="67"/>
      <c r="D762" s="67"/>
      <c r="E762" s="56"/>
      <c r="F762" s="56"/>
    </row>
    <row r="763" spans="3:6" x14ac:dyDescent="0.25">
      <c r="C763" s="67"/>
      <c r="D763" s="67"/>
      <c r="E763" s="56"/>
      <c r="F763" s="56"/>
    </row>
    <row r="764" spans="3:6" x14ac:dyDescent="0.25">
      <c r="C764" s="67"/>
      <c r="D764" s="67"/>
      <c r="E764" s="56"/>
      <c r="F764" s="56"/>
    </row>
    <row r="765" spans="3:6" x14ac:dyDescent="0.25">
      <c r="C765" s="67"/>
      <c r="D765" s="67"/>
      <c r="E765" s="56"/>
      <c r="F765" s="56"/>
    </row>
    <row r="766" spans="3:6" x14ac:dyDescent="0.25">
      <c r="C766" s="67"/>
      <c r="D766" s="67"/>
      <c r="E766" s="56"/>
      <c r="F766" s="56"/>
    </row>
    <row r="767" spans="3:6" x14ac:dyDescent="0.25">
      <c r="C767" s="67"/>
      <c r="D767" s="67"/>
      <c r="E767" s="56"/>
      <c r="F767" s="56"/>
    </row>
    <row r="768" spans="3:6" x14ac:dyDescent="0.25">
      <c r="C768" s="67"/>
      <c r="D768" s="67"/>
      <c r="E768" s="56"/>
      <c r="F768" s="56"/>
    </row>
    <row r="769" spans="3:6" x14ac:dyDescent="0.25">
      <c r="C769" s="67"/>
      <c r="D769" s="67"/>
      <c r="E769" s="56"/>
      <c r="F769" s="56"/>
    </row>
    <row r="770" spans="3:6" x14ac:dyDescent="0.25">
      <c r="C770" s="67"/>
      <c r="D770" s="67"/>
      <c r="E770" s="56"/>
      <c r="F770" s="56"/>
    </row>
    <row r="771" spans="3:6" x14ac:dyDescent="0.25">
      <c r="C771" s="67"/>
      <c r="D771" s="67"/>
      <c r="E771" s="56"/>
      <c r="F771" s="56"/>
    </row>
    <row r="772" spans="3:6" x14ac:dyDescent="0.25">
      <c r="C772" s="67"/>
      <c r="D772" s="67"/>
      <c r="E772" s="56"/>
      <c r="F772" s="56"/>
    </row>
    <row r="773" spans="3:6" x14ac:dyDescent="0.25">
      <c r="C773" s="67"/>
      <c r="D773" s="67"/>
      <c r="E773" s="56"/>
      <c r="F773" s="56"/>
    </row>
    <row r="774" spans="3:6" x14ac:dyDescent="0.25">
      <c r="C774" s="67"/>
      <c r="D774" s="67"/>
      <c r="E774" s="56"/>
      <c r="F774" s="56"/>
    </row>
    <row r="775" spans="3:6" x14ac:dyDescent="0.25">
      <c r="C775" s="67"/>
      <c r="D775" s="67"/>
      <c r="E775" s="56"/>
      <c r="F775" s="56"/>
    </row>
    <row r="776" spans="3:6" x14ac:dyDescent="0.25">
      <c r="C776" s="67"/>
      <c r="D776" s="67"/>
      <c r="E776" s="56"/>
      <c r="F776" s="56"/>
    </row>
    <row r="777" spans="3:6" x14ac:dyDescent="0.25">
      <c r="C777" s="67"/>
      <c r="D777" s="67"/>
      <c r="E777" s="56"/>
      <c r="F777" s="56"/>
    </row>
    <row r="778" spans="3:6" x14ac:dyDescent="0.25">
      <c r="C778" s="67"/>
      <c r="D778" s="67"/>
      <c r="E778" s="56"/>
      <c r="F778" s="56"/>
    </row>
    <row r="779" spans="3:6" x14ac:dyDescent="0.25">
      <c r="C779" s="67"/>
      <c r="D779" s="67"/>
      <c r="E779" s="56"/>
      <c r="F779" s="56"/>
    </row>
    <row r="780" spans="3:6" x14ac:dyDescent="0.25">
      <c r="C780" s="67"/>
      <c r="D780" s="67"/>
      <c r="E780" s="56"/>
      <c r="F780" s="56"/>
    </row>
    <row r="781" spans="3:6" x14ac:dyDescent="0.25">
      <c r="C781" s="67"/>
      <c r="D781" s="67"/>
      <c r="E781" s="56"/>
      <c r="F781" s="56"/>
    </row>
    <row r="782" spans="3:6" x14ac:dyDescent="0.25">
      <c r="C782" s="67"/>
      <c r="D782" s="67"/>
      <c r="E782" s="56"/>
      <c r="F782" s="56"/>
    </row>
    <row r="783" spans="3:6" x14ac:dyDescent="0.25">
      <c r="C783" s="67"/>
      <c r="D783" s="67"/>
      <c r="E783" s="56"/>
      <c r="F783" s="56"/>
    </row>
    <row r="784" spans="3:6" x14ac:dyDescent="0.25">
      <c r="C784" s="67"/>
      <c r="D784" s="67"/>
      <c r="E784" s="56"/>
      <c r="F784" s="56"/>
    </row>
    <row r="785" spans="3:6" x14ac:dyDescent="0.25">
      <c r="C785" s="67"/>
      <c r="D785" s="67"/>
      <c r="E785" s="56"/>
      <c r="F785" s="56"/>
    </row>
    <row r="786" spans="3:6" x14ac:dyDescent="0.25">
      <c r="C786" s="67"/>
      <c r="D786" s="67"/>
      <c r="E786" s="56"/>
      <c r="F786" s="56"/>
    </row>
    <row r="787" spans="3:6" x14ac:dyDescent="0.25">
      <c r="C787" s="67"/>
      <c r="D787" s="67"/>
      <c r="E787" s="56"/>
      <c r="F787" s="56"/>
    </row>
    <row r="788" spans="3:6" x14ac:dyDescent="0.25">
      <c r="C788" s="67"/>
      <c r="D788" s="67"/>
      <c r="E788" s="56"/>
      <c r="F788" s="56"/>
    </row>
    <row r="789" spans="3:6" x14ac:dyDescent="0.25">
      <c r="C789" s="67"/>
      <c r="D789" s="67"/>
      <c r="E789" s="56"/>
      <c r="F789" s="56"/>
    </row>
    <row r="790" spans="3:6" x14ac:dyDescent="0.25">
      <c r="C790" s="67"/>
      <c r="D790" s="67"/>
      <c r="E790" s="56"/>
      <c r="F790" s="56"/>
    </row>
    <row r="791" spans="3:6" x14ac:dyDescent="0.25">
      <c r="C791" s="67"/>
      <c r="D791" s="67"/>
      <c r="E791" s="56"/>
      <c r="F791" s="56"/>
    </row>
    <row r="792" spans="3:6" x14ac:dyDescent="0.25">
      <c r="C792" s="67"/>
      <c r="D792" s="67"/>
      <c r="E792" s="56"/>
      <c r="F792" s="56"/>
    </row>
    <row r="793" spans="3:6" x14ac:dyDescent="0.25">
      <c r="C793" s="67"/>
      <c r="D793" s="67"/>
      <c r="E793" s="56"/>
      <c r="F793" s="56"/>
    </row>
    <row r="794" spans="3:6" x14ac:dyDescent="0.25">
      <c r="C794" s="67"/>
      <c r="D794" s="67"/>
      <c r="E794" s="56"/>
      <c r="F794" s="56"/>
    </row>
    <row r="795" spans="3:6" x14ac:dyDescent="0.25">
      <c r="C795" s="67"/>
      <c r="D795" s="67"/>
      <c r="E795" s="56"/>
      <c r="F795" s="56"/>
    </row>
    <row r="796" spans="3:6" x14ac:dyDescent="0.25">
      <c r="C796" s="67"/>
      <c r="D796" s="67"/>
      <c r="E796" s="56"/>
      <c r="F796" s="56"/>
    </row>
    <row r="797" spans="3:6" x14ac:dyDescent="0.25">
      <c r="C797" s="67"/>
      <c r="D797" s="67"/>
      <c r="E797" s="56"/>
      <c r="F797" s="56"/>
    </row>
    <row r="798" spans="3:6" x14ac:dyDescent="0.25">
      <c r="C798" s="67"/>
      <c r="D798" s="67"/>
      <c r="E798" s="56"/>
      <c r="F798" s="56"/>
    </row>
    <row r="799" spans="3:6" x14ac:dyDescent="0.25">
      <c r="C799" s="67"/>
      <c r="D799" s="67"/>
      <c r="E799" s="56"/>
      <c r="F799" s="56"/>
    </row>
    <row r="800" spans="3:6" x14ac:dyDescent="0.25">
      <c r="C800" s="67"/>
      <c r="D800" s="67"/>
      <c r="E800" s="56"/>
      <c r="F800" s="56"/>
    </row>
    <row r="801" spans="3:6" x14ac:dyDescent="0.25">
      <c r="C801" s="67"/>
      <c r="D801" s="67"/>
      <c r="E801" s="56"/>
      <c r="F801" s="56"/>
    </row>
    <row r="802" spans="3:6" x14ac:dyDescent="0.25">
      <c r="C802" s="67"/>
      <c r="D802" s="67"/>
      <c r="E802" s="56"/>
      <c r="F802" s="56"/>
    </row>
    <row r="803" spans="3:6" x14ac:dyDescent="0.25">
      <c r="C803" s="67"/>
      <c r="D803" s="67"/>
      <c r="E803" s="56"/>
      <c r="F803" s="56"/>
    </row>
    <row r="804" spans="3:6" x14ac:dyDescent="0.25">
      <c r="C804" s="67"/>
      <c r="D804" s="67"/>
      <c r="E804" s="56"/>
      <c r="F804" s="56"/>
    </row>
    <row r="805" spans="3:6" x14ac:dyDescent="0.25">
      <c r="C805" s="67"/>
      <c r="D805" s="67"/>
      <c r="E805" s="56"/>
      <c r="F805" s="56"/>
    </row>
    <row r="806" spans="3:6" x14ac:dyDescent="0.25">
      <c r="C806" s="67"/>
      <c r="D806" s="67"/>
      <c r="E806" s="56"/>
      <c r="F806" s="56"/>
    </row>
    <row r="807" spans="3:6" x14ac:dyDescent="0.25">
      <c r="C807" s="67"/>
      <c r="D807" s="67"/>
      <c r="E807" s="56"/>
      <c r="F807" s="56"/>
    </row>
    <row r="808" spans="3:6" x14ac:dyDescent="0.25">
      <c r="C808" s="67"/>
      <c r="D808" s="67"/>
      <c r="E808" s="56"/>
      <c r="F808" s="56"/>
    </row>
    <row r="809" spans="3:6" x14ac:dyDescent="0.25">
      <c r="C809" s="67"/>
      <c r="D809" s="67"/>
      <c r="E809" s="56"/>
      <c r="F809" s="56"/>
    </row>
    <row r="810" spans="3:6" x14ac:dyDescent="0.25">
      <c r="C810" s="67"/>
      <c r="D810" s="67"/>
      <c r="E810" s="56"/>
      <c r="F810" s="56"/>
    </row>
    <row r="811" spans="3:6" x14ac:dyDescent="0.25">
      <c r="C811" s="67"/>
      <c r="D811" s="67"/>
      <c r="E811" s="56"/>
      <c r="F811" s="56"/>
    </row>
    <row r="812" spans="3:6" x14ac:dyDescent="0.25">
      <c r="C812" s="67"/>
      <c r="D812" s="67"/>
      <c r="E812" s="56"/>
      <c r="F812" s="56"/>
    </row>
    <row r="813" spans="3:6" x14ac:dyDescent="0.25">
      <c r="C813" s="67"/>
      <c r="D813" s="67"/>
      <c r="E813" s="56"/>
      <c r="F813" s="56"/>
    </row>
    <row r="814" spans="3:6" x14ac:dyDescent="0.25">
      <c r="C814" s="67"/>
      <c r="D814" s="67"/>
      <c r="E814" s="56"/>
      <c r="F814" s="56"/>
    </row>
    <row r="815" spans="3:6" x14ac:dyDescent="0.25">
      <c r="C815" s="67"/>
      <c r="D815" s="67"/>
      <c r="E815" s="56"/>
      <c r="F815" s="56"/>
    </row>
    <row r="816" spans="3:6" x14ac:dyDescent="0.25">
      <c r="C816" s="67"/>
      <c r="D816" s="67"/>
      <c r="E816" s="56"/>
      <c r="F816" s="56"/>
    </row>
    <row r="817" spans="3:6" x14ac:dyDescent="0.25">
      <c r="C817" s="67"/>
      <c r="D817" s="67"/>
      <c r="E817" s="56"/>
      <c r="F817" s="56"/>
    </row>
    <row r="818" spans="3:6" x14ac:dyDescent="0.25">
      <c r="C818" s="67"/>
      <c r="D818" s="67"/>
      <c r="E818" s="56"/>
      <c r="F818" s="56"/>
    </row>
    <row r="819" spans="3:6" x14ac:dyDescent="0.25">
      <c r="C819" s="67"/>
      <c r="D819" s="67"/>
      <c r="E819" s="56"/>
      <c r="F819" s="56"/>
    </row>
    <row r="820" spans="3:6" x14ac:dyDescent="0.25">
      <c r="C820" s="67"/>
      <c r="D820" s="67"/>
      <c r="E820" s="56"/>
      <c r="F820" s="56"/>
    </row>
    <row r="821" spans="3:6" x14ac:dyDescent="0.25">
      <c r="C821" s="67"/>
      <c r="D821" s="67"/>
      <c r="E821" s="56"/>
      <c r="F821" s="56"/>
    </row>
    <row r="822" spans="3:6" x14ac:dyDescent="0.25">
      <c r="C822" s="67"/>
      <c r="D822" s="67"/>
      <c r="E822" s="56"/>
      <c r="F822" s="56"/>
    </row>
    <row r="823" spans="3:6" x14ac:dyDescent="0.25">
      <c r="C823" s="67"/>
      <c r="D823" s="67"/>
      <c r="E823" s="56"/>
      <c r="F823" s="56"/>
    </row>
    <row r="824" spans="3:6" x14ac:dyDescent="0.25">
      <c r="C824" s="67"/>
      <c r="D824" s="67"/>
      <c r="E824" s="56"/>
      <c r="F824" s="56"/>
    </row>
    <row r="825" spans="3:6" x14ac:dyDescent="0.25">
      <c r="C825" s="67"/>
      <c r="D825" s="67"/>
      <c r="E825" s="56"/>
      <c r="F825" s="56"/>
    </row>
    <row r="826" spans="3:6" x14ac:dyDescent="0.25">
      <c r="C826" s="67"/>
      <c r="D826" s="67"/>
      <c r="E826" s="56"/>
      <c r="F826" s="56"/>
    </row>
    <row r="827" spans="3:6" x14ac:dyDescent="0.25">
      <c r="C827" s="67"/>
      <c r="D827" s="67"/>
      <c r="E827" s="56"/>
      <c r="F827" s="56"/>
    </row>
    <row r="828" spans="3:6" x14ac:dyDescent="0.25">
      <c r="C828" s="67"/>
      <c r="D828" s="67"/>
      <c r="E828" s="56"/>
      <c r="F828" s="56"/>
    </row>
    <row r="829" spans="3:6" x14ac:dyDescent="0.25">
      <c r="C829" s="67"/>
      <c r="D829" s="67"/>
      <c r="E829" s="56"/>
      <c r="F829" s="56"/>
    </row>
    <row r="830" spans="3:6" x14ac:dyDescent="0.25">
      <c r="C830" s="67"/>
      <c r="D830" s="67"/>
      <c r="E830" s="56"/>
      <c r="F830" s="56"/>
    </row>
    <row r="831" spans="3:6" x14ac:dyDescent="0.25">
      <c r="C831" s="67"/>
      <c r="D831" s="67"/>
      <c r="E831" s="56"/>
      <c r="F831" s="56"/>
    </row>
    <row r="832" spans="3:6" x14ac:dyDescent="0.25">
      <c r="C832" s="67"/>
      <c r="D832" s="67"/>
      <c r="E832" s="56"/>
      <c r="F832" s="56"/>
    </row>
    <row r="833" spans="3:6" x14ac:dyDescent="0.25">
      <c r="C833" s="67"/>
      <c r="D833" s="67"/>
      <c r="E833" s="56"/>
      <c r="F833" s="56"/>
    </row>
    <row r="834" spans="3:6" x14ac:dyDescent="0.25">
      <c r="C834" s="67"/>
      <c r="D834" s="67"/>
      <c r="E834" s="56"/>
      <c r="F834" s="56"/>
    </row>
    <row r="835" spans="3:6" x14ac:dyDescent="0.25">
      <c r="C835" s="67"/>
      <c r="D835" s="67"/>
      <c r="E835" s="56"/>
      <c r="F835" s="56"/>
    </row>
    <row r="836" spans="3:6" x14ac:dyDescent="0.25">
      <c r="C836" s="67"/>
      <c r="D836" s="67"/>
      <c r="E836" s="56"/>
      <c r="F836" s="56"/>
    </row>
    <row r="837" spans="3:6" x14ac:dyDescent="0.25">
      <c r="C837" s="67"/>
      <c r="D837" s="67"/>
      <c r="E837" s="56"/>
      <c r="F837" s="56"/>
    </row>
    <row r="838" spans="3:6" x14ac:dyDescent="0.25">
      <c r="C838" s="67"/>
      <c r="D838" s="67"/>
      <c r="E838" s="56"/>
      <c r="F838" s="56"/>
    </row>
    <row r="839" spans="3:6" x14ac:dyDescent="0.25">
      <c r="C839" s="67"/>
      <c r="D839" s="67"/>
      <c r="E839" s="56"/>
      <c r="F839" s="56"/>
    </row>
    <row r="840" spans="3:6" x14ac:dyDescent="0.25">
      <c r="C840" s="67"/>
      <c r="D840" s="67"/>
      <c r="E840" s="56"/>
      <c r="F840" s="56"/>
    </row>
    <row r="841" spans="3:6" x14ac:dyDescent="0.25">
      <c r="C841" s="67"/>
      <c r="D841" s="67"/>
      <c r="E841" s="56"/>
      <c r="F841" s="56"/>
    </row>
    <row r="842" spans="3:6" x14ac:dyDescent="0.25">
      <c r="C842" s="67"/>
      <c r="D842" s="67"/>
      <c r="E842" s="56"/>
      <c r="F842" s="56"/>
    </row>
    <row r="843" spans="3:6" x14ac:dyDescent="0.25">
      <c r="C843" s="67"/>
      <c r="D843" s="67"/>
      <c r="E843" s="56"/>
      <c r="F843" s="56"/>
    </row>
    <row r="844" spans="3:6" x14ac:dyDescent="0.25">
      <c r="C844" s="67"/>
      <c r="D844" s="67"/>
      <c r="E844" s="56"/>
      <c r="F844" s="56"/>
    </row>
    <row r="845" spans="3:6" x14ac:dyDescent="0.25">
      <c r="C845" s="67"/>
      <c r="D845" s="67"/>
      <c r="E845" s="56"/>
      <c r="F845" s="56"/>
    </row>
    <row r="846" spans="3:6" x14ac:dyDescent="0.25">
      <c r="C846" s="67"/>
      <c r="D846" s="67"/>
      <c r="E846" s="56"/>
      <c r="F846" s="56"/>
    </row>
    <row r="847" spans="3:6" x14ac:dyDescent="0.25">
      <c r="C847" s="67"/>
      <c r="D847" s="67"/>
      <c r="E847" s="56"/>
      <c r="F847" s="56"/>
    </row>
    <row r="848" spans="3:6" x14ac:dyDescent="0.25">
      <c r="C848" s="67"/>
      <c r="D848" s="67"/>
      <c r="E848" s="56"/>
      <c r="F848" s="56"/>
    </row>
    <row r="849" spans="3:6" x14ac:dyDescent="0.25">
      <c r="C849" s="67"/>
      <c r="D849" s="67"/>
      <c r="E849" s="56"/>
      <c r="F849" s="56"/>
    </row>
    <row r="850" spans="3:6" x14ac:dyDescent="0.25">
      <c r="C850" s="67"/>
      <c r="D850" s="67"/>
      <c r="E850" s="56"/>
      <c r="F850" s="56"/>
    </row>
    <row r="851" spans="3:6" x14ac:dyDescent="0.25">
      <c r="C851" s="67"/>
      <c r="D851" s="67"/>
      <c r="E851" s="56"/>
      <c r="F851" s="56"/>
    </row>
    <row r="852" spans="3:6" x14ac:dyDescent="0.25">
      <c r="C852" s="67"/>
      <c r="D852" s="67"/>
      <c r="E852" s="56"/>
      <c r="F852" s="56"/>
    </row>
    <row r="853" spans="3:6" x14ac:dyDescent="0.25">
      <c r="C853" s="67"/>
      <c r="D853" s="67"/>
      <c r="E853" s="56"/>
      <c r="F853" s="56"/>
    </row>
    <row r="854" spans="3:6" x14ac:dyDescent="0.25">
      <c r="C854" s="67"/>
      <c r="D854" s="67"/>
      <c r="E854" s="56"/>
      <c r="F854" s="56"/>
    </row>
    <row r="855" spans="3:6" x14ac:dyDescent="0.25">
      <c r="C855" s="67"/>
      <c r="D855" s="67"/>
      <c r="E855" s="56"/>
      <c r="F855" s="56"/>
    </row>
    <row r="856" spans="3:6" x14ac:dyDescent="0.25">
      <c r="C856" s="67"/>
      <c r="D856" s="67"/>
      <c r="E856" s="56"/>
      <c r="F856" s="56"/>
    </row>
    <row r="857" spans="3:6" x14ac:dyDescent="0.25">
      <c r="C857" s="67"/>
      <c r="D857" s="67"/>
      <c r="E857" s="56"/>
      <c r="F857" s="56"/>
    </row>
    <row r="858" spans="3:6" x14ac:dyDescent="0.25">
      <c r="C858" s="67"/>
      <c r="D858" s="67"/>
      <c r="E858" s="56"/>
      <c r="F858" s="56"/>
    </row>
    <row r="859" spans="3:6" x14ac:dyDescent="0.25">
      <c r="C859" s="67"/>
      <c r="D859" s="67"/>
      <c r="E859" s="56"/>
      <c r="F859" s="56"/>
    </row>
    <row r="860" spans="3:6" x14ac:dyDescent="0.25">
      <c r="C860" s="67"/>
      <c r="D860" s="67"/>
      <c r="E860" s="56"/>
      <c r="F860" s="56"/>
    </row>
    <row r="861" spans="3:6" x14ac:dyDescent="0.25">
      <c r="C861" s="67"/>
      <c r="D861" s="67"/>
      <c r="E861" s="56"/>
      <c r="F861" s="56"/>
    </row>
    <row r="862" spans="3:6" x14ac:dyDescent="0.25">
      <c r="C862" s="67"/>
      <c r="D862" s="67"/>
      <c r="E862" s="56"/>
      <c r="F862" s="56"/>
    </row>
    <row r="863" spans="3:6" x14ac:dyDescent="0.25">
      <c r="C863" s="67"/>
      <c r="D863" s="67"/>
      <c r="E863" s="56"/>
      <c r="F863" s="56"/>
    </row>
    <row r="864" spans="3:6" x14ac:dyDescent="0.25">
      <c r="C864" s="67"/>
      <c r="D864" s="67"/>
      <c r="E864" s="56"/>
      <c r="F864" s="56"/>
    </row>
    <row r="865" spans="3:6" x14ac:dyDescent="0.25">
      <c r="C865" s="67"/>
      <c r="D865" s="67"/>
      <c r="E865" s="56"/>
      <c r="F865" s="56"/>
    </row>
    <row r="866" spans="3:6" x14ac:dyDescent="0.25">
      <c r="C866" s="67"/>
      <c r="D866" s="67"/>
      <c r="E866" s="56"/>
      <c r="F866" s="56"/>
    </row>
    <row r="867" spans="3:6" x14ac:dyDescent="0.25">
      <c r="C867" s="67"/>
      <c r="D867" s="67"/>
      <c r="E867" s="56"/>
      <c r="F867" s="56"/>
    </row>
    <row r="868" spans="3:6" x14ac:dyDescent="0.25">
      <c r="C868" s="67"/>
      <c r="D868" s="67"/>
      <c r="E868" s="56"/>
      <c r="F868" s="56"/>
    </row>
    <row r="869" spans="3:6" x14ac:dyDescent="0.25">
      <c r="C869" s="67"/>
      <c r="D869" s="67"/>
      <c r="E869" s="56"/>
      <c r="F869" s="56"/>
    </row>
    <row r="870" spans="3:6" x14ac:dyDescent="0.25">
      <c r="C870" s="67"/>
      <c r="D870" s="67"/>
      <c r="E870" s="56"/>
      <c r="F870" s="56"/>
    </row>
    <row r="871" spans="3:6" x14ac:dyDescent="0.25">
      <c r="C871" s="67"/>
      <c r="D871" s="67"/>
      <c r="E871" s="56"/>
      <c r="F871" s="56"/>
    </row>
    <row r="872" spans="3:6" x14ac:dyDescent="0.25">
      <c r="C872" s="67"/>
      <c r="D872" s="67"/>
      <c r="E872" s="56"/>
      <c r="F872" s="56"/>
    </row>
    <row r="873" spans="3:6" x14ac:dyDescent="0.25">
      <c r="C873" s="67"/>
      <c r="D873" s="67"/>
      <c r="E873" s="56"/>
      <c r="F873" s="56"/>
    </row>
    <row r="874" spans="3:6" x14ac:dyDescent="0.25">
      <c r="C874" s="67"/>
      <c r="D874" s="67"/>
      <c r="E874" s="56"/>
      <c r="F874" s="56"/>
    </row>
    <row r="875" spans="3:6" x14ac:dyDescent="0.25">
      <c r="C875" s="67"/>
      <c r="D875" s="67"/>
      <c r="E875" s="56"/>
      <c r="F875" s="56"/>
    </row>
    <row r="876" spans="3:6" x14ac:dyDescent="0.25">
      <c r="C876" s="67"/>
      <c r="D876" s="67"/>
      <c r="E876" s="56"/>
      <c r="F876" s="56"/>
    </row>
    <row r="877" spans="3:6" x14ac:dyDescent="0.25">
      <c r="C877" s="67"/>
      <c r="D877" s="67"/>
      <c r="E877" s="56"/>
      <c r="F877" s="56"/>
    </row>
    <row r="878" spans="3:6" x14ac:dyDescent="0.25">
      <c r="C878" s="67"/>
      <c r="D878" s="67"/>
      <c r="E878" s="56"/>
      <c r="F878" s="56"/>
    </row>
    <row r="879" spans="3:6" x14ac:dyDescent="0.25">
      <c r="C879" s="67"/>
      <c r="D879" s="67"/>
      <c r="E879" s="56"/>
      <c r="F879" s="56"/>
    </row>
    <row r="880" spans="3:6" x14ac:dyDescent="0.25">
      <c r="C880" s="67"/>
      <c r="D880" s="67"/>
      <c r="E880" s="56"/>
      <c r="F880" s="56"/>
    </row>
    <row r="881" spans="3:6" x14ac:dyDescent="0.25">
      <c r="C881" s="67"/>
      <c r="D881" s="67"/>
      <c r="E881" s="56"/>
      <c r="F881" s="56"/>
    </row>
    <row r="882" spans="3:6" x14ac:dyDescent="0.25">
      <c r="C882" s="67"/>
      <c r="D882" s="67"/>
      <c r="E882" s="56"/>
      <c r="F882" s="56"/>
    </row>
    <row r="883" spans="3:6" x14ac:dyDescent="0.25">
      <c r="C883" s="67"/>
      <c r="D883" s="67"/>
      <c r="E883" s="56"/>
      <c r="F883" s="56"/>
    </row>
    <row r="884" spans="3:6" x14ac:dyDescent="0.25">
      <c r="C884" s="67"/>
      <c r="D884" s="67"/>
      <c r="E884" s="56"/>
      <c r="F884" s="56"/>
    </row>
    <row r="885" spans="3:6" x14ac:dyDescent="0.25">
      <c r="C885" s="67"/>
      <c r="D885" s="67"/>
      <c r="E885" s="56"/>
      <c r="F885" s="56"/>
    </row>
    <row r="886" spans="3:6" x14ac:dyDescent="0.25">
      <c r="C886" s="67"/>
      <c r="D886" s="67"/>
      <c r="E886" s="56"/>
      <c r="F886" s="56"/>
    </row>
    <row r="887" spans="3:6" x14ac:dyDescent="0.25">
      <c r="C887" s="67"/>
      <c r="D887" s="67"/>
      <c r="E887" s="56"/>
      <c r="F887" s="56"/>
    </row>
    <row r="888" spans="3:6" x14ac:dyDescent="0.25">
      <c r="C888" s="67"/>
      <c r="D888" s="67"/>
      <c r="E888" s="56"/>
      <c r="F888" s="56"/>
    </row>
    <row r="889" spans="3:6" x14ac:dyDescent="0.25">
      <c r="C889" s="67"/>
      <c r="D889" s="67"/>
      <c r="E889" s="56"/>
      <c r="F889" s="56"/>
    </row>
    <row r="890" spans="3:6" x14ac:dyDescent="0.25">
      <c r="C890" s="67"/>
      <c r="D890" s="67"/>
      <c r="E890" s="56"/>
      <c r="F890" s="56"/>
    </row>
    <row r="891" spans="3:6" x14ac:dyDescent="0.25">
      <c r="C891" s="67"/>
      <c r="D891" s="67"/>
      <c r="E891" s="56"/>
      <c r="F891" s="56"/>
    </row>
    <row r="892" spans="3:6" x14ac:dyDescent="0.25">
      <c r="C892" s="67"/>
      <c r="D892" s="67"/>
      <c r="E892" s="56"/>
      <c r="F892" s="56"/>
    </row>
    <row r="893" spans="3:6" x14ac:dyDescent="0.25">
      <c r="C893" s="67"/>
      <c r="D893" s="67"/>
      <c r="E893" s="56"/>
      <c r="F893" s="56"/>
    </row>
    <row r="894" spans="3:6" x14ac:dyDescent="0.25">
      <c r="C894" s="67"/>
      <c r="D894" s="67"/>
      <c r="E894" s="56"/>
      <c r="F894" s="56"/>
    </row>
    <row r="895" spans="3:6" x14ac:dyDescent="0.25">
      <c r="C895" s="67"/>
      <c r="D895" s="67"/>
      <c r="E895" s="56"/>
      <c r="F895" s="56"/>
    </row>
    <row r="896" spans="3:6" x14ac:dyDescent="0.25">
      <c r="C896" s="67"/>
      <c r="D896" s="67"/>
      <c r="E896" s="56"/>
      <c r="F896" s="56"/>
    </row>
    <row r="897" spans="3:6" x14ac:dyDescent="0.25">
      <c r="C897" s="67"/>
      <c r="D897" s="67"/>
      <c r="E897" s="56"/>
      <c r="F897" s="56"/>
    </row>
    <row r="898" spans="3:6" x14ac:dyDescent="0.25">
      <c r="C898" s="67"/>
      <c r="D898" s="67"/>
      <c r="E898" s="56"/>
      <c r="F898" s="56"/>
    </row>
    <row r="899" spans="3:6" x14ac:dyDescent="0.25">
      <c r="C899" s="67"/>
      <c r="D899" s="67"/>
      <c r="E899" s="56"/>
      <c r="F899" s="56"/>
    </row>
    <row r="900" spans="3:6" x14ac:dyDescent="0.25">
      <c r="C900" s="67"/>
      <c r="D900" s="67"/>
      <c r="E900" s="56"/>
      <c r="F900" s="56"/>
    </row>
    <row r="901" spans="3:6" x14ac:dyDescent="0.25">
      <c r="C901" s="67"/>
      <c r="D901" s="67"/>
      <c r="E901" s="56"/>
      <c r="F901" s="56"/>
    </row>
    <row r="902" spans="3:6" x14ac:dyDescent="0.25">
      <c r="C902" s="67"/>
      <c r="D902" s="67"/>
      <c r="E902" s="56"/>
      <c r="F902" s="56"/>
    </row>
    <row r="903" spans="3:6" x14ac:dyDescent="0.25">
      <c r="C903" s="67"/>
      <c r="D903" s="67"/>
      <c r="E903" s="56"/>
      <c r="F903" s="56"/>
    </row>
    <row r="904" spans="3:6" x14ac:dyDescent="0.25">
      <c r="C904" s="67"/>
      <c r="D904" s="67"/>
      <c r="E904" s="56"/>
      <c r="F904" s="56"/>
    </row>
    <row r="905" spans="3:6" x14ac:dyDescent="0.25">
      <c r="C905" s="67"/>
      <c r="D905" s="67"/>
      <c r="E905" s="56"/>
      <c r="F905" s="56"/>
    </row>
    <row r="906" spans="3:6" x14ac:dyDescent="0.25">
      <c r="C906" s="67"/>
      <c r="D906" s="67"/>
      <c r="E906" s="56"/>
      <c r="F906" s="56"/>
    </row>
    <row r="907" spans="3:6" x14ac:dyDescent="0.25">
      <c r="C907" s="67"/>
      <c r="D907" s="67"/>
      <c r="E907" s="56"/>
      <c r="F907" s="56"/>
    </row>
    <row r="908" spans="3:6" x14ac:dyDescent="0.25">
      <c r="C908" s="67"/>
      <c r="D908" s="67"/>
      <c r="E908" s="56"/>
      <c r="F908" s="56"/>
    </row>
  </sheetData>
  <autoFilter ref="A4:G4" xr:uid="{C7FAA127-219A-4368-A771-C05A248C64E3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A8ED0-5212-45B0-BC92-03C35EF6CB59}">
  <sheetPr codeName="Sheet11"/>
  <dimension ref="A1:F561"/>
  <sheetViews>
    <sheetView workbookViewId="0">
      <pane xSplit="3" ySplit="4" topLeftCell="D50" activePane="bottomRight" state="frozen"/>
      <selection pane="topRight"/>
      <selection pane="bottomLeft"/>
      <selection pane="bottomRight" activeCell="D63" sqref="D63"/>
    </sheetView>
  </sheetViews>
  <sheetFormatPr defaultColWidth="8.6640625" defaultRowHeight="14.4" x14ac:dyDescent="0.3"/>
  <cols>
    <col min="1" max="1" width="8.88671875" style="15" customWidth="1"/>
    <col min="2" max="2" width="10.44140625" style="17" customWidth="1"/>
    <col min="3" max="3" width="37.5546875" style="15" bestFit="1" customWidth="1"/>
    <col min="4" max="4" width="100.109375" style="15" customWidth="1"/>
    <col min="5" max="5" width="12.5546875" style="15" customWidth="1"/>
    <col min="6" max="6" width="9.109375" style="15" customWidth="1"/>
    <col min="7" max="16384" width="8.6640625" style="15"/>
  </cols>
  <sheetData>
    <row r="1" spans="1:6" x14ac:dyDescent="0.3">
      <c r="A1" s="19"/>
      <c r="B1" s="40"/>
    </row>
    <row r="2" spans="1:6" ht="20.399999999999999" customHeight="1" x14ac:dyDescent="0.3">
      <c r="A2" s="52"/>
      <c r="B2" s="43" t="s">
        <v>2975</v>
      </c>
      <c r="C2" s="43"/>
      <c r="D2" s="43"/>
      <c r="E2" s="43"/>
      <c r="F2" s="43"/>
    </row>
    <row r="3" spans="1:6" ht="10.5" customHeight="1" x14ac:dyDescent="0.3">
      <c r="A3" s="52"/>
      <c r="B3" s="22"/>
      <c r="C3" s="22"/>
      <c r="D3" s="22"/>
      <c r="E3" s="22"/>
      <c r="F3" s="22"/>
    </row>
    <row r="4" spans="1:6" s="120" customFormat="1" ht="20.399999999999999" x14ac:dyDescent="0.25">
      <c r="A4" s="119"/>
      <c r="B4" s="32" t="s">
        <v>2976</v>
      </c>
      <c r="C4" s="32" t="s">
        <v>2977</v>
      </c>
      <c r="D4" s="32" t="s">
        <v>2978</v>
      </c>
      <c r="E4" s="32" t="s">
        <v>2979</v>
      </c>
      <c r="F4" s="32" t="s">
        <v>2980</v>
      </c>
    </row>
    <row r="5" spans="1:6" x14ac:dyDescent="0.3">
      <c r="A5" s="91"/>
      <c r="B5" s="23" t="s">
        <v>2981</v>
      </c>
      <c r="C5" s="23" t="s">
        <v>2982</v>
      </c>
      <c r="D5" s="23" t="s">
        <v>2983</v>
      </c>
      <c r="E5" s="23" t="s">
        <v>2981</v>
      </c>
      <c r="F5" s="23" t="s">
        <v>2981</v>
      </c>
    </row>
    <row r="6" spans="1:6" x14ac:dyDescent="0.3">
      <c r="A6" s="91"/>
      <c r="B6" s="23" t="s">
        <v>2984</v>
      </c>
      <c r="C6" s="23" t="s">
        <v>2985</v>
      </c>
      <c r="D6" s="23" t="s">
        <v>2986</v>
      </c>
      <c r="E6" s="23" t="s">
        <v>2984</v>
      </c>
      <c r="F6" s="23" t="s">
        <v>2984</v>
      </c>
    </row>
    <row r="7" spans="1:6" x14ac:dyDescent="0.3">
      <c r="A7" s="91"/>
      <c r="B7" s="23" t="s">
        <v>2987</v>
      </c>
      <c r="C7" s="23" t="s">
        <v>2988</v>
      </c>
      <c r="D7" s="23" t="s">
        <v>2989</v>
      </c>
      <c r="E7" s="23" t="s">
        <v>2987</v>
      </c>
      <c r="F7" s="23" t="s">
        <v>2987</v>
      </c>
    </row>
    <row r="8" spans="1:6" x14ac:dyDescent="0.3">
      <c r="A8" s="91"/>
      <c r="B8" s="23" t="s">
        <v>2990</v>
      </c>
      <c r="C8" s="23" t="s">
        <v>2991</v>
      </c>
      <c r="D8" s="23" t="s">
        <v>2992</v>
      </c>
      <c r="E8" s="23" t="s">
        <v>2990</v>
      </c>
      <c r="F8" s="23" t="s">
        <v>2990</v>
      </c>
    </row>
    <row r="9" spans="1:6" x14ac:dyDescent="0.3">
      <c r="A9" s="91"/>
      <c r="B9" s="23" t="s">
        <v>2993</v>
      </c>
      <c r="C9" s="23" t="s">
        <v>2994</v>
      </c>
      <c r="D9" s="23" t="s">
        <v>2995</v>
      </c>
      <c r="E9" s="23" t="s">
        <v>2993</v>
      </c>
      <c r="F9" s="23" t="s">
        <v>2993</v>
      </c>
    </row>
    <row r="10" spans="1:6" x14ac:dyDescent="0.3">
      <c r="A10" s="91"/>
      <c r="B10" s="23" t="s">
        <v>2996</v>
      </c>
      <c r="C10" s="23" t="s">
        <v>2997</v>
      </c>
      <c r="D10" s="23" t="s">
        <v>2998</v>
      </c>
      <c r="E10" s="23" t="s">
        <v>2996</v>
      </c>
      <c r="F10" s="23" t="s">
        <v>2996</v>
      </c>
    </row>
    <row r="11" spans="1:6" x14ac:dyDescent="0.3">
      <c r="A11" s="91"/>
      <c r="B11" s="23" t="s">
        <v>2999</v>
      </c>
      <c r="C11" s="23" t="s">
        <v>3000</v>
      </c>
      <c r="D11" s="23" t="s">
        <v>3001</v>
      </c>
      <c r="E11" s="23" t="s">
        <v>2999</v>
      </c>
      <c r="F11" s="23" t="s">
        <v>2999</v>
      </c>
    </row>
    <row r="12" spans="1:6" x14ac:dyDescent="0.3">
      <c r="A12" s="91"/>
      <c r="B12" s="23" t="s">
        <v>3002</v>
      </c>
      <c r="C12" s="23" t="s">
        <v>3003</v>
      </c>
      <c r="D12" s="23" t="s">
        <v>3004</v>
      </c>
      <c r="E12" s="23" t="s">
        <v>3002</v>
      </c>
      <c r="F12" s="23" t="s">
        <v>3002</v>
      </c>
    </row>
    <row r="13" spans="1:6" x14ac:dyDescent="0.3">
      <c r="A13" s="91"/>
      <c r="B13" s="23" t="s">
        <v>3005</v>
      </c>
      <c r="C13" s="23" t="s">
        <v>3006</v>
      </c>
      <c r="D13" s="23" t="s">
        <v>3007</v>
      </c>
      <c r="E13" s="23" t="s">
        <v>3005</v>
      </c>
      <c r="F13" s="23" t="s">
        <v>3005</v>
      </c>
    </row>
    <row r="14" spans="1:6" x14ac:dyDescent="0.3">
      <c r="A14" s="91"/>
      <c r="B14" s="23" t="s">
        <v>3008</v>
      </c>
      <c r="C14" s="23" t="s">
        <v>3009</v>
      </c>
      <c r="D14" s="23" t="s">
        <v>3010</v>
      </c>
      <c r="E14" s="23" t="s">
        <v>3008</v>
      </c>
      <c r="F14" s="23" t="s">
        <v>3008</v>
      </c>
    </row>
    <row r="15" spans="1:6" x14ac:dyDescent="0.3">
      <c r="A15" s="91"/>
      <c r="B15" s="23" t="s">
        <v>3011</v>
      </c>
      <c r="C15" s="23" t="s">
        <v>3012</v>
      </c>
      <c r="D15" s="23" t="s">
        <v>3010</v>
      </c>
      <c r="E15" s="23" t="s">
        <v>3011</v>
      </c>
      <c r="F15" s="23" t="s">
        <v>3011</v>
      </c>
    </row>
    <row r="16" spans="1:6" x14ac:dyDescent="0.3">
      <c r="A16" s="91"/>
      <c r="B16" s="23" t="s">
        <v>3013</v>
      </c>
      <c r="C16" s="23" t="s">
        <v>3014</v>
      </c>
      <c r="D16" s="23" t="s">
        <v>3010</v>
      </c>
      <c r="E16" s="23" t="s">
        <v>3013</v>
      </c>
      <c r="F16" s="23" t="s">
        <v>3013</v>
      </c>
    </row>
    <row r="17" spans="1:6" x14ac:dyDescent="0.3">
      <c r="A17" s="91"/>
      <c r="B17" s="23" t="s">
        <v>3015</v>
      </c>
      <c r="C17" s="23" t="s">
        <v>3016</v>
      </c>
      <c r="D17" s="23" t="s">
        <v>3010</v>
      </c>
      <c r="E17" s="23" t="s">
        <v>3015</v>
      </c>
      <c r="F17" s="23" t="s">
        <v>3015</v>
      </c>
    </row>
    <row r="18" spans="1:6" x14ac:dyDescent="0.3">
      <c r="A18" s="91"/>
      <c r="B18" s="23" t="s">
        <v>3017</v>
      </c>
      <c r="C18" s="23" t="s">
        <v>3018</v>
      </c>
      <c r="D18" s="23" t="s">
        <v>3010</v>
      </c>
      <c r="E18" s="23" t="s">
        <v>3017</v>
      </c>
      <c r="F18" s="23" t="s">
        <v>3017</v>
      </c>
    </row>
    <row r="19" spans="1:6" x14ac:dyDescent="0.3">
      <c r="A19" s="91"/>
      <c r="B19" s="23" t="s">
        <v>3019</v>
      </c>
      <c r="C19" s="23" t="s">
        <v>3020</v>
      </c>
      <c r="D19" s="23" t="s">
        <v>3010</v>
      </c>
      <c r="E19" s="23" t="s">
        <v>3019</v>
      </c>
      <c r="F19" s="23" t="s">
        <v>3019</v>
      </c>
    </row>
    <row r="20" spans="1:6" x14ac:dyDescent="0.3">
      <c r="A20" s="91"/>
      <c r="B20" s="23" t="s">
        <v>3021</v>
      </c>
      <c r="C20" s="23" t="s">
        <v>3022</v>
      </c>
      <c r="D20" s="23" t="s">
        <v>3010</v>
      </c>
      <c r="E20" s="23" t="s">
        <v>3021</v>
      </c>
      <c r="F20" s="23" t="s">
        <v>3021</v>
      </c>
    </row>
    <row r="21" spans="1:6" x14ac:dyDescent="0.3">
      <c r="A21" s="91"/>
      <c r="B21" s="23" t="s">
        <v>3023</v>
      </c>
      <c r="C21" s="23" t="s">
        <v>3024</v>
      </c>
      <c r="D21" s="23" t="s">
        <v>3010</v>
      </c>
      <c r="E21" s="23" t="s">
        <v>3023</v>
      </c>
      <c r="F21" s="23" t="s">
        <v>3023</v>
      </c>
    </row>
    <row r="22" spans="1:6" x14ac:dyDescent="0.3">
      <c r="A22" s="91"/>
      <c r="B22" s="23" t="s">
        <v>3025</v>
      </c>
      <c r="C22" s="23" t="s">
        <v>3026</v>
      </c>
      <c r="D22" s="23" t="s">
        <v>3010</v>
      </c>
      <c r="E22" s="23" t="s">
        <v>3025</v>
      </c>
      <c r="F22" s="23" t="s">
        <v>3025</v>
      </c>
    </row>
    <row r="23" spans="1:6" x14ac:dyDescent="0.3">
      <c r="A23" s="91"/>
      <c r="B23" s="23" t="s">
        <v>3027</v>
      </c>
      <c r="C23" s="23" t="s">
        <v>3028</v>
      </c>
      <c r="D23" s="23" t="s">
        <v>3010</v>
      </c>
      <c r="E23" s="23" t="s">
        <v>3027</v>
      </c>
      <c r="F23" s="23" t="s">
        <v>3027</v>
      </c>
    </row>
    <row r="24" spans="1:6" x14ac:dyDescent="0.3">
      <c r="A24" s="91"/>
      <c r="B24" s="23" t="s">
        <v>3029</v>
      </c>
      <c r="C24" s="23" t="s">
        <v>3030</v>
      </c>
      <c r="D24" s="23" t="s">
        <v>3031</v>
      </c>
      <c r="E24" s="23" t="s">
        <v>3029</v>
      </c>
      <c r="F24" s="23" t="s">
        <v>3029</v>
      </c>
    </row>
    <row r="25" spans="1:6" x14ac:dyDescent="0.3">
      <c r="A25" s="91"/>
      <c r="B25" s="23" t="s">
        <v>3032</v>
      </c>
      <c r="C25" s="23" t="s">
        <v>3033</v>
      </c>
      <c r="D25" s="23" t="s">
        <v>3034</v>
      </c>
      <c r="E25" s="23" t="s">
        <v>3032</v>
      </c>
      <c r="F25" s="23" t="s">
        <v>3032</v>
      </c>
    </row>
    <row r="26" spans="1:6" x14ac:dyDescent="0.3">
      <c r="A26" s="91"/>
      <c r="B26" s="23" t="s">
        <v>3035</v>
      </c>
      <c r="C26" s="23" t="s">
        <v>3036</v>
      </c>
      <c r="D26" s="23" t="s">
        <v>3034</v>
      </c>
      <c r="E26" s="23" t="s">
        <v>3035</v>
      </c>
      <c r="F26" s="23" t="s">
        <v>3035</v>
      </c>
    </row>
    <row r="27" spans="1:6" x14ac:dyDescent="0.3">
      <c r="A27" s="91"/>
      <c r="B27" s="23" t="s">
        <v>3037</v>
      </c>
      <c r="C27" s="23" t="s">
        <v>3038</v>
      </c>
      <c r="D27" s="23" t="s">
        <v>3034</v>
      </c>
      <c r="E27" s="23" t="s">
        <v>3037</v>
      </c>
      <c r="F27" s="23" t="s">
        <v>3037</v>
      </c>
    </row>
    <row r="28" spans="1:6" x14ac:dyDescent="0.3">
      <c r="A28" s="91"/>
      <c r="B28" s="23" t="s">
        <v>3039</v>
      </c>
      <c r="C28" s="23" t="s">
        <v>3040</v>
      </c>
      <c r="D28" s="23" t="s">
        <v>3041</v>
      </c>
      <c r="E28" s="23" t="s">
        <v>3039</v>
      </c>
      <c r="F28" s="23" t="s">
        <v>3039</v>
      </c>
    </row>
    <row r="29" spans="1:6" x14ac:dyDescent="0.3">
      <c r="A29" s="91"/>
      <c r="B29" s="23" t="s">
        <v>3042</v>
      </c>
      <c r="C29" s="23" t="s">
        <v>3043</v>
      </c>
      <c r="D29" s="23" t="s">
        <v>3034</v>
      </c>
      <c r="E29" s="23" t="s">
        <v>3042</v>
      </c>
      <c r="F29" s="23" t="s">
        <v>3042</v>
      </c>
    </row>
    <row r="30" spans="1:6" x14ac:dyDescent="0.3">
      <c r="A30" s="91"/>
      <c r="B30" s="23" t="s">
        <v>3044</v>
      </c>
      <c r="C30" s="23" t="s">
        <v>3045</v>
      </c>
      <c r="D30" s="23" t="s">
        <v>3034</v>
      </c>
      <c r="E30" s="23" t="s">
        <v>3044</v>
      </c>
      <c r="F30" s="23" t="s">
        <v>3044</v>
      </c>
    </row>
    <row r="31" spans="1:6" x14ac:dyDescent="0.3">
      <c r="A31" s="91"/>
      <c r="B31" s="23" t="s">
        <v>3046</v>
      </c>
      <c r="C31" s="23" t="s">
        <v>3047</v>
      </c>
      <c r="D31" s="23" t="s">
        <v>3034</v>
      </c>
      <c r="E31" s="23" t="s">
        <v>3046</v>
      </c>
      <c r="F31" s="23" t="s">
        <v>3046</v>
      </c>
    </row>
    <row r="32" spans="1:6" x14ac:dyDescent="0.3">
      <c r="A32" s="91"/>
      <c r="B32" s="23" t="s">
        <v>3048</v>
      </c>
      <c r="C32" s="23" t="s">
        <v>3049</v>
      </c>
      <c r="D32" s="23" t="s">
        <v>3034</v>
      </c>
      <c r="E32" s="23" t="s">
        <v>3048</v>
      </c>
      <c r="F32" s="23" t="s">
        <v>3048</v>
      </c>
    </row>
    <row r="33" spans="1:6" x14ac:dyDescent="0.3">
      <c r="A33" s="91"/>
      <c r="B33" s="23" t="s">
        <v>3050</v>
      </c>
      <c r="C33" s="23" t="s">
        <v>3051</v>
      </c>
      <c r="D33" s="23" t="s">
        <v>3052</v>
      </c>
      <c r="E33" s="23" t="s">
        <v>3050</v>
      </c>
      <c r="F33" s="23" t="s">
        <v>3050</v>
      </c>
    </row>
    <row r="34" spans="1:6" s="16" customFormat="1" x14ac:dyDescent="0.3">
      <c r="A34" s="91"/>
      <c r="B34" s="23" t="s">
        <v>3053</v>
      </c>
      <c r="C34" s="23" t="s">
        <v>3054</v>
      </c>
      <c r="D34" s="23" t="s">
        <v>3034</v>
      </c>
      <c r="E34" s="23" t="s">
        <v>3053</v>
      </c>
      <c r="F34" s="23" t="s">
        <v>3053</v>
      </c>
    </row>
    <row r="35" spans="1:6" x14ac:dyDescent="0.3">
      <c r="A35" s="91"/>
      <c r="B35" s="23" t="s">
        <v>3055</v>
      </c>
      <c r="C35" s="23" t="s">
        <v>3056</v>
      </c>
      <c r="D35" s="23" t="s">
        <v>3034</v>
      </c>
      <c r="E35" s="23" t="s">
        <v>3055</v>
      </c>
      <c r="F35" s="23" t="s">
        <v>3055</v>
      </c>
    </row>
    <row r="36" spans="1:6" x14ac:dyDescent="0.3">
      <c r="A36" s="91"/>
      <c r="B36" s="23" t="s">
        <v>3057</v>
      </c>
      <c r="C36" s="23" t="s">
        <v>3058</v>
      </c>
      <c r="D36" s="23" t="s">
        <v>3034</v>
      </c>
      <c r="E36" s="23" t="s">
        <v>3057</v>
      </c>
      <c r="F36" s="23" t="s">
        <v>3057</v>
      </c>
    </row>
    <row r="37" spans="1:6" x14ac:dyDescent="0.3">
      <c r="A37" s="91"/>
      <c r="B37" s="23" t="s">
        <v>3059</v>
      </c>
      <c r="C37" s="23" t="s">
        <v>3060</v>
      </c>
      <c r="D37" s="23" t="s">
        <v>3061</v>
      </c>
      <c r="E37" s="23" t="s">
        <v>3059</v>
      </c>
      <c r="F37" s="23" t="s">
        <v>3059</v>
      </c>
    </row>
    <row r="38" spans="1:6" s="16" customFormat="1" x14ac:dyDescent="0.3">
      <c r="A38" s="91"/>
      <c r="B38" s="23" t="s">
        <v>3062</v>
      </c>
      <c r="C38" s="23" t="s">
        <v>3063</v>
      </c>
      <c r="D38" s="23" t="s">
        <v>3034</v>
      </c>
      <c r="E38" s="23" t="s">
        <v>3062</v>
      </c>
      <c r="F38" s="23" t="s">
        <v>3062</v>
      </c>
    </row>
    <row r="39" spans="1:6" x14ac:dyDescent="0.3">
      <c r="A39" s="91"/>
      <c r="B39" s="23" t="s">
        <v>3064</v>
      </c>
      <c r="C39" s="23" t="s">
        <v>3065</v>
      </c>
      <c r="D39" s="23" t="s">
        <v>3034</v>
      </c>
      <c r="E39" s="23" t="s">
        <v>3064</v>
      </c>
      <c r="F39" s="23" t="s">
        <v>3064</v>
      </c>
    </row>
    <row r="40" spans="1:6" x14ac:dyDescent="0.3">
      <c r="A40" s="91"/>
      <c r="B40" s="23" t="s">
        <v>3066</v>
      </c>
      <c r="C40" s="23" t="s">
        <v>3067</v>
      </c>
      <c r="D40" s="23" t="s">
        <v>3068</v>
      </c>
      <c r="E40" s="23" t="s">
        <v>3066</v>
      </c>
      <c r="F40" s="23" t="s">
        <v>3066</v>
      </c>
    </row>
    <row r="41" spans="1:6" x14ac:dyDescent="0.3">
      <c r="A41" s="91"/>
      <c r="B41" s="23" t="s">
        <v>3069</v>
      </c>
      <c r="C41" s="23" t="s">
        <v>3070</v>
      </c>
      <c r="D41" s="23" t="s">
        <v>3071</v>
      </c>
      <c r="E41" s="23" t="s">
        <v>3069</v>
      </c>
      <c r="F41" s="23" t="s">
        <v>3069</v>
      </c>
    </row>
    <row r="42" spans="1:6" s="16" customFormat="1" x14ac:dyDescent="0.3">
      <c r="A42" s="91"/>
      <c r="B42" s="23" t="s">
        <v>3072</v>
      </c>
      <c r="C42" s="23" t="s">
        <v>3073</v>
      </c>
      <c r="D42" s="23" t="s">
        <v>3034</v>
      </c>
      <c r="E42" s="23" t="s">
        <v>3072</v>
      </c>
      <c r="F42" s="23" t="s">
        <v>3072</v>
      </c>
    </row>
    <row r="43" spans="1:6" x14ac:dyDescent="0.3">
      <c r="A43" s="91"/>
      <c r="B43" s="23" t="s">
        <v>3074</v>
      </c>
      <c r="C43" s="23" t="s">
        <v>3075</v>
      </c>
      <c r="D43" s="23" t="s">
        <v>3076</v>
      </c>
      <c r="E43" s="23" t="s">
        <v>3074</v>
      </c>
      <c r="F43" s="23" t="s">
        <v>3074</v>
      </c>
    </row>
    <row r="44" spans="1:6" x14ac:dyDescent="0.3">
      <c r="A44" s="91"/>
      <c r="B44" s="23" t="s">
        <v>3077</v>
      </c>
      <c r="C44" s="23" t="s">
        <v>3078</v>
      </c>
      <c r="D44" s="23" t="s">
        <v>3076</v>
      </c>
      <c r="E44" s="23" t="s">
        <v>3077</v>
      </c>
      <c r="F44" s="23" t="s">
        <v>3077</v>
      </c>
    </row>
    <row r="45" spans="1:6" x14ac:dyDescent="0.3">
      <c r="A45" s="91"/>
      <c r="B45" s="23" t="s">
        <v>3079</v>
      </c>
      <c r="C45" s="23" t="s">
        <v>3080</v>
      </c>
      <c r="D45" s="23" t="s">
        <v>3081</v>
      </c>
      <c r="E45" s="23" t="s">
        <v>3079</v>
      </c>
      <c r="F45" s="23" t="s">
        <v>3079</v>
      </c>
    </row>
    <row r="46" spans="1:6" s="20" customFormat="1" x14ac:dyDescent="0.3">
      <c r="A46" s="91"/>
      <c r="B46" s="23" t="s">
        <v>3082</v>
      </c>
      <c r="C46" s="23" t="s">
        <v>3083</v>
      </c>
      <c r="D46" s="23" t="s">
        <v>3084</v>
      </c>
      <c r="E46" s="23" t="s">
        <v>3082</v>
      </c>
      <c r="F46" s="23" t="s">
        <v>3082</v>
      </c>
    </row>
    <row r="47" spans="1:6" s="25" customFormat="1" x14ac:dyDescent="0.3">
      <c r="A47" s="91"/>
      <c r="B47" s="23" t="s">
        <v>3085</v>
      </c>
      <c r="C47" s="23" t="s">
        <v>3086</v>
      </c>
      <c r="D47" s="23" t="s">
        <v>3076</v>
      </c>
      <c r="E47" s="23" t="s">
        <v>3085</v>
      </c>
      <c r="F47" s="23" t="s">
        <v>3085</v>
      </c>
    </row>
    <row r="48" spans="1:6" s="18" customFormat="1" x14ac:dyDescent="0.3">
      <c r="A48" s="91"/>
      <c r="B48" s="23" t="s">
        <v>3087</v>
      </c>
      <c r="C48" s="23" t="s">
        <v>3088</v>
      </c>
      <c r="D48" s="23" t="s">
        <v>3076</v>
      </c>
      <c r="E48" s="23" t="s">
        <v>3087</v>
      </c>
      <c r="F48" s="23" t="s">
        <v>3087</v>
      </c>
    </row>
    <row r="49" spans="1:6" s="18" customFormat="1" x14ac:dyDescent="0.3">
      <c r="A49" s="91"/>
      <c r="B49" s="23" t="s">
        <v>3089</v>
      </c>
      <c r="C49" s="23" t="s">
        <v>3090</v>
      </c>
      <c r="D49" s="23" t="s">
        <v>3091</v>
      </c>
      <c r="E49" s="23" t="s">
        <v>3089</v>
      </c>
      <c r="F49" s="23" t="s">
        <v>3089</v>
      </c>
    </row>
    <row r="50" spans="1:6" s="18" customFormat="1" x14ac:dyDescent="0.3">
      <c r="A50" s="91"/>
      <c r="B50" s="23" t="s">
        <v>3092</v>
      </c>
      <c r="C50" s="23" t="s">
        <v>3093</v>
      </c>
      <c r="D50" s="23" t="s">
        <v>3094</v>
      </c>
      <c r="E50" s="23" t="s">
        <v>3092</v>
      </c>
      <c r="F50" s="23" t="s">
        <v>3092</v>
      </c>
    </row>
    <row r="51" spans="1:6" s="18" customFormat="1" x14ac:dyDescent="0.3">
      <c r="A51" s="91"/>
      <c r="B51" s="23" t="s">
        <v>3095</v>
      </c>
      <c r="C51" s="23" t="s">
        <v>3096</v>
      </c>
      <c r="D51" s="23" t="s">
        <v>3091</v>
      </c>
      <c r="E51" s="23" t="s">
        <v>3095</v>
      </c>
      <c r="F51" s="23" t="s">
        <v>3095</v>
      </c>
    </row>
    <row r="52" spans="1:6" s="25" customFormat="1" x14ac:dyDescent="0.3">
      <c r="A52" s="91"/>
      <c r="B52" s="23" t="s">
        <v>3097</v>
      </c>
      <c r="C52" s="23" t="s">
        <v>3098</v>
      </c>
      <c r="D52" s="23" t="s">
        <v>3091</v>
      </c>
      <c r="E52" s="23" t="s">
        <v>3097</v>
      </c>
      <c r="F52" s="23" t="s">
        <v>3097</v>
      </c>
    </row>
    <row r="53" spans="1:6" x14ac:dyDescent="0.3">
      <c r="A53" s="91"/>
      <c r="B53" s="23" t="s">
        <v>3099</v>
      </c>
      <c r="C53" s="23" t="s">
        <v>3100</v>
      </c>
      <c r="D53" s="23" t="s">
        <v>3091</v>
      </c>
      <c r="E53" s="23" t="s">
        <v>3099</v>
      </c>
      <c r="F53" s="23" t="s">
        <v>3099</v>
      </c>
    </row>
    <row r="54" spans="1:6" x14ac:dyDescent="0.3">
      <c r="A54" s="91"/>
      <c r="B54" s="23" t="s">
        <v>3101</v>
      </c>
      <c r="C54" s="23" t="s">
        <v>3102</v>
      </c>
      <c r="D54" s="23" t="s">
        <v>3094</v>
      </c>
      <c r="E54" s="23" t="s">
        <v>3101</v>
      </c>
      <c r="F54" s="23" t="s">
        <v>3101</v>
      </c>
    </row>
    <row r="55" spans="1:6" x14ac:dyDescent="0.3">
      <c r="A55" s="91"/>
      <c r="B55" s="23" t="s">
        <v>3103</v>
      </c>
      <c r="C55" s="23" t="s">
        <v>3104</v>
      </c>
      <c r="D55" s="23" t="s">
        <v>3105</v>
      </c>
      <c r="E55" s="23" t="s">
        <v>3103</v>
      </c>
      <c r="F55" s="23" t="s">
        <v>3103</v>
      </c>
    </row>
    <row r="56" spans="1:6" x14ac:dyDescent="0.3">
      <c r="A56" s="91"/>
      <c r="B56" s="23" t="s">
        <v>3106</v>
      </c>
      <c r="C56" s="23" t="s">
        <v>3107</v>
      </c>
      <c r="D56" s="23" t="s">
        <v>3105</v>
      </c>
      <c r="E56" s="23" t="s">
        <v>3106</v>
      </c>
      <c r="F56" s="23" t="s">
        <v>3106</v>
      </c>
    </row>
    <row r="57" spans="1:6" x14ac:dyDescent="0.3">
      <c r="A57" s="91"/>
      <c r="B57" s="23" t="s">
        <v>3108</v>
      </c>
      <c r="C57" s="23" t="s">
        <v>3109</v>
      </c>
      <c r="D57" s="23" t="s">
        <v>3105</v>
      </c>
      <c r="E57" s="23" t="s">
        <v>3108</v>
      </c>
      <c r="F57" s="23" t="s">
        <v>3108</v>
      </c>
    </row>
    <row r="58" spans="1:6" s="20" customFormat="1" x14ac:dyDescent="0.3">
      <c r="A58" s="91"/>
      <c r="B58" s="23" t="s">
        <v>3110</v>
      </c>
      <c r="C58" s="23" t="s">
        <v>3111</v>
      </c>
      <c r="D58" s="23" t="s">
        <v>3084</v>
      </c>
      <c r="E58" s="23" t="s">
        <v>3110</v>
      </c>
      <c r="F58" s="23" t="s">
        <v>3110</v>
      </c>
    </row>
    <row r="59" spans="1:6" x14ac:dyDescent="0.3">
      <c r="A59" s="91"/>
      <c r="B59" s="23" t="s">
        <v>335</v>
      </c>
      <c r="C59" s="23" t="s">
        <v>3112</v>
      </c>
      <c r="D59" s="23" t="s">
        <v>3113</v>
      </c>
      <c r="E59" s="23" t="s">
        <v>335</v>
      </c>
      <c r="F59" s="23" t="s">
        <v>335</v>
      </c>
    </row>
    <row r="60" spans="1:6" x14ac:dyDescent="0.3">
      <c r="A60" s="91"/>
      <c r="B60" s="23" t="s">
        <v>331</v>
      </c>
      <c r="C60" s="23" t="s">
        <v>3114</v>
      </c>
      <c r="D60" s="23" t="s">
        <v>3113</v>
      </c>
      <c r="E60" s="23" t="s">
        <v>331</v>
      </c>
      <c r="F60" s="23" t="s">
        <v>331</v>
      </c>
    </row>
    <row r="61" spans="1:6" s="16" customFormat="1" x14ac:dyDescent="0.3">
      <c r="A61" s="91"/>
      <c r="B61" s="23" t="s">
        <v>327</v>
      </c>
      <c r="C61" s="23" t="s">
        <v>3115</v>
      </c>
      <c r="D61" s="23" t="s">
        <v>3113</v>
      </c>
      <c r="E61" s="23" t="s">
        <v>327</v>
      </c>
      <c r="F61" s="23" t="s">
        <v>327</v>
      </c>
    </row>
    <row r="62" spans="1:6" s="16" customFormat="1" x14ac:dyDescent="0.3">
      <c r="A62" s="91"/>
      <c r="B62" s="23" t="s">
        <v>330</v>
      </c>
      <c r="C62" s="23" t="s">
        <v>3116</v>
      </c>
      <c r="D62" s="23" t="s">
        <v>3113</v>
      </c>
      <c r="E62" s="23" t="s">
        <v>330</v>
      </c>
      <c r="F62" s="23" t="s">
        <v>330</v>
      </c>
    </row>
    <row r="63" spans="1:6" x14ac:dyDescent="0.3">
      <c r="A63" s="91"/>
      <c r="B63" s="23" t="s">
        <v>3117</v>
      </c>
      <c r="C63" s="23" t="s">
        <v>3118</v>
      </c>
      <c r="D63" s="23" t="s">
        <v>3113</v>
      </c>
      <c r="E63" s="23" t="s">
        <v>3117</v>
      </c>
      <c r="F63" s="23" t="s">
        <v>3117</v>
      </c>
    </row>
    <row r="64" spans="1:6" x14ac:dyDescent="0.3">
      <c r="A64" s="91"/>
      <c r="B64" s="23" t="s">
        <v>352</v>
      </c>
      <c r="C64" s="23" t="s">
        <v>3119</v>
      </c>
      <c r="D64" s="23" t="s">
        <v>3113</v>
      </c>
      <c r="E64" s="23" t="s">
        <v>352</v>
      </c>
      <c r="F64" s="23" t="s">
        <v>352</v>
      </c>
    </row>
    <row r="65" spans="1:6" s="20" customFormat="1" x14ac:dyDescent="0.3">
      <c r="A65" s="91"/>
      <c r="B65" s="23" t="s">
        <v>333</v>
      </c>
      <c r="C65" s="23" t="s">
        <v>3120</v>
      </c>
      <c r="D65" s="23" t="s">
        <v>3113</v>
      </c>
      <c r="E65" s="23" t="s">
        <v>333</v>
      </c>
      <c r="F65" s="23" t="s">
        <v>333</v>
      </c>
    </row>
    <row r="66" spans="1:6" s="20" customFormat="1" x14ac:dyDescent="0.3">
      <c r="A66" s="91"/>
      <c r="B66" s="23" t="s">
        <v>3121</v>
      </c>
      <c r="C66" s="23" t="s">
        <v>3122</v>
      </c>
      <c r="D66" s="23" t="s">
        <v>3123</v>
      </c>
      <c r="E66" s="23" t="s">
        <v>3121</v>
      </c>
      <c r="F66" s="23" t="s">
        <v>3121</v>
      </c>
    </row>
    <row r="67" spans="1:6" s="16" customFormat="1" x14ac:dyDescent="0.3">
      <c r="A67" s="91"/>
      <c r="B67" s="23" t="s">
        <v>3124</v>
      </c>
      <c r="C67" s="23" t="s">
        <v>3125</v>
      </c>
      <c r="D67" s="23" t="s">
        <v>3126</v>
      </c>
      <c r="E67" s="23" t="s">
        <v>3124</v>
      </c>
      <c r="F67" s="23" t="s">
        <v>3124</v>
      </c>
    </row>
    <row r="68" spans="1:6" s="16" customFormat="1" x14ac:dyDescent="0.3">
      <c r="A68" s="91"/>
      <c r="B68" s="23" t="s">
        <v>3127</v>
      </c>
      <c r="C68" s="23" t="s">
        <v>3128</v>
      </c>
      <c r="D68" s="23" t="s">
        <v>3129</v>
      </c>
      <c r="E68" s="23" t="s">
        <v>3127</v>
      </c>
      <c r="F68" s="23" t="s">
        <v>3127</v>
      </c>
    </row>
    <row r="69" spans="1:6" s="16" customFormat="1" x14ac:dyDescent="0.3">
      <c r="A69" s="91"/>
      <c r="B69" s="23" t="s">
        <v>3130</v>
      </c>
      <c r="C69" s="23" t="s">
        <v>3131</v>
      </c>
      <c r="D69" s="23" t="s">
        <v>3132</v>
      </c>
      <c r="E69" s="23" t="s">
        <v>3130</v>
      </c>
      <c r="F69" s="23" t="s">
        <v>3130</v>
      </c>
    </row>
    <row r="70" spans="1:6" x14ac:dyDescent="0.3">
      <c r="A70" s="91"/>
      <c r="B70" s="23" t="s">
        <v>3133</v>
      </c>
      <c r="C70" s="23" t="s">
        <v>3134</v>
      </c>
      <c r="D70" s="23" t="s">
        <v>3135</v>
      </c>
      <c r="E70" s="23" t="s">
        <v>3133</v>
      </c>
      <c r="F70" s="23" t="s">
        <v>3133</v>
      </c>
    </row>
    <row r="71" spans="1:6" x14ac:dyDescent="0.3">
      <c r="A71" s="91"/>
      <c r="B71" s="23" t="s">
        <v>3136</v>
      </c>
      <c r="C71" s="23" t="s">
        <v>3137</v>
      </c>
      <c r="D71" s="23" t="s">
        <v>3138</v>
      </c>
      <c r="E71" s="23" t="s">
        <v>3136</v>
      </c>
      <c r="F71" s="23" t="s">
        <v>3136</v>
      </c>
    </row>
    <row r="72" spans="1:6" x14ac:dyDescent="0.3">
      <c r="A72" s="91"/>
      <c r="B72" s="23" t="s">
        <v>3139</v>
      </c>
      <c r="C72" s="23" t="s">
        <v>3140</v>
      </c>
      <c r="D72" s="23" t="s">
        <v>3138</v>
      </c>
      <c r="E72" s="23" t="s">
        <v>3139</v>
      </c>
      <c r="F72" s="23" t="s">
        <v>3139</v>
      </c>
    </row>
    <row r="73" spans="1:6" x14ac:dyDescent="0.3">
      <c r="A73" s="91"/>
      <c r="B73" s="23" t="s">
        <v>3141</v>
      </c>
      <c r="C73" s="23" t="s">
        <v>3142</v>
      </c>
      <c r="D73" s="23" t="s">
        <v>3143</v>
      </c>
      <c r="E73" s="23" t="s">
        <v>3141</v>
      </c>
      <c r="F73" s="23" t="s">
        <v>3141</v>
      </c>
    </row>
    <row r="74" spans="1:6" x14ac:dyDescent="0.3">
      <c r="A74" s="91"/>
      <c r="B74" s="23" t="s">
        <v>3144</v>
      </c>
      <c r="C74" s="23" t="s">
        <v>3145</v>
      </c>
      <c r="D74" s="23" t="s">
        <v>3146</v>
      </c>
      <c r="E74" s="23" t="s">
        <v>3144</v>
      </c>
      <c r="F74" s="23" t="s">
        <v>3144</v>
      </c>
    </row>
    <row r="75" spans="1:6" x14ac:dyDescent="0.3">
      <c r="A75" s="91"/>
      <c r="B75" s="23" t="s">
        <v>3147</v>
      </c>
      <c r="C75" s="23" t="s">
        <v>3148</v>
      </c>
      <c r="D75" s="23" t="s">
        <v>3149</v>
      </c>
      <c r="E75" s="23" t="s">
        <v>3147</v>
      </c>
      <c r="F75" s="23" t="s">
        <v>3147</v>
      </c>
    </row>
    <row r="76" spans="1:6" x14ac:dyDescent="0.3">
      <c r="A76" s="91"/>
      <c r="B76" s="23" t="s">
        <v>3150</v>
      </c>
      <c r="C76" s="23" t="s">
        <v>3151</v>
      </c>
      <c r="D76" s="23" t="s">
        <v>3152</v>
      </c>
      <c r="E76" s="23" t="s">
        <v>3150</v>
      </c>
      <c r="F76" s="23" t="s">
        <v>3150</v>
      </c>
    </row>
    <row r="77" spans="1:6" x14ac:dyDescent="0.3">
      <c r="A77" s="91"/>
      <c r="B77" s="23" t="s">
        <v>3153</v>
      </c>
      <c r="C77" s="23" t="s">
        <v>3154</v>
      </c>
      <c r="D77" s="23" t="s">
        <v>3143</v>
      </c>
      <c r="E77" s="23" t="s">
        <v>3153</v>
      </c>
      <c r="F77" s="23" t="s">
        <v>3153</v>
      </c>
    </row>
    <row r="78" spans="1:6" x14ac:dyDescent="0.3">
      <c r="A78" s="91"/>
      <c r="B78" s="23" t="s">
        <v>3155</v>
      </c>
      <c r="C78" s="23" t="s">
        <v>3156</v>
      </c>
      <c r="D78" s="23" t="s">
        <v>3157</v>
      </c>
      <c r="E78" s="23" t="s">
        <v>3155</v>
      </c>
      <c r="F78" s="23" t="s">
        <v>3155</v>
      </c>
    </row>
    <row r="79" spans="1:6" s="20" customFormat="1" x14ac:dyDescent="0.3">
      <c r="A79" s="91"/>
      <c r="B79" s="23" t="s">
        <v>3158</v>
      </c>
      <c r="C79" s="23" t="s">
        <v>3159</v>
      </c>
      <c r="D79" s="23" t="s">
        <v>3157</v>
      </c>
      <c r="E79" s="23" t="s">
        <v>3158</v>
      </c>
      <c r="F79" s="23" t="s">
        <v>3158</v>
      </c>
    </row>
    <row r="80" spans="1:6" x14ac:dyDescent="0.3">
      <c r="A80" s="91"/>
      <c r="B80" s="23" t="s">
        <v>3160</v>
      </c>
      <c r="C80" s="23" t="s">
        <v>3161</v>
      </c>
      <c r="D80" s="23" t="s">
        <v>3162</v>
      </c>
      <c r="E80" s="23"/>
      <c r="F80" s="23" t="s">
        <v>3160</v>
      </c>
    </row>
    <row r="81" spans="1:6" s="20" customFormat="1" x14ac:dyDescent="0.3">
      <c r="A81" s="91"/>
      <c r="B81" s="23" t="s">
        <v>3163</v>
      </c>
      <c r="C81" s="23" t="s">
        <v>3164</v>
      </c>
      <c r="D81" s="23" t="s">
        <v>3165</v>
      </c>
      <c r="E81" s="23" t="s">
        <v>3163</v>
      </c>
      <c r="F81" s="23" t="s">
        <v>3163</v>
      </c>
    </row>
    <row r="82" spans="1:6" x14ac:dyDescent="0.3">
      <c r="A82" s="91"/>
      <c r="B82" s="23" t="s">
        <v>3166</v>
      </c>
      <c r="C82" s="23" t="s">
        <v>3167</v>
      </c>
      <c r="D82" s="23" t="s">
        <v>3168</v>
      </c>
      <c r="E82" s="23" t="s">
        <v>3166</v>
      </c>
      <c r="F82" s="23" t="s">
        <v>3166</v>
      </c>
    </row>
    <row r="83" spans="1:6" x14ac:dyDescent="0.3">
      <c r="A83" s="91"/>
      <c r="B83" s="23" t="s">
        <v>3169</v>
      </c>
      <c r="C83" s="23" t="s">
        <v>3170</v>
      </c>
      <c r="D83" s="23" t="s">
        <v>3171</v>
      </c>
      <c r="E83" s="23" t="s">
        <v>3169</v>
      </c>
      <c r="F83" s="23" t="s">
        <v>3169</v>
      </c>
    </row>
    <row r="84" spans="1:6" x14ac:dyDescent="0.3">
      <c r="A84" s="91"/>
      <c r="B84" s="23" t="s">
        <v>3172</v>
      </c>
      <c r="C84" s="23" t="s">
        <v>3173</v>
      </c>
      <c r="D84" s="23" t="s">
        <v>3168</v>
      </c>
      <c r="E84" s="23"/>
      <c r="F84" s="23" t="s">
        <v>3172</v>
      </c>
    </row>
    <row r="85" spans="1:6" x14ac:dyDescent="0.3">
      <c r="A85" s="91"/>
      <c r="B85" s="23" t="s">
        <v>3174</v>
      </c>
      <c r="C85" s="23" t="s">
        <v>3175</v>
      </c>
      <c r="D85" s="23" t="s">
        <v>3168</v>
      </c>
      <c r="E85" s="23" t="s">
        <v>3174</v>
      </c>
      <c r="F85" s="23" t="s">
        <v>3174</v>
      </c>
    </row>
    <row r="86" spans="1:6" x14ac:dyDescent="0.3">
      <c r="A86" s="91"/>
      <c r="B86" s="23" t="s">
        <v>3176</v>
      </c>
      <c r="C86" s="23" t="s">
        <v>3177</v>
      </c>
      <c r="D86" s="23" t="s">
        <v>3178</v>
      </c>
      <c r="E86" s="23" t="s">
        <v>3176</v>
      </c>
      <c r="F86" s="23" t="s">
        <v>3176</v>
      </c>
    </row>
    <row r="87" spans="1:6" s="16" customFormat="1" x14ac:dyDescent="0.3">
      <c r="A87" s="91"/>
      <c r="B87" s="23" t="s">
        <v>3179</v>
      </c>
      <c r="C87" s="23" t="s">
        <v>3180</v>
      </c>
      <c r="D87" s="23" t="s">
        <v>3181</v>
      </c>
      <c r="E87" s="23" t="s">
        <v>3179</v>
      </c>
      <c r="F87" s="23" t="s">
        <v>3179</v>
      </c>
    </row>
    <row r="88" spans="1:6" x14ac:dyDescent="0.3">
      <c r="A88" s="91"/>
      <c r="B88" s="23" t="s">
        <v>3182</v>
      </c>
      <c r="C88" s="23" t="s">
        <v>3183</v>
      </c>
      <c r="D88" s="23" t="s">
        <v>3184</v>
      </c>
      <c r="E88" s="23" t="s">
        <v>3182</v>
      </c>
      <c r="F88" s="23" t="s">
        <v>3182</v>
      </c>
    </row>
    <row r="89" spans="1:6" x14ac:dyDescent="0.3">
      <c r="A89" s="91"/>
      <c r="B89" s="23" t="s">
        <v>3185</v>
      </c>
      <c r="C89" s="23" t="s">
        <v>3186</v>
      </c>
      <c r="D89" s="23" t="s">
        <v>3187</v>
      </c>
      <c r="E89" s="23" t="s">
        <v>3185</v>
      </c>
      <c r="F89" s="23" t="s">
        <v>3185</v>
      </c>
    </row>
    <row r="90" spans="1:6" x14ac:dyDescent="0.3">
      <c r="A90" s="91"/>
      <c r="B90" s="23" t="s">
        <v>3188</v>
      </c>
      <c r="C90" s="23" t="s">
        <v>3189</v>
      </c>
      <c r="D90" s="23" t="s">
        <v>3190</v>
      </c>
      <c r="E90" s="23" t="s">
        <v>3188</v>
      </c>
      <c r="F90" s="23" t="s">
        <v>3188</v>
      </c>
    </row>
    <row r="91" spans="1:6" x14ac:dyDescent="0.3">
      <c r="A91" s="91"/>
      <c r="B91" s="23" t="s">
        <v>3191</v>
      </c>
      <c r="C91" s="23" t="s">
        <v>3192</v>
      </c>
      <c r="D91" s="23" t="s">
        <v>3193</v>
      </c>
      <c r="E91" s="23" t="s">
        <v>3191</v>
      </c>
      <c r="F91" s="23" t="s">
        <v>3191</v>
      </c>
    </row>
    <row r="92" spans="1:6" x14ac:dyDescent="0.3">
      <c r="A92" s="91"/>
      <c r="B92" s="23" t="s">
        <v>3194</v>
      </c>
      <c r="C92" s="23" t="s">
        <v>3195</v>
      </c>
      <c r="D92" s="23" t="s">
        <v>3196</v>
      </c>
      <c r="E92" s="23" t="s">
        <v>3194</v>
      </c>
      <c r="F92" s="23" t="s">
        <v>3194</v>
      </c>
    </row>
    <row r="93" spans="1:6" x14ac:dyDescent="0.3">
      <c r="A93" s="91"/>
      <c r="B93" s="23" t="s">
        <v>3197</v>
      </c>
      <c r="C93" s="23" t="s">
        <v>3198</v>
      </c>
      <c r="D93" s="23" t="s">
        <v>3171</v>
      </c>
      <c r="E93" s="23" t="s">
        <v>3197</v>
      </c>
      <c r="F93" s="23" t="s">
        <v>3197</v>
      </c>
    </row>
    <row r="94" spans="1:6" x14ac:dyDescent="0.3">
      <c r="A94" s="91"/>
      <c r="B94" s="23" t="s">
        <v>3199</v>
      </c>
      <c r="C94" s="23" t="s">
        <v>3200</v>
      </c>
      <c r="D94" s="23" t="s">
        <v>3201</v>
      </c>
      <c r="E94" s="23" t="s">
        <v>3199</v>
      </c>
      <c r="F94" s="23" t="s">
        <v>3199</v>
      </c>
    </row>
    <row r="95" spans="1:6" s="16" customFormat="1" x14ac:dyDescent="0.3">
      <c r="A95" s="91"/>
      <c r="B95" s="23" t="s">
        <v>3202</v>
      </c>
      <c r="C95" s="23" t="s">
        <v>3203</v>
      </c>
      <c r="D95" s="23" t="s">
        <v>3204</v>
      </c>
      <c r="E95" s="23" t="s">
        <v>3202</v>
      </c>
      <c r="F95" s="23" t="s">
        <v>3202</v>
      </c>
    </row>
    <row r="96" spans="1:6" x14ac:dyDescent="0.3">
      <c r="A96" s="91"/>
      <c r="B96" s="23" t="s">
        <v>3205</v>
      </c>
      <c r="C96" s="23" t="s">
        <v>3206</v>
      </c>
      <c r="D96" s="23" t="s">
        <v>3207</v>
      </c>
      <c r="E96" s="23" t="s">
        <v>3205</v>
      </c>
      <c r="F96" s="23" t="s">
        <v>3205</v>
      </c>
    </row>
    <row r="97" spans="1:6" x14ac:dyDescent="0.3">
      <c r="A97" s="91"/>
      <c r="B97" s="23" t="s">
        <v>3208</v>
      </c>
      <c r="C97" s="23" t="s">
        <v>3209</v>
      </c>
      <c r="D97" s="23" t="s">
        <v>3210</v>
      </c>
      <c r="E97" s="23" t="s">
        <v>3208</v>
      </c>
      <c r="F97" s="23" t="s">
        <v>3208</v>
      </c>
    </row>
    <row r="98" spans="1:6" s="16" customFormat="1" x14ac:dyDescent="0.3">
      <c r="A98" s="91"/>
      <c r="B98" s="23" t="s">
        <v>3211</v>
      </c>
      <c r="C98" s="23" t="s">
        <v>3212</v>
      </c>
      <c r="D98" s="23" t="s">
        <v>3213</v>
      </c>
      <c r="E98" s="23" t="s">
        <v>3211</v>
      </c>
      <c r="F98" s="23" t="s">
        <v>3211</v>
      </c>
    </row>
    <row r="99" spans="1:6" x14ac:dyDescent="0.3">
      <c r="A99" s="91"/>
      <c r="B99" s="23" t="s">
        <v>3214</v>
      </c>
      <c r="C99" s="23" t="s">
        <v>3215</v>
      </c>
      <c r="D99" s="23" t="s">
        <v>3216</v>
      </c>
      <c r="E99" s="23" t="s">
        <v>3214</v>
      </c>
      <c r="F99" s="23" t="s">
        <v>3214</v>
      </c>
    </row>
    <row r="100" spans="1:6" x14ac:dyDescent="0.3">
      <c r="A100" s="91"/>
      <c r="B100" s="23" t="s">
        <v>3217</v>
      </c>
      <c r="C100" s="23" t="s">
        <v>3218</v>
      </c>
      <c r="D100" s="23" t="s">
        <v>3219</v>
      </c>
      <c r="E100" s="23" t="s">
        <v>3217</v>
      </c>
      <c r="F100" s="23" t="s">
        <v>3217</v>
      </c>
    </row>
    <row r="101" spans="1:6" s="20" customFormat="1" x14ac:dyDescent="0.3">
      <c r="A101" s="91"/>
      <c r="B101" s="23" t="s">
        <v>3220</v>
      </c>
      <c r="C101" s="23" t="s">
        <v>3221</v>
      </c>
      <c r="D101" s="23" t="s">
        <v>3222</v>
      </c>
      <c r="E101" s="23" t="s">
        <v>3220</v>
      </c>
      <c r="F101" s="23" t="s">
        <v>3220</v>
      </c>
    </row>
    <row r="102" spans="1:6" x14ac:dyDescent="0.3">
      <c r="A102" s="91"/>
      <c r="B102" s="23" t="s">
        <v>3223</v>
      </c>
      <c r="C102" s="23" t="s">
        <v>3224</v>
      </c>
      <c r="D102" s="23" t="s">
        <v>3225</v>
      </c>
      <c r="E102" s="23" t="s">
        <v>3223</v>
      </c>
      <c r="F102" s="23" t="s">
        <v>3223</v>
      </c>
    </row>
    <row r="103" spans="1:6" x14ac:dyDescent="0.3">
      <c r="A103" s="91"/>
      <c r="B103" s="23" t="s">
        <v>2943</v>
      </c>
      <c r="C103" s="23" t="s">
        <v>3226</v>
      </c>
      <c r="D103" s="23" t="s">
        <v>3225</v>
      </c>
      <c r="E103" s="23" t="s">
        <v>2943</v>
      </c>
      <c r="F103" s="23" t="s">
        <v>2943</v>
      </c>
    </row>
    <row r="104" spans="1:6" x14ac:dyDescent="0.3">
      <c r="A104" s="91"/>
      <c r="B104" s="23" t="s">
        <v>3227</v>
      </c>
      <c r="C104" s="23" t="s">
        <v>3228</v>
      </c>
      <c r="D104" s="23" t="s">
        <v>3225</v>
      </c>
      <c r="E104" s="23" t="s">
        <v>3227</v>
      </c>
      <c r="F104" s="23" t="s">
        <v>3227</v>
      </c>
    </row>
    <row r="105" spans="1:6" x14ac:dyDescent="0.3">
      <c r="A105" s="91"/>
      <c r="B105" s="23" t="s">
        <v>3229</v>
      </c>
      <c r="C105" s="23" t="s">
        <v>3230</v>
      </c>
      <c r="D105" s="23" t="s">
        <v>3225</v>
      </c>
      <c r="E105" s="23" t="s">
        <v>3229</v>
      </c>
      <c r="F105" s="23" t="s">
        <v>3229</v>
      </c>
    </row>
    <row r="106" spans="1:6" x14ac:dyDescent="0.3">
      <c r="A106" s="91"/>
      <c r="B106" s="23" t="s">
        <v>3231</v>
      </c>
      <c r="C106" s="23" t="s">
        <v>3232</v>
      </c>
      <c r="D106" s="23" t="s">
        <v>3225</v>
      </c>
      <c r="E106" s="23" t="s">
        <v>3231</v>
      </c>
      <c r="F106" s="23" t="s">
        <v>3231</v>
      </c>
    </row>
    <row r="107" spans="1:6" x14ac:dyDescent="0.3">
      <c r="A107" s="91"/>
      <c r="B107" s="23" t="s">
        <v>3233</v>
      </c>
      <c r="C107" s="23" t="s">
        <v>3234</v>
      </c>
      <c r="D107" s="23" t="s">
        <v>3235</v>
      </c>
      <c r="E107" s="23" t="s">
        <v>3233</v>
      </c>
      <c r="F107" s="23" t="s">
        <v>3233</v>
      </c>
    </row>
    <row r="108" spans="1:6" x14ac:dyDescent="0.3">
      <c r="A108" s="91"/>
      <c r="B108" s="23" t="s">
        <v>3236</v>
      </c>
      <c r="C108" s="23" t="s">
        <v>3237</v>
      </c>
      <c r="D108" s="23" t="s">
        <v>3225</v>
      </c>
      <c r="E108" s="23" t="s">
        <v>3236</v>
      </c>
      <c r="F108" s="23" t="s">
        <v>3236</v>
      </c>
    </row>
    <row r="109" spans="1:6" x14ac:dyDescent="0.3">
      <c r="A109" s="91"/>
      <c r="B109" s="23" t="s">
        <v>3238</v>
      </c>
      <c r="C109" s="23" t="s">
        <v>3239</v>
      </c>
      <c r="D109" s="23" t="s">
        <v>3225</v>
      </c>
      <c r="E109" s="23" t="s">
        <v>3238</v>
      </c>
      <c r="F109" s="23" t="s">
        <v>3238</v>
      </c>
    </row>
    <row r="110" spans="1:6" x14ac:dyDescent="0.3">
      <c r="A110" s="91"/>
      <c r="B110" s="23" t="s">
        <v>3240</v>
      </c>
      <c r="C110" s="23" t="s">
        <v>3241</v>
      </c>
      <c r="D110" s="23" t="s">
        <v>3225</v>
      </c>
      <c r="E110" s="23" t="s">
        <v>3240</v>
      </c>
      <c r="F110" s="23" t="s">
        <v>3240</v>
      </c>
    </row>
    <row r="111" spans="1:6" x14ac:dyDescent="0.3">
      <c r="A111" s="91"/>
      <c r="B111" s="23" t="s">
        <v>3242</v>
      </c>
      <c r="C111" s="23" t="s">
        <v>3243</v>
      </c>
      <c r="D111" s="23" t="s">
        <v>3225</v>
      </c>
      <c r="E111" s="23" t="s">
        <v>3242</v>
      </c>
      <c r="F111" s="23" t="s">
        <v>3242</v>
      </c>
    </row>
    <row r="112" spans="1:6" x14ac:dyDescent="0.3">
      <c r="A112" s="91"/>
      <c r="B112" s="23" t="s">
        <v>3244</v>
      </c>
      <c r="C112" s="23" t="s">
        <v>3245</v>
      </c>
      <c r="D112" s="23" t="s">
        <v>3225</v>
      </c>
      <c r="E112" s="23" t="s">
        <v>3244</v>
      </c>
      <c r="F112" s="23" t="s">
        <v>3244</v>
      </c>
    </row>
    <row r="113" spans="1:6" x14ac:dyDescent="0.3">
      <c r="A113" s="91"/>
      <c r="B113" s="23" t="s">
        <v>3246</v>
      </c>
      <c r="C113" s="23" t="s">
        <v>3247</v>
      </c>
      <c r="D113" s="23" t="s">
        <v>3225</v>
      </c>
      <c r="E113" s="23" t="s">
        <v>3246</v>
      </c>
      <c r="F113" s="23" t="s">
        <v>3246</v>
      </c>
    </row>
    <row r="114" spans="1:6" x14ac:dyDescent="0.3">
      <c r="A114" s="91"/>
      <c r="B114" s="23" t="s">
        <v>3248</v>
      </c>
      <c r="C114" s="23" t="s">
        <v>3249</v>
      </c>
      <c r="D114" s="23" t="s">
        <v>3225</v>
      </c>
      <c r="E114" s="23" t="s">
        <v>3248</v>
      </c>
      <c r="F114" s="23" t="s">
        <v>3248</v>
      </c>
    </row>
    <row r="115" spans="1:6" x14ac:dyDescent="0.3">
      <c r="A115" s="91"/>
      <c r="B115" s="23" t="s">
        <v>3250</v>
      </c>
      <c r="C115" s="23" t="s">
        <v>3251</v>
      </c>
      <c r="D115" s="23" t="s">
        <v>3225</v>
      </c>
      <c r="E115" s="23" t="s">
        <v>3250</v>
      </c>
      <c r="F115" s="23" t="s">
        <v>3250</v>
      </c>
    </row>
    <row r="116" spans="1:6" x14ac:dyDescent="0.3">
      <c r="A116" s="91"/>
      <c r="B116" s="23" t="s">
        <v>3252</v>
      </c>
      <c r="C116" s="23" t="s">
        <v>3253</v>
      </c>
      <c r="D116" s="23" t="s">
        <v>3225</v>
      </c>
      <c r="E116" s="23" t="s">
        <v>3252</v>
      </c>
      <c r="F116" s="23" t="s">
        <v>3252</v>
      </c>
    </row>
    <row r="117" spans="1:6" x14ac:dyDescent="0.3">
      <c r="A117" s="91"/>
      <c r="B117" s="23" t="s">
        <v>3254</v>
      </c>
      <c r="C117" s="23" t="s">
        <v>3255</v>
      </c>
      <c r="D117" s="23" t="s">
        <v>3225</v>
      </c>
      <c r="E117" s="23" t="s">
        <v>3254</v>
      </c>
      <c r="F117" s="23" t="s">
        <v>3254</v>
      </c>
    </row>
    <row r="118" spans="1:6" x14ac:dyDescent="0.3">
      <c r="A118" s="91"/>
      <c r="B118" s="23" t="s">
        <v>3256</v>
      </c>
      <c r="C118" s="23" t="s">
        <v>3257</v>
      </c>
      <c r="D118" s="23" t="s">
        <v>3225</v>
      </c>
      <c r="E118" s="23" t="s">
        <v>3256</v>
      </c>
      <c r="F118" s="23" t="s">
        <v>3256</v>
      </c>
    </row>
    <row r="119" spans="1:6" x14ac:dyDescent="0.3">
      <c r="A119" s="91"/>
      <c r="B119" s="23" t="s">
        <v>3258</v>
      </c>
      <c r="C119" s="23" t="s">
        <v>3259</v>
      </c>
      <c r="D119" s="23" t="s">
        <v>3260</v>
      </c>
      <c r="E119" s="23" t="s">
        <v>3258</v>
      </c>
      <c r="F119" s="23" t="s">
        <v>3258</v>
      </c>
    </row>
    <row r="120" spans="1:6" x14ac:dyDescent="0.3">
      <c r="A120" s="91"/>
      <c r="B120" s="23" t="s">
        <v>3261</v>
      </c>
      <c r="C120" s="23" t="s">
        <v>3262</v>
      </c>
      <c r="D120" s="23" t="s">
        <v>3263</v>
      </c>
      <c r="E120" s="23" t="s">
        <v>3261</v>
      </c>
      <c r="F120" s="23" t="s">
        <v>3261</v>
      </c>
    </row>
    <row r="121" spans="1:6" x14ac:dyDescent="0.3">
      <c r="A121" s="91"/>
      <c r="B121" s="23" t="s">
        <v>3264</v>
      </c>
      <c r="C121" s="23" t="s">
        <v>3265</v>
      </c>
      <c r="D121" s="23" t="s">
        <v>3225</v>
      </c>
      <c r="E121" s="23" t="s">
        <v>3264</v>
      </c>
      <c r="F121" s="23" t="s">
        <v>3264</v>
      </c>
    </row>
    <row r="122" spans="1:6" x14ac:dyDescent="0.3">
      <c r="A122" s="91"/>
      <c r="B122" s="23" t="s">
        <v>3266</v>
      </c>
      <c r="C122" s="23" t="s">
        <v>3267</v>
      </c>
      <c r="D122" s="23" t="s">
        <v>3268</v>
      </c>
      <c r="E122" s="23" t="s">
        <v>3266</v>
      </c>
      <c r="F122" s="23" t="s">
        <v>3266</v>
      </c>
    </row>
    <row r="123" spans="1:6" x14ac:dyDescent="0.3">
      <c r="A123" s="19"/>
      <c r="B123" s="19"/>
      <c r="C123" s="19"/>
      <c r="D123" s="19"/>
      <c r="E123" s="19"/>
    </row>
    <row r="124" spans="1:6" x14ac:dyDescent="0.3">
      <c r="A124" s="19"/>
      <c r="B124" s="19"/>
      <c r="C124" s="19"/>
      <c r="D124" s="19"/>
      <c r="E124" s="19"/>
    </row>
    <row r="125" spans="1:6" x14ac:dyDescent="0.3">
      <c r="A125" s="19"/>
      <c r="B125" s="19"/>
      <c r="C125" s="19"/>
      <c r="D125" s="19"/>
      <c r="E125" s="19"/>
    </row>
    <row r="126" spans="1:6" x14ac:dyDescent="0.3">
      <c r="A126" s="19"/>
      <c r="B126" s="19"/>
      <c r="C126" s="19"/>
      <c r="D126" s="19"/>
      <c r="E126" s="19"/>
    </row>
    <row r="127" spans="1:6" x14ac:dyDescent="0.3">
      <c r="A127" s="19"/>
      <c r="B127" s="19"/>
      <c r="C127" s="19"/>
      <c r="D127" s="19"/>
      <c r="E127" s="19"/>
    </row>
    <row r="128" spans="1:6" x14ac:dyDescent="0.3">
      <c r="A128" s="19"/>
      <c r="B128" s="19"/>
      <c r="C128" s="19"/>
      <c r="D128" s="19"/>
      <c r="E128" s="19"/>
    </row>
    <row r="129" spans="1:5" x14ac:dyDescent="0.3">
      <c r="A129" s="19"/>
      <c r="B129" s="19"/>
      <c r="C129" s="19"/>
      <c r="D129" s="19"/>
      <c r="E129" s="19"/>
    </row>
    <row r="130" spans="1:5" x14ac:dyDescent="0.3">
      <c r="A130" s="19"/>
      <c r="B130" s="19"/>
      <c r="C130" s="19"/>
      <c r="D130" s="19"/>
      <c r="E130" s="19"/>
    </row>
    <row r="131" spans="1:5" x14ac:dyDescent="0.3">
      <c r="A131" s="19"/>
      <c r="B131" s="19"/>
      <c r="C131" s="19"/>
      <c r="D131" s="19"/>
      <c r="E131" s="19"/>
    </row>
    <row r="132" spans="1:5" x14ac:dyDescent="0.3">
      <c r="A132" s="19"/>
      <c r="B132" s="19"/>
      <c r="C132" s="19"/>
      <c r="D132" s="19"/>
      <c r="E132" s="19"/>
    </row>
    <row r="133" spans="1:5" x14ac:dyDescent="0.3">
      <c r="A133" s="19"/>
      <c r="B133" s="19"/>
      <c r="C133" s="19"/>
      <c r="D133" s="19"/>
      <c r="E133" s="19"/>
    </row>
    <row r="134" spans="1:5" x14ac:dyDescent="0.3">
      <c r="A134" s="19"/>
      <c r="B134" s="19"/>
      <c r="C134" s="19"/>
      <c r="D134" s="19"/>
      <c r="E134" s="19"/>
    </row>
    <row r="135" spans="1:5" x14ac:dyDescent="0.3">
      <c r="A135" s="19"/>
      <c r="B135" s="19"/>
      <c r="C135" s="19"/>
      <c r="D135" s="19"/>
      <c r="E135" s="19"/>
    </row>
    <row r="136" spans="1:5" x14ac:dyDescent="0.3">
      <c r="A136" s="19"/>
      <c r="B136" s="19"/>
      <c r="C136" s="19"/>
      <c r="D136" s="19"/>
      <c r="E136" s="19"/>
    </row>
    <row r="137" spans="1:5" x14ac:dyDescent="0.3">
      <c r="A137" s="19"/>
      <c r="B137" s="19"/>
      <c r="C137" s="19"/>
      <c r="D137" s="19"/>
      <c r="E137" s="19"/>
    </row>
    <row r="138" spans="1:5" x14ac:dyDescent="0.3">
      <c r="A138" s="19"/>
      <c r="B138" s="19"/>
      <c r="C138" s="19"/>
      <c r="D138" s="19"/>
      <c r="E138" s="19"/>
    </row>
    <row r="139" spans="1:5" x14ac:dyDescent="0.3">
      <c r="A139" s="19"/>
      <c r="B139" s="19"/>
      <c r="C139" s="19"/>
      <c r="D139" s="19"/>
      <c r="E139" s="19"/>
    </row>
    <row r="140" spans="1:5" x14ac:dyDescent="0.3">
      <c r="A140" s="19"/>
      <c r="B140" s="19"/>
      <c r="C140" s="19"/>
      <c r="D140" s="19"/>
      <c r="E140" s="19"/>
    </row>
    <row r="141" spans="1:5" x14ac:dyDescent="0.3">
      <c r="A141" s="19"/>
      <c r="B141" s="19"/>
      <c r="C141" s="19"/>
      <c r="D141" s="19"/>
      <c r="E141" s="19"/>
    </row>
    <row r="142" spans="1:5" x14ac:dyDescent="0.3">
      <c r="A142" s="19"/>
      <c r="B142" s="19"/>
      <c r="C142" s="19"/>
      <c r="D142" s="19"/>
      <c r="E142" s="19"/>
    </row>
    <row r="143" spans="1:5" x14ac:dyDescent="0.3">
      <c r="A143" s="19"/>
      <c r="B143" s="19"/>
      <c r="C143" s="19"/>
      <c r="D143" s="19"/>
      <c r="E143" s="19"/>
    </row>
    <row r="144" spans="1:5" x14ac:dyDescent="0.3">
      <c r="A144" s="19"/>
      <c r="B144" s="19"/>
      <c r="C144" s="19"/>
      <c r="D144" s="19"/>
      <c r="E144" s="19"/>
    </row>
    <row r="145" spans="1:5" x14ac:dyDescent="0.3">
      <c r="A145" s="19"/>
      <c r="B145" s="19"/>
      <c r="C145" s="19"/>
      <c r="D145" s="19"/>
      <c r="E145" s="19"/>
    </row>
    <row r="146" spans="1:5" x14ac:dyDescent="0.3">
      <c r="A146" s="19"/>
      <c r="B146" s="19"/>
      <c r="C146" s="19"/>
      <c r="D146" s="19"/>
      <c r="E146" s="19"/>
    </row>
    <row r="147" spans="1:5" x14ac:dyDescent="0.3">
      <c r="A147" s="19"/>
      <c r="B147" s="19"/>
      <c r="C147" s="19"/>
      <c r="D147" s="19"/>
      <c r="E147" s="19"/>
    </row>
    <row r="148" spans="1:5" x14ac:dyDescent="0.3">
      <c r="A148" s="19"/>
      <c r="B148" s="19"/>
      <c r="C148" s="19"/>
      <c r="D148" s="19"/>
      <c r="E148" s="19"/>
    </row>
    <row r="149" spans="1:5" x14ac:dyDescent="0.3">
      <c r="A149" s="19"/>
      <c r="B149" s="19"/>
      <c r="C149" s="19"/>
      <c r="D149" s="19"/>
      <c r="E149" s="19"/>
    </row>
    <row r="150" spans="1:5" x14ac:dyDescent="0.3">
      <c r="A150" s="19"/>
      <c r="B150" s="19"/>
      <c r="C150" s="19"/>
      <c r="D150" s="19"/>
      <c r="E150" s="19"/>
    </row>
    <row r="151" spans="1:5" x14ac:dyDescent="0.3">
      <c r="A151" s="19"/>
      <c r="B151" s="19"/>
      <c r="C151" s="19"/>
      <c r="D151" s="19"/>
      <c r="E151" s="19"/>
    </row>
    <row r="152" spans="1:5" x14ac:dyDescent="0.3">
      <c r="A152" s="19"/>
      <c r="B152" s="19"/>
      <c r="C152" s="19"/>
      <c r="D152" s="19"/>
      <c r="E152" s="19"/>
    </row>
    <row r="153" spans="1:5" x14ac:dyDescent="0.3">
      <c r="A153" s="19"/>
      <c r="B153" s="19"/>
      <c r="C153" s="19"/>
      <c r="D153" s="19"/>
      <c r="E153" s="19"/>
    </row>
    <row r="154" spans="1:5" x14ac:dyDescent="0.3">
      <c r="A154" s="19"/>
      <c r="B154" s="19"/>
      <c r="C154" s="19"/>
      <c r="D154" s="19"/>
      <c r="E154" s="19"/>
    </row>
    <row r="155" spans="1:5" x14ac:dyDescent="0.3">
      <c r="A155" s="19"/>
      <c r="B155" s="19"/>
      <c r="C155" s="19"/>
      <c r="D155" s="19"/>
      <c r="E155" s="19"/>
    </row>
    <row r="156" spans="1:5" x14ac:dyDescent="0.3">
      <c r="A156" s="19"/>
      <c r="B156" s="19"/>
      <c r="C156" s="19"/>
      <c r="D156" s="19"/>
      <c r="E156" s="19"/>
    </row>
    <row r="157" spans="1:5" x14ac:dyDescent="0.3">
      <c r="A157" s="19"/>
      <c r="B157" s="19"/>
      <c r="C157" s="19"/>
      <c r="D157" s="19"/>
      <c r="E157" s="19"/>
    </row>
    <row r="158" spans="1:5" x14ac:dyDescent="0.3">
      <c r="A158" s="19"/>
      <c r="B158" s="19"/>
      <c r="C158" s="19"/>
      <c r="D158" s="19"/>
      <c r="E158" s="19"/>
    </row>
    <row r="159" spans="1:5" x14ac:dyDescent="0.3">
      <c r="A159" s="19"/>
      <c r="B159" s="19"/>
      <c r="C159" s="19"/>
      <c r="D159" s="19"/>
      <c r="E159" s="19"/>
    </row>
    <row r="160" spans="1:5" x14ac:dyDescent="0.3">
      <c r="A160" s="19"/>
      <c r="B160" s="19"/>
      <c r="C160" s="19"/>
      <c r="D160" s="19"/>
      <c r="E160" s="19"/>
    </row>
    <row r="161" spans="1:5" x14ac:dyDescent="0.3">
      <c r="A161" s="19"/>
      <c r="B161" s="19"/>
      <c r="C161" s="19"/>
      <c r="D161" s="19"/>
      <c r="E161" s="19"/>
    </row>
    <row r="162" spans="1:5" x14ac:dyDescent="0.3">
      <c r="A162" s="19"/>
      <c r="B162" s="19"/>
      <c r="C162" s="19"/>
      <c r="D162" s="19"/>
      <c r="E162" s="19"/>
    </row>
    <row r="163" spans="1:5" x14ac:dyDescent="0.3">
      <c r="A163" s="19"/>
      <c r="B163" s="19"/>
      <c r="C163" s="19"/>
      <c r="D163" s="19"/>
      <c r="E163" s="19"/>
    </row>
    <row r="164" spans="1:5" x14ac:dyDescent="0.3">
      <c r="A164" s="19"/>
      <c r="B164" s="19"/>
      <c r="C164" s="19"/>
      <c r="D164" s="19"/>
      <c r="E164" s="19"/>
    </row>
    <row r="165" spans="1:5" x14ac:dyDescent="0.3">
      <c r="A165" s="19"/>
      <c r="B165" s="19"/>
      <c r="C165" s="19"/>
      <c r="D165" s="19"/>
      <c r="E165" s="19"/>
    </row>
    <row r="166" spans="1:5" x14ac:dyDescent="0.3">
      <c r="A166" s="19"/>
      <c r="B166" s="19"/>
      <c r="C166" s="19"/>
      <c r="D166" s="19"/>
      <c r="E166" s="19"/>
    </row>
    <row r="167" spans="1:5" x14ac:dyDescent="0.3">
      <c r="A167" s="19"/>
      <c r="B167" s="19"/>
      <c r="C167" s="19"/>
      <c r="D167" s="19"/>
      <c r="E167" s="19"/>
    </row>
    <row r="168" spans="1:5" x14ac:dyDescent="0.3">
      <c r="A168" s="19"/>
      <c r="B168" s="19"/>
      <c r="C168" s="19"/>
      <c r="D168" s="19"/>
      <c r="E168" s="19"/>
    </row>
    <row r="169" spans="1:5" x14ac:dyDescent="0.3">
      <c r="A169" s="19"/>
      <c r="B169" s="19"/>
      <c r="C169" s="19"/>
      <c r="D169" s="19"/>
      <c r="E169" s="19"/>
    </row>
    <row r="170" spans="1:5" x14ac:dyDescent="0.3">
      <c r="A170" s="19"/>
      <c r="B170" s="19"/>
      <c r="C170" s="19"/>
      <c r="D170" s="19"/>
      <c r="E170" s="19"/>
    </row>
    <row r="171" spans="1:5" x14ac:dyDescent="0.3">
      <c r="A171" s="19"/>
      <c r="B171" s="19"/>
      <c r="C171" s="19"/>
      <c r="D171" s="19"/>
      <c r="E171" s="19"/>
    </row>
    <row r="172" spans="1:5" x14ac:dyDescent="0.3">
      <c r="A172" s="19"/>
      <c r="B172" s="19"/>
      <c r="C172" s="19"/>
      <c r="D172" s="19"/>
      <c r="E172" s="19"/>
    </row>
    <row r="173" spans="1:5" x14ac:dyDescent="0.3">
      <c r="A173" s="19"/>
      <c r="B173" s="19"/>
      <c r="C173" s="19"/>
      <c r="D173" s="19"/>
      <c r="E173" s="19"/>
    </row>
    <row r="174" spans="1:5" x14ac:dyDescent="0.3">
      <c r="A174" s="19"/>
      <c r="B174" s="19"/>
      <c r="C174" s="19"/>
      <c r="D174" s="19"/>
      <c r="E174" s="19"/>
    </row>
    <row r="175" spans="1:5" x14ac:dyDescent="0.3">
      <c r="A175" s="19"/>
      <c r="B175" s="19"/>
      <c r="C175" s="19"/>
      <c r="D175" s="19"/>
      <c r="E175" s="19"/>
    </row>
    <row r="176" spans="1:5" x14ac:dyDescent="0.3">
      <c r="A176" s="19"/>
      <c r="B176" s="19"/>
      <c r="C176" s="19"/>
      <c r="D176" s="19"/>
      <c r="E176" s="19"/>
    </row>
    <row r="177" spans="1:5" x14ac:dyDescent="0.3">
      <c r="A177" s="19"/>
      <c r="B177" s="19"/>
      <c r="C177" s="19"/>
      <c r="D177" s="19"/>
      <c r="E177" s="19"/>
    </row>
    <row r="178" spans="1:5" x14ac:dyDescent="0.3">
      <c r="A178" s="19"/>
      <c r="B178" s="19"/>
      <c r="C178" s="19"/>
      <c r="D178" s="19"/>
      <c r="E178" s="19"/>
    </row>
    <row r="179" spans="1:5" x14ac:dyDescent="0.3">
      <c r="A179" s="19"/>
      <c r="B179" s="19"/>
      <c r="C179" s="19"/>
      <c r="D179" s="19"/>
      <c r="E179" s="19"/>
    </row>
    <row r="180" spans="1:5" x14ac:dyDescent="0.3">
      <c r="A180" s="19"/>
      <c r="B180" s="19"/>
      <c r="C180" s="19"/>
      <c r="D180" s="19"/>
      <c r="E180" s="19"/>
    </row>
    <row r="181" spans="1:5" x14ac:dyDescent="0.3">
      <c r="A181" s="19"/>
      <c r="B181" s="19"/>
      <c r="C181" s="19"/>
      <c r="D181" s="19"/>
      <c r="E181" s="19"/>
    </row>
    <row r="182" spans="1:5" x14ac:dyDescent="0.3">
      <c r="A182" s="19"/>
      <c r="B182" s="19"/>
      <c r="C182" s="19"/>
      <c r="D182" s="19"/>
      <c r="E182" s="19"/>
    </row>
    <row r="183" spans="1:5" x14ac:dyDescent="0.3">
      <c r="A183" s="19"/>
      <c r="B183" s="19"/>
      <c r="C183" s="19"/>
      <c r="D183" s="19"/>
      <c r="E183" s="19"/>
    </row>
    <row r="184" spans="1:5" x14ac:dyDescent="0.3">
      <c r="A184" s="19"/>
      <c r="B184" s="19"/>
      <c r="C184" s="19"/>
      <c r="D184" s="19"/>
      <c r="E184" s="19"/>
    </row>
    <row r="185" spans="1:5" x14ac:dyDescent="0.3">
      <c r="A185" s="19"/>
      <c r="B185" s="19"/>
      <c r="C185" s="19"/>
      <c r="D185" s="19"/>
      <c r="E185" s="19"/>
    </row>
    <row r="186" spans="1:5" x14ac:dyDescent="0.3">
      <c r="A186" s="19"/>
      <c r="B186" s="19"/>
      <c r="C186" s="19"/>
      <c r="D186" s="19"/>
      <c r="E186" s="19"/>
    </row>
    <row r="187" spans="1:5" x14ac:dyDescent="0.3">
      <c r="A187" s="19"/>
      <c r="B187" s="19"/>
      <c r="C187" s="19"/>
      <c r="D187" s="19"/>
      <c r="E187" s="19"/>
    </row>
    <row r="188" spans="1:5" x14ac:dyDescent="0.3">
      <c r="A188" s="19"/>
      <c r="B188" s="19"/>
      <c r="C188" s="19"/>
      <c r="D188" s="19"/>
      <c r="E188" s="19"/>
    </row>
    <row r="189" spans="1:5" x14ac:dyDescent="0.3">
      <c r="A189" s="19"/>
      <c r="B189" s="19"/>
      <c r="C189" s="19"/>
      <c r="D189" s="19"/>
      <c r="E189" s="19"/>
    </row>
    <row r="190" spans="1:5" x14ac:dyDescent="0.3">
      <c r="A190" s="19"/>
      <c r="B190" s="19"/>
      <c r="C190" s="19"/>
      <c r="D190" s="19"/>
      <c r="E190" s="19"/>
    </row>
    <row r="191" spans="1:5" x14ac:dyDescent="0.3">
      <c r="A191" s="19"/>
      <c r="B191" s="19"/>
      <c r="C191" s="19"/>
      <c r="D191" s="19"/>
      <c r="E191" s="19"/>
    </row>
    <row r="192" spans="1:5" x14ac:dyDescent="0.3">
      <c r="A192" s="19"/>
      <c r="B192" s="19"/>
      <c r="C192" s="19"/>
      <c r="D192" s="19"/>
      <c r="E192" s="19"/>
    </row>
    <row r="193" spans="1:5" x14ac:dyDescent="0.3">
      <c r="A193" s="19"/>
      <c r="B193" s="19"/>
      <c r="C193" s="19"/>
      <c r="D193" s="19"/>
      <c r="E193" s="19"/>
    </row>
    <row r="194" spans="1:5" x14ac:dyDescent="0.3">
      <c r="A194" s="19"/>
      <c r="B194" s="19"/>
      <c r="C194" s="19"/>
      <c r="D194" s="19"/>
      <c r="E194" s="19"/>
    </row>
    <row r="195" spans="1:5" x14ac:dyDescent="0.3">
      <c r="A195" s="19"/>
      <c r="B195" s="19"/>
      <c r="C195" s="19"/>
      <c r="D195" s="19"/>
      <c r="E195" s="19"/>
    </row>
    <row r="196" spans="1:5" x14ac:dyDescent="0.3">
      <c r="A196" s="19"/>
      <c r="B196" s="19"/>
      <c r="C196" s="19"/>
      <c r="D196" s="19"/>
      <c r="E196" s="19"/>
    </row>
    <row r="197" spans="1:5" x14ac:dyDescent="0.3">
      <c r="A197" s="19"/>
      <c r="B197" s="19"/>
      <c r="C197" s="19"/>
      <c r="D197" s="19"/>
      <c r="E197" s="19"/>
    </row>
    <row r="198" spans="1:5" x14ac:dyDescent="0.3">
      <c r="A198" s="19"/>
      <c r="B198" s="19"/>
      <c r="C198" s="19"/>
      <c r="D198" s="19"/>
      <c r="E198" s="19"/>
    </row>
    <row r="199" spans="1:5" x14ac:dyDescent="0.3">
      <c r="A199" s="19"/>
      <c r="B199" s="19"/>
      <c r="C199" s="19"/>
      <c r="D199" s="19"/>
      <c r="E199" s="19"/>
    </row>
    <row r="200" spans="1:5" x14ac:dyDescent="0.3">
      <c r="A200" s="19"/>
      <c r="B200" s="19"/>
      <c r="C200" s="19"/>
      <c r="D200" s="19"/>
      <c r="E200" s="19"/>
    </row>
    <row r="201" spans="1:5" x14ac:dyDescent="0.3">
      <c r="A201" s="19"/>
      <c r="B201" s="19"/>
      <c r="C201" s="19"/>
      <c r="D201" s="19"/>
      <c r="E201" s="19"/>
    </row>
    <row r="202" spans="1:5" x14ac:dyDescent="0.3">
      <c r="A202" s="19"/>
      <c r="B202" s="19"/>
      <c r="C202" s="19"/>
      <c r="D202" s="19"/>
      <c r="E202" s="19"/>
    </row>
    <row r="203" spans="1:5" x14ac:dyDescent="0.3">
      <c r="A203" s="19"/>
      <c r="B203" s="19"/>
      <c r="C203" s="19"/>
      <c r="D203" s="19"/>
      <c r="E203" s="19"/>
    </row>
    <row r="204" spans="1:5" x14ac:dyDescent="0.3">
      <c r="A204" s="19"/>
      <c r="B204" s="19"/>
      <c r="C204" s="19"/>
      <c r="D204" s="19"/>
      <c r="E204" s="19"/>
    </row>
    <row r="205" spans="1:5" x14ac:dyDescent="0.3">
      <c r="A205" s="19"/>
      <c r="B205" s="19"/>
      <c r="C205" s="19"/>
      <c r="D205" s="19"/>
      <c r="E205" s="19"/>
    </row>
    <row r="206" spans="1:5" x14ac:dyDescent="0.3">
      <c r="A206" s="19"/>
      <c r="B206" s="19"/>
      <c r="C206" s="19"/>
      <c r="D206" s="19"/>
      <c r="E206" s="19"/>
    </row>
    <row r="207" spans="1:5" x14ac:dyDescent="0.3">
      <c r="A207" s="19"/>
      <c r="B207" s="19"/>
      <c r="C207" s="19"/>
      <c r="D207" s="19"/>
      <c r="E207" s="19"/>
    </row>
    <row r="208" spans="1:5" x14ac:dyDescent="0.3">
      <c r="A208" s="19"/>
      <c r="B208" s="19"/>
      <c r="C208" s="19"/>
      <c r="D208" s="19"/>
      <c r="E208" s="19"/>
    </row>
    <row r="209" spans="1:5" x14ac:dyDescent="0.3">
      <c r="A209" s="19"/>
      <c r="B209" s="19"/>
      <c r="C209" s="19"/>
      <c r="D209" s="19"/>
      <c r="E209" s="19"/>
    </row>
    <row r="210" spans="1:5" x14ac:dyDescent="0.3">
      <c r="A210" s="19"/>
      <c r="B210" s="19"/>
      <c r="C210" s="19"/>
      <c r="D210" s="19"/>
      <c r="E210" s="19"/>
    </row>
    <row r="211" spans="1:5" x14ac:dyDescent="0.3">
      <c r="A211" s="19"/>
      <c r="B211" s="19"/>
      <c r="C211" s="19"/>
      <c r="D211" s="19"/>
      <c r="E211" s="19"/>
    </row>
    <row r="212" spans="1:5" x14ac:dyDescent="0.3">
      <c r="A212" s="19"/>
      <c r="B212" s="19"/>
      <c r="C212" s="19"/>
      <c r="D212" s="19"/>
      <c r="E212" s="19"/>
    </row>
    <row r="213" spans="1:5" x14ac:dyDescent="0.3">
      <c r="A213" s="19"/>
      <c r="B213" s="19"/>
      <c r="C213" s="19"/>
      <c r="D213" s="19"/>
      <c r="E213" s="19"/>
    </row>
    <row r="214" spans="1:5" x14ac:dyDescent="0.3">
      <c r="A214" s="19"/>
      <c r="B214" s="19"/>
      <c r="C214" s="19"/>
      <c r="D214" s="19"/>
      <c r="E214" s="19"/>
    </row>
    <row r="215" spans="1:5" x14ac:dyDescent="0.3">
      <c r="A215" s="19"/>
      <c r="B215" s="19"/>
      <c r="C215" s="19"/>
      <c r="D215" s="19"/>
      <c r="E215" s="19"/>
    </row>
    <row r="216" spans="1:5" x14ac:dyDescent="0.3">
      <c r="A216" s="19"/>
      <c r="B216" s="19"/>
      <c r="C216" s="19"/>
      <c r="D216" s="19"/>
      <c r="E216" s="19"/>
    </row>
    <row r="217" spans="1:5" x14ac:dyDescent="0.3">
      <c r="A217" s="19"/>
      <c r="B217" s="19"/>
      <c r="C217" s="19"/>
      <c r="D217" s="19"/>
      <c r="E217" s="19"/>
    </row>
    <row r="218" spans="1:5" x14ac:dyDescent="0.3">
      <c r="A218" s="19"/>
      <c r="B218" s="19"/>
      <c r="C218" s="19"/>
      <c r="D218" s="19"/>
      <c r="E218" s="19"/>
    </row>
    <row r="219" spans="1:5" x14ac:dyDescent="0.3">
      <c r="A219" s="19"/>
      <c r="B219" s="19"/>
      <c r="C219" s="19"/>
      <c r="D219" s="19"/>
      <c r="E219" s="19"/>
    </row>
    <row r="220" spans="1:5" x14ac:dyDescent="0.3">
      <c r="A220" s="19"/>
      <c r="B220" s="19"/>
      <c r="C220" s="19"/>
      <c r="D220" s="19"/>
      <c r="E220" s="19"/>
    </row>
    <row r="221" spans="1:5" x14ac:dyDescent="0.3">
      <c r="A221" s="19"/>
      <c r="B221" s="19"/>
      <c r="C221" s="19"/>
      <c r="D221" s="19"/>
      <c r="E221" s="19"/>
    </row>
    <row r="222" spans="1:5" x14ac:dyDescent="0.3">
      <c r="A222" s="19"/>
      <c r="B222" s="19"/>
      <c r="C222" s="19"/>
      <c r="D222" s="19"/>
      <c r="E222" s="19"/>
    </row>
    <row r="223" spans="1:5" x14ac:dyDescent="0.3">
      <c r="A223" s="19"/>
      <c r="B223" s="19"/>
      <c r="C223" s="19"/>
      <c r="D223" s="19"/>
      <c r="E223" s="19"/>
    </row>
    <row r="224" spans="1:5" x14ac:dyDescent="0.3">
      <c r="A224" s="19"/>
      <c r="B224" s="19"/>
      <c r="C224" s="19"/>
      <c r="D224" s="19"/>
      <c r="E224" s="19"/>
    </row>
    <row r="225" spans="1:5" x14ac:dyDescent="0.3">
      <c r="A225" s="19"/>
      <c r="B225" s="19"/>
      <c r="C225" s="19"/>
      <c r="D225" s="19"/>
      <c r="E225" s="19"/>
    </row>
    <row r="226" spans="1:5" x14ac:dyDescent="0.3">
      <c r="A226" s="19"/>
      <c r="B226" s="19"/>
      <c r="C226" s="19"/>
      <c r="D226" s="19"/>
      <c r="E226" s="19"/>
    </row>
    <row r="227" spans="1:5" x14ac:dyDescent="0.3">
      <c r="A227" s="19"/>
      <c r="B227" s="19"/>
      <c r="C227" s="19"/>
      <c r="D227" s="19"/>
      <c r="E227" s="19"/>
    </row>
    <row r="228" spans="1:5" x14ac:dyDescent="0.3">
      <c r="A228" s="19"/>
      <c r="B228" s="19"/>
      <c r="C228" s="19"/>
      <c r="D228" s="19"/>
      <c r="E228" s="19"/>
    </row>
    <row r="229" spans="1:5" x14ac:dyDescent="0.3">
      <c r="A229" s="19"/>
      <c r="B229" s="19"/>
      <c r="C229" s="19"/>
      <c r="D229" s="19"/>
      <c r="E229" s="19"/>
    </row>
    <row r="230" spans="1:5" x14ac:dyDescent="0.3">
      <c r="A230" s="19"/>
      <c r="B230" s="19"/>
      <c r="C230" s="19"/>
      <c r="D230" s="19"/>
      <c r="E230" s="19"/>
    </row>
    <row r="231" spans="1:5" x14ac:dyDescent="0.3">
      <c r="A231" s="19"/>
      <c r="B231" s="19"/>
      <c r="C231" s="19"/>
      <c r="D231" s="19"/>
      <c r="E231" s="19"/>
    </row>
    <row r="232" spans="1:5" x14ac:dyDescent="0.3">
      <c r="A232" s="19"/>
      <c r="B232" s="19"/>
      <c r="C232" s="19"/>
      <c r="D232" s="19"/>
      <c r="E232" s="19"/>
    </row>
    <row r="233" spans="1:5" x14ac:dyDescent="0.3">
      <c r="A233" s="19"/>
      <c r="B233" s="19"/>
      <c r="C233" s="19"/>
      <c r="D233" s="19"/>
      <c r="E233" s="19"/>
    </row>
    <row r="234" spans="1:5" x14ac:dyDescent="0.3">
      <c r="A234" s="19"/>
      <c r="B234" s="19"/>
      <c r="C234" s="19"/>
      <c r="D234" s="19"/>
      <c r="E234" s="19"/>
    </row>
    <row r="235" spans="1:5" x14ac:dyDescent="0.3">
      <c r="A235" s="19"/>
      <c r="B235" s="19"/>
      <c r="C235" s="19"/>
      <c r="D235" s="19"/>
      <c r="E235" s="19"/>
    </row>
    <row r="236" spans="1:5" x14ac:dyDescent="0.3">
      <c r="A236" s="19"/>
      <c r="B236" s="19"/>
      <c r="C236" s="19"/>
      <c r="D236" s="19"/>
      <c r="E236" s="19"/>
    </row>
    <row r="237" spans="1:5" x14ac:dyDescent="0.3">
      <c r="A237" s="19"/>
      <c r="B237" s="19"/>
      <c r="C237" s="19"/>
      <c r="D237" s="19"/>
      <c r="E237" s="19"/>
    </row>
    <row r="238" spans="1:5" x14ac:dyDescent="0.3">
      <c r="A238" s="19"/>
      <c r="B238" s="19"/>
      <c r="C238" s="19"/>
      <c r="D238" s="19"/>
      <c r="E238" s="19"/>
    </row>
    <row r="239" spans="1:5" x14ac:dyDescent="0.3">
      <c r="A239" s="19"/>
      <c r="B239" s="19"/>
      <c r="C239" s="19"/>
      <c r="D239" s="19"/>
      <c r="E239" s="19"/>
    </row>
    <row r="240" spans="1:5" x14ac:dyDescent="0.3">
      <c r="A240" s="19"/>
      <c r="B240" s="19"/>
      <c r="C240" s="19"/>
      <c r="D240" s="19"/>
      <c r="E240" s="19"/>
    </row>
    <row r="241" spans="1:5" x14ac:dyDescent="0.3">
      <c r="A241" s="19"/>
      <c r="B241" s="19"/>
      <c r="C241" s="19"/>
      <c r="D241" s="19"/>
      <c r="E241" s="19"/>
    </row>
    <row r="242" spans="1:5" x14ac:dyDescent="0.3">
      <c r="A242" s="19"/>
      <c r="B242" s="19"/>
      <c r="C242" s="19"/>
      <c r="D242" s="19"/>
      <c r="E242" s="19"/>
    </row>
    <row r="243" spans="1:5" x14ac:dyDescent="0.3">
      <c r="A243" s="19"/>
      <c r="B243" s="19"/>
      <c r="C243" s="19"/>
      <c r="D243" s="19"/>
      <c r="E243" s="19"/>
    </row>
    <row r="244" spans="1:5" x14ac:dyDescent="0.3">
      <c r="A244" s="19"/>
      <c r="B244" s="19"/>
      <c r="C244" s="19"/>
      <c r="D244" s="19"/>
      <c r="E244" s="19"/>
    </row>
    <row r="245" spans="1:5" x14ac:dyDescent="0.3">
      <c r="A245" s="19"/>
      <c r="B245" s="19"/>
      <c r="C245" s="19"/>
      <c r="D245" s="19"/>
      <c r="E245" s="19"/>
    </row>
    <row r="246" spans="1:5" x14ac:dyDescent="0.3">
      <c r="A246" s="19"/>
      <c r="B246" s="19"/>
      <c r="C246" s="19"/>
      <c r="D246" s="19"/>
      <c r="E246" s="19"/>
    </row>
    <row r="247" spans="1:5" x14ac:dyDescent="0.3">
      <c r="A247" s="19"/>
      <c r="B247" s="19"/>
      <c r="C247" s="19"/>
      <c r="D247" s="19"/>
      <c r="E247" s="19"/>
    </row>
    <row r="248" spans="1:5" x14ac:dyDescent="0.3">
      <c r="A248" s="19"/>
      <c r="B248" s="19"/>
      <c r="C248" s="19"/>
      <c r="D248" s="19"/>
      <c r="E248" s="19"/>
    </row>
    <row r="249" spans="1:5" x14ac:dyDescent="0.3">
      <c r="A249" s="19"/>
      <c r="B249" s="19"/>
      <c r="C249" s="19"/>
      <c r="D249" s="19"/>
      <c r="E249" s="19"/>
    </row>
    <row r="250" spans="1:5" x14ac:dyDescent="0.3">
      <c r="A250" s="19"/>
      <c r="B250" s="19"/>
      <c r="C250" s="19"/>
      <c r="D250" s="19"/>
      <c r="E250" s="19"/>
    </row>
    <row r="251" spans="1:5" x14ac:dyDescent="0.3">
      <c r="A251" s="19"/>
      <c r="B251" s="19"/>
      <c r="C251" s="19"/>
      <c r="D251" s="19"/>
      <c r="E251" s="19"/>
    </row>
    <row r="252" spans="1:5" x14ac:dyDescent="0.3">
      <c r="A252" s="19"/>
      <c r="B252" s="19"/>
      <c r="C252" s="19"/>
      <c r="D252" s="19"/>
      <c r="E252" s="19"/>
    </row>
    <row r="253" spans="1:5" x14ac:dyDescent="0.3">
      <c r="A253" s="19"/>
      <c r="B253" s="19"/>
      <c r="C253" s="19"/>
      <c r="D253" s="19"/>
      <c r="E253" s="19"/>
    </row>
    <row r="254" spans="1:5" x14ac:dyDescent="0.3">
      <c r="A254" s="19"/>
      <c r="B254" s="19"/>
      <c r="C254" s="19"/>
      <c r="D254" s="19"/>
      <c r="E254" s="19"/>
    </row>
    <row r="255" spans="1:5" x14ac:dyDescent="0.3">
      <c r="A255" s="19"/>
      <c r="B255" s="19"/>
      <c r="C255" s="19"/>
      <c r="D255" s="19"/>
      <c r="E255" s="19"/>
    </row>
    <row r="256" spans="1:5" x14ac:dyDescent="0.3">
      <c r="A256" s="19"/>
      <c r="B256" s="19"/>
      <c r="C256" s="19"/>
      <c r="D256" s="19"/>
      <c r="E256" s="19"/>
    </row>
    <row r="257" spans="1:5" x14ac:dyDescent="0.3">
      <c r="A257" s="19"/>
      <c r="B257" s="19"/>
      <c r="C257" s="19"/>
      <c r="D257" s="19"/>
      <c r="E257" s="19"/>
    </row>
    <row r="258" spans="1:5" x14ac:dyDescent="0.3">
      <c r="A258" s="19"/>
      <c r="B258" s="19"/>
      <c r="C258" s="19"/>
      <c r="D258" s="19"/>
      <c r="E258" s="19"/>
    </row>
    <row r="259" spans="1:5" x14ac:dyDescent="0.3">
      <c r="A259" s="19"/>
      <c r="B259" s="19"/>
      <c r="C259" s="19"/>
      <c r="D259" s="19"/>
      <c r="E259" s="19"/>
    </row>
    <row r="260" spans="1:5" x14ac:dyDescent="0.3">
      <c r="A260" s="19"/>
      <c r="B260" s="19"/>
      <c r="C260" s="19"/>
      <c r="D260" s="19"/>
      <c r="E260" s="19"/>
    </row>
    <row r="261" spans="1:5" x14ac:dyDescent="0.3">
      <c r="A261" s="19"/>
      <c r="B261" s="19"/>
      <c r="C261" s="19"/>
      <c r="D261" s="19"/>
      <c r="E261" s="19"/>
    </row>
    <row r="262" spans="1:5" x14ac:dyDescent="0.3">
      <c r="A262" s="19"/>
      <c r="B262" s="19"/>
      <c r="C262" s="19"/>
      <c r="D262" s="19"/>
      <c r="E262" s="19"/>
    </row>
    <row r="263" spans="1:5" x14ac:dyDescent="0.3">
      <c r="A263" s="19"/>
      <c r="B263" s="19"/>
      <c r="C263" s="19"/>
      <c r="D263" s="19"/>
      <c r="E263" s="19"/>
    </row>
    <row r="264" spans="1:5" x14ac:dyDescent="0.3">
      <c r="A264" s="19"/>
      <c r="B264" s="19"/>
      <c r="C264" s="19"/>
      <c r="D264" s="19"/>
      <c r="E264" s="19"/>
    </row>
    <row r="265" spans="1:5" x14ac:dyDescent="0.3">
      <c r="A265" s="19"/>
      <c r="B265" s="19"/>
      <c r="C265" s="19"/>
      <c r="D265" s="19"/>
      <c r="E265" s="19"/>
    </row>
    <row r="266" spans="1:5" x14ac:dyDescent="0.3">
      <c r="A266" s="19"/>
      <c r="B266" s="19"/>
      <c r="C266" s="19"/>
      <c r="D266" s="19"/>
      <c r="E266" s="19"/>
    </row>
    <row r="267" spans="1:5" x14ac:dyDescent="0.3">
      <c r="A267" s="19"/>
      <c r="B267" s="19"/>
      <c r="C267" s="19"/>
      <c r="D267" s="19"/>
      <c r="E267" s="19"/>
    </row>
    <row r="268" spans="1:5" x14ac:dyDescent="0.3">
      <c r="A268" s="19"/>
      <c r="B268" s="19"/>
      <c r="C268" s="19"/>
      <c r="D268" s="19"/>
      <c r="E268" s="19"/>
    </row>
    <row r="269" spans="1:5" x14ac:dyDescent="0.3">
      <c r="A269" s="19"/>
      <c r="B269" s="19"/>
      <c r="C269" s="19"/>
      <c r="D269" s="19"/>
      <c r="E269" s="19"/>
    </row>
    <row r="270" spans="1:5" x14ac:dyDescent="0.3">
      <c r="A270" s="19"/>
      <c r="B270" s="19"/>
      <c r="C270" s="19"/>
      <c r="D270" s="19"/>
      <c r="E270" s="19"/>
    </row>
    <row r="271" spans="1:5" x14ac:dyDescent="0.3">
      <c r="A271" s="19"/>
      <c r="B271" s="19"/>
      <c r="C271" s="19"/>
      <c r="D271" s="19"/>
      <c r="E271" s="19"/>
    </row>
    <row r="272" spans="1:5" x14ac:dyDescent="0.3">
      <c r="A272" s="19"/>
      <c r="B272" s="19"/>
      <c r="C272" s="19"/>
      <c r="D272" s="19"/>
      <c r="E272" s="19"/>
    </row>
    <row r="273" spans="1:5" x14ac:dyDescent="0.3">
      <c r="A273" s="19"/>
      <c r="B273" s="19"/>
      <c r="C273" s="19"/>
      <c r="D273" s="19"/>
      <c r="E273" s="19"/>
    </row>
    <row r="274" spans="1:5" x14ac:dyDescent="0.3">
      <c r="A274" s="19"/>
      <c r="B274" s="19"/>
      <c r="C274" s="19"/>
      <c r="D274" s="19"/>
      <c r="E274" s="19"/>
    </row>
    <row r="275" spans="1:5" x14ac:dyDescent="0.3">
      <c r="A275" s="19"/>
      <c r="B275" s="19"/>
      <c r="C275" s="19"/>
      <c r="D275" s="19"/>
      <c r="E275" s="19"/>
    </row>
    <row r="276" spans="1:5" x14ac:dyDescent="0.3">
      <c r="A276" s="19"/>
      <c r="B276" s="19"/>
      <c r="C276" s="19"/>
      <c r="D276" s="19"/>
      <c r="E276" s="19"/>
    </row>
    <row r="277" spans="1:5" x14ac:dyDescent="0.3">
      <c r="A277" s="19"/>
      <c r="B277" s="19"/>
      <c r="C277" s="19"/>
      <c r="D277" s="19"/>
      <c r="E277" s="19"/>
    </row>
    <row r="278" spans="1:5" x14ac:dyDescent="0.3">
      <c r="A278" s="19"/>
      <c r="B278" s="19"/>
      <c r="C278" s="19"/>
      <c r="D278" s="19"/>
      <c r="E278" s="19"/>
    </row>
    <row r="279" spans="1:5" x14ac:dyDescent="0.3">
      <c r="A279" s="19"/>
      <c r="B279" s="19"/>
      <c r="C279" s="19"/>
      <c r="D279" s="19"/>
      <c r="E279" s="19"/>
    </row>
    <row r="280" spans="1:5" x14ac:dyDescent="0.3">
      <c r="A280" s="19"/>
      <c r="B280" s="19"/>
      <c r="C280" s="19"/>
      <c r="D280" s="19"/>
      <c r="E280" s="19"/>
    </row>
    <row r="281" spans="1:5" x14ac:dyDescent="0.3">
      <c r="A281" s="19"/>
      <c r="B281" s="19"/>
      <c r="C281" s="19"/>
      <c r="D281" s="19"/>
      <c r="E281" s="19"/>
    </row>
    <row r="282" spans="1:5" x14ac:dyDescent="0.3">
      <c r="A282" s="19"/>
      <c r="B282" s="19"/>
      <c r="C282" s="19"/>
      <c r="D282" s="19"/>
      <c r="E282" s="19"/>
    </row>
    <row r="283" spans="1:5" x14ac:dyDescent="0.3">
      <c r="A283" s="19"/>
      <c r="B283" s="19"/>
      <c r="C283" s="19"/>
      <c r="D283" s="19"/>
      <c r="E283" s="19"/>
    </row>
    <row r="284" spans="1:5" x14ac:dyDescent="0.3">
      <c r="A284" s="19"/>
      <c r="B284" s="19"/>
      <c r="C284" s="19"/>
      <c r="D284" s="19"/>
      <c r="E284" s="19"/>
    </row>
    <row r="285" spans="1:5" x14ac:dyDescent="0.3">
      <c r="A285" s="19"/>
      <c r="B285" s="19"/>
      <c r="C285" s="19"/>
      <c r="D285" s="19"/>
      <c r="E285" s="19"/>
    </row>
    <row r="286" spans="1:5" x14ac:dyDescent="0.3">
      <c r="A286" s="19"/>
      <c r="B286" s="19"/>
      <c r="C286" s="19"/>
      <c r="D286" s="19"/>
      <c r="E286" s="19"/>
    </row>
    <row r="287" spans="1:5" x14ac:dyDescent="0.3">
      <c r="A287" s="19"/>
      <c r="B287" s="19"/>
      <c r="C287" s="19"/>
      <c r="D287" s="19"/>
      <c r="E287" s="19"/>
    </row>
    <row r="288" spans="1:5" x14ac:dyDescent="0.3">
      <c r="A288" s="19"/>
      <c r="B288" s="19"/>
      <c r="C288" s="19"/>
      <c r="D288" s="19"/>
      <c r="E288" s="19"/>
    </row>
    <row r="289" spans="1:5" x14ac:dyDescent="0.3">
      <c r="A289" s="19"/>
      <c r="B289" s="19"/>
      <c r="C289" s="19"/>
      <c r="D289" s="19"/>
      <c r="E289" s="19"/>
    </row>
    <row r="290" spans="1:5" x14ac:dyDescent="0.3">
      <c r="A290" s="19"/>
      <c r="B290" s="19"/>
      <c r="C290" s="19"/>
      <c r="D290" s="19"/>
      <c r="E290" s="19"/>
    </row>
    <row r="291" spans="1:5" x14ac:dyDescent="0.3">
      <c r="A291" s="19"/>
      <c r="B291" s="19"/>
      <c r="C291" s="19"/>
      <c r="D291" s="19"/>
      <c r="E291" s="19"/>
    </row>
    <row r="292" spans="1:5" x14ac:dyDescent="0.3">
      <c r="A292" s="19"/>
      <c r="B292" s="19"/>
      <c r="C292" s="19"/>
      <c r="D292" s="19"/>
      <c r="E292" s="19"/>
    </row>
    <row r="293" spans="1:5" x14ac:dyDescent="0.3">
      <c r="A293" s="19"/>
      <c r="B293" s="19"/>
      <c r="C293" s="19"/>
      <c r="D293" s="19"/>
      <c r="E293" s="19"/>
    </row>
    <row r="294" spans="1:5" x14ac:dyDescent="0.3">
      <c r="A294" s="19"/>
      <c r="B294" s="19"/>
      <c r="C294" s="19"/>
      <c r="D294" s="19"/>
      <c r="E294" s="19"/>
    </row>
    <row r="295" spans="1:5" x14ac:dyDescent="0.3">
      <c r="A295" s="19"/>
      <c r="B295" s="19"/>
      <c r="C295" s="19"/>
      <c r="D295" s="19"/>
      <c r="E295" s="19"/>
    </row>
    <row r="296" spans="1:5" x14ac:dyDescent="0.3">
      <c r="A296" s="19"/>
      <c r="B296" s="19"/>
      <c r="C296" s="19"/>
      <c r="D296" s="19"/>
      <c r="E296" s="19"/>
    </row>
    <row r="297" spans="1:5" x14ac:dyDescent="0.3">
      <c r="A297" s="19"/>
      <c r="B297" s="19"/>
      <c r="C297" s="19"/>
      <c r="D297" s="19"/>
      <c r="E297" s="19"/>
    </row>
    <row r="298" spans="1:5" x14ac:dyDescent="0.3">
      <c r="A298" s="19"/>
      <c r="B298" s="19"/>
      <c r="C298" s="19"/>
      <c r="D298" s="19"/>
      <c r="E298" s="19"/>
    </row>
    <row r="299" spans="1:5" x14ac:dyDescent="0.3">
      <c r="A299" s="19"/>
      <c r="B299" s="19"/>
      <c r="C299" s="19"/>
      <c r="D299" s="19"/>
      <c r="E299" s="19"/>
    </row>
    <row r="300" spans="1:5" x14ac:dyDescent="0.3">
      <c r="A300" s="19"/>
      <c r="B300" s="19"/>
      <c r="C300" s="19"/>
      <c r="D300" s="19"/>
      <c r="E300" s="19"/>
    </row>
    <row r="301" spans="1:5" x14ac:dyDescent="0.3">
      <c r="A301" s="19"/>
      <c r="B301" s="19"/>
      <c r="C301" s="19"/>
      <c r="D301" s="19"/>
      <c r="E301" s="19"/>
    </row>
    <row r="302" spans="1:5" x14ac:dyDescent="0.3">
      <c r="A302" s="19"/>
      <c r="B302" s="19"/>
      <c r="C302" s="19"/>
      <c r="D302" s="19"/>
      <c r="E302" s="19"/>
    </row>
    <row r="303" spans="1:5" x14ac:dyDescent="0.3">
      <c r="A303" s="19"/>
      <c r="B303" s="19"/>
      <c r="C303" s="19"/>
      <c r="D303" s="19"/>
      <c r="E303" s="19"/>
    </row>
    <row r="304" spans="1:5" x14ac:dyDescent="0.3">
      <c r="A304" s="19"/>
      <c r="B304" s="19"/>
      <c r="C304" s="19"/>
      <c r="D304" s="19"/>
      <c r="E304" s="19"/>
    </row>
    <row r="305" spans="1:5" x14ac:dyDescent="0.3">
      <c r="A305" s="19"/>
      <c r="B305" s="19"/>
      <c r="C305" s="19"/>
      <c r="D305" s="19"/>
      <c r="E305" s="19"/>
    </row>
    <row r="306" spans="1:5" x14ac:dyDescent="0.3">
      <c r="A306" s="19"/>
      <c r="B306" s="19"/>
      <c r="C306" s="19"/>
      <c r="D306" s="19"/>
      <c r="E306" s="19"/>
    </row>
    <row r="307" spans="1:5" x14ac:dyDescent="0.3">
      <c r="A307" s="19"/>
      <c r="B307" s="19"/>
      <c r="C307" s="19"/>
      <c r="D307" s="19"/>
      <c r="E307" s="19"/>
    </row>
    <row r="308" spans="1:5" x14ac:dyDescent="0.3">
      <c r="A308" s="19"/>
      <c r="B308" s="19"/>
      <c r="C308" s="19"/>
      <c r="D308" s="19"/>
      <c r="E308" s="19"/>
    </row>
    <row r="309" spans="1:5" x14ac:dyDescent="0.3">
      <c r="A309" s="19"/>
      <c r="B309" s="19"/>
      <c r="C309" s="19"/>
      <c r="D309" s="19"/>
      <c r="E309" s="19"/>
    </row>
    <row r="310" spans="1:5" x14ac:dyDescent="0.3">
      <c r="A310" s="19"/>
      <c r="B310" s="19"/>
      <c r="C310" s="19"/>
      <c r="D310" s="19"/>
      <c r="E310" s="19"/>
    </row>
    <row r="311" spans="1:5" x14ac:dyDescent="0.3">
      <c r="A311" s="19"/>
      <c r="B311" s="19"/>
      <c r="C311" s="19"/>
      <c r="D311" s="19"/>
      <c r="E311" s="19"/>
    </row>
    <row r="312" spans="1:5" x14ac:dyDescent="0.3">
      <c r="A312" s="19"/>
      <c r="B312" s="19"/>
      <c r="C312" s="19"/>
      <c r="D312" s="19"/>
      <c r="E312" s="19"/>
    </row>
    <row r="313" spans="1:5" x14ac:dyDescent="0.3">
      <c r="A313" s="19"/>
      <c r="B313" s="19"/>
      <c r="C313" s="19"/>
      <c r="D313" s="19"/>
      <c r="E313" s="19"/>
    </row>
    <row r="314" spans="1:5" x14ac:dyDescent="0.3">
      <c r="A314" s="19"/>
      <c r="B314" s="19"/>
      <c r="C314" s="19"/>
      <c r="D314" s="19"/>
      <c r="E314" s="19"/>
    </row>
    <row r="315" spans="1:5" x14ac:dyDescent="0.3">
      <c r="A315" s="19"/>
      <c r="B315" s="19"/>
      <c r="C315" s="19"/>
      <c r="D315" s="19"/>
      <c r="E315" s="19"/>
    </row>
    <row r="316" spans="1:5" x14ac:dyDescent="0.3">
      <c r="A316" s="19"/>
      <c r="B316" s="19"/>
      <c r="C316" s="19"/>
      <c r="D316" s="19"/>
      <c r="E316" s="19"/>
    </row>
    <row r="317" spans="1:5" x14ac:dyDescent="0.3">
      <c r="A317" s="19"/>
      <c r="B317" s="19"/>
      <c r="C317" s="19"/>
      <c r="D317" s="19"/>
      <c r="E317" s="19"/>
    </row>
    <row r="318" spans="1:5" x14ac:dyDescent="0.3">
      <c r="A318" s="19"/>
      <c r="B318" s="19"/>
      <c r="C318" s="19"/>
      <c r="D318" s="19"/>
      <c r="E318" s="19"/>
    </row>
    <row r="319" spans="1:5" x14ac:dyDescent="0.3">
      <c r="A319" s="19"/>
      <c r="B319" s="19"/>
      <c r="C319" s="19"/>
      <c r="D319" s="19"/>
      <c r="E319" s="19"/>
    </row>
    <row r="320" spans="1:5" x14ac:dyDescent="0.3">
      <c r="A320" s="19"/>
      <c r="B320" s="19"/>
      <c r="C320" s="19"/>
      <c r="D320" s="19"/>
      <c r="E320" s="19"/>
    </row>
    <row r="321" spans="1:5" x14ac:dyDescent="0.3">
      <c r="A321" s="19"/>
      <c r="B321" s="19"/>
      <c r="C321" s="19"/>
      <c r="D321" s="19"/>
      <c r="E321" s="19"/>
    </row>
    <row r="322" spans="1:5" x14ac:dyDescent="0.3">
      <c r="A322" s="19"/>
      <c r="B322" s="19"/>
      <c r="C322" s="19"/>
      <c r="D322" s="19"/>
      <c r="E322" s="19"/>
    </row>
    <row r="323" spans="1:5" x14ac:dyDescent="0.3">
      <c r="A323" s="19"/>
      <c r="B323" s="19"/>
      <c r="C323" s="19"/>
      <c r="D323" s="19"/>
      <c r="E323" s="19"/>
    </row>
    <row r="324" spans="1:5" x14ac:dyDescent="0.3">
      <c r="A324" s="19"/>
      <c r="B324" s="19"/>
      <c r="C324" s="19"/>
      <c r="D324" s="19"/>
      <c r="E324" s="19"/>
    </row>
    <row r="325" spans="1:5" x14ac:dyDescent="0.3">
      <c r="A325" s="19"/>
      <c r="B325" s="19"/>
      <c r="C325" s="19"/>
      <c r="D325" s="19"/>
      <c r="E325" s="19"/>
    </row>
    <row r="326" spans="1:5" x14ac:dyDescent="0.3">
      <c r="A326" s="19"/>
      <c r="B326" s="19"/>
      <c r="C326" s="19"/>
      <c r="D326" s="19"/>
      <c r="E326" s="19"/>
    </row>
    <row r="327" spans="1:5" x14ac:dyDescent="0.3">
      <c r="A327" s="19"/>
      <c r="B327" s="19"/>
      <c r="C327" s="19"/>
      <c r="D327" s="19"/>
      <c r="E327" s="19"/>
    </row>
    <row r="328" spans="1:5" x14ac:dyDescent="0.3">
      <c r="A328" s="19"/>
      <c r="B328" s="19"/>
      <c r="C328" s="19"/>
      <c r="D328" s="19"/>
      <c r="E328" s="19"/>
    </row>
    <row r="329" spans="1:5" x14ac:dyDescent="0.3">
      <c r="A329" s="19"/>
      <c r="B329" s="19"/>
      <c r="C329" s="19"/>
      <c r="D329" s="19"/>
      <c r="E329" s="19"/>
    </row>
    <row r="330" spans="1:5" x14ac:dyDescent="0.3">
      <c r="A330" s="19"/>
      <c r="B330" s="19"/>
      <c r="C330" s="19"/>
      <c r="D330" s="19"/>
      <c r="E330" s="19"/>
    </row>
    <row r="331" spans="1:5" x14ac:dyDescent="0.3">
      <c r="A331" s="19"/>
      <c r="B331" s="19"/>
      <c r="C331" s="19"/>
      <c r="D331" s="19"/>
      <c r="E331" s="19"/>
    </row>
    <row r="332" spans="1:5" x14ac:dyDescent="0.3">
      <c r="A332" s="19"/>
      <c r="B332" s="19"/>
      <c r="C332" s="19"/>
      <c r="D332" s="19"/>
      <c r="E332" s="19"/>
    </row>
    <row r="333" spans="1:5" x14ac:dyDescent="0.3">
      <c r="A333" s="19"/>
      <c r="B333" s="19"/>
      <c r="C333" s="19"/>
      <c r="D333" s="19"/>
      <c r="E333" s="19"/>
    </row>
    <row r="334" spans="1:5" x14ac:dyDescent="0.3">
      <c r="A334" s="19"/>
      <c r="B334" s="19"/>
      <c r="C334" s="19"/>
      <c r="D334" s="19"/>
      <c r="E334" s="19"/>
    </row>
    <row r="335" spans="1:5" x14ac:dyDescent="0.3">
      <c r="A335" s="19"/>
      <c r="B335" s="19"/>
      <c r="C335" s="19"/>
      <c r="D335" s="19"/>
      <c r="E335" s="19"/>
    </row>
    <row r="336" spans="1:5" x14ac:dyDescent="0.3">
      <c r="A336" s="19"/>
      <c r="B336" s="19"/>
      <c r="C336" s="19"/>
      <c r="D336" s="19"/>
      <c r="E336" s="19"/>
    </row>
    <row r="337" spans="1:5" x14ac:dyDescent="0.3">
      <c r="A337" s="19"/>
      <c r="B337" s="19"/>
      <c r="C337" s="19"/>
      <c r="D337" s="19"/>
      <c r="E337" s="19"/>
    </row>
    <row r="338" spans="1:5" x14ac:dyDescent="0.3">
      <c r="A338" s="19"/>
      <c r="B338" s="19"/>
      <c r="C338" s="19"/>
      <c r="D338" s="19"/>
      <c r="E338" s="19"/>
    </row>
    <row r="339" spans="1:5" x14ac:dyDescent="0.3">
      <c r="A339" s="19"/>
      <c r="B339" s="19"/>
      <c r="C339" s="19"/>
      <c r="D339" s="19"/>
      <c r="E339" s="19"/>
    </row>
    <row r="340" spans="1:5" x14ac:dyDescent="0.3">
      <c r="A340" s="19"/>
      <c r="B340" s="19"/>
      <c r="C340" s="19"/>
      <c r="D340" s="19"/>
      <c r="E340" s="19"/>
    </row>
    <row r="341" spans="1:5" x14ac:dyDescent="0.3">
      <c r="A341" s="19"/>
      <c r="B341" s="19"/>
      <c r="C341" s="19"/>
      <c r="D341" s="19"/>
      <c r="E341" s="19"/>
    </row>
    <row r="342" spans="1:5" x14ac:dyDescent="0.3">
      <c r="A342" s="19"/>
      <c r="B342" s="19"/>
      <c r="C342" s="19"/>
      <c r="D342" s="19"/>
      <c r="E342" s="19"/>
    </row>
    <row r="343" spans="1:5" x14ac:dyDescent="0.3">
      <c r="A343" s="19"/>
      <c r="B343" s="19"/>
      <c r="C343" s="19"/>
      <c r="D343" s="19"/>
      <c r="E343" s="19"/>
    </row>
    <row r="344" spans="1:5" x14ac:dyDescent="0.3">
      <c r="A344" s="19"/>
      <c r="B344" s="19"/>
      <c r="C344" s="19"/>
      <c r="D344" s="19"/>
      <c r="E344" s="19"/>
    </row>
    <row r="345" spans="1:5" x14ac:dyDescent="0.3">
      <c r="A345" s="19"/>
      <c r="B345" s="19"/>
      <c r="C345" s="19"/>
      <c r="D345" s="19"/>
      <c r="E345" s="19"/>
    </row>
    <row r="346" spans="1:5" x14ac:dyDescent="0.3">
      <c r="A346" s="19"/>
      <c r="B346" s="19"/>
      <c r="C346" s="19"/>
      <c r="D346" s="19"/>
      <c r="E346" s="19"/>
    </row>
    <row r="347" spans="1:5" x14ac:dyDescent="0.3">
      <c r="A347" s="19"/>
      <c r="B347" s="19"/>
      <c r="C347" s="19"/>
      <c r="D347" s="19"/>
      <c r="E347" s="19"/>
    </row>
    <row r="348" spans="1:5" x14ac:dyDescent="0.3">
      <c r="A348" s="19"/>
      <c r="B348" s="19"/>
      <c r="C348" s="19"/>
      <c r="D348" s="19"/>
      <c r="E348" s="19"/>
    </row>
    <row r="349" spans="1:5" x14ac:dyDescent="0.3">
      <c r="A349" s="19"/>
      <c r="B349" s="19"/>
      <c r="C349" s="19"/>
      <c r="D349" s="19"/>
      <c r="E349" s="19"/>
    </row>
    <row r="350" spans="1:5" x14ac:dyDescent="0.3">
      <c r="A350" s="19"/>
      <c r="B350" s="19"/>
      <c r="C350" s="19"/>
      <c r="D350" s="19"/>
      <c r="E350" s="19"/>
    </row>
    <row r="351" spans="1:5" x14ac:dyDescent="0.3">
      <c r="A351" s="19"/>
      <c r="B351" s="19"/>
      <c r="C351" s="19"/>
      <c r="D351" s="19"/>
      <c r="E351" s="19"/>
    </row>
    <row r="352" spans="1:5" x14ac:dyDescent="0.3">
      <c r="A352" s="19"/>
      <c r="B352" s="19"/>
      <c r="C352" s="19"/>
      <c r="D352" s="19"/>
      <c r="E352" s="19"/>
    </row>
    <row r="353" spans="1:5" x14ac:dyDescent="0.3">
      <c r="A353" s="19"/>
      <c r="B353" s="19"/>
      <c r="C353" s="19"/>
      <c r="D353" s="19"/>
      <c r="E353" s="19"/>
    </row>
    <row r="354" spans="1:5" x14ac:dyDescent="0.3">
      <c r="A354" s="19"/>
      <c r="B354" s="19"/>
      <c r="C354" s="19"/>
      <c r="D354" s="19"/>
      <c r="E354" s="19"/>
    </row>
    <row r="355" spans="1:5" x14ac:dyDescent="0.3">
      <c r="A355" s="19"/>
      <c r="B355" s="19"/>
      <c r="C355" s="19"/>
      <c r="D355" s="19"/>
      <c r="E355" s="19"/>
    </row>
    <row r="356" spans="1:5" x14ac:dyDescent="0.3">
      <c r="A356" s="19"/>
      <c r="B356" s="19"/>
      <c r="C356" s="19"/>
      <c r="D356" s="19"/>
      <c r="E356" s="19"/>
    </row>
    <row r="357" spans="1:5" x14ac:dyDescent="0.3">
      <c r="A357" s="19"/>
      <c r="B357" s="19"/>
      <c r="C357" s="19"/>
      <c r="D357" s="19"/>
      <c r="E357" s="19"/>
    </row>
    <row r="358" spans="1:5" x14ac:dyDescent="0.3">
      <c r="A358" s="19"/>
      <c r="B358" s="19"/>
      <c r="C358" s="19"/>
      <c r="D358" s="19"/>
      <c r="E358" s="19"/>
    </row>
    <row r="359" spans="1:5" x14ac:dyDescent="0.3">
      <c r="A359" s="19"/>
      <c r="B359" s="19"/>
      <c r="C359" s="19"/>
      <c r="D359" s="19"/>
      <c r="E359" s="19"/>
    </row>
    <row r="360" spans="1:5" x14ac:dyDescent="0.3">
      <c r="A360" s="19"/>
      <c r="B360" s="19"/>
      <c r="C360" s="19"/>
      <c r="D360" s="19"/>
      <c r="E360" s="19"/>
    </row>
    <row r="361" spans="1:5" x14ac:dyDescent="0.3">
      <c r="A361" s="19"/>
      <c r="B361" s="19"/>
      <c r="C361" s="19"/>
      <c r="D361" s="19"/>
      <c r="E361" s="19"/>
    </row>
    <row r="362" spans="1:5" x14ac:dyDescent="0.3">
      <c r="A362" s="19"/>
      <c r="B362" s="19"/>
      <c r="C362" s="19"/>
      <c r="D362" s="19"/>
      <c r="E362" s="19"/>
    </row>
    <row r="363" spans="1:5" x14ac:dyDescent="0.3">
      <c r="A363" s="19"/>
      <c r="B363" s="19"/>
      <c r="C363" s="19"/>
      <c r="D363" s="19"/>
      <c r="E363" s="19"/>
    </row>
    <row r="364" spans="1:5" x14ac:dyDescent="0.3">
      <c r="A364" s="19"/>
      <c r="B364" s="19"/>
      <c r="C364" s="19"/>
      <c r="D364" s="19"/>
      <c r="E364" s="19"/>
    </row>
    <row r="365" spans="1:5" x14ac:dyDescent="0.3">
      <c r="A365" s="19"/>
      <c r="B365" s="19"/>
      <c r="C365" s="19"/>
      <c r="D365" s="19"/>
      <c r="E365" s="19"/>
    </row>
    <row r="366" spans="1:5" x14ac:dyDescent="0.3">
      <c r="A366" s="19"/>
      <c r="B366" s="19"/>
      <c r="C366" s="19"/>
      <c r="D366" s="19"/>
      <c r="E366" s="19"/>
    </row>
    <row r="367" spans="1:5" x14ac:dyDescent="0.3">
      <c r="A367" s="19"/>
      <c r="B367" s="19"/>
      <c r="C367" s="19"/>
      <c r="D367" s="19"/>
      <c r="E367" s="19"/>
    </row>
    <row r="368" spans="1:5" x14ac:dyDescent="0.3">
      <c r="A368" s="19"/>
      <c r="B368" s="19"/>
      <c r="C368" s="19"/>
      <c r="D368" s="19"/>
      <c r="E368" s="19"/>
    </row>
    <row r="369" spans="1:5" x14ac:dyDescent="0.3">
      <c r="A369" s="19"/>
      <c r="B369" s="19"/>
      <c r="C369" s="19"/>
      <c r="D369" s="19"/>
      <c r="E369" s="19"/>
    </row>
    <row r="370" spans="1:5" x14ac:dyDescent="0.3">
      <c r="A370" s="19"/>
      <c r="B370" s="19"/>
      <c r="C370" s="19"/>
      <c r="D370" s="19"/>
      <c r="E370" s="19"/>
    </row>
    <row r="371" spans="1:5" x14ac:dyDescent="0.3">
      <c r="A371" s="19"/>
      <c r="B371" s="19"/>
      <c r="C371" s="19"/>
      <c r="D371" s="19"/>
      <c r="E371" s="19"/>
    </row>
    <row r="372" spans="1:5" x14ac:dyDescent="0.3">
      <c r="A372" s="19"/>
      <c r="B372" s="19"/>
      <c r="C372" s="19"/>
      <c r="D372" s="19"/>
      <c r="E372" s="19"/>
    </row>
    <row r="373" spans="1:5" x14ac:dyDescent="0.3">
      <c r="A373" s="19"/>
      <c r="B373" s="19"/>
      <c r="C373" s="19"/>
      <c r="D373" s="19"/>
      <c r="E373" s="19"/>
    </row>
    <row r="374" spans="1:5" x14ac:dyDescent="0.3">
      <c r="A374" s="19"/>
      <c r="B374" s="19"/>
      <c r="C374" s="19"/>
      <c r="D374" s="19"/>
      <c r="E374" s="19"/>
    </row>
    <row r="375" spans="1:5" x14ac:dyDescent="0.3">
      <c r="A375" s="19"/>
      <c r="B375" s="19"/>
      <c r="C375" s="19"/>
      <c r="D375" s="19"/>
      <c r="E375" s="19"/>
    </row>
    <row r="376" spans="1:5" x14ac:dyDescent="0.3">
      <c r="A376" s="19"/>
      <c r="B376" s="19"/>
      <c r="C376" s="19"/>
      <c r="D376" s="19"/>
      <c r="E376" s="19"/>
    </row>
    <row r="377" spans="1:5" x14ac:dyDescent="0.3">
      <c r="A377" s="19"/>
      <c r="B377" s="19"/>
      <c r="C377" s="19"/>
      <c r="D377" s="19"/>
      <c r="E377" s="19"/>
    </row>
    <row r="378" spans="1:5" x14ac:dyDescent="0.3">
      <c r="A378" s="19"/>
      <c r="B378" s="19"/>
      <c r="C378" s="19"/>
      <c r="D378" s="19"/>
      <c r="E378" s="19"/>
    </row>
    <row r="379" spans="1:5" x14ac:dyDescent="0.3">
      <c r="A379" s="19"/>
      <c r="B379" s="19"/>
      <c r="C379" s="19"/>
      <c r="D379" s="19"/>
      <c r="E379" s="19"/>
    </row>
    <row r="380" spans="1:5" x14ac:dyDescent="0.3">
      <c r="A380" s="19"/>
      <c r="B380" s="19"/>
      <c r="C380" s="19"/>
      <c r="D380" s="19"/>
      <c r="E380" s="19"/>
    </row>
    <row r="381" spans="1:5" x14ac:dyDescent="0.3">
      <c r="A381" s="19"/>
      <c r="B381" s="19"/>
      <c r="C381" s="19"/>
      <c r="D381" s="19"/>
      <c r="E381" s="19"/>
    </row>
    <row r="382" spans="1:5" x14ac:dyDescent="0.3">
      <c r="A382" s="19"/>
      <c r="B382" s="19"/>
      <c r="C382" s="19"/>
      <c r="D382" s="19"/>
      <c r="E382" s="19"/>
    </row>
    <row r="383" spans="1:5" x14ac:dyDescent="0.3">
      <c r="A383" s="19"/>
      <c r="B383" s="19"/>
      <c r="C383" s="19"/>
      <c r="D383" s="19"/>
      <c r="E383" s="19"/>
    </row>
    <row r="384" spans="1:5" x14ac:dyDescent="0.3">
      <c r="A384" s="19"/>
      <c r="B384" s="19"/>
      <c r="C384" s="19"/>
      <c r="D384" s="19"/>
      <c r="E384" s="19"/>
    </row>
    <row r="385" spans="1:5" x14ac:dyDescent="0.3">
      <c r="A385" s="19"/>
      <c r="B385" s="19"/>
      <c r="C385" s="19"/>
      <c r="D385" s="19"/>
      <c r="E385" s="19"/>
    </row>
    <row r="386" spans="1:5" x14ac:dyDescent="0.3">
      <c r="A386" s="19"/>
      <c r="B386" s="19"/>
      <c r="C386" s="19"/>
      <c r="D386" s="19"/>
      <c r="E386" s="19"/>
    </row>
    <row r="387" spans="1:5" x14ac:dyDescent="0.3">
      <c r="A387" s="19"/>
      <c r="B387" s="19"/>
      <c r="C387" s="19"/>
      <c r="D387" s="19"/>
      <c r="E387" s="19"/>
    </row>
    <row r="388" spans="1:5" x14ac:dyDescent="0.3">
      <c r="A388" s="19"/>
      <c r="B388" s="19"/>
      <c r="C388" s="19"/>
      <c r="D388" s="19"/>
      <c r="E388" s="19"/>
    </row>
    <row r="389" spans="1:5" x14ac:dyDescent="0.3">
      <c r="A389" s="19"/>
      <c r="B389" s="19"/>
      <c r="C389" s="19"/>
      <c r="D389" s="19"/>
      <c r="E389" s="19"/>
    </row>
    <row r="390" spans="1:5" x14ac:dyDescent="0.3">
      <c r="A390" s="19"/>
      <c r="B390" s="19"/>
      <c r="C390" s="19"/>
      <c r="D390" s="19"/>
      <c r="E390" s="19"/>
    </row>
    <row r="391" spans="1:5" x14ac:dyDescent="0.3">
      <c r="A391" s="19"/>
      <c r="B391" s="19"/>
      <c r="C391" s="19"/>
      <c r="D391" s="19"/>
      <c r="E391" s="19"/>
    </row>
    <row r="392" spans="1:5" x14ac:dyDescent="0.3">
      <c r="A392" s="19"/>
      <c r="B392" s="19"/>
      <c r="C392" s="19"/>
      <c r="D392" s="19"/>
      <c r="E392" s="19"/>
    </row>
    <row r="393" spans="1:5" x14ac:dyDescent="0.3">
      <c r="A393" s="19"/>
      <c r="B393" s="19"/>
      <c r="C393" s="19"/>
      <c r="D393" s="19"/>
      <c r="E393" s="19"/>
    </row>
    <row r="394" spans="1:5" x14ac:dyDescent="0.3">
      <c r="A394" s="19"/>
      <c r="B394" s="19"/>
      <c r="C394" s="19"/>
      <c r="D394" s="19"/>
      <c r="E394" s="19"/>
    </row>
    <row r="395" spans="1:5" x14ac:dyDescent="0.3">
      <c r="A395" s="19"/>
      <c r="B395" s="19"/>
      <c r="C395" s="19"/>
      <c r="D395" s="19"/>
      <c r="E395" s="19"/>
    </row>
    <row r="396" spans="1:5" x14ac:dyDescent="0.3">
      <c r="A396" s="19"/>
      <c r="B396" s="19"/>
      <c r="C396" s="19"/>
      <c r="D396" s="19"/>
      <c r="E396" s="19"/>
    </row>
    <row r="397" spans="1:5" x14ac:dyDescent="0.3">
      <c r="A397" s="19"/>
      <c r="B397" s="19"/>
      <c r="C397" s="19"/>
      <c r="D397" s="19"/>
      <c r="E397" s="19"/>
    </row>
    <row r="398" spans="1:5" x14ac:dyDescent="0.3">
      <c r="A398" s="19"/>
      <c r="B398" s="19"/>
      <c r="C398" s="19"/>
      <c r="D398" s="19"/>
      <c r="E398" s="19"/>
    </row>
    <row r="399" spans="1:5" x14ac:dyDescent="0.3">
      <c r="A399" s="19"/>
      <c r="B399" s="19"/>
      <c r="C399" s="19"/>
      <c r="D399" s="19"/>
      <c r="E399" s="19"/>
    </row>
    <row r="400" spans="1:5" x14ac:dyDescent="0.3">
      <c r="A400" s="19"/>
      <c r="B400" s="19"/>
      <c r="C400" s="19"/>
      <c r="D400" s="19"/>
      <c r="E400" s="19"/>
    </row>
    <row r="401" spans="1:5" x14ac:dyDescent="0.3">
      <c r="A401" s="19"/>
      <c r="B401" s="19"/>
      <c r="C401" s="19"/>
      <c r="D401" s="19"/>
      <c r="E401" s="19"/>
    </row>
    <row r="402" spans="1:5" x14ac:dyDescent="0.3">
      <c r="A402" s="19"/>
      <c r="B402" s="19"/>
      <c r="C402" s="19"/>
      <c r="D402" s="19"/>
      <c r="E402" s="19"/>
    </row>
    <row r="403" spans="1:5" x14ac:dyDescent="0.3">
      <c r="A403" s="19"/>
      <c r="B403" s="19"/>
      <c r="C403" s="19"/>
      <c r="D403" s="19"/>
      <c r="E403" s="19"/>
    </row>
    <row r="404" spans="1:5" x14ac:dyDescent="0.3">
      <c r="A404" s="19"/>
      <c r="B404" s="19"/>
      <c r="C404" s="19"/>
      <c r="D404" s="19"/>
      <c r="E404" s="19"/>
    </row>
    <row r="405" spans="1:5" x14ac:dyDescent="0.3">
      <c r="A405" s="19"/>
      <c r="B405" s="19"/>
      <c r="C405" s="19"/>
      <c r="D405" s="19"/>
      <c r="E405" s="19"/>
    </row>
    <row r="406" spans="1:5" x14ac:dyDescent="0.3">
      <c r="A406" s="19"/>
      <c r="B406" s="19"/>
      <c r="C406" s="19"/>
      <c r="D406" s="19"/>
      <c r="E406" s="19"/>
    </row>
    <row r="407" spans="1:5" x14ac:dyDescent="0.3">
      <c r="A407" s="19"/>
      <c r="B407" s="19"/>
      <c r="C407" s="19"/>
      <c r="D407" s="19"/>
      <c r="E407" s="19"/>
    </row>
    <row r="408" spans="1:5" x14ac:dyDescent="0.3">
      <c r="A408" s="19"/>
      <c r="B408" s="19"/>
      <c r="C408" s="19"/>
      <c r="D408" s="19"/>
      <c r="E408" s="19"/>
    </row>
    <row r="409" spans="1:5" x14ac:dyDescent="0.3">
      <c r="A409" s="19"/>
      <c r="B409" s="19"/>
      <c r="C409" s="19"/>
      <c r="D409" s="19"/>
      <c r="E409" s="19"/>
    </row>
    <row r="410" spans="1:5" x14ac:dyDescent="0.3">
      <c r="A410" s="19"/>
      <c r="B410" s="19"/>
      <c r="C410" s="19"/>
      <c r="D410" s="19"/>
      <c r="E410" s="19"/>
    </row>
    <row r="411" spans="1:5" x14ac:dyDescent="0.3">
      <c r="A411" s="19"/>
      <c r="B411" s="19"/>
      <c r="C411" s="19"/>
      <c r="D411" s="19"/>
      <c r="E411" s="19"/>
    </row>
    <row r="412" spans="1:5" x14ac:dyDescent="0.3">
      <c r="A412" s="19"/>
      <c r="B412" s="19"/>
      <c r="C412" s="19"/>
      <c r="D412" s="19"/>
      <c r="E412" s="19"/>
    </row>
    <row r="413" spans="1:5" x14ac:dyDescent="0.3">
      <c r="A413" s="19"/>
      <c r="B413" s="19"/>
      <c r="C413" s="19"/>
      <c r="D413" s="19"/>
      <c r="E413" s="19"/>
    </row>
    <row r="414" spans="1:5" x14ac:dyDescent="0.3">
      <c r="A414" s="19"/>
      <c r="B414" s="19"/>
      <c r="C414" s="19"/>
      <c r="D414" s="19"/>
      <c r="E414" s="19"/>
    </row>
    <row r="415" spans="1:5" x14ac:dyDescent="0.3">
      <c r="A415" s="19"/>
      <c r="B415" s="19"/>
      <c r="C415" s="19"/>
      <c r="D415" s="19"/>
      <c r="E415" s="19"/>
    </row>
    <row r="416" spans="1:5" x14ac:dyDescent="0.3">
      <c r="A416" s="19"/>
      <c r="B416" s="19"/>
      <c r="C416" s="19"/>
      <c r="D416" s="19"/>
      <c r="E416" s="19"/>
    </row>
    <row r="417" spans="1:5" x14ac:dyDescent="0.3">
      <c r="A417" s="19"/>
      <c r="B417" s="19"/>
      <c r="C417" s="19"/>
      <c r="D417" s="19"/>
      <c r="E417" s="19"/>
    </row>
    <row r="418" spans="1:5" x14ac:dyDescent="0.3">
      <c r="A418" s="19"/>
      <c r="B418" s="19"/>
      <c r="C418" s="19"/>
      <c r="D418" s="19"/>
      <c r="E418" s="19"/>
    </row>
    <row r="419" spans="1:5" x14ac:dyDescent="0.3">
      <c r="A419" s="19"/>
      <c r="B419" s="19"/>
      <c r="C419" s="19"/>
      <c r="D419" s="19"/>
      <c r="E419" s="19"/>
    </row>
    <row r="420" spans="1:5" x14ac:dyDescent="0.3">
      <c r="A420" s="19"/>
      <c r="B420" s="19"/>
      <c r="C420" s="19"/>
      <c r="D420" s="19"/>
      <c r="E420" s="19"/>
    </row>
    <row r="421" spans="1:5" x14ac:dyDescent="0.3">
      <c r="A421" s="19"/>
      <c r="B421" s="19"/>
      <c r="C421" s="19"/>
      <c r="D421" s="19"/>
      <c r="E421" s="19"/>
    </row>
    <row r="422" spans="1:5" x14ac:dyDescent="0.3">
      <c r="A422" s="19"/>
      <c r="B422" s="19"/>
      <c r="C422" s="19"/>
      <c r="D422" s="19"/>
      <c r="E422" s="19"/>
    </row>
    <row r="423" spans="1:5" x14ac:dyDescent="0.3">
      <c r="A423" s="19"/>
      <c r="B423" s="19"/>
      <c r="C423" s="19"/>
      <c r="D423" s="19"/>
      <c r="E423" s="19"/>
    </row>
    <row r="424" spans="1:5" x14ac:dyDescent="0.3">
      <c r="A424" s="19"/>
      <c r="B424" s="19"/>
      <c r="C424" s="19"/>
      <c r="D424" s="19"/>
      <c r="E424" s="19"/>
    </row>
    <row r="425" spans="1:5" x14ac:dyDescent="0.3">
      <c r="A425" s="19"/>
      <c r="B425" s="19"/>
      <c r="C425" s="19"/>
      <c r="D425" s="19"/>
      <c r="E425" s="19"/>
    </row>
    <row r="426" spans="1:5" x14ac:dyDescent="0.3">
      <c r="A426" s="19"/>
      <c r="B426" s="19"/>
      <c r="C426" s="19"/>
      <c r="D426" s="19"/>
      <c r="E426" s="19"/>
    </row>
    <row r="427" spans="1:5" x14ac:dyDescent="0.3">
      <c r="A427" s="19"/>
      <c r="B427" s="19"/>
      <c r="C427" s="19"/>
      <c r="D427" s="19"/>
      <c r="E427" s="19"/>
    </row>
    <row r="428" spans="1:5" x14ac:dyDescent="0.3">
      <c r="A428" s="19"/>
      <c r="B428" s="19"/>
      <c r="C428" s="19"/>
      <c r="D428" s="19"/>
      <c r="E428" s="19"/>
    </row>
    <row r="429" spans="1:5" x14ac:dyDescent="0.3">
      <c r="A429" s="19"/>
      <c r="B429" s="19"/>
      <c r="C429" s="19"/>
      <c r="D429" s="19"/>
      <c r="E429" s="19"/>
    </row>
    <row r="430" spans="1:5" x14ac:dyDescent="0.3">
      <c r="A430" s="19"/>
      <c r="B430" s="19"/>
      <c r="C430" s="19"/>
      <c r="D430" s="19"/>
      <c r="E430" s="19"/>
    </row>
    <row r="431" spans="1:5" x14ac:dyDescent="0.3">
      <c r="A431" s="19"/>
      <c r="B431" s="19"/>
      <c r="C431" s="19"/>
      <c r="D431" s="19"/>
      <c r="E431" s="19"/>
    </row>
    <row r="432" spans="1:5" x14ac:dyDescent="0.3">
      <c r="A432" s="19"/>
      <c r="B432" s="19"/>
      <c r="C432" s="19"/>
      <c r="D432" s="19"/>
      <c r="E432" s="19"/>
    </row>
    <row r="433" spans="1:5" x14ac:dyDescent="0.3">
      <c r="A433" s="19"/>
      <c r="B433" s="19"/>
      <c r="C433" s="19"/>
      <c r="D433" s="19"/>
      <c r="E433" s="19"/>
    </row>
    <row r="434" spans="1:5" x14ac:dyDescent="0.3">
      <c r="A434" s="19"/>
      <c r="B434" s="19"/>
      <c r="C434" s="19"/>
      <c r="D434" s="19"/>
      <c r="E434" s="19"/>
    </row>
    <row r="435" spans="1:5" x14ac:dyDescent="0.3">
      <c r="A435" s="19"/>
      <c r="B435" s="19"/>
      <c r="C435" s="19"/>
      <c r="D435" s="19"/>
      <c r="E435" s="19"/>
    </row>
    <row r="436" spans="1:5" x14ac:dyDescent="0.3">
      <c r="A436" s="19"/>
      <c r="B436" s="19"/>
      <c r="C436" s="19"/>
      <c r="D436" s="19"/>
      <c r="E436" s="19"/>
    </row>
    <row r="437" spans="1:5" x14ac:dyDescent="0.3">
      <c r="A437" s="19"/>
      <c r="B437" s="19"/>
      <c r="C437" s="19"/>
      <c r="D437" s="19"/>
      <c r="E437" s="19"/>
    </row>
    <row r="438" spans="1:5" x14ac:dyDescent="0.3">
      <c r="A438" s="19"/>
      <c r="B438" s="19"/>
      <c r="C438" s="19"/>
      <c r="D438" s="19"/>
      <c r="E438" s="19"/>
    </row>
    <row r="439" spans="1:5" x14ac:dyDescent="0.3">
      <c r="A439" s="19"/>
      <c r="B439" s="19"/>
      <c r="C439" s="19"/>
      <c r="D439" s="19"/>
      <c r="E439" s="19"/>
    </row>
    <row r="440" spans="1:5" x14ac:dyDescent="0.3">
      <c r="A440" s="19"/>
      <c r="B440" s="19"/>
      <c r="C440" s="19"/>
      <c r="D440" s="19"/>
      <c r="E440" s="19"/>
    </row>
    <row r="441" spans="1:5" x14ac:dyDescent="0.3">
      <c r="A441" s="19"/>
      <c r="B441" s="19"/>
      <c r="C441" s="19"/>
      <c r="D441" s="19"/>
      <c r="E441" s="19"/>
    </row>
    <row r="442" spans="1:5" x14ac:dyDescent="0.3">
      <c r="A442" s="19"/>
      <c r="B442" s="19"/>
      <c r="C442" s="19"/>
      <c r="D442" s="19"/>
      <c r="E442" s="19"/>
    </row>
    <row r="443" spans="1:5" x14ac:dyDescent="0.3">
      <c r="A443" s="19"/>
      <c r="B443" s="19"/>
      <c r="C443" s="19"/>
      <c r="D443" s="19"/>
      <c r="E443" s="19"/>
    </row>
    <row r="444" spans="1:5" x14ac:dyDescent="0.3">
      <c r="A444" s="19"/>
      <c r="B444" s="19"/>
      <c r="C444" s="19"/>
      <c r="D444" s="19"/>
      <c r="E444" s="19"/>
    </row>
    <row r="445" spans="1:5" x14ac:dyDescent="0.3">
      <c r="A445" s="19"/>
      <c r="B445" s="19"/>
      <c r="C445" s="19"/>
      <c r="D445" s="19"/>
      <c r="E445" s="19"/>
    </row>
    <row r="446" spans="1:5" x14ac:dyDescent="0.3">
      <c r="A446" s="19"/>
      <c r="B446" s="19"/>
      <c r="C446" s="19"/>
      <c r="D446" s="19"/>
      <c r="E446" s="19"/>
    </row>
    <row r="447" spans="1:5" x14ac:dyDescent="0.3">
      <c r="A447" s="19"/>
      <c r="B447" s="19"/>
      <c r="C447" s="19"/>
      <c r="D447" s="19"/>
      <c r="E447" s="19"/>
    </row>
    <row r="448" spans="1:5" x14ac:dyDescent="0.3">
      <c r="A448" s="19"/>
      <c r="B448" s="19"/>
      <c r="C448" s="19"/>
      <c r="D448" s="19"/>
      <c r="E448" s="19"/>
    </row>
    <row r="449" spans="1:5" x14ac:dyDescent="0.3">
      <c r="A449" s="19"/>
      <c r="B449" s="19"/>
      <c r="C449" s="19"/>
      <c r="D449" s="19"/>
      <c r="E449" s="19"/>
    </row>
    <row r="450" spans="1:5" x14ac:dyDescent="0.3">
      <c r="A450" s="19"/>
      <c r="B450" s="19"/>
      <c r="C450" s="19"/>
      <c r="D450" s="19"/>
      <c r="E450" s="19"/>
    </row>
    <row r="451" spans="1:5" x14ac:dyDescent="0.3">
      <c r="A451" s="19"/>
      <c r="B451" s="19"/>
      <c r="C451" s="19"/>
      <c r="D451" s="19"/>
      <c r="E451" s="19"/>
    </row>
    <row r="452" spans="1:5" x14ac:dyDescent="0.3">
      <c r="A452" s="19"/>
      <c r="B452" s="19"/>
      <c r="C452" s="19"/>
      <c r="D452" s="19"/>
      <c r="E452" s="19"/>
    </row>
    <row r="453" spans="1:5" x14ac:dyDescent="0.3">
      <c r="A453" s="19"/>
      <c r="B453" s="19"/>
      <c r="C453" s="19"/>
      <c r="D453" s="19"/>
      <c r="E453" s="19"/>
    </row>
    <row r="454" spans="1:5" x14ac:dyDescent="0.3">
      <c r="A454" s="19"/>
      <c r="B454" s="19"/>
      <c r="C454" s="19"/>
      <c r="D454" s="19"/>
      <c r="E454" s="19"/>
    </row>
    <row r="455" spans="1:5" x14ac:dyDescent="0.3">
      <c r="A455" s="19"/>
      <c r="B455" s="19"/>
      <c r="C455" s="19"/>
      <c r="D455" s="19"/>
      <c r="E455" s="19"/>
    </row>
    <row r="456" spans="1:5" x14ac:dyDescent="0.3">
      <c r="A456" s="19"/>
      <c r="B456" s="19"/>
      <c r="C456" s="19"/>
      <c r="D456" s="19"/>
      <c r="E456" s="19"/>
    </row>
    <row r="457" spans="1:5" x14ac:dyDescent="0.3">
      <c r="A457" s="19"/>
      <c r="B457" s="19"/>
      <c r="C457" s="19"/>
      <c r="D457" s="19"/>
      <c r="E457" s="19"/>
    </row>
    <row r="458" spans="1:5" x14ac:dyDescent="0.3">
      <c r="A458" s="19"/>
      <c r="B458" s="19"/>
      <c r="C458" s="19"/>
      <c r="D458" s="19"/>
      <c r="E458" s="19"/>
    </row>
    <row r="459" spans="1:5" x14ac:dyDescent="0.3">
      <c r="A459" s="19"/>
      <c r="B459" s="19"/>
      <c r="C459" s="19"/>
      <c r="D459" s="19"/>
      <c r="E459" s="19"/>
    </row>
    <row r="460" spans="1:5" x14ac:dyDescent="0.3">
      <c r="A460" s="19"/>
      <c r="B460" s="19"/>
      <c r="C460" s="19"/>
      <c r="D460" s="19"/>
      <c r="E460" s="19"/>
    </row>
    <row r="461" spans="1:5" x14ac:dyDescent="0.3">
      <c r="A461" s="19"/>
      <c r="B461" s="19"/>
      <c r="C461" s="19"/>
      <c r="D461" s="19"/>
      <c r="E461" s="19"/>
    </row>
    <row r="462" spans="1:5" x14ac:dyDescent="0.3">
      <c r="A462" s="19"/>
      <c r="B462" s="19"/>
      <c r="C462" s="19"/>
      <c r="D462" s="19"/>
      <c r="E462" s="19"/>
    </row>
    <row r="463" spans="1:5" x14ac:dyDescent="0.3">
      <c r="A463" s="19"/>
      <c r="B463" s="19"/>
      <c r="C463" s="19"/>
      <c r="D463" s="19"/>
      <c r="E463" s="19"/>
    </row>
    <row r="464" spans="1:5" x14ac:dyDescent="0.3">
      <c r="A464" s="19"/>
      <c r="B464" s="19"/>
      <c r="C464" s="19"/>
      <c r="D464" s="19"/>
      <c r="E464" s="19"/>
    </row>
    <row r="465" spans="1:5" x14ac:dyDescent="0.3">
      <c r="A465" s="19"/>
      <c r="B465" s="19"/>
      <c r="C465" s="19"/>
      <c r="D465" s="19"/>
      <c r="E465" s="19"/>
    </row>
    <row r="466" spans="1:5" x14ac:dyDescent="0.3">
      <c r="A466" s="19"/>
      <c r="B466" s="19"/>
      <c r="C466" s="19"/>
      <c r="D466" s="19"/>
      <c r="E466" s="19"/>
    </row>
    <row r="467" spans="1:5" x14ac:dyDescent="0.3">
      <c r="A467" s="19"/>
      <c r="B467" s="19"/>
      <c r="C467" s="19"/>
      <c r="D467" s="19"/>
      <c r="E467" s="19"/>
    </row>
    <row r="468" spans="1:5" x14ac:dyDescent="0.3">
      <c r="A468" s="19"/>
      <c r="B468" s="19"/>
      <c r="C468" s="19"/>
      <c r="D468" s="19"/>
      <c r="E468" s="19"/>
    </row>
    <row r="469" spans="1:5" x14ac:dyDescent="0.3">
      <c r="A469" s="19"/>
      <c r="B469" s="19"/>
      <c r="C469" s="19"/>
      <c r="D469" s="19"/>
      <c r="E469" s="19"/>
    </row>
    <row r="470" spans="1:5" x14ac:dyDescent="0.3">
      <c r="A470" s="19"/>
      <c r="B470" s="19"/>
      <c r="C470" s="19"/>
      <c r="D470" s="19"/>
      <c r="E470" s="19"/>
    </row>
    <row r="471" spans="1:5" x14ac:dyDescent="0.3">
      <c r="A471" s="19"/>
      <c r="B471" s="19"/>
      <c r="C471" s="19"/>
      <c r="D471" s="19"/>
      <c r="E471" s="19"/>
    </row>
    <row r="472" spans="1:5" x14ac:dyDescent="0.3">
      <c r="A472" s="19"/>
      <c r="B472" s="19"/>
      <c r="C472" s="19"/>
      <c r="D472" s="19"/>
      <c r="E472" s="19"/>
    </row>
    <row r="473" spans="1:5" x14ac:dyDescent="0.3">
      <c r="A473" s="19"/>
      <c r="B473" s="19"/>
      <c r="C473" s="19"/>
      <c r="D473" s="19"/>
      <c r="E473" s="19"/>
    </row>
    <row r="474" spans="1:5" x14ac:dyDescent="0.3">
      <c r="A474" s="19"/>
      <c r="B474" s="19"/>
      <c r="C474" s="19"/>
      <c r="D474" s="19"/>
      <c r="E474" s="19"/>
    </row>
    <row r="475" spans="1:5" x14ac:dyDescent="0.3">
      <c r="A475" s="19"/>
      <c r="B475" s="19"/>
      <c r="C475" s="19"/>
      <c r="D475" s="19"/>
      <c r="E475" s="19"/>
    </row>
    <row r="476" spans="1:5" x14ac:dyDescent="0.3">
      <c r="A476" s="19"/>
      <c r="B476" s="19"/>
      <c r="C476" s="19"/>
      <c r="D476" s="19"/>
      <c r="E476" s="19"/>
    </row>
    <row r="477" spans="1:5" x14ac:dyDescent="0.3">
      <c r="A477" s="19"/>
      <c r="B477" s="19"/>
      <c r="C477" s="19"/>
      <c r="D477" s="19"/>
      <c r="E477" s="19"/>
    </row>
    <row r="478" spans="1:5" x14ac:dyDescent="0.3">
      <c r="A478" s="19"/>
      <c r="B478" s="19"/>
      <c r="C478" s="19"/>
      <c r="D478" s="19"/>
      <c r="E478" s="19"/>
    </row>
    <row r="479" spans="1:5" x14ac:dyDescent="0.3">
      <c r="A479" s="19"/>
      <c r="B479" s="19"/>
      <c r="C479" s="19"/>
      <c r="D479" s="19"/>
      <c r="E479" s="19"/>
    </row>
    <row r="480" spans="1:5" x14ac:dyDescent="0.3">
      <c r="A480" s="19"/>
      <c r="B480" s="19"/>
      <c r="C480" s="19"/>
      <c r="D480" s="19"/>
      <c r="E480" s="19"/>
    </row>
    <row r="481" spans="1:5" x14ac:dyDescent="0.3">
      <c r="A481" s="19"/>
      <c r="B481" s="19"/>
      <c r="C481" s="19"/>
      <c r="D481" s="19"/>
      <c r="E481" s="19"/>
    </row>
    <row r="482" spans="1:5" x14ac:dyDescent="0.3">
      <c r="A482" s="19"/>
      <c r="B482" s="19"/>
      <c r="C482" s="19"/>
      <c r="D482" s="19"/>
      <c r="E482" s="19"/>
    </row>
    <row r="483" spans="1:5" x14ac:dyDescent="0.3">
      <c r="A483" s="19"/>
      <c r="B483" s="19"/>
      <c r="C483" s="19"/>
      <c r="D483" s="19"/>
      <c r="E483" s="19"/>
    </row>
    <row r="484" spans="1:5" x14ac:dyDescent="0.3">
      <c r="A484" s="19"/>
      <c r="B484" s="19"/>
      <c r="C484" s="19"/>
      <c r="D484" s="19"/>
      <c r="E484" s="19"/>
    </row>
    <row r="485" spans="1:5" x14ac:dyDescent="0.3">
      <c r="A485" s="19"/>
      <c r="B485" s="19"/>
      <c r="C485" s="19"/>
      <c r="D485" s="19"/>
      <c r="E485" s="19"/>
    </row>
    <row r="486" spans="1:5" x14ac:dyDescent="0.3">
      <c r="A486" s="19"/>
      <c r="B486" s="19"/>
      <c r="C486" s="19"/>
      <c r="D486" s="19"/>
      <c r="E486" s="19"/>
    </row>
    <row r="487" spans="1:5" x14ac:dyDescent="0.3">
      <c r="A487" s="19"/>
      <c r="B487" s="19"/>
      <c r="C487" s="19"/>
      <c r="D487" s="19"/>
      <c r="E487" s="19"/>
    </row>
    <row r="488" spans="1:5" x14ac:dyDescent="0.3">
      <c r="A488" s="19"/>
      <c r="B488" s="19"/>
      <c r="C488" s="19"/>
      <c r="D488" s="19"/>
      <c r="E488" s="19"/>
    </row>
    <row r="489" spans="1:5" x14ac:dyDescent="0.3">
      <c r="A489" s="19"/>
      <c r="B489" s="19"/>
      <c r="C489" s="19"/>
      <c r="D489" s="19"/>
      <c r="E489" s="19"/>
    </row>
    <row r="490" spans="1:5" x14ac:dyDescent="0.3">
      <c r="A490" s="19"/>
      <c r="B490" s="19"/>
      <c r="C490" s="19"/>
      <c r="D490" s="19"/>
      <c r="E490" s="19"/>
    </row>
    <row r="491" spans="1:5" x14ac:dyDescent="0.3">
      <c r="A491" s="19"/>
      <c r="B491" s="19"/>
      <c r="C491" s="19"/>
      <c r="D491" s="19"/>
      <c r="E491" s="19"/>
    </row>
    <row r="492" spans="1:5" x14ac:dyDescent="0.3">
      <c r="A492" s="19"/>
      <c r="B492" s="19"/>
      <c r="C492" s="19"/>
      <c r="D492" s="19"/>
      <c r="E492" s="19"/>
    </row>
    <row r="493" spans="1:5" x14ac:dyDescent="0.3">
      <c r="A493" s="19"/>
      <c r="B493" s="19"/>
      <c r="C493" s="19"/>
      <c r="D493" s="19"/>
      <c r="E493" s="19"/>
    </row>
    <row r="494" spans="1:5" x14ac:dyDescent="0.3">
      <c r="A494" s="19"/>
      <c r="B494" s="19"/>
      <c r="C494" s="19"/>
      <c r="D494" s="19"/>
      <c r="E494" s="19"/>
    </row>
    <row r="495" spans="1:5" x14ac:dyDescent="0.3">
      <c r="A495" s="19"/>
      <c r="B495" s="19"/>
      <c r="C495" s="19"/>
      <c r="D495" s="19"/>
      <c r="E495" s="19"/>
    </row>
    <row r="496" spans="1:5" x14ac:dyDescent="0.3">
      <c r="A496" s="19"/>
      <c r="B496" s="19"/>
      <c r="C496" s="19"/>
      <c r="D496" s="19"/>
      <c r="E496" s="19"/>
    </row>
    <row r="497" spans="1:5" x14ac:dyDescent="0.3">
      <c r="A497" s="19"/>
      <c r="B497" s="19"/>
      <c r="C497" s="19"/>
      <c r="D497" s="19"/>
      <c r="E497" s="19"/>
    </row>
    <row r="498" spans="1:5" x14ac:dyDescent="0.3">
      <c r="A498" s="19"/>
      <c r="B498" s="19"/>
      <c r="C498" s="19"/>
      <c r="D498" s="19"/>
      <c r="E498" s="19"/>
    </row>
    <row r="499" spans="1:5" x14ac:dyDescent="0.3">
      <c r="A499" s="19"/>
      <c r="B499" s="19"/>
      <c r="C499" s="19"/>
      <c r="D499" s="19"/>
      <c r="E499" s="19"/>
    </row>
    <row r="500" spans="1:5" x14ac:dyDescent="0.3">
      <c r="A500" s="19"/>
      <c r="B500" s="19"/>
      <c r="C500" s="19"/>
      <c r="D500" s="19"/>
      <c r="E500" s="19"/>
    </row>
    <row r="501" spans="1:5" x14ac:dyDescent="0.3">
      <c r="A501" s="19"/>
      <c r="B501" s="19"/>
      <c r="C501" s="19"/>
      <c r="D501" s="19"/>
      <c r="E501" s="19"/>
    </row>
    <row r="502" spans="1:5" x14ac:dyDescent="0.3">
      <c r="A502" s="19"/>
      <c r="B502" s="19"/>
      <c r="C502" s="19"/>
      <c r="D502" s="19"/>
      <c r="E502" s="19"/>
    </row>
    <row r="503" spans="1:5" x14ac:dyDescent="0.3">
      <c r="A503" s="19"/>
      <c r="B503" s="19"/>
      <c r="C503" s="19"/>
      <c r="D503" s="19"/>
      <c r="E503" s="19"/>
    </row>
    <row r="504" spans="1:5" x14ac:dyDescent="0.3">
      <c r="A504" s="19"/>
      <c r="B504" s="19"/>
      <c r="C504" s="19"/>
      <c r="D504" s="19"/>
      <c r="E504" s="19"/>
    </row>
    <row r="505" spans="1:5" x14ac:dyDescent="0.3">
      <c r="A505" s="19"/>
      <c r="B505" s="19"/>
      <c r="C505" s="19"/>
      <c r="D505" s="19"/>
      <c r="E505" s="19"/>
    </row>
    <row r="506" spans="1:5" x14ac:dyDescent="0.3">
      <c r="A506" s="19"/>
      <c r="B506" s="19"/>
      <c r="C506" s="19"/>
      <c r="D506" s="19"/>
      <c r="E506" s="19"/>
    </row>
    <row r="507" spans="1:5" x14ac:dyDescent="0.3">
      <c r="A507" s="19"/>
      <c r="B507" s="19"/>
      <c r="C507" s="19"/>
      <c r="D507" s="19"/>
      <c r="E507" s="19"/>
    </row>
    <row r="508" spans="1:5" x14ac:dyDescent="0.3">
      <c r="A508" s="19"/>
      <c r="B508" s="19"/>
      <c r="C508" s="19"/>
      <c r="D508" s="19"/>
      <c r="E508" s="19"/>
    </row>
    <row r="509" spans="1:5" x14ac:dyDescent="0.3">
      <c r="A509" s="19"/>
      <c r="B509" s="19"/>
      <c r="C509" s="19"/>
      <c r="D509" s="19"/>
      <c r="E509" s="19"/>
    </row>
    <row r="510" spans="1:5" x14ac:dyDescent="0.3">
      <c r="A510" s="19"/>
      <c r="B510" s="19"/>
      <c r="C510" s="19"/>
      <c r="D510" s="19"/>
      <c r="E510" s="19"/>
    </row>
    <row r="511" spans="1:5" x14ac:dyDescent="0.3">
      <c r="A511" s="19"/>
      <c r="B511" s="19"/>
      <c r="C511" s="19"/>
      <c r="D511" s="19"/>
      <c r="E511" s="19"/>
    </row>
    <row r="512" spans="1:5" x14ac:dyDescent="0.3">
      <c r="A512" s="19"/>
      <c r="B512" s="19"/>
      <c r="C512" s="19"/>
      <c r="D512" s="19"/>
      <c r="E512" s="19"/>
    </row>
    <row r="513" spans="1:5" x14ac:dyDescent="0.3">
      <c r="A513" s="19"/>
      <c r="B513" s="19"/>
      <c r="C513" s="19"/>
      <c r="D513" s="19"/>
      <c r="E513" s="19"/>
    </row>
    <row r="514" spans="1:5" x14ac:dyDescent="0.3">
      <c r="A514" s="19"/>
      <c r="B514" s="19"/>
      <c r="C514" s="19"/>
      <c r="D514" s="19"/>
      <c r="E514" s="19"/>
    </row>
    <row r="515" spans="1:5" x14ac:dyDescent="0.3">
      <c r="A515" s="19"/>
      <c r="B515" s="19"/>
      <c r="C515" s="19"/>
      <c r="D515" s="19"/>
      <c r="E515" s="19"/>
    </row>
    <row r="516" spans="1:5" x14ac:dyDescent="0.3">
      <c r="A516" s="19"/>
      <c r="B516" s="19"/>
      <c r="C516" s="19"/>
      <c r="D516" s="19"/>
      <c r="E516" s="19"/>
    </row>
    <row r="517" spans="1:5" x14ac:dyDescent="0.3">
      <c r="A517" s="19"/>
      <c r="B517" s="19"/>
      <c r="C517" s="19"/>
      <c r="D517" s="19"/>
      <c r="E517" s="19"/>
    </row>
    <row r="518" spans="1:5" x14ac:dyDescent="0.3">
      <c r="A518" s="19"/>
      <c r="B518" s="19"/>
      <c r="C518" s="19"/>
      <c r="D518" s="19"/>
      <c r="E518" s="19"/>
    </row>
    <row r="519" spans="1:5" x14ac:dyDescent="0.3">
      <c r="A519" s="19"/>
      <c r="B519" s="19"/>
      <c r="C519" s="19"/>
      <c r="D519" s="19"/>
      <c r="E519" s="19"/>
    </row>
    <row r="520" spans="1:5" x14ac:dyDescent="0.3">
      <c r="A520" s="19"/>
      <c r="B520" s="19"/>
      <c r="C520" s="19"/>
      <c r="D520" s="19"/>
      <c r="E520" s="19"/>
    </row>
    <row r="521" spans="1:5" x14ac:dyDescent="0.3">
      <c r="A521" s="19"/>
      <c r="B521" s="19"/>
      <c r="C521" s="19"/>
      <c r="D521" s="19"/>
      <c r="E521" s="19"/>
    </row>
    <row r="522" spans="1:5" x14ac:dyDescent="0.3">
      <c r="A522" s="19"/>
      <c r="B522" s="19"/>
      <c r="C522" s="19"/>
      <c r="D522" s="19"/>
      <c r="E522" s="19"/>
    </row>
    <row r="523" spans="1:5" x14ac:dyDescent="0.3">
      <c r="A523" s="19"/>
      <c r="B523" s="19"/>
      <c r="C523" s="19"/>
      <c r="D523" s="19"/>
      <c r="E523" s="19"/>
    </row>
    <row r="524" spans="1:5" x14ac:dyDescent="0.3">
      <c r="A524" s="19"/>
      <c r="B524" s="19"/>
      <c r="C524" s="19"/>
      <c r="D524" s="19"/>
      <c r="E524" s="19"/>
    </row>
    <row r="525" spans="1:5" x14ac:dyDescent="0.3">
      <c r="A525" s="19"/>
      <c r="B525" s="19"/>
      <c r="C525" s="19"/>
      <c r="D525" s="19"/>
      <c r="E525" s="19"/>
    </row>
    <row r="526" spans="1:5" x14ac:dyDescent="0.3">
      <c r="A526" s="19"/>
      <c r="B526" s="19"/>
      <c r="C526" s="19"/>
      <c r="D526" s="19"/>
      <c r="E526" s="19"/>
    </row>
    <row r="527" spans="1:5" x14ac:dyDescent="0.3">
      <c r="A527" s="19"/>
      <c r="B527" s="19"/>
      <c r="C527" s="19"/>
      <c r="D527" s="19"/>
      <c r="E527" s="19"/>
    </row>
    <row r="528" spans="1:5" x14ac:dyDescent="0.3">
      <c r="A528" s="19"/>
      <c r="B528" s="19"/>
      <c r="C528" s="19"/>
      <c r="D528" s="19"/>
      <c r="E528" s="19"/>
    </row>
    <row r="529" spans="1:5" x14ac:dyDescent="0.3">
      <c r="A529" s="19"/>
      <c r="B529" s="19"/>
      <c r="C529" s="19"/>
      <c r="D529" s="19"/>
      <c r="E529" s="19"/>
    </row>
    <row r="530" spans="1:5" x14ac:dyDescent="0.3">
      <c r="A530" s="19"/>
      <c r="B530" s="19"/>
      <c r="C530" s="19"/>
      <c r="D530" s="19"/>
      <c r="E530" s="19"/>
    </row>
    <row r="531" spans="1:5" x14ac:dyDescent="0.3">
      <c r="A531" s="19"/>
      <c r="B531" s="19"/>
      <c r="C531" s="19"/>
      <c r="D531" s="19"/>
      <c r="E531" s="19"/>
    </row>
    <row r="532" spans="1:5" x14ac:dyDescent="0.3">
      <c r="A532" s="19"/>
      <c r="B532" s="19"/>
      <c r="C532" s="19"/>
      <c r="D532" s="19"/>
      <c r="E532" s="19"/>
    </row>
    <row r="533" spans="1:5" x14ac:dyDescent="0.3">
      <c r="A533" s="19"/>
      <c r="B533" s="19"/>
      <c r="C533" s="19"/>
      <c r="D533" s="19"/>
      <c r="E533" s="19"/>
    </row>
    <row r="534" spans="1:5" x14ac:dyDescent="0.3">
      <c r="A534" s="19"/>
      <c r="B534" s="19"/>
      <c r="C534" s="19"/>
      <c r="D534" s="19"/>
      <c r="E534" s="19"/>
    </row>
    <row r="535" spans="1:5" x14ac:dyDescent="0.3">
      <c r="A535" s="19"/>
      <c r="B535" s="19"/>
      <c r="C535" s="19"/>
      <c r="D535" s="19"/>
      <c r="E535" s="19"/>
    </row>
    <row r="536" spans="1:5" x14ac:dyDescent="0.3">
      <c r="A536" s="19"/>
      <c r="B536" s="19"/>
      <c r="C536" s="19"/>
      <c r="D536" s="19"/>
      <c r="E536" s="19"/>
    </row>
    <row r="537" spans="1:5" x14ac:dyDescent="0.3">
      <c r="A537" s="19"/>
      <c r="B537" s="19"/>
      <c r="C537" s="19"/>
      <c r="D537" s="19"/>
      <c r="E537" s="19"/>
    </row>
    <row r="538" spans="1:5" x14ac:dyDescent="0.3">
      <c r="A538" s="19"/>
      <c r="B538" s="19"/>
      <c r="C538" s="19"/>
      <c r="D538" s="19"/>
      <c r="E538" s="19"/>
    </row>
    <row r="539" spans="1:5" x14ac:dyDescent="0.3">
      <c r="A539" s="19"/>
      <c r="B539" s="19"/>
      <c r="C539" s="19"/>
      <c r="D539" s="19"/>
      <c r="E539" s="19"/>
    </row>
    <row r="540" spans="1:5" x14ac:dyDescent="0.3">
      <c r="A540" s="19"/>
      <c r="B540" s="19"/>
      <c r="C540" s="19"/>
      <c r="D540" s="19"/>
      <c r="E540" s="19"/>
    </row>
    <row r="541" spans="1:5" x14ac:dyDescent="0.3">
      <c r="A541" s="19"/>
      <c r="B541" s="19"/>
      <c r="C541" s="19"/>
      <c r="D541" s="19"/>
      <c r="E541" s="19"/>
    </row>
    <row r="542" spans="1:5" x14ac:dyDescent="0.3">
      <c r="A542" s="19"/>
      <c r="B542" s="19"/>
      <c r="C542" s="19"/>
      <c r="D542" s="19"/>
      <c r="E542" s="19"/>
    </row>
    <row r="543" spans="1:5" x14ac:dyDescent="0.3">
      <c r="A543" s="19"/>
      <c r="B543" s="19"/>
      <c r="C543" s="19"/>
      <c r="D543" s="19"/>
      <c r="E543" s="19"/>
    </row>
    <row r="544" spans="1:5" x14ac:dyDescent="0.3">
      <c r="A544" s="19"/>
      <c r="B544" s="19"/>
      <c r="C544" s="19"/>
      <c r="D544" s="19"/>
      <c r="E544" s="19"/>
    </row>
    <row r="545" spans="1:5" x14ac:dyDescent="0.3">
      <c r="A545" s="19"/>
      <c r="B545" s="19"/>
      <c r="C545" s="19"/>
      <c r="D545" s="19"/>
      <c r="E545" s="19"/>
    </row>
    <row r="546" spans="1:5" x14ac:dyDescent="0.3">
      <c r="A546" s="19"/>
      <c r="B546" s="19"/>
      <c r="C546" s="19"/>
      <c r="D546" s="19"/>
      <c r="E546" s="19"/>
    </row>
    <row r="547" spans="1:5" x14ac:dyDescent="0.3">
      <c r="A547" s="19"/>
      <c r="B547" s="19"/>
      <c r="C547" s="19"/>
      <c r="D547" s="19"/>
      <c r="E547" s="19"/>
    </row>
    <row r="548" spans="1:5" x14ac:dyDescent="0.3">
      <c r="A548" s="19"/>
      <c r="B548" s="19"/>
      <c r="C548" s="19"/>
      <c r="D548" s="19"/>
      <c r="E548" s="19"/>
    </row>
    <row r="549" spans="1:5" x14ac:dyDescent="0.3">
      <c r="A549" s="19"/>
      <c r="B549" s="19"/>
      <c r="C549" s="19"/>
      <c r="D549" s="19"/>
      <c r="E549" s="19"/>
    </row>
    <row r="550" spans="1:5" x14ac:dyDescent="0.3">
      <c r="A550" s="19"/>
      <c r="B550" s="19"/>
      <c r="C550" s="19"/>
      <c r="D550" s="19"/>
      <c r="E550" s="19"/>
    </row>
    <row r="551" spans="1:5" x14ac:dyDescent="0.3">
      <c r="A551" s="19"/>
      <c r="B551" s="19"/>
      <c r="C551" s="19"/>
      <c r="D551" s="19"/>
      <c r="E551" s="19"/>
    </row>
    <row r="552" spans="1:5" x14ac:dyDescent="0.3">
      <c r="A552" s="19"/>
      <c r="B552" s="19"/>
      <c r="C552" s="19"/>
      <c r="D552" s="19"/>
      <c r="E552" s="19"/>
    </row>
    <row r="553" spans="1:5" x14ac:dyDescent="0.3">
      <c r="A553" s="19"/>
      <c r="B553" s="19"/>
      <c r="C553" s="19"/>
      <c r="D553" s="19"/>
      <c r="E553" s="19"/>
    </row>
    <row r="554" spans="1:5" x14ac:dyDescent="0.3">
      <c r="A554" s="19"/>
      <c r="B554" s="19"/>
      <c r="C554" s="19"/>
      <c r="D554" s="19"/>
      <c r="E554" s="19"/>
    </row>
    <row r="555" spans="1:5" x14ac:dyDescent="0.3">
      <c r="A555" s="19"/>
      <c r="B555" s="19"/>
      <c r="C555" s="19"/>
      <c r="D555" s="19"/>
      <c r="E555" s="19"/>
    </row>
    <row r="556" spans="1:5" x14ac:dyDescent="0.3">
      <c r="A556" s="19"/>
      <c r="B556" s="19"/>
      <c r="C556" s="19"/>
      <c r="D556" s="19"/>
      <c r="E556" s="19"/>
    </row>
    <row r="557" spans="1:5" x14ac:dyDescent="0.3">
      <c r="A557" s="19"/>
      <c r="B557" s="19"/>
      <c r="C557" s="19"/>
      <c r="D557" s="19"/>
      <c r="E557" s="19"/>
    </row>
    <row r="558" spans="1:5" x14ac:dyDescent="0.3">
      <c r="A558" s="19"/>
      <c r="B558" s="19"/>
      <c r="C558" s="19"/>
      <c r="D558" s="19"/>
      <c r="E558" s="19"/>
    </row>
    <row r="559" spans="1:5" x14ac:dyDescent="0.3">
      <c r="A559" s="19"/>
      <c r="B559" s="19"/>
      <c r="C559" s="19"/>
      <c r="D559" s="19"/>
      <c r="E559" s="19"/>
    </row>
    <row r="560" spans="1:5" x14ac:dyDescent="0.3">
      <c r="A560" s="19"/>
      <c r="B560" s="19"/>
      <c r="C560" s="19"/>
      <c r="D560" s="19"/>
      <c r="E560" s="19"/>
    </row>
    <row r="561" spans="1:5" x14ac:dyDescent="0.3">
      <c r="A561" s="19"/>
      <c r="B561" s="19"/>
      <c r="C561" s="19"/>
      <c r="D561" s="19"/>
      <c r="E561" s="19"/>
    </row>
  </sheetData>
  <autoFilter ref="A4:E4" xr:uid="{B10A8ED0-5212-45B0-BC92-03C35EF6CB59}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24DE5-C255-426C-AE86-2C673689479A}">
  <sheetPr codeName="Sheet12"/>
  <dimension ref="A3:E8"/>
  <sheetViews>
    <sheetView workbookViewId="0">
      <pane ySplit="3" topLeftCell="A4" activePane="bottomLeft" state="frozen"/>
      <selection pane="bottomLeft"/>
    </sheetView>
  </sheetViews>
  <sheetFormatPr defaultRowHeight="13.2" x14ac:dyDescent="0.25"/>
  <cols>
    <col min="1" max="1" width="16.33203125" customWidth="1"/>
    <col min="2" max="2" width="11" customWidth="1"/>
    <col min="3" max="3" width="13.6640625" customWidth="1"/>
    <col min="4" max="4" width="19" customWidth="1"/>
    <col min="5" max="5" width="15.33203125" bestFit="1" customWidth="1"/>
    <col min="6" max="6" width="11.5546875" bestFit="1" customWidth="1"/>
    <col min="7" max="8" width="11.109375" bestFit="1" customWidth="1"/>
  </cols>
  <sheetData>
    <row r="3" spans="1:5" x14ac:dyDescent="0.25">
      <c r="A3" s="13" t="s">
        <v>3269</v>
      </c>
      <c r="B3" s="13" t="s">
        <v>3270</v>
      </c>
      <c r="C3" s="37" t="s">
        <v>3271</v>
      </c>
      <c r="D3" s="13" t="s">
        <v>3272</v>
      </c>
      <c r="E3" s="13" t="s">
        <v>3273</v>
      </c>
    </row>
    <row r="4" spans="1:5" x14ac:dyDescent="0.25">
      <c r="A4" s="11" t="s">
        <v>3274</v>
      </c>
      <c r="B4" s="10">
        <v>0.2</v>
      </c>
      <c r="C4" s="11" t="s">
        <v>3275</v>
      </c>
      <c r="D4" s="11" t="s">
        <v>3276</v>
      </c>
      <c r="E4" s="11" t="s">
        <v>3274</v>
      </c>
    </row>
    <row r="5" spans="1:5" x14ac:dyDescent="0.25">
      <c r="A5" s="11" t="s">
        <v>3277</v>
      </c>
      <c r="B5" s="10">
        <v>0.05</v>
      </c>
      <c r="C5" s="11" t="s">
        <v>3275</v>
      </c>
      <c r="D5" s="11" t="s">
        <v>3276</v>
      </c>
      <c r="E5" s="11" t="s">
        <v>3277</v>
      </c>
    </row>
    <row r="6" spans="1:5" x14ac:dyDescent="0.25">
      <c r="A6" s="11" t="s">
        <v>3278</v>
      </c>
      <c r="B6" s="10">
        <v>0</v>
      </c>
      <c r="C6" s="14" t="s">
        <v>3275</v>
      </c>
      <c r="D6" s="14" t="s">
        <v>3276</v>
      </c>
      <c r="E6" s="11" t="s">
        <v>3278</v>
      </c>
    </row>
    <row r="7" spans="1:5" x14ac:dyDescent="0.25">
      <c r="A7" s="14" t="s">
        <v>3279</v>
      </c>
      <c r="B7" s="12" t="s">
        <v>3280</v>
      </c>
      <c r="C7" s="11" t="s">
        <v>3281</v>
      </c>
      <c r="D7" s="11" t="s">
        <v>3282</v>
      </c>
      <c r="E7" s="14"/>
    </row>
    <row r="8" spans="1:5" x14ac:dyDescent="0.25">
      <c r="A8" s="14" t="s">
        <v>3283</v>
      </c>
      <c r="B8" s="10" t="s">
        <v>3284</v>
      </c>
      <c r="C8" s="11" t="s">
        <v>3285</v>
      </c>
      <c r="D8" s="11" t="s">
        <v>3286</v>
      </c>
      <c r="E8" s="14"/>
    </row>
  </sheetData>
  <pageMargins left="0.7" right="0.7" top="0.75" bottom="0.75" header="0.3" footer="0.3"/>
  <pageSetup paperSize="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05DC4-A79D-49D8-BF6D-32696001007E}">
  <sheetPr codeName="Sheet13">
    <pageSetUpPr fitToPage="1"/>
  </sheetPr>
  <dimension ref="A1:M3285"/>
  <sheetViews>
    <sheetView workbookViewId="0">
      <pane xSplit="2" ySplit="7" topLeftCell="C3252" activePane="bottomRight" state="frozen"/>
      <selection pane="topRight"/>
      <selection pane="bottomLeft"/>
      <selection pane="bottomRight"/>
    </sheetView>
  </sheetViews>
  <sheetFormatPr defaultColWidth="9.109375" defaultRowHeight="13.2" x14ac:dyDescent="0.25"/>
  <cols>
    <col min="1" max="1" width="9.109375" style="59"/>
    <col min="2" max="2" width="10.109375" style="59" bestFit="1" customWidth="1"/>
    <col min="3" max="3" width="48.109375" style="59" bestFit="1" customWidth="1"/>
    <col min="4" max="4" width="10.5546875" style="60" customWidth="1"/>
    <col min="5" max="6" width="7.5546875" style="60" customWidth="1"/>
    <col min="7" max="7" width="6.88671875" style="61" hidden="1" customWidth="1"/>
    <col min="8" max="8" width="4.88671875" style="61" hidden="1" customWidth="1"/>
    <col min="9" max="9" width="7.88671875" style="61" hidden="1" customWidth="1"/>
    <col min="10" max="10" width="8.109375" style="61" hidden="1" customWidth="1"/>
    <col min="11" max="11" width="7.88671875" style="61" hidden="1" customWidth="1"/>
    <col min="12" max="12" width="9.88671875" style="60" bestFit="1" customWidth="1"/>
    <col min="13" max="13" width="10.33203125" style="59" bestFit="1" customWidth="1"/>
    <col min="14" max="16384" width="9.109375" style="59"/>
  </cols>
  <sheetData>
    <row r="1" spans="1:13" ht="14.25" customHeight="1" x14ac:dyDescent="0.25">
      <c r="A1" s="115"/>
      <c r="B1" s="114"/>
    </row>
    <row r="2" spans="1:13" ht="6.9" customHeight="1" x14ac:dyDescent="0.25"/>
    <row r="3" spans="1:13" ht="6.9" customHeight="1" x14ac:dyDescent="0.25"/>
    <row r="4" spans="1:13" ht="18" customHeight="1" x14ac:dyDescent="0.25">
      <c r="B4" s="43" t="s">
        <v>3287</v>
      </c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</row>
    <row r="5" spans="1:13" ht="10.5" customHeight="1" x14ac:dyDescent="0.25">
      <c r="B5" s="63"/>
      <c r="C5" s="63"/>
      <c r="D5" s="63"/>
      <c r="E5" s="63"/>
      <c r="F5" s="63"/>
      <c r="G5" s="64"/>
      <c r="H5" s="64"/>
      <c r="I5" s="63"/>
      <c r="J5" s="63"/>
      <c r="K5" s="63"/>
      <c r="L5" s="63"/>
      <c r="M5" s="63"/>
    </row>
    <row r="6" spans="1:13" ht="15" customHeight="1" x14ac:dyDescent="0.25">
      <c r="B6" s="29" t="s">
        <v>2976</v>
      </c>
      <c r="C6" s="22" t="s">
        <v>3288</v>
      </c>
      <c r="D6" s="22" t="s">
        <v>3289</v>
      </c>
      <c r="E6" s="22" t="s">
        <v>3290</v>
      </c>
      <c r="F6" s="22" t="s">
        <v>3291</v>
      </c>
      <c r="G6" s="121"/>
      <c r="H6" s="121" t="s">
        <v>3292</v>
      </c>
      <c r="I6" s="22" t="s">
        <v>3293</v>
      </c>
      <c r="J6" s="22" t="s">
        <v>3294</v>
      </c>
      <c r="K6" s="22" t="s">
        <v>3295</v>
      </c>
      <c r="L6" s="22" t="s">
        <v>126</v>
      </c>
      <c r="M6" s="22" t="s">
        <v>3296</v>
      </c>
    </row>
    <row r="7" spans="1:13" ht="15" customHeight="1" x14ac:dyDescent="0.25">
      <c r="B7" s="29"/>
      <c r="C7" s="22"/>
      <c r="D7" s="22" t="s">
        <v>3297</v>
      </c>
      <c r="E7" s="22" t="s">
        <v>3298</v>
      </c>
      <c r="F7" s="22" t="s">
        <v>3298</v>
      </c>
      <c r="G7" s="121" t="s">
        <v>3299</v>
      </c>
      <c r="H7" s="121" t="s">
        <v>3300</v>
      </c>
      <c r="I7" s="22" t="s">
        <v>2976</v>
      </c>
      <c r="J7" s="22" t="s">
        <v>2976</v>
      </c>
      <c r="K7" s="22" t="s">
        <v>2976</v>
      </c>
      <c r="L7" s="22" t="s">
        <v>2976</v>
      </c>
      <c r="M7" s="22"/>
    </row>
    <row r="8" spans="1:13" ht="15" customHeight="1" x14ac:dyDescent="0.25">
      <c r="B8" s="116" t="s">
        <v>3301</v>
      </c>
      <c r="C8" s="34" t="s">
        <v>3302</v>
      </c>
      <c r="D8" s="34" t="s">
        <v>3303</v>
      </c>
      <c r="E8" s="34" t="s">
        <v>3304</v>
      </c>
      <c r="F8" s="34" t="s">
        <v>3305</v>
      </c>
      <c r="G8" s="92">
        <v>0</v>
      </c>
      <c r="H8" s="92">
        <v>0</v>
      </c>
      <c r="I8" s="34"/>
      <c r="J8" s="34"/>
      <c r="K8" s="34"/>
      <c r="L8" s="34"/>
      <c r="M8" s="34"/>
    </row>
    <row r="9" spans="1:13" ht="15" customHeight="1" x14ac:dyDescent="0.25">
      <c r="B9" s="35" t="s">
        <v>3306</v>
      </c>
      <c r="C9" s="23" t="s">
        <v>3307</v>
      </c>
      <c r="D9" s="23" t="s">
        <v>3303</v>
      </c>
      <c r="E9" s="23" t="s">
        <v>3304</v>
      </c>
      <c r="F9" s="23" t="s">
        <v>3305</v>
      </c>
      <c r="G9" s="93">
        <v>0</v>
      </c>
      <c r="H9" s="93">
        <v>0</v>
      </c>
      <c r="I9" s="23"/>
      <c r="J9" s="23"/>
      <c r="K9" s="23"/>
      <c r="L9" s="23" t="s">
        <v>3308</v>
      </c>
      <c r="M9" s="23"/>
    </row>
    <row r="10" spans="1:13" ht="15" customHeight="1" x14ac:dyDescent="0.25">
      <c r="B10" s="35" t="s">
        <v>3309</v>
      </c>
      <c r="C10" s="23" t="s">
        <v>3310</v>
      </c>
      <c r="D10" s="23" t="s">
        <v>3303</v>
      </c>
      <c r="E10" s="23" t="s">
        <v>3304</v>
      </c>
      <c r="F10" s="23" t="s">
        <v>3305</v>
      </c>
      <c r="G10" s="93">
        <v>0</v>
      </c>
      <c r="H10" s="93">
        <v>0</v>
      </c>
      <c r="I10" s="23"/>
      <c r="J10" s="23"/>
      <c r="K10" s="23"/>
      <c r="L10" s="23" t="s">
        <v>3311</v>
      </c>
      <c r="M10" s="23"/>
    </row>
    <row r="11" spans="1:13" ht="15" customHeight="1" x14ac:dyDescent="0.25">
      <c r="B11" s="35" t="s">
        <v>3312</v>
      </c>
      <c r="C11" s="23" t="s">
        <v>3313</v>
      </c>
      <c r="D11" s="23" t="s">
        <v>3303</v>
      </c>
      <c r="E11" s="23" t="s">
        <v>3304</v>
      </c>
      <c r="F11" s="23" t="s">
        <v>3305</v>
      </c>
      <c r="G11" s="93">
        <v>0</v>
      </c>
      <c r="H11" s="93">
        <v>0</v>
      </c>
      <c r="I11" s="23"/>
      <c r="J11" s="23"/>
      <c r="K11" s="23"/>
      <c r="L11" s="23" t="s">
        <v>3314</v>
      </c>
      <c r="M11" s="23"/>
    </row>
    <row r="12" spans="1:13" ht="15" customHeight="1" x14ac:dyDescent="0.25">
      <c r="B12" s="35" t="s">
        <v>3315</v>
      </c>
      <c r="C12" s="23" t="s">
        <v>3316</v>
      </c>
      <c r="D12" s="23" t="s">
        <v>3303</v>
      </c>
      <c r="E12" s="23" t="s">
        <v>3317</v>
      </c>
      <c r="F12" s="23" t="s">
        <v>3305</v>
      </c>
      <c r="G12" s="93">
        <v>3</v>
      </c>
      <c r="H12" s="93">
        <v>0</v>
      </c>
      <c r="I12" s="23"/>
      <c r="J12" s="23"/>
      <c r="K12" s="23"/>
      <c r="L12" s="23" t="s">
        <v>3314</v>
      </c>
      <c r="M12" s="23"/>
    </row>
    <row r="13" spans="1:13" ht="15" customHeight="1" x14ac:dyDescent="0.25">
      <c r="B13" s="35" t="s">
        <v>3318</v>
      </c>
      <c r="C13" s="23" t="s">
        <v>3319</v>
      </c>
      <c r="D13" s="23" t="s">
        <v>3303</v>
      </c>
      <c r="E13" s="23" t="s">
        <v>3317</v>
      </c>
      <c r="F13" s="23" t="s">
        <v>3305</v>
      </c>
      <c r="G13" s="93">
        <v>3</v>
      </c>
      <c r="H13" s="93">
        <v>0</v>
      </c>
      <c r="I13" s="23"/>
      <c r="J13" s="23"/>
      <c r="K13" s="23"/>
      <c r="L13" s="23" t="s">
        <v>3314</v>
      </c>
      <c r="M13" s="23"/>
    </row>
    <row r="14" spans="1:13" ht="15" customHeight="1" x14ac:dyDescent="0.25">
      <c r="B14" s="35" t="s">
        <v>3320</v>
      </c>
      <c r="C14" s="23" t="s">
        <v>3321</v>
      </c>
      <c r="D14" s="23" t="s">
        <v>3303</v>
      </c>
      <c r="E14" s="23" t="s">
        <v>3317</v>
      </c>
      <c r="F14" s="23" t="s">
        <v>3305</v>
      </c>
      <c r="G14" s="93">
        <v>3</v>
      </c>
      <c r="H14" s="93">
        <v>0</v>
      </c>
      <c r="I14" s="23"/>
      <c r="J14" s="23"/>
      <c r="K14" s="23"/>
      <c r="L14" s="23" t="s">
        <v>3314</v>
      </c>
      <c r="M14" s="23"/>
    </row>
    <row r="15" spans="1:13" ht="15" customHeight="1" x14ac:dyDescent="0.25">
      <c r="B15" s="35" t="s">
        <v>3322</v>
      </c>
      <c r="C15" s="23" t="s">
        <v>3323</v>
      </c>
      <c r="D15" s="23" t="s">
        <v>3303</v>
      </c>
      <c r="E15" s="23" t="s">
        <v>3317</v>
      </c>
      <c r="F15" s="23" t="s">
        <v>3305</v>
      </c>
      <c r="G15" s="93">
        <v>3</v>
      </c>
      <c r="H15" s="93">
        <v>1</v>
      </c>
      <c r="I15" s="23"/>
      <c r="J15" s="23"/>
      <c r="K15" s="23"/>
      <c r="L15" s="23" t="s">
        <v>3314</v>
      </c>
      <c r="M15" s="23"/>
    </row>
    <row r="16" spans="1:13" ht="15" customHeight="1" x14ac:dyDescent="0.25">
      <c r="B16" s="35" t="s">
        <v>3324</v>
      </c>
      <c r="C16" s="23" t="s">
        <v>3325</v>
      </c>
      <c r="D16" s="23" t="s">
        <v>3303</v>
      </c>
      <c r="E16" s="23" t="s">
        <v>3317</v>
      </c>
      <c r="F16" s="23" t="s">
        <v>3305</v>
      </c>
      <c r="G16" s="93">
        <v>3</v>
      </c>
      <c r="H16" s="93">
        <v>1</v>
      </c>
      <c r="I16" s="23"/>
      <c r="J16" s="23"/>
      <c r="K16" s="23"/>
      <c r="L16" s="23" t="s">
        <v>3314</v>
      </c>
      <c r="M16" s="23"/>
    </row>
    <row r="17" spans="2:13" ht="15" customHeight="1" x14ac:dyDescent="0.25">
      <c r="B17" s="35" t="s">
        <v>3326</v>
      </c>
      <c r="C17" s="23" t="s">
        <v>3327</v>
      </c>
      <c r="D17" s="23" t="s">
        <v>3303</v>
      </c>
      <c r="E17" s="23" t="s">
        <v>3317</v>
      </c>
      <c r="F17" s="23" t="s">
        <v>3305</v>
      </c>
      <c r="G17" s="93">
        <v>3</v>
      </c>
      <c r="H17" s="93">
        <v>0</v>
      </c>
      <c r="I17" s="23"/>
      <c r="J17" s="23"/>
      <c r="K17" s="23"/>
      <c r="L17" s="23" t="s">
        <v>3314</v>
      </c>
      <c r="M17" s="23"/>
    </row>
    <row r="18" spans="2:13" ht="15" customHeight="1" x14ac:dyDescent="0.25">
      <c r="B18" s="35" t="s">
        <v>3328</v>
      </c>
      <c r="C18" s="23" t="s">
        <v>3329</v>
      </c>
      <c r="D18" s="23" t="s">
        <v>3303</v>
      </c>
      <c r="E18" s="23" t="s">
        <v>3317</v>
      </c>
      <c r="F18" s="23" t="s">
        <v>3305</v>
      </c>
      <c r="G18" s="93">
        <v>3</v>
      </c>
      <c r="H18" s="93">
        <v>0</v>
      </c>
      <c r="I18" s="23"/>
      <c r="J18" s="23"/>
      <c r="K18" s="23"/>
      <c r="L18" s="23" t="s">
        <v>3314</v>
      </c>
      <c r="M18" s="23"/>
    </row>
    <row r="19" spans="2:13" ht="15" customHeight="1" x14ac:dyDescent="0.25">
      <c r="B19" s="35" t="s">
        <v>3330</v>
      </c>
      <c r="C19" s="23" t="s">
        <v>3331</v>
      </c>
      <c r="D19" s="23" t="s">
        <v>3303</v>
      </c>
      <c r="E19" s="23" t="s">
        <v>3317</v>
      </c>
      <c r="F19" s="23" t="s">
        <v>3305</v>
      </c>
      <c r="G19" s="93">
        <v>3</v>
      </c>
      <c r="H19" s="93">
        <v>0</v>
      </c>
      <c r="I19" s="23"/>
      <c r="J19" s="23"/>
      <c r="K19" s="23"/>
      <c r="L19" s="23" t="s">
        <v>3314</v>
      </c>
      <c r="M19" s="23"/>
    </row>
    <row r="20" spans="2:13" ht="15" customHeight="1" x14ac:dyDescent="0.25">
      <c r="B20" s="35" t="s">
        <v>3332</v>
      </c>
      <c r="C20" s="23" t="s">
        <v>3333</v>
      </c>
      <c r="D20" s="23" t="s">
        <v>3303</v>
      </c>
      <c r="E20" s="23" t="s">
        <v>3317</v>
      </c>
      <c r="F20" s="23" t="s">
        <v>3305</v>
      </c>
      <c r="G20" s="93">
        <v>3</v>
      </c>
      <c r="H20" s="93">
        <v>0</v>
      </c>
      <c r="I20" s="23"/>
      <c r="J20" s="23"/>
      <c r="K20" s="23"/>
      <c r="L20" s="23" t="s">
        <v>3314</v>
      </c>
      <c r="M20" s="23"/>
    </row>
    <row r="21" spans="2:13" ht="15" customHeight="1" x14ac:dyDescent="0.25">
      <c r="B21" s="35" t="s">
        <v>3334</v>
      </c>
      <c r="C21" s="23" t="s">
        <v>3335</v>
      </c>
      <c r="D21" s="23" t="s">
        <v>3303</v>
      </c>
      <c r="E21" s="23" t="s">
        <v>3317</v>
      </c>
      <c r="F21" s="23" t="s">
        <v>3305</v>
      </c>
      <c r="G21" s="93">
        <v>3</v>
      </c>
      <c r="H21" s="93">
        <v>0</v>
      </c>
      <c r="I21" s="23"/>
      <c r="J21" s="23"/>
      <c r="K21" s="23"/>
      <c r="L21" s="23" t="s">
        <v>3314</v>
      </c>
      <c r="M21" s="23"/>
    </row>
    <row r="22" spans="2:13" ht="15" customHeight="1" x14ac:dyDescent="0.25">
      <c r="B22" s="35" t="s">
        <v>3336</v>
      </c>
      <c r="C22" s="23" t="s">
        <v>3337</v>
      </c>
      <c r="D22" s="23" t="s">
        <v>3303</v>
      </c>
      <c r="E22" s="23" t="s">
        <v>3317</v>
      </c>
      <c r="F22" s="23" t="s">
        <v>3305</v>
      </c>
      <c r="G22" s="93">
        <v>3</v>
      </c>
      <c r="H22" s="93">
        <v>0</v>
      </c>
      <c r="I22" s="23"/>
      <c r="J22" s="23"/>
      <c r="K22" s="23"/>
      <c r="L22" s="23" t="s">
        <v>3314</v>
      </c>
      <c r="M22" s="23"/>
    </row>
    <row r="23" spans="2:13" ht="15" customHeight="1" x14ac:dyDescent="0.25">
      <c r="B23" s="35" t="s">
        <v>3338</v>
      </c>
      <c r="C23" s="23" t="s">
        <v>3339</v>
      </c>
      <c r="D23" s="23" t="s">
        <v>3303</v>
      </c>
      <c r="E23" s="23" t="s">
        <v>3317</v>
      </c>
      <c r="F23" s="23" t="s">
        <v>3305</v>
      </c>
      <c r="G23" s="93">
        <v>3</v>
      </c>
      <c r="H23" s="93">
        <v>0</v>
      </c>
      <c r="I23" s="23"/>
      <c r="J23" s="23"/>
      <c r="K23" s="23"/>
      <c r="L23" s="23" t="s">
        <v>3314</v>
      </c>
      <c r="M23" s="23"/>
    </row>
    <row r="24" spans="2:13" ht="15" customHeight="1" x14ac:dyDescent="0.25">
      <c r="B24" s="35" t="s">
        <v>3340</v>
      </c>
      <c r="C24" s="23" t="s">
        <v>3341</v>
      </c>
      <c r="D24" s="23" t="s">
        <v>3303</v>
      </c>
      <c r="E24" s="23" t="s">
        <v>3317</v>
      </c>
      <c r="F24" s="23" t="s">
        <v>3305</v>
      </c>
      <c r="G24" s="93">
        <v>3</v>
      </c>
      <c r="H24" s="93">
        <v>0</v>
      </c>
      <c r="I24" s="23"/>
      <c r="J24" s="23"/>
      <c r="K24" s="23"/>
      <c r="L24" s="23" t="s">
        <v>3314</v>
      </c>
      <c r="M24" s="23"/>
    </row>
    <row r="25" spans="2:13" ht="15" customHeight="1" x14ac:dyDescent="0.25">
      <c r="B25" s="35" t="s">
        <v>3342</v>
      </c>
      <c r="C25" s="23" t="s">
        <v>3343</v>
      </c>
      <c r="D25" s="23" t="s">
        <v>3303</v>
      </c>
      <c r="E25" s="23" t="s">
        <v>3317</v>
      </c>
      <c r="F25" s="23" t="s">
        <v>3305</v>
      </c>
      <c r="G25" s="93">
        <v>3</v>
      </c>
      <c r="H25" s="93">
        <v>0</v>
      </c>
      <c r="I25" s="23"/>
      <c r="J25" s="23"/>
      <c r="K25" s="23"/>
      <c r="L25" s="23" t="s">
        <v>3314</v>
      </c>
      <c r="M25" s="23"/>
    </row>
    <row r="26" spans="2:13" ht="15" customHeight="1" x14ac:dyDescent="0.25">
      <c r="B26" s="35" t="s">
        <v>3344</v>
      </c>
      <c r="C26" s="23" t="s">
        <v>3345</v>
      </c>
      <c r="D26" s="23" t="s">
        <v>3303</v>
      </c>
      <c r="E26" s="23" t="s">
        <v>3317</v>
      </c>
      <c r="F26" s="23" t="s">
        <v>3305</v>
      </c>
      <c r="G26" s="93">
        <v>3</v>
      </c>
      <c r="H26" s="93">
        <v>1</v>
      </c>
      <c r="I26" s="23"/>
      <c r="J26" s="23"/>
      <c r="K26" s="23"/>
      <c r="L26" s="23" t="s">
        <v>3314</v>
      </c>
      <c r="M26" s="23"/>
    </row>
    <row r="27" spans="2:13" ht="15" customHeight="1" x14ac:dyDescent="0.25">
      <c r="B27" s="35" t="s">
        <v>3346</v>
      </c>
      <c r="C27" s="23" t="s">
        <v>3347</v>
      </c>
      <c r="D27" s="23" t="s">
        <v>3303</v>
      </c>
      <c r="E27" s="23" t="s">
        <v>3317</v>
      </c>
      <c r="F27" s="23" t="s">
        <v>3305</v>
      </c>
      <c r="G27" s="93">
        <v>3</v>
      </c>
      <c r="H27" s="93">
        <v>0</v>
      </c>
      <c r="I27" s="23"/>
      <c r="J27" s="23"/>
      <c r="K27" s="23"/>
      <c r="L27" s="23" t="s">
        <v>3314</v>
      </c>
      <c r="M27" s="23"/>
    </row>
    <row r="28" spans="2:13" ht="15" customHeight="1" x14ac:dyDescent="0.25">
      <c r="B28" s="35" t="s">
        <v>3348</v>
      </c>
      <c r="C28" s="23" t="s">
        <v>3349</v>
      </c>
      <c r="D28" s="23" t="s">
        <v>3303</v>
      </c>
      <c r="E28" s="23" t="s">
        <v>3317</v>
      </c>
      <c r="F28" s="23" t="s">
        <v>3305</v>
      </c>
      <c r="G28" s="93">
        <v>3</v>
      </c>
      <c r="H28" s="93">
        <v>0</v>
      </c>
      <c r="I28" s="23"/>
      <c r="J28" s="23"/>
      <c r="K28" s="23"/>
      <c r="L28" s="23" t="s">
        <v>3314</v>
      </c>
      <c r="M28" s="23"/>
    </row>
    <row r="29" spans="2:13" ht="15" customHeight="1" x14ac:dyDescent="0.25">
      <c r="B29" s="35" t="s">
        <v>3350</v>
      </c>
      <c r="C29" s="23" t="s">
        <v>3351</v>
      </c>
      <c r="D29" s="23" t="s">
        <v>3303</v>
      </c>
      <c r="E29" s="23" t="s">
        <v>3317</v>
      </c>
      <c r="F29" s="23" t="s">
        <v>3305</v>
      </c>
      <c r="G29" s="93">
        <v>3</v>
      </c>
      <c r="H29" s="93">
        <v>1</v>
      </c>
      <c r="I29" s="23"/>
      <c r="J29" s="23"/>
      <c r="K29" s="23"/>
      <c r="L29" s="23" t="s">
        <v>3314</v>
      </c>
      <c r="M29" s="23"/>
    </row>
    <row r="30" spans="2:13" ht="15" customHeight="1" x14ac:dyDescent="0.25">
      <c r="B30" s="35" t="s">
        <v>3352</v>
      </c>
      <c r="C30" s="23" t="s">
        <v>3353</v>
      </c>
      <c r="D30" s="23" t="s">
        <v>3303</v>
      </c>
      <c r="E30" s="23" t="s">
        <v>3317</v>
      </c>
      <c r="F30" s="23" t="s">
        <v>3305</v>
      </c>
      <c r="G30" s="93">
        <v>3</v>
      </c>
      <c r="H30" s="93">
        <v>1</v>
      </c>
      <c r="I30" s="23"/>
      <c r="J30" s="23"/>
      <c r="K30" s="23"/>
      <c r="L30" s="23" t="s">
        <v>3314</v>
      </c>
      <c r="M30" s="23"/>
    </row>
    <row r="31" spans="2:13" ht="15" customHeight="1" x14ac:dyDescent="0.25">
      <c r="B31" s="35" t="s">
        <v>3354</v>
      </c>
      <c r="C31" s="23" t="s">
        <v>3355</v>
      </c>
      <c r="D31" s="23" t="s">
        <v>3303</v>
      </c>
      <c r="E31" s="23" t="s">
        <v>3317</v>
      </c>
      <c r="F31" s="23" t="s">
        <v>3305</v>
      </c>
      <c r="G31" s="93">
        <v>0</v>
      </c>
      <c r="H31" s="93">
        <v>0</v>
      </c>
      <c r="I31" s="23"/>
      <c r="J31" s="23"/>
      <c r="K31" s="23"/>
      <c r="L31" s="23" t="s">
        <v>3314</v>
      </c>
      <c r="M31" s="23"/>
    </row>
    <row r="32" spans="2:13" ht="15" customHeight="1" x14ac:dyDescent="0.25">
      <c r="B32" s="35" t="s">
        <v>3356</v>
      </c>
      <c r="C32" s="23" t="s">
        <v>3357</v>
      </c>
      <c r="D32" s="23" t="s">
        <v>3303</v>
      </c>
      <c r="E32" s="23" t="s">
        <v>3317</v>
      </c>
      <c r="F32" s="23" t="s">
        <v>3305</v>
      </c>
      <c r="G32" s="93">
        <v>3</v>
      </c>
      <c r="H32" s="93">
        <v>1</v>
      </c>
      <c r="I32" s="23"/>
      <c r="J32" s="23"/>
      <c r="K32" s="23"/>
      <c r="L32" s="23" t="s">
        <v>3314</v>
      </c>
      <c r="M32" s="23"/>
    </row>
    <row r="33" spans="2:13" ht="15" customHeight="1" x14ac:dyDescent="0.25">
      <c r="B33" s="35" t="s">
        <v>3358</v>
      </c>
      <c r="C33" s="23" t="s">
        <v>3359</v>
      </c>
      <c r="D33" s="23" t="s">
        <v>3303</v>
      </c>
      <c r="E33" s="23" t="s">
        <v>3317</v>
      </c>
      <c r="F33" s="23" t="s">
        <v>3305</v>
      </c>
      <c r="G33" s="93">
        <v>3</v>
      </c>
      <c r="H33" s="93">
        <v>1</v>
      </c>
      <c r="I33" s="23"/>
      <c r="J33" s="23"/>
      <c r="K33" s="23"/>
      <c r="L33" s="23" t="s">
        <v>3314</v>
      </c>
      <c r="M33" s="23"/>
    </row>
    <row r="34" spans="2:13" ht="15" customHeight="1" x14ac:dyDescent="0.25">
      <c r="B34" s="35" t="s">
        <v>3360</v>
      </c>
      <c r="C34" s="23" t="s">
        <v>3361</v>
      </c>
      <c r="D34" s="23" t="s">
        <v>3303</v>
      </c>
      <c r="E34" s="23" t="s">
        <v>3317</v>
      </c>
      <c r="F34" s="23" t="s">
        <v>3305</v>
      </c>
      <c r="G34" s="93">
        <v>3</v>
      </c>
      <c r="H34" s="93">
        <v>1</v>
      </c>
      <c r="I34" s="23"/>
      <c r="J34" s="23"/>
      <c r="K34" s="23"/>
      <c r="L34" s="23" t="s">
        <v>3314</v>
      </c>
      <c r="M34" s="23"/>
    </row>
    <row r="35" spans="2:13" ht="15" customHeight="1" x14ac:dyDescent="0.25">
      <c r="B35" s="35" t="s">
        <v>3362</v>
      </c>
      <c r="C35" s="23" t="s">
        <v>3363</v>
      </c>
      <c r="D35" s="23" t="s">
        <v>3303</v>
      </c>
      <c r="E35" s="23" t="s">
        <v>3317</v>
      </c>
      <c r="F35" s="23" t="s">
        <v>3305</v>
      </c>
      <c r="G35" s="93">
        <v>3</v>
      </c>
      <c r="H35" s="93">
        <v>1</v>
      </c>
      <c r="I35" s="23"/>
      <c r="J35" s="23"/>
      <c r="K35" s="23"/>
      <c r="L35" s="23" t="s">
        <v>3314</v>
      </c>
      <c r="M35" s="23"/>
    </row>
    <row r="36" spans="2:13" ht="15" customHeight="1" x14ac:dyDescent="0.25">
      <c r="B36" s="35" t="s">
        <v>3364</v>
      </c>
      <c r="C36" s="23" t="s">
        <v>3365</v>
      </c>
      <c r="D36" s="23" t="s">
        <v>3303</v>
      </c>
      <c r="E36" s="23" t="s">
        <v>3317</v>
      </c>
      <c r="F36" s="23" t="s">
        <v>3305</v>
      </c>
      <c r="G36" s="93">
        <v>3</v>
      </c>
      <c r="H36" s="93">
        <v>1</v>
      </c>
      <c r="I36" s="23"/>
      <c r="J36" s="23"/>
      <c r="K36" s="23"/>
      <c r="L36" s="23" t="s">
        <v>3314</v>
      </c>
      <c r="M36" s="23"/>
    </row>
    <row r="37" spans="2:13" ht="15" customHeight="1" x14ac:dyDescent="0.25">
      <c r="B37" s="35" t="s">
        <v>3314</v>
      </c>
      <c r="C37" s="23" t="s">
        <v>3366</v>
      </c>
      <c r="D37" s="23" t="s">
        <v>3303</v>
      </c>
      <c r="E37" s="23" t="s">
        <v>3367</v>
      </c>
      <c r="F37" s="23" t="s">
        <v>3305</v>
      </c>
      <c r="G37" s="93">
        <v>0</v>
      </c>
      <c r="H37" s="93">
        <v>0</v>
      </c>
      <c r="I37" s="23"/>
      <c r="J37" s="23"/>
      <c r="K37" s="23"/>
      <c r="L37" s="23" t="s">
        <v>3311</v>
      </c>
      <c r="M37" s="23"/>
    </row>
    <row r="38" spans="2:13" ht="15" customHeight="1" x14ac:dyDescent="0.25">
      <c r="B38" s="35" t="s">
        <v>3368</v>
      </c>
      <c r="C38" s="23" t="s">
        <v>2982</v>
      </c>
      <c r="D38" s="23" t="s">
        <v>3303</v>
      </c>
      <c r="E38" s="23" t="s">
        <v>3304</v>
      </c>
      <c r="F38" s="23" t="s">
        <v>3305</v>
      </c>
      <c r="G38" s="93">
        <v>0</v>
      </c>
      <c r="H38" s="93">
        <v>0</v>
      </c>
      <c r="I38" s="23"/>
      <c r="J38" s="23"/>
      <c r="K38" s="23"/>
      <c r="L38" s="23" t="s">
        <v>3369</v>
      </c>
      <c r="M38" s="23"/>
    </row>
    <row r="39" spans="2:13" ht="15" customHeight="1" x14ac:dyDescent="0.25">
      <c r="B39" s="35" t="s">
        <v>3370</v>
      </c>
      <c r="C39" s="23" t="s">
        <v>3371</v>
      </c>
      <c r="D39" s="23" t="s">
        <v>3303</v>
      </c>
      <c r="E39" s="23" t="s">
        <v>3317</v>
      </c>
      <c r="F39" s="23" t="s">
        <v>3305</v>
      </c>
      <c r="G39" s="93">
        <v>3</v>
      </c>
      <c r="H39" s="93">
        <v>0</v>
      </c>
      <c r="I39" s="23"/>
      <c r="J39" s="23"/>
      <c r="K39" s="23"/>
      <c r="L39" s="23" t="s">
        <v>3369</v>
      </c>
      <c r="M39" s="23"/>
    </row>
    <row r="40" spans="2:13" ht="15" customHeight="1" x14ac:dyDescent="0.25">
      <c r="B40" s="35" t="s">
        <v>3372</v>
      </c>
      <c r="C40" s="23" t="s">
        <v>3373</v>
      </c>
      <c r="D40" s="23" t="s">
        <v>3303</v>
      </c>
      <c r="E40" s="23" t="s">
        <v>3317</v>
      </c>
      <c r="F40" s="23" t="s">
        <v>3305</v>
      </c>
      <c r="G40" s="93">
        <v>3</v>
      </c>
      <c r="H40" s="93">
        <v>1</v>
      </c>
      <c r="I40" s="23"/>
      <c r="J40" s="23"/>
      <c r="K40" s="23"/>
      <c r="L40" s="23" t="s">
        <v>3369</v>
      </c>
      <c r="M40" s="23"/>
    </row>
    <row r="41" spans="2:13" ht="15" customHeight="1" x14ac:dyDescent="0.25">
      <c r="B41" s="35" t="s">
        <v>3374</v>
      </c>
      <c r="C41" s="23" t="s">
        <v>3375</v>
      </c>
      <c r="D41" s="23" t="s">
        <v>3303</v>
      </c>
      <c r="E41" s="23" t="s">
        <v>3317</v>
      </c>
      <c r="F41" s="23" t="s">
        <v>3305</v>
      </c>
      <c r="G41" s="93">
        <v>3</v>
      </c>
      <c r="H41" s="93">
        <v>0</v>
      </c>
      <c r="I41" s="23"/>
      <c r="J41" s="23"/>
      <c r="K41" s="23"/>
      <c r="L41" s="23" t="s">
        <v>3369</v>
      </c>
      <c r="M41" s="23"/>
    </row>
    <row r="42" spans="2:13" ht="15" customHeight="1" x14ac:dyDescent="0.25">
      <c r="B42" s="35" t="s">
        <v>3376</v>
      </c>
      <c r="C42" s="23" t="s">
        <v>3377</v>
      </c>
      <c r="D42" s="23" t="s">
        <v>3303</v>
      </c>
      <c r="E42" s="23" t="s">
        <v>3317</v>
      </c>
      <c r="F42" s="23" t="s">
        <v>3305</v>
      </c>
      <c r="G42" s="93">
        <v>3</v>
      </c>
      <c r="H42" s="93">
        <v>1</v>
      </c>
      <c r="I42" s="23"/>
      <c r="J42" s="23"/>
      <c r="K42" s="23"/>
      <c r="L42" s="23" t="s">
        <v>3369</v>
      </c>
      <c r="M42" s="23"/>
    </row>
    <row r="43" spans="2:13" ht="15" customHeight="1" x14ac:dyDescent="0.25">
      <c r="B43" s="35" t="s">
        <v>2981</v>
      </c>
      <c r="C43" s="23" t="s">
        <v>2982</v>
      </c>
      <c r="D43" s="23" t="s">
        <v>3303</v>
      </c>
      <c r="E43" s="23" t="s">
        <v>3317</v>
      </c>
      <c r="F43" s="23" t="s">
        <v>3305</v>
      </c>
      <c r="G43" s="93">
        <v>3</v>
      </c>
      <c r="H43" s="93">
        <v>0</v>
      </c>
      <c r="I43" s="23"/>
      <c r="J43" s="23"/>
      <c r="K43" s="23"/>
      <c r="L43" s="23" t="s">
        <v>3369</v>
      </c>
      <c r="M43" s="23"/>
    </row>
    <row r="44" spans="2:13" ht="15" customHeight="1" x14ac:dyDescent="0.25">
      <c r="B44" s="35" t="s">
        <v>3378</v>
      </c>
      <c r="C44" s="23" t="s">
        <v>3379</v>
      </c>
      <c r="D44" s="23" t="s">
        <v>3303</v>
      </c>
      <c r="E44" s="23" t="s">
        <v>3317</v>
      </c>
      <c r="F44" s="23" t="s">
        <v>3305</v>
      </c>
      <c r="G44" s="93">
        <v>3</v>
      </c>
      <c r="H44" s="93">
        <v>0</v>
      </c>
      <c r="I44" s="23"/>
      <c r="J44" s="23"/>
      <c r="K44" s="23"/>
      <c r="L44" s="23" t="s">
        <v>3369</v>
      </c>
      <c r="M44" s="23"/>
    </row>
    <row r="45" spans="2:13" ht="15" customHeight="1" x14ac:dyDescent="0.25">
      <c r="B45" s="35" t="s">
        <v>2984</v>
      </c>
      <c r="C45" s="23" t="s">
        <v>2985</v>
      </c>
      <c r="D45" s="23" t="s">
        <v>3303</v>
      </c>
      <c r="E45" s="23" t="s">
        <v>3317</v>
      </c>
      <c r="F45" s="23" t="s">
        <v>3305</v>
      </c>
      <c r="G45" s="93">
        <v>3</v>
      </c>
      <c r="H45" s="93">
        <v>0</v>
      </c>
      <c r="I45" s="23"/>
      <c r="J45" s="23"/>
      <c r="K45" s="23"/>
      <c r="L45" s="23" t="s">
        <v>3369</v>
      </c>
      <c r="M45" s="23"/>
    </row>
    <row r="46" spans="2:13" ht="15" customHeight="1" x14ac:dyDescent="0.25">
      <c r="B46" s="35" t="s">
        <v>2987</v>
      </c>
      <c r="C46" s="23" t="s">
        <v>2988</v>
      </c>
      <c r="D46" s="23" t="s">
        <v>3303</v>
      </c>
      <c r="E46" s="23" t="s">
        <v>3317</v>
      </c>
      <c r="F46" s="23" t="s">
        <v>3305</v>
      </c>
      <c r="G46" s="93">
        <v>3</v>
      </c>
      <c r="H46" s="93">
        <v>0</v>
      </c>
      <c r="I46" s="23"/>
      <c r="J46" s="23"/>
      <c r="K46" s="23"/>
      <c r="L46" s="23" t="s">
        <v>3369</v>
      </c>
      <c r="M46" s="23"/>
    </row>
    <row r="47" spans="2:13" ht="15" customHeight="1" x14ac:dyDescent="0.25">
      <c r="B47" s="35" t="s">
        <v>3380</v>
      </c>
      <c r="C47" s="23" t="s">
        <v>3381</v>
      </c>
      <c r="D47" s="23" t="s">
        <v>3303</v>
      </c>
      <c r="E47" s="23" t="s">
        <v>3317</v>
      </c>
      <c r="F47" s="23" t="s">
        <v>3305</v>
      </c>
      <c r="G47" s="93">
        <v>3</v>
      </c>
      <c r="H47" s="93">
        <v>0</v>
      </c>
      <c r="I47" s="23"/>
      <c r="J47" s="23"/>
      <c r="K47" s="23"/>
      <c r="L47" s="23" t="s">
        <v>3369</v>
      </c>
      <c r="M47" s="23"/>
    </row>
    <row r="48" spans="2:13" ht="15" customHeight="1" x14ac:dyDescent="0.25">
      <c r="B48" s="35" t="s">
        <v>3382</v>
      </c>
      <c r="C48" s="23" t="s">
        <v>3383</v>
      </c>
      <c r="D48" s="23" t="s">
        <v>3303</v>
      </c>
      <c r="E48" s="23" t="s">
        <v>3317</v>
      </c>
      <c r="F48" s="23" t="s">
        <v>3305</v>
      </c>
      <c r="G48" s="93">
        <v>3</v>
      </c>
      <c r="H48" s="93">
        <v>0</v>
      </c>
      <c r="I48" s="23"/>
      <c r="J48" s="23"/>
      <c r="K48" s="23"/>
      <c r="L48" s="23" t="s">
        <v>3369</v>
      </c>
      <c r="M48" s="23"/>
    </row>
    <row r="49" spans="2:13" ht="15" customHeight="1" x14ac:dyDescent="0.25">
      <c r="B49" s="35" t="s">
        <v>2990</v>
      </c>
      <c r="C49" s="23" t="s">
        <v>2991</v>
      </c>
      <c r="D49" s="23" t="s">
        <v>3303</v>
      </c>
      <c r="E49" s="23" t="s">
        <v>3317</v>
      </c>
      <c r="F49" s="23" t="s">
        <v>3305</v>
      </c>
      <c r="G49" s="93">
        <v>3</v>
      </c>
      <c r="H49" s="93">
        <v>0</v>
      </c>
      <c r="I49" s="23"/>
      <c r="J49" s="23"/>
      <c r="K49" s="23"/>
      <c r="L49" s="23" t="s">
        <v>3369</v>
      </c>
      <c r="M49" s="23"/>
    </row>
    <row r="50" spans="2:13" ht="15" customHeight="1" x14ac:dyDescent="0.25">
      <c r="B50" s="35" t="s">
        <v>3384</v>
      </c>
      <c r="C50" s="23" t="s">
        <v>3385</v>
      </c>
      <c r="D50" s="23" t="s">
        <v>3303</v>
      </c>
      <c r="E50" s="23" t="s">
        <v>3317</v>
      </c>
      <c r="F50" s="23" t="s">
        <v>3305</v>
      </c>
      <c r="G50" s="93">
        <v>3</v>
      </c>
      <c r="H50" s="93">
        <v>0</v>
      </c>
      <c r="I50" s="23"/>
      <c r="J50" s="23"/>
      <c r="K50" s="23"/>
      <c r="L50" s="23" t="s">
        <v>3369</v>
      </c>
      <c r="M50" s="23"/>
    </row>
    <row r="51" spans="2:13" ht="15" customHeight="1" x14ac:dyDescent="0.25">
      <c r="B51" s="35" t="s">
        <v>3386</v>
      </c>
      <c r="C51" s="23" t="s">
        <v>3387</v>
      </c>
      <c r="D51" s="23" t="s">
        <v>3303</v>
      </c>
      <c r="E51" s="23" t="s">
        <v>3317</v>
      </c>
      <c r="F51" s="23" t="s">
        <v>3305</v>
      </c>
      <c r="G51" s="93">
        <v>3</v>
      </c>
      <c r="H51" s="93">
        <v>0</v>
      </c>
      <c r="I51" s="23"/>
      <c r="J51" s="23"/>
      <c r="K51" s="23"/>
      <c r="L51" s="23" t="s">
        <v>3369</v>
      </c>
      <c r="M51" s="23"/>
    </row>
    <row r="52" spans="2:13" ht="15" customHeight="1" x14ac:dyDescent="0.25">
      <c r="B52" s="35" t="s">
        <v>3388</v>
      </c>
      <c r="C52" s="23" t="s">
        <v>3389</v>
      </c>
      <c r="D52" s="23" t="s">
        <v>3303</v>
      </c>
      <c r="E52" s="23" t="s">
        <v>3317</v>
      </c>
      <c r="F52" s="23" t="s">
        <v>3305</v>
      </c>
      <c r="G52" s="93">
        <v>0</v>
      </c>
      <c r="H52" s="93">
        <v>0</v>
      </c>
      <c r="I52" s="23"/>
      <c r="J52" s="23"/>
      <c r="K52" s="23"/>
      <c r="L52" s="23" t="s">
        <v>3369</v>
      </c>
      <c r="M52" s="23"/>
    </row>
    <row r="53" spans="2:13" ht="15" customHeight="1" x14ac:dyDescent="0.25">
      <c r="B53" s="35" t="s">
        <v>3390</v>
      </c>
      <c r="C53" s="23" t="s">
        <v>3391</v>
      </c>
      <c r="D53" s="23" t="s">
        <v>3303</v>
      </c>
      <c r="E53" s="23" t="s">
        <v>3317</v>
      </c>
      <c r="F53" s="23" t="s">
        <v>3305</v>
      </c>
      <c r="G53" s="93">
        <v>0</v>
      </c>
      <c r="H53" s="93">
        <v>0</v>
      </c>
      <c r="I53" s="23"/>
      <c r="J53" s="23"/>
      <c r="K53" s="23"/>
      <c r="L53" s="23" t="s">
        <v>3369</v>
      </c>
      <c r="M53" s="23"/>
    </row>
    <row r="54" spans="2:13" ht="15" customHeight="1" x14ac:dyDescent="0.25">
      <c r="B54" s="35" t="s">
        <v>3392</v>
      </c>
      <c r="C54" s="23" t="s">
        <v>3393</v>
      </c>
      <c r="D54" s="23" t="s">
        <v>3303</v>
      </c>
      <c r="E54" s="23" t="s">
        <v>3317</v>
      </c>
      <c r="F54" s="23" t="s">
        <v>3305</v>
      </c>
      <c r="G54" s="93">
        <v>0</v>
      </c>
      <c r="H54" s="93">
        <v>0</v>
      </c>
      <c r="I54" s="23"/>
      <c r="J54" s="23"/>
      <c r="K54" s="23"/>
      <c r="L54" s="23" t="s">
        <v>3369</v>
      </c>
      <c r="M54" s="23"/>
    </row>
    <row r="55" spans="2:13" ht="15" customHeight="1" x14ac:dyDescent="0.25">
      <c r="B55" s="35" t="s">
        <v>3394</v>
      </c>
      <c r="C55" s="23" t="s">
        <v>3395</v>
      </c>
      <c r="D55" s="23" t="s">
        <v>3303</v>
      </c>
      <c r="E55" s="23" t="s">
        <v>3317</v>
      </c>
      <c r="F55" s="23" t="s">
        <v>3305</v>
      </c>
      <c r="G55" s="93">
        <v>3</v>
      </c>
      <c r="H55" s="93">
        <v>1</v>
      </c>
      <c r="I55" s="23"/>
      <c r="J55" s="23"/>
      <c r="K55" s="23"/>
      <c r="L55" s="23" t="s">
        <v>3369</v>
      </c>
      <c r="M55" s="23"/>
    </row>
    <row r="56" spans="2:13" ht="15" customHeight="1" x14ac:dyDescent="0.25">
      <c r="B56" s="35" t="s">
        <v>3396</v>
      </c>
      <c r="C56" s="23" t="s">
        <v>3397</v>
      </c>
      <c r="D56" s="23" t="s">
        <v>3303</v>
      </c>
      <c r="E56" s="23" t="s">
        <v>3317</v>
      </c>
      <c r="F56" s="23" t="s">
        <v>3305</v>
      </c>
      <c r="G56" s="93">
        <v>0</v>
      </c>
      <c r="H56" s="93">
        <v>0</v>
      </c>
      <c r="I56" s="23"/>
      <c r="J56" s="23"/>
      <c r="K56" s="23"/>
      <c r="L56" s="23" t="s">
        <v>3369</v>
      </c>
      <c r="M56" s="23"/>
    </row>
    <row r="57" spans="2:13" ht="15" customHeight="1" x14ac:dyDescent="0.25">
      <c r="B57" s="35" t="s">
        <v>3369</v>
      </c>
      <c r="C57" s="23" t="s">
        <v>3398</v>
      </c>
      <c r="D57" s="23" t="s">
        <v>3303</v>
      </c>
      <c r="E57" s="23" t="s">
        <v>3367</v>
      </c>
      <c r="F57" s="23" t="s">
        <v>3305</v>
      </c>
      <c r="G57" s="93">
        <v>0</v>
      </c>
      <c r="H57" s="93">
        <v>0</v>
      </c>
      <c r="I57" s="23"/>
      <c r="J57" s="23"/>
      <c r="K57" s="23"/>
      <c r="L57" s="23" t="s">
        <v>3311</v>
      </c>
      <c r="M57" s="23"/>
    </row>
    <row r="58" spans="2:13" ht="15" customHeight="1" x14ac:dyDescent="0.25">
      <c r="B58" s="35" t="s">
        <v>3399</v>
      </c>
      <c r="C58" s="23" t="s">
        <v>3400</v>
      </c>
      <c r="D58" s="23" t="s">
        <v>3303</v>
      </c>
      <c r="E58" s="23" t="s">
        <v>3304</v>
      </c>
      <c r="F58" s="23" t="s">
        <v>3305</v>
      </c>
      <c r="G58" s="93">
        <v>0</v>
      </c>
      <c r="H58" s="93">
        <v>0</v>
      </c>
      <c r="I58" s="23"/>
      <c r="J58" s="23"/>
      <c r="K58" s="23"/>
      <c r="L58" s="23" t="s">
        <v>3401</v>
      </c>
      <c r="M58" s="23"/>
    </row>
    <row r="59" spans="2:13" ht="15" customHeight="1" x14ac:dyDescent="0.25">
      <c r="B59" s="35" t="s">
        <v>2993</v>
      </c>
      <c r="C59" s="23" t="s">
        <v>2994</v>
      </c>
      <c r="D59" s="23" t="s">
        <v>3303</v>
      </c>
      <c r="E59" s="23" t="s">
        <v>3317</v>
      </c>
      <c r="F59" s="23" t="s">
        <v>3305</v>
      </c>
      <c r="G59" s="93">
        <v>3</v>
      </c>
      <c r="H59" s="93">
        <v>0</v>
      </c>
      <c r="I59" s="23"/>
      <c r="J59" s="23"/>
      <c r="K59" s="23"/>
      <c r="L59" s="23" t="s">
        <v>3401</v>
      </c>
      <c r="M59" s="23"/>
    </row>
    <row r="60" spans="2:13" ht="15" customHeight="1" x14ac:dyDescent="0.25">
      <c r="B60" s="35" t="s">
        <v>3402</v>
      </c>
      <c r="C60" s="23" t="s">
        <v>3403</v>
      </c>
      <c r="D60" s="23" t="s">
        <v>3303</v>
      </c>
      <c r="E60" s="23" t="s">
        <v>3317</v>
      </c>
      <c r="F60" s="23" t="s">
        <v>3305</v>
      </c>
      <c r="G60" s="93">
        <v>3</v>
      </c>
      <c r="H60" s="93">
        <v>0</v>
      </c>
      <c r="I60" s="23"/>
      <c r="J60" s="23"/>
      <c r="K60" s="23"/>
      <c r="L60" s="23" t="s">
        <v>3401</v>
      </c>
      <c r="M60" s="23"/>
    </row>
    <row r="61" spans="2:13" ht="15" customHeight="1" x14ac:dyDescent="0.25">
      <c r="B61" s="35" t="s">
        <v>3404</v>
      </c>
      <c r="C61" s="23" t="s">
        <v>3405</v>
      </c>
      <c r="D61" s="23" t="s">
        <v>3303</v>
      </c>
      <c r="E61" s="23" t="s">
        <v>3317</v>
      </c>
      <c r="F61" s="23" t="s">
        <v>3305</v>
      </c>
      <c r="G61" s="93">
        <v>3</v>
      </c>
      <c r="H61" s="93">
        <v>1</v>
      </c>
      <c r="I61" s="23"/>
      <c r="J61" s="23"/>
      <c r="K61" s="23"/>
      <c r="L61" s="23" t="s">
        <v>3401</v>
      </c>
      <c r="M61" s="23"/>
    </row>
    <row r="62" spans="2:13" ht="15" customHeight="1" x14ac:dyDescent="0.25">
      <c r="B62" s="35" t="s">
        <v>3406</v>
      </c>
      <c r="C62" s="23" t="s">
        <v>3407</v>
      </c>
      <c r="D62" s="23" t="s">
        <v>3303</v>
      </c>
      <c r="E62" s="23" t="s">
        <v>3317</v>
      </c>
      <c r="F62" s="23" t="s">
        <v>3305</v>
      </c>
      <c r="G62" s="93">
        <v>3</v>
      </c>
      <c r="H62" s="93">
        <v>1</v>
      </c>
      <c r="I62" s="23"/>
      <c r="J62" s="23"/>
      <c r="K62" s="23"/>
      <c r="L62" s="23" t="s">
        <v>3401</v>
      </c>
      <c r="M62" s="23"/>
    </row>
    <row r="63" spans="2:13" ht="15" customHeight="1" x14ac:dyDescent="0.25">
      <c r="B63" s="35" t="s">
        <v>3408</v>
      </c>
      <c r="C63" s="23" t="s">
        <v>3409</v>
      </c>
      <c r="D63" s="23" t="s">
        <v>3303</v>
      </c>
      <c r="E63" s="23" t="s">
        <v>3317</v>
      </c>
      <c r="F63" s="23" t="s">
        <v>3305</v>
      </c>
      <c r="G63" s="93">
        <v>3</v>
      </c>
      <c r="H63" s="93">
        <v>1</v>
      </c>
      <c r="I63" s="23"/>
      <c r="J63" s="23"/>
      <c r="K63" s="23"/>
      <c r="L63" s="23" t="s">
        <v>3401</v>
      </c>
      <c r="M63" s="23"/>
    </row>
    <row r="64" spans="2:13" ht="15" customHeight="1" x14ac:dyDescent="0.25">
      <c r="B64" s="35" t="s">
        <v>3410</v>
      </c>
      <c r="C64" s="23" t="s">
        <v>3411</v>
      </c>
      <c r="D64" s="23" t="s">
        <v>3303</v>
      </c>
      <c r="E64" s="23" t="s">
        <v>3317</v>
      </c>
      <c r="F64" s="23" t="s">
        <v>3305</v>
      </c>
      <c r="G64" s="93">
        <v>3</v>
      </c>
      <c r="H64" s="93">
        <v>0</v>
      </c>
      <c r="I64" s="23"/>
      <c r="J64" s="23"/>
      <c r="K64" s="23"/>
      <c r="L64" s="23" t="s">
        <v>3401</v>
      </c>
      <c r="M64" s="23"/>
    </row>
    <row r="65" spans="2:13" ht="15" customHeight="1" x14ac:dyDescent="0.25">
      <c r="B65" s="35" t="s">
        <v>3412</v>
      </c>
      <c r="C65" s="23" t="s">
        <v>3413</v>
      </c>
      <c r="D65" s="23" t="s">
        <v>3303</v>
      </c>
      <c r="E65" s="23" t="s">
        <v>3317</v>
      </c>
      <c r="F65" s="23" t="s">
        <v>3305</v>
      </c>
      <c r="G65" s="93">
        <v>3</v>
      </c>
      <c r="H65" s="93">
        <v>0</v>
      </c>
      <c r="I65" s="23"/>
      <c r="J65" s="23"/>
      <c r="K65" s="23"/>
      <c r="L65" s="23" t="s">
        <v>3401</v>
      </c>
      <c r="M65" s="23"/>
    </row>
    <row r="66" spans="2:13" ht="15" customHeight="1" x14ac:dyDescent="0.25">
      <c r="B66" s="35" t="s">
        <v>2996</v>
      </c>
      <c r="C66" s="23" t="s">
        <v>2997</v>
      </c>
      <c r="D66" s="23" t="s">
        <v>3303</v>
      </c>
      <c r="E66" s="23" t="s">
        <v>3317</v>
      </c>
      <c r="F66" s="23" t="s">
        <v>3305</v>
      </c>
      <c r="G66" s="93">
        <v>0</v>
      </c>
      <c r="H66" s="93">
        <v>0</v>
      </c>
      <c r="I66" s="23"/>
      <c r="J66" s="23"/>
      <c r="K66" s="23"/>
      <c r="L66" s="23" t="s">
        <v>3401</v>
      </c>
      <c r="M66" s="23"/>
    </row>
    <row r="67" spans="2:13" ht="15" customHeight="1" x14ac:dyDescent="0.25">
      <c r="B67" s="35" t="s">
        <v>3414</v>
      </c>
      <c r="C67" s="23" t="s">
        <v>3415</v>
      </c>
      <c r="D67" s="23" t="s">
        <v>3303</v>
      </c>
      <c r="E67" s="23" t="s">
        <v>3317</v>
      </c>
      <c r="F67" s="23" t="s">
        <v>3305</v>
      </c>
      <c r="G67" s="93">
        <v>0</v>
      </c>
      <c r="H67" s="93">
        <v>0</v>
      </c>
      <c r="I67" s="23"/>
      <c r="J67" s="23"/>
      <c r="K67" s="23"/>
      <c r="L67" s="23" t="s">
        <v>3401</v>
      </c>
      <c r="M67" s="23"/>
    </row>
    <row r="68" spans="2:13" ht="15" customHeight="1" x14ac:dyDescent="0.25">
      <c r="B68" s="35" t="s">
        <v>3401</v>
      </c>
      <c r="C68" s="23" t="s">
        <v>3416</v>
      </c>
      <c r="D68" s="23" t="s">
        <v>3303</v>
      </c>
      <c r="E68" s="23" t="s">
        <v>3367</v>
      </c>
      <c r="F68" s="23" t="s">
        <v>3305</v>
      </c>
      <c r="G68" s="93">
        <v>0</v>
      </c>
      <c r="H68" s="93">
        <v>0</v>
      </c>
      <c r="I68" s="23"/>
      <c r="J68" s="23"/>
      <c r="K68" s="23"/>
      <c r="L68" s="23" t="s">
        <v>3311</v>
      </c>
      <c r="M68" s="23"/>
    </row>
    <row r="69" spans="2:13" ht="15" customHeight="1" x14ac:dyDescent="0.25">
      <c r="B69" s="35" t="s">
        <v>3311</v>
      </c>
      <c r="C69" s="23" t="s">
        <v>3417</v>
      </c>
      <c r="D69" s="23" t="s">
        <v>3303</v>
      </c>
      <c r="E69" s="23" t="s">
        <v>3367</v>
      </c>
      <c r="F69" s="23" t="s">
        <v>3305</v>
      </c>
      <c r="G69" s="93">
        <v>0</v>
      </c>
      <c r="H69" s="93">
        <v>0</v>
      </c>
      <c r="I69" s="23"/>
      <c r="J69" s="23"/>
      <c r="K69" s="23"/>
      <c r="L69" s="23" t="s">
        <v>3308</v>
      </c>
      <c r="M69" s="23"/>
    </row>
    <row r="70" spans="2:13" ht="15" customHeight="1" x14ac:dyDescent="0.25">
      <c r="B70" s="35" t="s">
        <v>3418</v>
      </c>
      <c r="C70" s="23" t="s">
        <v>3419</v>
      </c>
      <c r="D70" s="23" t="s">
        <v>3303</v>
      </c>
      <c r="E70" s="23" t="s">
        <v>3304</v>
      </c>
      <c r="F70" s="23" t="s">
        <v>3305</v>
      </c>
      <c r="G70" s="93">
        <v>0</v>
      </c>
      <c r="H70" s="93">
        <v>0</v>
      </c>
      <c r="I70" s="23"/>
      <c r="J70" s="23"/>
      <c r="K70" s="23"/>
      <c r="L70" s="23" t="s">
        <v>3420</v>
      </c>
      <c r="M70" s="23"/>
    </row>
    <row r="71" spans="2:13" ht="15" customHeight="1" x14ac:dyDescent="0.25">
      <c r="B71" s="35" t="s">
        <v>3421</v>
      </c>
      <c r="C71" s="23" t="s">
        <v>3422</v>
      </c>
      <c r="D71" s="23" t="s">
        <v>3303</v>
      </c>
      <c r="E71" s="23" t="s">
        <v>3304</v>
      </c>
      <c r="F71" s="23" t="s">
        <v>3305</v>
      </c>
      <c r="G71" s="93">
        <v>0</v>
      </c>
      <c r="H71" s="93">
        <v>0</v>
      </c>
      <c r="I71" s="23"/>
      <c r="J71" s="23"/>
      <c r="K71" s="23"/>
      <c r="L71" s="23" t="s">
        <v>3423</v>
      </c>
      <c r="M71" s="23"/>
    </row>
    <row r="72" spans="2:13" ht="15" customHeight="1" x14ac:dyDescent="0.25">
      <c r="B72" s="35" t="s">
        <v>2622</v>
      </c>
      <c r="C72" s="23" t="s">
        <v>2623</v>
      </c>
      <c r="D72" s="23" t="s">
        <v>3303</v>
      </c>
      <c r="E72" s="23" t="s">
        <v>3317</v>
      </c>
      <c r="F72" s="23" t="s">
        <v>3305</v>
      </c>
      <c r="G72" s="93">
        <v>3</v>
      </c>
      <c r="H72" s="93">
        <v>1</v>
      </c>
      <c r="I72" s="23"/>
      <c r="J72" s="23"/>
      <c r="K72" s="23"/>
      <c r="L72" s="23" t="s">
        <v>3423</v>
      </c>
      <c r="M72" s="23"/>
    </row>
    <row r="73" spans="2:13" ht="15" customHeight="1" x14ac:dyDescent="0.25">
      <c r="B73" s="35" t="s">
        <v>2625</v>
      </c>
      <c r="C73" s="23" t="s">
        <v>2626</v>
      </c>
      <c r="D73" s="23" t="s">
        <v>3303</v>
      </c>
      <c r="E73" s="23" t="s">
        <v>3317</v>
      </c>
      <c r="F73" s="23" t="s">
        <v>3305</v>
      </c>
      <c r="G73" s="93">
        <v>3</v>
      </c>
      <c r="H73" s="93">
        <v>1</v>
      </c>
      <c r="I73" s="23"/>
      <c r="J73" s="23"/>
      <c r="K73" s="23"/>
      <c r="L73" s="23" t="s">
        <v>3423</v>
      </c>
      <c r="M73" s="23"/>
    </row>
    <row r="74" spans="2:13" ht="15" customHeight="1" x14ac:dyDescent="0.25">
      <c r="B74" s="35" t="s">
        <v>2627</v>
      </c>
      <c r="C74" s="23" t="s">
        <v>2628</v>
      </c>
      <c r="D74" s="23" t="s">
        <v>3303</v>
      </c>
      <c r="E74" s="23" t="s">
        <v>3317</v>
      </c>
      <c r="F74" s="23" t="s">
        <v>3305</v>
      </c>
      <c r="G74" s="93">
        <v>0</v>
      </c>
      <c r="H74" s="93">
        <v>0</v>
      </c>
      <c r="I74" s="23"/>
      <c r="J74" s="23"/>
      <c r="K74" s="23"/>
      <c r="L74" s="23" t="s">
        <v>3423</v>
      </c>
      <c r="M74" s="23"/>
    </row>
    <row r="75" spans="2:13" ht="15" customHeight="1" x14ac:dyDescent="0.25">
      <c r="B75" s="35" t="s">
        <v>2629</v>
      </c>
      <c r="C75" s="23" t="s">
        <v>3424</v>
      </c>
      <c r="D75" s="23" t="s">
        <v>3303</v>
      </c>
      <c r="E75" s="23" t="s">
        <v>3317</v>
      </c>
      <c r="F75" s="23" t="s">
        <v>3305</v>
      </c>
      <c r="G75" s="93">
        <v>0</v>
      </c>
      <c r="H75" s="93">
        <v>1</v>
      </c>
      <c r="I75" s="23"/>
      <c r="J75" s="23"/>
      <c r="K75" s="23"/>
      <c r="L75" s="23" t="s">
        <v>3423</v>
      </c>
      <c r="M75" s="23"/>
    </row>
    <row r="76" spans="2:13" ht="15" customHeight="1" x14ac:dyDescent="0.25">
      <c r="B76" s="35" t="s">
        <v>2631</v>
      </c>
      <c r="C76" s="23" t="s">
        <v>2632</v>
      </c>
      <c r="D76" s="23" t="s">
        <v>3303</v>
      </c>
      <c r="E76" s="23" t="s">
        <v>3317</v>
      </c>
      <c r="F76" s="23" t="s">
        <v>3305</v>
      </c>
      <c r="G76" s="93">
        <v>0</v>
      </c>
      <c r="H76" s="93">
        <v>0</v>
      </c>
      <c r="I76" s="23"/>
      <c r="J76" s="23"/>
      <c r="K76" s="23"/>
      <c r="L76" s="23" t="s">
        <v>3423</v>
      </c>
      <c r="M76" s="23"/>
    </row>
    <row r="77" spans="2:13" ht="15" customHeight="1" x14ac:dyDescent="0.25">
      <c r="B77" s="35" t="s">
        <v>3423</v>
      </c>
      <c r="C77" s="23" t="s">
        <v>3425</v>
      </c>
      <c r="D77" s="23" t="s">
        <v>3303</v>
      </c>
      <c r="E77" s="23" t="s">
        <v>3367</v>
      </c>
      <c r="F77" s="23" t="s">
        <v>3305</v>
      </c>
      <c r="G77" s="93">
        <v>0</v>
      </c>
      <c r="H77" s="93">
        <v>0</v>
      </c>
      <c r="I77" s="23"/>
      <c r="J77" s="23"/>
      <c r="K77" s="23"/>
      <c r="L77" s="23" t="s">
        <v>3420</v>
      </c>
      <c r="M77" s="23"/>
    </row>
    <row r="78" spans="2:13" ht="15" customHeight="1" x14ac:dyDescent="0.25">
      <c r="B78" s="35" t="s">
        <v>3426</v>
      </c>
      <c r="C78" s="23" t="s">
        <v>3427</v>
      </c>
      <c r="D78" s="23" t="s">
        <v>3303</v>
      </c>
      <c r="E78" s="23" t="s">
        <v>3304</v>
      </c>
      <c r="F78" s="23" t="s">
        <v>3305</v>
      </c>
      <c r="G78" s="93">
        <v>0</v>
      </c>
      <c r="H78" s="93">
        <v>0</v>
      </c>
      <c r="I78" s="23"/>
      <c r="J78" s="23"/>
      <c r="K78" s="23"/>
      <c r="L78" s="23" t="s">
        <v>3428</v>
      </c>
      <c r="M78" s="23"/>
    </row>
    <row r="79" spans="2:13" ht="15" customHeight="1" x14ac:dyDescent="0.25">
      <c r="B79" s="35" t="s">
        <v>3429</v>
      </c>
      <c r="C79" s="23" t="s">
        <v>3430</v>
      </c>
      <c r="D79" s="23" t="s">
        <v>3303</v>
      </c>
      <c r="E79" s="23" t="s">
        <v>3317</v>
      </c>
      <c r="F79" s="23" t="s">
        <v>3305</v>
      </c>
      <c r="G79" s="93">
        <v>3</v>
      </c>
      <c r="H79" s="93">
        <v>0</v>
      </c>
      <c r="I79" s="23"/>
      <c r="J79" s="23"/>
      <c r="K79" s="23"/>
      <c r="L79" s="23" t="s">
        <v>3428</v>
      </c>
      <c r="M79" s="23"/>
    </row>
    <row r="80" spans="2:13" ht="15" customHeight="1" x14ac:dyDescent="0.25">
      <c r="B80" s="35" t="s">
        <v>3431</v>
      </c>
      <c r="C80" s="23" t="s">
        <v>3432</v>
      </c>
      <c r="D80" s="23" t="s">
        <v>3303</v>
      </c>
      <c r="E80" s="23" t="s">
        <v>3317</v>
      </c>
      <c r="F80" s="23" t="s">
        <v>3305</v>
      </c>
      <c r="G80" s="93">
        <v>3</v>
      </c>
      <c r="H80" s="93">
        <v>0</v>
      </c>
      <c r="I80" s="23"/>
      <c r="J80" s="23"/>
      <c r="K80" s="23"/>
      <c r="L80" s="23" t="s">
        <v>3428</v>
      </c>
      <c r="M80" s="23"/>
    </row>
    <row r="81" spans="2:13" ht="15" customHeight="1" x14ac:dyDescent="0.25">
      <c r="B81" s="35" t="s">
        <v>3433</v>
      </c>
      <c r="C81" s="23" t="s">
        <v>3434</v>
      </c>
      <c r="D81" s="23" t="s">
        <v>3303</v>
      </c>
      <c r="E81" s="23" t="s">
        <v>3317</v>
      </c>
      <c r="F81" s="23" t="s">
        <v>3305</v>
      </c>
      <c r="G81" s="93">
        <v>3</v>
      </c>
      <c r="H81" s="93">
        <v>0</v>
      </c>
      <c r="I81" s="23"/>
      <c r="J81" s="23"/>
      <c r="K81" s="23"/>
      <c r="L81" s="23" t="s">
        <v>3428</v>
      </c>
      <c r="M81" s="23"/>
    </row>
    <row r="82" spans="2:13" ht="15" customHeight="1" x14ac:dyDescent="0.25">
      <c r="B82" s="35" t="s">
        <v>3435</v>
      </c>
      <c r="C82" s="23" t="s">
        <v>3436</v>
      </c>
      <c r="D82" s="23" t="s">
        <v>3303</v>
      </c>
      <c r="E82" s="23" t="s">
        <v>3317</v>
      </c>
      <c r="F82" s="23" t="s">
        <v>3305</v>
      </c>
      <c r="G82" s="93">
        <v>3</v>
      </c>
      <c r="H82" s="93">
        <v>0</v>
      </c>
      <c r="I82" s="23"/>
      <c r="J82" s="23"/>
      <c r="K82" s="23"/>
      <c r="L82" s="23" t="s">
        <v>3428</v>
      </c>
      <c r="M82" s="23"/>
    </row>
    <row r="83" spans="2:13" ht="15" customHeight="1" x14ac:dyDescent="0.25">
      <c r="B83" s="35" t="s">
        <v>3437</v>
      </c>
      <c r="C83" s="23" t="s">
        <v>3438</v>
      </c>
      <c r="D83" s="23" t="s">
        <v>3303</v>
      </c>
      <c r="E83" s="23" t="s">
        <v>3317</v>
      </c>
      <c r="F83" s="23" t="s">
        <v>3305</v>
      </c>
      <c r="G83" s="93">
        <v>3</v>
      </c>
      <c r="H83" s="93">
        <v>1</v>
      </c>
      <c r="I83" s="23"/>
      <c r="J83" s="23"/>
      <c r="K83" s="23"/>
      <c r="L83" s="23" t="s">
        <v>3428</v>
      </c>
      <c r="M83" s="23"/>
    </row>
    <row r="84" spans="2:13" ht="15" customHeight="1" x14ac:dyDescent="0.25">
      <c r="B84" s="35" t="s">
        <v>3439</v>
      </c>
      <c r="C84" s="23" t="s">
        <v>3440</v>
      </c>
      <c r="D84" s="23" t="s">
        <v>3303</v>
      </c>
      <c r="E84" s="23" t="s">
        <v>3317</v>
      </c>
      <c r="F84" s="23" t="s">
        <v>3305</v>
      </c>
      <c r="G84" s="93">
        <v>3</v>
      </c>
      <c r="H84" s="93">
        <v>0</v>
      </c>
      <c r="I84" s="23"/>
      <c r="J84" s="23"/>
      <c r="K84" s="23"/>
      <c r="L84" s="23" t="s">
        <v>3428</v>
      </c>
      <c r="M84" s="23"/>
    </row>
    <row r="85" spans="2:13" ht="15" customHeight="1" x14ac:dyDescent="0.25">
      <c r="B85" s="35" t="s">
        <v>3441</v>
      </c>
      <c r="C85" s="23" t="s">
        <v>3442</v>
      </c>
      <c r="D85" s="23" t="s">
        <v>3303</v>
      </c>
      <c r="E85" s="23" t="s">
        <v>3317</v>
      </c>
      <c r="F85" s="23" t="s">
        <v>3305</v>
      </c>
      <c r="G85" s="93">
        <v>3</v>
      </c>
      <c r="H85" s="93">
        <v>0</v>
      </c>
      <c r="I85" s="23"/>
      <c r="J85" s="23"/>
      <c r="K85" s="23"/>
      <c r="L85" s="23" t="s">
        <v>3428</v>
      </c>
      <c r="M85" s="23"/>
    </row>
    <row r="86" spans="2:13" ht="15" customHeight="1" x14ac:dyDescent="0.25">
      <c r="B86" s="35" t="s">
        <v>3443</v>
      </c>
      <c r="C86" s="23" t="s">
        <v>3444</v>
      </c>
      <c r="D86" s="23" t="s">
        <v>3303</v>
      </c>
      <c r="E86" s="23" t="s">
        <v>3317</v>
      </c>
      <c r="F86" s="23" t="s">
        <v>3305</v>
      </c>
      <c r="G86" s="93">
        <v>3</v>
      </c>
      <c r="H86" s="93">
        <v>1</v>
      </c>
      <c r="I86" s="23"/>
      <c r="J86" s="23"/>
      <c r="K86" s="23"/>
      <c r="L86" s="23" t="s">
        <v>3428</v>
      </c>
      <c r="M86" s="23"/>
    </row>
    <row r="87" spans="2:13" ht="15" customHeight="1" x14ac:dyDescent="0.25">
      <c r="B87" s="35" t="s">
        <v>3445</v>
      </c>
      <c r="C87" s="23" t="s">
        <v>3446</v>
      </c>
      <c r="D87" s="23" t="s">
        <v>3303</v>
      </c>
      <c r="E87" s="23" t="s">
        <v>3317</v>
      </c>
      <c r="F87" s="23" t="s">
        <v>3305</v>
      </c>
      <c r="G87" s="93">
        <v>3</v>
      </c>
      <c r="H87" s="93">
        <v>0</v>
      </c>
      <c r="I87" s="23"/>
      <c r="J87" s="23"/>
      <c r="K87" s="23"/>
      <c r="L87" s="23" t="s">
        <v>3428</v>
      </c>
      <c r="M87" s="23"/>
    </row>
    <row r="88" spans="2:13" ht="15" customHeight="1" x14ac:dyDescent="0.25">
      <c r="B88" s="35" t="s">
        <v>3447</v>
      </c>
      <c r="C88" s="23" t="s">
        <v>3448</v>
      </c>
      <c r="D88" s="23" t="s">
        <v>3303</v>
      </c>
      <c r="E88" s="23" t="s">
        <v>3317</v>
      </c>
      <c r="F88" s="23" t="s">
        <v>3305</v>
      </c>
      <c r="G88" s="93">
        <v>3</v>
      </c>
      <c r="H88" s="93">
        <v>0</v>
      </c>
      <c r="I88" s="23"/>
      <c r="J88" s="23"/>
      <c r="K88" s="23"/>
      <c r="L88" s="23" t="s">
        <v>3428</v>
      </c>
      <c r="M88" s="23"/>
    </row>
    <row r="89" spans="2:13" ht="15" customHeight="1" x14ac:dyDescent="0.25">
      <c r="B89" s="35" t="s">
        <v>3449</v>
      </c>
      <c r="C89" s="23" t="s">
        <v>3450</v>
      </c>
      <c r="D89" s="23" t="s">
        <v>3303</v>
      </c>
      <c r="E89" s="23" t="s">
        <v>3317</v>
      </c>
      <c r="F89" s="23" t="s">
        <v>3305</v>
      </c>
      <c r="G89" s="93">
        <v>3</v>
      </c>
      <c r="H89" s="93">
        <v>0</v>
      </c>
      <c r="I89" s="23"/>
      <c r="J89" s="23"/>
      <c r="K89" s="23"/>
      <c r="L89" s="23" t="s">
        <v>3428</v>
      </c>
      <c r="M89" s="23"/>
    </row>
    <row r="90" spans="2:13" ht="15" customHeight="1" x14ac:dyDescent="0.25">
      <c r="B90" s="35" t="s">
        <v>3451</v>
      </c>
      <c r="C90" s="23" t="s">
        <v>3452</v>
      </c>
      <c r="D90" s="23" t="s">
        <v>3303</v>
      </c>
      <c r="E90" s="23" t="s">
        <v>3317</v>
      </c>
      <c r="F90" s="23" t="s">
        <v>3305</v>
      </c>
      <c r="G90" s="93">
        <v>3</v>
      </c>
      <c r="H90" s="93">
        <v>0</v>
      </c>
      <c r="I90" s="23"/>
      <c r="J90" s="23"/>
      <c r="K90" s="23"/>
      <c r="L90" s="23" t="s">
        <v>3428</v>
      </c>
      <c r="M90" s="23"/>
    </row>
    <row r="91" spans="2:13" ht="15" customHeight="1" x14ac:dyDescent="0.25">
      <c r="B91" s="35" t="s">
        <v>3453</v>
      </c>
      <c r="C91" s="23" t="s">
        <v>3454</v>
      </c>
      <c r="D91" s="23" t="s">
        <v>3303</v>
      </c>
      <c r="E91" s="23" t="s">
        <v>3317</v>
      </c>
      <c r="F91" s="23" t="s">
        <v>3305</v>
      </c>
      <c r="G91" s="93">
        <v>3</v>
      </c>
      <c r="H91" s="93">
        <v>0</v>
      </c>
      <c r="I91" s="23"/>
      <c r="J91" s="23"/>
      <c r="K91" s="23"/>
      <c r="L91" s="23" t="s">
        <v>3428</v>
      </c>
      <c r="M91" s="23"/>
    </row>
    <row r="92" spans="2:13" ht="15" customHeight="1" x14ac:dyDescent="0.25">
      <c r="B92" s="35" t="s">
        <v>3455</v>
      </c>
      <c r="C92" s="23" t="s">
        <v>3456</v>
      </c>
      <c r="D92" s="23" t="s">
        <v>3303</v>
      </c>
      <c r="E92" s="23" t="s">
        <v>3317</v>
      </c>
      <c r="F92" s="23" t="s">
        <v>3305</v>
      </c>
      <c r="G92" s="93">
        <v>3</v>
      </c>
      <c r="H92" s="93">
        <v>0</v>
      </c>
      <c r="I92" s="23"/>
      <c r="J92" s="23"/>
      <c r="K92" s="23"/>
      <c r="L92" s="23" t="s">
        <v>3428</v>
      </c>
      <c r="M92" s="23"/>
    </row>
    <row r="93" spans="2:13" ht="15" customHeight="1" x14ac:dyDescent="0.25">
      <c r="B93" s="35" t="s">
        <v>3457</v>
      </c>
      <c r="C93" s="23" t="s">
        <v>3458</v>
      </c>
      <c r="D93" s="23" t="s">
        <v>3303</v>
      </c>
      <c r="E93" s="23" t="s">
        <v>3317</v>
      </c>
      <c r="F93" s="23" t="s">
        <v>3305</v>
      </c>
      <c r="G93" s="93">
        <v>0</v>
      </c>
      <c r="H93" s="93">
        <v>1</v>
      </c>
      <c r="I93" s="23"/>
      <c r="J93" s="23"/>
      <c r="K93" s="23"/>
      <c r="L93" s="23" t="s">
        <v>3428</v>
      </c>
      <c r="M93" s="23"/>
    </row>
    <row r="94" spans="2:13" ht="15" customHeight="1" x14ac:dyDescent="0.25">
      <c r="B94" s="35" t="s">
        <v>3459</v>
      </c>
      <c r="C94" s="23" t="s">
        <v>3460</v>
      </c>
      <c r="D94" s="23" t="s">
        <v>3303</v>
      </c>
      <c r="E94" s="23" t="s">
        <v>3317</v>
      </c>
      <c r="F94" s="23" t="s">
        <v>3305</v>
      </c>
      <c r="G94" s="93">
        <v>3</v>
      </c>
      <c r="H94" s="93">
        <v>0</v>
      </c>
      <c r="I94" s="23"/>
      <c r="J94" s="23"/>
      <c r="K94" s="23"/>
      <c r="L94" s="23" t="s">
        <v>3428</v>
      </c>
      <c r="M94" s="23"/>
    </row>
    <row r="95" spans="2:13" ht="15" customHeight="1" x14ac:dyDescent="0.25">
      <c r="B95" s="35" t="s">
        <v>3428</v>
      </c>
      <c r="C95" s="23" t="s">
        <v>3461</v>
      </c>
      <c r="D95" s="23" t="s">
        <v>3303</v>
      </c>
      <c r="E95" s="23" t="s">
        <v>3367</v>
      </c>
      <c r="F95" s="23" t="s">
        <v>3305</v>
      </c>
      <c r="G95" s="93">
        <v>0</v>
      </c>
      <c r="H95" s="93">
        <v>0</v>
      </c>
      <c r="I95" s="23"/>
      <c r="J95" s="23"/>
      <c r="K95" s="23"/>
      <c r="L95" s="23" t="s">
        <v>3420</v>
      </c>
      <c r="M95" s="23"/>
    </row>
    <row r="96" spans="2:13" ht="15" customHeight="1" x14ac:dyDescent="0.25">
      <c r="B96" s="35" t="s">
        <v>3420</v>
      </c>
      <c r="C96" s="23" t="s">
        <v>3462</v>
      </c>
      <c r="D96" s="23" t="s">
        <v>3303</v>
      </c>
      <c r="E96" s="23" t="s">
        <v>3367</v>
      </c>
      <c r="F96" s="23" t="s">
        <v>3305</v>
      </c>
      <c r="G96" s="93">
        <v>0</v>
      </c>
      <c r="H96" s="93">
        <v>0</v>
      </c>
      <c r="I96" s="23"/>
      <c r="J96" s="23"/>
      <c r="K96" s="23"/>
      <c r="L96" s="23" t="s">
        <v>3308</v>
      </c>
      <c r="M96" s="23"/>
    </row>
    <row r="97" spans="2:13" ht="15" customHeight="1" x14ac:dyDescent="0.25">
      <c r="B97" s="35" t="s">
        <v>3463</v>
      </c>
      <c r="C97" s="23" t="s">
        <v>3464</v>
      </c>
      <c r="D97" s="23" t="s">
        <v>3303</v>
      </c>
      <c r="E97" s="23" t="s">
        <v>3304</v>
      </c>
      <c r="F97" s="23" t="s">
        <v>3305</v>
      </c>
      <c r="G97" s="93">
        <v>0</v>
      </c>
      <c r="H97" s="93">
        <v>0</v>
      </c>
      <c r="I97" s="23"/>
      <c r="J97" s="23"/>
      <c r="K97" s="23"/>
      <c r="L97" s="23" t="s">
        <v>3465</v>
      </c>
      <c r="M97" s="23"/>
    </row>
    <row r="98" spans="2:13" ht="15" customHeight="1" x14ac:dyDescent="0.25">
      <c r="B98" s="35" t="s">
        <v>3466</v>
      </c>
      <c r="C98" s="23" t="s">
        <v>3464</v>
      </c>
      <c r="D98" s="23" t="s">
        <v>3303</v>
      </c>
      <c r="E98" s="23" t="s">
        <v>3317</v>
      </c>
      <c r="F98" s="23" t="s">
        <v>3305</v>
      </c>
      <c r="G98" s="93">
        <v>3</v>
      </c>
      <c r="H98" s="93">
        <v>0</v>
      </c>
      <c r="I98" s="23"/>
      <c r="J98" s="23"/>
      <c r="K98" s="23"/>
      <c r="L98" s="23" t="s">
        <v>3465</v>
      </c>
      <c r="M98" s="23"/>
    </row>
    <row r="99" spans="2:13" ht="15" customHeight="1" x14ac:dyDescent="0.25">
      <c r="B99" s="35" t="s">
        <v>3467</v>
      </c>
      <c r="C99" s="23" t="s">
        <v>3468</v>
      </c>
      <c r="D99" s="23" t="s">
        <v>3303</v>
      </c>
      <c r="E99" s="23" t="s">
        <v>3317</v>
      </c>
      <c r="F99" s="23" t="s">
        <v>3305</v>
      </c>
      <c r="G99" s="93">
        <v>3</v>
      </c>
      <c r="H99" s="93">
        <v>1</v>
      </c>
      <c r="I99" s="23"/>
      <c r="J99" s="23"/>
      <c r="K99" s="23"/>
      <c r="L99" s="23" t="s">
        <v>3465</v>
      </c>
      <c r="M99" s="23"/>
    </row>
    <row r="100" spans="2:13" ht="15" customHeight="1" x14ac:dyDescent="0.25">
      <c r="B100" s="35" t="s">
        <v>3465</v>
      </c>
      <c r="C100" s="23" t="s">
        <v>3469</v>
      </c>
      <c r="D100" s="23" t="s">
        <v>3303</v>
      </c>
      <c r="E100" s="23" t="s">
        <v>3367</v>
      </c>
      <c r="F100" s="23" t="s">
        <v>3305</v>
      </c>
      <c r="G100" s="93">
        <v>0</v>
      </c>
      <c r="H100" s="93">
        <v>0</v>
      </c>
      <c r="I100" s="23"/>
      <c r="J100" s="23"/>
      <c r="K100" s="23"/>
      <c r="L100" s="23" t="s">
        <v>3308</v>
      </c>
      <c r="M100" s="23"/>
    </row>
    <row r="101" spans="2:13" ht="15" customHeight="1" x14ac:dyDescent="0.25">
      <c r="B101" s="35" t="s">
        <v>3470</v>
      </c>
      <c r="C101" s="23" t="s">
        <v>3471</v>
      </c>
      <c r="D101" s="23" t="s">
        <v>3303</v>
      </c>
      <c r="E101" s="23" t="s">
        <v>3304</v>
      </c>
      <c r="F101" s="23" t="s">
        <v>3305</v>
      </c>
      <c r="G101" s="93">
        <v>0</v>
      </c>
      <c r="H101" s="93">
        <v>0</v>
      </c>
      <c r="I101" s="23"/>
      <c r="J101" s="23"/>
      <c r="K101" s="23"/>
      <c r="L101" s="23" t="s">
        <v>3472</v>
      </c>
      <c r="M101" s="23"/>
    </row>
    <row r="102" spans="2:13" ht="15" customHeight="1" x14ac:dyDescent="0.25">
      <c r="B102" s="35" t="s">
        <v>3473</v>
      </c>
      <c r="C102" s="23" t="s">
        <v>3474</v>
      </c>
      <c r="D102" s="23" t="s">
        <v>3303</v>
      </c>
      <c r="E102" s="23" t="s">
        <v>3317</v>
      </c>
      <c r="F102" s="23" t="s">
        <v>3305</v>
      </c>
      <c r="G102" s="93">
        <v>3</v>
      </c>
      <c r="H102" s="93">
        <v>0</v>
      </c>
      <c r="I102" s="23"/>
      <c r="J102" s="23"/>
      <c r="K102" s="23"/>
      <c r="L102" s="23" t="s">
        <v>3472</v>
      </c>
      <c r="M102" s="23"/>
    </row>
    <row r="103" spans="2:13" ht="15" customHeight="1" x14ac:dyDescent="0.25">
      <c r="B103" s="35" t="s">
        <v>3475</v>
      </c>
      <c r="C103" s="23" t="s">
        <v>3476</v>
      </c>
      <c r="D103" s="23" t="s">
        <v>3303</v>
      </c>
      <c r="E103" s="23" t="s">
        <v>3317</v>
      </c>
      <c r="F103" s="23" t="s">
        <v>3305</v>
      </c>
      <c r="G103" s="93">
        <v>3</v>
      </c>
      <c r="H103" s="93">
        <v>0</v>
      </c>
      <c r="I103" s="23"/>
      <c r="J103" s="23"/>
      <c r="K103" s="23"/>
      <c r="L103" s="23" t="s">
        <v>3472</v>
      </c>
      <c r="M103" s="23"/>
    </row>
    <row r="104" spans="2:13" ht="15" customHeight="1" x14ac:dyDescent="0.25">
      <c r="B104" s="35" t="s">
        <v>3472</v>
      </c>
      <c r="C104" s="23" t="s">
        <v>3477</v>
      </c>
      <c r="D104" s="23" t="s">
        <v>3303</v>
      </c>
      <c r="E104" s="23" t="s">
        <v>3367</v>
      </c>
      <c r="F104" s="23" t="s">
        <v>3305</v>
      </c>
      <c r="G104" s="93">
        <v>0</v>
      </c>
      <c r="H104" s="93">
        <v>0</v>
      </c>
      <c r="I104" s="23"/>
      <c r="J104" s="23"/>
      <c r="K104" s="23"/>
      <c r="L104" s="23" t="s">
        <v>3308</v>
      </c>
      <c r="M104" s="23"/>
    </row>
    <row r="105" spans="2:13" ht="15" customHeight="1" x14ac:dyDescent="0.25">
      <c r="B105" s="35" t="s">
        <v>3478</v>
      </c>
      <c r="C105" s="23" t="s">
        <v>3479</v>
      </c>
      <c r="D105" s="23" t="s">
        <v>3303</v>
      </c>
      <c r="E105" s="23" t="s">
        <v>3304</v>
      </c>
      <c r="F105" s="23" t="s">
        <v>3305</v>
      </c>
      <c r="G105" s="93">
        <v>0</v>
      </c>
      <c r="H105" s="93">
        <v>1</v>
      </c>
      <c r="I105" s="23"/>
      <c r="J105" s="23"/>
      <c r="K105" s="23"/>
      <c r="L105" s="23" t="s">
        <v>3480</v>
      </c>
      <c r="M105" s="23"/>
    </row>
    <row r="106" spans="2:13" ht="15" customHeight="1" x14ac:dyDescent="0.25">
      <c r="B106" s="35" t="s">
        <v>3481</v>
      </c>
      <c r="C106" s="23" t="s">
        <v>3482</v>
      </c>
      <c r="D106" s="23" t="s">
        <v>3303</v>
      </c>
      <c r="E106" s="23" t="s">
        <v>3317</v>
      </c>
      <c r="F106" s="23" t="s">
        <v>3305</v>
      </c>
      <c r="G106" s="93">
        <v>3</v>
      </c>
      <c r="H106" s="93">
        <v>1</v>
      </c>
      <c r="I106" s="23"/>
      <c r="J106" s="23"/>
      <c r="K106" s="23"/>
      <c r="L106" s="23" t="s">
        <v>3480</v>
      </c>
      <c r="M106" s="23"/>
    </row>
    <row r="107" spans="2:13" ht="15" customHeight="1" x14ac:dyDescent="0.25">
      <c r="B107" s="35" t="s">
        <v>3483</v>
      </c>
      <c r="C107" s="23" t="s">
        <v>3484</v>
      </c>
      <c r="D107" s="23" t="s">
        <v>3303</v>
      </c>
      <c r="E107" s="23" t="s">
        <v>3317</v>
      </c>
      <c r="F107" s="23" t="s">
        <v>3305</v>
      </c>
      <c r="G107" s="93">
        <v>3</v>
      </c>
      <c r="H107" s="93">
        <v>1</v>
      </c>
      <c r="I107" s="23"/>
      <c r="J107" s="23"/>
      <c r="K107" s="23"/>
      <c r="L107" s="23" t="s">
        <v>3480</v>
      </c>
      <c r="M107" s="23"/>
    </row>
    <row r="108" spans="2:13" ht="15" customHeight="1" x14ac:dyDescent="0.25">
      <c r="B108" s="35" t="s">
        <v>3480</v>
      </c>
      <c r="C108" s="23" t="s">
        <v>3485</v>
      </c>
      <c r="D108" s="23" t="s">
        <v>3303</v>
      </c>
      <c r="E108" s="23" t="s">
        <v>3367</v>
      </c>
      <c r="F108" s="23" t="s">
        <v>3305</v>
      </c>
      <c r="G108" s="93">
        <v>0</v>
      </c>
      <c r="H108" s="93">
        <v>1</v>
      </c>
      <c r="I108" s="23"/>
      <c r="J108" s="23"/>
      <c r="K108" s="23"/>
      <c r="L108" s="23" t="s">
        <v>3308</v>
      </c>
      <c r="M108" s="23"/>
    </row>
    <row r="109" spans="2:13" ht="15" customHeight="1" x14ac:dyDescent="0.25">
      <c r="B109" s="35" t="s">
        <v>3308</v>
      </c>
      <c r="C109" s="23" t="s">
        <v>3486</v>
      </c>
      <c r="D109" s="23" t="s">
        <v>3303</v>
      </c>
      <c r="E109" s="23" t="s">
        <v>3367</v>
      </c>
      <c r="F109" s="23" t="s">
        <v>3305</v>
      </c>
      <c r="G109" s="93">
        <v>0</v>
      </c>
      <c r="H109" s="93">
        <v>0</v>
      </c>
      <c r="I109" s="23"/>
      <c r="J109" s="23"/>
      <c r="K109" s="23"/>
      <c r="L109" s="23" t="s">
        <v>3487</v>
      </c>
      <c r="M109" s="23"/>
    </row>
    <row r="110" spans="2:13" ht="15" customHeight="1" x14ac:dyDescent="0.25">
      <c r="B110" s="35" t="s">
        <v>3488</v>
      </c>
      <c r="C110" s="23" t="s">
        <v>3489</v>
      </c>
      <c r="D110" s="23" t="s">
        <v>3303</v>
      </c>
      <c r="E110" s="23" t="s">
        <v>3304</v>
      </c>
      <c r="F110" s="23" t="s">
        <v>3305</v>
      </c>
      <c r="G110" s="93">
        <v>0</v>
      </c>
      <c r="H110" s="93">
        <v>0</v>
      </c>
      <c r="I110" s="23"/>
      <c r="J110" s="23"/>
      <c r="K110" s="23"/>
      <c r="L110" s="23" t="s">
        <v>3490</v>
      </c>
      <c r="M110" s="23"/>
    </row>
    <row r="111" spans="2:13" ht="15" customHeight="1" x14ac:dyDescent="0.25">
      <c r="B111" s="35" t="s">
        <v>3491</v>
      </c>
      <c r="C111" s="23" t="s">
        <v>3492</v>
      </c>
      <c r="D111" s="23" t="s">
        <v>3303</v>
      </c>
      <c r="E111" s="23" t="s">
        <v>3304</v>
      </c>
      <c r="F111" s="23" t="s">
        <v>3305</v>
      </c>
      <c r="G111" s="93">
        <v>0</v>
      </c>
      <c r="H111" s="93">
        <v>1</v>
      </c>
      <c r="I111" s="23"/>
      <c r="J111" s="23"/>
      <c r="K111" s="23"/>
      <c r="L111" s="23" t="s">
        <v>3493</v>
      </c>
      <c r="M111" s="23"/>
    </row>
    <row r="112" spans="2:13" ht="15" customHeight="1" x14ac:dyDescent="0.25">
      <c r="B112" s="35" t="s">
        <v>3494</v>
      </c>
      <c r="C112" s="23" t="s">
        <v>3495</v>
      </c>
      <c r="D112" s="23" t="s">
        <v>3303</v>
      </c>
      <c r="E112" s="23" t="s">
        <v>3317</v>
      </c>
      <c r="F112" s="23" t="s">
        <v>3305</v>
      </c>
      <c r="G112" s="93">
        <v>3</v>
      </c>
      <c r="H112" s="93">
        <v>1</v>
      </c>
      <c r="I112" s="23"/>
      <c r="J112" s="23"/>
      <c r="K112" s="23"/>
      <c r="L112" s="23" t="s">
        <v>3493</v>
      </c>
      <c r="M112" s="23"/>
    </row>
    <row r="113" spans="2:13" ht="15" customHeight="1" x14ac:dyDescent="0.25">
      <c r="B113" s="35" t="s">
        <v>3496</v>
      </c>
      <c r="C113" s="23" t="s">
        <v>3497</v>
      </c>
      <c r="D113" s="23" t="s">
        <v>3303</v>
      </c>
      <c r="E113" s="23" t="s">
        <v>3317</v>
      </c>
      <c r="F113" s="23" t="s">
        <v>3305</v>
      </c>
      <c r="G113" s="93">
        <v>3</v>
      </c>
      <c r="H113" s="93">
        <v>1</v>
      </c>
      <c r="I113" s="23"/>
      <c r="J113" s="23"/>
      <c r="K113" s="23"/>
      <c r="L113" s="23" t="s">
        <v>3493</v>
      </c>
      <c r="M113" s="23"/>
    </row>
    <row r="114" spans="2:13" ht="15" customHeight="1" x14ac:dyDescent="0.25">
      <c r="B114" s="35" t="s">
        <v>3498</v>
      </c>
      <c r="C114" s="23" t="s">
        <v>3499</v>
      </c>
      <c r="D114" s="23" t="s">
        <v>3303</v>
      </c>
      <c r="E114" s="23" t="s">
        <v>3317</v>
      </c>
      <c r="F114" s="23" t="s">
        <v>3305</v>
      </c>
      <c r="G114" s="93">
        <v>3</v>
      </c>
      <c r="H114" s="93">
        <v>1</v>
      </c>
      <c r="I114" s="23"/>
      <c r="J114" s="23"/>
      <c r="K114" s="23"/>
      <c r="L114" s="23" t="s">
        <v>3493</v>
      </c>
      <c r="M114" s="23"/>
    </row>
    <row r="115" spans="2:13" ht="15" customHeight="1" x14ac:dyDescent="0.25">
      <c r="B115" s="35" t="s">
        <v>3493</v>
      </c>
      <c r="C115" s="23" t="s">
        <v>3500</v>
      </c>
      <c r="D115" s="23" t="s">
        <v>3303</v>
      </c>
      <c r="E115" s="23" t="s">
        <v>3367</v>
      </c>
      <c r="F115" s="23" t="s">
        <v>3305</v>
      </c>
      <c r="G115" s="93">
        <v>0</v>
      </c>
      <c r="H115" s="93">
        <v>1</v>
      </c>
      <c r="I115" s="23"/>
      <c r="J115" s="23"/>
      <c r="K115" s="23"/>
      <c r="L115" s="23" t="s">
        <v>3501</v>
      </c>
      <c r="M115" s="23"/>
    </row>
    <row r="116" spans="2:13" ht="15" customHeight="1" x14ac:dyDescent="0.25">
      <c r="B116" s="35" t="s">
        <v>3502</v>
      </c>
      <c r="C116" s="23" t="s">
        <v>3503</v>
      </c>
      <c r="D116" s="23" t="s">
        <v>3303</v>
      </c>
      <c r="E116" s="23" t="s">
        <v>3304</v>
      </c>
      <c r="F116" s="23" t="s">
        <v>3305</v>
      </c>
      <c r="G116" s="93">
        <v>0</v>
      </c>
      <c r="H116" s="93">
        <v>0</v>
      </c>
      <c r="I116" s="23"/>
      <c r="J116" s="23"/>
      <c r="K116" s="23"/>
      <c r="L116" s="23" t="s">
        <v>3490</v>
      </c>
      <c r="M116" s="23"/>
    </row>
    <row r="117" spans="2:13" ht="15" customHeight="1" x14ac:dyDescent="0.25">
      <c r="B117" s="35" t="s">
        <v>3504</v>
      </c>
      <c r="C117" s="23" t="s">
        <v>3505</v>
      </c>
      <c r="D117" s="23" t="s">
        <v>3303</v>
      </c>
      <c r="E117" s="23" t="s">
        <v>3317</v>
      </c>
      <c r="F117" s="23" t="s">
        <v>3305</v>
      </c>
      <c r="G117" s="93">
        <v>3</v>
      </c>
      <c r="H117" s="93">
        <v>1</v>
      </c>
      <c r="I117" s="23"/>
      <c r="J117" s="23"/>
      <c r="K117" s="23"/>
      <c r="L117" s="23" t="s">
        <v>3490</v>
      </c>
      <c r="M117" s="23" t="s">
        <v>3503</v>
      </c>
    </row>
    <row r="118" spans="2:13" ht="15" customHeight="1" x14ac:dyDescent="0.25">
      <c r="B118" s="35" t="s">
        <v>3506</v>
      </c>
      <c r="C118" s="23" t="s">
        <v>3507</v>
      </c>
      <c r="D118" s="23" t="s">
        <v>3303</v>
      </c>
      <c r="E118" s="23" t="s">
        <v>3317</v>
      </c>
      <c r="F118" s="23" t="s">
        <v>3305</v>
      </c>
      <c r="G118" s="93">
        <v>3</v>
      </c>
      <c r="H118" s="93">
        <v>1</v>
      </c>
      <c r="I118" s="23"/>
      <c r="J118" s="23"/>
      <c r="K118" s="23"/>
      <c r="L118" s="23" t="s">
        <v>3490</v>
      </c>
      <c r="M118" s="23"/>
    </row>
    <row r="119" spans="2:13" ht="15" customHeight="1" x14ac:dyDescent="0.25">
      <c r="B119" s="35" t="s">
        <v>3508</v>
      </c>
      <c r="C119" s="23" t="s">
        <v>3509</v>
      </c>
      <c r="D119" s="23" t="s">
        <v>3303</v>
      </c>
      <c r="E119" s="23" t="s">
        <v>3317</v>
      </c>
      <c r="F119" s="23" t="s">
        <v>3305</v>
      </c>
      <c r="G119" s="93">
        <v>3</v>
      </c>
      <c r="H119" s="93">
        <v>1</v>
      </c>
      <c r="I119" s="23"/>
      <c r="J119" s="23"/>
      <c r="K119" s="23"/>
      <c r="L119" s="23" t="s">
        <v>3490</v>
      </c>
      <c r="M119" s="23" t="s">
        <v>3510</v>
      </c>
    </row>
    <row r="120" spans="2:13" ht="15" customHeight="1" x14ac:dyDescent="0.25">
      <c r="B120" s="35" t="s">
        <v>3511</v>
      </c>
      <c r="C120" s="23" t="s">
        <v>3512</v>
      </c>
      <c r="D120" s="23" t="s">
        <v>3303</v>
      </c>
      <c r="E120" s="23" t="s">
        <v>3317</v>
      </c>
      <c r="F120" s="23" t="s">
        <v>3305</v>
      </c>
      <c r="G120" s="93">
        <v>3</v>
      </c>
      <c r="H120" s="93">
        <v>1</v>
      </c>
      <c r="I120" s="23"/>
      <c r="J120" s="23"/>
      <c r="K120" s="23"/>
      <c r="L120" s="23" t="s">
        <v>3490</v>
      </c>
      <c r="M120" s="23" t="s">
        <v>3503</v>
      </c>
    </row>
    <row r="121" spans="2:13" ht="15" customHeight="1" x14ac:dyDescent="0.25">
      <c r="B121" s="35" t="s">
        <v>3513</v>
      </c>
      <c r="C121" s="23" t="s">
        <v>3514</v>
      </c>
      <c r="D121" s="23" t="s">
        <v>3303</v>
      </c>
      <c r="E121" s="23" t="s">
        <v>3317</v>
      </c>
      <c r="F121" s="23" t="s">
        <v>3305</v>
      </c>
      <c r="G121" s="93">
        <v>0</v>
      </c>
      <c r="H121" s="93">
        <v>1</v>
      </c>
      <c r="I121" s="23"/>
      <c r="J121" s="23"/>
      <c r="K121" s="23"/>
      <c r="L121" s="23" t="s">
        <v>3490</v>
      </c>
      <c r="M121" s="23" t="s">
        <v>3503</v>
      </c>
    </row>
    <row r="122" spans="2:13" ht="15" customHeight="1" x14ac:dyDescent="0.25">
      <c r="B122" s="35" t="s">
        <v>2633</v>
      </c>
      <c r="C122" s="23" t="s">
        <v>2634</v>
      </c>
      <c r="D122" s="23" t="s">
        <v>3303</v>
      </c>
      <c r="E122" s="23" t="s">
        <v>3317</v>
      </c>
      <c r="F122" s="23" t="s">
        <v>3305</v>
      </c>
      <c r="G122" s="93">
        <v>3</v>
      </c>
      <c r="H122" s="93">
        <v>1</v>
      </c>
      <c r="I122" s="23"/>
      <c r="J122" s="23"/>
      <c r="K122" s="23"/>
      <c r="L122" s="23" t="s">
        <v>3490</v>
      </c>
      <c r="M122" s="23" t="s">
        <v>3503</v>
      </c>
    </row>
    <row r="123" spans="2:13" ht="15" customHeight="1" x14ac:dyDescent="0.25">
      <c r="B123" s="35" t="s">
        <v>2635</v>
      </c>
      <c r="C123" s="23" t="s">
        <v>2636</v>
      </c>
      <c r="D123" s="23" t="s">
        <v>3303</v>
      </c>
      <c r="E123" s="23" t="s">
        <v>3317</v>
      </c>
      <c r="F123" s="23" t="s">
        <v>3305</v>
      </c>
      <c r="G123" s="93">
        <v>3</v>
      </c>
      <c r="H123" s="93">
        <v>1</v>
      </c>
      <c r="I123" s="23"/>
      <c r="J123" s="23"/>
      <c r="K123" s="23"/>
      <c r="L123" s="23" t="s">
        <v>3490</v>
      </c>
      <c r="M123" s="23" t="s">
        <v>3503</v>
      </c>
    </row>
    <row r="124" spans="2:13" ht="15" customHeight="1" x14ac:dyDescent="0.25">
      <c r="B124" s="35" t="s">
        <v>3515</v>
      </c>
      <c r="C124" s="23" t="s">
        <v>3516</v>
      </c>
      <c r="D124" s="23" t="s">
        <v>3303</v>
      </c>
      <c r="E124" s="23" t="s">
        <v>3317</v>
      </c>
      <c r="F124" s="23" t="s">
        <v>3305</v>
      </c>
      <c r="G124" s="93">
        <v>3</v>
      </c>
      <c r="H124" s="93">
        <v>0</v>
      </c>
      <c r="I124" s="23"/>
      <c r="J124" s="23"/>
      <c r="K124" s="23"/>
      <c r="L124" s="23" t="s">
        <v>3490</v>
      </c>
      <c r="M124" s="23"/>
    </row>
    <row r="125" spans="2:13" ht="15" customHeight="1" x14ac:dyDescent="0.25">
      <c r="B125" s="35" t="s">
        <v>3517</v>
      </c>
      <c r="C125" s="23" t="s">
        <v>3518</v>
      </c>
      <c r="D125" s="23" t="s">
        <v>3303</v>
      </c>
      <c r="E125" s="23" t="s">
        <v>3317</v>
      </c>
      <c r="F125" s="23" t="s">
        <v>3305</v>
      </c>
      <c r="G125" s="93">
        <v>3</v>
      </c>
      <c r="H125" s="93">
        <v>1</v>
      </c>
      <c r="I125" s="23"/>
      <c r="J125" s="23"/>
      <c r="K125" s="23"/>
      <c r="L125" s="23" t="s">
        <v>3490</v>
      </c>
      <c r="M125" s="23"/>
    </row>
    <row r="126" spans="2:13" ht="15" customHeight="1" x14ac:dyDescent="0.25">
      <c r="B126" s="35" t="s">
        <v>3519</v>
      </c>
      <c r="C126" s="23" t="s">
        <v>3520</v>
      </c>
      <c r="D126" s="23" t="s">
        <v>3303</v>
      </c>
      <c r="E126" s="23" t="s">
        <v>3317</v>
      </c>
      <c r="F126" s="23" t="s">
        <v>3305</v>
      </c>
      <c r="G126" s="93">
        <v>3</v>
      </c>
      <c r="H126" s="93">
        <v>0</v>
      </c>
      <c r="I126" s="23"/>
      <c r="J126" s="23"/>
      <c r="K126" s="23"/>
      <c r="L126" s="23" t="s">
        <v>3490</v>
      </c>
      <c r="M126" s="23"/>
    </row>
    <row r="127" spans="2:13" ht="15" customHeight="1" x14ac:dyDescent="0.25">
      <c r="B127" s="35" t="s">
        <v>3521</v>
      </c>
      <c r="C127" s="23" t="s">
        <v>3522</v>
      </c>
      <c r="D127" s="23" t="s">
        <v>3303</v>
      </c>
      <c r="E127" s="23" t="s">
        <v>3317</v>
      </c>
      <c r="F127" s="23" t="s">
        <v>3305</v>
      </c>
      <c r="G127" s="93">
        <v>3</v>
      </c>
      <c r="H127" s="93">
        <v>0</v>
      </c>
      <c r="I127" s="23"/>
      <c r="J127" s="23"/>
      <c r="K127" s="23"/>
      <c r="L127" s="23" t="s">
        <v>3490</v>
      </c>
      <c r="M127" s="23"/>
    </row>
    <row r="128" spans="2:13" ht="15" customHeight="1" x14ac:dyDescent="0.25">
      <c r="B128" s="35" t="s">
        <v>3523</v>
      </c>
      <c r="C128" s="23" t="s">
        <v>3524</v>
      </c>
      <c r="D128" s="23" t="s">
        <v>3303</v>
      </c>
      <c r="E128" s="23" t="s">
        <v>3317</v>
      </c>
      <c r="F128" s="23" t="s">
        <v>3305</v>
      </c>
      <c r="G128" s="93">
        <v>3</v>
      </c>
      <c r="H128" s="93">
        <v>1</v>
      </c>
      <c r="I128" s="23"/>
      <c r="J128" s="23"/>
      <c r="K128" s="23"/>
      <c r="L128" s="23" t="s">
        <v>3490</v>
      </c>
      <c r="M128" s="23"/>
    </row>
    <row r="129" spans="2:13" ht="15" customHeight="1" x14ac:dyDescent="0.25">
      <c r="B129" s="35" t="s">
        <v>3525</v>
      </c>
      <c r="C129" s="23" t="s">
        <v>3526</v>
      </c>
      <c r="D129" s="23" t="s">
        <v>3303</v>
      </c>
      <c r="E129" s="23" t="s">
        <v>3317</v>
      </c>
      <c r="F129" s="23" t="s">
        <v>3305</v>
      </c>
      <c r="G129" s="93">
        <v>3</v>
      </c>
      <c r="H129" s="93">
        <v>0</v>
      </c>
      <c r="I129" s="23"/>
      <c r="J129" s="23"/>
      <c r="K129" s="23"/>
      <c r="L129" s="23" t="s">
        <v>3490</v>
      </c>
      <c r="M129" s="23"/>
    </row>
    <row r="130" spans="2:13" ht="15" customHeight="1" x14ac:dyDescent="0.25">
      <c r="B130" s="35" t="s">
        <v>3527</v>
      </c>
      <c r="C130" s="23" t="s">
        <v>3528</v>
      </c>
      <c r="D130" s="23" t="s">
        <v>3303</v>
      </c>
      <c r="E130" s="23" t="s">
        <v>3317</v>
      </c>
      <c r="F130" s="23" t="s">
        <v>3305</v>
      </c>
      <c r="G130" s="93">
        <v>3</v>
      </c>
      <c r="H130" s="93">
        <v>0</v>
      </c>
      <c r="I130" s="23"/>
      <c r="J130" s="23"/>
      <c r="K130" s="23"/>
      <c r="L130" s="23" t="s">
        <v>3490</v>
      </c>
      <c r="M130" s="23"/>
    </row>
    <row r="131" spans="2:13" ht="15" customHeight="1" x14ac:dyDescent="0.25">
      <c r="B131" s="35" t="s">
        <v>3529</v>
      </c>
      <c r="C131" s="23" t="s">
        <v>3530</v>
      </c>
      <c r="D131" s="23" t="s">
        <v>3303</v>
      </c>
      <c r="E131" s="23" t="s">
        <v>3317</v>
      </c>
      <c r="F131" s="23" t="s">
        <v>3305</v>
      </c>
      <c r="G131" s="93">
        <v>3</v>
      </c>
      <c r="H131" s="93">
        <v>0</v>
      </c>
      <c r="I131" s="23"/>
      <c r="J131" s="23"/>
      <c r="K131" s="23"/>
      <c r="L131" s="23" t="s">
        <v>3490</v>
      </c>
      <c r="M131" s="23"/>
    </row>
    <row r="132" spans="2:13" ht="15" customHeight="1" x14ac:dyDescent="0.25">
      <c r="B132" s="35" t="s">
        <v>3531</v>
      </c>
      <c r="C132" s="23" t="s">
        <v>3532</v>
      </c>
      <c r="D132" s="23" t="s">
        <v>3303</v>
      </c>
      <c r="E132" s="23" t="s">
        <v>3317</v>
      </c>
      <c r="F132" s="23" t="s">
        <v>3305</v>
      </c>
      <c r="G132" s="93">
        <v>3</v>
      </c>
      <c r="H132" s="93">
        <v>0</v>
      </c>
      <c r="I132" s="23"/>
      <c r="J132" s="23"/>
      <c r="K132" s="23"/>
      <c r="L132" s="23" t="s">
        <v>3490</v>
      </c>
      <c r="M132" s="23"/>
    </row>
    <row r="133" spans="2:13" ht="15" customHeight="1" x14ac:dyDescent="0.25">
      <c r="B133" s="35" t="s">
        <v>3533</v>
      </c>
      <c r="C133" s="23" t="s">
        <v>3534</v>
      </c>
      <c r="D133" s="23" t="s">
        <v>3303</v>
      </c>
      <c r="E133" s="23" t="s">
        <v>3317</v>
      </c>
      <c r="F133" s="23" t="s">
        <v>3305</v>
      </c>
      <c r="G133" s="93">
        <v>3</v>
      </c>
      <c r="H133" s="93">
        <v>0</v>
      </c>
      <c r="I133" s="23"/>
      <c r="J133" s="23"/>
      <c r="K133" s="23"/>
      <c r="L133" s="23" t="s">
        <v>3490</v>
      </c>
      <c r="M133" s="23"/>
    </row>
    <row r="134" spans="2:13" ht="15" customHeight="1" x14ac:dyDescent="0.25">
      <c r="B134" s="35" t="s">
        <v>3535</v>
      </c>
      <c r="C134" s="23" t="s">
        <v>3536</v>
      </c>
      <c r="D134" s="23" t="s">
        <v>3303</v>
      </c>
      <c r="E134" s="23" t="s">
        <v>3317</v>
      </c>
      <c r="F134" s="23" t="s">
        <v>3305</v>
      </c>
      <c r="G134" s="93">
        <v>3</v>
      </c>
      <c r="H134" s="93">
        <v>0</v>
      </c>
      <c r="I134" s="23"/>
      <c r="J134" s="23"/>
      <c r="K134" s="23"/>
      <c r="L134" s="23" t="s">
        <v>3490</v>
      </c>
      <c r="M134" s="23"/>
    </row>
    <row r="135" spans="2:13" ht="15" customHeight="1" x14ac:dyDescent="0.25">
      <c r="B135" s="35" t="s">
        <v>3537</v>
      </c>
      <c r="C135" s="23" t="s">
        <v>3538</v>
      </c>
      <c r="D135" s="23" t="s">
        <v>3303</v>
      </c>
      <c r="E135" s="23" t="s">
        <v>3317</v>
      </c>
      <c r="F135" s="23" t="s">
        <v>3305</v>
      </c>
      <c r="G135" s="93">
        <v>3</v>
      </c>
      <c r="H135" s="93">
        <v>0</v>
      </c>
      <c r="I135" s="23"/>
      <c r="J135" s="23"/>
      <c r="K135" s="23"/>
      <c r="L135" s="23" t="s">
        <v>3490</v>
      </c>
      <c r="M135" s="23"/>
    </row>
    <row r="136" spans="2:13" ht="15" customHeight="1" x14ac:dyDescent="0.25">
      <c r="B136" s="35" t="s">
        <v>3539</v>
      </c>
      <c r="C136" s="23" t="s">
        <v>3540</v>
      </c>
      <c r="D136" s="23" t="s">
        <v>3303</v>
      </c>
      <c r="E136" s="23" t="s">
        <v>3317</v>
      </c>
      <c r="F136" s="23" t="s">
        <v>3305</v>
      </c>
      <c r="G136" s="93">
        <v>3</v>
      </c>
      <c r="H136" s="93">
        <v>0</v>
      </c>
      <c r="I136" s="23"/>
      <c r="J136" s="23"/>
      <c r="K136" s="23"/>
      <c r="L136" s="23" t="s">
        <v>3490</v>
      </c>
      <c r="M136" s="23"/>
    </row>
    <row r="137" spans="2:13" ht="15" customHeight="1" x14ac:dyDescent="0.25">
      <c r="B137" s="35" t="s">
        <v>3541</v>
      </c>
      <c r="C137" s="23" t="s">
        <v>3542</v>
      </c>
      <c r="D137" s="23" t="s">
        <v>3303</v>
      </c>
      <c r="E137" s="23" t="s">
        <v>3317</v>
      </c>
      <c r="F137" s="23" t="s">
        <v>3305</v>
      </c>
      <c r="G137" s="93">
        <v>3</v>
      </c>
      <c r="H137" s="93">
        <v>1</v>
      </c>
      <c r="I137" s="23"/>
      <c r="J137" s="23"/>
      <c r="K137" s="23"/>
      <c r="L137" s="23" t="s">
        <v>3490</v>
      </c>
      <c r="M137" s="23" t="s">
        <v>3503</v>
      </c>
    </row>
    <row r="138" spans="2:13" ht="15" customHeight="1" x14ac:dyDescent="0.25">
      <c r="B138" s="35" t="s">
        <v>3543</v>
      </c>
      <c r="C138" s="23" t="s">
        <v>3544</v>
      </c>
      <c r="D138" s="23" t="s">
        <v>3303</v>
      </c>
      <c r="E138" s="23" t="s">
        <v>3317</v>
      </c>
      <c r="F138" s="23" t="s">
        <v>3305</v>
      </c>
      <c r="G138" s="93">
        <v>3</v>
      </c>
      <c r="H138" s="93">
        <v>0</v>
      </c>
      <c r="I138" s="23"/>
      <c r="J138" s="23"/>
      <c r="K138" s="23"/>
      <c r="L138" s="23" t="s">
        <v>3490</v>
      </c>
      <c r="M138" s="23"/>
    </row>
    <row r="139" spans="2:13" ht="15" customHeight="1" x14ac:dyDescent="0.25">
      <c r="B139" s="35" t="s">
        <v>3545</v>
      </c>
      <c r="C139" s="23" t="s">
        <v>3546</v>
      </c>
      <c r="D139" s="23" t="s">
        <v>3303</v>
      </c>
      <c r="E139" s="23" t="s">
        <v>3317</v>
      </c>
      <c r="F139" s="23" t="s">
        <v>3305</v>
      </c>
      <c r="G139" s="93">
        <v>3</v>
      </c>
      <c r="H139" s="93">
        <v>0</v>
      </c>
      <c r="I139" s="23"/>
      <c r="J139" s="23"/>
      <c r="K139" s="23"/>
      <c r="L139" s="23" t="s">
        <v>3490</v>
      </c>
      <c r="M139" s="23"/>
    </row>
    <row r="140" spans="2:13" ht="15" customHeight="1" x14ac:dyDescent="0.25">
      <c r="B140" s="35" t="s">
        <v>3547</v>
      </c>
      <c r="C140" s="23" t="s">
        <v>3548</v>
      </c>
      <c r="D140" s="23" t="s">
        <v>3303</v>
      </c>
      <c r="E140" s="23" t="s">
        <v>3317</v>
      </c>
      <c r="F140" s="23" t="s">
        <v>3305</v>
      </c>
      <c r="G140" s="93">
        <v>3</v>
      </c>
      <c r="H140" s="93">
        <v>0</v>
      </c>
      <c r="I140" s="23"/>
      <c r="J140" s="23"/>
      <c r="K140" s="23"/>
      <c r="L140" s="23" t="s">
        <v>3490</v>
      </c>
      <c r="M140" s="23"/>
    </row>
    <row r="141" spans="2:13" ht="15" customHeight="1" x14ac:dyDescent="0.25">
      <c r="B141" s="35" t="s">
        <v>3549</v>
      </c>
      <c r="C141" s="23" t="s">
        <v>3550</v>
      </c>
      <c r="D141" s="23" t="s">
        <v>3303</v>
      </c>
      <c r="E141" s="23" t="s">
        <v>3317</v>
      </c>
      <c r="F141" s="23" t="s">
        <v>3305</v>
      </c>
      <c r="G141" s="93">
        <v>3</v>
      </c>
      <c r="H141" s="93">
        <v>1</v>
      </c>
      <c r="I141" s="23"/>
      <c r="J141" s="23"/>
      <c r="K141" s="23"/>
      <c r="L141" s="23" t="s">
        <v>3490</v>
      </c>
      <c r="M141" s="23" t="s">
        <v>3503</v>
      </c>
    </row>
    <row r="142" spans="2:13" ht="15" customHeight="1" x14ac:dyDescent="0.25">
      <c r="B142" s="35" t="s">
        <v>3551</v>
      </c>
      <c r="C142" s="23" t="s">
        <v>3552</v>
      </c>
      <c r="D142" s="23" t="s">
        <v>3303</v>
      </c>
      <c r="E142" s="23" t="s">
        <v>3317</v>
      </c>
      <c r="F142" s="23" t="s">
        <v>3305</v>
      </c>
      <c r="G142" s="93">
        <v>3</v>
      </c>
      <c r="H142" s="93">
        <v>0</v>
      </c>
      <c r="I142" s="23"/>
      <c r="J142" s="23"/>
      <c r="K142" s="23"/>
      <c r="L142" s="23" t="s">
        <v>3490</v>
      </c>
      <c r="M142" s="23"/>
    </row>
    <row r="143" spans="2:13" ht="15" customHeight="1" x14ac:dyDescent="0.25">
      <c r="B143" s="35" t="s">
        <v>3553</v>
      </c>
      <c r="C143" s="23" t="s">
        <v>3554</v>
      </c>
      <c r="D143" s="23" t="s">
        <v>3303</v>
      </c>
      <c r="E143" s="23" t="s">
        <v>3317</v>
      </c>
      <c r="F143" s="23" t="s">
        <v>3305</v>
      </c>
      <c r="G143" s="93">
        <v>3</v>
      </c>
      <c r="H143" s="93">
        <v>0</v>
      </c>
      <c r="I143" s="23"/>
      <c r="J143" s="23"/>
      <c r="K143" s="23"/>
      <c r="L143" s="23" t="s">
        <v>3490</v>
      </c>
      <c r="M143" s="23"/>
    </row>
    <row r="144" spans="2:13" ht="15" customHeight="1" x14ac:dyDescent="0.25">
      <c r="B144" s="35" t="s">
        <v>3555</v>
      </c>
      <c r="C144" s="23" t="s">
        <v>3556</v>
      </c>
      <c r="D144" s="23" t="s">
        <v>3303</v>
      </c>
      <c r="E144" s="23" t="s">
        <v>3317</v>
      </c>
      <c r="F144" s="23" t="s">
        <v>3305</v>
      </c>
      <c r="G144" s="93">
        <v>3</v>
      </c>
      <c r="H144" s="93">
        <v>0</v>
      </c>
      <c r="I144" s="23"/>
      <c r="J144" s="23"/>
      <c r="K144" s="23"/>
      <c r="L144" s="23" t="s">
        <v>3490</v>
      </c>
      <c r="M144" s="23"/>
    </row>
    <row r="145" spans="2:13" ht="15" customHeight="1" x14ac:dyDescent="0.25">
      <c r="B145" s="35" t="s">
        <v>3557</v>
      </c>
      <c r="C145" s="23" t="s">
        <v>3558</v>
      </c>
      <c r="D145" s="23" t="s">
        <v>3303</v>
      </c>
      <c r="E145" s="23" t="s">
        <v>3317</v>
      </c>
      <c r="F145" s="23" t="s">
        <v>3305</v>
      </c>
      <c r="G145" s="93">
        <v>3</v>
      </c>
      <c r="H145" s="93">
        <v>0</v>
      </c>
      <c r="I145" s="23"/>
      <c r="J145" s="23"/>
      <c r="K145" s="23"/>
      <c r="L145" s="23" t="s">
        <v>3490</v>
      </c>
      <c r="M145" s="23"/>
    </row>
    <row r="146" spans="2:13" ht="15" customHeight="1" x14ac:dyDescent="0.25">
      <c r="B146" s="35" t="s">
        <v>2999</v>
      </c>
      <c r="C146" s="23" t="s">
        <v>3000</v>
      </c>
      <c r="D146" s="23" t="s">
        <v>3303</v>
      </c>
      <c r="E146" s="23" t="s">
        <v>3317</v>
      </c>
      <c r="F146" s="23" t="s">
        <v>3305</v>
      </c>
      <c r="G146" s="93">
        <v>3</v>
      </c>
      <c r="H146" s="93">
        <v>1</v>
      </c>
      <c r="I146" s="23"/>
      <c r="J146" s="23"/>
      <c r="K146" s="23"/>
      <c r="L146" s="23" t="s">
        <v>3490</v>
      </c>
      <c r="M146" s="23"/>
    </row>
    <row r="147" spans="2:13" ht="15" customHeight="1" x14ac:dyDescent="0.25">
      <c r="B147" s="35" t="s">
        <v>3559</v>
      </c>
      <c r="C147" s="23" t="s">
        <v>3560</v>
      </c>
      <c r="D147" s="23" t="s">
        <v>3303</v>
      </c>
      <c r="E147" s="23" t="s">
        <v>3317</v>
      </c>
      <c r="F147" s="23" t="s">
        <v>3305</v>
      </c>
      <c r="G147" s="93">
        <v>3</v>
      </c>
      <c r="H147" s="93">
        <v>0</v>
      </c>
      <c r="I147" s="23"/>
      <c r="J147" s="23"/>
      <c r="K147" s="23"/>
      <c r="L147" s="23" t="s">
        <v>3490</v>
      </c>
      <c r="M147" s="23"/>
    </row>
    <row r="148" spans="2:13" ht="15" customHeight="1" x14ac:dyDescent="0.25">
      <c r="B148" s="35" t="s">
        <v>3561</v>
      </c>
      <c r="C148" s="23" t="s">
        <v>3562</v>
      </c>
      <c r="D148" s="23" t="s">
        <v>3303</v>
      </c>
      <c r="E148" s="23" t="s">
        <v>3317</v>
      </c>
      <c r="F148" s="23" t="s">
        <v>3305</v>
      </c>
      <c r="G148" s="93">
        <v>3</v>
      </c>
      <c r="H148" s="93">
        <v>0</v>
      </c>
      <c r="I148" s="23"/>
      <c r="J148" s="23"/>
      <c r="K148" s="23"/>
      <c r="L148" s="23" t="s">
        <v>3490</v>
      </c>
      <c r="M148" s="23"/>
    </row>
    <row r="149" spans="2:13" ht="15" customHeight="1" x14ac:dyDescent="0.25">
      <c r="B149" s="35" t="s">
        <v>3563</v>
      </c>
      <c r="C149" s="23" t="s">
        <v>3564</v>
      </c>
      <c r="D149" s="23" t="s">
        <v>3303</v>
      </c>
      <c r="E149" s="23" t="s">
        <v>3317</v>
      </c>
      <c r="F149" s="23" t="s">
        <v>3305</v>
      </c>
      <c r="G149" s="93">
        <v>3</v>
      </c>
      <c r="H149" s="93">
        <v>0</v>
      </c>
      <c r="I149" s="23"/>
      <c r="J149" s="23"/>
      <c r="K149" s="23"/>
      <c r="L149" s="23" t="s">
        <v>3490</v>
      </c>
      <c r="M149" s="23"/>
    </row>
    <row r="150" spans="2:13" ht="15" customHeight="1" x14ac:dyDescent="0.25">
      <c r="B150" s="35" t="s">
        <v>3565</v>
      </c>
      <c r="C150" s="23" t="s">
        <v>3566</v>
      </c>
      <c r="D150" s="23" t="s">
        <v>3303</v>
      </c>
      <c r="E150" s="23" t="s">
        <v>3317</v>
      </c>
      <c r="F150" s="23" t="s">
        <v>3305</v>
      </c>
      <c r="G150" s="93">
        <v>3</v>
      </c>
      <c r="H150" s="93">
        <v>0</v>
      </c>
      <c r="I150" s="23"/>
      <c r="J150" s="23"/>
      <c r="K150" s="23"/>
      <c r="L150" s="23" t="s">
        <v>3490</v>
      </c>
      <c r="M150" s="23"/>
    </row>
    <row r="151" spans="2:13" ht="15" customHeight="1" x14ac:dyDescent="0.25">
      <c r="B151" s="35" t="s">
        <v>3567</v>
      </c>
      <c r="C151" s="23" t="s">
        <v>3568</v>
      </c>
      <c r="D151" s="23" t="s">
        <v>3303</v>
      </c>
      <c r="E151" s="23" t="s">
        <v>3317</v>
      </c>
      <c r="F151" s="23" t="s">
        <v>3305</v>
      </c>
      <c r="G151" s="93">
        <v>3</v>
      </c>
      <c r="H151" s="93">
        <v>1</v>
      </c>
      <c r="I151" s="23"/>
      <c r="J151" s="23"/>
      <c r="K151" s="23"/>
      <c r="L151" s="23" t="s">
        <v>3490</v>
      </c>
      <c r="M151" s="23"/>
    </row>
    <row r="152" spans="2:13" ht="15" customHeight="1" x14ac:dyDescent="0.25">
      <c r="B152" s="35" t="s">
        <v>3569</v>
      </c>
      <c r="C152" s="23" t="s">
        <v>3570</v>
      </c>
      <c r="D152" s="23" t="s">
        <v>3303</v>
      </c>
      <c r="E152" s="23" t="s">
        <v>3317</v>
      </c>
      <c r="F152" s="23" t="s">
        <v>3305</v>
      </c>
      <c r="G152" s="93">
        <v>3</v>
      </c>
      <c r="H152" s="93">
        <v>0</v>
      </c>
      <c r="I152" s="23"/>
      <c r="J152" s="23"/>
      <c r="K152" s="23"/>
      <c r="L152" s="23" t="s">
        <v>3490</v>
      </c>
      <c r="M152" s="23"/>
    </row>
    <row r="153" spans="2:13" ht="15" customHeight="1" x14ac:dyDescent="0.25">
      <c r="B153" s="35" t="s">
        <v>3571</v>
      </c>
      <c r="C153" s="23" t="s">
        <v>3572</v>
      </c>
      <c r="D153" s="23" t="s">
        <v>3303</v>
      </c>
      <c r="E153" s="23" t="s">
        <v>3317</v>
      </c>
      <c r="F153" s="23" t="s">
        <v>3305</v>
      </c>
      <c r="G153" s="93">
        <v>3</v>
      </c>
      <c r="H153" s="93">
        <v>0</v>
      </c>
      <c r="I153" s="23"/>
      <c r="J153" s="23"/>
      <c r="K153" s="23"/>
      <c r="L153" s="23" t="s">
        <v>3490</v>
      </c>
      <c r="M153" s="23"/>
    </row>
    <row r="154" spans="2:13" ht="15" customHeight="1" x14ac:dyDescent="0.25">
      <c r="B154" s="35" t="s">
        <v>3573</v>
      </c>
      <c r="C154" s="23" t="s">
        <v>3574</v>
      </c>
      <c r="D154" s="23" t="s">
        <v>3303</v>
      </c>
      <c r="E154" s="23" t="s">
        <v>3317</v>
      </c>
      <c r="F154" s="23" t="s">
        <v>3305</v>
      </c>
      <c r="G154" s="93">
        <v>3</v>
      </c>
      <c r="H154" s="93">
        <v>0</v>
      </c>
      <c r="I154" s="23"/>
      <c r="J154" s="23"/>
      <c r="K154" s="23"/>
      <c r="L154" s="23" t="s">
        <v>3490</v>
      </c>
      <c r="M154" s="23"/>
    </row>
    <row r="155" spans="2:13" ht="15" customHeight="1" x14ac:dyDescent="0.25">
      <c r="B155" s="35" t="s">
        <v>3575</v>
      </c>
      <c r="C155" s="23" t="s">
        <v>3576</v>
      </c>
      <c r="D155" s="23" t="s">
        <v>3303</v>
      </c>
      <c r="E155" s="23" t="s">
        <v>3317</v>
      </c>
      <c r="F155" s="23" t="s">
        <v>3305</v>
      </c>
      <c r="G155" s="93">
        <v>3</v>
      </c>
      <c r="H155" s="93">
        <v>1</v>
      </c>
      <c r="I155" s="23"/>
      <c r="J155" s="23"/>
      <c r="K155" s="23"/>
      <c r="L155" s="23" t="s">
        <v>3490</v>
      </c>
      <c r="M155" s="23" t="s">
        <v>3503</v>
      </c>
    </row>
    <row r="156" spans="2:13" ht="15" customHeight="1" x14ac:dyDescent="0.25">
      <c r="B156" s="35" t="s">
        <v>3002</v>
      </c>
      <c r="C156" s="23" t="s">
        <v>3003</v>
      </c>
      <c r="D156" s="23" t="s">
        <v>3303</v>
      </c>
      <c r="E156" s="23" t="s">
        <v>3317</v>
      </c>
      <c r="F156" s="23" t="s">
        <v>3305</v>
      </c>
      <c r="G156" s="93">
        <v>3</v>
      </c>
      <c r="H156" s="93">
        <v>1</v>
      </c>
      <c r="I156" s="23"/>
      <c r="J156" s="23"/>
      <c r="K156" s="23"/>
      <c r="L156" s="23" t="s">
        <v>3490</v>
      </c>
      <c r="M156" s="23"/>
    </row>
    <row r="157" spans="2:13" ht="15" customHeight="1" x14ac:dyDescent="0.25">
      <c r="B157" s="35" t="s">
        <v>3005</v>
      </c>
      <c r="C157" s="23" t="s">
        <v>3006</v>
      </c>
      <c r="D157" s="23" t="s">
        <v>3303</v>
      </c>
      <c r="E157" s="23" t="s">
        <v>3317</v>
      </c>
      <c r="F157" s="23" t="s">
        <v>3305</v>
      </c>
      <c r="G157" s="93">
        <v>3</v>
      </c>
      <c r="H157" s="93">
        <v>1</v>
      </c>
      <c r="I157" s="23"/>
      <c r="J157" s="23"/>
      <c r="K157" s="23"/>
      <c r="L157" s="23" t="s">
        <v>3490</v>
      </c>
      <c r="M157" s="23" t="s">
        <v>3503</v>
      </c>
    </row>
    <row r="158" spans="2:13" ht="15" customHeight="1" x14ac:dyDescent="0.25">
      <c r="B158" s="35" t="s">
        <v>3577</v>
      </c>
      <c r="C158" s="23" t="s">
        <v>3578</v>
      </c>
      <c r="D158" s="23" t="s">
        <v>3303</v>
      </c>
      <c r="E158" s="23" t="s">
        <v>3317</v>
      </c>
      <c r="F158" s="23" t="s">
        <v>3305</v>
      </c>
      <c r="G158" s="93">
        <v>3</v>
      </c>
      <c r="H158" s="93">
        <v>1</v>
      </c>
      <c r="I158" s="23"/>
      <c r="J158" s="23"/>
      <c r="K158" s="23"/>
      <c r="L158" s="23" t="s">
        <v>3490</v>
      </c>
      <c r="M158" s="23"/>
    </row>
    <row r="159" spans="2:13" ht="15" customHeight="1" x14ac:dyDescent="0.25">
      <c r="B159" s="35" t="s">
        <v>3579</v>
      </c>
      <c r="C159" s="23" t="s">
        <v>3580</v>
      </c>
      <c r="D159" s="23" t="s">
        <v>3303</v>
      </c>
      <c r="E159" s="23" t="s">
        <v>3317</v>
      </c>
      <c r="F159" s="23" t="s">
        <v>3305</v>
      </c>
      <c r="G159" s="93">
        <v>3</v>
      </c>
      <c r="H159" s="93">
        <v>1</v>
      </c>
      <c r="I159" s="23"/>
      <c r="J159" s="23"/>
      <c r="K159" s="23"/>
      <c r="L159" s="23" t="s">
        <v>3490</v>
      </c>
      <c r="M159" s="23"/>
    </row>
    <row r="160" spans="2:13" ht="15" customHeight="1" x14ac:dyDescent="0.25">
      <c r="B160" s="35" t="s">
        <v>3581</v>
      </c>
      <c r="C160" s="23" t="s">
        <v>3582</v>
      </c>
      <c r="D160" s="23" t="s">
        <v>3303</v>
      </c>
      <c r="E160" s="23" t="s">
        <v>3317</v>
      </c>
      <c r="F160" s="23" t="s">
        <v>3305</v>
      </c>
      <c r="G160" s="93">
        <v>3</v>
      </c>
      <c r="H160" s="93">
        <v>0</v>
      </c>
      <c r="I160" s="23"/>
      <c r="J160" s="23"/>
      <c r="K160" s="23"/>
      <c r="L160" s="23" t="s">
        <v>3490</v>
      </c>
      <c r="M160" s="23"/>
    </row>
    <row r="161" spans="2:13" ht="15" customHeight="1" x14ac:dyDescent="0.25">
      <c r="B161" s="35" t="s">
        <v>3583</v>
      </c>
      <c r="C161" s="23" t="s">
        <v>3584</v>
      </c>
      <c r="D161" s="23" t="s">
        <v>3303</v>
      </c>
      <c r="E161" s="23" t="s">
        <v>3317</v>
      </c>
      <c r="F161" s="23" t="s">
        <v>3305</v>
      </c>
      <c r="G161" s="93">
        <v>3</v>
      </c>
      <c r="H161" s="93">
        <v>0</v>
      </c>
      <c r="I161" s="23"/>
      <c r="J161" s="23"/>
      <c r="K161" s="23"/>
      <c r="L161" s="23" t="s">
        <v>3490</v>
      </c>
      <c r="M161" s="23"/>
    </row>
    <row r="162" spans="2:13" ht="15" customHeight="1" x14ac:dyDescent="0.25">
      <c r="B162" s="35" t="s">
        <v>3585</v>
      </c>
      <c r="C162" s="23" t="s">
        <v>3586</v>
      </c>
      <c r="D162" s="23" t="s">
        <v>3303</v>
      </c>
      <c r="E162" s="23" t="s">
        <v>3317</v>
      </c>
      <c r="F162" s="23" t="s">
        <v>3305</v>
      </c>
      <c r="G162" s="93">
        <v>3</v>
      </c>
      <c r="H162" s="93">
        <v>0</v>
      </c>
      <c r="I162" s="23"/>
      <c r="J162" s="23"/>
      <c r="K162" s="23"/>
      <c r="L162" s="23" t="s">
        <v>3490</v>
      </c>
      <c r="M162" s="23"/>
    </row>
    <row r="163" spans="2:13" ht="15" customHeight="1" x14ac:dyDescent="0.25">
      <c r="B163" s="35" t="s">
        <v>3587</v>
      </c>
      <c r="C163" s="23" t="s">
        <v>3588</v>
      </c>
      <c r="D163" s="23" t="s">
        <v>3303</v>
      </c>
      <c r="E163" s="23" t="s">
        <v>3317</v>
      </c>
      <c r="F163" s="23" t="s">
        <v>3305</v>
      </c>
      <c r="G163" s="93">
        <v>3</v>
      </c>
      <c r="H163" s="93">
        <v>0</v>
      </c>
      <c r="I163" s="23"/>
      <c r="J163" s="23"/>
      <c r="K163" s="23"/>
      <c r="L163" s="23" t="s">
        <v>3490</v>
      </c>
      <c r="M163" s="23"/>
    </row>
    <row r="164" spans="2:13" ht="15" customHeight="1" x14ac:dyDescent="0.25">
      <c r="B164" s="35" t="s">
        <v>3589</v>
      </c>
      <c r="C164" s="23" t="s">
        <v>3590</v>
      </c>
      <c r="D164" s="23" t="s">
        <v>3303</v>
      </c>
      <c r="E164" s="23" t="s">
        <v>3317</v>
      </c>
      <c r="F164" s="23" t="s">
        <v>3305</v>
      </c>
      <c r="G164" s="93">
        <v>3</v>
      </c>
      <c r="H164" s="93">
        <v>0</v>
      </c>
      <c r="I164" s="23"/>
      <c r="J164" s="23"/>
      <c r="K164" s="23"/>
      <c r="L164" s="23" t="s">
        <v>3490</v>
      </c>
      <c r="M164" s="23"/>
    </row>
    <row r="165" spans="2:13" ht="15" customHeight="1" x14ac:dyDescent="0.25">
      <c r="B165" s="35" t="s">
        <v>3591</v>
      </c>
      <c r="C165" s="23" t="s">
        <v>3592</v>
      </c>
      <c r="D165" s="23" t="s">
        <v>3303</v>
      </c>
      <c r="E165" s="23" t="s">
        <v>3317</v>
      </c>
      <c r="F165" s="23" t="s">
        <v>3305</v>
      </c>
      <c r="G165" s="93">
        <v>3</v>
      </c>
      <c r="H165" s="93">
        <v>0</v>
      </c>
      <c r="I165" s="23"/>
      <c r="J165" s="23"/>
      <c r="K165" s="23"/>
      <c r="L165" s="23" t="s">
        <v>3490</v>
      </c>
      <c r="M165" s="23"/>
    </row>
    <row r="166" spans="2:13" ht="15" customHeight="1" x14ac:dyDescent="0.25">
      <c r="B166" s="35" t="s">
        <v>3593</v>
      </c>
      <c r="C166" s="23" t="s">
        <v>3594</v>
      </c>
      <c r="D166" s="23" t="s">
        <v>3303</v>
      </c>
      <c r="E166" s="23" t="s">
        <v>3317</v>
      </c>
      <c r="F166" s="23" t="s">
        <v>3305</v>
      </c>
      <c r="G166" s="93">
        <v>3</v>
      </c>
      <c r="H166" s="93">
        <v>1</v>
      </c>
      <c r="I166" s="23"/>
      <c r="J166" s="23"/>
      <c r="K166" s="23"/>
      <c r="L166" s="23" t="s">
        <v>3490</v>
      </c>
      <c r="M166" s="23"/>
    </row>
    <row r="167" spans="2:13" ht="15" customHeight="1" x14ac:dyDescent="0.25">
      <c r="B167" s="35" t="s">
        <v>3595</v>
      </c>
      <c r="C167" s="23" t="s">
        <v>3596</v>
      </c>
      <c r="D167" s="23" t="s">
        <v>3303</v>
      </c>
      <c r="E167" s="23" t="s">
        <v>3317</v>
      </c>
      <c r="F167" s="23" t="s">
        <v>3305</v>
      </c>
      <c r="G167" s="93">
        <v>3</v>
      </c>
      <c r="H167" s="93">
        <v>1</v>
      </c>
      <c r="I167" s="23"/>
      <c r="J167" s="23"/>
      <c r="K167" s="23"/>
      <c r="L167" s="23" t="s">
        <v>3490</v>
      </c>
      <c r="M167" s="23" t="s">
        <v>3503</v>
      </c>
    </row>
    <row r="168" spans="2:13" ht="15" customHeight="1" x14ac:dyDescent="0.25">
      <c r="B168" s="35" t="s">
        <v>3597</v>
      </c>
      <c r="C168" s="23" t="s">
        <v>3598</v>
      </c>
      <c r="D168" s="23" t="s">
        <v>3303</v>
      </c>
      <c r="E168" s="23" t="s">
        <v>3317</v>
      </c>
      <c r="F168" s="23" t="s">
        <v>3305</v>
      </c>
      <c r="G168" s="93">
        <v>3</v>
      </c>
      <c r="H168" s="93">
        <v>0</v>
      </c>
      <c r="I168" s="23"/>
      <c r="J168" s="23"/>
      <c r="K168" s="23"/>
      <c r="L168" s="23" t="s">
        <v>3490</v>
      </c>
      <c r="M168" s="23"/>
    </row>
    <row r="169" spans="2:13" ht="15" customHeight="1" x14ac:dyDescent="0.25">
      <c r="B169" s="35" t="s">
        <v>3599</v>
      </c>
      <c r="C169" s="23" t="s">
        <v>3600</v>
      </c>
      <c r="D169" s="23" t="s">
        <v>3303</v>
      </c>
      <c r="E169" s="23" t="s">
        <v>3317</v>
      </c>
      <c r="F169" s="23" t="s">
        <v>3305</v>
      </c>
      <c r="G169" s="93">
        <v>3</v>
      </c>
      <c r="H169" s="93">
        <v>1</v>
      </c>
      <c r="I169" s="23"/>
      <c r="J169" s="23"/>
      <c r="K169" s="23"/>
      <c r="L169" s="23" t="s">
        <v>3490</v>
      </c>
      <c r="M169" s="23" t="s">
        <v>3503</v>
      </c>
    </row>
    <row r="170" spans="2:13" ht="15" customHeight="1" x14ac:dyDescent="0.25">
      <c r="B170" s="35" t="s">
        <v>3601</v>
      </c>
      <c r="C170" s="23" t="s">
        <v>3602</v>
      </c>
      <c r="D170" s="23" t="s">
        <v>3303</v>
      </c>
      <c r="E170" s="23" t="s">
        <v>3317</v>
      </c>
      <c r="F170" s="23" t="s">
        <v>3305</v>
      </c>
      <c r="G170" s="93">
        <v>3</v>
      </c>
      <c r="H170" s="93">
        <v>1</v>
      </c>
      <c r="I170" s="23"/>
      <c r="J170" s="23"/>
      <c r="K170" s="23"/>
      <c r="L170" s="23" t="s">
        <v>3490</v>
      </c>
      <c r="M170" s="23" t="s">
        <v>3503</v>
      </c>
    </row>
    <row r="171" spans="2:13" ht="15" customHeight="1" x14ac:dyDescent="0.25">
      <c r="B171" s="35" t="s">
        <v>2637</v>
      </c>
      <c r="C171" s="23" t="s">
        <v>2638</v>
      </c>
      <c r="D171" s="23" t="s">
        <v>3303</v>
      </c>
      <c r="E171" s="23" t="s">
        <v>3317</v>
      </c>
      <c r="F171" s="23" t="s">
        <v>3305</v>
      </c>
      <c r="G171" s="93">
        <v>3</v>
      </c>
      <c r="H171" s="93">
        <v>1</v>
      </c>
      <c r="I171" s="23"/>
      <c r="J171" s="23"/>
      <c r="K171" s="23"/>
      <c r="L171" s="23" t="s">
        <v>3490</v>
      </c>
      <c r="M171" s="23" t="s">
        <v>3503</v>
      </c>
    </row>
    <row r="172" spans="2:13" ht="15" customHeight="1" x14ac:dyDescent="0.25">
      <c r="B172" s="35" t="s">
        <v>2639</v>
      </c>
      <c r="C172" s="23" t="s">
        <v>2640</v>
      </c>
      <c r="D172" s="23" t="s">
        <v>3303</v>
      </c>
      <c r="E172" s="23" t="s">
        <v>3317</v>
      </c>
      <c r="F172" s="23" t="s">
        <v>3305</v>
      </c>
      <c r="G172" s="93">
        <v>3</v>
      </c>
      <c r="H172" s="93">
        <v>1</v>
      </c>
      <c r="I172" s="23"/>
      <c r="J172" s="23"/>
      <c r="K172" s="23"/>
      <c r="L172" s="23" t="s">
        <v>3490</v>
      </c>
      <c r="M172" s="23" t="s">
        <v>3503</v>
      </c>
    </row>
    <row r="173" spans="2:13" ht="15" customHeight="1" x14ac:dyDescent="0.25">
      <c r="B173" s="35" t="s">
        <v>2641</v>
      </c>
      <c r="C173" s="23" t="s">
        <v>2642</v>
      </c>
      <c r="D173" s="23" t="s">
        <v>3303</v>
      </c>
      <c r="E173" s="23" t="s">
        <v>3317</v>
      </c>
      <c r="F173" s="23" t="s">
        <v>3305</v>
      </c>
      <c r="G173" s="93">
        <v>3</v>
      </c>
      <c r="H173" s="93">
        <v>1</v>
      </c>
      <c r="I173" s="23"/>
      <c r="J173" s="23"/>
      <c r="K173" s="23"/>
      <c r="L173" s="23" t="s">
        <v>3490</v>
      </c>
      <c r="M173" s="23" t="s">
        <v>3503</v>
      </c>
    </row>
    <row r="174" spans="2:13" ht="15" customHeight="1" x14ac:dyDescent="0.25">
      <c r="B174" s="35" t="s">
        <v>2643</v>
      </c>
      <c r="C174" s="23" t="s">
        <v>3603</v>
      </c>
      <c r="D174" s="23" t="s">
        <v>3303</v>
      </c>
      <c r="E174" s="23" t="s">
        <v>3317</v>
      </c>
      <c r="F174" s="23" t="s">
        <v>3305</v>
      </c>
      <c r="G174" s="93">
        <v>3</v>
      </c>
      <c r="H174" s="93">
        <v>1</v>
      </c>
      <c r="I174" s="23"/>
      <c r="J174" s="23"/>
      <c r="K174" s="23"/>
      <c r="L174" s="23" t="s">
        <v>3490</v>
      </c>
      <c r="M174" s="23" t="s">
        <v>3503</v>
      </c>
    </row>
    <row r="175" spans="2:13" ht="15" customHeight="1" x14ac:dyDescent="0.25">
      <c r="B175" s="35" t="s">
        <v>2645</v>
      </c>
      <c r="C175" s="23" t="s">
        <v>3604</v>
      </c>
      <c r="D175" s="23" t="s">
        <v>3303</v>
      </c>
      <c r="E175" s="23" t="s">
        <v>3317</v>
      </c>
      <c r="F175" s="23" t="s">
        <v>3305</v>
      </c>
      <c r="G175" s="93">
        <v>3</v>
      </c>
      <c r="H175" s="93">
        <v>1</v>
      </c>
      <c r="I175" s="23"/>
      <c r="J175" s="23"/>
      <c r="K175" s="23"/>
      <c r="L175" s="23" t="s">
        <v>3490</v>
      </c>
      <c r="M175" s="23"/>
    </row>
    <row r="176" spans="2:13" ht="15" customHeight="1" x14ac:dyDescent="0.25">
      <c r="B176" s="35" t="s">
        <v>2647</v>
      </c>
      <c r="C176" s="23" t="s">
        <v>3605</v>
      </c>
      <c r="D176" s="23" t="s">
        <v>3303</v>
      </c>
      <c r="E176" s="23" t="s">
        <v>3317</v>
      </c>
      <c r="F176" s="23" t="s">
        <v>3305</v>
      </c>
      <c r="G176" s="93">
        <v>3</v>
      </c>
      <c r="H176" s="93">
        <v>1</v>
      </c>
      <c r="I176" s="23"/>
      <c r="J176" s="23"/>
      <c r="K176" s="23"/>
      <c r="L176" s="23" t="s">
        <v>3490</v>
      </c>
      <c r="M176" s="23" t="s">
        <v>3503</v>
      </c>
    </row>
    <row r="177" spans="2:13" ht="15" customHeight="1" x14ac:dyDescent="0.25">
      <c r="B177" s="35" t="s">
        <v>2649</v>
      </c>
      <c r="C177" s="23" t="s">
        <v>2650</v>
      </c>
      <c r="D177" s="23" t="s">
        <v>3303</v>
      </c>
      <c r="E177" s="23" t="s">
        <v>3317</v>
      </c>
      <c r="F177" s="23" t="s">
        <v>3305</v>
      </c>
      <c r="G177" s="93">
        <v>3</v>
      </c>
      <c r="H177" s="93">
        <v>1</v>
      </c>
      <c r="I177" s="23"/>
      <c r="J177" s="23"/>
      <c r="K177" s="23"/>
      <c r="L177" s="23" t="s">
        <v>3490</v>
      </c>
      <c r="M177" s="23" t="s">
        <v>3503</v>
      </c>
    </row>
    <row r="178" spans="2:13" ht="15" customHeight="1" x14ac:dyDescent="0.25">
      <c r="B178" s="35" t="s">
        <v>3606</v>
      </c>
      <c r="C178" s="23" t="s">
        <v>3607</v>
      </c>
      <c r="D178" s="23" t="s">
        <v>3303</v>
      </c>
      <c r="E178" s="23" t="s">
        <v>3317</v>
      </c>
      <c r="F178" s="23" t="s">
        <v>3305</v>
      </c>
      <c r="G178" s="93">
        <v>3</v>
      </c>
      <c r="H178" s="93">
        <v>1</v>
      </c>
      <c r="I178" s="23"/>
      <c r="J178" s="23"/>
      <c r="K178" s="23"/>
      <c r="L178" s="23" t="s">
        <v>3490</v>
      </c>
      <c r="M178" s="23"/>
    </row>
    <row r="179" spans="2:13" ht="15" customHeight="1" x14ac:dyDescent="0.25">
      <c r="B179" s="35" t="s">
        <v>3608</v>
      </c>
      <c r="C179" s="23" t="s">
        <v>3609</v>
      </c>
      <c r="D179" s="23" t="s">
        <v>3303</v>
      </c>
      <c r="E179" s="23" t="s">
        <v>3317</v>
      </c>
      <c r="F179" s="23" t="s">
        <v>3305</v>
      </c>
      <c r="G179" s="93">
        <v>3</v>
      </c>
      <c r="H179" s="93">
        <v>1</v>
      </c>
      <c r="I179" s="23"/>
      <c r="J179" s="23"/>
      <c r="K179" s="23"/>
      <c r="L179" s="23" t="s">
        <v>3490</v>
      </c>
      <c r="M179" s="23"/>
    </row>
    <row r="180" spans="2:13" ht="15" customHeight="1" x14ac:dyDescent="0.25">
      <c r="B180" s="35" t="s">
        <v>3610</v>
      </c>
      <c r="C180" s="23" t="s">
        <v>3611</v>
      </c>
      <c r="D180" s="23" t="s">
        <v>3303</v>
      </c>
      <c r="E180" s="23" t="s">
        <v>3317</v>
      </c>
      <c r="F180" s="23" t="s">
        <v>3305</v>
      </c>
      <c r="G180" s="93">
        <v>3</v>
      </c>
      <c r="H180" s="93">
        <v>0</v>
      </c>
      <c r="I180" s="23"/>
      <c r="J180" s="23"/>
      <c r="K180" s="23"/>
      <c r="L180" s="23" t="s">
        <v>3490</v>
      </c>
      <c r="M180" s="23"/>
    </row>
    <row r="181" spans="2:13" ht="15" customHeight="1" x14ac:dyDescent="0.25">
      <c r="B181" s="35" t="s">
        <v>3612</v>
      </c>
      <c r="C181" s="23" t="s">
        <v>3613</v>
      </c>
      <c r="D181" s="23" t="s">
        <v>3303</v>
      </c>
      <c r="E181" s="23" t="s">
        <v>3317</v>
      </c>
      <c r="F181" s="23" t="s">
        <v>3305</v>
      </c>
      <c r="G181" s="93">
        <v>3</v>
      </c>
      <c r="H181" s="93">
        <v>1</v>
      </c>
      <c r="I181" s="23"/>
      <c r="J181" s="23"/>
      <c r="K181" s="23"/>
      <c r="L181" s="23" t="s">
        <v>3490</v>
      </c>
      <c r="M181" s="23" t="s">
        <v>3503</v>
      </c>
    </row>
    <row r="182" spans="2:13" ht="15" customHeight="1" x14ac:dyDescent="0.25">
      <c r="B182" s="35" t="s">
        <v>3614</v>
      </c>
      <c r="C182" s="23" t="s">
        <v>3615</v>
      </c>
      <c r="D182" s="23" t="s">
        <v>3303</v>
      </c>
      <c r="E182" s="23" t="s">
        <v>3317</v>
      </c>
      <c r="F182" s="23" t="s">
        <v>3305</v>
      </c>
      <c r="G182" s="93">
        <v>3</v>
      </c>
      <c r="H182" s="93">
        <v>0</v>
      </c>
      <c r="I182" s="23"/>
      <c r="J182" s="23"/>
      <c r="K182" s="23"/>
      <c r="L182" s="23" t="s">
        <v>3490</v>
      </c>
      <c r="M182" s="23"/>
    </row>
    <row r="183" spans="2:13" ht="15" customHeight="1" x14ac:dyDescent="0.25">
      <c r="B183" s="35" t="s">
        <v>3616</v>
      </c>
      <c r="C183" s="23" t="s">
        <v>3617</v>
      </c>
      <c r="D183" s="23" t="s">
        <v>3303</v>
      </c>
      <c r="E183" s="23" t="s">
        <v>3317</v>
      </c>
      <c r="F183" s="23" t="s">
        <v>3305</v>
      </c>
      <c r="G183" s="93">
        <v>3</v>
      </c>
      <c r="H183" s="93">
        <v>0</v>
      </c>
      <c r="I183" s="23"/>
      <c r="J183" s="23"/>
      <c r="K183" s="23"/>
      <c r="L183" s="23" t="s">
        <v>3490</v>
      </c>
      <c r="M183" s="23"/>
    </row>
    <row r="184" spans="2:13" ht="15" customHeight="1" x14ac:dyDescent="0.25">
      <c r="B184" s="35" t="s">
        <v>3618</v>
      </c>
      <c r="C184" s="23" t="s">
        <v>3619</v>
      </c>
      <c r="D184" s="23" t="s">
        <v>3303</v>
      </c>
      <c r="E184" s="23" t="s">
        <v>3317</v>
      </c>
      <c r="F184" s="23" t="s">
        <v>3305</v>
      </c>
      <c r="G184" s="93">
        <v>3</v>
      </c>
      <c r="H184" s="93">
        <v>1</v>
      </c>
      <c r="I184" s="23"/>
      <c r="J184" s="23"/>
      <c r="K184" s="23"/>
      <c r="L184" s="23" t="s">
        <v>3490</v>
      </c>
      <c r="M184" s="23"/>
    </row>
    <row r="185" spans="2:13" ht="15" customHeight="1" x14ac:dyDescent="0.25">
      <c r="B185" s="35" t="s">
        <v>3620</v>
      </c>
      <c r="C185" s="23" t="s">
        <v>3621</v>
      </c>
      <c r="D185" s="23" t="s">
        <v>3303</v>
      </c>
      <c r="E185" s="23" t="s">
        <v>3317</v>
      </c>
      <c r="F185" s="23" t="s">
        <v>3305</v>
      </c>
      <c r="G185" s="93">
        <v>3</v>
      </c>
      <c r="H185" s="93">
        <v>1</v>
      </c>
      <c r="I185" s="23"/>
      <c r="J185" s="23"/>
      <c r="K185" s="23"/>
      <c r="L185" s="23" t="s">
        <v>3490</v>
      </c>
      <c r="M185" s="23"/>
    </row>
    <row r="186" spans="2:13" ht="15" customHeight="1" x14ac:dyDescent="0.25">
      <c r="B186" s="35" t="s">
        <v>3622</v>
      </c>
      <c r="C186" s="23" t="s">
        <v>3623</v>
      </c>
      <c r="D186" s="23" t="s">
        <v>3303</v>
      </c>
      <c r="E186" s="23" t="s">
        <v>3317</v>
      </c>
      <c r="F186" s="23" t="s">
        <v>3305</v>
      </c>
      <c r="G186" s="93">
        <v>3</v>
      </c>
      <c r="H186" s="93">
        <v>1</v>
      </c>
      <c r="I186" s="23"/>
      <c r="J186" s="23"/>
      <c r="K186" s="23"/>
      <c r="L186" s="23" t="s">
        <v>3490</v>
      </c>
      <c r="M186" s="23"/>
    </row>
    <row r="187" spans="2:13" ht="15" customHeight="1" x14ac:dyDescent="0.25">
      <c r="B187" s="35" t="s">
        <v>3624</v>
      </c>
      <c r="C187" s="23" t="s">
        <v>3625</v>
      </c>
      <c r="D187" s="23" t="s">
        <v>3303</v>
      </c>
      <c r="E187" s="23" t="s">
        <v>3317</v>
      </c>
      <c r="F187" s="23" t="s">
        <v>3305</v>
      </c>
      <c r="G187" s="93">
        <v>3</v>
      </c>
      <c r="H187" s="93">
        <v>0</v>
      </c>
      <c r="I187" s="23"/>
      <c r="J187" s="23"/>
      <c r="K187" s="23"/>
      <c r="L187" s="23" t="s">
        <v>3490</v>
      </c>
      <c r="M187" s="23"/>
    </row>
    <row r="188" spans="2:13" ht="15" customHeight="1" x14ac:dyDescent="0.25">
      <c r="B188" s="35" t="s">
        <v>3626</v>
      </c>
      <c r="C188" s="23" t="s">
        <v>3627</v>
      </c>
      <c r="D188" s="23" t="s">
        <v>3303</v>
      </c>
      <c r="E188" s="23" t="s">
        <v>3317</v>
      </c>
      <c r="F188" s="23" t="s">
        <v>3305</v>
      </c>
      <c r="G188" s="93">
        <v>3</v>
      </c>
      <c r="H188" s="93">
        <v>0</v>
      </c>
      <c r="I188" s="23"/>
      <c r="J188" s="23"/>
      <c r="K188" s="23"/>
      <c r="L188" s="23" t="s">
        <v>3490</v>
      </c>
      <c r="M188" s="23"/>
    </row>
    <row r="189" spans="2:13" ht="15" customHeight="1" x14ac:dyDescent="0.25">
      <c r="B189" s="35" t="s">
        <v>3628</v>
      </c>
      <c r="C189" s="23" t="s">
        <v>3629</v>
      </c>
      <c r="D189" s="23" t="s">
        <v>3303</v>
      </c>
      <c r="E189" s="23" t="s">
        <v>3317</v>
      </c>
      <c r="F189" s="23" t="s">
        <v>3305</v>
      </c>
      <c r="G189" s="93">
        <v>3</v>
      </c>
      <c r="H189" s="93">
        <v>0</v>
      </c>
      <c r="I189" s="23"/>
      <c r="J189" s="23"/>
      <c r="K189" s="23"/>
      <c r="L189" s="23" t="s">
        <v>3490</v>
      </c>
      <c r="M189" s="23"/>
    </row>
    <row r="190" spans="2:13" ht="15" customHeight="1" x14ac:dyDescent="0.25">
      <c r="B190" s="35" t="s">
        <v>3630</v>
      </c>
      <c r="C190" s="23" t="s">
        <v>3631</v>
      </c>
      <c r="D190" s="23" t="s">
        <v>3303</v>
      </c>
      <c r="E190" s="23" t="s">
        <v>3317</v>
      </c>
      <c r="F190" s="23" t="s">
        <v>3305</v>
      </c>
      <c r="G190" s="93">
        <v>3</v>
      </c>
      <c r="H190" s="93">
        <v>0</v>
      </c>
      <c r="I190" s="23"/>
      <c r="J190" s="23"/>
      <c r="K190" s="23"/>
      <c r="L190" s="23" t="s">
        <v>3490</v>
      </c>
      <c r="M190" s="23"/>
    </row>
    <row r="191" spans="2:13" ht="15" customHeight="1" x14ac:dyDescent="0.25">
      <c r="B191" s="35" t="s">
        <v>3632</v>
      </c>
      <c r="C191" s="23" t="s">
        <v>3633</v>
      </c>
      <c r="D191" s="23" t="s">
        <v>3303</v>
      </c>
      <c r="E191" s="23" t="s">
        <v>3317</v>
      </c>
      <c r="F191" s="23" t="s">
        <v>3305</v>
      </c>
      <c r="G191" s="93">
        <v>3</v>
      </c>
      <c r="H191" s="93">
        <v>1</v>
      </c>
      <c r="I191" s="23"/>
      <c r="J191" s="23"/>
      <c r="K191" s="23"/>
      <c r="L191" s="23" t="s">
        <v>3490</v>
      </c>
      <c r="M191" s="23" t="s">
        <v>3503</v>
      </c>
    </row>
    <row r="192" spans="2:13" ht="15" customHeight="1" x14ac:dyDescent="0.25">
      <c r="B192" s="35" t="s">
        <v>3634</v>
      </c>
      <c r="C192" s="23" t="s">
        <v>3635</v>
      </c>
      <c r="D192" s="23" t="s">
        <v>3303</v>
      </c>
      <c r="E192" s="23" t="s">
        <v>3317</v>
      </c>
      <c r="F192" s="23" t="s">
        <v>3305</v>
      </c>
      <c r="G192" s="93">
        <v>3</v>
      </c>
      <c r="H192" s="93">
        <v>1</v>
      </c>
      <c r="I192" s="23"/>
      <c r="J192" s="23"/>
      <c r="K192" s="23"/>
      <c r="L192" s="23" t="s">
        <v>3490</v>
      </c>
      <c r="M192" s="23"/>
    </row>
    <row r="193" spans="2:13" ht="15" customHeight="1" x14ac:dyDescent="0.25">
      <c r="B193" s="35" t="s">
        <v>3636</v>
      </c>
      <c r="C193" s="23" t="s">
        <v>3637</v>
      </c>
      <c r="D193" s="23" t="s">
        <v>3303</v>
      </c>
      <c r="E193" s="23" t="s">
        <v>3317</v>
      </c>
      <c r="F193" s="23" t="s">
        <v>3305</v>
      </c>
      <c r="G193" s="93">
        <v>3</v>
      </c>
      <c r="H193" s="93">
        <v>1</v>
      </c>
      <c r="I193" s="23"/>
      <c r="J193" s="23"/>
      <c r="K193" s="23"/>
      <c r="L193" s="23" t="s">
        <v>3490</v>
      </c>
      <c r="M193" s="23"/>
    </row>
    <row r="194" spans="2:13" ht="15" customHeight="1" x14ac:dyDescent="0.25">
      <c r="B194" s="35" t="s">
        <v>3638</v>
      </c>
      <c r="C194" s="23" t="s">
        <v>3639</v>
      </c>
      <c r="D194" s="23" t="s">
        <v>3303</v>
      </c>
      <c r="E194" s="23" t="s">
        <v>3317</v>
      </c>
      <c r="F194" s="23" t="s">
        <v>3305</v>
      </c>
      <c r="G194" s="93">
        <v>3</v>
      </c>
      <c r="H194" s="93">
        <v>1</v>
      </c>
      <c r="I194" s="23"/>
      <c r="J194" s="23"/>
      <c r="K194" s="23"/>
      <c r="L194" s="23" t="s">
        <v>3490</v>
      </c>
      <c r="M194" s="23"/>
    </row>
    <row r="195" spans="2:13" ht="15" customHeight="1" x14ac:dyDescent="0.25">
      <c r="B195" s="35" t="s">
        <v>3640</v>
      </c>
      <c r="C195" s="23" t="s">
        <v>3641</v>
      </c>
      <c r="D195" s="23" t="s">
        <v>3303</v>
      </c>
      <c r="E195" s="23" t="s">
        <v>3317</v>
      </c>
      <c r="F195" s="23" t="s">
        <v>3305</v>
      </c>
      <c r="G195" s="93">
        <v>3</v>
      </c>
      <c r="H195" s="93">
        <v>0</v>
      </c>
      <c r="I195" s="23"/>
      <c r="J195" s="23"/>
      <c r="K195" s="23"/>
      <c r="L195" s="23" t="s">
        <v>3490</v>
      </c>
      <c r="M195" s="23"/>
    </row>
    <row r="196" spans="2:13" ht="15" customHeight="1" x14ac:dyDescent="0.25">
      <c r="B196" s="35" t="s">
        <v>3642</v>
      </c>
      <c r="C196" s="23" t="s">
        <v>3643</v>
      </c>
      <c r="D196" s="23" t="s">
        <v>3303</v>
      </c>
      <c r="E196" s="23" t="s">
        <v>3317</v>
      </c>
      <c r="F196" s="23" t="s">
        <v>3305</v>
      </c>
      <c r="G196" s="93">
        <v>3</v>
      </c>
      <c r="H196" s="93">
        <v>0</v>
      </c>
      <c r="I196" s="23"/>
      <c r="J196" s="23"/>
      <c r="K196" s="23"/>
      <c r="L196" s="23" t="s">
        <v>3490</v>
      </c>
      <c r="M196" s="23"/>
    </row>
    <row r="197" spans="2:13" ht="15" customHeight="1" x14ac:dyDescent="0.25">
      <c r="B197" s="35" t="s">
        <v>3644</v>
      </c>
      <c r="C197" s="23" t="s">
        <v>3645</v>
      </c>
      <c r="D197" s="23" t="s">
        <v>3303</v>
      </c>
      <c r="E197" s="23" t="s">
        <v>3317</v>
      </c>
      <c r="F197" s="23" t="s">
        <v>3305</v>
      </c>
      <c r="G197" s="93">
        <v>3</v>
      </c>
      <c r="H197" s="93">
        <v>0</v>
      </c>
      <c r="I197" s="23"/>
      <c r="J197" s="23"/>
      <c r="K197" s="23"/>
      <c r="L197" s="23" t="s">
        <v>3490</v>
      </c>
      <c r="M197" s="23"/>
    </row>
    <row r="198" spans="2:13" ht="15" customHeight="1" x14ac:dyDescent="0.25">
      <c r="B198" s="35" t="s">
        <v>3646</v>
      </c>
      <c r="C198" s="23" t="s">
        <v>3647</v>
      </c>
      <c r="D198" s="23" t="s">
        <v>3303</v>
      </c>
      <c r="E198" s="23" t="s">
        <v>3317</v>
      </c>
      <c r="F198" s="23" t="s">
        <v>3305</v>
      </c>
      <c r="G198" s="93">
        <v>0</v>
      </c>
      <c r="H198" s="93">
        <v>0</v>
      </c>
      <c r="I198" s="23"/>
      <c r="J198" s="23"/>
      <c r="K198" s="23"/>
      <c r="L198" s="23" t="s">
        <v>3490</v>
      </c>
      <c r="M198" s="23"/>
    </row>
    <row r="199" spans="2:13" ht="15" customHeight="1" x14ac:dyDescent="0.25">
      <c r="B199" s="35" t="s">
        <v>3648</v>
      </c>
      <c r="C199" s="23" t="s">
        <v>3649</v>
      </c>
      <c r="D199" s="23" t="s">
        <v>3303</v>
      </c>
      <c r="E199" s="23" t="s">
        <v>3317</v>
      </c>
      <c r="F199" s="23" t="s">
        <v>3305</v>
      </c>
      <c r="G199" s="93">
        <v>0</v>
      </c>
      <c r="H199" s="93">
        <v>1</v>
      </c>
      <c r="I199" s="23"/>
      <c r="J199" s="23"/>
      <c r="K199" s="23"/>
      <c r="L199" s="23" t="s">
        <v>3490</v>
      </c>
      <c r="M199" s="23"/>
    </row>
    <row r="200" spans="2:13" ht="15" customHeight="1" x14ac:dyDescent="0.25">
      <c r="B200" s="35" t="s">
        <v>3650</v>
      </c>
      <c r="C200" s="23" t="s">
        <v>3651</v>
      </c>
      <c r="D200" s="23" t="s">
        <v>3303</v>
      </c>
      <c r="E200" s="23" t="s">
        <v>3317</v>
      </c>
      <c r="F200" s="23" t="s">
        <v>3305</v>
      </c>
      <c r="G200" s="93">
        <v>0</v>
      </c>
      <c r="H200" s="93">
        <v>1</v>
      </c>
      <c r="I200" s="23"/>
      <c r="J200" s="23"/>
      <c r="K200" s="23"/>
      <c r="L200" s="23" t="s">
        <v>3490</v>
      </c>
      <c r="M200" s="23"/>
    </row>
    <row r="201" spans="2:13" ht="15" customHeight="1" x14ac:dyDescent="0.25">
      <c r="B201" s="35" t="s">
        <v>3652</v>
      </c>
      <c r="C201" s="23" t="s">
        <v>3653</v>
      </c>
      <c r="D201" s="23" t="s">
        <v>3303</v>
      </c>
      <c r="E201" s="23" t="s">
        <v>3317</v>
      </c>
      <c r="F201" s="23" t="s">
        <v>3305</v>
      </c>
      <c r="G201" s="93">
        <v>0</v>
      </c>
      <c r="H201" s="93">
        <v>1</v>
      </c>
      <c r="I201" s="23"/>
      <c r="J201" s="23"/>
      <c r="K201" s="23"/>
      <c r="L201" s="23" t="s">
        <v>3490</v>
      </c>
      <c r="M201" s="23"/>
    </row>
    <row r="202" spans="2:13" ht="15" customHeight="1" x14ac:dyDescent="0.25">
      <c r="B202" s="35" t="s">
        <v>3490</v>
      </c>
      <c r="C202" s="23" t="s">
        <v>3654</v>
      </c>
      <c r="D202" s="23" t="s">
        <v>3303</v>
      </c>
      <c r="E202" s="23" t="s">
        <v>3367</v>
      </c>
      <c r="F202" s="23" t="s">
        <v>3305</v>
      </c>
      <c r="G202" s="93">
        <v>0</v>
      </c>
      <c r="H202" s="93">
        <v>0</v>
      </c>
      <c r="I202" s="23"/>
      <c r="J202" s="23"/>
      <c r="K202" s="23"/>
      <c r="L202" s="23" t="s">
        <v>3501</v>
      </c>
      <c r="M202" s="23"/>
    </row>
    <row r="203" spans="2:13" ht="15" customHeight="1" x14ac:dyDescent="0.25">
      <c r="B203" s="35" t="s">
        <v>3655</v>
      </c>
      <c r="C203" s="23" t="s">
        <v>3656</v>
      </c>
      <c r="D203" s="23" t="s">
        <v>3303</v>
      </c>
      <c r="E203" s="23" t="s">
        <v>3304</v>
      </c>
      <c r="F203" s="23" t="s">
        <v>3305</v>
      </c>
      <c r="G203" s="93">
        <v>0</v>
      </c>
      <c r="H203" s="93">
        <v>0</v>
      </c>
      <c r="I203" s="23"/>
      <c r="J203" s="23"/>
      <c r="K203" s="23"/>
      <c r="L203" s="23" t="s">
        <v>3657</v>
      </c>
      <c r="M203" s="23"/>
    </row>
    <row r="204" spans="2:13" ht="15" customHeight="1" x14ac:dyDescent="0.25">
      <c r="B204" s="35" t="s">
        <v>3658</v>
      </c>
      <c r="C204" s="23" t="s">
        <v>3659</v>
      </c>
      <c r="D204" s="23" t="s">
        <v>3303</v>
      </c>
      <c r="E204" s="23" t="s">
        <v>3304</v>
      </c>
      <c r="F204" s="23" t="s">
        <v>3305</v>
      </c>
      <c r="G204" s="93">
        <v>0</v>
      </c>
      <c r="H204" s="93">
        <v>0</v>
      </c>
      <c r="I204" s="23"/>
      <c r="J204" s="23"/>
      <c r="K204" s="23"/>
      <c r="L204" s="23" t="s">
        <v>3660</v>
      </c>
      <c r="M204" s="23"/>
    </row>
    <row r="205" spans="2:13" ht="15" customHeight="1" x14ac:dyDescent="0.25">
      <c r="B205" s="35" t="s">
        <v>3661</v>
      </c>
      <c r="C205" s="23" t="s">
        <v>3662</v>
      </c>
      <c r="D205" s="23" t="s">
        <v>3303</v>
      </c>
      <c r="E205" s="23" t="s">
        <v>3317</v>
      </c>
      <c r="F205" s="23" t="s">
        <v>3305</v>
      </c>
      <c r="G205" s="93">
        <v>3</v>
      </c>
      <c r="H205" s="93">
        <v>0</v>
      </c>
      <c r="I205" s="23"/>
      <c r="J205" s="23"/>
      <c r="K205" s="23"/>
      <c r="L205" s="23" t="s">
        <v>3660</v>
      </c>
      <c r="M205" s="23"/>
    </row>
    <row r="206" spans="2:13" ht="15" customHeight="1" x14ac:dyDescent="0.25">
      <c r="B206" s="35" t="s">
        <v>3663</v>
      </c>
      <c r="C206" s="23" t="s">
        <v>3664</v>
      </c>
      <c r="D206" s="23" t="s">
        <v>3303</v>
      </c>
      <c r="E206" s="23" t="s">
        <v>3317</v>
      </c>
      <c r="F206" s="23" t="s">
        <v>3305</v>
      </c>
      <c r="G206" s="93">
        <v>3</v>
      </c>
      <c r="H206" s="93">
        <v>1</v>
      </c>
      <c r="I206" s="23"/>
      <c r="J206" s="23"/>
      <c r="K206" s="23"/>
      <c r="L206" s="23" t="s">
        <v>3660</v>
      </c>
      <c r="M206" s="23"/>
    </row>
    <row r="207" spans="2:13" ht="15" customHeight="1" x14ac:dyDescent="0.25">
      <c r="B207" s="35" t="s">
        <v>3665</v>
      </c>
      <c r="C207" s="23" t="s">
        <v>3666</v>
      </c>
      <c r="D207" s="23" t="s">
        <v>3303</v>
      </c>
      <c r="E207" s="23" t="s">
        <v>3317</v>
      </c>
      <c r="F207" s="23" t="s">
        <v>3305</v>
      </c>
      <c r="G207" s="93">
        <v>3</v>
      </c>
      <c r="H207" s="93">
        <v>1</v>
      </c>
      <c r="I207" s="23"/>
      <c r="J207" s="23"/>
      <c r="K207" s="23"/>
      <c r="L207" s="23" t="s">
        <v>3660</v>
      </c>
      <c r="M207" s="23"/>
    </row>
    <row r="208" spans="2:13" ht="15" customHeight="1" x14ac:dyDescent="0.25">
      <c r="B208" s="35" t="s">
        <v>3667</v>
      </c>
      <c r="C208" s="23" t="s">
        <v>3668</v>
      </c>
      <c r="D208" s="23" t="s">
        <v>3303</v>
      </c>
      <c r="E208" s="23" t="s">
        <v>3317</v>
      </c>
      <c r="F208" s="23" t="s">
        <v>3305</v>
      </c>
      <c r="G208" s="93">
        <v>3</v>
      </c>
      <c r="H208" s="93">
        <v>1</v>
      </c>
      <c r="I208" s="23"/>
      <c r="J208" s="23"/>
      <c r="K208" s="23"/>
      <c r="L208" s="23" t="s">
        <v>3660</v>
      </c>
      <c r="M208" s="23"/>
    </row>
    <row r="209" spans="2:13" ht="15" customHeight="1" x14ac:dyDescent="0.25">
      <c r="B209" s="35" t="s">
        <v>3669</v>
      </c>
      <c r="C209" s="23" t="s">
        <v>3670</v>
      </c>
      <c r="D209" s="23" t="s">
        <v>3303</v>
      </c>
      <c r="E209" s="23" t="s">
        <v>3317</v>
      </c>
      <c r="F209" s="23" t="s">
        <v>3305</v>
      </c>
      <c r="G209" s="93">
        <v>3</v>
      </c>
      <c r="H209" s="93">
        <v>0</v>
      </c>
      <c r="I209" s="23"/>
      <c r="J209" s="23"/>
      <c r="K209" s="23"/>
      <c r="L209" s="23" t="s">
        <v>3660</v>
      </c>
      <c r="M209" s="23"/>
    </row>
    <row r="210" spans="2:13" ht="15" customHeight="1" x14ac:dyDescent="0.25">
      <c r="B210" s="35" t="s">
        <v>3671</v>
      </c>
      <c r="C210" s="23" t="s">
        <v>3672</v>
      </c>
      <c r="D210" s="23" t="s">
        <v>3303</v>
      </c>
      <c r="E210" s="23" t="s">
        <v>3317</v>
      </c>
      <c r="F210" s="23" t="s">
        <v>3305</v>
      </c>
      <c r="G210" s="93">
        <v>0</v>
      </c>
      <c r="H210" s="93">
        <v>1</v>
      </c>
      <c r="I210" s="23"/>
      <c r="J210" s="23"/>
      <c r="K210" s="23"/>
      <c r="L210" s="23" t="s">
        <v>3660</v>
      </c>
      <c r="M210" s="23" t="s">
        <v>3673</v>
      </c>
    </row>
    <row r="211" spans="2:13" ht="15" customHeight="1" x14ac:dyDescent="0.25">
      <c r="B211" s="35" t="s">
        <v>3674</v>
      </c>
      <c r="C211" s="23" t="s">
        <v>3675</v>
      </c>
      <c r="D211" s="23" t="s">
        <v>3303</v>
      </c>
      <c r="E211" s="23" t="s">
        <v>3317</v>
      </c>
      <c r="F211" s="23" t="s">
        <v>3305</v>
      </c>
      <c r="G211" s="93">
        <v>3</v>
      </c>
      <c r="H211" s="93">
        <v>1</v>
      </c>
      <c r="I211" s="23"/>
      <c r="J211" s="23"/>
      <c r="K211" s="23"/>
      <c r="L211" s="23" t="s">
        <v>3660</v>
      </c>
      <c r="M211" s="23" t="s">
        <v>3673</v>
      </c>
    </row>
    <row r="212" spans="2:13" ht="15" customHeight="1" x14ac:dyDescent="0.25">
      <c r="B212" s="35" t="s">
        <v>3676</v>
      </c>
      <c r="C212" s="23" t="s">
        <v>3677</v>
      </c>
      <c r="D212" s="23" t="s">
        <v>3303</v>
      </c>
      <c r="E212" s="23" t="s">
        <v>3317</v>
      </c>
      <c r="F212" s="23" t="s">
        <v>3305</v>
      </c>
      <c r="G212" s="93">
        <v>3</v>
      </c>
      <c r="H212" s="93">
        <v>1</v>
      </c>
      <c r="I212" s="23"/>
      <c r="J212" s="23"/>
      <c r="K212" s="23"/>
      <c r="L212" s="23" t="s">
        <v>3660</v>
      </c>
      <c r="M212" s="23"/>
    </row>
    <row r="213" spans="2:13" ht="15" customHeight="1" x14ac:dyDescent="0.25">
      <c r="B213" s="35" t="s">
        <v>3678</v>
      </c>
      <c r="C213" s="23" t="s">
        <v>3679</v>
      </c>
      <c r="D213" s="23" t="s">
        <v>3303</v>
      </c>
      <c r="E213" s="23" t="s">
        <v>3317</v>
      </c>
      <c r="F213" s="23" t="s">
        <v>3305</v>
      </c>
      <c r="G213" s="93">
        <v>3</v>
      </c>
      <c r="H213" s="93">
        <v>1</v>
      </c>
      <c r="I213" s="23"/>
      <c r="J213" s="23"/>
      <c r="K213" s="23"/>
      <c r="L213" s="23" t="s">
        <v>3660</v>
      </c>
      <c r="M213" s="23" t="s">
        <v>3680</v>
      </c>
    </row>
    <row r="214" spans="2:13" ht="15" customHeight="1" x14ac:dyDescent="0.25">
      <c r="B214" s="35" t="s">
        <v>3681</v>
      </c>
      <c r="C214" s="23" t="s">
        <v>3682</v>
      </c>
      <c r="D214" s="23" t="s">
        <v>3303</v>
      </c>
      <c r="E214" s="23" t="s">
        <v>3317</v>
      </c>
      <c r="F214" s="23" t="s">
        <v>3305</v>
      </c>
      <c r="G214" s="93">
        <v>3</v>
      </c>
      <c r="H214" s="93">
        <v>1</v>
      </c>
      <c r="I214" s="23"/>
      <c r="J214" s="23"/>
      <c r="K214" s="23"/>
      <c r="L214" s="23" t="s">
        <v>3660</v>
      </c>
      <c r="M214" s="23"/>
    </row>
    <row r="215" spans="2:13" ht="15" customHeight="1" x14ac:dyDescent="0.25">
      <c r="B215" s="35" t="s">
        <v>3683</v>
      </c>
      <c r="C215" s="23" t="s">
        <v>3684</v>
      </c>
      <c r="D215" s="23" t="s">
        <v>3303</v>
      </c>
      <c r="E215" s="23" t="s">
        <v>3317</v>
      </c>
      <c r="F215" s="23" t="s">
        <v>3305</v>
      </c>
      <c r="G215" s="93">
        <v>3</v>
      </c>
      <c r="H215" s="93">
        <v>1</v>
      </c>
      <c r="I215" s="23"/>
      <c r="J215" s="23"/>
      <c r="K215" s="23"/>
      <c r="L215" s="23" t="s">
        <v>3660</v>
      </c>
      <c r="M215" s="23"/>
    </row>
    <row r="216" spans="2:13" ht="15" customHeight="1" x14ac:dyDescent="0.25">
      <c r="B216" s="35" t="s">
        <v>3685</v>
      </c>
      <c r="C216" s="23" t="s">
        <v>3686</v>
      </c>
      <c r="D216" s="23" t="s">
        <v>3303</v>
      </c>
      <c r="E216" s="23" t="s">
        <v>3317</v>
      </c>
      <c r="F216" s="23" t="s">
        <v>3305</v>
      </c>
      <c r="G216" s="93">
        <v>3</v>
      </c>
      <c r="H216" s="93">
        <v>0</v>
      </c>
      <c r="I216" s="23"/>
      <c r="J216" s="23"/>
      <c r="K216" s="23"/>
      <c r="L216" s="23" t="s">
        <v>3660</v>
      </c>
      <c r="M216" s="23"/>
    </row>
    <row r="217" spans="2:13" ht="15" customHeight="1" x14ac:dyDescent="0.25">
      <c r="B217" s="35" t="s">
        <v>3687</v>
      </c>
      <c r="C217" s="23" t="s">
        <v>3688</v>
      </c>
      <c r="D217" s="23" t="s">
        <v>3303</v>
      </c>
      <c r="E217" s="23" t="s">
        <v>3317</v>
      </c>
      <c r="F217" s="23" t="s">
        <v>3305</v>
      </c>
      <c r="G217" s="93">
        <v>3</v>
      </c>
      <c r="H217" s="93">
        <v>1</v>
      </c>
      <c r="I217" s="23"/>
      <c r="J217" s="23"/>
      <c r="K217" s="23"/>
      <c r="L217" s="23" t="s">
        <v>3660</v>
      </c>
      <c r="M217" s="23"/>
    </row>
    <row r="218" spans="2:13" ht="15" customHeight="1" x14ac:dyDescent="0.25">
      <c r="B218" s="35" t="s">
        <v>3689</v>
      </c>
      <c r="C218" s="23" t="s">
        <v>3690</v>
      </c>
      <c r="D218" s="23" t="s">
        <v>3303</v>
      </c>
      <c r="E218" s="23" t="s">
        <v>3317</v>
      </c>
      <c r="F218" s="23" t="s">
        <v>3305</v>
      </c>
      <c r="G218" s="93">
        <v>3</v>
      </c>
      <c r="H218" s="93">
        <v>1</v>
      </c>
      <c r="I218" s="23"/>
      <c r="J218" s="23"/>
      <c r="K218" s="23"/>
      <c r="L218" s="23" t="s">
        <v>3660</v>
      </c>
      <c r="M218" s="23" t="s">
        <v>3691</v>
      </c>
    </row>
    <row r="219" spans="2:13" ht="15" customHeight="1" x14ac:dyDescent="0.25">
      <c r="B219" s="35" t="s">
        <v>3692</v>
      </c>
      <c r="C219" s="23" t="s">
        <v>3693</v>
      </c>
      <c r="D219" s="23" t="s">
        <v>3303</v>
      </c>
      <c r="E219" s="23" t="s">
        <v>3317</v>
      </c>
      <c r="F219" s="23" t="s">
        <v>3305</v>
      </c>
      <c r="G219" s="93">
        <v>3</v>
      </c>
      <c r="H219" s="93">
        <v>1</v>
      </c>
      <c r="I219" s="23"/>
      <c r="J219" s="23"/>
      <c r="K219" s="23"/>
      <c r="L219" s="23" t="s">
        <v>3660</v>
      </c>
      <c r="M219" s="23" t="s">
        <v>3694</v>
      </c>
    </row>
    <row r="220" spans="2:13" ht="15" customHeight="1" x14ac:dyDescent="0.25">
      <c r="B220" s="35" t="s">
        <v>3695</v>
      </c>
      <c r="C220" s="23" t="s">
        <v>3696</v>
      </c>
      <c r="D220" s="23" t="s">
        <v>3303</v>
      </c>
      <c r="E220" s="23" t="s">
        <v>3317</v>
      </c>
      <c r="F220" s="23" t="s">
        <v>3305</v>
      </c>
      <c r="G220" s="93">
        <v>0</v>
      </c>
      <c r="H220" s="93">
        <v>0</v>
      </c>
      <c r="I220" s="23"/>
      <c r="J220" s="23"/>
      <c r="K220" s="23"/>
      <c r="L220" s="23" t="s">
        <v>3660</v>
      </c>
      <c r="M220" s="23"/>
    </row>
    <row r="221" spans="2:13" ht="15" customHeight="1" x14ac:dyDescent="0.25">
      <c r="B221" s="35" t="s">
        <v>3697</v>
      </c>
      <c r="C221" s="23" t="s">
        <v>3698</v>
      </c>
      <c r="D221" s="23" t="s">
        <v>3303</v>
      </c>
      <c r="E221" s="23" t="s">
        <v>3317</v>
      </c>
      <c r="F221" s="23" t="s">
        <v>3305</v>
      </c>
      <c r="G221" s="93">
        <v>0</v>
      </c>
      <c r="H221" s="93">
        <v>1</v>
      </c>
      <c r="I221" s="23"/>
      <c r="J221" s="23"/>
      <c r="K221" s="23"/>
      <c r="L221" s="23" t="s">
        <v>3660</v>
      </c>
      <c r="M221" s="23" t="s">
        <v>3694</v>
      </c>
    </row>
    <row r="222" spans="2:13" ht="15" customHeight="1" x14ac:dyDescent="0.25">
      <c r="B222" s="35" t="s">
        <v>3699</v>
      </c>
      <c r="C222" s="23" t="s">
        <v>3700</v>
      </c>
      <c r="D222" s="23" t="s">
        <v>3303</v>
      </c>
      <c r="E222" s="23" t="s">
        <v>3317</v>
      </c>
      <c r="F222" s="23" t="s">
        <v>3305</v>
      </c>
      <c r="G222" s="93">
        <v>3</v>
      </c>
      <c r="H222" s="93">
        <v>1</v>
      </c>
      <c r="I222" s="23"/>
      <c r="J222" s="23"/>
      <c r="K222" s="23"/>
      <c r="L222" s="23" t="s">
        <v>3660</v>
      </c>
      <c r="M222" s="23"/>
    </row>
    <row r="223" spans="2:13" ht="15" customHeight="1" x14ac:dyDescent="0.25">
      <c r="B223" s="35" t="s">
        <v>3701</v>
      </c>
      <c r="C223" s="23" t="s">
        <v>3702</v>
      </c>
      <c r="D223" s="23" t="s">
        <v>3303</v>
      </c>
      <c r="E223" s="23" t="s">
        <v>3317</v>
      </c>
      <c r="F223" s="23" t="s">
        <v>3305</v>
      </c>
      <c r="G223" s="93">
        <v>3</v>
      </c>
      <c r="H223" s="93">
        <v>1</v>
      </c>
      <c r="I223" s="23"/>
      <c r="J223" s="23"/>
      <c r="K223" s="23"/>
      <c r="L223" s="23" t="s">
        <v>3660</v>
      </c>
      <c r="M223" s="23"/>
    </row>
    <row r="224" spans="2:13" ht="15" customHeight="1" x14ac:dyDescent="0.25">
      <c r="B224" s="35" t="s">
        <v>3703</v>
      </c>
      <c r="C224" s="23" t="s">
        <v>3704</v>
      </c>
      <c r="D224" s="23" t="s">
        <v>3303</v>
      </c>
      <c r="E224" s="23" t="s">
        <v>3317</v>
      </c>
      <c r="F224" s="23" t="s">
        <v>3305</v>
      </c>
      <c r="G224" s="93">
        <v>3</v>
      </c>
      <c r="H224" s="93">
        <v>1</v>
      </c>
      <c r="I224" s="23"/>
      <c r="J224" s="23"/>
      <c r="K224" s="23"/>
      <c r="L224" s="23" t="s">
        <v>3660</v>
      </c>
      <c r="M224" s="23"/>
    </row>
    <row r="225" spans="2:13" ht="15" customHeight="1" x14ac:dyDescent="0.25">
      <c r="B225" s="35" t="s">
        <v>3705</v>
      </c>
      <c r="C225" s="23" t="s">
        <v>3706</v>
      </c>
      <c r="D225" s="23" t="s">
        <v>3303</v>
      </c>
      <c r="E225" s="23" t="s">
        <v>3317</v>
      </c>
      <c r="F225" s="23" t="s">
        <v>3305</v>
      </c>
      <c r="G225" s="93">
        <v>3</v>
      </c>
      <c r="H225" s="93">
        <v>1</v>
      </c>
      <c r="I225" s="23"/>
      <c r="J225" s="23"/>
      <c r="K225" s="23"/>
      <c r="L225" s="23" t="s">
        <v>3660</v>
      </c>
      <c r="M225" s="23"/>
    </row>
    <row r="226" spans="2:13" ht="15" customHeight="1" x14ac:dyDescent="0.25">
      <c r="B226" s="35" t="s">
        <v>3660</v>
      </c>
      <c r="C226" s="23" t="s">
        <v>3707</v>
      </c>
      <c r="D226" s="23" t="s">
        <v>3303</v>
      </c>
      <c r="E226" s="23" t="s">
        <v>3367</v>
      </c>
      <c r="F226" s="23" t="s">
        <v>3305</v>
      </c>
      <c r="G226" s="93">
        <v>0</v>
      </c>
      <c r="H226" s="93">
        <v>0</v>
      </c>
      <c r="I226" s="23"/>
      <c r="J226" s="23"/>
      <c r="K226" s="23"/>
      <c r="L226" s="23" t="s">
        <v>3657</v>
      </c>
      <c r="M226" s="23"/>
    </row>
    <row r="227" spans="2:13" ht="15" customHeight="1" x14ac:dyDescent="0.25">
      <c r="B227" s="35" t="s">
        <v>3708</v>
      </c>
      <c r="C227" s="23" t="s">
        <v>3709</v>
      </c>
      <c r="D227" s="23" t="s">
        <v>3303</v>
      </c>
      <c r="E227" s="23" t="s">
        <v>3304</v>
      </c>
      <c r="F227" s="23" t="s">
        <v>3305</v>
      </c>
      <c r="G227" s="93">
        <v>0</v>
      </c>
      <c r="H227" s="93">
        <v>0</v>
      </c>
      <c r="I227" s="23"/>
      <c r="J227" s="23"/>
      <c r="K227" s="23"/>
      <c r="L227" s="23" t="s">
        <v>3710</v>
      </c>
      <c r="M227" s="23"/>
    </row>
    <row r="228" spans="2:13" ht="15" customHeight="1" x14ac:dyDescent="0.25">
      <c r="B228" s="35" t="s">
        <v>3711</v>
      </c>
      <c r="C228" s="23" t="s">
        <v>3712</v>
      </c>
      <c r="D228" s="23" t="s">
        <v>3303</v>
      </c>
      <c r="E228" s="23" t="s">
        <v>3304</v>
      </c>
      <c r="F228" s="23" t="s">
        <v>3305</v>
      </c>
      <c r="G228" s="93">
        <v>0</v>
      </c>
      <c r="H228" s="93">
        <v>0</v>
      </c>
      <c r="I228" s="23"/>
      <c r="J228" s="23"/>
      <c r="K228" s="23"/>
      <c r="L228" s="23" t="s">
        <v>3713</v>
      </c>
      <c r="M228" s="23"/>
    </row>
    <row r="229" spans="2:13" ht="15" customHeight="1" x14ac:dyDescent="0.25">
      <c r="B229" s="35" t="s">
        <v>2651</v>
      </c>
      <c r="C229" s="23" t="s">
        <v>3714</v>
      </c>
      <c r="D229" s="23" t="s">
        <v>3303</v>
      </c>
      <c r="E229" s="23" t="s">
        <v>3317</v>
      </c>
      <c r="F229" s="23" t="s">
        <v>3305</v>
      </c>
      <c r="G229" s="93">
        <v>3</v>
      </c>
      <c r="H229" s="93">
        <v>1</v>
      </c>
      <c r="I229" s="23"/>
      <c r="J229" s="23"/>
      <c r="K229" s="23"/>
      <c r="L229" s="23" t="s">
        <v>3713</v>
      </c>
      <c r="M229" s="23" t="s">
        <v>3715</v>
      </c>
    </row>
    <row r="230" spans="2:13" ht="15" customHeight="1" x14ac:dyDescent="0.25">
      <c r="B230" s="35" t="s">
        <v>2653</v>
      </c>
      <c r="C230" s="23" t="s">
        <v>3716</v>
      </c>
      <c r="D230" s="23" t="s">
        <v>3303</v>
      </c>
      <c r="E230" s="23" t="s">
        <v>3317</v>
      </c>
      <c r="F230" s="23" t="s">
        <v>3305</v>
      </c>
      <c r="G230" s="93">
        <v>3</v>
      </c>
      <c r="H230" s="93">
        <v>1</v>
      </c>
      <c r="I230" s="23"/>
      <c r="J230" s="23"/>
      <c r="K230" s="23"/>
      <c r="L230" s="23" t="s">
        <v>3713</v>
      </c>
      <c r="M230" s="23"/>
    </row>
    <row r="231" spans="2:13" ht="15" customHeight="1" x14ac:dyDescent="0.25">
      <c r="B231" s="35" t="s">
        <v>2655</v>
      </c>
      <c r="C231" s="23" t="s">
        <v>3717</v>
      </c>
      <c r="D231" s="23" t="s">
        <v>3303</v>
      </c>
      <c r="E231" s="23" t="s">
        <v>3317</v>
      </c>
      <c r="F231" s="23" t="s">
        <v>3305</v>
      </c>
      <c r="G231" s="93">
        <v>0</v>
      </c>
      <c r="H231" s="93">
        <v>1</v>
      </c>
      <c r="I231" s="23"/>
      <c r="J231" s="23"/>
      <c r="K231" s="23"/>
      <c r="L231" s="23" t="s">
        <v>3713</v>
      </c>
      <c r="M231" s="23"/>
    </row>
    <row r="232" spans="2:13" ht="15" customHeight="1" x14ac:dyDescent="0.25">
      <c r="B232" s="35" t="s">
        <v>2659</v>
      </c>
      <c r="C232" s="23" t="s">
        <v>3718</v>
      </c>
      <c r="D232" s="23" t="s">
        <v>3303</v>
      </c>
      <c r="E232" s="23" t="s">
        <v>3317</v>
      </c>
      <c r="F232" s="23" t="s">
        <v>3305</v>
      </c>
      <c r="G232" s="93">
        <v>0</v>
      </c>
      <c r="H232" s="93">
        <v>1</v>
      </c>
      <c r="I232" s="23"/>
      <c r="J232" s="23"/>
      <c r="K232" s="23"/>
      <c r="L232" s="23" t="s">
        <v>3713</v>
      </c>
      <c r="M232" s="23"/>
    </row>
    <row r="233" spans="2:13" ht="15" customHeight="1" x14ac:dyDescent="0.25">
      <c r="B233" s="35" t="s">
        <v>2663</v>
      </c>
      <c r="C233" s="23" t="s">
        <v>3719</v>
      </c>
      <c r="D233" s="23" t="s">
        <v>3303</v>
      </c>
      <c r="E233" s="23" t="s">
        <v>3317</v>
      </c>
      <c r="F233" s="23" t="s">
        <v>3305</v>
      </c>
      <c r="G233" s="93">
        <v>0</v>
      </c>
      <c r="H233" s="93">
        <v>1</v>
      </c>
      <c r="I233" s="23"/>
      <c r="J233" s="23"/>
      <c r="K233" s="23"/>
      <c r="L233" s="23" t="s">
        <v>3713</v>
      </c>
      <c r="M233" s="23"/>
    </row>
    <row r="234" spans="2:13" ht="15" customHeight="1" x14ac:dyDescent="0.25">
      <c r="B234" s="35" t="s">
        <v>2667</v>
      </c>
      <c r="C234" s="23" t="s">
        <v>3720</v>
      </c>
      <c r="D234" s="23" t="s">
        <v>3303</v>
      </c>
      <c r="E234" s="23" t="s">
        <v>3317</v>
      </c>
      <c r="F234" s="23" t="s">
        <v>3305</v>
      </c>
      <c r="G234" s="93">
        <v>0</v>
      </c>
      <c r="H234" s="93">
        <v>1</v>
      </c>
      <c r="I234" s="23"/>
      <c r="J234" s="23"/>
      <c r="K234" s="23"/>
      <c r="L234" s="23" t="s">
        <v>3713</v>
      </c>
      <c r="M234" s="23"/>
    </row>
    <row r="235" spans="2:13" ht="15" customHeight="1" x14ac:dyDescent="0.25">
      <c r="B235" s="35" t="s">
        <v>3721</v>
      </c>
      <c r="C235" s="23" t="s">
        <v>3722</v>
      </c>
      <c r="D235" s="23" t="s">
        <v>3303</v>
      </c>
      <c r="E235" s="23" t="s">
        <v>3317</v>
      </c>
      <c r="F235" s="23" t="s">
        <v>3305</v>
      </c>
      <c r="G235" s="93">
        <v>0</v>
      </c>
      <c r="H235" s="93">
        <v>1</v>
      </c>
      <c r="I235" s="23"/>
      <c r="J235" s="23"/>
      <c r="K235" s="23"/>
      <c r="L235" s="23" t="s">
        <v>3713</v>
      </c>
      <c r="M235" s="23" t="s">
        <v>3694</v>
      </c>
    </row>
    <row r="236" spans="2:13" ht="15" customHeight="1" x14ac:dyDescent="0.25">
      <c r="B236" s="35" t="s">
        <v>2671</v>
      </c>
      <c r="C236" s="23" t="s">
        <v>2672</v>
      </c>
      <c r="D236" s="23" t="s">
        <v>3303</v>
      </c>
      <c r="E236" s="23" t="s">
        <v>3317</v>
      </c>
      <c r="F236" s="23" t="s">
        <v>3305</v>
      </c>
      <c r="G236" s="93">
        <v>3</v>
      </c>
      <c r="H236" s="93">
        <v>1</v>
      </c>
      <c r="I236" s="23"/>
      <c r="J236" s="23"/>
      <c r="K236" s="23"/>
      <c r="L236" s="23" t="s">
        <v>3713</v>
      </c>
      <c r="M236" s="23"/>
    </row>
    <row r="237" spans="2:13" ht="15" customHeight="1" x14ac:dyDescent="0.25">
      <c r="B237" s="35" t="s">
        <v>2673</v>
      </c>
      <c r="C237" s="23" t="s">
        <v>3723</v>
      </c>
      <c r="D237" s="23" t="s">
        <v>3303</v>
      </c>
      <c r="E237" s="23" t="s">
        <v>3317</v>
      </c>
      <c r="F237" s="23" t="s">
        <v>3305</v>
      </c>
      <c r="G237" s="93">
        <v>3</v>
      </c>
      <c r="H237" s="93">
        <v>1</v>
      </c>
      <c r="I237" s="23"/>
      <c r="J237" s="23"/>
      <c r="K237" s="23"/>
      <c r="L237" s="23" t="s">
        <v>3713</v>
      </c>
      <c r="M237" s="23"/>
    </row>
    <row r="238" spans="2:13" ht="15" customHeight="1" x14ac:dyDescent="0.25">
      <c r="B238" s="35" t="s">
        <v>2677</v>
      </c>
      <c r="C238" s="23" t="s">
        <v>3724</v>
      </c>
      <c r="D238" s="23" t="s">
        <v>3303</v>
      </c>
      <c r="E238" s="23" t="s">
        <v>3317</v>
      </c>
      <c r="F238" s="23" t="s">
        <v>3305</v>
      </c>
      <c r="G238" s="93">
        <v>3</v>
      </c>
      <c r="H238" s="93">
        <v>1</v>
      </c>
      <c r="I238" s="23"/>
      <c r="J238" s="23"/>
      <c r="K238" s="23"/>
      <c r="L238" s="23" t="s">
        <v>3713</v>
      </c>
      <c r="M238" s="23"/>
    </row>
    <row r="239" spans="2:13" ht="15" customHeight="1" x14ac:dyDescent="0.25">
      <c r="B239" s="35" t="s">
        <v>2681</v>
      </c>
      <c r="C239" s="23" t="s">
        <v>3725</v>
      </c>
      <c r="D239" s="23" t="s">
        <v>3303</v>
      </c>
      <c r="E239" s="23" t="s">
        <v>3317</v>
      </c>
      <c r="F239" s="23" t="s">
        <v>3305</v>
      </c>
      <c r="G239" s="93">
        <v>3</v>
      </c>
      <c r="H239" s="93">
        <v>1</v>
      </c>
      <c r="I239" s="23"/>
      <c r="J239" s="23"/>
      <c r="K239" s="23"/>
      <c r="L239" s="23" t="s">
        <v>3713</v>
      </c>
      <c r="M239" s="23"/>
    </row>
    <row r="240" spans="2:13" ht="15" customHeight="1" x14ac:dyDescent="0.25">
      <c r="B240" s="35" t="s">
        <v>2685</v>
      </c>
      <c r="C240" s="23" t="s">
        <v>3726</v>
      </c>
      <c r="D240" s="23" t="s">
        <v>3303</v>
      </c>
      <c r="E240" s="23" t="s">
        <v>3317</v>
      </c>
      <c r="F240" s="23" t="s">
        <v>3305</v>
      </c>
      <c r="G240" s="93">
        <v>3</v>
      </c>
      <c r="H240" s="93">
        <v>1</v>
      </c>
      <c r="I240" s="23"/>
      <c r="J240" s="23"/>
      <c r="K240" s="23"/>
      <c r="L240" s="23" t="s">
        <v>3713</v>
      </c>
      <c r="M240" s="23"/>
    </row>
    <row r="241" spans="2:13" ht="15" customHeight="1" x14ac:dyDescent="0.25">
      <c r="B241" s="35" t="s">
        <v>3727</v>
      </c>
      <c r="C241" s="23" t="s">
        <v>3728</v>
      </c>
      <c r="D241" s="23" t="s">
        <v>3303</v>
      </c>
      <c r="E241" s="23" t="s">
        <v>3317</v>
      </c>
      <c r="F241" s="23" t="s">
        <v>3729</v>
      </c>
      <c r="G241" s="93">
        <v>0</v>
      </c>
      <c r="H241" s="93">
        <v>1</v>
      </c>
      <c r="I241" s="23"/>
      <c r="J241" s="23"/>
      <c r="K241" s="23"/>
      <c r="L241" s="23" t="s">
        <v>3713</v>
      </c>
      <c r="M241" s="23" t="s">
        <v>3694</v>
      </c>
    </row>
    <row r="242" spans="2:13" ht="15" customHeight="1" x14ac:dyDescent="0.25">
      <c r="B242" s="35" t="s">
        <v>2689</v>
      </c>
      <c r="C242" s="23" t="s">
        <v>3730</v>
      </c>
      <c r="D242" s="23" t="s">
        <v>3303</v>
      </c>
      <c r="E242" s="23" t="s">
        <v>3317</v>
      </c>
      <c r="F242" s="23" t="s">
        <v>3305</v>
      </c>
      <c r="G242" s="93">
        <v>3</v>
      </c>
      <c r="H242" s="93">
        <v>1</v>
      </c>
      <c r="I242" s="23"/>
      <c r="J242" s="23"/>
      <c r="K242" s="23"/>
      <c r="L242" s="23" t="s">
        <v>3713</v>
      </c>
      <c r="M242" s="23"/>
    </row>
    <row r="243" spans="2:13" ht="15" customHeight="1" x14ac:dyDescent="0.25">
      <c r="B243" s="35" t="s">
        <v>2693</v>
      </c>
      <c r="C243" s="23" t="s">
        <v>3731</v>
      </c>
      <c r="D243" s="23" t="s">
        <v>3303</v>
      </c>
      <c r="E243" s="23" t="s">
        <v>3317</v>
      </c>
      <c r="F243" s="23" t="s">
        <v>3305</v>
      </c>
      <c r="G243" s="93">
        <v>0</v>
      </c>
      <c r="H243" s="93">
        <v>1</v>
      </c>
      <c r="I243" s="23"/>
      <c r="J243" s="23"/>
      <c r="K243" s="23"/>
      <c r="L243" s="23" t="s">
        <v>3713</v>
      </c>
      <c r="M243" s="23"/>
    </row>
    <row r="244" spans="2:13" ht="15" customHeight="1" x14ac:dyDescent="0.25">
      <c r="B244" s="35" t="s">
        <v>2695</v>
      </c>
      <c r="C244" s="23" t="s">
        <v>3732</v>
      </c>
      <c r="D244" s="23" t="s">
        <v>3303</v>
      </c>
      <c r="E244" s="23" t="s">
        <v>3317</v>
      </c>
      <c r="F244" s="23" t="s">
        <v>3305</v>
      </c>
      <c r="G244" s="93">
        <v>0</v>
      </c>
      <c r="H244" s="93">
        <v>1</v>
      </c>
      <c r="I244" s="23"/>
      <c r="J244" s="23"/>
      <c r="K244" s="23"/>
      <c r="L244" s="23" t="s">
        <v>3713</v>
      </c>
      <c r="M244" s="23"/>
    </row>
    <row r="245" spans="2:13" ht="15" customHeight="1" x14ac:dyDescent="0.25">
      <c r="B245" s="35" t="s">
        <v>3713</v>
      </c>
      <c r="C245" s="23" t="s">
        <v>3733</v>
      </c>
      <c r="D245" s="23" t="s">
        <v>3303</v>
      </c>
      <c r="E245" s="23" t="s">
        <v>3367</v>
      </c>
      <c r="F245" s="23" t="s">
        <v>3305</v>
      </c>
      <c r="G245" s="93">
        <v>0</v>
      </c>
      <c r="H245" s="93">
        <v>0</v>
      </c>
      <c r="I245" s="23"/>
      <c r="J245" s="23"/>
      <c r="K245" s="23"/>
      <c r="L245" s="23" t="s">
        <v>3710</v>
      </c>
      <c r="M245" s="23"/>
    </row>
    <row r="246" spans="2:13" ht="15" customHeight="1" x14ac:dyDescent="0.25">
      <c r="B246" s="35" t="s">
        <v>3734</v>
      </c>
      <c r="C246" s="23" t="s">
        <v>3735</v>
      </c>
      <c r="D246" s="23" t="s">
        <v>3303</v>
      </c>
      <c r="E246" s="23" t="s">
        <v>3304</v>
      </c>
      <c r="F246" s="23" t="s">
        <v>3305</v>
      </c>
      <c r="G246" s="93">
        <v>0</v>
      </c>
      <c r="H246" s="93">
        <v>0</v>
      </c>
      <c r="I246" s="23"/>
      <c r="J246" s="23"/>
      <c r="K246" s="23"/>
      <c r="L246" s="23" t="s">
        <v>3736</v>
      </c>
      <c r="M246" s="23"/>
    </row>
    <row r="247" spans="2:13" ht="15" customHeight="1" x14ac:dyDescent="0.25">
      <c r="B247" s="35" t="s">
        <v>3737</v>
      </c>
      <c r="C247" s="23" t="s">
        <v>3738</v>
      </c>
      <c r="D247" s="23" t="s">
        <v>3303</v>
      </c>
      <c r="E247" s="23" t="s">
        <v>3304</v>
      </c>
      <c r="F247" s="23" t="s">
        <v>3305</v>
      </c>
      <c r="G247" s="93">
        <v>0</v>
      </c>
      <c r="H247" s="93">
        <v>1</v>
      </c>
      <c r="I247" s="23"/>
      <c r="J247" s="23"/>
      <c r="K247" s="23"/>
      <c r="L247" s="23" t="s">
        <v>3739</v>
      </c>
      <c r="M247" s="23"/>
    </row>
    <row r="248" spans="2:13" ht="15" customHeight="1" x14ac:dyDescent="0.25">
      <c r="B248" s="35" t="s">
        <v>2697</v>
      </c>
      <c r="C248" s="23" t="s">
        <v>3740</v>
      </c>
      <c r="D248" s="23" t="s">
        <v>3303</v>
      </c>
      <c r="E248" s="23" t="s">
        <v>3317</v>
      </c>
      <c r="F248" s="23" t="s">
        <v>3305</v>
      </c>
      <c r="G248" s="93">
        <v>3</v>
      </c>
      <c r="H248" s="93">
        <v>1</v>
      </c>
      <c r="I248" s="23"/>
      <c r="J248" s="23"/>
      <c r="K248" s="23"/>
      <c r="L248" s="23" t="s">
        <v>3739</v>
      </c>
      <c r="M248" s="23"/>
    </row>
    <row r="249" spans="2:13" ht="15" customHeight="1" x14ac:dyDescent="0.25">
      <c r="B249" s="35" t="s">
        <v>2701</v>
      </c>
      <c r="C249" s="23" t="s">
        <v>3741</v>
      </c>
      <c r="D249" s="23" t="s">
        <v>3303</v>
      </c>
      <c r="E249" s="23" t="s">
        <v>3317</v>
      </c>
      <c r="F249" s="23" t="s">
        <v>3305</v>
      </c>
      <c r="G249" s="93">
        <v>3</v>
      </c>
      <c r="H249" s="93">
        <v>1</v>
      </c>
      <c r="I249" s="23"/>
      <c r="J249" s="23"/>
      <c r="K249" s="23"/>
      <c r="L249" s="23" t="s">
        <v>3739</v>
      </c>
      <c r="M249" s="23"/>
    </row>
    <row r="250" spans="2:13" ht="15" customHeight="1" x14ac:dyDescent="0.25">
      <c r="B250" s="35" t="s">
        <v>2705</v>
      </c>
      <c r="C250" s="23" t="s">
        <v>3742</v>
      </c>
      <c r="D250" s="23" t="s">
        <v>3303</v>
      </c>
      <c r="E250" s="23" t="s">
        <v>3317</v>
      </c>
      <c r="F250" s="23" t="s">
        <v>3305</v>
      </c>
      <c r="G250" s="93">
        <v>3</v>
      </c>
      <c r="H250" s="93">
        <v>1</v>
      </c>
      <c r="I250" s="23"/>
      <c r="J250" s="23"/>
      <c r="K250" s="23"/>
      <c r="L250" s="23" t="s">
        <v>3739</v>
      </c>
      <c r="M250" s="23"/>
    </row>
    <row r="251" spans="2:13" ht="15" customHeight="1" x14ac:dyDescent="0.25">
      <c r="B251" s="35" t="s">
        <v>2709</v>
      </c>
      <c r="C251" s="23" t="s">
        <v>3743</v>
      </c>
      <c r="D251" s="23" t="s">
        <v>3303</v>
      </c>
      <c r="E251" s="23" t="s">
        <v>3317</v>
      </c>
      <c r="F251" s="23" t="s">
        <v>3305</v>
      </c>
      <c r="G251" s="93">
        <v>3</v>
      </c>
      <c r="H251" s="93">
        <v>1</v>
      </c>
      <c r="I251" s="23"/>
      <c r="J251" s="23"/>
      <c r="K251" s="23"/>
      <c r="L251" s="23" t="s">
        <v>3739</v>
      </c>
      <c r="M251" s="23"/>
    </row>
    <row r="252" spans="2:13" ht="15" customHeight="1" x14ac:dyDescent="0.25">
      <c r="B252" s="35" t="s">
        <v>2713</v>
      </c>
      <c r="C252" s="23" t="s">
        <v>3744</v>
      </c>
      <c r="D252" s="23" t="s">
        <v>3303</v>
      </c>
      <c r="E252" s="23" t="s">
        <v>3317</v>
      </c>
      <c r="F252" s="23" t="s">
        <v>3305</v>
      </c>
      <c r="G252" s="93">
        <v>3</v>
      </c>
      <c r="H252" s="93">
        <v>1</v>
      </c>
      <c r="I252" s="23"/>
      <c r="J252" s="23"/>
      <c r="K252" s="23"/>
      <c r="L252" s="23" t="s">
        <v>3739</v>
      </c>
      <c r="M252" s="23"/>
    </row>
    <row r="253" spans="2:13" ht="15" customHeight="1" x14ac:dyDescent="0.25">
      <c r="B253" s="35" t="s">
        <v>3745</v>
      </c>
      <c r="C253" s="23" t="s">
        <v>3746</v>
      </c>
      <c r="D253" s="23" t="s">
        <v>3303</v>
      </c>
      <c r="E253" s="23" t="s">
        <v>3317</v>
      </c>
      <c r="F253" s="23" t="s">
        <v>3305</v>
      </c>
      <c r="G253" s="93">
        <v>0</v>
      </c>
      <c r="H253" s="93">
        <v>1</v>
      </c>
      <c r="I253" s="23"/>
      <c r="J253" s="23"/>
      <c r="K253" s="23"/>
      <c r="L253" s="23" t="s">
        <v>3739</v>
      </c>
      <c r="M253" s="23" t="s">
        <v>3694</v>
      </c>
    </row>
    <row r="254" spans="2:13" ht="15" customHeight="1" x14ac:dyDescent="0.25">
      <c r="B254" s="35" t="s">
        <v>2717</v>
      </c>
      <c r="C254" s="23" t="s">
        <v>3747</v>
      </c>
      <c r="D254" s="23" t="s">
        <v>3303</v>
      </c>
      <c r="E254" s="23" t="s">
        <v>3317</v>
      </c>
      <c r="F254" s="23" t="s">
        <v>3305</v>
      </c>
      <c r="G254" s="93">
        <v>3</v>
      </c>
      <c r="H254" s="93">
        <v>1</v>
      </c>
      <c r="I254" s="23"/>
      <c r="J254" s="23"/>
      <c r="K254" s="23"/>
      <c r="L254" s="23" t="s">
        <v>3739</v>
      </c>
      <c r="M254" s="23"/>
    </row>
    <row r="255" spans="2:13" ht="15" customHeight="1" x14ac:dyDescent="0.25">
      <c r="B255" s="35" t="s">
        <v>2721</v>
      </c>
      <c r="C255" s="23" t="s">
        <v>2722</v>
      </c>
      <c r="D255" s="23" t="s">
        <v>3303</v>
      </c>
      <c r="E255" s="23" t="s">
        <v>3317</v>
      </c>
      <c r="F255" s="23" t="s">
        <v>3305</v>
      </c>
      <c r="G255" s="93">
        <v>3</v>
      </c>
      <c r="H255" s="93">
        <v>1</v>
      </c>
      <c r="I255" s="23"/>
      <c r="J255" s="23"/>
      <c r="K255" s="23"/>
      <c r="L255" s="23" t="s">
        <v>3739</v>
      </c>
      <c r="M255" s="23"/>
    </row>
    <row r="256" spans="2:13" ht="15" customHeight="1" x14ac:dyDescent="0.25">
      <c r="B256" s="35" t="s">
        <v>3739</v>
      </c>
      <c r="C256" s="23" t="s">
        <v>3748</v>
      </c>
      <c r="D256" s="23" t="s">
        <v>3303</v>
      </c>
      <c r="E256" s="23" t="s">
        <v>3367</v>
      </c>
      <c r="F256" s="23" t="s">
        <v>3305</v>
      </c>
      <c r="G256" s="93">
        <v>0</v>
      </c>
      <c r="H256" s="93">
        <v>1</v>
      </c>
      <c r="I256" s="23"/>
      <c r="J256" s="23"/>
      <c r="K256" s="23"/>
      <c r="L256" s="23" t="s">
        <v>3736</v>
      </c>
      <c r="M256" s="23"/>
    </row>
    <row r="257" spans="2:13" ht="15" customHeight="1" x14ac:dyDescent="0.25">
      <c r="B257" s="35" t="s">
        <v>3736</v>
      </c>
      <c r="C257" s="23" t="s">
        <v>3749</v>
      </c>
      <c r="D257" s="23" t="s">
        <v>3303</v>
      </c>
      <c r="E257" s="23" t="s">
        <v>3367</v>
      </c>
      <c r="F257" s="23" t="s">
        <v>3305</v>
      </c>
      <c r="G257" s="93">
        <v>0</v>
      </c>
      <c r="H257" s="93">
        <v>0</v>
      </c>
      <c r="I257" s="23"/>
      <c r="J257" s="23"/>
      <c r="K257" s="23"/>
      <c r="L257" s="23" t="s">
        <v>3710</v>
      </c>
      <c r="M257" s="23"/>
    </row>
    <row r="258" spans="2:13" ht="15" customHeight="1" x14ac:dyDescent="0.25">
      <c r="B258" s="35" t="s">
        <v>3710</v>
      </c>
      <c r="C258" s="23" t="s">
        <v>3750</v>
      </c>
      <c r="D258" s="23" t="s">
        <v>3303</v>
      </c>
      <c r="E258" s="23" t="s">
        <v>3367</v>
      </c>
      <c r="F258" s="23" t="s">
        <v>3305</v>
      </c>
      <c r="G258" s="93">
        <v>0</v>
      </c>
      <c r="H258" s="93">
        <v>0</v>
      </c>
      <c r="I258" s="23"/>
      <c r="J258" s="23"/>
      <c r="K258" s="23"/>
      <c r="L258" s="23" t="s">
        <v>3657</v>
      </c>
      <c r="M258" s="23"/>
    </row>
    <row r="259" spans="2:13" ht="15" customHeight="1" x14ac:dyDescent="0.25">
      <c r="B259" s="35" t="s">
        <v>3751</v>
      </c>
      <c r="C259" s="23" t="s">
        <v>3752</v>
      </c>
      <c r="D259" s="23" t="s">
        <v>3303</v>
      </c>
      <c r="E259" s="23" t="s">
        <v>3304</v>
      </c>
      <c r="F259" s="23" t="s">
        <v>3305</v>
      </c>
      <c r="G259" s="93">
        <v>0</v>
      </c>
      <c r="H259" s="93">
        <v>0</v>
      </c>
      <c r="I259" s="23"/>
      <c r="J259" s="23"/>
      <c r="K259" s="23"/>
      <c r="L259" s="23" t="s">
        <v>3753</v>
      </c>
      <c r="M259" s="23"/>
    </row>
    <row r="260" spans="2:13" ht="15" customHeight="1" x14ac:dyDescent="0.25">
      <c r="B260" s="35" t="s">
        <v>3754</v>
      </c>
      <c r="C260" s="23" t="s">
        <v>3755</v>
      </c>
      <c r="D260" s="23" t="s">
        <v>3303</v>
      </c>
      <c r="E260" s="23" t="s">
        <v>3317</v>
      </c>
      <c r="F260" s="23" t="s">
        <v>3305</v>
      </c>
      <c r="G260" s="93">
        <v>3</v>
      </c>
      <c r="H260" s="93">
        <v>0</v>
      </c>
      <c r="I260" s="23"/>
      <c r="J260" s="23"/>
      <c r="K260" s="23"/>
      <c r="L260" s="23" t="s">
        <v>3753</v>
      </c>
      <c r="M260" s="23"/>
    </row>
    <row r="261" spans="2:13" ht="15" customHeight="1" x14ac:dyDescent="0.25">
      <c r="B261" s="35" t="s">
        <v>3756</v>
      </c>
      <c r="C261" s="23" t="s">
        <v>3757</v>
      </c>
      <c r="D261" s="23" t="s">
        <v>3303</v>
      </c>
      <c r="E261" s="23" t="s">
        <v>3317</v>
      </c>
      <c r="F261" s="23" t="s">
        <v>3305</v>
      </c>
      <c r="G261" s="93">
        <v>3</v>
      </c>
      <c r="H261" s="93">
        <v>0</v>
      </c>
      <c r="I261" s="23"/>
      <c r="J261" s="23"/>
      <c r="K261" s="23"/>
      <c r="L261" s="23" t="s">
        <v>3753</v>
      </c>
      <c r="M261" s="23"/>
    </row>
    <row r="262" spans="2:13" ht="15" customHeight="1" x14ac:dyDescent="0.25">
      <c r="B262" s="35" t="s">
        <v>3758</v>
      </c>
      <c r="C262" s="23" t="s">
        <v>3759</v>
      </c>
      <c r="D262" s="23" t="s">
        <v>3303</v>
      </c>
      <c r="E262" s="23" t="s">
        <v>3317</v>
      </c>
      <c r="F262" s="23" t="s">
        <v>3305</v>
      </c>
      <c r="G262" s="93">
        <v>3</v>
      </c>
      <c r="H262" s="93">
        <v>1</v>
      </c>
      <c r="I262" s="23"/>
      <c r="J262" s="23"/>
      <c r="K262" s="23"/>
      <c r="L262" s="23" t="s">
        <v>3753</v>
      </c>
      <c r="M262" s="23"/>
    </row>
    <row r="263" spans="2:13" ht="15" customHeight="1" x14ac:dyDescent="0.25">
      <c r="B263" s="35" t="s">
        <v>3760</v>
      </c>
      <c r="C263" s="23" t="s">
        <v>3761</v>
      </c>
      <c r="D263" s="23" t="s">
        <v>3303</v>
      </c>
      <c r="E263" s="23" t="s">
        <v>3317</v>
      </c>
      <c r="F263" s="23" t="s">
        <v>3305</v>
      </c>
      <c r="G263" s="93">
        <v>3</v>
      </c>
      <c r="H263" s="93">
        <v>1</v>
      </c>
      <c r="I263" s="23"/>
      <c r="J263" s="23"/>
      <c r="K263" s="23"/>
      <c r="L263" s="23" t="s">
        <v>3753</v>
      </c>
      <c r="M263" s="23"/>
    </row>
    <row r="264" spans="2:13" ht="15" customHeight="1" x14ac:dyDescent="0.25">
      <c r="B264" s="35" t="s">
        <v>3762</v>
      </c>
      <c r="C264" s="23" t="s">
        <v>3763</v>
      </c>
      <c r="D264" s="23" t="s">
        <v>3303</v>
      </c>
      <c r="E264" s="23" t="s">
        <v>3317</v>
      </c>
      <c r="F264" s="23" t="s">
        <v>3305</v>
      </c>
      <c r="G264" s="93">
        <v>3</v>
      </c>
      <c r="H264" s="93">
        <v>1</v>
      </c>
      <c r="I264" s="23"/>
      <c r="J264" s="23"/>
      <c r="K264" s="23"/>
      <c r="L264" s="23" t="s">
        <v>3753</v>
      </c>
      <c r="M264" s="23" t="s">
        <v>3503</v>
      </c>
    </row>
    <row r="265" spans="2:13" ht="15" customHeight="1" x14ac:dyDescent="0.25">
      <c r="B265" s="35" t="s">
        <v>3764</v>
      </c>
      <c r="C265" s="23" t="s">
        <v>3765</v>
      </c>
      <c r="D265" s="23" t="s">
        <v>3303</v>
      </c>
      <c r="E265" s="23" t="s">
        <v>3317</v>
      </c>
      <c r="F265" s="23" t="s">
        <v>3305</v>
      </c>
      <c r="G265" s="93">
        <v>3</v>
      </c>
      <c r="H265" s="93">
        <v>0</v>
      </c>
      <c r="I265" s="23"/>
      <c r="J265" s="23"/>
      <c r="K265" s="23"/>
      <c r="L265" s="23" t="s">
        <v>3753</v>
      </c>
      <c r="M265" s="23"/>
    </row>
    <row r="266" spans="2:13" ht="15" customHeight="1" x14ac:dyDescent="0.25">
      <c r="B266" s="35" t="s">
        <v>3766</v>
      </c>
      <c r="C266" s="23" t="s">
        <v>3767</v>
      </c>
      <c r="D266" s="23" t="s">
        <v>3303</v>
      </c>
      <c r="E266" s="23" t="s">
        <v>3317</v>
      </c>
      <c r="F266" s="23" t="s">
        <v>3305</v>
      </c>
      <c r="G266" s="93">
        <v>3</v>
      </c>
      <c r="H266" s="93">
        <v>0</v>
      </c>
      <c r="I266" s="23"/>
      <c r="J266" s="23"/>
      <c r="K266" s="23"/>
      <c r="L266" s="23" t="s">
        <v>3753</v>
      </c>
      <c r="M266" s="23"/>
    </row>
    <row r="267" spans="2:13" ht="15" customHeight="1" x14ac:dyDescent="0.25">
      <c r="B267" s="35" t="s">
        <v>3768</v>
      </c>
      <c r="C267" s="23" t="s">
        <v>3769</v>
      </c>
      <c r="D267" s="23" t="s">
        <v>3303</v>
      </c>
      <c r="E267" s="23" t="s">
        <v>3317</v>
      </c>
      <c r="F267" s="23" t="s">
        <v>3305</v>
      </c>
      <c r="G267" s="93">
        <v>3</v>
      </c>
      <c r="H267" s="93">
        <v>0</v>
      </c>
      <c r="I267" s="23"/>
      <c r="J267" s="23"/>
      <c r="K267" s="23"/>
      <c r="L267" s="23" t="s">
        <v>3753</v>
      </c>
      <c r="M267" s="23"/>
    </row>
    <row r="268" spans="2:13" ht="15" customHeight="1" x14ac:dyDescent="0.25">
      <c r="B268" s="35" t="s">
        <v>3770</v>
      </c>
      <c r="C268" s="23" t="s">
        <v>3771</v>
      </c>
      <c r="D268" s="23" t="s">
        <v>3303</v>
      </c>
      <c r="E268" s="23" t="s">
        <v>3317</v>
      </c>
      <c r="F268" s="23" t="s">
        <v>3305</v>
      </c>
      <c r="G268" s="93">
        <v>3</v>
      </c>
      <c r="H268" s="93">
        <v>0</v>
      </c>
      <c r="I268" s="23"/>
      <c r="J268" s="23"/>
      <c r="K268" s="23"/>
      <c r="L268" s="23" t="s">
        <v>3753</v>
      </c>
      <c r="M268" s="23"/>
    </row>
    <row r="269" spans="2:13" ht="15" customHeight="1" x14ac:dyDescent="0.25">
      <c r="B269" s="35" t="s">
        <v>3772</v>
      </c>
      <c r="C269" s="23" t="s">
        <v>3773</v>
      </c>
      <c r="D269" s="23" t="s">
        <v>3303</v>
      </c>
      <c r="E269" s="23" t="s">
        <v>3317</v>
      </c>
      <c r="F269" s="23" t="s">
        <v>3305</v>
      </c>
      <c r="G269" s="93">
        <v>3</v>
      </c>
      <c r="H269" s="93">
        <v>0</v>
      </c>
      <c r="I269" s="23"/>
      <c r="J269" s="23"/>
      <c r="K269" s="23"/>
      <c r="L269" s="23" t="s">
        <v>3753</v>
      </c>
      <c r="M269" s="23"/>
    </row>
    <row r="270" spans="2:13" ht="15" customHeight="1" x14ac:dyDescent="0.25">
      <c r="B270" s="35" t="s">
        <v>3774</v>
      </c>
      <c r="C270" s="23" t="s">
        <v>3775</v>
      </c>
      <c r="D270" s="23" t="s">
        <v>3303</v>
      </c>
      <c r="E270" s="23" t="s">
        <v>3317</v>
      </c>
      <c r="F270" s="23" t="s">
        <v>3305</v>
      </c>
      <c r="G270" s="93">
        <v>3</v>
      </c>
      <c r="H270" s="93">
        <v>0</v>
      </c>
      <c r="I270" s="23"/>
      <c r="J270" s="23"/>
      <c r="K270" s="23"/>
      <c r="L270" s="23" t="s">
        <v>3753</v>
      </c>
      <c r="M270" s="23"/>
    </row>
    <row r="271" spans="2:13" ht="15" customHeight="1" x14ac:dyDescent="0.25">
      <c r="B271" s="35" t="s">
        <v>3776</v>
      </c>
      <c r="C271" s="23" t="s">
        <v>3777</v>
      </c>
      <c r="D271" s="23" t="s">
        <v>3303</v>
      </c>
      <c r="E271" s="23" t="s">
        <v>3317</v>
      </c>
      <c r="F271" s="23" t="s">
        <v>3305</v>
      </c>
      <c r="G271" s="93">
        <v>3</v>
      </c>
      <c r="H271" s="93">
        <v>0</v>
      </c>
      <c r="I271" s="23"/>
      <c r="J271" s="23"/>
      <c r="K271" s="23"/>
      <c r="L271" s="23" t="s">
        <v>3753</v>
      </c>
      <c r="M271" s="23"/>
    </row>
    <row r="272" spans="2:13" ht="15" customHeight="1" x14ac:dyDescent="0.25">
      <c r="B272" s="35" t="s">
        <v>3778</v>
      </c>
      <c r="C272" s="23" t="s">
        <v>3779</v>
      </c>
      <c r="D272" s="23" t="s">
        <v>3303</v>
      </c>
      <c r="E272" s="23" t="s">
        <v>3317</v>
      </c>
      <c r="F272" s="23" t="s">
        <v>3305</v>
      </c>
      <c r="G272" s="93">
        <v>3</v>
      </c>
      <c r="H272" s="93">
        <v>0</v>
      </c>
      <c r="I272" s="23"/>
      <c r="J272" s="23"/>
      <c r="K272" s="23"/>
      <c r="L272" s="23" t="s">
        <v>3753</v>
      </c>
      <c r="M272" s="23"/>
    </row>
    <row r="273" spans="2:13" ht="15" customHeight="1" x14ac:dyDescent="0.25">
      <c r="B273" s="35" t="s">
        <v>3780</v>
      </c>
      <c r="C273" s="23" t="s">
        <v>3781</v>
      </c>
      <c r="D273" s="23" t="s">
        <v>3303</v>
      </c>
      <c r="E273" s="23" t="s">
        <v>3317</v>
      </c>
      <c r="F273" s="23" t="s">
        <v>3305</v>
      </c>
      <c r="G273" s="93">
        <v>3</v>
      </c>
      <c r="H273" s="93">
        <v>1</v>
      </c>
      <c r="I273" s="23"/>
      <c r="J273" s="23"/>
      <c r="K273" s="23"/>
      <c r="L273" s="23" t="s">
        <v>3753</v>
      </c>
      <c r="M273" s="23"/>
    </row>
    <row r="274" spans="2:13" ht="15" customHeight="1" x14ac:dyDescent="0.25">
      <c r="B274" s="35" t="s">
        <v>3008</v>
      </c>
      <c r="C274" s="23" t="s">
        <v>3009</v>
      </c>
      <c r="D274" s="23" t="s">
        <v>3303</v>
      </c>
      <c r="E274" s="23" t="s">
        <v>3317</v>
      </c>
      <c r="F274" s="23" t="s">
        <v>3305</v>
      </c>
      <c r="G274" s="93">
        <v>3</v>
      </c>
      <c r="H274" s="93">
        <v>0</v>
      </c>
      <c r="I274" s="23"/>
      <c r="J274" s="23"/>
      <c r="K274" s="23"/>
      <c r="L274" s="23" t="s">
        <v>3753</v>
      </c>
      <c r="M274" s="23"/>
    </row>
    <row r="275" spans="2:13" ht="15" customHeight="1" x14ac:dyDescent="0.25">
      <c r="B275" s="35" t="s">
        <v>3011</v>
      </c>
      <c r="C275" s="23" t="s">
        <v>3012</v>
      </c>
      <c r="D275" s="23" t="s">
        <v>3303</v>
      </c>
      <c r="E275" s="23" t="s">
        <v>3317</v>
      </c>
      <c r="F275" s="23" t="s">
        <v>3305</v>
      </c>
      <c r="G275" s="93">
        <v>3</v>
      </c>
      <c r="H275" s="93">
        <v>0</v>
      </c>
      <c r="I275" s="23"/>
      <c r="J275" s="23"/>
      <c r="K275" s="23"/>
      <c r="L275" s="23" t="s">
        <v>3753</v>
      </c>
      <c r="M275" s="23"/>
    </row>
    <row r="276" spans="2:13" ht="15" customHeight="1" x14ac:dyDescent="0.25">
      <c r="B276" s="35" t="s">
        <v>3013</v>
      </c>
      <c r="C276" s="23" t="s">
        <v>3014</v>
      </c>
      <c r="D276" s="23" t="s">
        <v>3303</v>
      </c>
      <c r="E276" s="23" t="s">
        <v>3317</v>
      </c>
      <c r="F276" s="23" t="s">
        <v>3305</v>
      </c>
      <c r="G276" s="93">
        <v>3</v>
      </c>
      <c r="H276" s="93">
        <v>0</v>
      </c>
      <c r="I276" s="23"/>
      <c r="J276" s="23"/>
      <c r="K276" s="23"/>
      <c r="L276" s="23" t="s">
        <v>3753</v>
      </c>
      <c r="M276" s="23"/>
    </row>
    <row r="277" spans="2:13" ht="15" customHeight="1" x14ac:dyDescent="0.25">
      <c r="B277" s="35" t="s">
        <v>3015</v>
      </c>
      <c r="C277" s="23" t="s">
        <v>3016</v>
      </c>
      <c r="D277" s="23" t="s">
        <v>3303</v>
      </c>
      <c r="E277" s="23" t="s">
        <v>3317</v>
      </c>
      <c r="F277" s="23" t="s">
        <v>3305</v>
      </c>
      <c r="G277" s="93">
        <v>3</v>
      </c>
      <c r="H277" s="93">
        <v>0</v>
      </c>
      <c r="I277" s="23"/>
      <c r="J277" s="23"/>
      <c r="K277" s="23"/>
      <c r="L277" s="23" t="s">
        <v>3753</v>
      </c>
      <c r="M277" s="23"/>
    </row>
    <row r="278" spans="2:13" ht="15" customHeight="1" x14ac:dyDescent="0.25">
      <c r="B278" s="35" t="s">
        <v>3017</v>
      </c>
      <c r="C278" s="23" t="s">
        <v>3018</v>
      </c>
      <c r="D278" s="23" t="s">
        <v>3303</v>
      </c>
      <c r="E278" s="23" t="s">
        <v>3317</v>
      </c>
      <c r="F278" s="23" t="s">
        <v>3305</v>
      </c>
      <c r="G278" s="93">
        <v>3</v>
      </c>
      <c r="H278" s="93">
        <v>0</v>
      </c>
      <c r="I278" s="23"/>
      <c r="J278" s="23"/>
      <c r="K278" s="23"/>
      <c r="L278" s="23" t="s">
        <v>3753</v>
      </c>
      <c r="M278" s="23"/>
    </row>
    <row r="279" spans="2:13" ht="15" customHeight="1" x14ac:dyDescent="0.25">
      <c r="B279" s="35" t="s">
        <v>3019</v>
      </c>
      <c r="C279" s="23" t="s">
        <v>3020</v>
      </c>
      <c r="D279" s="23" t="s">
        <v>3303</v>
      </c>
      <c r="E279" s="23" t="s">
        <v>3317</v>
      </c>
      <c r="F279" s="23" t="s">
        <v>3305</v>
      </c>
      <c r="G279" s="93">
        <v>3</v>
      </c>
      <c r="H279" s="93">
        <v>0</v>
      </c>
      <c r="I279" s="23"/>
      <c r="J279" s="23"/>
      <c r="K279" s="23"/>
      <c r="L279" s="23" t="s">
        <v>3753</v>
      </c>
      <c r="M279" s="23"/>
    </row>
    <row r="280" spans="2:13" ht="15" customHeight="1" x14ac:dyDescent="0.25">
      <c r="B280" s="35" t="s">
        <v>3021</v>
      </c>
      <c r="C280" s="23" t="s">
        <v>3022</v>
      </c>
      <c r="D280" s="23" t="s">
        <v>3303</v>
      </c>
      <c r="E280" s="23" t="s">
        <v>3317</v>
      </c>
      <c r="F280" s="23" t="s">
        <v>3305</v>
      </c>
      <c r="G280" s="93">
        <v>3</v>
      </c>
      <c r="H280" s="93">
        <v>0</v>
      </c>
      <c r="I280" s="23"/>
      <c r="J280" s="23"/>
      <c r="K280" s="23"/>
      <c r="L280" s="23" t="s">
        <v>3753</v>
      </c>
      <c r="M280" s="23"/>
    </row>
    <row r="281" spans="2:13" ht="15" customHeight="1" x14ac:dyDescent="0.25">
      <c r="B281" s="35" t="s">
        <v>3023</v>
      </c>
      <c r="C281" s="23" t="s">
        <v>3024</v>
      </c>
      <c r="D281" s="23" t="s">
        <v>3303</v>
      </c>
      <c r="E281" s="23" t="s">
        <v>3317</v>
      </c>
      <c r="F281" s="23" t="s">
        <v>3305</v>
      </c>
      <c r="G281" s="93">
        <v>3</v>
      </c>
      <c r="H281" s="93">
        <v>0</v>
      </c>
      <c r="I281" s="23"/>
      <c r="J281" s="23"/>
      <c r="K281" s="23"/>
      <c r="L281" s="23" t="s">
        <v>3753</v>
      </c>
      <c r="M281" s="23"/>
    </row>
    <row r="282" spans="2:13" ht="15" customHeight="1" x14ac:dyDescent="0.25">
      <c r="B282" s="35" t="s">
        <v>3025</v>
      </c>
      <c r="C282" s="23" t="s">
        <v>3026</v>
      </c>
      <c r="D282" s="23" t="s">
        <v>3303</v>
      </c>
      <c r="E282" s="23" t="s">
        <v>3317</v>
      </c>
      <c r="F282" s="23" t="s">
        <v>3305</v>
      </c>
      <c r="G282" s="93">
        <v>3</v>
      </c>
      <c r="H282" s="93">
        <v>0</v>
      </c>
      <c r="I282" s="23"/>
      <c r="J282" s="23"/>
      <c r="K282" s="23"/>
      <c r="L282" s="23" t="s">
        <v>3753</v>
      </c>
      <c r="M282" s="23"/>
    </row>
    <row r="283" spans="2:13" ht="15" customHeight="1" x14ac:dyDescent="0.25">
      <c r="B283" s="35" t="s">
        <v>3027</v>
      </c>
      <c r="C283" s="23" t="s">
        <v>3028</v>
      </c>
      <c r="D283" s="23" t="s">
        <v>3303</v>
      </c>
      <c r="E283" s="23" t="s">
        <v>3317</v>
      </c>
      <c r="F283" s="23" t="s">
        <v>3305</v>
      </c>
      <c r="G283" s="93">
        <v>3</v>
      </c>
      <c r="H283" s="93">
        <v>0</v>
      </c>
      <c r="I283" s="23"/>
      <c r="J283" s="23"/>
      <c r="K283" s="23"/>
      <c r="L283" s="23" t="s">
        <v>3753</v>
      </c>
      <c r="M283" s="23"/>
    </row>
    <row r="284" spans="2:13" ht="15" customHeight="1" x14ac:dyDescent="0.25">
      <c r="B284" s="35" t="s">
        <v>3782</v>
      </c>
      <c r="C284" s="23" t="s">
        <v>3783</v>
      </c>
      <c r="D284" s="23" t="s">
        <v>3303</v>
      </c>
      <c r="E284" s="23" t="s">
        <v>3317</v>
      </c>
      <c r="F284" s="23" t="s">
        <v>3305</v>
      </c>
      <c r="G284" s="93">
        <v>3</v>
      </c>
      <c r="H284" s="93">
        <v>0</v>
      </c>
      <c r="I284" s="23"/>
      <c r="J284" s="23"/>
      <c r="K284" s="23"/>
      <c r="L284" s="23" t="s">
        <v>3753</v>
      </c>
      <c r="M284" s="23"/>
    </row>
    <row r="285" spans="2:13" ht="15" customHeight="1" x14ac:dyDescent="0.25">
      <c r="B285" s="35" t="s">
        <v>3784</v>
      </c>
      <c r="C285" s="23" t="s">
        <v>3785</v>
      </c>
      <c r="D285" s="23" t="s">
        <v>3303</v>
      </c>
      <c r="E285" s="23" t="s">
        <v>3317</v>
      </c>
      <c r="F285" s="23" t="s">
        <v>3305</v>
      </c>
      <c r="G285" s="93">
        <v>3</v>
      </c>
      <c r="H285" s="93">
        <v>0</v>
      </c>
      <c r="I285" s="23"/>
      <c r="J285" s="23"/>
      <c r="K285" s="23"/>
      <c r="L285" s="23" t="s">
        <v>3753</v>
      </c>
      <c r="M285" s="23"/>
    </row>
    <row r="286" spans="2:13" ht="15" customHeight="1" x14ac:dyDescent="0.25">
      <c r="B286" s="35" t="s">
        <v>3786</v>
      </c>
      <c r="C286" s="23" t="s">
        <v>3787</v>
      </c>
      <c r="D286" s="23" t="s">
        <v>3303</v>
      </c>
      <c r="E286" s="23" t="s">
        <v>3317</v>
      </c>
      <c r="F286" s="23" t="s">
        <v>3305</v>
      </c>
      <c r="G286" s="93">
        <v>3</v>
      </c>
      <c r="H286" s="93">
        <v>0</v>
      </c>
      <c r="I286" s="23"/>
      <c r="J286" s="23"/>
      <c r="K286" s="23"/>
      <c r="L286" s="23" t="s">
        <v>3753</v>
      </c>
      <c r="M286" s="23"/>
    </row>
    <row r="287" spans="2:13" ht="15" customHeight="1" x14ac:dyDescent="0.25">
      <c r="B287" s="35" t="s">
        <v>3788</v>
      </c>
      <c r="C287" s="23" t="s">
        <v>3789</v>
      </c>
      <c r="D287" s="23" t="s">
        <v>3303</v>
      </c>
      <c r="E287" s="23" t="s">
        <v>3317</v>
      </c>
      <c r="F287" s="23" t="s">
        <v>3305</v>
      </c>
      <c r="G287" s="93">
        <v>3</v>
      </c>
      <c r="H287" s="93">
        <v>0</v>
      </c>
      <c r="I287" s="23"/>
      <c r="J287" s="23"/>
      <c r="K287" s="23"/>
      <c r="L287" s="23" t="s">
        <v>3753</v>
      </c>
      <c r="M287" s="23"/>
    </row>
    <row r="288" spans="2:13" ht="15" customHeight="1" x14ac:dyDescent="0.25">
      <c r="B288" s="35" t="s">
        <v>3790</v>
      </c>
      <c r="C288" s="23" t="s">
        <v>3791</v>
      </c>
      <c r="D288" s="23" t="s">
        <v>3303</v>
      </c>
      <c r="E288" s="23" t="s">
        <v>3317</v>
      </c>
      <c r="F288" s="23" t="s">
        <v>3305</v>
      </c>
      <c r="G288" s="93">
        <v>3</v>
      </c>
      <c r="H288" s="93">
        <v>0</v>
      </c>
      <c r="I288" s="23"/>
      <c r="J288" s="23"/>
      <c r="K288" s="23"/>
      <c r="L288" s="23" t="s">
        <v>3753</v>
      </c>
      <c r="M288" s="23"/>
    </row>
    <row r="289" spans="2:13" ht="15" customHeight="1" x14ac:dyDescent="0.25">
      <c r="B289" s="35" t="s">
        <v>3792</v>
      </c>
      <c r="C289" s="23" t="s">
        <v>3793</v>
      </c>
      <c r="D289" s="23" t="s">
        <v>3303</v>
      </c>
      <c r="E289" s="23" t="s">
        <v>3317</v>
      </c>
      <c r="F289" s="23" t="s">
        <v>3305</v>
      </c>
      <c r="G289" s="93">
        <v>3</v>
      </c>
      <c r="H289" s="93">
        <v>1</v>
      </c>
      <c r="I289" s="23"/>
      <c r="J289" s="23"/>
      <c r="K289" s="23"/>
      <c r="L289" s="23" t="s">
        <v>3753</v>
      </c>
      <c r="M289" s="23"/>
    </row>
    <row r="290" spans="2:13" ht="15" customHeight="1" x14ac:dyDescent="0.25">
      <c r="B290" s="35" t="s">
        <v>3794</v>
      </c>
      <c r="C290" s="23" t="s">
        <v>3795</v>
      </c>
      <c r="D290" s="23" t="s">
        <v>3303</v>
      </c>
      <c r="E290" s="23" t="s">
        <v>3317</v>
      </c>
      <c r="F290" s="23" t="s">
        <v>3305</v>
      </c>
      <c r="G290" s="93">
        <v>3</v>
      </c>
      <c r="H290" s="93">
        <v>0</v>
      </c>
      <c r="I290" s="23"/>
      <c r="J290" s="23"/>
      <c r="K290" s="23"/>
      <c r="L290" s="23" t="s">
        <v>3753</v>
      </c>
      <c r="M290" s="23"/>
    </row>
    <row r="291" spans="2:13" ht="15" customHeight="1" x14ac:dyDescent="0.25">
      <c r="B291" s="35" t="s">
        <v>3796</v>
      </c>
      <c r="C291" s="23" t="s">
        <v>3797</v>
      </c>
      <c r="D291" s="23" t="s">
        <v>3303</v>
      </c>
      <c r="E291" s="23" t="s">
        <v>3317</v>
      </c>
      <c r="F291" s="23" t="s">
        <v>3305</v>
      </c>
      <c r="G291" s="93">
        <v>3</v>
      </c>
      <c r="H291" s="93">
        <v>0</v>
      </c>
      <c r="I291" s="23"/>
      <c r="J291" s="23"/>
      <c r="K291" s="23"/>
      <c r="L291" s="23" t="s">
        <v>3753</v>
      </c>
      <c r="M291" s="23"/>
    </row>
    <row r="292" spans="2:13" ht="15" customHeight="1" x14ac:dyDescent="0.25">
      <c r="B292" s="35" t="s">
        <v>3798</v>
      </c>
      <c r="C292" s="23" t="s">
        <v>3799</v>
      </c>
      <c r="D292" s="23" t="s">
        <v>3303</v>
      </c>
      <c r="E292" s="23" t="s">
        <v>3317</v>
      </c>
      <c r="F292" s="23" t="s">
        <v>3305</v>
      </c>
      <c r="G292" s="93">
        <v>0</v>
      </c>
      <c r="H292" s="93">
        <v>0</v>
      </c>
      <c r="I292" s="23"/>
      <c r="J292" s="23"/>
      <c r="K292" s="23"/>
      <c r="L292" s="23" t="s">
        <v>3753</v>
      </c>
      <c r="M292" s="23"/>
    </row>
    <row r="293" spans="2:13" ht="15" customHeight="1" x14ac:dyDescent="0.25">
      <c r="B293" s="35" t="s">
        <v>3800</v>
      </c>
      <c r="C293" s="23" t="s">
        <v>3801</v>
      </c>
      <c r="D293" s="23" t="s">
        <v>3303</v>
      </c>
      <c r="E293" s="23" t="s">
        <v>3317</v>
      </c>
      <c r="F293" s="23" t="s">
        <v>3305</v>
      </c>
      <c r="G293" s="93">
        <v>0</v>
      </c>
      <c r="H293" s="93">
        <v>0</v>
      </c>
      <c r="I293" s="23"/>
      <c r="J293" s="23"/>
      <c r="K293" s="23"/>
      <c r="L293" s="23" t="s">
        <v>3753</v>
      </c>
      <c r="M293" s="23"/>
    </row>
    <row r="294" spans="2:13" ht="15" customHeight="1" x14ac:dyDescent="0.25">
      <c r="B294" s="35" t="s">
        <v>3802</v>
      </c>
      <c r="C294" s="23" t="s">
        <v>3803</v>
      </c>
      <c r="D294" s="23" t="s">
        <v>3303</v>
      </c>
      <c r="E294" s="23" t="s">
        <v>3317</v>
      </c>
      <c r="F294" s="23" t="s">
        <v>3305</v>
      </c>
      <c r="G294" s="93">
        <v>3</v>
      </c>
      <c r="H294" s="93">
        <v>1</v>
      </c>
      <c r="I294" s="23"/>
      <c r="J294" s="23"/>
      <c r="K294" s="23"/>
      <c r="L294" s="23" t="s">
        <v>3753</v>
      </c>
      <c r="M294" s="23" t="s">
        <v>3694</v>
      </c>
    </row>
    <row r="295" spans="2:13" ht="15" customHeight="1" x14ac:dyDescent="0.25">
      <c r="B295" s="35" t="s">
        <v>3804</v>
      </c>
      <c r="C295" s="23" t="s">
        <v>3805</v>
      </c>
      <c r="D295" s="23" t="s">
        <v>3303</v>
      </c>
      <c r="E295" s="23" t="s">
        <v>3317</v>
      </c>
      <c r="F295" s="23" t="s">
        <v>3305</v>
      </c>
      <c r="G295" s="93">
        <v>3</v>
      </c>
      <c r="H295" s="93">
        <v>0</v>
      </c>
      <c r="I295" s="23"/>
      <c r="J295" s="23"/>
      <c r="K295" s="23"/>
      <c r="L295" s="23" t="s">
        <v>3753</v>
      </c>
      <c r="M295" s="23"/>
    </row>
    <row r="296" spans="2:13" ht="15" customHeight="1" x14ac:dyDescent="0.25">
      <c r="B296" s="35" t="s">
        <v>3806</v>
      </c>
      <c r="C296" s="23" t="s">
        <v>3807</v>
      </c>
      <c r="D296" s="23" t="s">
        <v>3303</v>
      </c>
      <c r="E296" s="23" t="s">
        <v>3317</v>
      </c>
      <c r="F296" s="23" t="s">
        <v>3305</v>
      </c>
      <c r="G296" s="93">
        <v>3</v>
      </c>
      <c r="H296" s="93">
        <v>1</v>
      </c>
      <c r="I296" s="23"/>
      <c r="J296" s="23"/>
      <c r="K296" s="23"/>
      <c r="L296" s="23" t="s">
        <v>3753</v>
      </c>
      <c r="M296" s="23" t="s">
        <v>3694</v>
      </c>
    </row>
    <row r="297" spans="2:13" ht="15" customHeight="1" x14ac:dyDescent="0.25">
      <c r="B297" s="35" t="s">
        <v>3808</v>
      </c>
      <c r="C297" s="23" t="s">
        <v>3809</v>
      </c>
      <c r="D297" s="23" t="s">
        <v>3303</v>
      </c>
      <c r="E297" s="23" t="s">
        <v>3317</v>
      </c>
      <c r="F297" s="23" t="s">
        <v>3305</v>
      </c>
      <c r="G297" s="93">
        <v>0</v>
      </c>
      <c r="H297" s="93">
        <v>1</v>
      </c>
      <c r="I297" s="23"/>
      <c r="J297" s="23"/>
      <c r="K297" s="23"/>
      <c r="L297" s="23" t="s">
        <v>3753</v>
      </c>
      <c r="M297" s="23" t="s">
        <v>3694</v>
      </c>
    </row>
    <row r="298" spans="2:13" ht="15" customHeight="1" x14ac:dyDescent="0.25">
      <c r="B298" s="35" t="s">
        <v>3810</v>
      </c>
      <c r="C298" s="23" t="s">
        <v>3811</v>
      </c>
      <c r="D298" s="23" t="s">
        <v>3303</v>
      </c>
      <c r="E298" s="23" t="s">
        <v>3317</v>
      </c>
      <c r="F298" s="23" t="s">
        <v>3305</v>
      </c>
      <c r="G298" s="93">
        <v>0</v>
      </c>
      <c r="H298" s="93">
        <v>1</v>
      </c>
      <c r="I298" s="23"/>
      <c r="J298" s="23"/>
      <c r="K298" s="23"/>
      <c r="L298" s="23" t="s">
        <v>3753</v>
      </c>
      <c r="M298" s="23" t="s">
        <v>3694</v>
      </c>
    </row>
    <row r="299" spans="2:13" ht="15" customHeight="1" x14ac:dyDescent="0.25">
      <c r="B299" s="35" t="s">
        <v>3812</v>
      </c>
      <c r="C299" s="23" t="s">
        <v>3813</v>
      </c>
      <c r="D299" s="23" t="s">
        <v>3303</v>
      </c>
      <c r="E299" s="23" t="s">
        <v>3317</v>
      </c>
      <c r="F299" s="23" t="s">
        <v>3305</v>
      </c>
      <c r="G299" s="93">
        <v>0</v>
      </c>
      <c r="H299" s="93">
        <v>0</v>
      </c>
      <c r="I299" s="23"/>
      <c r="J299" s="23"/>
      <c r="K299" s="23"/>
      <c r="L299" s="23" t="s">
        <v>3753</v>
      </c>
      <c r="M299" s="23"/>
    </row>
    <row r="300" spans="2:13" ht="15" customHeight="1" x14ac:dyDescent="0.25">
      <c r="B300" s="35" t="s">
        <v>3814</v>
      </c>
      <c r="C300" s="23" t="s">
        <v>3815</v>
      </c>
      <c r="D300" s="23" t="s">
        <v>3303</v>
      </c>
      <c r="E300" s="23" t="s">
        <v>3317</v>
      </c>
      <c r="F300" s="23" t="s">
        <v>3305</v>
      </c>
      <c r="G300" s="93">
        <v>0</v>
      </c>
      <c r="H300" s="93">
        <v>1</v>
      </c>
      <c r="I300" s="23"/>
      <c r="J300" s="23"/>
      <c r="K300" s="23"/>
      <c r="L300" s="23" t="s">
        <v>3753</v>
      </c>
      <c r="M300" s="23" t="s">
        <v>3694</v>
      </c>
    </row>
    <row r="301" spans="2:13" ht="15" customHeight="1" x14ac:dyDescent="0.25">
      <c r="B301" s="35" t="s">
        <v>3816</v>
      </c>
      <c r="C301" s="23" t="s">
        <v>3817</v>
      </c>
      <c r="D301" s="23" t="s">
        <v>3303</v>
      </c>
      <c r="E301" s="23" t="s">
        <v>3317</v>
      </c>
      <c r="F301" s="23" t="s">
        <v>3305</v>
      </c>
      <c r="G301" s="93">
        <v>0</v>
      </c>
      <c r="H301" s="93">
        <v>0</v>
      </c>
      <c r="I301" s="23"/>
      <c r="J301" s="23"/>
      <c r="K301" s="23"/>
      <c r="L301" s="23" t="s">
        <v>3753</v>
      </c>
      <c r="M301" s="23"/>
    </row>
    <row r="302" spans="2:13" ht="15" customHeight="1" x14ac:dyDescent="0.25">
      <c r="B302" s="35" t="s">
        <v>3818</v>
      </c>
      <c r="C302" s="23" t="s">
        <v>3819</v>
      </c>
      <c r="D302" s="23" t="s">
        <v>3303</v>
      </c>
      <c r="E302" s="23" t="s">
        <v>3317</v>
      </c>
      <c r="F302" s="23" t="s">
        <v>3305</v>
      </c>
      <c r="G302" s="93">
        <v>0</v>
      </c>
      <c r="H302" s="93">
        <v>0</v>
      </c>
      <c r="I302" s="23"/>
      <c r="J302" s="23"/>
      <c r="K302" s="23"/>
      <c r="L302" s="23" t="s">
        <v>3753</v>
      </c>
      <c r="M302" s="23"/>
    </row>
    <row r="303" spans="2:13" ht="15" customHeight="1" x14ac:dyDescent="0.25">
      <c r="B303" s="35" t="s">
        <v>3820</v>
      </c>
      <c r="C303" s="23" t="s">
        <v>3821</v>
      </c>
      <c r="D303" s="23" t="s">
        <v>3303</v>
      </c>
      <c r="E303" s="23" t="s">
        <v>3317</v>
      </c>
      <c r="F303" s="23" t="s">
        <v>3305</v>
      </c>
      <c r="G303" s="93">
        <v>0</v>
      </c>
      <c r="H303" s="93">
        <v>0</v>
      </c>
      <c r="I303" s="23"/>
      <c r="J303" s="23"/>
      <c r="K303" s="23"/>
      <c r="L303" s="23" t="s">
        <v>3753</v>
      </c>
      <c r="M303" s="23"/>
    </row>
    <row r="304" spans="2:13" ht="15" customHeight="1" x14ac:dyDescent="0.25">
      <c r="B304" s="35" t="s">
        <v>3822</v>
      </c>
      <c r="C304" s="23" t="s">
        <v>3823</v>
      </c>
      <c r="D304" s="23" t="s">
        <v>3303</v>
      </c>
      <c r="E304" s="23" t="s">
        <v>3317</v>
      </c>
      <c r="F304" s="23" t="s">
        <v>3305</v>
      </c>
      <c r="G304" s="93">
        <v>0</v>
      </c>
      <c r="H304" s="93">
        <v>0</v>
      </c>
      <c r="I304" s="23"/>
      <c r="J304" s="23"/>
      <c r="K304" s="23"/>
      <c r="L304" s="23" t="s">
        <v>3753</v>
      </c>
      <c r="M304" s="23"/>
    </row>
    <row r="305" spans="2:13" ht="15" customHeight="1" x14ac:dyDescent="0.25">
      <c r="B305" s="35" t="s">
        <v>3824</v>
      </c>
      <c r="C305" s="23" t="s">
        <v>3825</v>
      </c>
      <c r="D305" s="23" t="s">
        <v>3303</v>
      </c>
      <c r="E305" s="23" t="s">
        <v>3317</v>
      </c>
      <c r="F305" s="23" t="s">
        <v>3305</v>
      </c>
      <c r="G305" s="93">
        <v>0</v>
      </c>
      <c r="H305" s="93">
        <v>0</v>
      </c>
      <c r="I305" s="23"/>
      <c r="J305" s="23"/>
      <c r="K305" s="23"/>
      <c r="L305" s="23" t="s">
        <v>3753</v>
      </c>
      <c r="M305" s="23"/>
    </row>
    <row r="306" spans="2:13" ht="15" customHeight="1" x14ac:dyDescent="0.25">
      <c r="B306" s="35" t="s">
        <v>3826</v>
      </c>
      <c r="C306" s="23" t="s">
        <v>3827</v>
      </c>
      <c r="D306" s="23" t="s">
        <v>3303</v>
      </c>
      <c r="E306" s="23" t="s">
        <v>3317</v>
      </c>
      <c r="F306" s="23" t="s">
        <v>3305</v>
      </c>
      <c r="G306" s="93">
        <v>0</v>
      </c>
      <c r="H306" s="93">
        <v>0</v>
      </c>
      <c r="I306" s="23"/>
      <c r="J306" s="23"/>
      <c r="K306" s="23"/>
      <c r="L306" s="23" t="s">
        <v>3753</v>
      </c>
      <c r="M306" s="23"/>
    </row>
    <row r="307" spans="2:13" ht="15" customHeight="1" x14ac:dyDescent="0.25">
      <c r="B307" s="35" t="s">
        <v>3828</v>
      </c>
      <c r="C307" s="23" t="s">
        <v>3829</v>
      </c>
      <c r="D307" s="23" t="s">
        <v>3303</v>
      </c>
      <c r="E307" s="23" t="s">
        <v>3317</v>
      </c>
      <c r="F307" s="23" t="s">
        <v>3305</v>
      </c>
      <c r="G307" s="93">
        <v>0</v>
      </c>
      <c r="H307" s="93">
        <v>1</v>
      </c>
      <c r="I307" s="23"/>
      <c r="J307" s="23"/>
      <c r="K307" s="23"/>
      <c r="L307" s="23" t="s">
        <v>3753</v>
      </c>
      <c r="M307" s="23" t="s">
        <v>3694</v>
      </c>
    </row>
    <row r="308" spans="2:13" ht="15" customHeight="1" x14ac:dyDescent="0.25">
      <c r="B308" s="35" t="s">
        <v>3830</v>
      </c>
      <c r="C308" s="23" t="s">
        <v>3831</v>
      </c>
      <c r="D308" s="23" t="s">
        <v>3303</v>
      </c>
      <c r="E308" s="23" t="s">
        <v>3317</v>
      </c>
      <c r="F308" s="23" t="s">
        <v>3305</v>
      </c>
      <c r="G308" s="93">
        <v>0</v>
      </c>
      <c r="H308" s="93">
        <v>0</v>
      </c>
      <c r="I308" s="23"/>
      <c r="J308" s="23"/>
      <c r="K308" s="23"/>
      <c r="L308" s="23" t="s">
        <v>3753</v>
      </c>
      <c r="M308" s="23"/>
    </row>
    <row r="309" spans="2:13" ht="15" customHeight="1" x14ac:dyDescent="0.25">
      <c r="B309" s="35" t="s">
        <v>3832</v>
      </c>
      <c r="C309" s="23" t="s">
        <v>3833</v>
      </c>
      <c r="D309" s="23" t="s">
        <v>3303</v>
      </c>
      <c r="E309" s="23" t="s">
        <v>3317</v>
      </c>
      <c r="F309" s="23" t="s">
        <v>3305</v>
      </c>
      <c r="G309" s="93">
        <v>0</v>
      </c>
      <c r="H309" s="93">
        <v>1</v>
      </c>
      <c r="I309" s="23"/>
      <c r="J309" s="23"/>
      <c r="K309" s="23"/>
      <c r="L309" s="23" t="s">
        <v>3753</v>
      </c>
      <c r="M309" s="23" t="s">
        <v>3694</v>
      </c>
    </row>
    <row r="310" spans="2:13" ht="15" customHeight="1" x14ac:dyDescent="0.25">
      <c r="B310" s="35" t="s">
        <v>3834</v>
      </c>
      <c r="C310" s="23" t="s">
        <v>3835</v>
      </c>
      <c r="D310" s="23" t="s">
        <v>3303</v>
      </c>
      <c r="E310" s="23" t="s">
        <v>3317</v>
      </c>
      <c r="F310" s="23" t="s">
        <v>3305</v>
      </c>
      <c r="G310" s="93">
        <v>0</v>
      </c>
      <c r="H310" s="93">
        <v>1</v>
      </c>
      <c r="I310" s="23"/>
      <c r="J310" s="23"/>
      <c r="K310" s="23"/>
      <c r="L310" s="23" t="s">
        <v>3753</v>
      </c>
      <c r="M310" s="23" t="s">
        <v>3694</v>
      </c>
    </row>
    <row r="311" spans="2:13" ht="15" customHeight="1" x14ac:dyDescent="0.25">
      <c r="B311" s="35" t="s">
        <v>3836</v>
      </c>
      <c r="C311" s="23" t="s">
        <v>3837</v>
      </c>
      <c r="D311" s="23" t="s">
        <v>3303</v>
      </c>
      <c r="E311" s="23" t="s">
        <v>3317</v>
      </c>
      <c r="F311" s="23" t="s">
        <v>3305</v>
      </c>
      <c r="G311" s="93">
        <v>3</v>
      </c>
      <c r="H311" s="93">
        <v>0</v>
      </c>
      <c r="I311" s="23"/>
      <c r="J311" s="23"/>
      <c r="K311" s="23"/>
      <c r="L311" s="23" t="s">
        <v>3753</v>
      </c>
      <c r="M311" s="23"/>
    </row>
    <row r="312" spans="2:13" ht="15" customHeight="1" x14ac:dyDescent="0.25">
      <c r="B312" s="35" t="s">
        <v>3838</v>
      </c>
      <c r="C312" s="23" t="s">
        <v>3839</v>
      </c>
      <c r="D312" s="23" t="s">
        <v>3303</v>
      </c>
      <c r="E312" s="23" t="s">
        <v>3317</v>
      </c>
      <c r="F312" s="23" t="s">
        <v>3305</v>
      </c>
      <c r="G312" s="93">
        <v>3</v>
      </c>
      <c r="H312" s="93">
        <v>0</v>
      </c>
      <c r="I312" s="23"/>
      <c r="J312" s="23"/>
      <c r="K312" s="23"/>
      <c r="L312" s="23" t="s">
        <v>3753</v>
      </c>
      <c r="M312" s="23"/>
    </row>
    <row r="313" spans="2:13" ht="15" customHeight="1" x14ac:dyDescent="0.25">
      <c r="B313" s="35" t="s">
        <v>3840</v>
      </c>
      <c r="C313" s="23" t="s">
        <v>3841</v>
      </c>
      <c r="D313" s="23" t="s">
        <v>3303</v>
      </c>
      <c r="E313" s="23" t="s">
        <v>3317</v>
      </c>
      <c r="F313" s="23" t="s">
        <v>3305</v>
      </c>
      <c r="G313" s="93">
        <v>3</v>
      </c>
      <c r="H313" s="93">
        <v>0</v>
      </c>
      <c r="I313" s="23"/>
      <c r="J313" s="23"/>
      <c r="K313" s="23"/>
      <c r="L313" s="23" t="s">
        <v>3753</v>
      </c>
      <c r="M313" s="23"/>
    </row>
    <row r="314" spans="2:13" ht="15" customHeight="1" x14ac:dyDescent="0.25">
      <c r="B314" s="35" t="s">
        <v>3842</v>
      </c>
      <c r="C314" s="23" t="s">
        <v>3843</v>
      </c>
      <c r="D314" s="23" t="s">
        <v>3303</v>
      </c>
      <c r="E314" s="23" t="s">
        <v>3317</v>
      </c>
      <c r="F314" s="23" t="s">
        <v>3305</v>
      </c>
      <c r="G314" s="93">
        <v>3</v>
      </c>
      <c r="H314" s="93">
        <v>1</v>
      </c>
      <c r="I314" s="23"/>
      <c r="J314" s="23"/>
      <c r="K314" s="23"/>
      <c r="L314" s="23" t="s">
        <v>3753</v>
      </c>
      <c r="M314" s="23"/>
    </row>
    <row r="315" spans="2:13" ht="15" customHeight="1" x14ac:dyDescent="0.25">
      <c r="B315" s="35" t="s">
        <v>3844</v>
      </c>
      <c r="C315" s="23" t="s">
        <v>3845</v>
      </c>
      <c r="D315" s="23" t="s">
        <v>3303</v>
      </c>
      <c r="E315" s="23" t="s">
        <v>3317</v>
      </c>
      <c r="F315" s="23" t="s">
        <v>3305</v>
      </c>
      <c r="G315" s="93">
        <v>3</v>
      </c>
      <c r="H315" s="93">
        <v>1</v>
      </c>
      <c r="I315" s="23"/>
      <c r="J315" s="23"/>
      <c r="K315" s="23"/>
      <c r="L315" s="23" t="s">
        <v>3753</v>
      </c>
      <c r="M315" s="23"/>
    </row>
    <row r="316" spans="2:13" ht="15" customHeight="1" x14ac:dyDescent="0.25">
      <c r="B316" s="35" t="s">
        <v>3846</v>
      </c>
      <c r="C316" s="23" t="s">
        <v>3847</v>
      </c>
      <c r="D316" s="23" t="s">
        <v>3303</v>
      </c>
      <c r="E316" s="23" t="s">
        <v>3317</v>
      </c>
      <c r="F316" s="23" t="s">
        <v>3305</v>
      </c>
      <c r="G316" s="93">
        <v>3</v>
      </c>
      <c r="H316" s="93">
        <v>1</v>
      </c>
      <c r="I316" s="23"/>
      <c r="J316" s="23"/>
      <c r="K316" s="23"/>
      <c r="L316" s="23" t="s">
        <v>3753</v>
      </c>
      <c r="M316" s="23"/>
    </row>
    <row r="317" spans="2:13" ht="15" customHeight="1" x14ac:dyDescent="0.25">
      <c r="B317" s="35" t="s">
        <v>3848</v>
      </c>
      <c r="C317" s="23" t="s">
        <v>3849</v>
      </c>
      <c r="D317" s="23" t="s">
        <v>3303</v>
      </c>
      <c r="E317" s="23" t="s">
        <v>3317</v>
      </c>
      <c r="F317" s="23" t="s">
        <v>3305</v>
      </c>
      <c r="G317" s="93">
        <v>3</v>
      </c>
      <c r="H317" s="93">
        <v>1</v>
      </c>
      <c r="I317" s="23"/>
      <c r="J317" s="23"/>
      <c r="K317" s="23"/>
      <c r="L317" s="23" t="s">
        <v>3753</v>
      </c>
      <c r="M317" s="23"/>
    </row>
    <row r="318" spans="2:13" ht="15" customHeight="1" x14ac:dyDescent="0.25">
      <c r="B318" s="35" t="s">
        <v>3850</v>
      </c>
      <c r="C318" s="23" t="s">
        <v>3851</v>
      </c>
      <c r="D318" s="23" t="s">
        <v>3303</v>
      </c>
      <c r="E318" s="23" t="s">
        <v>3317</v>
      </c>
      <c r="F318" s="23" t="s">
        <v>3305</v>
      </c>
      <c r="G318" s="93">
        <v>0</v>
      </c>
      <c r="H318" s="93">
        <v>1</v>
      </c>
      <c r="I318" s="23"/>
      <c r="J318" s="23"/>
      <c r="K318" s="23"/>
      <c r="L318" s="23" t="s">
        <v>3753</v>
      </c>
      <c r="M318" s="23"/>
    </row>
    <row r="319" spans="2:13" ht="15" customHeight="1" x14ac:dyDescent="0.25">
      <c r="B319" s="35" t="s">
        <v>3852</v>
      </c>
      <c r="C319" s="23" t="s">
        <v>3853</v>
      </c>
      <c r="D319" s="23" t="s">
        <v>3303</v>
      </c>
      <c r="E319" s="23" t="s">
        <v>3317</v>
      </c>
      <c r="F319" s="23" t="s">
        <v>3305</v>
      </c>
      <c r="G319" s="93">
        <v>3</v>
      </c>
      <c r="H319" s="93">
        <v>1</v>
      </c>
      <c r="I319" s="23"/>
      <c r="J319" s="23"/>
      <c r="K319" s="23"/>
      <c r="L319" s="23" t="s">
        <v>3753</v>
      </c>
      <c r="M319" s="23"/>
    </row>
    <row r="320" spans="2:13" ht="15" customHeight="1" x14ac:dyDescent="0.25">
      <c r="B320" s="35" t="s">
        <v>3854</v>
      </c>
      <c r="C320" s="23" t="s">
        <v>3855</v>
      </c>
      <c r="D320" s="23" t="s">
        <v>3303</v>
      </c>
      <c r="E320" s="23" t="s">
        <v>3317</v>
      </c>
      <c r="F320" s="23" t="s">
        <v>3305</v>
      </c>
      <c r="G320" s="93">
        <v>3</v>
      </c>
      <c r="H320" s="93">
        <v>1</v>
      </c>
      <c r="I320" s="23"/>
      <c r="J320" s="23"/>
      <c r="K320" s="23"/>
      <c r="L320" s="23" t="s">
        <v>3753</v>
      </c>
      <c r="M320" s="23"/>
    </row>
    <row r="321" spans="2:13" ht="15" customHeight="1" x14ac:dyDescent="0.25">
      <c r="B321" s="35" t="s">
        <v>3856</v>
      </c>
      <c r="C321" s="23" t="s">
        <v>3857</v>
      </c>
      <c r="D321" s="23" t="s">
        <v>3303</v>
      </c>
      <c r="E321" s="23" t="s">
        <v>3317</v>
      </c>
      <c r="F321" s="23" t="s">
        <v>3305</v>
      </c>
      <c r="G321" s="93">
        <v>0</v>
      </c>
      <c r="H321" s="93">
        <v>1</v>
      </c>
      <c r="I321" s="23"/>
      <c r="J321" s="23"/>
      <c r="K321" s="23"/>
      <c r="L321" s="23" t="s">
        <v>3753</v>
      </c>
      <c r="M321" s="23"/>
    </row>
    <row r="322" spans="2:13" ht="15" customHeight="1" x14ac:dyDescent="0.25">
      <c r="B322" s="35" t="s">
        <v>3858</v>
      </c>
      <c r="C322" s="23" t="s">
        <v>3859</v>
      </c>
      <c r="D322" s="23" t="s">
        <v>3303</v>
      </c>
      <c r="E322" s="23" t="s">
        <v>3317</v>
      </c>
      <c r="F322" s="23" t="s">
        <v>3305</v>
      </c>
      <c r="G322" s="93">
        <v>0</v>
      </c>
      <c r="H322" s="93">
        <v>1</v>
      </c>
      <c r="I322" s="23"/>
      <c r="J322" s="23"/>
      <c r="K322" s="23"/>
      <c r="L322" s="23" t="s">
        <v>3753</v>
      </c>
      <c r="M322" s="23"/>
    </row>
    <row r="323" spans="2:13" ht="15" customHeight="1" x14ac:dyDescent="0.25">
      <c r="B323" s="35" t="s">
        <v>3860</v>
      </c>
      <c r="C323" s="23" t="s">
        <v>3861</v>
      </c>
      <c r="D323" s="23" t="s">
        <v>3303</v>
      </c>
      <c r="E323" s="23" t="s">
        <v>3317</v>
      </c>
      <c r="F323" s="23" t="s">
        <v>3305</v>
      </c>
      <c r="G323" s="93">
        <v>0</v>
      </c>
      <c r="H323" s="93">
        <v>1</v>
      </c>
      <c r="I323" s="23"/>
      <c r="J323" s="23"/>
      <c r="K323" s="23"/>
      <c r="L323" s="23" t="s">
        <v>3753</v>
      </c>
      <c r="M323" s="23"/>
    </row>
    <row r="324" spans="2:13" ht="15" customHeight="1" x14ac:dyDescent="0.25">
      <c r="B324" s="35" t="s">
        <v>3862</v>
      </c>
      <c r="C324" s="23" t="s">
        <v>3863</v>
      </c>
      <c r="D324" s="23" t="s">
        <v>3303</v>
      </c>
      <c r="E324" s="23" t="s">
        <v>3317</v>
      </c>
      <c r="F324" s="23" t="s">
        <v>3305</v>
      </c>
      <c r="G324" s="93">
        <v>0</v>
      </c>
      <c r="H324" s="93">
        <v>1</v>
      </c>
      <c r="I324" s="23"/>
      <c r="J324" s="23"/>
      <c r="K324" s="23"/>
      <c r="L324" s="23" t="s">
        <v>3753</v>
      </c>
      <c r="M324" s="23"/>
    </row>
    <row r="325" spans="2:13" ht="15" customHeight="1" x14ac:dyDescent="0.25">
      <c r="B325" s="35" t="s">
        <v>3864</v>
      </c>
      <c r="C325" s="23" t="s">
        <v>3865</v>
      </c>
      <c r="D325" s="23" t="s">
        <v>3303</v>
      </c>
      <c r="E325" s="23" t="s">
        <v>3317</v>
      </c>
      <c r="F325" s="23" t="s">
        <v>3305</v>
      </c>
      <c r="G325" s="93">
        <v>0</v>
      </c>
      <c r="H325" s="93">
        <v>0</v>
      </c>
      <c r="I325" s="23"/>
      <c r="J325" s="23"/>
      <c r="K325" s="23"/>
      <c r="L325" s="23" t="s">
        <v>3753</v>
      </c>
      <c r="M325" s="23"/>
    </row>
    <row r="326" spans="2:13" ht="15" customHeight="1" x14ac:dyDescent="0.25">
      <c r="B326" s="35" t="s">
        <v>3866</v>
      </c>
      <c r="C326" s="23" t="s">
        <v>3867</v>
      </c>
      <c r="D326" s="23" t="s">
        <v>3303</v>
      </c>
      <c r="E326" s="23" t="s">
        <v>3317</v>
      </c>
      <c r="F326" s="23" t="s">
        <v>3305</v>
      </c>
      <c r="G326" s="93">
        <v>0</v>
      </c>
      <c r="H326" s="93">
        <v>1</v>
      </c>
      <c r="I326" s="23"/>
      <c r="J326" s="23"/>
      <c r="K326" s="23"/>
      <c r="L326" s="23" t="s">
        <v>3753</v>
      </c>
      <c r="M326" s="23"/>
    </row>
    <row r="327" spans="2:13" ht="15" customHeight="1" x14ac:dyDescent="0.25">
      <c r="B327" s="35" t="s">
        <v>3868</v>
      </c>
      <c r="C327" s="23" t="s">
        <v>3869</v>
      </c>
      <c r="D327" s="23" t="s">
        <v>3303</v>
      </c>
      <c r="E327" s="23" t="s">
        <v>3317</v>
      </c>
      <c r="F327" s="23" t="s">
        <v>3305</v>
      </c>
      <c r="G327" s="93">
        <v>0</v>
      </c>
      <c r="H327" s="93">
        <v>1</v>
      </c>
      <c r="I327" s="23"/>
      <c r="J327" s="23"/>
      <c r="K327" s="23"/>
      <c r="L327" s="23" t="s">
        <v>3753</v>
      </c>
      <c r="M327" s="23"/>
    </row>
    <row r="328" spans="2:13" ht="15" customHeight="1" x14ac:dyDescent="0.25">
      <c r="B328" s="35" t="s">
        <v>3870</v>
      </c>
      <c r="C328" s="23" t="s">
        <v>3871</v>
      </c>
      <c r="D328" s="23" t="s">
        <v>3303</v>
      </c>
      <c r="E328" s="23" t="s">
        <v>3317</v>
      </c>
      <c r="F328" s="23" t="s">
        <v>3305</v>
      </c>
      <c r="G328" s="93">
        <v>0</v>
      </c>
      <c r="H328" s="93">
        <v>1</v>
      </c>
      <c r="I328" s="23"/>
      <c r="J328" s="23"/>
      <c r="K328" s="23"/>
      <c r="L328" s="23" t="s">
        <v>3753</v>
      </c>
      <c r="M328" s="23"/>
    </row>
    <row r="329" spans="2:13" ht="15" customHeight="1" x14ac:dyDescent="0.25">
      <c r="B329" s="35" t="s">
        <v>3872</v>
      </c>
      <c r="C329" s="23" t="s">
        <v>3873</v>
      </c>
      <c r="D329" s="23" t="s">
        <v>3303</v>
      </c>
      <c r="E329" s="23" t="s">
        <v>3317</v>
      </c>
      <c r="F329" s="23" t="s">
        <v>3305</v>
      </c>
      <c r="G329" s="93">
        <v>0</v>
      </c>
      <c r="H329" s="93">
        <v>1</v>
      </c>
      <c r="I329" s="23"/>
      <c r="J329" s="23"/>
      <c r="K329" s="23"/>
      <c r="L329" s="23" t="s">
        <v>3753</v>
      </c>
      <c r="M329" s="23"/>
    </row>
    <row r="330" spans="2:13" ht="15" customHeight="1" x14ac:dyDescent="0.25">
      <c r="B330" s="35" t="s">
        <v>3874</v>
      </c>
      <c r="C330" s="23" t="s">
        <v>3875</v>
      </c>
      <c r="D330" s="23" t="s">
        <v>3303</v>
      </c>
      <c r="E330" s="23" t="s">
        <v>3317</v>
      </c>
      <c r="F330" s="23" t="s">
        <v>3305</v>
      </c>
      <c r="G330" s="93">
        <v>0</v>
      </c>
      <c r="H330" s="93">
        <v>1</v>
      </c>
      <c r="I330" s="23"/>
      <c r="J330" s="23"/>
      <c r="K330" s="23"/>
      <c r="L330" s="23" t="s">
        <v>3753</v>
      </c>
      <c r="M330" s="23"/>
    </row>
    <row r="331" spans="2:13" ht="15" customHeight="1" x14ac:dyDescent="0.25">
      <c r="B331" s="35" t="s">
        <v>3876</v>
      </c>
      <c r="C331" s="23" t="s">
        <v>3877</v>
      </c>
      <c r="D331" s="23" t="s">
        <v>3303</v>
      </c>
      <c r="E331" s="23" t="s">
        <v>3317</v>
      </c>
      <c r="F331" s="23" t="s">
        <v>3305</v>
      </c>
      <c r="G331" s="93">
        <v>0</v>
      </c>
      <c r="H331" s="93">
        <v>1</v>
      </c>
      <c r="I331" s="23"/>
      <c r="J331" s="23"/>
      <c r="K331" s="23"/>
      <c r="L331" s="23" t="s">
        <v>3753</v>
      </c>
      <c r="M331" s="23"/>
    </row>
    <row r="332" spans="2:13" ht="15" customHeight="1" x14ac:dyDescent="0.25">
      <c r="B332" s="35" t="s">
        <v>3878</v>
      </c>
      <c r="C332" s="23" t="s">
        <v>3879</v>
      </c>
      <c r="D332" s="23" t="s">
        <v>3303</v>
      </c>
      <c r="E332" s="23" t="s">
        <v>3317</v>
      </c>
      <c r="F332" s="23" t="s">
        <v>3305</v>
      </c>
      <c r="G332" s="93">
        <v>0</v>
      </c>
      <c r="H332" s="93">
        <v>1</v>
      </c>
      <c r="I332" s="23"/>
      <c r="J332" s="23"/>
      <c r="K332" s="23"/>
      <c r="L332" s="23" t="s">
        <v>3753</v>
      </c>
      <c r="M332" s="23"/>
    </row>
    <row r="333" spans="2:13" ht="15" customHeight="1" x14ac:dyDescent="0.25">
      <c r="B333" s="35" t="s">
        <v>3880</v>
      </c>
      <c r="C333" s="23" t="s">
        <v>3881</v>
      </c>
      <c r="D333" s="23" t="s">
        <v>3303</v>
      </c>
      <c r="E333" s="23" t="s">
        <v>3317</v>
      </c>
      <c r="F333" s="23" t="s">
        <v>3305</v>
      </c>
      <c r="G333" s="93">
        <v>0</v>
      </c>
      <c r="H333" s="93">
        <v>1</v>
      </c>
      <c r="I333" s="23"/>
      <c r="J333" s="23"/>
      <c r="K333" s="23"/>
      <c r="L333" s="23" t="s">
        <v>3753</v>
      </c>
      <c r="M333" s="23"/>
    </row>
    <row r="334" spans="2:13" ht="15" customHeight="1" x14ac:dyDescent="0.25">
      <c r="B334" s="35" t="s">
        <v>3882</v>
      </c>
      <c r="C334" s="23" t="s">
        <v>3883</v>
      </c>
      <c r="D334" s="23" t="s">
        <v>3303</v>
      </c>
      <c r="E334" s="23" t="s">
        <v>3317</v>
      </c>
      <c r="F334" s="23" t="s">
        <v>3305</v>
      </c>
      <c r="G334" s="93">
        <v>3</v>
      </c>
      <c r="H334" s="93">
        <v>1</v>
      </c>
      <c r="I334" s="23"/>
      <c r="J334" s="23"/>
      <c r="K334" s="23"/>
      <c r="L334" s="23" t="s">
        <v>3753</v>
      </c>
      <c r="M334" s="23"/>
    </row>
    <row r="335" spans="2:13" ht="15" customHeight="1" x14ac:dyDescent="0.25">
      <c r="B335" s="35" t="s">
        <v>3884</v>
      </c>
      <c r="C335" s="23" t="s">
        <v>3885</v>
      </c>
      <c r="D335" s="23" t="s">
        <v>3303</v>
      </c>
      <c r="E335" s="23" t="s">
        <v>3317</v>
      </c>
      <c r="F335" s="23" t="s">
        <v>3305</v>
      </c>
      <c r="G335" s="93">
        <v>3</v>
      </c>
      <c r="H335" s="93">
        <v>1</v>
      </c>
      <c r="I335" s="23"/>
      <c r="J335" s="23"/>
      <c r="K335" s="23"/>
      <c r="L335" s="23" t="s">
        <v>3753</v>
      </c>
      <c r="M335" s="23"/>
    </row>
    <row r="336" spans="2:13" ht="15" customHeight="1" x14ac:dyDescent="0.25">
      <c r="B336" s="35" t="s">
        <v>3886</v>
      </c>
      <c r="C336" s="23" t="s">
        <v>3887</v>
      </c>
      <c r="D336" s="23" t="s">
        <v>3303</v>
      </c>
      <c r="E336" s="23" t="s">
        <v>3317</v>
      </c>
      <c r="F336" s="23" t="s">
        <v>3305</v>
      </c>
      <c r="G336" s="93">
        <v>3</v>
      </c>
      <c r="H336" s="93">
        <v>0</v>
      </c>
      <c r="I336" s="23"/>
      <c r="J336" s="23"/>
      <c r="K336" s="23"/>
      <c r="L336" s="23" t="s">
        <v>3753</v>
      </c>
      <c r="M336" s="23"/>
    </row>
    <row r="337" spans="2:13" ht="15" customHeight="1" x14ac:dyDescent="0.25">
      <c r="B337" s="35" t="s">
        <v>3888</v>
      </c>
      <c r="C337" s="23" t="s">
        <v>3889</v>
      </c>
      <c r="D337" s="23" t="s">
        <v>3303</v>
      </c>
      <c r="E337" s="23" t="s">
        <v>3317</v>
      </c>
      <c r="F337" s="23" t="s">
        <v>3305</v>
      </c>
      <c r="G337" s="93">
        <v>3</v>
      </c>
      <c r="H337" s="93">
        <v>1</v>
      </c>
      <c r="I337" s="23"/>
      <c r="J337" s="23"/>
      <c r="K337" s="23"/>
      <c r="L337" s="23" t="s">
        <v>3753</v>
      </c>
      <c r="M337" s="23"/>
    </row>
    <row r="338" spans="2:13" ht="15" customHeight="1" x14ac:dyDescent="0.25">
      <c r="B338" s="35" t="s">
        <v>3753</v>
      </c>
      <c r="C338" s="23" t="s">
        <v>3890</v>
      </c>
      <c r="D338" s="23" t="s">
        <v>3303</v>
      </c>
      <c r="E338" s="23" t="s">
        <v>3367</v>
      </c>
      <c r="F338" s="23" t="s">
        <v>3305</v>
      </c>
      <c r="G338" s="93">
        <v>0</v>
      </c>
      <c r="H338" s="93">
        <v>0</v>
      </c>
      <c r="I338" s="23"/>
      <c r="J338" s="23"/>
      <c r="K338" s="23"/>
      <c r="L338" s="23" t="s">
        <v>3657</v>
      </c>
      <c r="M338" s="23"/>
    </row>
    <row r="339" spans="2:13" ht="15" customHeight="1" x14ac:dyDescent="0.25">
      <c r="B339" s="35" t="s">
        <v>3891</v>
      </c>
      <c r="C339" s="23" t="s">
        <v>3892</v>
      </c>
      <c r="D339" s="23" t="s">
        <v>3303</v>
      </c>
      <c r="E339" s="23" t="s">
        <v>3304</v>
      </c>
      <c r="F339" s="23" t="s">
        <v>3305</v>
      </c>
      <c r="G339" s="93">
        <v>0</v>
      </c>
      <c r="H339" s="93">
        <v>0</v>
      </c>
      <c r="I339" s="23"/>
      <c r="J339" s="23"/>
      <c r="K339" s="23"/>
      <c r="L339" s="23" t="s">
        <v>3893</v>
      </c>
      <c r="M339" s="23"/>
    </row>
    <row r="340" spans="2:13" ht="15" customHeight="1" x14ac:dyDescent="0.25">
      <c r="B340" s="35" t="s">
        <v>3894</v>
      </c>
      <c r="C340" s="23" t="s">
        <v>3895</v>
      </c>
      <c r="D340" s="23" t="s">
        <v>3303</v>
      </c>
      <c r="E340" s="23" t="s">
        <v>3317</v>
      </c>
      <c r="F340" s="23" t="s">
        <v>3305</v>
      </c>
      <c r="G340" s="93">
        <v>3</v>
      </c>
      <c r="H340" s="93">
        <v>1</v>
      </c>
      <c r="I340" s="23"/>
      <c r="J340" s="23"/>
      <c r="K340" s="23"/>
      <c r="L340" s="23" t="s">
        <v>3893</v>
      </c>
      <c r="M340" s="23"/>
    </row>
    <row r="341" spans="2:13" ht="15" customHeight="1" x14ac:dyDescent="0.25">
      <c r="B341" s="35" t="s">
        <v>3896</v>
      </c>
      <c r="C341" s="23" t="s">
        <v>3897</v>
      </c>
      <c r="D341" s="23" t="s">
        <v>3303</v>
      </c>
      <c r="E341" s="23" t="s">
        <v>3317</v>
      </c>
      <c r="F341" s="23" t="s">
        <v>3305</v>
      </c>
      <c r="G341" s="93">
        <v>3</v>
      </c>
      <c r="H341" s="93">
        <v>1</v>
      </c>
      <c r="I341" s="23"/>
      <c r="J341" s="23"/>
      <c r="K341" s="23"/>
      <c r="L341" s="23" t="s">
        <v>3893</v>
      </c>
      <c r="M341" s="23"/>
    </row>
    <row r="342" spans="2:13" ht="15" customHeight="1" x14ac:dyDescent="0.25">
      <c r="B342" s="35" t="s">
        <v>3898</v>
      </c>
      <c r="C342" s="23" t="s">
        <v>3899</v>
      </c>
      <c r="D342" s="23" t="s">
        <v>3303</v>
      </c>
      <c r="E342" s="23" t="s">
        <v>3317</v>
      </c>
      <c r="F342" s="23" t="s">
        <v>3305</v>
      </c>
      <c r="G342" s="93">
        <v>3</v>
      </c>
      <c r="H342" s="93">
        <v>0</v>
      </c>
      <c r="I342" s="23"/>
      <c r="J342" s="23"/>
      <c r="K342" s="23"/>
      <c r="L342" s="23" t="s">
        <v>3893</v>
      </c>
      <c r="M342" s="23"/>
    </row>
    <row r="343" spans="2:13" ht="15" customHeight="1" x14ac:dyDescent="0.25">
      <c r="B343" s="35" t="s">
        <v>3900</v>
      </c>
      <c r="C343" s="23" t="s">
        <v>3901</v>
      </c>
      <c r="D343" s="23" t="s">
        <v>3303</v>
      </c>
      <c r="E343" s="23" t="s">
        <v>3317</v>
      </c>
      <c r="F343" s="23" t="s">
        <v>3305</v>
      </c>
      <c r="G343" s="93">
        <v>3</v>
      </c>
      <c r="H343" s="93">
        <v>0</v>
      </c>
      <c r="I343" s="23"/>
      <c r="J343" s="23"/>
      <c r="K343" s="23"/>
      <c r="L343" s="23" t="s">
        <v>3893</v>
      </c>
      <c r="M343" s="23"/>
    </row>
    <row r="344" spans="2:13" ht="15" customHeight="1" x14ac:dyDescent="0.25">
      <c r="B344" s="35" t="s">
        <v>3902</v>
      </c>
      <c r="C344" s="23" t="s">
        <v>3903</v>
      </c>
      <c r="D344" s="23" t="s">
        <v>3303</v>
      </c>
      <c r="E344" s="23" t="s">
        <v>3317</v>
      </c>
      <c r="F344" s="23" t="s">
        <v>3305</v>
      </c>
      <c r="G344" s="93">
        <v>3</v>
      </c>
      <c r="H344" s="93">
        <v>0</v>
      </c>
      <c r="I344" s="23"/>
      <c r="J344" s="23"/>
      <c r="K344" s="23"/>
      <c r="L344" s="23" t="s">
        <v>3893</v>
      </c>
      <c r="M344" s="23"/>
    </row>
    <row r="345" spans="2:13" ht="15" customHeight="1" x14ac:dyDescent="0.25">
      <c r="B345" s="35" t="s">
        <v>3904</v>
      </c>
      <c r="C345" s="23" t="s">
        <v>3905</v>
      </c>
      <c r="D345" s="23" t="s">
        <v>3303</v>
      </c>
      <c r="E345" s="23" t="s">
        <v>3317</v>
      </c>
      <c r="F345" s="23" t="s">
        <v>3305</v>
      </c>
      <c r="G345" s="93">
        <v>3</v>
      </c>
      <c r="H345" s="93">
        <v>0</v>
      </c>
      <c r="I345" s="23"/>
      <c r="J345" s="23"/>
      <c r="K345" s="23"/>
      <c r="L345" s="23" t="s">
        <v>3893</v>
      </c>
      <c r="M345" s="23"/>
    </row>
    <row r="346" spans="2:13" ht="15" customHeight="1" x14ac:dyDescent="0.25">
      <c r="B346" s="35" t="s">
        <v>3906</v>
      </c>
      <c r="C346" s="23" t="s">
        <v>3907</v>
      </c>
      <c r="D346" s="23" t="s">
        <v>3303</v>
      </c>
      <c r="E346" s="23" t="s">
        <v>3317</v>
      </c>
      <c r="F346" s="23" t="s">
        <v>3305</v>
      </c>
      <c r="G346" s="93">
        <v>3</v>
      </c>
      <c r="H346" s="93">
        <v>0</v>
      </c>
      <c r="I346" s="23"/>
      <c r="J346" s="23"/>
      <c r="K346" s="23"/>
      <c r="L346" s="23" t="s">
        <v>3893</v>
      </c>
      <c r="M346" s="23"/>
    </row>
    <row r="347" spans="2:13" ht="15" customHeight="1" x14ac:dyDescent="0.25">
      <c r="B347" s="35" t="s">
        <v>3908</v>
      </c>
      <c r="C347" s="23" t="s">
        <v>3909</v>
      </c>
      <c r="D347" s="23" t="s">
        <v>3303</v>
      </c>
      <c r="E347" s="23" t="s">
        <v>3317</v>
      </c>
      <c r="F347" s="23" t="s">
        <v>3305</v>
      </c>
      <c r="G347" s="93">
        <v>3</v>
      </c>
      <c r="H347" s="93">
        <v>1</v>
      </c>
      <c r="I347" s="23"/>
      <c r="J347" s="23"/>
      <c r="K347" s="23"/>
      <c r="L347" s="23" t="s">
        <v>3893</v>
      </c>
      <c r="M347" s="23"/>
    </row>
    <row r="348" spans="2:13" ht="15" customHeight="1" x14ac:dyDescent="0.25">
      <c r="B348" s="35" t="s">
        <v>3910</v>
      </c>
      <c r="C348" s="23" t="s">
        <v>3911</v>
      </c>
      <c r="D348" s="23" t="s">
        <v>3303</v>
      </c>
      <c r="E348" s="23" t="s">
        <v>3317</v>
      </c>
      <c r="F348" s="23" t="s">
        <v>3305</v>
      </c>
      <c r="G348" s="93">
        <v>3</v>
      </c>
      <c r="H348" s="93">
        <v>1</v>
      </c>
      <c r="I348" s="23"/>
      <c r="J348" s="23"/>
      <c r="K348" s="23"/>
      <c r="L348" s="23" t="s">
        <v>3893</v>
      </c>
      <c r="M348" s="23"/>
    </row>
    <row r="349" spans="2:13" ht="15" customHeight="1" x14ac:dyDescent="0.25">
      <c r="B349" s="35" t="s">
        <v>3893</v>
      </c>
      <c r="C349" s="23" t="s">
        <v>3912</v>
      </c>
      <c r="D349" s="23" t="s">
        <v>3303</v>
      </c>
      <c r="E349" s="23" t="s">
        <v>3367</v>
      </c>
      <c r="F349" s="23" t="s">
        <v>3305</v>
      </c>
      <c r="G349" s="93">
        <v>0</v>
      </c>
      <c r="H349" s="93">
        <v>0</v>
      </c>
      <c r="I349" s="23"/>
      <c r="J349" s="23"/>
      <c r="K349" s="23"/>
      <c r="L349" s="23" t="s">
        <v>3657</v>
      </c>
      <c r="M349" s="23"/>
    </row>
    <row r="350" spans="2:13" ht="15" customHeight="1" x14ac:dyDescent="0.25">
      <c r="B350" s="35" t="s">
        <v>3913</v>
      </c>
      <c r="C350" s="23" t="s">
        <v>3914</v>
      </c>
      <c r="D350" s="23" t="s">
        <v>3303</v>
      </c>
      <c r="E350" s="23" t="s">
        <v>3304</v>
      </c>
      <c r="F350" s="23" t="s">
        <v>3305</v>
      </c>
      <c r="G350" s="93">
        <v>0</v>
      </c>
      <c r="H350" s="93">
        <v>0</v>
      </c>
      <c r="I350" s="23"/>
      <c r="J350" s="23"/>
      <c r="K350" s="23"/>
      <c r="L350" s="23" t="s">
        <v>3915</v>
      </c>
      <c r="M350" s="23"/>
    </row>
    <row r="351" spans="2:13" ht="15" customHeight="1" x14ac:dyDescent="0.25">
      <c r="B351" s="35" t="s">
        <v>3916</v>
      </c>
      <c r="C351" s="23" t="s">
        <v>3917</v>
      </c>
      <c r="D351" s="23" t="s">
        <v>3303</v>
      </c>
      <c r="E351" s="23" t="s">
        <v>3317</v>
      </c>
      <c r="F351" s="23" t="s">
        <v>3305</v>
      </c>
      <c r="G351" s="93">
        <v>3</v>
      </c>
      <c r="H351" s="93">
        <v>0</v>
      </c>
      <c r="I351" s="23"/>
      <c r="J351" s="23"/>
      <c r="K351" s="23"/>
      <c r="L351" s="23" t="s">
        <v>3915</v>
      </c>
      <c r="M351" s="23"/>
    </row>
    <row r="352" spans="2:13" ht="15" customHeight="1" x14ac:dyDescent="0.25">
      <c r="B352" s="35" t="s">
        <v>3918</v>
      </c>
      <c r="C352" s="23" t="s">
        <v>3919</v>
      </c>
      <c r="D352" s="23" t="s">
        <v>3303</v>
      </c>
      <c r="E352" s="23" t="s">
        <v>3317</v>
      </c>
      <c r="F352" s="23" t="s">
        <v>3305</v>
      </c>
      <c r="G352" s="93">
        <v>3</v>
      </c>
      <c r="H352" s="93">
        <v>0</v>
      </c>
      <c r="I352" s="23"/>
      <c r="J352" s="23"/>
      <c r="K352" s="23"/>
      <c r="L352" s="23" t="s">
        <v>3915</v>
      </c>
      <c r="M352" s="23"/>
    </row>
    <row r="353" spans="2:13" ht="15" customHeight="1" x14ac:dyDescent="0.25">
      <c r="B353" s="35" t="s">
        <v>3920</v>
      </c>
      <c r="C353" s="23" t="s">
        <v>3921</v>
      </c>
      <c r="D353" s="23" t="s">
        <v>3303</v>
      </c>
      <c r="E353" s="23" t="s">
        <v>3317</v>
      </c>
      <c r="F353" s="23" t="s">
        <v>3305</v>
      </c>
      <c r="G353" s="93">
        <v>3</v>
      </c>
      <c r="H353" s="93">
        <v>0</v>
      </c>
      <c r="I353" s="23"/>
      <c r="J353" s="23"/>
      <c r="K353" s="23"/>
      <c r="L353" s="23" t="s">
        <v>3915</v>
      </c>
      <c r="M353" s="23"/>
    </row>
    <row r="354" spans="2:13" ht="15" customHeight="1" x14ac:dyDescent="0.25">
      <c r="B354" s="35" t="s">
        <v>3915</v>
      </c>
      <c r="C354" s="23" t="s">
        <v>3922</v>
      </c>
      <c r="D354" s="23" t="s">
        <v>3303</v>
      </c>
      <c r="E354" s="23" t="s">
        <v>3367</v>
      </c>
      <c r="F354" s="23" t="s">
        <v>3305</v>
      </c>
      <c r="G354" s="93">
        <v>0</v>
      </c>
      <c r="H354" s="93">
        <v>0</v>
      </c>
      <c r="I354" s="23"/>
      <c r="J354" s="23"/>
      <c r="K354" s="23"/>
      <c r="L354" s="23" t="s">
        <v>3657</v>
      </c>
      <c r="M354" s="23"/>
    </row>
    <row r="355" spans="2:13" ht="15" customHeight="1" x14ac:dyDescent="0.25">
      <c r="B355" s="35" t="s">
        <v>3923</v>
      </c>
      <c r="C355" s="23" t="s">
        <v>3924</v>
      </c>
      <c r="D355" s="23" t="s">
        <v>3303</v>
      </c>
      <c r="E355" s="23" t="s">
        <v>3304</v>
      </c>
      <c r="F355" s="23" t="s">
        <v>3305</v>
      </c>
      <c r="G355" s="93">
        <v>0</v>
      </c>
      <c r="H355" s="93">
        <v>0</v>
      </c>
      <c r="I355" s="23"/>
      <c r="J355" s="23"/>
      <c r="K355" s="23"/>
      <c r="L355" s="23" t="s">
        <v>3925</v>
      </c>
      <c r="M355" s="23"/>
    </row>
    <row r="356" spans="2:13" ht="15" customHeight="1" x14ac:dyDescent="0.25">
      <c r="B356" s="35" t="s">
        <v>2725</v>
      </c>
      <c r="C356" s="23" t="s">
        <v>2726</v>
      </c>
      <c r="D356" s="23" t="s">
        <v>3303</v>
      </c>
      <c r="E356" s="23" t="s">
        <v>3317</v>
      </c>
      <c r="F356" s="23" t="s">
        <v>3305</v>
      </c>
      <c r="G356" s="93">
        <v>3</v>
      </c>
      <c r="H356" s="93">
        <v>1</v>
      </c>
      <c r="I356" s="23"/>
      <c r="J356" s="23"/>
      <c r="K356" s="23"/>
      <c r="L356" s="23" t="s">
        <v>3925</v>
      </c>
      <c r="M356" s="23"/>
    </row>
    <row r="357" spans="2:13" ht="15" customHeight="1" x14ac:dyDescent="0.25">
      <c r="B357" s="35" t="s">
        <v>2729</v>
      </c>
      <c r="C357" s="23" t="s">
        <v>2730</v>
      </c>
      <c r="D357" s="23" t="s">
        <v>3303</v>
      </c>
      <c r="E357" s="23" t="s">
        <v>3317</v>
      </c>
      <c r="F357" s="23" t="s">
        <v>3305</v>
      </c>
      <c r="G357" s="93">
        <v>3</v>
      </c>
      <c r="H357" s="93">
        <v>1</v>
      </c>
      <c r="I357" s="23"/>
      <c r="J357" s="23"/>
      <c r="K357" s="23"/>
      <c r="L357" s="23" t="s">
        <v>3925</v>
      </c>
      <c r="M357" s="23"/>
    </row>
    <row r="358" spans="2:13" ht="15" customHeight="1" x14ac:dyDescent="0.25">
      <c r="B358" s="35" t="s">
        <v>2733</v>
      </c>
      <c r="C358" s="23" t="s">
        <v>2734</v>
      </c>
      <c r="D358" s="23" t="s">
        <v>3303</v>
      </c>
      <c r="E358" s="23" t="s">
        <v>3317</v>
      </c>
      <c r="F358" s="23" t="s">
        <v>3305</v>
      </c>
      <c r="G358" s="93">
        <v>3</v>
      </c>
      <c r="H358" s="93">
        <v>1</v>
      </c>
      <c r="I358" s="23"/>
      <c r="J358" s="23"/>
      <c r="K358" s="23"/>
      <c r="L358" s="23" t="s">
        <v>3925</v>
      </c>
      <c r="M358" s="23"/>
    </row>
    <row r="359" spans="2:13" ht="15" customHeight="1" x14ac:dyDescent="0.25">
      <c r="B359" s="35" t="s">
        <v>2737</v>
      </c>
      <c r="C359" s="23" t="s">
        <v>2738</v>
      </c>
      <c r="D359" s="23" t="s">
        <v>3303</v>
      </c>
      <c r="E359" s="23" t="s">
        <v>3317</v>
      </c>
      <c r="F359" s="23" t="s">
        <v>3305</v>
      </c>
      <c r="G359" s="93">
        <v>3</v>
      </c>
      <c r="H359" s="93">
        <v>1</v>
      </c>
      <c r="I359" s="23"/>
      <c r="J359" s="23"/>
      <c r="K359" s="23"/>
      <c r="L359" s="23" t="s">
        <v>3925</v>
      </c>
      <c r="M359" s="23"/>
    </row>
    <row r="360" spans="2:13" ht="15" customHeight="1" x14ac:dyDescent="0.25">
      <c r="B360" s="35" t="s">
        <v>2741</v>
      </c>
      <c r="C360" s="23" t="s">
        <v>2742</v>
      </c>
      <c r="D360" s="23" t="s">
        <v>3303</v>
      </c>
      <c r="E360" s="23" t="s">
        <v>3317</v>
      </c>
      <c r="F360" s="23" t="s">
        <v>3305</v>
      </c>
      <c r="G360" s="93">
        <v>3</v>
      </c>
      <c r="H360" s="93">
        <v>1</v>
      </c>
      <c r="I360" s="23"/>
      <c r="J360" s="23"/>
      <c r="K360" s="23"/>
      <c r="L360" s="23" t="s">
        <v>3925</v>
      </c>
      <c r="M360" s="23"/>
    </row>
    <row r="361" spans="2:13" ht="15" customHeight="1" x14ac:dyDescent="0.25">
      <c r="B361" s="35" t="s">
        <v>2745</v>
      </c>
      <c r="C361" s="23" t="s">
        <v>2746</v>
      </c>
      <c r="D361" s="23" t="s">
        <v>3303</v>
      </c>
      <c r="E361" s="23" t="s">
        <v>3317</v>
      </c>
      <c r="F361" s="23" t="s">
        <v>3305</v>
      </c>
      <c r="G361" s="93">
        <v>3</v>
      </c>
      <c r="H361" s="93">
        <v>1</v>
      </c>
      <c r="I361" s="23"/>
      <c r="J361" s="23"/>
      <c r="K361" s="23"/>
      <c r="L361" s="23" t="s">
        <v>3925</v>
      </c>
      <c r="M361" s="23"/>
    </row>
    <row r="362" spans="2:13" ht="15" customHeight="1" x14ac:dyDescent="0.25">
      <c r="B362" s="35" t="s">
        <v>2749</v>
      </c>
      <c r="C362" s="23" t="s">
        <v>2750</v>
      </c>
      <c r="D362" s="23" t="s">
        <v>3303</v>
      </c>
      <c r="E362" s="23" t="s">
        <v>3317</v>
      </c>
      <c r="F362" s="23" t="s">
        <v>3305</v>
      </c>
      <c r="G362" s="93">
        <v>3</v>
      </c>
      <c r="H362" s="93">
        <v>1</v>
      </c>
      <c r="I362" s="23"/>
      <c r="J362" s="23"/>
      <c r="K362" s="23"/>
      <c r="L362" s="23" t="s">
        <v>3925</v>
      </c>
      <c r="M362" s="23"/>
    </row>
    <row r="363" spans="2:13" ht="15" customHeight="1" x14ac:dyDescent="0.25">
      <c r="B363" s="35" t="s">
        <v>2753</v>
      </c>
      <c r="C363" s="23" t="s">
        <v>2754</v>
      </c>
      <c r="D363" s="23" t="s">
        <v>3303</v>
      </c>
      <c r="E363" s="23" t="s">
        <v>3317</v>
      </c>
      <c r="F363" s="23" t="s">
        <v>3305</v>
      </c>
      <c r="G363" s="93">
        <v>3</v>
      </c>
      <c r="H363" s="93">
        <v>1</v>
      </c>
      <c r="I363" s="23"/>
      <c r="J363" s="23"/>
      <c r="K363" s="23"/>
      <c r="L363" s="23" t="s">
        <v>3925</v>
      </c>
      <c r="M363" s="23"/>
    </row>
    <row r="364" spans="2:13" ht="15" customHeight="1" x14ac:dyDescent="0.25">
      <c r="B364" s="35" t="s">
        <v>3926</v>
      </c>
      <c r="C364" s="23" t="s">
        <v>3927</v>
      </c>
      <c r="D364" s="23" t="s">
        <v>3303</v>
      </c>
      <c r="E364" s="23" t="s">
        <v>3317</v>
      </c>
      <c r="F364" s="23" t="s">
        <v>3305</v>
      </c>
      <c r="G364" s="93">
        <v>3</v>
      </c>
      <c r="H364" s="93">
        <v>0</v>
      </c>
      <c r="I364" s="23"/>
      <c r="J364" s="23"/>
      <c r="K364" s="23"/>
      <c r="L364" s="23" t="s">
        <v>3925</v>
      </c>
      <c r="M364" s="23"/>
    </row>
    <row r="365" spans="2:13" ht="15" customHeight="1" x14ac:dyDescent="0.25">
      <c r="B365" s="35" t="s">
        <v>3928</v>
      </c>
      <c r="C365" s="23" t="s">
        <v>3929</v>
      </c>
      <c r="D365" s="23" t="s">
        <v>3303</v>
      </c>
      <c r="E365" s="23" t="s">
        <v>3317</v>
      </c>
      <c r="F365" s="23" t="s">
        <v>3305</v>
      </c>
      <c r="G365" s="93">
        <v>3</v>
      </c>
      <c r="H365" s="93">
        <v>0</v>
      </c>
      <c r="I365" s="23"/>
      <c r="J365" s="23"/>
      <c r="K365" s="23"/>
      <c r="L365" s="23" t="s">
        <v>3925</v>
      </c>
      <c r="M365" s="23"/>
    </row>
    <row r="366" spans="2:13" ht="15" customHeight="1" x14ac:dyDescent="0.25">
      <c r="B366" s="35" t="s">
        <v>3930</v>
      </c>
      <c r="C366" s="23" t="s">
        <v>3931</v>
      </c>
      <c r="D366" s="23" t="s">
        <v>3303</v>
      </c>
      <c r="E366" s="23" t="s">
        <v>3317</v>
      </c>
      <c r="F366" s="23" t="s">
        <v>3305</v>
      </c>
      <c r="G366" s="93">
        <v>3</v>
      </c>
      <c r="H366" s="93">
        <v>0</v>
      </c>
      <c r="I366" s="23"/>
      <c r="J366" s="23"/>
      <c r="K366" s="23"/>
      <c r="L366" s="23" t="s">
        <v>3925</v>
      </c>
      <c r="M366" s="23"/>
    </row>
    <row r="367" spans="2:13" ht="15" customHeight="1" x14ac:dyDescent="0.25">
      <c r="B367" s="35" t="s">
        <v>3932</v>
      </c>
      <c r="C367" s="23" t="s">
        <v>3933</v>
      </c>
      <c r="D367" s="23" t="s">
        <v>3303</v>
      </c>
      <c r="E367" s="23" t="s">
        <v>3317</v>
      </c>
      <c r="F367" s="23" t="s">
        <v>3305</v>
      </c>
      <c r="G367" s="93">
        <v>3</v>
      </c>
      <c r="H367" s="93">
        <v>0</v>
      </c>
      <c r="I367" s="23"/>
      <c r="J367" s="23"/>
      <c r="K367" s="23"/>
      <c r="L367" s="23" t="s">
        <v>3925</v>
      </c>
      <c r="M367" s="23"/>
    </row>
    <row r="368" spans="2:13" ht="15" customHeight="1" x14ac:dyDescent="0.25">
      <c r="B368" s="35" t="s">
        <v>3934</v>
      </c>
      <c r="C368" s="23" t="s">
        <v>3935</v>
      </c>
      <c r="D368" s="23" t="s">
        <v>3303</v>
      </c>
      <c r="E368" s="23" t="s">
        <v>3317</v>
      </c>
      <c r="F368" s="23" t="s">
        <v>3305</v>
      </c>
      <c r="G368" s="93">
        <v>3</v>
      </c>
      <c r="H368" s="93">
        <v>0</v>
      </c>
      <c r="I368" s="23"/>
      <c r="J368" s="23"/>
      <c r="K368" s="23"/>
      <c r="L368" s="23" t="s">
        <v>3925</v>
      </c>
      <c r="M368" s="23"/>
    </row>
    <row r="369" spans="2:13" ht="15" customHeight="1" x14ac:dyDescent="0.25">
      <c r="B369" s="35" t="s">
        <v>3936</v>
      </c>
      <c r="C369" s="23" t="s">
        <v>3937</v>
      </c>
      <c r="D369" s="23" t="s">
        <v>3303</v>
      </c>
      <c r="E369" s="23" t="s">
        <v>3317</v>
      </c>
      <c r="F369" s="23" t="s">
        <v>3305</v>
      </c>
      <c r="G369" s="93">
        <v>3</v>
      </c>
      <c r="H369" s="93">
        <v>0</v>
      </c>
      <c r="I369" s="23"/>
      <c r="J369" s="23"/>
      <c r="K369" s="23"/>
      <c r="L369" s="23" t="s">
        <v>3925</v>
      </c>
      <c r="M369" s="23"/>
    </row>
    <row r="370" spans="2:13" ht="15" customHeight="1" x14ac:dyDescent="0.25">
      <c r="B370" s="35" t="s">
        <v>3938</v>
      </c>
      <c r="C370" s="23" t="s">
        <v>3939</v>
      </c>
      <c r="D370" s="23" t="s">
        <v>3303</v>
      </c>
      <c r="E370" s="23" t="s">
        <v>3317</v>
      </c>
      <c r="F370" s="23" t="s">
        <v>3305</v>
      </c>
      <c r="G370" s="93">
        <v>3</v>
      </c>
      <c r="H370" s="93">
        <v>1</v>
      </c>
      <c r="I370" s="23"/>
      <c r="J370" s="23"/>
      <c r="K370" s="23"/>
      <c r="L370" s="23" t="s">
        <v>3925</v>
      </c>
      <c r="M370" s="23"/>
    </row>
    <row r="371" spans="2:13" ht="15" customHeight="1" x14ac:dyDescent="0.25">
      <c r="B371" s="35" t="s">
        <v>3940</v>
      </c>
      <c r="C371" s="23" t="s">
        <v>3941</v>
      </c>
      <c r="D371" s="23" t="s">
        <v>3303</v>
      </c>
      <c r="E371" s="23" t="s">
        <v>3317</v>
      </c>
      <c r="F371" s="23" t="s">
        <v>3305</v>
      </c>
      <c r="G371" s="93">
        <v>3</v>
      </c>
      <c r="H371" s="93">
        <v>0</v>
      </c>
      <c r="I371" s="23"/>
      <c r="J371" s="23"/>
      <c r="K371" s="23"/>
      <c r="L371" s="23" t="s">
        <v>3925</v>
      </c>
      <c r="M371" s="23"/>
    </row>
    <row r="372" spans="2:13" ht="15" customHeight="1" x14ac:dyDescent="0.25">
      <c r="B372" s="35" t="s">
        <v>3942</v>
      </c>
      <c r="C372" s="23" t="s">
        <v>3943</v>
      </c>
      <c r="D372" s="23" t="s">
        <v>3303</v>
      </c>
      <c r="E372" s="23" t="s">
        <v>3317</v>
      </c>
      <c r="F372" s="23" t="s">
        <v>3305</v>
      </c>
      <c r="G372" s="93">
        <v>3</v>
      </c>
      <c r="H372" s="93">
        <v>1</v>
      </c>
      <c r="I372" s="23"/>
      <c r="J372" s="23"/>
      <c r="K372" s="23"/>
      <c r="L372" s="23" t="s">
        <v>3925</v>
      </c>
      <c r="M372" s="23"/>
    </row>
    <row r="373" spans="2:13" ht="15" customHeight="1" x14ac:dyDescent="0.25">
      <c r="B373" s="35" t="s">
        <v>3944</v>
      </c>
      <c r="C373" s="23" t="s">
        <v>3945</v>
      </c>
      <c r="D373" s="23" t="s">
        <v>3303</v>
      </c>
      <c r="E373" s="23" t="s">
        <v>3317</v>
      </c>
      <c r="F373" s="23" t="s">
        <v>3305</v>
      </c>
      <c r="G373" s="93">
        <v>3</v>
      </c>
      <c r="H373" s="93">
        <v>0</v>
      </c>
      <c r="I373" s="23"/>
      <c r="J373" s="23"/>
      <c r="K373" s="23"/>
      <c r="L373" s="23" t="s">
        <v>3925</v>
      </c>
      <c r="M373" s="23"/>
    </row>
    <row r="374" spans="2:13" ht="15" customHeight="1" x14ac:dyDescent="0.25">
      <c r="B374" s="35" t="s">
        <v>3946</v>
      </c>
      <c r="C374" s="23" t="s">
        <v>3947</v>
      </c>
      <c r="D374" s="23" t="s">
        <v>3303</v>
      </c>
      <c r="E374" s="23" t="s">
        <v>3317</v>
      </c>
      <c r="F374" s="23" t="s">
        <v>3305</v>
      </c>
      <c r="G374" s="93">
        <v>3</v>
      </c>
      <c r="H374" s="93">
        <v>1</v>
      </c>
      <c r="I374" s="23"/>
      <c r="J374" s="23"/>
      <c r="K374" s="23"/>
      <c r="L374" s="23" t="s">
        <v>3925</v>
      </c>
      <c r="M374" s="23"/>
    </row>
    <row r="375" spans="2:13" ht="15" customHeight="1" x14ac:dyDescent="0.25">
      <c r="B375" s="35" t="s">
        <v>3948</v>
      </c>
      <c r="C375" s="23" t="s">
        <v>3949</v>
      </c>
      <c r="D375" s="23" t="s">
        <v>3303</v>
      </c>
      <c r="E375" s="23" t="s">
        <v>3317</v>
      </c>
      <c r="F375" s="23" t="s">
        <v>3305</v>
      </c>
      <c r="G375" s="93">
        <v>3</v>
      </c>
      <c r="H375" s="93">
        <v>0</v>
      </c>
      <c r="I375" s="23"/>
      <c r="J375" s="23"/>
      <c r="K375" s="23"/>
      <c r="L375" s="23" t="s">
        <v>3925</v>
      </c>
      <c r="M375" s="23"/>
    </row>
    <row r="376" spans="2:13" ht="15" customHeight="1" x14ac:dyDescent="0.25">
      <c r="B376" s="35" t="s">
        <v>3950</v>
      </c>
      <c r="C376" s="23" t="s">
        <v>3951</v>
      </c>
      <c r="D376" s="23" t="s">
        <v>3303</v>
      </c>
      <c r="E376" s="23" t="s">
        <v>3317</v>
      </c>
      <c r="F376" s="23" t="s">
        <v>3305</v>
      </c>
      <c r="G376" s="93">
        <v>3</v>
      </c>
      <c r="H376" s="93">
        <v>1</v>
      </c>
      <c r="I376" s="23"/>
      <c r="J376" s="23"/>
      <c r="K376" s="23"/>
      <c r="L376" s="23" t="s">
        <v>3925</v>
      </c>
      <c r="M376" s="23"/>
    </row>
    <row r="377" spans="2:13" ht="15" customHeight="1" x14ac:dyDescent="0.25">
      <c r="B377" s="35" t="s">
        <v>3952</v>
      </c>
      <c r="C377" s="23" t="s">
        <v>3953</v>
      </c>
      <c r="D377" s="23" t="s">
        <v>3303</v>
      </c>
      <c r="E377" s="23" t="s">
        <v>3317</v>
      </c>
      <c r="F377" s="23" t="s">
        <v>3305</v>
      </c>
      <c r="G377" s="93">
        <v>3</v>
      </c>
      <c r="H377" s="93">
        <v>0</v>
      </c>
      <c r="I377" s="23"/>
      <c r="J377" s="23"/>
      <c r="K377" s="23"/>
      <c r="L377" s="23" t="s">
        <v>3925</v>
      </c>
      <c r="M377" s="23"/>
    </row>
    <row r="378" spans="2:13" ht="15" customHeight="1" x14ac:dyDescent="0.25">
      <c r="B378" s="35" t="s">
        <v>3954</v>
      </c>
      <c r="C378" s="23" t="s">
        <v>3955</v>
      </c>
      <c r="D378" s="23" t="s">
        <v>3303</v>
      </c>
      <c r="E378" s="23" t="s">
        <v>3317</v>
      </c>
      <c r="F378" s="23" t="s">
        <v>3305</v>
      </c>
      <c r="G378" s="93">
        <v>3</v>
      </c>
      <c r="H378" s="93">
        <v>1</v>
      </c>
      <c r="I378" s="23"/>
      <c r="J378" s="23"/>
      <c r="K378" s="23"/>
      <c r="L378" s="23" t="s">
        <v>3925</v>
      </c>
      <c r="M378" s="23"/>
    </row>
    <row r="379" spans="2:13" ht="15" customHeight="1" x14ac:dyDescent="0.25">
      <c r="B379" s="35" t="s">
        <v>3956</v>
      </c>
      <c r="C379" s="23" t="s">
        <v>3957</v>
      </c>
      <c r="D379" s="23" t="s">
        <v>3303</v>
      </c>
      <c r="E379" s="23" t="s">
        <v>3317</v>
      </c>
      <c r="F379" s="23" t="s">
        <v>3305</v>
      </c>
      <c r="G379" s="93">
        <v>3</v>
      </c>
      <c r="H379" s="93">
        <v>1</v>
      </c>
      <c r="I379" s="23"/>
      <c r="J379" s="23"/>
      <c r="K379" s="23"/>
      <c r="L379" s="23" t="s">
        <v>3925</v>
      </c>
      <c r="M379" s="23"/>
    </row>
    <row r="380" spans="2:13" ht="15" customHeight="1" x14ac:dyDescent="0.25">
      <c r="B380" s="35" t="s">
        <v>3958</v>
      </c>
      <c r="C380" s="23" t="s">
        <v>3959</v>
      </c>
      <c r="D380" s="23" t="s">
        <v>3303</v>
      </c>
      <c r="E380" s="23" t="s">
        <v>3317</v>
      </c>
      <c r="F380" s="23" t="s">
        <v>3305</v>
      </c>
      <c r="G380" s="93">
        <v>3</v>
      </c>
      <c r="H380" s="93">
        <v>1</v>
      </c>
      <c r="I380" s="23"/>
      <c r="J380" s="23"/>
      <c r="K380" s="23"/>
      <c r="L380" s="23" t="s">
        <v>3925</v>
      </c>
      <c r="M380" s="23"/>
    </row>
    <row r="381" spans="2:13" ht="15" customHeight="1" x14ac:dyDescent="0.25">
      <c r="B381" s="35" t="s">
        <v>3960</v>
      </c>
      <c r="C381" s="23" t="s">
        <v>3961</v>
      </c>
      <c r="D381" s="23" t="s">
        <v>3303</v>
      </c>
      <c r="E381" s="23" t="s">
        <v>3317</v>
      </c>
      <c r="F381" s="23" t="s">
        <v>3305</v>
      </c>
      <c r="G381" s="93">
        <v>3</v>
      </c>
      <c r="H381" s="93">
        <v>1</v>
      </c>
      <c r="I381" s="23"/>
      <c r="J381" s="23"/>
      <c r="K381" s="23"/>
      <c r="L381" s="23" t="s">
        <v>3925</v>
      </c>
      <c r="M381" s="23"/>
    </row>
    <row r="382" spans="2:13" ht="15" customHeight="1" x14ac:dyDescent="0.25">
      <c r="B382" s="35" t="s">
        <v>3962</v>
      </c>
      <c r="C382" s="23" t="s">
        <v>3963</v>
      </c>
      <c r="D382" s="23" t="s">
        <v>3303</v>
      </c>
      <c r="E382" s="23" t="s">
        <v>3317</v>
      </c>
      <c r="F382" s="23" t="s">
        <v>3305</v>
      </c>
      <c r="G382" s="93">
        <v>3</v>
      </c>
      <c r="H382" s="93">
        <v>1</v>
      </c>
      <c r="I382" s="23"/>
      <c r="J382" s="23"/>
      <c r="K382" s="23"/>
      <c r="L382" s="23" t="s">
        <v>3925</v>
      </c>
      <c r="M382" s="23"/>
    </row>
    <row r="383" spans="2:13" ht="15" customHeight="1" x14ac:dyDescent="0.25">
      <c r="B383" s="35" t="s">
        <v>3964</v>
      </c>
      <c r="C383" s="23" t="s">
        <v>3965</v>
      </c>
      <c r="D383" s="23" t="s">
        <v>3303</v>
      </c>
      <c r="E383" s="23" t="s">
        <v>3317</v>
      </c>
      <c r="F383" s="23" t="s">
        <v>3305</v>
      </c>
      <c r="G383" s="93">
        <v>3</v>
      </c>
      <c r="H383" s="93">
        <v>0</v>
      </c>
      <c r="I383" s="23"/>
      <c r="J383" s="23"/>
      <c r="K383" s="23"/>
      <c r="L383" s="23" t="s">
        <v>3925</v>
      </c>
      <c r="M383" s="23"/>
    </row>
    <row r="384" spans="2:13" ht="15" customHeight="1" x14ac:dyDescent="0.25">
      <c r="B384" s="35" t="s">
        <v>3966</v>
      </c>
      <c r="C384" s="23" t="s">
        <v>3967</v>
      </c>
      <c r="D384" s="23" t="s">
        <v>3303</v>
      </c>
      <c r="E384" s="23" t="s">
        <v>3317</v>
      </c>
      <c r="F384" s="23" t="s">
        <v>3305</v>
      </c>
      <c r="G384" s="93">
        <v>3</v>
      </c>
      <c r="H384" s="93">
        <v>0</v>
      </c>
      <c r="I384" s="23"/>
      <c r="J384" s="23"/>
      <c r="K384" s="23"/>
      <c r="L384" s="23" t="s">
        <v>3925</v>
      </c>
      <c r="M384" s="23"/>
    </row>
    <row r="385" spans="2:13" ht="15" customHeight="1" x14ac:dyDescent="0.25">
      <c r="B385" s="35" t="s">
        <v>3968</v>
      </c>
      <c r="C385" s="23" t="s">
        <v>3969</v>
      </c>
      <c r="D385" s="23" t="s">
        <v>3303</v>
      </c>
      <c r="E385" s="23" t="s">
        <v>3317</v>
      </c>
      <c r="F385" s="23" t="s">
        <v>3305</v>
      </c>
      <c r="G385" s="93">
        <v>3</v>
      </c>
      <c r="H385" s="93">
        <v>0</v>
      </c>
      <c r="I385" s="23"/>
      <c r="J385" s="23"/>
      <c r="K385" s="23"/>
      <c r="L385" s="23" t="s">
        <v>3925</v>
      </c>
      <c r="M385" s="23"/>
    </row>
    <row r="386" spans="2:13" ht="15" customHeight="1" x14ac:dyDescent="0.25">
      <c r="B386" s="35" t="s">
        <v>3970</v>
      </c>
      <c r="C386" s="23" t="s">
        <v>3971</v>
      </c>
      <c r="D386" s="23" t="s">
        <v>3303</v>
      </c>
      <c r="E386" s="23" t="s">
        <v>3317</v>
      </c>
      <c r="F386" s="23" t="s">
        <v>3305</v>
      </c>
      <c r="G386" s="93">
        <v>3</v>
      </c>
      <c r="H386" s="93">
        <v>0</v>
      </c>
      <c r="I386" s="23"/>
      <c r="J386" s="23"/>
      <c r="K386" s="23"/>
      <c r="L386" s="23" t="s">
        <v>3925</v>
      </c>
      <c r="M386" s="23"/>
    </row>
    <row r="387" spans="2:13" ht="15" customHeight="1" x14ac:dyDescent="0.25">
      <c r="B387" s="35" t="s">
        <v>3972</v>
      </c>
      <c r="C387" s="23" t="s">
        <v>3973</v>
      </c>
      <c r="D387" s="23" t="s">
        <v>3303</v>
      </c>
      <c r="E387" s="23" t="s">
        <v>3317</v>
      </c>
      <c r="F387" s="23" t="s">
        <v>3305</v>
      </c>
      <c r="G387" s="93">
        <v>0</v>
      </c>
      <c r="H387" s="93">
        <v>0</v>
      </c>
      <c r="I387" s="23"/>
      <c r="J387" s="23"/>
      <c r="K387" s="23"/>
      <c r="L387" s="23" t="s">
        <v>3925</v>
      </c>
      <c r="M387" s="23"/>
    </row>
    <row r="388" spans="2:13" ht="15" customHeight="1" x14ac:dyDescent="0.25">
      <c r="B388" s="35" t="s">
        <v>3925</v>
      </c>
      <c r="C388" s="23" t="s">
        <v>3974</v>
      </c>
      <c r="D388" s="23" t="s">
        <v>3303</v>
      </c>
      <c r="E388" s="23" t="s">
        <v>3367</v>
      </c>
      <c r="F388" s="23" t="s">
        <v>3305</v>
      </c>
      <c r="G388" s="93">
        <v>0</v>
      </c>
      <c r="H388" s="93">
        <v>0</v>
      </c>
      <c r="I388" s="23"/>
      <c r="J388" s="23"/>
      <c r="K388" s="23"/>
      <c r="L388" s="23" t="s">
        <v>3657</v>
      </c>
      <c r="M388" s="23"/>
    </row>
    <row r="389" spans="2:13" ht="15" customHeight="1" x14ac:dyDescent="0.25">
      <c r="B389" s="35" t="s">
        <v>3657</v>
      </c>
      <c r="C389" s="23" t="s">
        <v>3975</v>
      </c>
      <c r="D389" s="23" t="s">
        <v>3303</v>
      </c>
      <c r="E389" s="23" t="s">
        <v>3367</v>
      </c>
      <c r="F389" s="23" t="s">
        <v>3305</v>
      </c>
      <c r="G389" s="93">
        <v>0</v>
      </c>
      <c r="H389" s="93">
        <v>0</v>
      </c>
      <c r="I389" s="23"/>
      <c r="J389" s="23"/>
      <c r="K389" s="23"/>
      <c r="L389" s="23" t="s">
        <v>3501</v>
      </c>
      <c r="M389" s="23"/>
    </row>
    <row r="390" spans="2:13" ht="15" customHeight="1" x14ac:dyDescent="0.25">
      <c r="B390" s="35" t="s">
        <v>3976</v>
      </c>
      <c r="C390" s="23" t="s">
        <v>3977</v>
      </c>
      <c r="D390" s="23" t="s">
        <v>3303</v>
      </c>
      <c r="E390" s="23" t="s">
        <v>3304</v>
      </c>
      <c r="F390" s="23" t="s">
        <v>3305</v>
      </c>
      <c r="G390" s="93">
        <v>0</v>
      </c>
      <c r="H390" s="93">
        <v>0</v>
      </c>
      <c r="I390" s="23"/>
      <c r="J390" s="23"/>
      <c r="K390" s="23"/>
      <c r="L390" s="23" t="s">
        <v>3978</v>
      </c>
      <c r="M390" s="23"/>
    </row>
    <row r="391" spans="2:13" ht="15" customHeight="1" x14ac:dyDescent="0.25">
      <c r="B391" s="35" t="s">
        <v>3979</v>
      </c>
      <c r="C391" s="23" t="s">
        <v>3980</v>
      </c>
      <c r="D391" s="23" t="s">
        <v>3303</v>
      </c>
      <c r="E391" s="23" t="s">
        <v>3304</v>
      </c>
      <c r="F391" s="23" t="s">
        <v>3305</v>
      </c>
      <c r="G391" s="93">
        <v>0</v>
      </c>
      <c r="H391" s="93">
        <v>1</v>
      </c>
      <c r="I391" s="23"/>
      <c r="J391" s="23"/>
      <c r="K391" s="23"/>
      <c r="L391" s="23" t="s">
        <v>3981</v>
      </c>
      <c r="M391" s="23"/>
    </row>
    <row r="392" spans="2:13" ht="15" customHeight="1" x14ac:dyDescent="0.25">
      <c r="B392" s="35" t="s">
        <v>3982</v>
      </c>
      <c r="C392" s="23" t="s">
        <v>3983</v>
      </c>
      <c r="D392" s="23" t="s">
        <v>3303</v>
      </c>
      <c r="E392" s="23" t="s">
        <v>3317</v>
      </c>
      <c r="F392" s="23" t="s">
        <v>3305</v>
      </c>
      <c r="G392" s="93">
        <v>3</v>
      </c>
      <c r="H392" s="93">
        <v>1</v>
      </c>
      <c r="I392" s="23"/>
      <c r="J392" s="23"/>
      <c r="K392" s="23"/>
      <c r="L392" s="23" t="s">
        <v>3981</v>
      </c>
      <c r="M392" s="23"/>
    </row>
    <row r="393" spans="2:13" ht="15" customHeight="1" x14ac:dyDescent="0.25">
      <c r="B393" s="35" t="s">
        <v>3984</v>
      </c>
      <c r="C393" s="23" t="s">
        <v>3985</v>
      </c>
      <c r="D393" s="23" t="s">
        <v>3303</v>
      </c>
      <c r="E393" s="23" t="s">
        <v>3317</v>
      </c>
      <c r="F393" s="23" t="s">
        <v>3305</v>
      </c>
      <c r="G393" s="93">
        <v>3</v>
      </c>
      <c r="H393" s="93">
        <v>1</v>
      </c>
      <c r="I393" s="23"/>
      <c r="J393" s="23"/>
      <c r="K393" s="23"/>
      <c r="L393" s="23" t="s">
        <v>3981</v>
      </c>
      <c r="M393" s="23"/>
    </row>
    <row r="394" spans="2:13" ht="15" customHeight="1" x14ac:dyDescent="0.25">
      <c r="B394" s="35" t="s">
        <v>3986</v>
      </c>
      <c r="C394" s="23" t="s">
        <v>3987</v>
      </c>
      <c r="D394" s="23" t="s">
        <v>3303</v>
      </c>
      <c r="E394" s="23" t="s">
        <v>3317</v>
      </c>
      <c r="F394" s="23" t="s">
        <v>3305</v>
      </c>
      <c r="G394" s="93">
        <v>0</v>
      </c>
      <c r="H394" s="93">
        <v>1</v>
      </c>
      <c r="I394" s="23"/>
      <c r="J394" s="23"/>
      <c r="K394" s="23"/>
      <c r="L394" s="23" t="s">
        <v>3981</v>
      </c>
      <c r="M394" s="23" t="s">
        <v>3694</v>
      </c>
    </row>
    <row r="395" spans="2:13" ht="15" customHeight="1" x14ac:dyDescent="0.25">
      <c r="B395" s="35" t="s">
        <v>3988</v>
      </c>
      <c r="C395" s="23" t="s">
        <v>3989</v>
      </c>
      <c r="D395" s="23" t="s">
        <v>3303</v>
      </c>
      <c r="E395" s="23" t="s">
        <v>3317</v>
      </c>
      <c r="F395" s="23" t="s">
        <v>3305</v>
      </c>
      <c r="G395" s="93">
        <v>3</v>
      </c>
      <c r="H395" s="93">
        <v>1</v>
      </c>
      <c r="I395" s="23"/>
      <c r="J395" s="23"/>
      <c r="K395" s="23"/>
      <c r="L395" s="23" t="s">
        <v>3981</v>
      </c>
      <c r="M395" s="23"/>
    </row>
    <row r="396" spans="2:13" ht="15" customHeight="1" x14ac:dyDescent="0.25">
      <c r="B396" s="35" t="s">
        <v>3990</v>
      </c>
      <c r="C396" s="23" t="s">
        <v>3991</v>
      </c>
      <c r="D396" s="23" t="s">
        <v>3303</v>
      </c>
      <c r="E396" s="23" t="s">
        <v>3317</v>
      </c>
      <c r="F396" s="23" t="s">
        <v>3305</v>
      </c>
      <c r="G396" s="93">
        <v>0</v>
      </c>
      <c r="H396" s="93">
        <v>1</v>
      </c>
      <c r="I396" s="23"/>
      <c r="J396" s="23"/>
      <c r="K396" s="23"/>
      <c r="L396" s="23" t="s">
        <v>3981</v>
      </c>
      <c r="M396" s="23"/>
    </row>
    <row r="397" spans="2:13" ht="15" customHeight="1" x14ac:dyDescent="0.25">
      <c r="B397" s="35" t="s">
        <v>3992</v>
      </c>
      <c r="C397" s="23" t="s">
        <v>3993</v>
      </c>
      <c r="D397" s="23" t="s">
        <v>3303</v>
      </c>
      <c r="E397" s="23" t="s">
        <v>3317</v>
      </c>
      <c r="F397" s="23" t="s">
        <v>3305</v>
      </c>
      <c r="G397" s="93">
        <v>0</v>
      </c>
      <c r="H397" s="93">
        <v>1</v>
      </c>
      <c r="I397" s="23"/>
      <c r="J397" s="23"/>
      <c r="K397" s="23"/>
      <c r="L397" s="23" t="s">
        <v>3981</v>
      </c>
      <c r="M397" s="23"/>
    </row>
    <row r="398" spans="2:13" ht="15" customHeight="1" x14ac:dyDescent="0.25">
      <c r="B398" s="35" t="s">
        <v>3994</v>
      </c>
      <c r="C398" s="23" t="s">
        <v>3995</v>
      </c>
      <c r="D398" s="23" t="s">
        <v>3303</v>
      </c>
      <c r="E398" s="23" t="s">
        <v>3317</v>
      </c>
      <c r="F398" s="23" t="s">
        <v>3305</v>
      </c>
      <c r="G398" s="93">
        <v>3</v>
      </c>
      <c r="H398" s="93">
        <v>1</v>
      </c>
      <c r="I398" s="23"/>
      <c r="J398" s="23"/>
      <c r="K398" s="23"/>
      <c r="L398" s="23" t="s">
        <v>3981</v>
      </c>
      <c r="M398" s="23"/>
    </row>
    <row r="399" spans="2:13" ht="15" customHeight="1" x14ac:dyDescent="0.25">
      <c r="B399" s="35" t="s">
        <v>3996</v>
      </c>
      <c r="C399" s="23" t="s">
        <v>3997</v>
      </c>
      <c r="D399" s="23" t="s">
        <v>3303</v>
      </c>
      <c r="E399" s="23" t="s">
        <v>3317</v>
      </c>
      <c r="F399" s="23" t="s">
        <v>3305</v>
      </c>
      <c r="G399" s="93">
        <v>3</v>
      </c>
      <c r="H399" s="93">
        <v>1</v>
      </c>
      <c r="I399" s="23"/>
      <c r="J399" s="23"/>
      <c r="K399" s="23"/>
      <c r="L399" s="23" t="s">
        <v>3981</v>
      </c>
      <c r="M399" s="23"/>
    </row>
    <row r="400" spans="2:13" ht="15" customHeight="1" x14ac:dyDescent="0.25">
      <c r="B400" s="35" t="s">
        <v>3998</v>
      </c>
      <c r="C400" s="23" t="s">
        <v>3999</v>
      </c>
      <c r="D400" s="23" t="s">
        <v>3303</v>
      </c>
      <c r="E400" s="23" t="s">
        <v>3317</v>
      </c>
      <c r="F400" s="23" t="s">
        <v>3305</v>
      </c>
      <c r="G400" s="93">
        <v>3</v>
      </c>
      <c r="H400" s="93">
        <v>1</v>
      </c>
      <c r="I400" s="23"/>
      <c r="J400" s="23"/>
      <c r="K400" s="23"/>
      <c r="L400" s="23" t="s">
        <v>3981</v>
      </c>
      <c r="M400" s="23"/>
    </row>
    <row r="401" spans="2:13" ht="15" customHeight="1" x14ac:dyDescent="0.25">
      <c r="B401" s="35" t="s">
        <v>4000</v>
      </c>
      <c r="C401" s="23" t="s">
        <v>4001</v>
      </c>
      <c r="D401" s="23" t="s">
        <v>3303</v>
      </c>
      <c r="E401" s="23" t="s">
        <v>3317</v>
      </c>
      <c r="F401" s="23" t="s">
        <v>3305</v>
      </c>
      <c r="G401" s="93">
        <v>3</v>
      </c>
      <c r="H401" s="93">
        <v>1</v>
      </c>
      <c r="I401" s="23"/>
      <c r="J401" s="23"/>
      <c r="K401" s="23"/>
      <c r="L401" s="23" t="s">
        <v>3981</v>
      </c>
      <c r="M401" s="23"/>
    </row>
    <row r="402" spans="2:13" ht="15" customHeight="1" x14ac:dyDescent="0.25">
      <c r="B402" s="35" t="s">
        <v>4002</v>
      </c>
      <c r="C402" s="23" t="s">
        <v>4003</v>
      </c>
      <c r="D402" s="23" t="s">
        <v>3303</v>
      </c>
      <c r="E402" s="23" t="s">
        <v>3317</v>
      </c>
      <c r="F402" s="23" t="s">
        <v>3305</v>
      </c>
      <c r="G402" s="93">
        <v>3</v>
      </c>
      <c r="H402" s="93">
        <v>1</v>
      </c>
      <c r="I402" s="23"/>
      <c r="J402" s="23"/>
      <c r="K402" s="23"/>
      <c r="L402" s="23" t="s">
        <v>3981</v>
      </c>
      <c r="M402" s="23"/>
    </row>
    <row r="403" spans="2:13" ht="15" customHeight="1" x14ac:dyDescent="0.25">
      <c r="B403" s="35" t="s">
        <v>4004</v>
      </c>
      <c r="C403" s="23" t="s">
        <v>4005</v>
      </c>
      <c r="D403" s="23" t="s">
        <v>3303</v>
      </c>
      <c r="E403" s="23" t="s">
        <v>3317</v>
      </c>
      <c r="F403" s="23" t="s">
        <v>3305</v>
      </c>
      <c r="G403" s="93">
        <v>3</v>
      </c>
      <c r="H403" s="93">
        <v>1</v>
      </c>
      <c r="I403" s="23"/>
      <c r="J403" s="23"/>
      <c r="K403" s="23"/>
      <c r="L403" s="23" t="s">
        <v>3981</v>
      </c>
      <c r="M403" s="23"/>
    </row>
    <row r="404" spans="2:13" ht="15" customHeight="1" x14ac:dyDescent="0.25">
      <c r="B404" s="35" t="s">
        <v>4006</v>
      </c>
      <c r="C404" s="23" t="s">
        <v>4007</v>
      </c>
      <c r="D404" s="23" t="s">
        <v>3303</v>
      </c>
      <c r="E404" s="23" t="s">
        <v>3317</v>
      </c>
      <c r="F404" s="23" t="s">
        <v>3305</v>
      </c>
      <c r="G404" s="93">
        <v>3</v>
      </c>
      <c r="H404" s="93">
        <v>1</v>
      </c>
      <c r="I404" s="23"/>
      <c r="J404" s="23"/>
      <c r="K404" s="23"/>
      <c r="L404" s="23" t="s">
        <v>3981</v>
      </c>
      <c r="M404" s="23"/>
    </row>
    <row r="405" spans="2:13" ht="15" customHeight="1" x14ac:dyDescent="0.25">
      <c r="B405" s="35" t="s">
        <v>4008</v>
      </c>
      <c r="C405" s="23" t="s">
        <v>4009</v>
      </c>
      <c r="D405" s="23" t="s">
        <v>3303</v>
      </c>
      <c r="E405" s="23" t="s">
        <v>3317</v>
      </c>
      <c r="F405" s="23" t="s">
        <v>3305</v>
      </c>
      <c r="G405" s="93">
        <v>3</v>
      </c>
      <c r="H405" s="93">
        <v>1</v>
      </c>
      <c r="I405" s="23"/>
      <c r="J405" s="23"/>
      <c r="K405" s="23"/>
      <c r="L405" s="23" t="s">
        <v>3981</v>
      </c>
      <c r="M405" s="23"/>
    </row>
    <row r="406" spans="2:13" ht="15" customHeight="1" x14ac:dyDescent="0.25">
      <c r="B406" s="35" t="s">
        <v>4010</v>
      </c>
      <c r="C406" s="23" t="s">
        <v>4011</v>
      </c>
      <c r="D406" s="23" t="s">
        <v>3303</v>
      </c>
      <c r="E406" s="23" t="s">
        <v>3317</v>
      </c>
      <c r="F406" s="23" t="s">
        <v>3305</v>
      </c>
      <c r="G406" s="93">
        <v>3</v>
      </c>
      <c r="H406" s="93">
        <v>1</v>
      </c>
      <c r="I406" s="23"/>
      <c r="J406" s="23"/>
      <c r="K406" s="23"/>
      <c r="L406" s="23" t="s">
        <v>3981</v>
      </c>
      <c r="M406" s="23"/>
    </row>
    <row r="407" spans="2:13" ht="15" customHeight="1" x14ac:dyDescent="0.25">
      <c r="B407" s="35" t="s">
        <v>4012</v>
      </c>
      <c r="C407" s="23" t="s">
        <v>4013</v>
      </c>
      <c r="D407" s="23" t="s">
        <v>3303</v>
      </c>
      <c r="E407" s="23" t="s">
        <v>3317</v>
      </c>
      <c r="F407" s="23" t="s">
        <v>3305</v>
      </c>
      <c r="G407" s="93">
        <v>3</v>
      </c>
      <c r="H407" s="93">
        <v>1</v>
      </c>
      <c r="I407" s="23"/>
      <c r="J407" s="23"/>
      <c r="K407" s="23"/>
      <c r="L407" s="23" t="s">
        <v>3981</v>
      </c>
      <c r="M407" s="23"/>
    </row>
    <row r="408" spans="2:13" ht="15" customHeight="1" x14ac:dyDescent="0.25">
      <c r="B408" s="35" t="s">
        <v>3981</v>
      </c>
      <c r="C408" s="23" t="s">
        <v>4014</v>
      </c>
      <c r="D408" s="23" t="s">
        <v>3303</v>
      </c>
      <c r="E408" s="23" t="s">
        <v>3367</v>
      </c>
      <c r="F408" s="23" t="s">
        <v>3305</v>
      </c>
      <c r="G408" s="93">
        <v>0</v>
      </c>
      <c r="H408" s="93">
        <v>1</v>
      </c>
      <c r="I408" s="23"/>
      <c r="J408" s="23"/>
      <c r="K408" s="23"/>
      <c r="L408" s="23" t="s">
        <v>3978</v>
      </c>
      <c r="M408" s="23"/>
    </row>
    <row r="409" spans="2:13" ht="15" customHeight="1" x14ac:dyDescent="0.25">
      <c r="B409" s="35" t="s">
        <v>4015</v>
      </c>
      <c r="C409" s="23" t="s">
        <v>4016</v>
      </c>
      <c r="D409" s="23" t="s">
        <v>3303</v>
      </c>
      <c r="E409" s="23" t="s">
        <v>3304</v>
      </c>
      <c r="F409" s="23" t="s">
        <v>3305</v>
      </c>
      <c r="G409" s="93">
        <v>0</v>
      </c>
      <c r="H409" s="93">
        <v>0</v>
      </c>
      <c r="I409" s="23"/>
      <c r="J409" s="23"/>
      <c r="K409" s="23"/>
      <c r="L409" s="23" t="s">
        <v>4017</v>
      </c>
      <c r="M409" s="23"/>
    </row>
    <row r="410" spans="2:13" ht="15" customHeight="1" x14ac:dyDescent="0.25">
      <c r="B410" s="35" t="s">
        <v>3029</v>
      </c>
      <c r="C410" s="23" t="s">
        <v>3030</v>
      </c>
      <c r="D410" s="23" t="s">
        <v>3303</v>
      </c>
      <c r="E410" s="23" t="s">
        <v>3317</v>
      </c>
      <c r="F410" s="23" t="s">
        <v>3305</v>
      </c>
      <c r="G410" s="93">
        <v>3</v>
      </c>
      <c r="H410" s="93">
        <v>1</v>
      </c>
      <c r="I410" s="23"/>
      <c r="J410" s="23"/>
      <c r="K410" s="23"/>
      <c r="L410" s="23" t="s">
        <v>4017</v>
      </c>
      <c r="M410" s="23"/>
    </row>
    <row r="411" spans="2:13" ht="15" customHeight="1" x14ac:dyDescent="0.25">
      <c r="B411" s="35" t="s">
        <v>3032</v>
      </c>
      <c r="C411" s="23" t="s">
        <v>3033</v>
      </c>
      <c r="D411" s="23" t="s">
        <v>3303</v>
      </c>
      <c r="E411" s="23" t="s">
        <v>3317</v>
      </c>
      <c r="F411" s="23" t="s">
        <v>3305</v>
      </c>
      <c r="G411" s="93">
        <v>3</v>
      </c>
      <c r="H411" s="93">
        <v>1</v>
      </c>
      <c r="I411" s="23"/>
      <c r="J411" s="23"/>
      <c r="K411" s="23"/>
      <c r="L411" s="23" t="s">
        <v>4017</v>
      </c>
      <c r="M411" s="23"/>
    </row>
    <row r="412" spans="2:13" ht="15" customHeight="1" x14ac:dyDescent="0.25">
      <c r="B412" s="35" t="s">
        <v>3035</v>
      </c>
      <c r="C412" s="23" t="s">
        <v>3036</v>
      </c>
      <c r="D412" s="23" t="s">
        <v>3303</v>
      </c>
      <c r="E412" s="23" t="s">
        <v>3317</v>
      </c>
      <c r="F412" s="23" t="s">
        <v>3305</v>
      </c>
      <c r="G412" s="93">
        <v>3</v>
      </c>
      <c r="H412" s="93">
        <v>1</v>
      </c>
      <c r="I412" s="23"/>
      <c r="J412" s="23"/>
      <c r="K412" s="23"/>
      <c r="L412" s="23" t="s">
        <v>4017</v>
      </c>
      <c r="M412" s="23"/>
    </row>
    <row r="413" spans="2:13" ht="15" customHeight="1" x14ac:dyDescent="0.25">
      <c r="B413" s="35" t="s">
        <v>3037</v>
      </c>
      <c r="C413" s="23" t="s">
        <v>3038</v>
      </c>
      <c r="D413" s="23" t="s">
        <v>3303</v>
      </c>
      <c r="E413" s="23" t="s">
        <v>3317</v>
      </c>
      <c r="F413" s="23" t="s">
        <v>3305</v>
      </c>
      <c r="G413" s="93">
        <v>3</v>
      </c>
      <c r="H413" s="93">
        <v>1</v>
      </c>
      <c r="I413" s="23"/>
      <c r="J413" s="23"/>
      <c r="K413" s="23"/>
      <c r="L413" s="23" t="s">
        <v>4017</v>
      </c>
      <c r="M413" s="23"/>
    </row>
    <row r="414" spans="2:13" ht="15" customHeight="1" x14ac:dyDescent="0.25">
      <c r="B414" s="35" t="s">
        <v>4018</v>
      </c>
      <c r="C414" s="23" t="s">
        <v>4019</v>
      </c>
      <c r="D414" s="23" t="s">
        <v>3303</v>
      </c>
      <c r="E414" s="23" t="s">
        <v>3317</v>
      </c>
      <c r="F414" s="23" t="s">
        <v>3305</v>
      </c>
      <c r="G414" s="93">
        <v>3</v>
      </c>
      <c r="H414" s="93">
        <v>0</v>
      </c>
      <c r="I414" s="23"/>
      <c r="J414" s="23"/>
      <c r="K414" s="23"/>
      <c r="L414" s="23" t="s">
        <v>4017</v>
      </c>
      <c r="M414" s="23"/>
    </row>
    <row r="415" spans="2:13" ht="15" customHeight="1" x14ac:dyDescent="0.25">
      <c r="B415" s="35" t="s">
        <v>3039</v>
      </c>
      <c r="C415" s="23" t="s">
        <v>3040</v>
      </c>
      <c r="D415" s="23" t="s">
        <v>3303</v>
      </c>
      <c r="E415" s="23" t="s">
        <v>3317</v>
      </c>
      <c r="F415" s="23" t="s">
        <v>3305</v>
      </c>
      <c r="G415" s="93">
        <v>3</v>
      </c>
      <c r="H415" s="93">
        <v>1</v>
      </c>
      <c r="I415" s="23"/>
      <c r="J415" s="23"/>
      <c r="K415" s="23"/>
      <c r="L415" s="23" t="s">
        <v>4017</v>
      </c>
      <c r="M415" s="23"/>
    </row>
    <row r="416" spans="2:13" ht="15" customHeight="1" x14ac:dyDescent="0.25">
      <c r="B416" s="35" t="s">
        <v>3042</v>
      </c>
      <c r="C416" s="23" t="s">
        <v>3043</v>
      </c>
      <c r="D416" s="23" t="s">
        <v>3303</v>
      </c>
      <c r="E416" s="23" t="s">
        <v>3317</v>
      </c>
      <c r="F416" s="23" t="s">
        <v>3305</v>
      </c>
      <c r="G416" s="93">
        <v>3</v>
      </c>
      <c r="H416" s="93">
        <v>1</v>
      </c>
      <c r="I416" s="23"/>
      <c r="J416" s="23"/>
      <c r="K416" s="23"/>
      <c r="L416" s="23" t="s">
        <v>4017</v>
      </c>
      <c r="M416" s="23"/>
    </row>
    <row r="417" spans="2:13" ht="15" customHeight="1" x14ac:dyDescent="0.25">
      <c r="B417" s="35" t="s">
        <v>3044</v>
      </c>
      <c r="C417" s="23" t="s">
        <v>3045</v>
      </c>
      <c r="D417" s="23" t="s">
        <v>3303</v>
      </c>
      <c r="E417" s="23" t="s">
        <v>3317</v>
      </c>
      <c r="F417" s="23" t="s">
        <v>3305</v>
      </c>
      <c r="G417" s="93">
        <v>3</v>
      </c>
      <c r="H417" s="93">
        <v>1</v>
      </c>
      <c r="I417" s="23"/>
      <c r="J417" s="23"/>
      <c r="K417" s="23"/>
      <c r="L417" s="23" t="s">
        <v>4017</v>
      </c>
      <c r="M417" s="23"/>
    </row>
    <row r="418" spans="2:13" ht="15" customHeight="1" x14ac:dyDescent="0.25">
      <c r="B418" s="35" t="s">
        <v>3046</v>
      </c>
      <c r="C418" s="23" t="s">
        <v>3047</v>
      </c>
      <c r="D418" s="23" t="s">
        <v>3303</v>
      </c>
      <c r="E418" s="23" t="s">
        <v>3317</v>
      </c>
      <c r="F418" s="23" t="s">
        <v>3305</v>
      </c>
      <c r="G418" s="93">
        <v>3</v>
      </c>
      <c r="H418" s="93">
        <v>1</v>
      </c>
      <c r="I418" s="23"/>
      <c r="J418" s="23"/>
      <c r="K418" s="23"/>
      <c r="L418" s="23" t="s">
        <v>4017</v>
      </c>
      <c r="M418" s="23"/>
    </row>
    <row r="419" spans="2:13" ht="15" customHeight="1" x14ac:dyDescent="0.25">
      <c r="B419" s="35" t="s">
        <v>4020</v>
      </c>
      <c r="C419" s="23" t="s">
        <v>4021</v>
      </c>
      <c r="D419" s="23" t="s">
        <v>3303</v>
      </c>
      <c r="E419" s="23" t="s">
        <v>3317</v>
      </c>
      <c r="F419" s="23" t="s">
        <v>3305</v>
      </c>
      <c r="G419" s="93">
        <v>3</v>
      </c>
      <c r="H419" s="93">
        <v>0</v>
      </c>
      <c r="I419" s="23"/>
      <c r="J419" s="23"/>
      <c r="K419" s="23"/>
      <c r="L419" s="23" t="s">
        <v>4017</v>
      </c>
      <c r="M419" s="23"/>
    </row>
    <row r="420" spans="2:13" ht="15" customHeight="1" x14ac:dyDescent="0.25">
      <c r="B420" s="35" t="s">
        <v>4022</v>
      </c>
      <c r="C420" s="23" t="s">
        <v>4023</v>
      </c>
      <c r="D420" s="23" t="s">
        <v>3303</v>
      </c>
      <c r="E420" s="23" t="s">
        <v>3317</v>
      </c>
      <c r="F420" s="23" t="s">
        <v>3305</v>
      </c>
      <c r="G420" s="93">
        <v>3</v>
      </c>
      <c r="H420" s="93">
        <v>0</v>
      </c>
      <c r="I420" s="23"/>
      <c r="J420" s="23"/>
      <c r="K420" s="23"/>
      <c r="L420" s="23" t="s">
        <v>4017</v>
      </c>
      <c r="M420" s="23"/>
    </row>
    <row r="421" spans="2:13" ht="15" customHeight="1" x14ac:dyDescent="0.25">
      <c r="B421" s="35" t="s">
        <v>3048</v>
      </c>
      <c r="C421" s="23" t="s">
        <v>3049</v>
      </c>
      <c r="D421" s="23" t="s">
        <v>3303</v>
      </c>
      <c r="E421" s="23" t="s">
        <v>3317</v>
      </c>
      <c r="F421" s="23" t="s">
        <v>3305</v>
      </c>
      <c r="G421" s="93">
        <v>3</v>
      </c>
      <c r="H421" s="93">
        <v>1</v>
      </c>
      <c r="I421" s="23"/>
      <c r="J421" s="23"/>
      <c r="K421" s="23"/>
      <c r="L421" s="23" t="s">
        <v>4017</v>
      </c>
      <c r="M421" s="23"/>
    </row>
    <row r="422" spans="2:13" ht="15" customHeight="1" x14ac:dyDescent="0.25">
      <c r="B422" s="35" t="s">
        <v>4024</v>
      </c>
      <c r="C422" s="23" t="s">
        <v>4025</v>
      </c>
      <c r="D422" s="23" t="s">
        <v>3303</v>
      </c>
      <c r="E422" s="23" t="s">
        <v>3317</v>
      </c>
      <c r="F422" s="23" t="s">
        <v>3305</v>
      </c>
      <c r="G422" s="93">
        <v>3</v>
      </c>
      <c r="H422" s="93">
        <v>0</v>
      </c>
      <c r="I422" s="23"/>
      <c r="J422" s="23"/>
      <c r="K422" s="23"/>
      <c r="L422" s="23" t="s">
        <v>4017</v>
      </c>
      <c r="M422" s="23"/>
    </row>
    <row r="423" spans="2:13" ht="15" customHeight="1" x14ac:dyDescent="0.25">
      <c r="B423" s="35" t="s">
        <v>4017</v>
      </c>
      <c r="C423" s="23" t="s">
        <v>4026</v>
      </c>
      <c r="D423" s="23" t="s">
        <v>3303</v>
      </c>
      <c r="E423" s="23" t="s">
        <v>3367</v>
      </c>
      <c r="F423" s="23" t="s">
        <v>3305</v>
      </c>
      <c r="G423" s="93">
        <v>0</v>
      </c>
      <c r="H423" s="93">
        <v>0</v>
      </c>
      <c r="I423" s="23"/>
      <c r="J423" s="23"/>
      <c r="K423" s="23"/>
      <c r="L423" s="23" t="s">
        <v>3978</v>
      </c>
      <c r="M423" s="23"/>
    </row>
    <row r="424" spans="2:13" ht="15" customHeight="1" x14ac:dyDescent="0.25">
      <c r="B424" s="35" t="s">
        <v>3978</v>
      </c>
      <c r="C424" s="23" t="s">
        <v>4027</v>
      </c>
      <c r="D424" s="23" t="s">
        <v>3303</v>
      </c>
      <c r="E424" s="23" t="s">
        <v>3367</v>
      </c>
      <c r="F424" s="23" t="s">
        <v>3305</v>
      </c>
      <c r="G424" s="93">
        <v>0</v>
      </c>
      <c r="H424" s="93">
        <v>0</v>
      </c>
      <c r="I424" s="23"/>
      <c r="J424" s="23"/>
      <c r="K424" s="23"/>
      <c r="L424" s="23" t="s">
        <v>3487</v>
      </c>
      <c r="M424" s="23"/>
    </row>
    <row r="425" spans="2:13" ht="15" customHeight="1" x14ac:dyDescent="0.25">
      <c r="B425" s="35" t="s">
        <v>4028</v>
      </c>
      <c r="C425" s="23" t="s">
        <v>4029</v>
      </c>
      <c r="D425" s="23" t="s">
        <v>3303</v>
      </c>
      <c r="E425" s="23" t="s">
        <v>3304</v>
      </c>
      <c r="F425" s="23" t="s">
        <v>3305</v>
      </c>
      <c r="G425" s="93">
        <v>0</v>
      </c>
      <c r="H425" s="93">
        <v>0</v>
      </c>
      <c r="I425" s="23"/>
      <c r="J425" s="23"/>
      <c r="K425" s="23"/>
      <c r="L425" s="23" t="s">
        <v>4030</v>
      </c>
      <c r="M425" s="23"/>
    </row>
    <row r="426" spans="2:13" ht="15" customHeight="1" x14ac:dyDescent="0.25">
      <c r="B426" s="35" t="s">
        <v>4031</v>
      </c>
      <c r="C426" s="23" t="s">
        <v>4032</v>
      </c>
      <c r="D426" s="23" t="s">
        <v>3303</v>
      </c>
      <c r="E426" s="23" t="s">
        <v>3304</v>
      </c>
      <c r="F426" s="23" t="s">
        <v>3305</v>
      </c>
      <c r="G426" s="93">
        <v>0</v>
      </c>
      <c r="H426" s="93">
        <v>0</v>
      </c>
      <c r="I426" s="23"/>
      <c r="J426" s="23"/>
      <c r="K426" s="23"/>
      <c r="L426" s="23" t="s">
        <v>4033</v>
      </c>
      <c r="M426" s="23"/>
    </row>
    <row r="427" spans="2:13" ht="15" customHeight="1" x14ac:dyDescent="0.25">
      <c r="B427" s="35" t="s">
        <v>4034</v>
      </c>
      <c r="C427" s="23" t="s">
        <v>4035</v>
      </c>
      <c r="D427" s="23" t="s">
        <v>3303</v>
      </c>
      <c r="E427" s="23" t="s">
        <v>3317</v>
      </c>
      <c r="F427" s="23" t="s">
        <v>3305</v>
      </c>
      <c r="G427" s="93">
        <v>3</v>
      </c>
      <c r="H427" s="93">
        <v>0</v>
      </c>
      <c r="I427" s="23"/>
      <c r="J427" s="23"/>
      <c r="K427" s="23"/>
      <c r="L427" s="23" t="s">
        <v>4033</v>
      </c>
      <c r="M427" s="23" t="s">
        <v>3715</v>
      </c>
    </row>
    <row r="428" spans="2:13" ht="15" customHeight="1" x14ac:dyDescent="0.25">
      <c r="B428" s="35" t="s">
        <v>4036</v>
      </c>
      <c r="C428" s="23" t="s">
        <v>4037</v>
      </c>
      <c r="D428" s="23" t="s">
        <v>3303</v>
      </c>
      <c r="E428" s="23" t="s">
        <v>3317</v>
      </c>
      <c r="F428" s="23" t="s">
        <v>3305</v>
      </c>
      <c r="G428" s="93">
        <v>3</v>
      </c>
      <c r="H428" s="93">
        <v>1</v>
      </c>
      <c r="I428" s="23"/>
      <c r="J428" s="23"/>
      <c r="K428" s="23"/>
      <c r="L428" s="23" t="s">
        <v>4033</v>
      </c>
      <c r="M428" s="23" t="s">
        <v>3715</v>
      </c>
    </row>
    <row r="429" spans="2:13" ht="15" customHeight="1" x14ac:dyDescent="0.25">
      <c r="B429" s="35" t="s">
        <v>4038</v>
      </c>
      <c r="C429" s="23" t="s">
        <v>4039</v>
      </c>
      <c r="D429" s="23" t="s">
        <v>3303</v>
      </c>
      <c r="E429" s="23" t="s">
        <v>3317</v>
      </c>
      <c r="F429" s="23" t="s">
        <v>3305</v>
      </c>
      <c r="G429" s="93">
        <v>3</v>
      </c>
      <c r="H429" s="93">
        <v>0</v>
      </c>
      <c r="I429" s="23"/>
      <c r="J429" s="23"/>
      <c r="K429" s="23"/>
      <c r="L429" s="23" t="s">
        <v>4033</v>
      </c>
      <c r="M429" s="23" t="s">
        <v>3715</v>
      </c>
    </row>
    <row r="430" spans="2:13" ht="15" customHeight="1" x14ac:dyDescent="0.25">
      <c r="B430" s="35" t="s">
        <v>4040</v>
      </c>
      <c r="C430" s="23" t="s">
        <v>4041</v>
      </c>
      <c r="D430" s="23" t="s">
        <v>3303</v>
      </c>
      <c r="E430" s="23" t="s">
        <v>3317</v>
      </c>
      <c r="F430" s="23" t="s">
        <v>3305</v>
      </c>
      <c r="G430" s="93">
        <v>3</v>
      </c>
      <c r="H430" s="93">
        <v>0</v>
      </c>
      <c r="I430" s="23"/>
      <c r="J430" s="23"/>
      <c r="K430" s="23"/>
      <c r="L430" s="23" t="s">
        <v>4033</v>
      </c>
      <c r="M430" s="23" t="s">
        <v>3715</v>
      </c>
    </row>
    <row r="431" spans="2:13" ht="15" customHeight="1" x14ac:dyDescent="0.25">
      <c r="B431" s="35" t="s">
        <v>4042</v>
      </c>
      <c r="C431" s="23" t="s">
        <v>4043</v>
      </c>
      <c r="D431" s="23" t="s">
        <v>3303</v>
      </c>
      <c r="E431" s="23" t="s">
        <v>3317</v>
      </c>
      <c r="F431" s="23" t="s">
        <v>3305</v>
      </c>
      <c r="G431" s="93">
        <v>3</v>
      </c>
      <c r="H431" s="93">
        <v>0</v>
      </c>
      <c r="I431" s="23"/>
      <c r="J431" s="23"/>
      <c r="K431" s="23"/>
      <c r="L431" s="23" t="s">
        <v>4033</v>
      </c>
      <c r="M431" s="23" t="s">
        <v>3715</v>
      </c>
    </row>
    <row r="432" spans="2:13" ht="15" customHeight="1" x14ac:dyDescent="0.25">
      <c r="B432" s="35" t="s">
        <v>4044</v>
      </c>
      <c r="C432" s="23" t="s">
        <v>4045</v>
      </c>
      <c r="D432" s="23" t="s">
        <v>3303</v>
      </c>
      <c r="E432" s="23" t="s">
        <v>3317</v>
      </c>
      <c r="F432" s="23" t="s">
        <v>3305</v>
      </c>
      <c r="G432" s="93">
        <v>3</v>
      </c>
      <c r="H432" s="93">
        <v>0</v>
      </c>
      <c r="I432" s="23"/>
      <c r="J432" s="23"/>
      <c r="K432" s="23"/>
      <c r="L432" s="23" t="s">
        <v>4033</v>
      </c>
      <c r="M432" s="23" t="s">
        <v>3715</v>
      </c>
    </row>
    <row r="433" spans="2:13" ht="15" customHeight="1" x14ac:dyDescent="0.25">
      <c r="B433" s="35" t="s">
        <v>4046</v>
      </c>
      <c r="C433" s="23" t="s">
        <v>4047</v>
      </c>
      <c r="D433" s="23" t="s">
        <v>3303</v>
      </c>
      <c r="E433" s="23" t="s">
        <v>3317</v>
      </c>
      <c r="F433" s="23" t="s">
        <v>3305</v>
      </c>
      <c r="G433" s="93">
        <v>3</v>
      </c>
      <c r="H433" s="93">
        <v>0</v>
      </c>
      <c r="I433" s="23"/>
      <c r="J433" s="23"/>
      <c r="K433" s="23"/>
      <c r="L433" s="23" t="s">
        <v>4033</v>
      </c>
      <c r="M433" s="23" t="s">
        <v>3715</v>
      </c>
    </row>
    <row r="434" spans="2:13" ht="15" customHeight="1" x14ac:dyDescent="0.25">
      <c r="B434" s="35" t="s">
        <v>4048</v>
      </c>
      <c r="C434" s="23" t="s">
        <v>4049</v>
      </c>
      <c r="D434" s="23" t="s">
        <v>3303</v>
      </c>
      <c r="E434" s="23" t="s">
        <v>3317</v>
      </c>
      <c r="F434" s="23" t="s">
        <v>3305</v>
      </c>
      <c r="G434" s="93">
        <v>3</v>
      </c>
      <c r="H434" s="93">
        <v>0</v>
      </c>
      <c r="I434" s="23"/>
      <c r="J434" s="23"/>
      <c r="K434" s="23"/>
      <c r="L434" s="23" t="s">
        <v>4033</v>
      </c>
      <c r="M434" s="23" t="s">
        <v>3715</v>
      </c>
    </row>
    <row r="435" spans="2:13" ht="15" customHeight="1" x14ac:dyDescent="0.25">
      <c r="B435" s="35" t="s">
        <v>4050</v>
      </c>
      <c r="C435" s="23" t="s">
        <v>4051</v>
      </c>
      <c r="D435" s="23" t="s">
        <v>3303</v>
      </c>
      <c r="E435" s="23" t="s">
        <v>3317</v>
      </c>
      <c r="F435" s="23" t="s">
        <v>3305</v>
      </c>
      <c r="G435" s="93">
        <v>3</v>
      </c>
      <c r="H435" s="93">
        <v>0</v>
      </c>
      <c r="I435" s="23"/>
      <c r="J435" s="23"/>
      <c r="K435" s="23"/>
      <c r="L435" s="23" t="s">
        <v>4033</v>
      </c>
      <c r="M435" s="23" t="s">
        <v>3715</v>
      </c>
    </row>
    <row r="436" spans="2:13" ht="15" customHeight="1" x14ac:dyDescent="0.25">
      <c r="B436" s="35" t="s">
        <v>4052</v>
      </c>
      <c r="C436" s="23" t="s">
        <v>4053</v>
      </c>
      <c r="D436" s="23" t="s">
        <v>3303</v>
      </c>
      <c r="E436" s="23" t="s">
        <v>3317</v>
      </c>
      <c r="F436" s="23" t="s">
        <v>3305</v>
      </c>
      <c r="G436" s="93">
        <v>3</v>
      </c>
      <c r="H436" s="93">
        <v>0</v>
      </c>
      <c r="I436" s="23"/>
      <c r="J436" s="23"/>
      <c r="K436" s="23"/>
      <c r="L436" s="23" t="s">
        <v>4033</v>
      </c>
      <c r="M436" s="23" t="s">
        <v>3715</v>
      </c>
    </row>
    <row r="437" spans="2:13" ht="15" customHeight="1" x14ac:dyDescent="0.25">
      <c r="B437" s="35" t="s">
        <v>4054</v>
      </c>
      <c r="C437" s="23" t="s">
        <v>4055</v>
      </c>
      <c r="D437" s="23" t="s">
        <v>3303</v>
      </c>
      <c r="E437" s="23" t="s">
        <v>3317</v>
      </c>
      <c r="F437" s="23" t="s">
        <v>3305</v>
      </c>
      <c r="G437" s="93">
        <v>3</v>
      </c>
      <c r="H437" s="93">
        <v>0</v>
      </c>
      <c r="I437" s="23"/>
      <c r="J437" s="23"/>
      <c r="K437" s="23"/>
      <c r="L437" s="23" t="s">
        <v>4033</v>
      </c>
      <c r="M437" s="23" t="s">
        <v>3715</v>
      </c>
    </row>
    <row r="438" spans="2:13" ht="15" customHeight="1" x14ac:dyDescent="0.25">
      <c r="B438" s="35" t="s">
        <v>4056</v>
      </c>
      <c r="C438" s="23" t="s">
        <v>4057</v>
      </c>
      <c r="D438" s="23" t="s">
        <v>3303</v>
      </c>
      <c r="E438" s="23" t="s">
        <v>3317</v>
      </c>
      <c r="F438" s="23" t="s">
        <v>3305</v>
      </c>
      <c r="G438" s="93">
        <v>3</v>
      </c>
      <c r="H438" s="93">
        <v>0</v>
      </c>
      <c r="I438" s="23"/>
      <c r="J438" s="23"/>
      <c r="K438" s="23"/>
      <c r="L438" s="23" t="s">
        <v>4033</v>
      </c>
      <c r="M438" s="23" t="s">
        <v>3715</v>
      </c>
    </row>
    <row r="439" spans="2:13" ht="15" customHeight="1" x14ac:dyDescent="0.25">
      <c r="B439" s="35" t="s">
        <v>4058</v>
      </c>
      <c r="C439" s="23" t="s">
        <v>4059</v>
      </c>
      <c r="D439" s="23" t="s">
        <v>3303</v>
      </c>
      <c r="E439" s="23" t="s">
        <v>3317</v>
      </c>
      <c r="F439" s="23" t="s">
        <v>3305</v>
      </c>
      <c r="G439" s="93">
        <v>3</v>
      </c>
      <c r="H439" s="93">
        <v>0</v>
      </c>
      <c r="I439" s="23"/>
      <c r="J439" s="23"/>
      <c r="K439" s="23"/>
      <c r="L439" s="23" t="s">
        <v>4033</v>
      </c>
      <c r="M439" s="23" t="s">
        <v>3715</v>
      </c>
    </row>
    <row r="440" spans="2:13" ht="15" customHeight="1" x14ac:dyDescent="0.25">
      <c r="B440" s="35" t="s">
        <v>4060</v>
      </c>
      <c r="C440" s="23" t="s">
        <v>4061</v>
      </c>
      <c r="D440" s="23" t="s">
        <v>3303</v>
      </c>
      <c r="E440" s="23" t="s">
        <v>3317</v>
      </c>
      <c r="F440" s="23" t="s">
        <v>3305</v>
      </c>
      <c r="G440" s="93">
        <v>3</v>
      </c>
      <c r="H440" s="93">
        <v>0</v>
      </c>
      <c r="I440" s="23"/>
      <c r="J440" s="23"/>
      <c r="K440" s="23"/>
      <c r="L440" s="23" t="s">
        <v>4033</v>
      </c>
      <c r="M440" s="23" t="s">
        <v>3715</v>
      </c>
    </row>
    <row r="441" spans="2:13" ht="15" customHeight="1" x14ac:dyDescent="0.25">
      <c r="B441" s="35" t="s">
        <v>4062</v>
      </c>
      <c r="C441" s="23" t="s">
        <v>4063</v>
      </c>
      <c r="D441" s="23" t="s">
        <v>3303</v>
      </c>
      <c r="E441" s="23" t="s">
        <v>3317</v>
      </c>
      <c r="F441" s="23" t="s">
        <v>3305</v>
      </c>
      <c r="G441" s="93">
        <v>3</v>
      </c>
      <c r="H441" s="93">
        <v>0</v>
      </c>
      <c r="I441" s="23"/>
      <c r="J441" s="23"/>
      <c r="K441" s="23"/>
      <c r="L441" s="23" t="s">
        <v>4033</v>
      </c>
      <c r="M441" s="23" t="s">
        <v>3715</v>
      </c>
    </row>
    <row r="442" spans="2:13" ht="15" customHeight="1" x14ac:dyDescent="0.25">
      <c r="B442" s="35" t="s">
        <v>4064</v>
      </c>
      <c r="C442" s="23" t="s">
        <v>4065</v>
      </c>
      <c r="D442" s="23" t="s">
        <v>3303</v>
      </c>
      <c r="E442" s="23" t="s">
        <v>3317</v>
      </c>
      <c r="F442" s="23" t="s">
        <v>3305</v>
      </c>
      <c r="G442" s="93">
        <v>3</v>
      </c>
      <c r="H442" s="93">
        <v>0</v>
      </c>
      <c r="I442" s="23"/>
      <c r="J442" s="23"/>
      <c r="K442" s="23"/>
      <c r="L442" s="23" t="s">
        <v>4033</v>
      </c>
      <c r="M442" s="23" t="s">
        <v>3715</v>
      </c>
    </row>
    <row r="443" spans="2:13" ht="15" customHeight="1" x14ac:dyDescent="0.25">
      <c r="B443" s="35" t="s">
        <v>4066</v>
      </c>
      <c r="C443" s="23" t="s">
        <v>4067</v>
      </c>
      <c r="D443" s="23" t="s">
        <v>3303</v>
      </c>
      <c r="E443" s="23" t="s">
        <v>3317</v>
      </c>
      <c r="F443" s="23" t="s">
        <v>3305</v>
      </c>
      <c r="G443" s="93">
        <v>3</v>
      </c>
      <c r="H443" s="93">
        <v>0</v>
      </c>
      <c r="I443" s="23"/>
      <c r="J443" s="23"/>
      <c r="K443" s="23"/>
      <c r="L443" s="23" t="s">
        <v>4033</v>
      </c>
      <c r="M443" s="23" t="s">
        <v>3715</v>
      </c>
    </row>
    <row r="444" spans="2:13" ht="15" customHeight="1" x14ac:dyDescent="0.25">
      <c r="B444" s="35" t="s">
        <v>4068</v>
      </c>
      <c r="C444" s="23" t="s">
        <v>4069</v>
      </c>
      <c r="D444" s="23" t="s">
        <v>3303</v>
      </c>
      <c r="E444" s="23" t="s">
        <v>3317</v>
      </c>
      <c r="F444" s="23" t="s">
        <v>3305</v>
      </c>
      <c r="G444" s="93">
        <v>3</v>
      </c>
      <c r="H444" s="93">
        <v>0</v>
      </c>
      <c r="I444" s="23"/>
      <c r="J444" s="23"/>
      <c r="K444" s="23"/>
      <c r="L444" s="23" t="s">
        <v>4033</v>
      </c>
      <c r="M444" s="23" t="s">
        <v>3715</v>
      </c>
    </row>
    <row r="445" spans="2:13" ht="15" customHeight="1" x14ac:dyDescent="0.25">
      <c r="B445" s="35" t="s">
        <v>4070</v>
      </c>
      <c r="C445" s="23" t="s">
        <v>4071</v>
      </c>
      <c r="D445" s="23" t="s">
        <v>3303</v>
      </c>
      <c r="E445" s="23" t="s">
        <v>3317</v>
      </c>
      <c r="F445" s="23" t="s">
        <v>3305</v>
      </c>
      <c r="G445" s="93">
        <v>3</v>
      </c>
      <c r="H445" s="93">
        <v>0</v>
      </c>
      <c r="I445" s="23"/>
      <c r="J445" s="23"/>
      <c r="K445" s="23"/>
      <c r="L445" s="23" t="s">
        <v>4033</v>
      </c>
      <c r="M445" s="23" t="s">
        <v>3715</v>
      </c>
    </row>
    <row r="446" spans="2:13" ht="15" customHeight="1" x14ac:dyDescent="0.25">
      <c r="B446" s="35" t="s">
        <v>4072</v>
      </c>
      <c r="C446" s="23" t="s">
        <v>4073</v>
      </c>
      <c r="D446" s="23" t="s">
        <v>3303</v>
      </c>
      <c r="E446" s="23" t="s">
        <v>3317</v>
      </c>
      <c r="F446" s="23" t="s">
        <v>3305</v>
      </c>
      <c r="G446" s="93">
        <v>3</v>
      </c>
      <c r="H446" s="93">
        <v>0</v>
      </c>
      <c r="I446" s="23"/>
      <c r="J446" s="23"/>
      <c r="K446" s="23"/>
      <c r="L446" s="23" t="s">
        <v>4033</v>
      </c>
      <c r="M446" s="23" t="s">
        <v>3715</v>
      </c>
    </row>
    <row r="447" spans="2:13" ht="15" customHeight="1" x14ac:dyDescent="0.25">
      <c r="B447" s="35" t="s">
        <v>4074</v>
      </c>
      <c r="C447" s="23" t="s">
        <v>4075</v>
      </c>
      <c r="D447" s="23" t="s">
        <v>3303</v>
      </c>
      <c r="E447" s="23" t="s">
        <v>3317</v>
      </c>
      <c r="F447" s="23" t="s">
        <v>3305</v>
      </c>
      <c r="G447" s="93">
        <v>3</v>
      </c>
      <c r="H447" s="93">
        <v>0</v>
      </c>
      <c r="I447" s="23"/>
      <c r="J447" s="23"/>
      <c r="K447" s="23"/>
      <c r="L447" s="23" t="s">
        <v>4033</v>
      </c>
      <c r="M447" s="23" t="s">
        <v>3715</v>
      </c>
    </row>
    <row r="448" spans="2:13" ht="15" customHeight="1" x14ac:dyDescent="0.25">
      <c r="B448" s="35" t="s">
        <v>4076</v>
      </c>
      <c r="C448" s="23" t="s">
        <v>4077</v>
      </c>
      <c r="D448" s="23" t="s">
        <v>3303</v>
      </c>
      <c r="E448" s="23" t="s">
        <v>3317</v>
      </c>
      <c r="F448" s="23" t="s">
        <v>3305</v>
      </c>
      <c r="G448" s="93">
        <v>0</v>
      </c>
      <c r="H448" s="93">
        <v>0</v>
      </c>
      <c r="I448" s="23"/>
      <c r="J448" s="23"/>
      <c r="K448" s="23"/>
      <c r="L448" s="23" t="s">
        <v>4033</v>
      </c>
      <c r="M448" s="23" t="s">
        <v>3715</v>
      </c>
    </row>
    <row r="449" spans="2:13" ht="15" customHeight="1" x14ac:dyDescent="0.25">
      <c r="B449" s="35" t="s">
        <v>4078</v>
      </c>
      <c r="C449" s="23" t="s">
        <v>4079</v>
      </c>
      <c r="D449" s="23" t="s">
        <v>3303</v>
      </c>
      <c r="E449" s="23" t="s">
        <v>3317</v>
      </c>
      <c r="F449" s="23" t="s">
        <v>3305</v>
      </c>
      <c r="G449" s="93">
        <v>0</v>
      </c>
      <c r="H449" s="93">
        <v>0</v>
      </c>
      <c r="I449" s="23"/>
      <c r="J449" s="23"/>
      <c r="K449" s="23"/>
      <c r="L449" s="23" t="s">
        <v>4033</v>
      </c>
      <c r="M449" s="23" t="s">
        <v>3715</v>
      </c>
    </row>
    <row r="450" spans="2:13" ht="15" customHeight="1" x14ac:dyDescent="0.25">
      <c r="B450" s="35" t="s">
        <v>4080</v>
      </c>
      <c r="C450" s="23" t="s">
        <v>4081</v>
      </c>
      <c r="D450" s="23" t="s">
        <v>3303</v>
      </c>
      <c r="E450" s="23" t="s">
        <v>3317</v>
      </c>
      <c r="F450" s="23" t="s">
        <v>3305</v>
      </c>
      <c r="G450" s="93">
        <v>0</v>
      </c>
      <c r="H450" s="93">
        <v>0</v>
      </c>
      <c r="I450" s="23"/>
      <c r="J450" s="23"/>
      <c r="K450" s="23"/>
      <c r="L450" s="23" t="s">
        <v>4033</v>
      </c>
      <c r="M450" s="23" t="s">
        <v>3715</v>
      </c>
    </row>
    <row r="451" spans="2:13" ht="15" customHeight="1" x14ac:dyDescent="0.25">
      <c r="B451" s="35" t="s">
        <v>4082</v>
      </c>
      <c r="C451" s="23" t="s">
        <v>4083</v>
      </c>
      <c r="D451" s="23" t="s">
        <v>3303</v>
      </c>
      <c r="E451" s="23" t="s">
        <v>3317</v>
      </c>
      <c r="F451" s="23" t="s">
        <v>3305</v>
      </c>
      <c r="G451" s="93">
        <v>0</v>
      </c>
      <c r="H451" s="93">
        <v>0</v>
      </c>
      <c r="I451" s="23"/>
      <c r="J451" s="23"/>
      <c r="K451" s="23"/>
      <c r="L451" s="23" t="s">
        <v>4033</v>
      </c>
      <c r="M451" s="23" t="s">
        <v>3715</v>
      </c>
    </row>
    <row r="452" spans="2:13" ht="15" customHeight="1" x14ac:dyDescent="0.25">
      <c r="B452" s="35" t="s">
        <v>4084</v>
      </c>
      <c r="C452" s="23" t="s">
        <v>4085</v>
      </c>
      <c r="D452" s="23" t="s">
        <v>3303</v>
      </c>
      <c r="E452" s="23" t="s">
        <v>3317</v>
      </c>
      <c r="F452" s="23" t="s">
        <v>3305</v>
      </c>
      <c r="G452" s="93">
        <v>0</v>
      </c>
      <c r="H452" s="93">
        <v>0</v>
      </c>
      <c r="I452" s="23"/>
      <c r="J452" s="23"/>
      <c r="K452" s="23"/>
      <c r="L452" s="23" t="s">
        <v>4033</v>
      </c>
      <c r="M452" s="23" t="s">
        <v>3715</v>
      </c>
    </row>
    <row r="453" spans="2:13" ht="15" customHeight="1" x14ac:dyDescent="0.25">
      <c r="B453" s="35" t="s">
        <v>4086</v>
      </c>
      <c r="C453" s="23" t="s">
        <v>4087</v>
      </c>
      <c r="D453" s="23" t="s">
        <v>3303</v>
      </c>
      <c r="E453" s="23" t="s">
        <v>3317</v>
      </c>
      <c r="F453" s="23" t="s">
        <v>3305</v>
      </c>
      <c r="G453" s="93">
        <v>0</v>
      </c>
      <c r="H453" s="93">
        <v>0</v>
      </c>
      <c r="I453" s="23"/>
      <c r="J453" s="23"/>
      <c r="K453" s="23"/>
      <c r="L453" s="23" t="s">
        <v>4033</v>
      </c>
      <c r="M453" s="23" t="s">
        <v>3715</v>
      </c>
    </row>
    <row r="454" spans="2:13" ht="15" customHeight="1" x14ac:dyDescent="0.25">
      <c r="B454" s="35" t="s">
        <v>4088</v>
      </c>
      <c r="C454" s="23" t="s">
        <v>4089</v>
      </c>
      <c r="D454" s="23" t="s">
        <v>3303</v>
      </c>
      <c r="E454" s="23" t="s">
        <v>3317</v>
      </c>
      <c r="F454" s="23" t="s">
        <v>3305</v>
      </c>
      <c r="G454" s="93">
        <v>0</v>
      </c>
      <c r="H454" s="93">
        <v>0</v>
      </c>
      <c r="I454" s="23"/>
      <c r="J454" s="23"/>
      <c r="K454" s="23"/>
      <c r="L454" s="23" t="s">
        <v>4033</v>
      </c>
      <c r="M454" s="23" t="s">
        <v>3715</v>
      </c>
    </row>
    <row r="455" spans="2:13" ht="15" customHeight="1" x14ac:dyDescent="0.25">
      <c r="B455" s="35" t="s">
        <v>4090</v>
      </c>
      <c r="C455" s="23" t="s">
        <v>4091</v>
      </c>
      <c r="D455" s="23" t="s">
        <v>3303</v>
      </c>
      <c r="E455" s="23" t="s">
        <v>3317</v>
      </c>
      <c r="F455" s="23" t="s">
        <v>3305</v>
      </c>
      <c r="G455" s="93">
        <v>0</v>
      </c>
      <c r="H455" s="93">
        <v>0</v>
      </c>
      <c r="I455" s="23"/>
      <c r="J455" s="23"/>
      <c r="K455" s="23"/>
      <c r="L455" s="23" t="s">
        <v>4033</v>
      </c>
      <c r="M455" s="23" t="s">
        <v>3715</v>
      </c>
    </row>
    <row r="456" spans="2:13" ht="15" customHeight="1" x14ac:dyDescent="0.25">
      <c r="B456" s="35" t="s">
        <v>4092</v>
      </c>
      <c r="C456" s="23" t="s">
        <v>4093</v>
      </c>
      <c r="D456" s="23" t="s">
        <v>3303</v>
      </c>
      <c r="E456" s="23" t="s">
        <v>3317</v>
      </c>
      <c r="F456" s="23" t="s">
        <v>3305</v>
      </c>
      <c r="G456" s="93">
        <v>0</v>
      </c>
      <c r="H456" s="93">
        <v>0</v>
      </c>
      <c r="I456" s="23"/>
      <c r="J456" s="23"/>
      <c r="K456" s="23"/>
      <c r="L456" s="23" t="s">
        <v>4033</v>
      </c>
      <c r="M456" s="23" t="s">
        <v>3715</v>
      </c>
    </row>
    <row r="457" spans="2:13" ht="15" customHeight="1" x14ac:dyDescent="0.25">
      <c r="B457" s="35" t="s">
        <v>4094</v>
      </c>
      <c r="C457" s="23" t="s">
        <v>4095</v>
      </c>
      <c r="D457" s="23" t="s">
        <v>3303</v>
      </c>
      <c r="E457" s="23" t="s">
        <v>3317</v>
      </c>
      <c r="F457" s="23" t="s">
        <v>3305</v>
      </c>
      <c r="G457" s="93">
        <v>0</v>
      </c>
      <c r="H457" s="93">
        <v>0</v>
      </c>
      <c r="I457" s="23"/>
      <c r="J457" s="23"/>
      <c r="K457" s="23"/>
      <c r="L457" s="23" t="s">
        <v>4033</v>
      </c>
      <c r="M457" s="23" t="s">
        <v>3715</v>
      </c>
    </row>
    <row r="458" spans="2:13" ht="15" customHeight="1" x14ac:dyDescent="0.25">
      <c r="B458" s="35" t="s">
        <v>4096</v>
      </c>
      <c r="C458" s="23" t="s">
        <v>4097</v>
      </c>
      <c r="D458" s="23" t="s">
        <v>3303</v>
      </c>
      <c r="E458" s="23" t="s">
        <v>3317</v>
      </c>
      <c r="F458" s="23" t="s">
        <v>3305</v>
      </c>
      <c r="G458" s="93">
        <v>0</v>
      </c>
      <c r="H458" s="93">
        <v>0</v>
      </c>
      <c r="I458" s="23"/>
      <c r="J458" s="23"/>
      <c r="K458" s="23"/>
      <c r="L458" s="23" t="s">
        <v>4033</v>
      </c>
      <c r="M458" s="23" t="s">
        <v>3715</v>
      </c>
    </row>
    <row r="459" spans="2:13" ht="15" customHeight="1" x14ac:dyDescent="0.25">
      <c r="B459" s="35" t="s">
        <v>4098</v>
      </c>
      <c r="C459" s="23" t="s">
        <v>4099</v>
      </c>
      <c r="D459" s="23" t="s">
        <v>3303</v>
      </c>
      <c r="E459" s="23" t="s">
        <v>3317</v>
      </c>
      <c r="F459" s="23" t="s">
        <v>3305</v>
      </c>
      <c r="G459" s="93">
        <v>0</v>
      </c>
      <c r="H459" s="93">
        <v>0</v>
      </c>
      <c r="I459" s="23"/>
      <c r="J459" s="23"/>
      <c r="K459" s="23"/>
      <c r="L459" s="23" t="s">
        <v>4033</v>
      </c>
      <c r="M459" s="23" t="s">
        <v>3715</v>
      </c>
    </row>
    <row r="460" spans="2:13" ht="15" customHeight="1" x14ac:dyDescent="0.25">
      <c r="B460" s="35" t="s">
        <v>4100</v>
      </c>
      <c r="C460" s="23" t="s">
        <v>4101</v>
      </c>
      <c r="D460" s="23" t="s">
        <v>3303</v>
      </c>
      <c r="E460" s="23" t="s">
        <v>3317</v>
      </c>
      <c r="F460" s="23" t="s">
        <v>3305</v>
      </c>
      <c r="G460" s="93">
        <v>0</v>
      </c>
      <c r="H460" s="93">
        <v>0</v>
      </c>
      <c r="I460" s="23"/>
      <c r="J460" s="23"/>
      <c r="K460" s="23"/>
      <c r="L460" s="23" t="s">
        <v>4033</v>
      </c>
      <c r="M460" s="23" t="s">
        <v>3715</v>
      </c>
    </row>
    <row r="461" spans="2:13" ht="15" customHeight="1" x14ac:dyDescent="0.25">
      <c r="B461" s="35" t="s">
        <v>4102</v>
      </c>
      <c r="C461" s="23" t="s">
        <v>4103</v>
      </c>
      <c r="D461" s="23" t="s">
        <v>3303</v>
      </c>
      <c r="E461" s="23" t="s">
        <v>3317</v>
      </c>
      <c r="F461" s="23" t="s">
        <v>3305</v>
      </c>
      <c r="G461" s="93">
        <v>3</v>
      </c>
      <c r="H461" s="93">
        <v>1</v>
      </c>
      <c r="I461" s="23"/>
      <c r="J461" s="23"/>
      <c r="K461" s="23"/>
      <c r="L461" s="23" t="s">
        <v>4033</v>
      </c>
      <c r="M461" s="23" t="s">
        <v>3715</v>
      </c>
    </row>
    <row r="462" spans="2:13" ht="15" customHeight="1" x14ac:dyDescent="0.25">
      <c r="B462" s="35" t="s">
        <v>4104</v>
      </c>
      <c r="C462" s="23" t="s">
        <v>4105</v>
      </c>
      <c r="D462" s="23" t="s">
        <v>3303</v>
      </c>
      <c r="E462" s="23" t="s">
        <v>3317</v>
      </c>
      <c r="F462" s="23" t="s">
        <v>3305</v>
      </c>
      <c r="G462" s="93">
        <v>0</v>
      </c>
      <c r="H462" s="93">
        <v>1</v>
      </c>
      <c r="I462" s="23"/>
      <c r="J462" s="23"/>
      <c r="K462" s="23"/>
      <c r="L462" s="23" t="s">
        <v>4033</v>
      </c>
      <c r="M462" s="23" t="s">
        <v>3715</v>
      </c>
    </row>
    <row r="463" spans="2:13" ht="15" customHeight="1" x14ac:dyDescent="0.25">
      <c r="B463" s="35" t="s">
        <v>4106</v>
      </c>
      <c r="C463" s="23" t="s">
        <v>4107</v>
      </c>
      <c r="D463" s="23" t="s">
        <v>3303</v>
      </c>
      <c r="E463" s="23" t="s">
        <v>3317</v>
      </c>
      <c r="F463" s="23" t="s">
        <v>3305</v>
      </c>
      <c r="G463" s="93">
        <v>0</v>
      </c>
      <c r="H463" s="93">
        <v>1</v>
      </c>
      <c r="I463" s="23"/>
      <c r="J463" s="23"/>
      <c r="K463" s="23"/>
      <c r="L463" s="23" t="s">
        <v>4033</v>
      </c>
      <c r="M463" s="23" t="s">
        <v>3715</v>
      </c>
    </row>
    <row r="464" spans="2:13" ht="15" customHeight="1" x14ac:dyDescent="0.25">
      <c r="B464" s="35" t="s">
        <v>4108</v>
      </c>
      <c r="C464" s="23" t="s">
        <v>4109</v>
      </c>
      <c r="D464" s="23" t="s">
        <v>3303</v>
      </c>
      <c r="E464" s="23" t="s">
        <v>3317</v>
      </c>
      <c r="F464" s="23" t="s">
        <v>3305</v>
      </c>
      <c r="G464" s="93">
        <v>0</v>
      </c>
      <c r="H464" s="93">
        <v>1</v>
      </c>
      <c r="I464" s="23"/>
      <c r="J464" s="23"/>
      <c r="K464" s="23"/>
      <c r="L464" s="23" t="s">
        <v>4033</v>
      </c>
      <c r="M464" s="23" t="s">
        <v>3715</v>
      </c>
    </row>
    <row r="465" spans="2:13" ht="15" customHeight="1" x14ac:dyDescent="0.25">
      <c r="B465" s="35" t="s">
        <v>4110</v>
      </c>
      <c r="C465" s="23" t="s">
        <v>4111</v>
      </c>
      <c r="D465" s="23" t="s">
        <v>3303</v>
      </c>
      <c r="E465" s="23" t="s">
        <v>3317</v>
      </c>
      <c r="F465" s="23" t="s">
        <v>3305</v>
      </c>
      <c r="G465" s="93">
        <v>3</v>
      </c>
      <c r="H465" s="93">
        <v>1</v>
      </c>
      <c r="I465" s="23"/>
      <c r="J465" s="23"/>
      <c r="K465" s="23"/>
      <c r="L465" s="23" t="s">
        <v>4033</v>
      </c>
      <c r="M465" s="23" t="s">
        <v>3715</v>
      </c>
    </row>
    <row r="466" spans="2:13" ht="15" customHeight="1" x14ac:dyDescent="0.25">
      <c r="B466" s="35" t="s">
        <v>4112</v>
      </c>
      <c r="C466" s="23" t="s">
        <v>4113</v>
      </c>
      <c r="D466" s="23" t="s">
        <v>3303</v>
      </c>
      <c r="E466" s="23" t="s">
        <v>3317</v>
      </c>
      <c r="F466" s="23" t="s">
        <v>3305</v>
      </c>
      <c r="G466" s="93">
        <v>0</v>
      </c>
      <c r="H466" s="93">
        <v>1</v>
      </c>
      <c r="I466" s="23"/>
      <c r="J466" s="23"/>
      <c r="K466" s="23"/>
      <c r="L466" s="23" t="s">
        <v>4033</v>
      </c>
      <c r="M466" s="23"/>
    </row>
    <row r="467" spans="2:13" ht="15" customHeight="1" x14ac:dyDescent="0.25">
      <c r="B467" s="35" t="s">
        <v>4033</v>
      </c>
      <c r="C467" s="23" t="s">
        <v>4114</v>
      </c>
      <c r="D467" s="23" t="s">
        <v>3303</v>
      </c>
      <c r="E467" s="23" t="s">
        <v>3367</v>
      </c>
      <c r="F467" s="23" t="s">
        <v>3305</v>
      </c>
      <c r="G467" s="93">
        <v>0</v>
      </c>
      <c r="H467" s="93">
        <v>0</v>
      </c>
      <c r="I467" s="23"/>
      <c r="J467" s="23"/>
      <c r="K467" s="23"/>
      <c r="L467" s="23" t="s">
        <v>4030</v>
      </c>
      <c r="M467" s="23"/>
    </row>
    <row r="468" spans="2:13" ht="15" customHeight="1" x14ac:dyDescent="0.25">
      <c r="B468" s="35" t="s">
        <v>4115</v>
      </c>
      <c r="C468" s="23" t="s">
        <v>4116</v>
      </c>
      <c r="D468" s="23" t="s">
        <v>3303</v>
      </c>
      <c r="E468" s="23" t="s">
        <v>3304</v>
      </c>
      <c r="F468" s="23" t="s">
        <v>3305</v>
      </c>
      <c r="G468" s="93">
        <v>0</v>
      </c>
      <c r="H468" s="93">
        <v>0</v>
      </c>
      <c r="I468" s="23"/>
      <c r="J468" s="23"/>
      <c r="K468" s="23"/>
      <c r="L468" s="23" t="s">
        <v>4117</v>
      </c>
      <c r="M468" s="23"/>
    </row>
    <row r="469" spans="2:13" ht="15" customHeight="1" x14ac:dyDescent="0.25">
      <c r="B469" s="35" t="s">
        <v>4118</v>
      </c>
      <c r="C469" s="23" t="s">
        <v>4119</v>
      </c>
      <c r="D469" s="23" t="s">
        <v>3303</v>
      </c>
      <c r="E469" s="23" t="s">
        <v>3317</v>
      </c>
      <c r="F469" s="23" t="s">
        <v>3305</v>
      </c>
      <c r="G469" s="93">
        <v>3</v>
      </c>
      <c r="H469" s="93">
        <v>0</v>
      </c>
      <c r="I469" s="23"/>
      <c r="J469" s="23"/>
      <c r="K469" s="23"/>
      <c r="L469" s="23" t="s">
        <v>4117</v>
      </c>
      <c r="M469" s="23" t="s">
        <v>3715</v>
      </c>
    </row>
    <row r="470" spans="2:13" ht="15" customHeight="1" x14ac:dyDescent="0.25">
      <c r="B470" s="35" t="s">
        <v>4120</v>
      </c>
      <c r="C470" s="23" t="s">
        <v>4121</v>
      </c>
      <c r="D470" s="23" t="s">
        <v>3303</v>
      </c>
      <c r="E470" s="23" t="s">
        <v>3317</v>
      </c>
      <c r="F470" s="23" t="s">
        <v>3305</v>
      </c>
      <c r="G470" s="93">
        <v>3</v>
      </c>
      <c r="H470" s="93">
        <v>0</v>
      </c>
      <c r="I470" s="23"/>
      <c r="J470" s="23"/>
      <c r="K470" s="23"/>
      <c r="L470" s="23" t="s">
        <v>4117</v>
      </c>
      <c r="M470" s="23" t="s">
        <v>3715</v>
      </c>
    </row>
    <row r="471" spans="2:13" ht="15" customHeight="1" x14ac:dyDescent="0.25">
      <c r="B471" s="35" t="s">
        <v>4122</v>
      </c>
      <c r="C471" s="23" t="s">
        <v>4123</v>
      </c>
      <c r="D471" s="23" t="s">
        <v>3303</v>
      </c>
      <c r="E471" s="23" t="s">
        <v>3317</v>
      </c>
      <c r="F471" s="23" t="s">
        <v>3305</v>
      </c>
      <c r="G471" s="93">
        <v>3</v>
      </c>
      <c r="H471" s="93">
        <v>0</v>
      </c>
      <c r="I471" s="23"/>
      <c r="J471" s="23"/>
      <c r="K471" s="23"/>
      <c r="L471" s="23" t="s">
        <v>4117</v>
      </c>
      <c r="M471" s="23" t="s">
        <v>3715</v>
      </c>
    </row>
    <row r="472" spans="2:13" ht="15" customHeight="1" x14ac:dyDescent="0.25">
      <c r="B472" s="35" t="s">
        <v>4124</v>
      </c>
      <c r="C472" s="23" t="s">
        <v>4125</v>
      </c>
      <c r="D472" s="23" t="s">
        <v>3303</v>
      </c>
      <c r="E472" s="23" t="s">
        <v>3317</v>
      </c>
      <c r="F472" s="23" t="s">
        <v>3305</v>
      </c>
      <c r="G472" s="93">
        <v>3</v>
      </c>
      <c r="H472" s="93">
        <v>0</v>
      </c>
      <c r="I472" s="23"/>
      <c r="J472" s="23"/>
      <c r="K472" s="23"/>
      <c r="L472" s="23" t="s">
        <v>4117</v>
      </c>
      <c r="M472" s="23" t="s">
        <v>3715</v>
      </c>
    </row>
    <row r="473" spans="2:13" ht="15" customHeight="1" x14ac:dyDescent="0.25">
      <c r="B473" s="35" t="s">
        <v>4126</v>
      </c>
      <c r="C473" s="23" t="s">
        <v>4127</v>
      </c>
      <c r="D473" s="23" t="s">
        <v>3303</v>
      </c>
      <c r="E473" s="23" t="s">
        <v>3317</v>
      </c>
      <c r="F473" s="23" t="s">
        <v>3305</v>
      </c>
      <c r="G473" s="93">
        <v>3</v>
      </c>
      <c r="H473" s="93">
        <v>0</v>
      </c>
      <c r="I473" s="23"/>
      <c r="J473" s="23"/>
      <c r="K473" s="23"/>
      <c r="L473" s="23" t="s">
        <v>4117</v>
      </c>
      <c r="M473" s="23" t="s">
        <v>3715</v>
      </c>
    </row>
    <row r="474" spans="2:13" ht="15" customHeight="1" x14ac:dyDescent="0.25">
      <c r="B474" s="35" t="s">
        <v>4128</v>
      </c>
      <c r="C474" s="23" t="s">
        <v>4129</v>
      </c>
      <c r="D474" s="23" t="s">
        <v>3303</v>
      </c>
      <c r="E474" s="23" t="s">
        <v>3317</v>
      </c>
      <c r="F474" s="23" t="s">
        <v>3305</v>
      </c>
      <c r="G474" s="93">
        <v>3</v>
      </c>
      <c r="H474" s="93">
        <v>1</v>
      </c>
      <c r="I474" s="23"/>
      <c r="J474" s="23"/>
      <c r="K474" s="23"/>
      <c r="L474" s="23" t="s">
        <v>4117</v>
      </c>
      <c r="M474" s="23"/>
    </row>
    <row r="475" spans="2:13" ht="15" customHeight="1" x14ac:dyDescent="0.25">
      <c r="B475" s="35" t="s">
        <v>4130</v>
      </c>
      <c r="C475" s="23" t="s">
        <v>4131</v>
      </c>
      <c r="D475" s="23" t="s">
        <v>3303</v>
      </c>
      <c r="E475" s="23" t="s">
        <v>3317</v>
      </c>
      <c r="F475" s="23" t="s">
        <v>3305</v>
      </c>
      <c r="G475" s="93">
        <v>0</v>
      </c>
      <c r="H475" s="93">
        <v>0</v>
      </c>
      <c r="I475" s="23"/>
      <c r="J475" s="23"/>
      <c r="K475" s="23"/>
      <c r="L475" s="23" t="s">
        <v>4117</v>
      </c>
      <c r="M475" s="23" t="s">
        <v>3715</v>
      </c>
    </row>
    <row r="476" spans="2:13" ht="15" customHeight="1" x14ac:dyDescent="0.25">
      <c r="B476" s="35" t="s">
        <v>4132</v>
      </c>
      <c r="C476" s="23" t="s">
        <v>4133</v>
      </c>
      <c r="D476" s="23" t="s">
        <v>3303</v>
      </c>
      <c r="E476" s="23" t="s">
        <v>3317</v>
      </c>
      <c r="F476" s="23" t="s">
        <v>3305</v>
      </c>
      <c r="G476" s="93">
        <v>0</v>
      </c>
      <c r="H476" s="93">
        <v>0</v>
      </c>
      <c r="I476" s="23"/>
      <c r="J476" s="23"/>
      <c r="K476" s="23"/>
      <c r="L476" s="23" t="s">
        <v>4117</v>
      </c>
      <c r="M476" s="23" t="s">
        <v>3715</v>
      </c>
    </row>
    <row r="477" spans="2:13" ht="15" customHeight="1" x14ac:dyDescent="0.25">
      <c r="B477" s="35" t="s">
        <v>4134</v>
      </c>
      <c r="C477" s="23" t="s">
        <v>4135</v>
      </c>
      <c r="D477" s="23" t="s">
        <v>3303</v>
      </c>
      <c r="E477" s="23" t="s">
        <v>3317</v>
      </c>
      <c r="F477" s="23" t="s">
        <v>3305</v>
      </c>
      <c r="G477" s="93">
        <v>0</v>
      </c>
      <c r="H477" s="93">
        <v>0</v>
      </c>
      <c r="I477" s="23"/>
      <c r="J477" s="23"/>
      <c r="K477" s="23"/>
      <c r="L477" s="23" t="s">
        <v>4117</v>
      </c>
      <c r="M477" s="23" t="s">
        <v>3715</v>
      </c>
    </row>
    <row r="478" spans="2:13" ht="15" customHeight="1" x14ac:dyDescent="0.25">
      <c r="B478" s="35" t="s">
        <v>4136</v>
      </c>
      <c r="C478" s="23" t="s">
        <v>4137</v>
      </c>
      <c r="D478" s="23" t="s">
        <v>3303</v>
      </c>
      <c r="E478" s="23" t="s">
        <v>3317</v>
      </c>
      <c r="F478" s="23" t="s">
        <v>3305</v>
      </c>
      <c r="G478" s="93">
        <v>0</v>
      </c>
      <c r="H478" s="93">
        <v>0</v>
      </c>
      <c r="I478" s="23"/>
      <c r="J478" s="23"/>
      <c r="K478" s="23"/>
      <c r="L478" s="23" t="s">
        <v>4117</v>
      </c>
      <c r="M478" s="23" t="s">
        <v>3715</v>
      </c>
    </row>
    <row r="479" spans="2:13" ht="15" customHeight="1" x14ac:dyDescent="0.25">
      <c r="B479" s="35" t="s">
        <v>4138</v>
      </c>
      <c r="C479" s="23" t="s">
        <v>4139</v>
      </c>
      <c r="D479" s="23" t="s">
        <v>3303</v>
      </c>
      <c r="E479" s="23" t="s">
        <v>3317</v>
      </c>
      <c r="F479" s="23" t="s">
        <v>3305</v>
      </c>
      <c r="G479" s="93">
        <v>0</v>
      </c>
      <c r="H479" s="93">
        <v>1</v>
      </c>
      <c r="I479" s="23"/>
      <c r="J479" s="23"/>
      <c r="K479" s="23"/>
      <c r="L479" s="23" t="s">
        <v>4117</v>
      </c>
      <c r="M479" s="23"/>
    </row>
    <row r="480" spans="2:13" ht="15" customHeight="1" x14ac:dyDescent="0.25">
      <c r="B480" s="35" t="s">
        <v>4117</v>
      </c>
      <c r="C480" s="23" t="s">
        <v>4140</v>
      </c>
      <c r="D480" s="23" t="s">
        <v>3303</v>
      </c>
      <c r="E480" s="23" t="s">
        <v>3367</v>
      </c>
      <c r="F480" s="23" t="s">
        <v>3305</v>
      </c>
      <c r="G480" s="93">
        <v>0</v>
      </c>
      <c r="H480" s="93">
        <v>0</v>
      </c>
      <c r="I480" s="23"/>
      <c r="J480" s="23"/>
      <c r="K480" s="23"/>
      <c r="L480" s="23" t="s">
        <v>4030</v>
      </c>
      <c r="M480" s="23"/>
    </row>
    <row r="481" spans="2:13" ht="15" customHeight="1" x14ac:dyDescent="0.25">
      <c r="B481" s="35" t="s">
        <v>4141</v>
      </c>
      <c r="C481" s="23" t="s">
        <v>4142</v>
      </c>
      <c r="D481" s="23" t="s">
        <v>3303</v>
      </c>
      <c r="E481" s="23" t="s">
        <v>3304</v>
      </c>
      <c r="F481" s="23" t="s">
        <v>3305</v>
      </c>
      <c r="G481" s="93">
        <v>0</v>
      </c>
      <c r="H481" s="93">
        <v>0</v>
      </c>
      <c r="I481" s="23"/>
      <c r="J481" s="23"/>
      <c r="K481" s="23"/>
      <c r="L481" s="23" t="s">
        <v>4143</v>
      </c>
      <c r="M481" s="23"/>
    </row>
    <row r="482" spans="2:13" ht="15" customHeight="1" x14ac:dyDescent="0.25">
      <c r="B482" s="35" t="s">
        <v>4144</v>
      </c>
      <c r="C482" s="23" t="s">
        <v>4145</v>
      </c>
      <c r="D482" s="23" t="s">
        <v>3303</v>
      </c>
      <c r="E482" s="23" t="s">
        <v>3317</v>
      </c>
      <c r="F482" s="23" t="s">
        <v>3305</v>
      </c>
      <c r="G482" s="93">
        <v>0</v>
      </c>
      <c r="H482" s="93">
        <v>0</v>
      </c>
      <c r="I482" s="23"/>
      <c r="J482" s="23"/>
      <c r="K482" s="23"/>
      <c r="L482" s="23" t="s">
        <v>4143</v>
      </c>
      <c r="M482" s="23" t="s">
        <v>3715</v>
      </c>
    </row>
    <row r="483" spans="2:13" ht="15" customHeight="1" x14ac:dyDescent="0.25">
      <c r="B483" s="35" t="s">
        <v>4146</v>
      </c>
      <c r="C483" s="23" t="s">
        <v>4147</v>
      </c>
      <c r="D483" s="23" t="s">
        <v>3303</v>
      </c>
      <c r="E483" s="23" t="s">
        <v>3317</v>
      </c>
      <c r="F483" s="23" t="s">
        <v>3305</v>
      </c>
      <c r="G483" s="93">
        <v>0</v>
      </c>
      <c r="H483" s="93">
        <v>0</v>
      </c>
      <c r="I483" s="23"/>
      <c r="J483" s="23"/>
      <c r="K483" s="23"/>
      <c r="L483" s="23" t="s">
        <v>4143</v>
      </c>
      <c r="M483" s="23" t="s">
        <v>3715</v>
      </c>
    </row>
    <row r="484" spans="2:13" ht="15" customHeight="1" x14ac:dyDescent="0.25">
      <c r="B484" s="35" t="s">
        <v>4148</v>
      </c>
      <c r="C484" s="23" t="s">
        <v>4149</v>
      </c>
      <c r="D484" s="23" t="s">
        <v>3303</v>
      </c>
      <c r="E484" s="23" t="s">
        <v>3317</v>
      </c>
      <c r="F484" s="23" t="s">
        <v>3305</v>
      </c>
      <c r="G484" s="93">
        <v>0</v>
      </c>
      <c r="H484" s="93">
        <v>0</v>
      </c>
      <c r="I484" s="23"/>
      <c r="J484" s="23"/>
      <c r="K484" s="23"/>
      <c r="L484" s="23" t="s">
        <v>4143</v>
      </c>
      <c r="M484" s="23" t="s">
        <v>3715</v>
      </c>
    </row>
    <row r="485" spans="2:13" ht="15" customHeight="1" x14ac:dyDescent="0.25">
      <c r="B485" s="35" t="s">
        <v>4150</v>
      </c>
      <c r="C485" s="23" t="s">
        <v>4151</v>
      </c>
      <c r="D485" s="23" t="s">
        <v>3303</v>
      </c>
      <c r="E485" s="23" t="s">
        <v>3317</v>
      </c>
      <c r="F485" s="23" t="s">
        <v>3305</v>
      </c>
      <c r="G485" s="93">
        <v>0</v>
      </c>
      <c r="H485" s="93">
        <v>0</v>
      </c>
      <c r="I485" s="23"/>
      <c r="J485" s="23"/>
      <c r="K485" s="23"/>
      <c r="L485" s="23" t="s">
        <v>4143</v>
      </c>
      <c r="M485" s="23" t="s">
        <v>3715</v>
      </c>
    </row>
    <row r="486" spans="2:13" ht="15" customHeight="1" x14ac:dyDescent="0.25">
      <c r="B486" s="35" t="s">
        <v>4152</v>
      </c>
      <c r="C486" s="23" t="s">
        <v>4153</v>
      </c>
      <c r="D486" s="23" t="s">
        <v>3303</v>
      </c>
      <c r="E486" s="23" t="s">
        <v>3317</v>
      </c>
      <c r="F486" s="23" t="s">
        <v>3305</v>
      </c>
      <c r="G486" s="93">
        <v>0</v>
      </c>
      <c r="H486" s="93">
        <v>0</v>
      </c>
      <c r="I486" s="23"/>
      <c r="J486" s="23"/>
      <c r="K486" s="23"/>
      <c r="L486" s="23" t="s">
        <v>4143</v>
      </c>
      <c r="M486" s="23" t="s">
        <v>3715</v>
      </c>
    </row>
    <row r="487" spans="2:13" ht="15" customHeight="1" x14ac:dyDescent="0.25">
      <c r="B487" s="35" t="s">
        <v>4154</v>
      </c>
      <c r="C487" s="23" t="s">
        <v>4155</v>
      </c>
      <c r="D487" s="23" t="s">
        <v>3303</v>
      </c>
      <c r="E487" s="23" t="s">
        <v>3317</v>
      </c>
      <c r="F487" s="23" t="s">
        <v>3305</v>
      </c>
      <c r="G487" s="93">
        <v>0</v>
      </c>
      <c r="H487" s="93">
        <v>0</v>
      </c>
      <c r="I487" s="23"/>
      <c r="J487" s="23"/>
      <c r="K487" s="23"/>
      <c r="L487" s="23" t="s">
        <v>4143</v>
      </c>
      <c r="M487" s="23" t="s">
        <v>3715</v>
      </c>
    </row>
    <row r="488" spans="2:13" ht="15" customHeight="1" x14ac:dyDescent="0.25">
      <c r="B488" s="35" t="s">
        <v>4156</v>
      </c>
      <c r="C488" s="23" t="s">
        <v>4157</v>
      </c>
      <c r="D488" s="23" t="s">
        <v>3303</v>
      </c>
      <c r="E488" s="23" t="s">
        <v>3317</v>
      </c>
      <c r="F488" s="23" t="s">
        <v>3305</v>
      </c>
      <c r="G488" s="93">
        <v>0</v>
      </c>
      <c r="H488" s="93">
        <v>0</v>
      </c>
      <c r="I488" s="23"/>
      <c r="J488" s="23"/>
      <c r="K488" s="23"/>
      <c r="L488" s="23" t="s">
        <v>4143</v>
      </c>
      <c r="M488" s="23" t="s">
        <v>3715</v>
      </c>
    </row>
    <row r="489" spans="2:13" ht="15" customHeight="1" x14ac:dyDescent="0.25">
      <c r="B489" s="35" t="s">
        <v>4158</v>
      </c>
      <c r="C489" s="23" t="s">
        <v>4159</v>
      </c>
      <c r="D489" s="23" t="s">
        <v>3303</v>
      </c>
      <c r="E489" s="23" t="s">
        <v>3317</v>
      </c>
      <c r="F489" s="23" t="s">
        <v>3305</v>
      </c>
      <c r="G489" s="93">
        <v>0</v>
      </c>
      <c r="H489" s="93">
        <v>0</v>
      </c>
      <c r="I489" s="23"/>
      <c r="J489" s="23"/>
      <c r="K489" s="23"/>
      <c r="L489" s="23" t="s">
        <v>4143</v>
      </c>
      <c r="M489" s="23" t="s">
        <v>3715</v>
      </c>
    </row>
    <row r="490" spans="2:13" ht="15" customHeight="1" x14ac:dyDescent="0.25">
      <c r="B490" s="35" t="s">
        <v>4160</v>
      </c>
      <c r="C490" s="23" t="s">
        <v>4161</v>
      </c>
      <c r="D490" s="23" t="s">
        <v>3303</v>
      </c>
      <c r="E490" s="23" t="s">
        <v>3317</v>
      </c>
      <c r="F490" s="23" t="s">
        <v>3305</v>
      </c>
      <c r="G490" s="93">
        <v>0</v>
      </c>
      <c r="H490" s="93">
        <v>0</v>
      </c>
      <c r="I490" s="23"/>
      <c r="J490" s="23"/>
      <c r="K490" s="23"/>
      <c r="L490" s="23" t="s">
        <v>4143</v>
      </c>
      <c r="M490" s="23" t="s">
        <v>3715</v>
      </c>
    </row>
    <row r="491" spans="2:13" ht="15" customHeight="1" x14ac:dyDescent="0.25">
      <c r="B491" s="35" t="s">
        <v>4162</v>
      </c>
      <c r="C491" s="23" t="s">
        <v>4163</v>
      </c>
      <c r="D491" s="23" t="s">
        <v>3303</v>
      </c>
      <c r="E491" s="23" t="s">
        <v>3317</v>
      </c>
      <c r="F491" s="23" t="s">
        <v>3305</v>
      </c>
      <c r="G491" s="93">
        <v>0</v>
      </c>
      <c r="H491" s="93">
        <v>0</v>
      </c>
      <c r="I491" s="23"/>
      <c r="J491" s="23"/>
      <c r="K491" s="23"/>
      <c r="L491" s="23" t="s">
        <v>4143</v>
      </c>
      <c r="M491" s="23" t="s">
        <v>3715</v>
      </c>
    </row>
    <row r="492" spans="2:13" ht="15" customHeight="1" x14ac:dyDescent="0.25">
      <c r="B492" s="35" t="s">
        <v>4164</v>
      </c>
      <c r="C492" s="23" t="s">
        <v>4165</v>
      </c>
      <c r="D492" s="23" t="s">
        <v>3303</v>
      </c>
      <c r="E492" s="23" t="s">
        <v>3317</v>
      </c>
      <c r="F492" s="23" t="s">
        <v>3305</v>
      </c>
      <c r="G492" s="93">
        <v>0</v>
      </c>
      <c r="H492" s="93">
        <v>0</v>
      </c>
      <c r="I492" s="23"/>
      <c r="J492" s="23"/>
      <c r="K492" s="23"/>
      <c r="L492" s="23" t="s">
        <v>4143</v>
      </c>
      <c r="M492" s="23" t="s">
        <v>3715</v>
      </c>
    </row>
    <row r="493" spans="2:13" ht="15" customHeight="1" x14ac:dyDescent="0.25">
      <c r="B493" s="35" t="s">
        <v>4166</v>
      </c>
      <c r="C493" s="23" t="s">
        <v>4167</v>
      </c>
      <c r="D493" s="23" t="s">
        <v>3303</v>
      </c>
      <c r="E493" s="23" t="s">
        <v>3317</v>
      </c>
      <c r="F493" s="23" t="s">
        <v>3305</v>
      </c>
      <c r="G493" s="93">
        <v>0</v>
      </c>
      <c r="H493" s="93">
        <v>0</v>
      </c>
      <c r="I493" s="23"/>
      <c r="J493" s="23"/>
      <c r="K493" s="23"/>
      <c r="L493" s="23" t="s">
        <v>4143</v>
      </c>
      <c r="M493" s="23" t="s">
        <v>3715</v>
      </c>
    </row>
    <row r="494" spans="2:13" ht="15" customHeight="1" x14ac:dyDescent="0.25">
      <c r="B494" s="35" t="s">
        <v>4168</v>
      </c>
      <c r="C494" s="23" t="s">
        <v>4169</v>
      </c>
      <c r="D494" s="23" t="s">
        <v>3303</v>
      </c>
      <c r="E494" s="23" t="s">
        <v>3317</v>
      </c>
      <c r="F494" s="23" t="s">
        <v>3305</v>
      </c>
      <c r="G494" s="93">
        <v>0</v>
      </c>
      <c r="H494" s="93">
        <v>0</v>
      </c>
      <c r="I494" s="23"/>
      <c r="J494" s="23"/>
      <c r="K494" s="23"/>
      <c r="L494" s="23" t="s">
        <v>4143</v>
      </c>
      <c r="M494" s="23" t="s">
        <v>3715</v>
      </c>
    </row>
    <row r="495" spans="2:13" ht="15" customHeight="1" x14ac:dyDescent="0.25">
      <c r="B495" s="35" t="s">
        <v>4170</v>
      </c>
      <c r="C495" s="23" t="s">
        <v>4171</v>
      </c>
      <c r="D495" s="23" t="s">
        <v>3303</v>
      </c>
      <c r="E495" s="23" t="s">
        <v>3317</v>
      </c>
      <c r="F495" s="23" t="s">
        <v>3305</v>
      </c>
      <c r="G495" s="93">
        <v>0</v>
      </c>
      <c r="H495" s="93">
        <v>0</v>
      </c>
      <c r="I495" s="23"/>
      <c r="J495" s="23"/>
      <c r="K495" s="23"/>
      <c r="L495" s="23" t="s">
        <v>4143</v>
      </c>
      <c r="M495" s="23" t="s">
        <v>3715</v>
      </c>
    </row>
    <row r="496" spans="2:13" ht="15" customHeight="1" x14ac:dyDescent="0.25">
      <c r="B496" s="35" t="s">
        <v>4172</v>
      </c>
      <c r="C496" s="23" t="s">
        <v>4173</v>
      </c>
      <c r="D496" s="23" t="s">
        <v>3303</v>
      </c>
      <c r="E496" s="23" t="s">
        <v>3317</v>
      </c>
      <c r="F496" s="23" t="s">
        <v>3305</v>
      </c>
      <c r="G496" s="93">
        <v>0</v>
      </c>
      <c r="H496" s="93">
        <v>0</v>
      </c>
      <c r="I496" s="23"/>
      <c r="J496" s="23"/>
      <c r="K496" s="23"/>
      <c r="L496" s="23" t="s">
        <v>4143</v>
      </c>
      <c r="M496" s="23" t="s">
        <v>3715</v>
      </c>
    </row>
    <row r="497" spans="2:13" ht="15" customHeight="1" x14ac:dyDescent="0.25">
      <c r="B497" s="35" t="s">
        <v>4174</v>
      </c>
      <c r="C497" s="23" t="s">
        <v>4175</v>
      </c>
      <c r="D497" s="23" t="s">
        <v>3303</v>
      </c>
      <c r="E497" s="23" t="s">
        <v>3317</v>
      </c>
      <c r="F497" s="23" t="s">
        <v>3305</v>
      </c>
      <c r="G497" s="93">
        <v>0</v>
      </c>
      <c r="H497" s="93">
        <v>0</v>
      </c>
      <c r="I497" s="23"/>
      <c r="J497" s="23"/>
      <c r="K497" s="23"/>
      <c r="L497" s="23" t="s">
        <v>4143</v>
      </c>
      <c r="M497" s="23" t="s">
        <v>3715</v>
      </c>
    </row>
    <row r="498" spans="2:13" ht="15" customHeight="1" x14ac:dyDescent="0.25">
      <c r="B498" s="35" t="s">
        <v>4176</v>
      </c>
      <c r="C498" s="23" t="s">
        <v>4177</v>
      </c>
      <c r="D498" s="23" t="s">
        <v>3303</v>
      </c>
      <c r="E498" s="23" t="s">
        <v>3317</v>
      </c>
      <c r="F498" s="23" t="s">
        <v>3305</v>
      </c>
      <c r="G498" s="93">
        <v>0</v>
      </c>
      <c r="H498" s="93">
        <v>0</v>
      </c>
      <c r="I498" s="23"/>
      <c r="J498" s="23"/>
      <c r="K498" s="23"/>
      <c r="L498" s="23" t="s">
        <v>4143</v>
      </c>
      <c r="M498" s="23" t="s">
        <v>3715</v>
      </c>
    </row>
    <row r="499" spans="2:13" ht="15" customHeight="1" x14ac:dyDescent="0.25">
      <c r="B499" s="35" t="s">
        <v>4178</v>
      </c>
      <c r="C499" s="23" t="s">
        <v>4179</v>
      </c>
      <c r="D499" s="23" t="s">
        <v>3303</v>
      </c>
      <c r="E499" s="23" t="s">
        <v>3317</v>
      </c>
      <c r="F499" s="23" t="s">
        <v>3305</v>
      </c>
      <c r="G499" s="93">
        <v>0</v>
      </c>
      <c r="H499" s="93">
        <v>0</v>
      </c>
      <c r="I499" s="23"/>
      <c r="J499" s="23"/>
      <c r="K499" s="23"/>
      <c r="L499" s="23" t="s">
        <v>4143</v>
      </c>
      <c r="M499" s="23" t="s">
        <v>3715</v>
      </c>
    </row>
    <row r="500" spans="2:13" ht="15" customHeight="1" x14ac:dyDescent="0.25">
      <c r="B500" s="35" t="s">
        <v>4180</v>
      </c>
      <c r="C500" s="23" t="s">
        <v>4181</v>
      </c>
      <c r="D500" s="23" t="s">
        <v>3303</v>
      </c>
      <c r="E500" s="23" t="s">
        <v>3317</v>
      </c>
      <c r="F500" s="23" t="s">
        <v>3305</v>
      </c>
      <c r="G500" s="93">
        <v>0</v>
      </c>
      <c r="H500" s="93">
        <v>0</v>
      </c>
      <c r="I500" s="23"/>
      <c r="J500" s="23"/>
      <c r="K500" s="23"/>
      <c r="L500" s="23" t="s">
        <v>4143</v>
      </c>
      <c r="M500" s="23" t="s">
        <v>3715</v>
      </c>
    </row>
    <row r="501" spans="2:13" ht="15" customHeight="1" x14ac:dyDescent="0.25">
      <c r="B501" s="35" t="s">
        <v>4182</v>
      </c>
      <c r="C501" s="23" t="s">
        <v>4183</v>
      </c>
      <c r="D501" s="23" t="s">
        <v>3303</v>
      </c>
      <c r="E501" s="23" t="s">
        <v>3317</v>
      </c>
      <c r="F501" s="23" t="s">
        <v>3305</v>
      </c>
      <c r="G501" s="93">
        <v>0</v>
      </c>
      <c r="H501" s="93">
        <v>0</v>
      </c>
      <c r="I501" s="23"/>
      <c r="J501" s="23"/>
      <c r="K501" s="23"/>
      <c r="L501" s="23" t="s">
        <v>4143</v>
      </c>
      <c r="M501" s="23" t="s">
        <v>3715</v>
      </c>
    </row>
    <row r="502" spans="2:13" ht="15" customHeight="1" x14ac:dyDescent="0.25">
      <c r="B502" s="35" t="s">
        <v>4184</v>
      </c>
      <c r="C502" s="23" t="s">
        <v>4185</v>
      </c>
      <c r="D502" s="23" t="s">
        <v>3303</v>
      </c>
      <c r="E502" s="23" t="s">
        <v>3317</v>
      </c>
      <c r="F502" s="23" t="s">
        <v>3305</v>
      </c>
      <c r="G502" s="93">
        <v>0</v>
      </c>
      <c r="H502" s="93">
        <v>0</v>
      </c>
      <c r="I502" s="23"/>
      <c r="J502" s="23"/>
      <c r="K502" s="23"/>
      <c r="L502" s="23" t="s">
        <v>4143</v>
      </c>
      <c r="M502" s="23" t="s">
        <v>3715</v>
      </c>
    </row>
    <row r="503" spans="2:13" ht="15" customHeight="1" x14ac:dyDescent="0.25">
      <c r="B503" s="35" t="s">
        <v>4186</v>
      </c>
      <c r="C503" s="23" t="s">
        <v>4187</v>
      </c>
      <c r="D503" s="23" t="s">
        <v>3303</v>
      </c>
      <c r="E503" s="23" t="s">
        <v>3317</v>
      </c>
      <c r="F503" s="23" t="s">
        <v>3305</v>
      </c>
      <c r="G503" s="93">
        <v>0</v>
      </c>
      <c r="H503" s="93">
        <v>0</v>
      </c>
      <c r="I503" s="23"/>
      <c r="J503" s="23"/>
      <c r="K503" s="23"/>
      <c r="L503" s="23" t="s">
        <v>4143</v>
      </c>
      <c r="M503" s="23" t="s">
        <v>3715</v>
      </c>
    </row>
    <row r="504" spans="2:13" ht="15" customHeight="1" x14ac:dyDescent="0.25">
      <c r="B504" s="35" t="s">
        <v>4188</v>
      </c>
      <c r="C504" s="23" t="s">
        <v>4189</v>
      </c>
      <c r="D504" s="23" t="s">
        <v>3303</v>
      </c>
      <c r="E504" s="23" t="s">
        <v>3317</v>
      </c>
      <c r="F504" s="23" t="s">
        <v>3305</v>
      </c>
      <c r="G504" s="93">
        <v>0</v>
      </c>
      <c r="H504" s="93">
        <v>0</v>
      </c>
      <c r="I504" s="23"/>
      <c r="J504" s="23"/>
      <c r="K504" s="23"/>
      <c r="L504" s="23" t="s">
        <v>4143</v>
      </c>
      <c r="M504" s="23" t="s">
        <v>3715</v>
      </c>
    </row>
    <row r="505" spans="2:13" ht="15" customHeight="1" x14ac:dyDescent="0.25">
      <c r="B505" s="35" t="s">
        <v>4190</v>
      </c>
      <c r="C505" s="23" t="s">
        <v>4191</v>
      </c>
      <c r="D505" s="23" t="s">
        <v>3303</v>
      </c>
      <c r="E505" s="23" t="s">
        <v>3317</v>
      </c>
      <c r="F505" s="23" t="s">
        <v>3305</v>
      </c>
      <c r="G505" s="93">
        <v>0</v>
      </c>
      <c r="H505" s="93">
        <v>0</v>
      </c>
      <c r="I505" s="23"/>
      <c r="J505" s="23"/>
      <c r="K505" s="23"/>
      <c r="L505" s="23" t="s">
        <v>4143</v>
      </c>
      <c r="M505" s="23" t="s">
        <v>3715</v>
      </c>
    </row>
    <row r="506" spans="2:13" ht="15" customHeight="1" x14ac:dyDescent="0.25">
      <c r="B506" s="35" t="s">
        <v>4192</v>
      </c>
      <c r="C506" s="23" t="s">
        <v>4193</v>
      </c>
      <c r="D506" s="23" t="s">
        <v>3303</v>
      </c>
      <c r="E506" s="23" t="s">
        <v>3317</v>
      </c>
      <c r="F506" s="23" t="s">
        <v>3305</v>
      </c>
      <c r="G506" s="93">
        <v>0</v>
      </c>
      <c r="H506" s="93">
        <v>0</v>
      </c>
      <c r="I506" s="23"/>
      <c r="J506" s="23"/>
      <c r="K506" s="23"/>
      <c r="L506" s="23" t="s">
        <v>4143</v>
      </c>
      <c r="M506" s="23" t="s">
        <v>3715</v>
      </c>
    </row>
    <row r="507" spans="2:13" ht="15" customHeight="1" x14ac:dyDescent="0.25">
      <c r="B507" s="35" t="s">
        <v>4194</v>
      </c>
      <c r="C507" s="23" t="s">
        <v>4195</v>
      </c>
      <c r="D507" s="23" t="s">
        <v>3303</v>
      </c>
      <c r="E507" s="23" t="s">
        <v>3317</v>
      </c>
      <c r="F507" s="23" t="s">
        <v>3305</v>
      </c>
      <c r="G507" s="93">
        <v>0</v>
      </c>
      <c r="H507" s="93">
        <v>0</v>
      </c>
      <c r="I507" s="23"/>
      <c r="J507" s="23"/>
      <c r="K507" s="23"/>
      <c r="L507" s="23" t="s">
        <v>4143</v>
      </c>
      <c r="M507" s="23" t="s">
        <v>3715</v>
      </c>
    </row>
    <row r="508" spans="2:13" ht="15" customHeight="1" x14ac:dyDescent="0.25">
      <c r="B508" s="35" t="s">
        <v>4196</v>
      </c>
      <c r="C508" s="23" t="s">
        <v>4197</v>
      </c>
      <c r="D508" s="23" t="s">
        <v>3303</v>
      </c>
      <c r="E508" s="23" t="s">
        <v>3317</v>
      </c>
      <c r="F508" s="23" t="s">
        <v>3305</v>
      </c>
      <c r="G508" s="93">
        <v>0</v>
      </c>
      <c r="H508" s="93">
        <v>0</v>
      </c>
      <c r="I508" s="23"/>
      <c r="J508" s="23"/>
      <c r="K508" s="23"/>
      <c r="L508" s="23" t="s">
        <v>4143</v>
      </c>
      <c r="M508" s="23" t="s">
        <v>3715</v>
      </c>
    </row>
    <row r="509" spans="2:13" ht="15" customHeight="1" x14ac:dyDescent="0.25">
      <c r="B509" s="35" t="s">
        <v>4198</v>
      </c>
      <c r="C509" s="23" t="s">
        <v>4199</v>
      </c>
      <c r="D509" s="23" t="s">
        <v>3303</v>
      </c>
      <c r="E509" s="23" t="s">
        <v>3317</v>
      </c>
      <c r="F509" s="23" t="s">
        <v>3305</v>
      </c>
      <c r="G509" s="93">
        <v>0</v>
      </c>
      <c r="H509" s="93">
        <v>0</v>
      </c>
      <c r="I509" s="23"/>
      <c r="J509" s="23"/>
      <c r="K509" s="23"/>
      <c r="L509" s="23" t="s">
        <v>4143</v>
      </c>
      <c r="M509" s="23" t="s">
        <v>3715</v>
      </c>
    </row>
    <row r="510" spans="2:13" ht="15" customHeight="1" x14ac:dyDescent="0.25">
      <c r="B510" s="35" t="s">
        <v>4200</v>
      </c>
      <c r="C510" s="23" t="s">
        <v>4201</v>
      </c>
      <c r="D510" s="23" t="s">
        <v>3303</v>
      </c>
      <c r="E510" s="23" t="s">
        <v>3317</v>
      </c>
      <c r="F510" s="23" t="s">
        <v>3305</v>
      </c>
      <c r="G510" s="93">
        <v>0</v>
      </c>
      <c r="H510" s="93">
        <v>0</v>
      </c>
      <c r="I510" s="23"/>
      <c r="J510" s="23"/>
      <c r="K510" s="23"/>
      <c r="L510" s="23" t="s">
        <v>4143</v>
      </c>
      <c r="M510" s="23" t="s">
        <v>3715</v>
      </c>
    </row>
    <row r="511" spans="2:13" ht="15" customHeight="1" x14ac:dyDescent="0.25">
      <c r="B511" s="35" t="s">
        <v>4202</v>
      </c>
      <c r="C511" s="23" t="s">
        <v>4203</v>
      </c>
      <c r="D511" s="23" t="s">
        <v>3303</v>
      </c>
      <c r="E511" s="23" t="s">
        <v>3317</v>
      </c>
      <c r="F511" s="23" t="s">
        <v>3305</v>
      </c>
      <c r="G511" s="93">
        <v>0</v>
      </c>
      <c r="H511" s="93">
        <v>0</v>
      </c>
      <c r="I511" s="23"/>
      <c r="J511" s="23"/>
      <c r="K511" s="23"/>
      <c r="L511" s="23" t="s">
        <v>4143</v>
      </c>
      <c r="M511" s="23" t="s">
        <v>3715</v>
      </c>
    </row>
    <row r="512" spans="2:13" ht="15" customHeight="1" x14ac:dyDescent="0.25">
      <c r="B512" s="35" t="s">
        <v>4204</v>
      </c>
      <c r="C512" s="23" t="s">
        <v>4205</v>
      </c>
      <c r="D512" s="23" t="s">
        <v>3303</v>
      </c>
      <c r="E512" s="23" t="s">
        <v>3317</v>
      </c>
      <c r="F512" s="23" t="s">
        <v>3305</v>
      </c>
      <c r="G512" s="93">
        <v>0</v>
      </c>
      <c r="H512" s="93">
        <v>0</v>
      </c>
      <c r="I512" s="23"/>
      <c r="J512" s="23"/>
      <c r="K512" s="23"/>
      <c r="L512" s="23" t="s">
        <v>4143</v>
      </c>
      <c r="M512" s="23" t="s">
        <v>3715</v>
      </c>
    </row>
    <row r="513" spans="2:13" ht="15" customHeight="1" x14ac:dyDescent="0.25">
      <c r="B513" s="35" t="s">
        <v>4206</v>
      </c>
      <c r="C513" s="23" t="s">
        <v>4207</v>
      </c>
      <c r="D513" s="23" t="s">
        <v>3303</v>
      </c>
      <c r="E513" s="23" t="s">
        <v>3317</v>
      </c>
      <c r="F513" s="23" t="s">
        <v>3305</v>
      </c>
      <c r="G513" s="93">
        <v>0</v>
      </c>
      <c r="H513" s="93">
        <v>0</v>
      </c>
      <c r="I513" s="23"/>
      <c r="J513" s="23"/>
      <c r="K513" s="23"/>
      <c r="L513" s="23" t="s">
        <v>4143</v>
      </c>
      <c r="M513" s="23" t="s">
        <v>3715</v>
      </c>
    </row>
    <row r="514" spans="2:13" ht="15" customHeight="1" x14ac:dyDescent="0.25">
      <c r="B514" s="35" t="s">
        <v>4208</v>
      </c>
      <c r="C514" s="23" t="s">
        <v>4209</v>
      </c>
      <c r="D514" s="23" t="s">
        <v>3303</v>
      </c>
      <c r="E514" s="23" t="s">
        <v>3317</v>
      </c>
      <c r="F514" s="23" t="s">
        <v>3305</v>
      </c>
      <c r="G514" s="93">
        <v>3</v>
      </c>
      <c r="H514" s="93">
        <v>1</v>
      </c>
      <c r="I514" s="23"/>
      <c r="J514" s="23"/>
      <c r="K514" s="23"/>
      <c r="L514" s="23" t="s">
        <v>4143</v>
      </c>
      <c r="M514" s="23" t="s">
        <v>3715</v>
      </c>
    </row>
    <row r="515" spans="2:13" ht="15" customHeight="1" x14ac:dyDescent="0.25">
      <c r="B515" s="35" t="s">
        <v>4210</v>
      </c>
      <c r="C515" s="23" t="s">
        <v>4211</v>
      </c>
      <c r="D515" s="23" t="s">
        <v>3303</v>
      </c>
      <c r="E515" s="23" t="s">
        <v>3317</v>
      </c>
      <c r="F515" s="23" t="s">
        <v>3305</v>
      </c>
      <c r="G515" s="93">
        <v>3</v>
      </c>
      <c r="H515" s="93">
        <v>1</v>
      </c>
      <c r="I515" s="23"/>
      <c r="J515" s="23"/>
      <c r="K515" s="23"/>
      <c r="L515" s="23" t="s">
        <v>4143</v>
      </c>
      <c r="M515" s="23" t="s">
        <v>3715</v>
      </c>
    </row>
    <row r="516" spans="2:13" ht="15" customHeight="1" x14ac:dyDescent="0.25">
      <c r="B516" s="35" t="s">
        <v>4212</v>
      </c>
      <c r="C516" s="23" t="s">
        <v>4213</v>
      </c>
      <c r="D516" s="23" t="s">
        <v>3303</v>
      </c>
      <c r="E516" s="23" t="s">
        <v>3317</v>
      </c>
      <c r="F516" s="23" t="s">
        <v>3305</v>
      </c>
      <c r="G516" s="93">
        <v>3</v>
      </c>
      <c r="H516" s="93">
        <v>1</v>
      </c>
      <c r="I516" s="23"/>
      <c r="J516" s="23"/>
      <c r="K516" s="23"/>
      <c r="L516" s="23" t="s">
        <v>4143</v>
      </c>
      <c r="M516" s="23" t="s">
        <v>3715</v>
      </c>
    </row>
    <row r="517" spans="2:13" ht="15" customHeight="1" x14ac:dyDescent="0.25">
      <c r="B517" s="35" t="s">
        <v>4214</v>
      </c>
      <c r="C517" s="23" t="s">
        <v>4215</v>
      </c>
      <c r="D517" s="23" t="s">
        <v>3303</v>
      </c>
      <c r="E517" s="23" t="s">
        <v>3317</v>
      </c>
      <c r="F517" s="23" t="s">
        <v>3305</v>
      </c>
      <c r="G517" s="93">
        <v>3</v>
      </c>
      <c r="H517" s="93">
        <v>1</v>
      </c>
      <c r="I517" s="23"/>
      <c r="J517" s="23"/>
      <c r="K517" s="23"/>
      <c r="L517" s="23" t="s">
        <v>4143</v>
      </c>
      <c r="M517" s="23" t="s">
        <v>3715</v>
      </c>
    </row>
    <row r="518" spans="2:13" ht="15" customHeight="1" x14ac:dyDescent="0.25">
      <c r="B518" s="35" t="s">
        <v>4216</v>
      </c>
      <c r="C518" s="23" t="s">
        <v>4217</v>
      </c>
      <c r="D518" s="23" t="s">
        <v>3303</v>
      </c>
      <c r="E518" s="23" t="s">
        <v>3317</v>
      </c>
      <c r="F518" s="23" t="s">
        <v>3305</v>
      </c>
      <c r="G518" s="93">
        <v>0</v>
      </c>
      <c r="H518" s="93">
        <v>1</v>
      </c>
      <c r="I518" s="23"/>
      <c r="J518" s="23"/>
      <c r="K518" s="23"/>
      <c r="L518" s="23" t="s">
        <v>4143</v>
      </c>
      <c r="M518" s="23"/>
    </row>
    <row r="519" spans="2:13" ht="15" customHeight="1" x14ac:dyDescent="0.25">
      <c r="B519" s="35" t="s">
        <v>4143</v>
      </c>
      <c r="C519" s="23" t="s">
        <v>4218</v>
      </c>
      <c r="D519" s="23" t="s">
        <v>3303</v>
      </c>
      <c r="E519" s="23" t="s">
        <v>3367</v>
      </c>
      <c r="F519" s="23" t="s">
        <v>3305</v>
      </c>
      <c r="G519" s="93">
        <v>0</v>
      </c>
      <c r="H519" s="93">
        <v>0</v>
      </c>
      <c r="I519" s="23"/>
      <c r="J519" s="23"/>
      <c r="K519" s="23"/>
      <c r="L519" s="23" t="s">
        <v>4030</v>
      </c>
      <c r="M519" s="23"/>
    </row>
    <row r="520" spans="2:13" ht="15" customHeight="1" x14ac:dyDescent="0.25">
      <c r="B520" s="35" t="s">
        <v>4219</v>
      </c>
      <c r="C520" s="23" t="s">
        <v>4220</v>
      </c>
      <c r="D520" s="23" t="s">
        <v>3303</v>
      </c>
      <c r="E520" s="23" t="s">
        <v>3304</v>
      </c>
      <c r="F520" s="23" t="s">
        <v>3305</v>
      </c>
      <c r="G520" s="93">
        <v>0</v>
      </c>
      <c r="H520" s="93">
        <v>1</v>
      </c>
      <c r="I520" s="23"/>
      <c r="J520" s="23"/>
      <c r="K520" s="23"/>
      <c r="L520" s="23" t="s">
        <v>4221</v>
      </c>
      <c r="M520" s="23"/>
    </row>
    <row r="521" spans="2:13" ht="15" customHeight="1" x14ac:dyDescent="0.25">
      <c r="B521" s="35" t="s">
        <v>4222</v>
      </c>
      <c r="C521" s="23" t="s">
        <v>4223</v>
      </c>
      <c r="D521" s="23" t="s">
        <v>3303</v>
      </c>
      <c r="E521" s="23" t="s">
        <v>3317</v>
      </c>
      <c r="F521" s="23" t="s">
        <v>3305</v>
      </c>
      <c r="G521" s="93">
        <v>3</v>
      </c>
      <c r="H521" s="93">
        <v>1</v>
      </c>
      <c r="I521" s="23"/>
      <c r="J521" s="23"/>
      <c r="K521" s="23"/>
      <c r="L521" s="23" t="s">
        <v>4221</v>
      </c>
      <c r="M521" s="23" t="s">
        <v>3715</v>
      </c>
    </row>
    <row r="522" spans="2:13" ht="15" customHeight="1" x14ac:dyDescent="0.25">
      <c r="B522" s="35" t="s">
        <v>4221</v>
      </c>
      <c r="C522" s="23" t="s">
        <v>4224</v>
      </c>
      <c r="D522" s="23" t="s">
        <v>3303</v>
      </c>
      <c r="E522" s="23" t="s">
        <v>3367</v>
      </c>
      <c r="F522" s="23" t="s">
        <v>3305</v>
      </c>
      <c r="G522" s="93">
        <v>0</v>
      </c>
      <c r="H522" s="93">
        <v>1</v>
      </c>
      <c r="I522" s="23"/>
      <c r="J522" s="23"/>
      <c r="K522" s="23"/>
      <c r="L522" s="23" t="s">
        <v>4030</v>
      </c>
      <c r="M522" s="23"/>
    </row>
    <row r="523" spans="2:13" ht="15" customHeight="1" x14ac:dyDescent="0.25">
      <c r="B523" s="35" t="s">
        <v>4225</v>
      </c>
      <c r="C523" s="23" t="s">
        <v>4226</v>
      </c>
      <c r="D523" s="23" t="s">
        <v>3303</v>
      </c>
      <c r="E523" s="23" t="s">
        <v>3304</v>
      </c>
      <c r="F523" s="23" t="s">
        <v>3305</v>
      </c>
      <c r="G523" s="93">
        <v>0</v>
      </c>
      <c r="H523" s="93">
        <v>1</v>
      </c>
      <c r="I523" s="23"/>
      <c r="J523" s="23"/>
      <c r="K523" s="23"/>
      <c r="L523" s="23" t="s">
        <v>4227</v>
      </c>
      <c r="M523" s="23"/>
    </row>
    <row r="524" spans="2:13" ht="15" customHeight="1" x14ac:dyDescent="0.25">
      <c r="B524" s="35" t="s">
        <v>4228</v>
      </c>
      <c r="C524" s="23" t="s">
        <v>4229</v>
      </c>
      <c r="D524" s="23" t="s">
        <v>3303</v>
      </c>
      <c r="E524" s="23" t="s">
        <v>3317</v>
      </c>
      <c r="F524" s="23" t="s">
        <v>3305</v>
      </c>
      <c r="G524" s="93">
        <v>3</v>
      </c>
      <c r="H524" s="93">
        <v>0</v>
      </c>
      <c r="I524" s="23"/>
      <c r="J524" s="23"/>
      <c r="K524" s="23"/>
      <c r="L524" s="23" t="s">
        <v>4227</v>
      </c>
      <c r="M524" s="23" t="s">
        <v>3715</v>
      </c>
    </row>
    <row r="525" spans="2:13" ht="15" customHeight="1" x14ac:dyDescent="0.25">
      <c r="B525" s="35" t="s">
        <v>4230</v>
      </c>
      <c r="C525" s="23" t="s">
        <v>4231</v>
      </c>
      <c r="D525" s="23" t="s">
        <v>3303</v>
      </c>
      <c r="E525" s="23" t="s">
        <v>3317</v>
      </c>
      <c r="F525" s="23" t="s">
        <v>3305</v>
      </c>
      <c r="G525" s="93">
        <v>3</v>
      </c>
      <c r="H525" s="93">
        <v>0</v>
      </c>
      <c r="I525" s="23"/>
      <c r="J525" s="23"/>
      <c r="K525" s="23"/>
      <c r="L525" s="23" t="s">
        <v>4227</v>
      </c>
      <c r="M525" s="23" t="s">
        <v>3715</v>
      </c>
    </row>
    <row r="526" spans="2:13" ht="15" customHeight="1" x14ac:dyDescent="0.25">
      <c r="B526" s="35" t="s">
        <v>4232</v>
      </c>
      <c r="C526" s="23" t="s">
        <v>4233</v>
      </c>
      <c r="D526" s="23" t="s">
        <v>3303</v>
      </c>
      <c r="E526" s="23" t="s">
        <v>3317</v>
      </c>
      <c r="F526" s="23" t="s">
        <v>3305</v>
      </c>
      <c r="G526" s="93">
        <v>0</v>
      </c>
      <c r="H526" s="93">
        <v>0</v>
      </c>
      <c r="I526" s="23"/>
      <c r="J526" s="23"/>
      <c r="K526" s="23"/>
      <c r="L526" s="23" t="s">
        <v>4227</v>
      </c>
      <c r="M526" s="23" t="s">
        <v>3715</v>
      </c>
    </row>
    <row r="527" spans="2:13" ht="15" customHeight="1" x14ac:dyDescent="0.25">
      <c r="B527" s="35" t="s">
        <v>4234</v>
      </c>
      <c r="C527" s="23" t="s">
        <v>4235</v>
      </c>
      <c r="D527" s="23" t="s">
        <v>3303</v>
      </c>
      <c r="E527" s="23" t="s">
        <v>3317</v>
      </c>
      <c r="F527" s="23" t="s">
        <v>3305</v>
      </c>
      <c r="G527" s="93">
        <v>0</v>
      </c>
      <c r="H527" s="93">
        <v>0</v>
      </c>
      <c r="I527" s="23"/>
      <c r="J527" s="23"/>
      <c r="K527" s="23"/>
      <c r="L527" s="23" t="s">
        <v>4227</v>
      </c>
      <c r="M527" s="23" t="s">
        <v>3715</v>
      </c>
    </row>
    <row r="528" spans="2:13" ht="15" customHeight="1" x14ac:dyDescent="0.25">
      <c r="B528" s="35" t="s">
        <v>4236</v>
      </c>
      <c r="C528" s="23" t="s">
        <v>4237</v>
      </c>
      <c r="D528" s="23" t="s">
        <v>3303</v>
      </c>
      <c r="E528" s="23" t="s">
        <v>3317</v>
      </c>
      <c r="F528" s="23" t="s">
        <v>3305</v>
      </c>
      <c r="G528" s="93">
        <v>0</v>
      </c>
      <c r="H528" s="93">
        <v>0</v>
      </c>
      <c r="I528" s="23"/>
      <c r="J528" s="23"/>
      <c r="K528" s="23"/>
      <c r="L528" s="23" t="s">
        <v>4227</v>
      </c>
      <c r="M528" s="23" t="s">
        <v>3715</v>
      </c>
    </row>
    <row r="529" spans="2:13" ht="15" customHeight="1" x14ac:dyDescent="0.25">
      <c r="B529" s="35" t="s">
        <v>4238</v>
      </c>
      <c r="C529" s="23" t="s">
        <v>4239</v>
      </c>
      <c r="D529" s="23" t="s">
        <v>3303</v>
      </c>
      <c r="E529" s="23" t="s">
        <v>3317</v>
      </c>
      <c r="F529" s="23" t="s">
        <v>3305</v>
      </c>
      <c r="G529" s="93">
        <v>0</v>
      </c>
      <c r="H529" s="93">
        <v>0</v>
      </c>
      <c r="I529" s="23"/>
      <c r="J529" s="23"/>
      <c r="K529" s="23"/>
      <c r="L529" s="23" t="s">
        <v>4227</v>
      </c>
      <c r="M529" s="23" t="s">
        <v>3715</v>
      </c>
    </row>
    <row r="530" spans="2:13" ht="15" customHeight="1" x14ac:dyDescent="0.25">
      <c r="B530" s="35" t="s">
        <v>4240</v>
      </c>
      <c r="C530" s="23" t="s">
        <v>4241</v>
      </c>
      <c r="D530" s="23" t="s">
        <v>3303</v>
      </c>
      <c r="E530" s="23" t="s">
        <v>3317</v>
      </c>
      <c r="F530" s="23" t="s">
        <v>3305</v>
      </c>
      <c r="G530" s="93">
        <v>0</v>
      </c>
      <c r="H530" s="93">
        <v>0</v>
      </c>
      <c r="I530" s="23"/>
      <c r="J530" s="23"/>
      <c r="K530" s="23"/>
      <c r="L530" s="23" t="s">
        <v>4227</v>
      </c>
      <c r="M530" s="23" t="s">
        <v>3715</v>
      </c>
    </row>
    <row r="531" spans="2:13" ht="15" customHeight="1" x14ac:dyDescent="0.25">
      <c r="B531" s="35" t="s">
        <v>4227</v>
      </c>
      <c r="C531" s="23" t="s">
        <v>4242</v>
      </c>
      <c r="D531" s="23" t="s">
        <v>3303</v>
      </c>
      <c r="E531" s="23" t="s">
        <v>3367</v>
      </c>
      <c r="F531" s="23" t="s">
        <v>3305</v>
      </c>
      <c r="G531" s="93">
        <v>0</v>
      </c>
      <c r="H531" s="93">
        <v>1</v>
      </c>
      <c r="I531" s="23"/>
      <c r="J531" s="23"/>
      <c r="K531" s="23"/>
      <c r="L531" s="23" t="s">
        <v>4030</v>
      </c>
      <c r="M531" s="23"/>
    </row>
    <row r="532" spans="2:13" ht="15" customHeight="1" x14ac:dyDescent="0.25">
      <c r="B532" s="35" t="s">
        <v>4243</v>
      </c>
      <c r="C532" s="23" t="s">
        <v>4244</v>
      </c>
      <c r="D532" s="23" t="s">
        <v>3303</v>
      </c>
      <c r="E532" s="23" t="s">
        <v>3304</v>
      </c>
      <c r="F532" s="23" t="s">
        <v>3305</v>
      </c>
      <c r="G532" s="93">
        <v>0</v>
      </c>
      <c r="H532" s="93">
        <v>0</v>
      </c>
      <c r="I532" s="23"/>
      <c r="J532" s="23"/>
      <c r="K532" s="23"/>
      <c r="L532" s="23" t="s">
        <v>4245</v>
      </c>
      <c r="M532" s="23"/>
    </row>
    <row r="533" spans="2:13" ht="15" customHeight="1" x14ac:dyDescent="0.25">
      <c r="B533" s="35" t="s">
        <v>4246</v>
      </c>
      <c r="C533" s="23" t="s">
        <v>4247</v>
      </c>
      <c r="D533" s="23" t="s">
        <v>3303</v>
      </c>
      <c r="E533" s="23" t="s">
        <v>3317</v>
      </c>
      <c r="F533" s="23" t="s">
        <v>3305</v>
      </c>
      <c r="G533" s="93">
        <v>0</v>
      </c>
      <c r="H533" s="93">
        <v>0</v>
      </c>
      <c r="I533" s="23"/>
      <c r="J533" s="23"/>
      <c r="K533" s="23"/>
      <c r="L533" s="23" t="s">
        <v>4245</v>
      </c>
      <c r="M533" s="23" t="s">
        <v>3715</v>
      </c>
    </row>
    <row r="534" spans="2:13" ht="15" customHeight="1" x14ac:dyDescent="0.25">
      <c r="B534" s="35" t="s">
        <v>4248</v>
      </c>
      <c r="C534" s="23" t="s">
        <v>4249</v>
      </c>
      <c r="D534" s="23" t="s">
        <v>3303</v>
      </c>
      <c r="E534" s="23" t="s">
        <v>3317</v>
      </c>
      <c r="F534" s="23" t="s">
        <v>3305</v>
      </c>
      <c r="G534" s="93">
        <v>0</v>
      </c>
      <c r="H534" s="93">
        <v>0</v>
      </c>
      <c r="I534" s="23"/>
      <c r="J534" s="23"/>
      <c r="K534" s="23"/>
      <c r="L534" s="23" t="s">
        <v>4245</v>
      </c>
      <c r="M534" s="23" t="s">
        <v>3715</v>
      </c>
    </row>
    <row r="535" spans="2:13" ht="15" customHeight="1" x14ac:dyDescent="0.25">
      <c r="B535" s="35" t="s">
        <v>4250</v>
      </c>
      <c r="C535" s="23" t="s">
        <v>4251</v>
      </c>
      <c r="D535" s="23" t="s">
        <v>3303</v>
      </c>
      <c r="E535" s="23" t="s">
        <v>3317</v>
      </c>
      <c r="F535" s="23" t="s">
        <v>3305</v>
      </c>
      <c r="G535" s="93">
        <v>0</v>
      </c>
      <c r="H535" s="93">
        <v>0</v>
      </c>
      <c r="I535" s="23"/>
      <c r="J535" s="23"/>
      <c r="K535" s="23"/>
      <c r="L535" s="23" t="s">
        <v>4245</v>
      </c>
      <c r="M535" s="23" t="s">
        <v>3715</v>
      </c>
    </row>
    <row r="536" spans="2:13" ht="15" customHeight="1" x14ac:dyDescent="0.25">
      <c r="B536" s="35" t="s">
        <v>4252</v>
      </c>
      <c r="C536" s="23" t="s">
        <v>4253</v>
      </c>
      <c r="D536" s="23" t="s">
        <v>3303</v>
      </c>
      <c r="E536" s="23" t="s">
        <v>3317</v>
      </c>
      <c r="F536" s="23" t="s">
        <v>3305</v>
      </c>
      <c r="G536" s="93">
        <v>0</v>
      </c>
      <c r="H536" s="93">
        <v>0</v>
      </c>
      <c r="I536" s="23"/>
      <c r="J536" s="23"/>
      <c r="K536" s="23"/>
      <c r="L536" s="23" t="s">
        <v>4245</v>
      </c>
      <c r="M536" s="23" t="s">
        <v>3715</v>
      </c>
    </row>
    <row r="537" spans="2:13" ht="15" customHeight="1" x14ac:dyDescent="0.25">
      <c r="B537" s="35" t="s">
        <v>4254</v>
      </c>
      <c r="C537" s="23" t="s">
        <v>4255</v>
      </c>
      <c r="D537" s="23" t="s">
        <v>3303</v>
      </c>
      <c r="E537" s="23" t="s">
        <v>3317</v>
      </c>
      <c r="F537" s="23" t="s">
        <v>3305</v>
      </c>
      <c r="G537" s="93">
        <v>0</v>
      </c>
      <c r="H537" s="93">
        <v>0</v>
      </c>
      <c r="I537" s="23"/>
      <c r="J537" s="23"/>
      <c r="K537" s="23"/>
      <c r="L537" s="23" t="s">
        <v>4245</v>
      </c>
      <c r="M537" s="23" t="s">
        <v>3715</v>
      </c>
    </row>
    <row r="538" spans="2:13" ht="15" customHeight="1" x14ac:dyDescent="0.25">
      <c r="B538" s="35" t="s">
        <v>4256</v>
      </c>
      <c r="C538" s="23" t="s">
        <v>4257</v>
      </c>
      <c r="D538" s="23" t="s">
        <v>3303</v>
      </c>
      <c r="E538" s="23" t="s">
        <v>3317</v>
      </c>
      <c r="F538" s="23" t="s">
        <v>3305</v>
      </c>
      <c r="G538" s="93">
        <v>0</v>
      </c>
      <c r="H538" s="93">
        <v>0</v>
      </c>
      <c r="I538" s="23"/>
      <c r="J538" s="23"/>
      <c r="K538" s="23"/>
      <c r="L538" s="23" t="s">
        <v>4245</v>
      </c>
      <c r="M538" s="23" t="s">
        <v>3715</v>
      </c>
    </row>
    <row r="539" spans="2:13" ht="15" customHeight="1" x14ac:dyDescent="0.25">
      <c r="B539" s="35" t="s">
        <v>4258</v>
      </c>
      <c r="C539" s="23" t="s">
        <v>4259</v>
      </c>
      <c r="D539" s="23" t="s">
        <v>3303</v>
      </c>
      <c r="E539" s="23" t="s">
        <v>3317</v>
      </c>
      <c r="F539" s="23" t="s">
        <v>3305</v>
      </c>
      <c r="G539" s="93">
        <v>0</v>
      </c>
      <c r="H539" s="93">
        <v>0</v>
      </c>
      <c r="I539" s="23"/>
      <c r="J539" s="23"/>
      <c r="K539" s="23"/>
      <c r="L539" s="23" t="s">
        <v>4245</v>
      </c>
      <c r="M539" s="23" t="s">
        <v>3715</v>
      </c>
    </row>
    <row r="540" spans="2:13" ht="15" customHeight="1" x14ac:dyDescent="0.25">
      <c r="B540" s="35" t="s">
        <v>4260</v>
      </c>
      <c r="C540" s="23" t="s">
        <v>4261</v>
      </c>
      <c r="D540" s="23" t="s">
        <v>3303</v>
      </c>
      <c r="E540" s="23" t="s">
        <v>3317</v>
      </c>
      <c r="F540" s="23" t="s">
        <v>3305</v>
      </c>
      <c r="G540" s="93">
        <v>0</v>
      </c>
      <c r="H540" s="93">
        <v>0</v>
      </c>
      <c r="I540" s="23"/>
      <c r="J540" s="23"/>
      <c r="K540" s="23"/>
      <c r="L540" s="23" t="s">
        <v>4245</v>
      </c>
      <c r="M540" s="23" t="s">
        <v>3715</v>
      </c>
    </row>
    <row r="541" spans="2:13" ht="15" customHeight="1" x14ac:dyDescent="0.25">
      <c r="B541" s="35" t="s">
        <v>4262</v>
      </c>
      <c r="C541" s="23" t="s">
        <v>4263</v>
      </c>
      <c r="D541" s="23" t="s">
        <v>3303</v>
      </c>
      <c r="E541" s="23" t="s">
        <v>3317</v>
      </c>
      <c r="F541" s="23" t="s">
        <v>3305</v>
      </c>
      <c r="G541" s="93">
        <v>0</v>
      </c>
      <c r="H541" s="93">
        <v>0</v>
      </c>
      <c r="I541" s="23"/>
      <c r="J541" s="23"/>
      <c r="K541" s="23"/>
      <c r="L541" s="23" t="s">
        <v>4245</v>
      </c>
      <c r="M541" s="23" t="s">
        <v>3715</v>
      </c>
    </row>
    <row r="542" spans="2:13" ht="15" customHeight="1" x14ac:dyDescent="0.25">
      <c r="B542" s="35" t="s">
        <v>4264</v>
      </c>
      <c r="C542" s="23" t="s">
        <v>4265</v>
      </c>
      <c r="D542" s="23" t="s">
        <v>3303</v>
      </c>
      <c r="E542" s="23" t="s">
        <v>3317</v>
      </c>
      <c r="F542" s="23" t="s">
        <v>3305</v>
      </c>
      <c r="G542" s="93">
        <v>0</v>
      </c>
      <c r="H542" s="93">
        <v>0</v>
      </c>
      <c r="I542" s="23"/>
      <c r="J542" s="23"/>
      <c r="K542" s="23"/>
      <c r="L542" s="23" t="s">
        <v>4245</v>
      </c>
      <c r="M542" s="23" t="s">
        <v>3715</v>
      </c>
    </row>
    <row r="543" spans="2:13" ht="15" customHeight="1" x14ac:dyDescent="0.25">
      <c r="B543" s="35" t="s">
        <v>4266</v>
      </c>
      <c r="C543" s="23" t="s">
        <v>4267</v>
      </c>
      <c r="D543" s="23" t="s">
        <v>3303</v>
      </c>
      <c r="E543" s="23" t="s">
        <v>3317</v>
      </c>
      <c r="F543" s="23" t="s">
        <v>3305</v>
      </c>
      <c r="G543" s="93">
        <v>0</v>
      </c>
      <c r="H543" s="93">
        <v>0</v>
      </c>
      <c r="I543" s="23"/>
      <c r="J543" s="23"/>
      <c r="K543" s="23"/>
      <c r="L543" s="23" t="s">
        <v>4245</v>
      </c>
      <c r="M543" s="23" t="s">
        <v>3715</v>
      </c>
    </row>
    <row r="544" spans="2:13" ht="15" customHeight="1" x14ac:dyDescent="0.25">
      <c r="B544" s="35" t="s">
        <v>4268</v>
      </c>
      <c r="C544" s="23" t="s">
        <v>4269</v>
      </c>
      <c r="D544" s="23" t="s">
        <v>3303</v>
      </c>
      <c r="E544" s="23" t="s">
        <v>3317</v>
      </c>
      <c r="F544" s="23" t="s">
        <v>3305</v>
      </c>
      <c r="G544" s="93">
        <v>0</v>
      </c>
      <c r="H544" s="93">
        <v>0</v>
      </c>
      <c r="I544" s="23"/>
      <c r="J544" s="23"/>
      <c r="K544" s="23"/>
      <c r="L544" s="23" t="s">
        <v>4245</v>
      </c>
      <c r="M544" s="23" t="s">
        <v>3715</v>
      </c>
    </row>
    <row r="545" spans="2:13" ht="15" customHeight="1" x14ac:dyDescent="0.25">
      <c r="B545" s="35" t="s">
        <v>4270</v>
      </c>
      <c r="C545" s="23" t="s">
        <v>4271</v>
      </c>
      <c r="D545" s="23" t="s">
        <v>3303</v>
      </c>
      <c r="E545" s="23" t="s">
        <v>3317</v>
      </c>
      <c r="F545" s="23" t="s">
        <v>3305</v>
      </c>
      <c r="G545" s="93">
        <v>0</v>
      </c>
      <c r="H545" s="93">
        <v>0</v>
      </c>
      <c r="I545" s="23"/>
      <c r="J545" s="23"/>
      <c r="K545" s="23"/>
      <c r="L545" s="23" t="s">
        <v>4245</v>
      </c>
      <c r="M545" s="23" t="s">
        <v>3715</v>
      </c>
    </row>
    <row r="546" spans="2:13" ht="15" customHeight="1" x14ac:dyDescent="0.25">
      <c r="B546" s="35" t="s">
        <v>4272</v>
      </c>
      <c r="C546" s="23" t="s">
        <v>4273</v>
      </c>
      <c r="D546" s="23" t="s">
        <v>3303</v>
      </c>
      <c r="E546" s="23" t="s">
        <v>3317</v>
      </c>
      <c r="F546" s="23" t="s">
        <v>3305</v>
      </c>
      <c r="G546" s="93">
        <v>0</v>
      </c>
      <c r="H546" s="93">
        <v>0</v>
      </c>
      <c r="I546" s="23"/>
      <c r="J546" s="23"/>
      <c r="K546" s="23"/>
      <c r="L546" s="23" t="s">
        <v>4245</v>
      </c>
      <c r="M546" s="23" t="s">
        <v>3715</v>
      </c>
    </row>
    <row r="547" spans="2:13" ht="15" customHeight="1" x14ac:dyDescent="0.25">
      <c r="B547" s="35" t="s">
        <v>4274</v>
      </c>
      <c r="C547" s="23" t="s">
        <v>4275</v>
      </c>
      <c r="D547" s="23" t="s">
        <v>3303</v>
      </c>
      <c r="E547" s="23" t="s">
        <v>3317</v>
      </c>
      <c r="F547" s="23" t="s">
        <v>3305</v>
      </c>
      <c r="G547" s="93">
        <v>0</v>
      </c>
      <c r="H547" s="93">
        <v>0</v>
      </c>
      <c r="I547" s="23"/>
      <c r="J547" s="23"/>
      <c r="K547" s="23"/>
      <c r="L547" s="23" t="s">
        <v>4245</v>
      </c>
      <c r="M547" s="23" t="s">
        <v>3715</v>
      </c>
    </row>
    <row r="548" spans="2:13" ht="15" customHeight="1" x14ac:dyDescent="0.25">
      <c r="B548" s="35" t="s">
        <v>4276</v>
      </c>
      <c r="C548" s="23" t="s">
        <v>4277</v>
      </c>
      <c r="D548" s="23" t="s">
        <v>3303</v>
      </c>
      <c r="E548" s="23" t="s">
        <v>3317</v>
      </c>
      <c r="F548" s="23" t="s">
        <v>3305</v>
      </c>
      <c r="G548" s="93">
        <v>0</v>
      </c>
      <c r="H548" s="93">
        <v>0</v>
      </c>
      <c r="I548" s="23"/>
      <c r="J548" s="23"/>
      <c r="K548" s="23"/>
      <c r="L548" s="23" t="s">
        <v>4245</v>
      </c>
      <c r="M548" s="23" t="s">
        <v>3715</v>
      </c>
    </row>
    <row r="549" spans="2:13" ht="15" customHeight="1" x14ac:dyDescent="0.25">
      <c r="B549" s="35" t="s">
        <v>4278</v>
      </c>
      <c r="C549" s="23" t="s">
        <v>4279</v>
      </c>
      <c r="D549" s="23" t="s">
        <v>3303</v>
      </c>
      <c r="E549" s="23" t="s">
        <v>3317</v>
      </c>
      <c r="F549" s="23" t="s">
        <v>3305</v>
      </c>
      <c r="G549" s="93">
        <v>0</v>
      </c>
      <c r="H549" s="93">
        <v>0</v>
      </c>
      <c r="I549" s="23"/>
      <c r="J549" s="23"/>
      <c r="K549" s="23"/>
      <c r="L549" s="23" t="s">
        <v>4245</v>
      </c>
      <c r="M549" s="23" t="s">
        <v>3715</v>
      </c>
    </row>
    <row r="550" spans="2:13" ht="15" customHeight="1" x14ac:dyDescent="0.25">
      <c r="B550" s="35" t="s">
        <v>4280</v>
      </c>
      <c r="C550" s="23" t="s">
        <v>4281</v>
      </c>
      <c r="D550" s="23" t="s">
        <v>3303</v>
      </c>
      <c r="E550" s="23" t="s">
        <v>3317</v>
      </c>
      <c r="F550" s="23" t="s">
        <v>3305</v>
      </c>
      <c r="G550" s="93">
        <v>0</v>
      </c>
      <c r="H550" s="93">
        <v>0</v>
      </c>
      <c r="I550" s="23"/>
      <c r="J550" s="23"/>
      <c r="K550" s="23"/>
      <c r="L550" s="23" t="s">
        <v>4245</v>
      </c>
      <c r="M550" s="23" t="s">
        <v>3715</v>
      </c>
    </row>
    <row r="551" spans="2:13" ht="15" customHeight="1" x14ac:dyDescent="0.25">
      <c r="B551" s="35" t="s">
        <v>4282</v>
      </c>
      <c r="C551" s="23" t="s">
        <v>4283</v>
      </c>
      <c r="D551" s="23" t="s">
        <v>3303</v>
      </c>
      <c r="E551" s="23" t="s">
        <v>3317</v>
      </c>
      <c r="F551" s="23" t="s">
        <v>3305</v>
      </c>
      <c r="G551" s="93">
        <v>0</v>
      </c>
      <c r="H551" s="93">
        <v>0</v>
      </c>
      <c r="I551" s="23"/>
      <c r="J551" s="23"/>
      <c r="K551" s="23"/>
      <c r="L551" s="23" t="s">
        <v>4245</v>
      </c>
      <c r="M551" s="23" t="s">
        <v>3715</v>
      </c>
    </row>
    <row r="552" spans="2:13" ht="15" customHeight="1" x14ac:dyDescent="0.25">
      <c r="B552" s="35" t="s">
        <v>4284</v>
      </c>
      <c r="C552" s="23" t="s">
        <v>4285</v>
      </c>
      <c r="D552" s="23" t="s">
        <v>3303</v>
      </c>
      <c r="E552" s="23" t="s">
        <v>3317</v>
      </c>
      <c r="F552" s="23" t="s">
        <v>3305</v>
      </c>
      <c r="G552" s="93">
        <v>0</v>
      </c>
      <c r="H552" s="93">
        <v>0</v>
      </c>
      <c r="I552" s="23"/>
      <c r="J552" s="23"/>
      <c r="K552" s="23"/>
      <c r="L552" s="23" t="s">
        <v>4245</v>
      </c>
      <c r="M552" s="23" t="s">
        <v>3715</v>
      </c>
    </row>
    <row r="553" spans="2:13" ht="15" customHeight="1" x14ac:dyDescent="0.25">
      <c r="B553" s="35" t="s">
        <v>4286</v>
      </c>
      <c r="C553" s="23" t="s">
        <v>4287</v>
      </c>
      <c r="D553" s="23" t="s">
        <v>3303</v>
      </c>
      <c r="E553" s="23" t="s">
        <v>3317</v>
      </c>
      <c r="F553" s="23" t="s">
        <v>3305</v>
      </c>
      <c r="G553" s="93">
        <v>0</v>
      </c>
      <c r="H553" s="93">
        <v>0</v>
      </c>
      <c r="I553" s="23"/>
      <c r="J553" s="23"/>
      <c r="K553" s="23"/>
      <c r="L553" s="23" t="s">
        <v>4245</v>
      </c>
      <c r="M553" s="23" t="s">
        <v>3715</v>
      </c>
    </row>
    <row r="554" spans="2:13" ht="15" customHeight="1" x14ac:dyDescent="0.25">
      <c r="B554" s="35" t="s">
        <v>4288</v>
      </c>
      <c r="C554" s="23" t="s">
        <v>4289</v>
      </c>
      <c r="D554" s="23" t="s">
        <v>3303</v>
      </c>
      <c r="E554" s="23" t="s">
        <v>3317</v>
      </c>
      <c r="F554" s="23" t="s">
        <v>3305</v>
      </c>
      <c r="G554" s="93">
        <v>0</v>
      </c>
      <c r="H554" s="93">
        <v>0</v>
      </c>
      <c r="I554" s="23"/>
      <c r="J554" s="23"/>
      <c r="K554" s="23"/>
      <c r="L554" s="23" t="s">
        <v>4245</v>
      </c>
      <c r="M554" s="23" t="s">
        <v>3715</v>
      </c>
    </row>
    <row r="555" spans="2:13" ht="15" customHeight="1" x14ac:dyDescent="0.25">
      <c r="B555" s="35" t="s">
        <v>4290</v>
      </c>
      <c r="C555" s="23" t="s">
        <v>4291</v>
      </c>
      <c r="D555" s="23" t="s">
        <v>3303</v>
      </c>
      <c r="E555" s="23" t="s">
        <v>3317</v>
      </c>
      <c r="F555" s="23" t="s">
        <v>3305</v>
      </c>
      <c r="G555" s="93">
        <v>0</v>
      </c>
      <c r="H555" s="93">
        <v>0</v>
      </c>
      <c r="I555" s="23"/>
      <c r="J555" s="23"/>
      <c r="K555" s="23"/>
      <c r="L555" s="23" t="s">
        <v>4245</v>
      </c>
      <c r="M555" s="23" t="s">
        <v>3715</v>
      </c>
    </row>
    <row r="556" spans="2:13" ht="15" customHeight="1" x14ac:dyDescent="0.25">
      <c r="B556" s="35" t="s">
        <v>4292</v>
      </c>
      <c r="C556" s="23" t="s">
        <v>4293</v>
      </c>
      <c r="D556" s="23" t="s">
        <v>3303</v>
      </c>
      <c r="E556" s="23" t="s">
        <v>3317</v>
      </c>
      <c r="F556" s="23" t="s">
        <v>3305</v>
      </c>
      <c r="G556" s="93">
        <v>0</v>
      </c>
      <c r="H556" s="93">
        <v>0</v>
      </c>
      <c r="I556" s="23"/>
      <c r="J556" s="23"/>
      <c r="K556" s="23"/>
      <c r="L556" s="23" t="s">
        <v>4245</v>
      </c>
      <c r="M556" s="23" t="s">
        <v>3715</v>
      </c>
    </row>
    <row r="557" spans="2:13" ht="15" customHeight="1" x14ac:dyDescent="0.25">
      <c r="B557" s="35" t="s">
        <v>4294</v>
      </c>
      <c r="C557" s="23" t="s">
        <v>4295</v>
      </c>
      <c r="D557" s="23" t="s">
        <v>3303</v>
      </c>
      <c r="E557" s="23" t="s">
        <v>3317</v>
      </c>
      <c r="F557" s="23" t="s">
        <v>3305</v>
      </c>
      <c r="G557" s="93">
        <v>0</v>
      </c>
      <c r="H557" s="93">
        <v>0</v>
      </c>
      <c r="I557" s="23"/>
      <c r="J557" s="23"/>
      <c r="K557" s="23"/>
      <c r="L557" s="23" t="s">
        <v>4245</v>
      </c>
      <c r="M557" s="23" t="s">
        <v>3715</v>
      </c>
    </row>
    <row r="558" spans="2:13" ht="15" customHeight="1" x14ac:dyDescent="0.25">
      <c r="B558" s="35" t="s">
        <v>4296</v>
      </c>
      <c r="C558" s="23" t="s">
        <v>4297</v>
      </c>
      <c r="D558" s="23" t="s">
        <v>3303</v>
      </c>
      <c r="E558" s="23" t="s">
        <v>3317</v>
      </c>
      <c r="F558" s="23" t="s">
        <v>3305</v>
      </c>
      <c r="G558" s="93">
        <v>0</v>
      </c>
      <c r="H558" s="93">
        <v>0</v>
      </c>
      <c r="I558" s="23"/>
      <c r="J558" s="23"/>
      <c r="K558" s="23"/>
      <c r="L558" s="23" t="s">
        <v>4245</v>
      </c>
      <c r="M558" s="23" t="s">
        <v>3715</v>
      </c>
    </row>
    <row r="559" spans="2:13" ht="15" customHeight="1" x14ac:dyDescent="0.25">
      <c r="B559" s="35" t="s">
        <v>4298</v>
      </c>
      <c r="C559" s="23" t="s">
        <v>4299</v>
      </c>
      <c r="D559" s="23" t="s">
        <v>3303</v>
      </c>
      <c r="E559" s="23" t="s">
        <v>3317</v>
      </c>
      <c r="F559" s="23" t="s">
        <v>3305</v>
      </c>
      <c r="G559" s="93">
        <v>0</v>
      </c>
      <c r="H559" s="93">
        <v>0</v>
      </c>
      <c r="I559" s="23"/>
      <c r="J559" s="23"/>
      <c r="K559" s="23"/>
      <c r="L559" s="23" t="s">
        <v>4245</v>
      </c>
      <c r="M559" s="23" t="s">
        <v>3715</v>
      </c>
    </row>
    <row r="560" spans="2:13" ht="15" customHeight="1" x14ac:dyDescent="0.25">
      <c r="B560" s="35" t="s">
        <v>4300</v>
      </c>
      <c r="C560" s="23" t="s">
        <v>4301</v>
      </c>
      <c r="D560" s="23" t="s">
        <v>3303</v>
      </c>
      <c r="E560" s="23" t="s">
        <v>3317</v>
      </c>
      <c r="F560" s="23" t="s">
        <v>3305</v>
      </c>
      <c r="G560" s="93">
        <v>0</v>
      </c>
      <c r="H560" s="93">
        <v>0</v>
      </c>
      <c r="I560" s="23"/>
      <c r="J560" s="23"/>
      <c r="K560" s="23"/>
      <c r="L560" s="23" t="s">
        <v>4245</v>
      </c>
      <c r="M560" s="23" t="s">
        <v>3715</v>
      </c>
    </row>
    <row r="561" spans="2:13" ht="15" customHeight="1" x14ac:dyDescent="0.25">
      <c r="B561" s="35" t="s">
        <v>4302</v>
      </c>
      <c r="C561" s="23" t="s">
        <v>4303</v>
      </c>
      <c r="D561" s="23" t="s">
        <v>3303</v>
      </c>
      <c r="E561" s="23" t="s">
        <v>3317</v>
      </c>
      <c r="F561" s="23" t="s">
        <v>3305</v>
      </c>
      <c r="G561" s="93">
        <v>0</v>
      </c>
      <c r="H561" s="93">
        <v>0</v>
      </c>
      <c r="I561" s="23"/>
      <c r="J561" s="23"/>
      <c r="K561" s="23"/>
      <c r="L561" s="23" t="s">
        <v>4245</v>
      </c>
      <c r="M561" s="23" t="s">
        <v>3715</v>
      </c>
    </row>
    <row r="562" spans="2:13" ht="15" customHeight="1" x14ac:dyDescent="0.25">
      <c r="B562" s="35" t="s">
        <v>4304</v>
      </c>
      <c r="C562" s="23" t="s">
        <v>4305</v>
      </c>
      <c r="D562" s="23" t="s">
        <v>3303</v>
      </c>
      <c r="E562" s="23" t="s">
        <v>3317</v>
      </c>
      <c r="F562" s="23" t="s">
        <v>3305</v>
      </c>
      <c r="G562" s="93">
        <v>0</v>
      </c>
      <c r="H562" s="93">
        <v>0</v>
      </c>
      <c r="I562" s="23"/>
      <c r="J562" s="23"/>
      <c r="K562" s="23"/>
      <c r="L562" s="23" t="s">
        <v>4245</v>
      </c>
      <c r="M562" s="23" t="s">
        <v>3715</v>
      </c>
    </row>
    <row r="563" spans="2:13" ht="15" customHeight="1" x14ac:dyDescent="0.25">
      <c r="B563" s="35" t="s">
        <v>4306</v>
      </c>
      <c r="C563" s="23" t="s">
        <v>4307</v>
      </c>
      <c r="D563" s="23" t="s">
        <v>3303</v>
      </c>
      <c r="E563" s="23" t="s">
        <v>3317</v>
      </c>
      <c r="F563" s="23" t="s">
        <v>3305</v>
      </c>
      <c r="G563" s="93">
        <v>0</v>
      </c>
      <c r="H563" s="93">
        <v>0</v>
      </c>
      <c r="I563" s="23"/>
      <c r="J563" s="23"/>
      <c r="K563" s="23"/>
      <c r="L563" s="23" t="s">
        <v>4245</v>
      </c>
      <c r="M563" s="23" t="s">
        <v>3715</v>
      </c>
    </row>
    <row r="564" spans="2:13" ht="15" customHeight="1" x14ac:dyDescent="0.25">
      <c r="B564" s="35" t="s">
        <v>4308</v>
      </c>
      <c r="C564" s="23" t="s">
        <v>4309</v>
      </c>
      <c r="D564" s="23" t="s">
        <v>3303</v>
      </c>
      <c r="E564" s="23" t="s">
        <v>3317</v>
      </c>
      <c r="F564" s="23" t="s">
        <v>3305</v>
      </c>
      <c r="G564" s="93">
        <v>0</v>
      </c>
      <c r="H564" s="93">
        <v>0</v>
      </c>
      <c r="I564" s="23"/>
      <c r="J564" s="23"/>
      <c r="K564" s="23"/>
      <c r="L564" s="23" t="s">
        <v>4245</v>
      </c>
      <c r="M564" s="23" t="s">
        <v>3715</v>
      </c>
    </row>
    <row r="565" spans="2:13" ht="15" customHeight="1" x14ac:dyDescent="0.25">
      <c r="B565" s="35" t="s">
        <v>4310</v>
      </c>
      <c r="C565" s="23" t="s">
        <v>4311</v>
      </c>
      <c r="D565" s="23" t="s">
        <v>3303</v>
      </c>
      <c r="E565" s="23" t="s">
        <v>3317</v>
      </c>
      <c r="F565" s="23" t="s">
        <v>3305</v>
      </c>
      <c r="G565" s="93">
        <v>0</v>
      </c>
      <c r="H565" s="93">
        <v>0</v>
      </c>
      <c r="I565" s="23"/>
      <c r="J565" s="23"/>
      <c r="K565" s="23"/>
      <c r="L565" s="23" t="s">
        <v>4245</v>
      </c>
      <c r="M565" s="23" t="s">
        <v>3715</v>
      </c>
    </row>
    <row r="566" spans="2:13" ht="15" customHeight="1" x14ac:dyDescent="0.25">
      <c r="B566" s="35" t="s">
        <v>4312</v>
      </c>
      <c r="C566" s="23" t="s">
        <v>4313</v>
      </c>
      <c r="D566" s="23" t="s">
        <v>3303</v>
      </c>
      <c r="E566" s="23" t="s">
        <v>3317</v>
      </c>
      <c r="F566" s="23" t="s">
        <v>3305</v>
      </c>
      <c r="G566" s="93">
        <v>0</v>
      </c>
      <c r="H566" s="93">
        <v>0</v>
      </c>
      <c r="I566" s="23"/>
      <c r="J566" s="23"/>
      <c r="K566" s="23"/>
      <c r="L566" s="23" t="s">
        <v>4245</v>
      </c>
      <c r="M566" s="23" t="s">
        <v>3715</v>
      </c>
    </row>
    <row r="567" spans="2:13" ht="15" customHeight="1" x14ac:dyDescent="0.25">
      <c r="B567" s="35" t="s">
        <v>4314</v>
      </c>
      <c r="C567" s="23" t="s">
        <v>4315</v>
      </c>
      <c r="D567" s="23" t="s">
        <v>3303</v>
      </c>
      <c r="E567" s="23" t="s">
        <v>3317</v>
      </c>
      <c r="F567" s="23" t="s">
        <v>3305</v>
      </c>
      <c r="G567" s="93">
        <v>0</v>
      </c>
      <c r="H567" s="93">
        <v>0</v>
      </c>
      <c r="I567" s="23"/>
      <c r="J567" s="23"/>
      <c r="K567" s="23"/>
      <c r="L567" s="23" t="s">
        <v>4245</v>
      </c>
      <c r="M567" s="23" t="s">
        <v>3715</v>
      </c>
    </row>
    <row r="568" spans="2:13" ht="15" customHeight="1" x14ac:dyDescent="0.25">
      <c r="B568" s="35" t="s">
        <v>4316</v>
      </c>
      <c r="C568" s="23" t="s">
        <v>4317</v>
      </c>
      <c r="D568" s="23" t="s">
        <v>3303</v>
      </c>
      <c r="E568" s="23" t="s">
        <v>3317</v>
      </c>
      <c r="F568" s="23" t="s">
        <v>3305</v>
      </c>
      <c r="G568" s="93">
        <v>0</v>
      </c>
      <c r="H568" s="93">
        <v>0</v>
      </c>
      <c r="I568" s="23"/>
      <c r="J568" s="23"/>
      <c r="K568" s="23"/>
      <c r="L568" s="23" t="s">
        <v>4245</v>
      </c>
      <c r="M568" s="23" t="s">
        <v>3715</v>
      </c>
    </row>
    <row r="569" spans="2:13" ht="15" customHeight="1" x14ac:dyDescent="0.25">
      <c r="B569" s="35" t="s">
        <v>4318</v>
      </c>
      <c r="C569" s="23" t="s">
        <v>4319</v>
      </c>
      <c r="D569" s="23" t="s">
        <v>3303</v>
      </c>
      <c r="E569" s="23" t="s">
        <v>3317</v>
      </c>
      <c r="F569" s="23" t="s">
        <v>3305</v>
      </c>
      <c r="G569" s="93">
        <v>0</v>
      </c>
      <c r="H569" s="93">
        <v>0</v>
      </c>
      <c r="I569" s="23"/>
      <c r="J569" s="23"/>
      <c r="K569" s="23"/>
      <c r="L569" s="23" t="s">
        <v>4245</v>
      </c>
      <c r="M569" s="23" t="s">
        <v>3715</v>
      </c>
    </row>
    <row r="570" spans="2:13" ht="15" customHeight="1" x14ac:dyDescent="0.25">
      <c r="B570" s="35" t="s">
        <v>4320</v>
      </c>
      <c r="C570" s="23" t="s">
        <v>4321</v>
      </c>
      <c r="D570" s="23" t="s">
        <v>3303</v>
      </c>
      <c r="E570" s="23" t="s">
        <v>3317</v>
      </c>
      <c r="F570" s="23" t="s">
        <v>3305</v>
      </c>
      <c r="G570" s="93">
        <v>0</v>
      </c>
      <c r="H570" s="93">
        <v>0</v>
      </c>
      <c r="I570" s="23"/>
      <c r="J570" s="23"/>
      <c r="K570" s="23"/>
      <c r="L570" s="23" t="s">
        <v>4245</v>
      </c>
      <c r="M570" s="23" t="s">
        <v>3715</v>
      </c>
    </row>
    <row r="571" spans="2:13" ht="15" customHeight="1" x14ac:dyDescent="0.25">
      <c r="B571" s="35" t="s">
        <v>4322</v>
      </c>
      <c r="C571" s="23" t="s">
        <v>4323</v>
      </c>
      <c r="D571" s="23" t="s">
        <v>3303</v>
      </c>
      <c r="E571" s="23" t="s">
        <v>3317</v>
      </c>
      <c r="F571" s="23" t="s">
        <v>3305</v>
      </c>
      <c r="G571" s="93">
        <v>0</v>
      </c>
      <c r="H571" s="93">
        <v>0</v>
      </c>
      <c r="I571" s="23"/>
      <c r="J571" s="23"/>
      <c r="K571" s="23"/>
      <c r="L571" s="23" t="s">
        <v>4245</v>
      </c>
      <c r="M571" s="23" t="s">
        <v>3715</v>
      </c>
    </row>
    <row r="572" spans="2:13" ht="15" customHeight="1" x14ac:dyDescent="0.25">
      <c r="B572" s="35" t="s">
        <v>4324</v>
      </c>
      <c r="C572" s="23" t="s">
        <v>4325</v>
      </c>
      <c r="D572" s="23" t="s">
        <v>3303</v>
      </c>
      <c r="E572" s="23" t="s">
        <v>3317</v>
      </c>
      <c r="F572" s="23" t="s">
        <v>3305</v>
      </c>
      <c r="G572" s="93">
        <v>0</v>
      </c>
      <c r="H572" s="93">
        <v>0</v>
      </c>
      <c r="I572" s="23"/>
      <c r="J572" s="23"/>
      <c r="K572" s="23"/>
      <c r="L572" s="23" t="s">
        <v>4245</v>
      </c>
      <c r="M572" s="23" t="s">
        <v>3715</v>
      </c>
    </row>
    <row r="573" spans="2:13" ht="15" customHeight="1" x14ac:dyDescent="0.25">
      <c r="B573" s="35" t="s">
        <v>4326</v>
      </c>
      <c r="C573" s="23" t="s">
        <v>4327</v>
      </c>
      <c r="D573" s="23" t="s">
        <v>3303</v>
      </c>
      <c r="E573" s="23" t="s">
        <v>3317</v>
      </c>
      <c r="F573" s="23" t="s">
        <v>3305</v>
      </c>
      <c r="G573" s="93">
        <v>0</v>
      </c>
      <c r="H573" s="93">
        <v>0</v>
      </c>
      <c r="I573" s="23"/>
      <c r="J573" s="23"/>
      <c r="K573" s="23"/>
      <c r="L573" s="23" t="s">
        <v>4245</v>
      </c>
      <c r="M573" s="23" t="s">
        <v>3715</v>
      </c>
    </row>
    <row r="574" spans="2:13" ht="15" customHeight="1" x14ac:dyDescent="0.25">
      <c r="B574" s="35" t="s">
        <v>4328</v>
      </c>
      <c r="C574" s="23" t="s">
        <v>4329</v>
      </c>
      <c r="D574" s="23" t="s">
        <v>3303</v>
      </c>
      <c r="E574" s="23" t="s">
        <v>3317</v>
      </c>
      <c r="F574" s="23" t="s">
        <v>3305</v>
      </c>
      <c r="G574" s="93">
        <v>0</v>
      </c>
      <c r="H574" s="93">
        <v>0</v>
      </c>
      <c r="I574" s="23"/>
      <c r="J574" s="23"/>
      <c r="K574" s="23"/>
      <c r="L574" s="23" t="s">
        <v>4245</v>
      </c>
      <c r="M574" s="23" t="s">
        <v>3715</v>
      </c>
    </row>
    <row r="575" spans="2:13" ht="15" customHeight="1" x14ac:dyDescent="0.25">
      <c r="B575" s="35" t="s">
        <v>4330</v>
      </c>
      <c r="C575" s="23" t="s">
        <v>4331</v>
      </c>
      <c r="D575" s="23" t="s">
        <v>3303</v>
      </c>
      <c r="E575" s="23" t="s">
        <v>3317</v>
      </c>
      <c r="F575" s="23" t="s">
        <v>3305</v>
      </c>
      <c r="G575" s="93">
        <v>0</v>
      </c>
      <c r="H575" s="93">
        <v>0</v>
      </c>
      <c r="I575" s="23"/>
      <c r="J575" s="23"/>
      <c r="K575" s="23"/>
      <c r="L575" s="23" t="s">
        <v>4245</v>
      </c>
      <c r="M575" s="23" t="s">
        <v>3715</v>
      </c>
    </row>
    <row r="576" spans="2:13" ht="15" customHeight="1" x14ac:dyDescent="0.25">
      <c r="B576" s="35" t="s">
        <v>4332</v>
      </c>
      <c r="C576" s="23" t="s">
        <v>4333</v>
      </c>
      <c r="D576" s="23" t="s">
        <v>3303</v>
      </c>
      <c r="E576" s="23" t="s">
        <v>3317</v>
      </c>
      <c r="F576" s="23" t="s">
        <v>3305</v>
      </c>
      <c r="G576" s="93">
        <v>0</v>
      </c>
      <c r="H576" s="93">
        <v>0</v>
      </c>
      <c r="I576" s="23"/>
      <c r="J576" s="23"/>
      <c r="K576" s="23"/>
      <c r="L576" s="23" t="s">
        <v>4245</v>
      </c>
      <c r="M576" s="23" t="s">
        <v>3715</v>
      </c>
    </row>
    <row r="577" spans="2:13" ht="15" customHeight="1" x14ac:dyDescent="0.25">
      <c r="B577" s="35" t="s">
        <v>4334</v>
      </c>
      <c r="C577" s="23" t="s">
        <v>4335</v>
      </c>
      <c r="D577" s="23" t="s">
        <v>3303</v>
      </c>
      <c r="E577" s="23" t="s">
        <v>3317</v>
      </c>
      <c r="F577" s="23" t="s">
        <v>3305</v>
      </c>
      <c r="G577" s="93">
        <v>0</v>
      </c>
      <c r="H577" s="93">
        <v>0</v>
      </c>
      <c r="I577" s="23"/>
      <c r="J577" s="23"/>
      <c r="K577" s="23"/>
      <c r="L577" s="23" t="s">
        <v>4245</v>
      </c>
      <c r="M577" s="23" t="s">
        <v>3715</v>
      </c>
    </row>
    <row r="578" spans="2:13" ht="15" customHeight="1" x14ac:dyDescent="0.25">
      <c r="B578" s="35" t="s">
        <v>4336</v>
      </c>
      <c r="C578" s="23" t="s">
        <v>4337</v>
      </c>
      <c r="D578" s="23" t="s">
        <v>3303</v>
      </c>
      <c r="E578" s="23" t="s">
        <v>3317</v>
      </c>
      <c r="F578" s="23" t="s">
        <v>3305</v>
      </c>
      <c r="G578" s="93">
        <v>0</v>
      </c>
      <c r="H578" s="93">
        <v>0</v>
      </c>
      <c r="I578" s="23"/>
      <c r="J578" s="23"/>
      <c r="K578" s="23"/>
      <c r="L578" s="23" t="s">
        <v>4245</v>
      </c>
      <c r="M578" s="23" t="s">
        <v>3715</v>
      </c>
    </row>
    <row r="579" spans="2:13" ht="15" customHeight="1" x14ac:dyDescent="0.25">
      <c r="B579" s="35" t="s">
        <v>4338</v>
      </c>
      <c r="C579" s="23" t="s">
        <v>4339</v>
      </c>
      <c r="D579" s="23" t="s">
        <v>3303</v>
      </c>
      <c r="E579" s="23" t="s">
        <v>3317</v>
      </c>
      <c r="F579" s="23" t="s">
        <v>3305</v>
      </c>
      <c r="G579" s="93">
        <v>0</v>
      </c>
      <c r="H579" s="93">
        <v>0</v>
      </c>
      <c r="I579" s="23"/>
      <c r="J579" s="23"/>
      <c r="K579" s="23"/>
      <c r="L579" s="23" t="s">
        <v>4245</v>
      </c>
      <c r="M579" s="23" t="s">
        <v>3715</v>
      </c>
    </row>
    <row r="580" spans="2:13" ht="15" customHeight="1" x14ac:dyDescent="0.25">
      <c r="B580" s="35" t="s">
        <v>4340</v>
      </c>
      <c r="C580" s="23" t="s">
        <v>4341</v>
      </c>
      <c r="D580" s="23" t="s">
        <v>3303</v>
      </c>
      <c r="E580" s="23" t="s">
        <v>3317</v>
      </c>
      <c r="F580" s="23" t="s">
        <v>3305</v>
      </c>
      <c r="G580" s="93">
        <v>0</v>
      </c>
      <c r="H580" s="93">
        <v>0</v>
      </c>
      <c r="I580" s="23"/>
      <c r="J580" s="23"/>
      <c r="K580" s="23"/>
      <c r="L580" s="23" t="s">
        <v>4245</v>
      </c>
      <c r="M580" s="23" t="s">
        <v>3715</v>
      </c>
    </row>
    <row r="581" spans="2:13" ht="15" customHeight="1" x14ac:dyDescent="0.25">
      <c r="B581" s="35" t="s">
        <v>4342</v>
      </c>
      <c r="C581" s="23" t="s">
        <v>4343</v>
      </c>
      <c r="D581" s="23" t="s">
        <v>3303</v>
      </c>
      <c r="E581" s="23" t="s">
        <v>3317</v>
      </c>
      <c r="F581" s="23" t="s">
        <v>3305</v>
      </c>
      <c r="G581" s="93">
        <v>0</v>
      </c>
      <c r="H581" s="93">
        <v>0</v>
      </c>
      <c r="I581" s="23"/>
      <c r="J581" s="23"/>
      <c r="K581" s="23"/>
      <c r="L581" s="23" t="s">
        <v>4245</v>
      </c>
      <c r="M581" s="23" t="s">
        <v>3715</v>
      </c>
    </row>
    <row r="582" spans="2:13" ht="15" customHeight="1" x14ac:dyDescent="0.25">
      <c r="B582" s="35" t="s">
        <v>4344</v>
      </c>
      <c r="C582" s="23" t="s">
        <v>4345</v>
      </c>
      <c r="D582" s="23" t="s">
        <v>3303</v>
      </c>
      <c r="E582" s="23" t="s">
        <v>3317</v>
      </c>
      <c r="F582" s="23" t="s">
        <v>3305</v>
      </c>
      <c r="G582" s="93">
        <v>0</v>
      </c>
      <c r="H582" s="93">
        <v>0</v>
      </c>
      <c r="I582" s="23"/>
      <c r="J582" s="23"/>
      <c r="K582" s="23"/>
      <c r="L582" s="23" t="s">
        <v>4245</v>
      </c>
      <c r="M582" s="23" t="s">
        <v>3715</v>
      </c>
    </row>
    <row r="583" spans="2:13" ht="15" customHeight="1" x14ac:dyDescent="0.25">
      <c r="B583" s="35" t="s">
        <v>4346</v>
      </c>
      <c r="C583" s="23" t="s">
        <v>4347</v>
      </c>
      <c r="D583" s="23" t="s">
        <v>3303</v>
      </c>
      <c r="E583" s="23" t="s">
        <v>3317</v>
      </c>
      <c r="F583" s="23" t="s">
        <v>3305</v>
      </c>
      <c r="G583" s="93">
        <v>0</v>
      </c>
      <c r="H583" s="93">
        <v>0</v>
      </c>
      <c r="I583" s="23"/>
      <c r="J583" s="23"/>
      <c r="K583" s="23"/>
      <c r="L583" s="23" t="s">
        <v>4245</v>
      </c>
      <c r="M583" s="23" t="s">
        <v>3715</v>
      </c>
    </row>
    <row r="584" spans="2:13" ht="15" customHeight="1" x14ac:dyDescent="0.25">
      <c r="B584" s="35" t="s">
        <v>4245</v>
      </c>
      <c r="C584" s="23" t="s">
        <v>4348</v>
      </c>
      <c r="D584" s="23" t="s">
        <v>3303</v>
      </c>
      <c r="E584" s="23" t="s">
        <v>3367</v>
      </c>
      <c r="F584" s="23" t="s">
        <v>3305</v>
      </c>
      <c r="G584" s="93">
        <v>0</v>
      </c>
      <c r="H584" s="93">
        <v>0</v>
      </c>
      <c r="I584" s="23"/>
      <c r="J584" s="23"/>
      <c r="K584" s="23"/>
      <c r="L584" s="23" t="s">
        <v>4030</v>
      </c>
      <c r="M584" s="23"/>
    </row>
    <row r="585" spans="2:13" ht="15" customHeight="1" x14ac:dyDescent="0.25">
      <c r="B585" s="35" t="s">
        <v>4349</v>
      </c>
      <c r="C585" s="23" t="s">
        <v>4350</v>
      </c>
      <c r="D585" s="23" t="s">
        <v>3303</v>
      </c>
      <c r="E585" s="23" t="s">
        <v>3304</v>
      </c>
      <c r="F585" s="23" t="s">
        <v>3305</v>
      </c>
      <c r="G585" s="93">
        <v>0</v>
      </c>
      <c r="H585" s="93">
        <v>0</v>
      </c>
      <c r="I585" s="23"/>
      <c r="J585" s="23"/>
      <c r="K585" s="23"/>
      <c r="L585" s="23" t="s">
        <v>4030</v>
      </c>
      <c r="M585" s="23"/>
    </row>
    <row r="586" spans="2:13" ht="15" customHeight="1" x14ac:dyDescent="0.25">
      <c r="B586" s="35" t="s">
        <v>4351</v>
      </c>
      <c r="C586" s="23" t="s">
        <v>4352</v>
      </c>
      <c r="D586" s="23" t="s">
        <v>3303</v>
      </c>
      <c r="E586" s="23" t="s">
        <v>3317</v>
      </c>
      <c r="F586" s="23" t="s">
        <v>3305</v>
      </c>
      <c r="G586" s="93">
        <v>0</v>
      </c>
      <c r="H586" s="93">
        <v>0</v>
      </c>
      <c r="I586" s="23"/>
      <c r="J586" s="23"/>
      <c r="K586" s="23"/>
      <c r="L586" s="23" t="s">
        <v>4353</v>
      </c>
      <c r="M586" s="23" t="s">
        <v>3715</v>
      </c>
    </row>
    <row r="587" spans="2:13" ht="15" customHeight="1" x14ac:dyDescent="0.25">
      <c r="B587" s="35" t="s">
        <v>4354</v>
      </c>
      <c r="C587" s="23" t="s">
        <v>4355</v>
      </c>
      <c r="D587" s="23" t="s">
        <v>3303</v>
      </c>
      <c r="E587" s="23" t="s">
        <v>3317</v>
      </c>
      <c r="F587" s="23" t="s">
        <v>3305</v>
      </c>
      <c r="G587" s="93">
        <v>0</v>
      </c>
      <c r="H587" s="93">
        <v>0</v>
      </c>
      <c r="I587" s="23"/>
      <c r="J587" s="23"/>
      <c r="K587" s="23"/>
      <c r="L587" s="23" t="s">
        <v>4353</v>
      </c>
      <c r="M587" s="23" t="s">
        <v>3715</v>
      </c>
    </row>
    <row r="588" spans="2:13" ht="15" customHeight="1" x14ac:dyDescent="0.25">
      <c r="B588" s="35" t="s">
        <v>4356</v>
      </c>
      <c r="C588" s="23" t="s">
        <v>4357</v>
      </c>
      <c r="D588" s="23" t="s">
        <v>3303</v>
      </c>
      <c r="E588" s="23" t="s">
        <v>3317</v>
      </c>
      <c r="F588" s="23" t="s">
        <v>3305</v>
      </c>
      <c r="G588" s="93">
        <v>0</v>
      </c>
      <c r="H588" s="93">
        <v>0</v>
      </c>
      <c r="I588" s="23"/>
      <c r="J588" s="23"/>
      <c r="K588" s="23"/>
      <c r="L588" s="23" t="s">
        <v>4353</v>
      </c>
      <c r="M588" s="23" t="s">
        <v>3715</v>
      </c>
    </row>
    <row r="589" spans="2:13" ht="15" customHeight="1" x14ac:dyDescent="0.25">
      <c r="B589" s="35" t="s">
        <v>4358</v>
      </c>
      <c r="C589" s="23" t="s">
        <v>4359</v>
      </c>
      <c r="D589" s="23" t="s">
        <v>3303</v>
      </c>
      <c r="E589" s="23" t="s">
        <v>3317</v>
      </c>
      <c r="F589" s="23" t="s">
        <v>3305</v>
      </c>
      <c r="G589" s="93">
        <v>0</v>
      </c>
      <c r="H589" s="93">
        <v>0</v>
      </c>
      <c r="I589" s="23"/>
      <c r="J589" s="23"/>
      <c r="K589" s="23"/>
      <c r="L589" s="23" t="s">
        <v>4353</v>
      </c>
      <c r="M589" s="23" t="s">
        <v>3715</v>
      </c>
    </row>
    <row r="590" spans="2:13" ht="15" customHeight="1" x14ac:dyDescent="0.25">
      <c r="B590" s="35" t="s">
        <v>4360</v>
      </c>
      <c r="C590" s="23" t="s">
        <v>4361</v>
      </c>
      <c r="D590" s="23" t="s">
        <v>3303</v>
      </c>
      <c r="E590" s="23" t="s">
        <v>3317</v>
      </c>
      <c r="F590" s="23" t="s">
        <v>3305</v>
      </c>
      <c r="G590" s="93">
        <v>0</v>
      </c>
      <c r="H590" s="93">
        <v>0</v>
      </c>
      <c r="I590" s="23"/>
      <c r="J590" s="23"/>
      <c r="K590" s="23"/>
      <c r="L590" s="23" t="s">
        <v>4353</v>
      </c>
      <c r="M590" s="23" t="s">
        <v>3715</v>
      </c>
    </row>
    <row r="591" spans="2:13" ht="15" customHeight="1" x14ac:dyDescent="0.25">
      <c r="B591" s="35" t="s">
        <v>4353</v>
      </c>
      <c r="C591" s="23" t="s">
        <v>4362</v>
      </c>
      <c r="D591" s="23" t="s">
        <v>3303</v>
      </c>
      <c r="E591" s="23" t="s">
        <v>3367</v>
      </c>
      <c r="F591" s="23" t="s">
        <v>3305</v>
      </c>
      <c r="G591" s="93">
        <v>0</v>
      </c>
      <c r="H591" s="93">
        <v>0</v>
      </c>
      <c r="I591" s="23"/>
      <c r="J591" s="23"/>
      <c r="K591" s="23"/>
      <c r="L591" s="23" t="s">
        <v>4030</v>
      </c>
      <c r="M591" s="23"/>
    </row>
    <row r="592" spans="2:13" ht="15" customHeight="1" x14ac:dyDescent="0.25">
      <c r="B592" s="35" t="s">
        <v>4363</v>
      </c>
      <c r="C592" s="23" t="s">
        <v>4364</v>
      </c>
      <c r="D592" s="23" t="s">
        <v>3303</v>
      </c>
      <c r="E592" s="23" t="s">
        <v>3304</v>
      </c>
      <c r="F592" s="23" t="s">
        <v>3305</v>
      </c>
      <c r="G592" s="93">
        <v>0</v>
      </c>
      <c r="H592" s="93">
        <v>0</v>
      </c>
      <c r="I592" s="23"/>
      <c r="J592" s="23"/>
      <c r="K592" s="23"/>
      <c r="L592" s="23" t="s">
        <v>4365</v>
      </c>
      <c r="M592" s="23"/>
    </row>
    <row r="593" spans="2:13" ht="15" customHeight="1" x14ac:dyDescent="0.25">
      <c r="B593" s="35" t="s">
        <v>4366</v>
      </c>
      <c r="C593" s="23" t="s">
        <v>4367</v>
      </c>
      <c r="D593" s="23" t="s">
        <v>3303</v>
      </c>
      <c r="E593" s="23" t="s">
        <v>3317</v>
      </c>
      <c r="F593" s="23" t="s">
        <v>3305</v>
      </c>
      <c r="G593" s="93">
        <v>0</v>
      </c>
      <c r="H593" s="93">
        <v>0</v>
      </c>
      <c r="I593" s="23"/>
      <c r="J593" s="23"/>
      <c r="K593" s="23"/>
      <c r="L593" s="23" t="s">
        <v>4365</v>
      </c>
      <c r="M593" s="23" t="s">
        <v>3715</v>
      </c>
    </row>
    <row r="594" spans="2:13" ht="15" customHeight="1" x14ac:dyDescent="0.25">
      <c r="B594" s="35" t="s">
        <v>4368</v>
      </c>
      <c r="C594" s="23" t="s">
        <v>4369</v>
      </c>
      <c r="D594" s="23" t="s">
        <v>3303</v>
      </c>
      <c r="E594" s="23" t="s">
        <v>3317</v>
      </c>
      <c r="F594" s="23" t="s">
        <v>3305</v>
      </c>
      <c r="G594" s="93">
        <v>0</v>
      </c>
      <c r="H594" s="93">
        <v>0</v>
      </c>
      <c r="I594" s="23"/>
      <c r="J594" s="23"/>
      <c r="K594" s="23"/>
      <c r="L594" s="23" t="s">
        <v>4365</v>
      </c>
      <c r="M594" s="23" t="s">
        <v>3715</v>
      </c>
    </row>
    <row r="595" spans="2:13" ht="15" customHeight="1" x14ac:dyDescent="0.25">
      <c r="B595" s="35" t="s">
        <v>4370</v>
      </c>
      <c r="C595" s="23" t="s">
        <v>4371</v>
      </c>
      <c r="D595" s="23" t="s">
        <v>3303</v>
      </c>
      <c r="E595" s="23" t="s">
        <v>3317</v>
      </c>
      <c r="F595" s="23" t="s">
        <v>3305</v>
      </c>
      <c r="G595" s="93">
        <v>0</v>
      </c>
      <c r="H595" s="93">
        <v>0</v>
      </c>
      <c r="I595" s="23"/>
      <c r="J595" s="23"/>
      <c r="K595" s="23"/>
      <c r="L595" s="23" t="s">
        <v>4365</v>
      </c>
      <c r="M595" s="23" t="s">
        <v>3715</v>
      </c>
    </row>
    <row r="596" spans="2:13" ht="15" customHeight="1" x14ac:dyDescent="0.25">
      <c r="B596" s="35" t="s">
        <v>4372</v>
      </c>
      <c r="C596" s="23" t="s">
        <v>4373</v>
      </c>
      <c r="D596" s="23" t="s">
        <v>3303</v>
      </c>
      <c r="E596" s="23" t="s">
        <v>3317</v>
      </c>
      <c r="F596" s="23" t="s">
        <v>3305</v>
      </c>
      <c r="G596" s="93">
        <v>0</v>
      </c>
      <c r="H596" s="93">
        <v>0</v>
      </c>
      <c r="I596" s="23"/>
      <c r="J596" s="23"/>
      <c r="K596" s="23"/>
      <c r="L596" s="23" t="s">
        <v>4365</v>
      </c>
      <c r="M596" s="23" t="s">
        <v>3715</v>
      </c>
    </row>
    <row r="597" spans="2:13" ht="15" customHeight="1" x14ac:dyDescent="0.25">
      <c r="B597" s="35" t="s">
        <v>4365</v>
      </c>
      <c r="C597" s="23" t="s">
        <v>4374</v>
      </c>
      <c r="D597" s="23" t="s">
        <v>3303</v>
      </c>
      <c r="E597" s="23" t="s">
        <v>3367</v>
      </c>
      <c r="F597" s="23" t="s">
        <v>3305</v>
      </c>
      <c r="G597" s="93">
        <v>0</v>
      </c>
      <c r="H597" s="93">
        <v>0</v>
      </c>
      <c r="I597" s="23"/>
      <c r="J597" s="23"/>
      <c r="K597" s="23"/>
      <c r="L597" s="23" t="s">
        <v>4030</v>
      </c>
      <c r="M597" s="23"/>
    </row>
    <row r="598" spans="2:13" ht="15" customHeight="1" x14ac:dyDescent="0.25">
      <c r="B598" s="35" t="s">
        <v>4375</v>
      </c>
      <c r="C598" s="23" t="s">
        <v>4376</v>
      </c>
      <c r="D598" s="23" t="s">
        <v>3303</v>
      </c>
      <c r="E598" s="23" t="s">
        <v>3304</v>
      </c>
      <c r="F598" s="23" t="s">
        <v>3305</v>
      </c>
      <c r="G598" s="93">
        <v>0</v>
      </c>
      <c r="H598" s="93">
        <v>0</v>
      </c>
      <c r="I598" s="23"/>
      <c r="J598" s="23"/>
      <c r="K598" s="23"/>
      <c r="L598" s="23" t="s">
        <v>4377</v>
      </c>
      <c r="M598" s="23"/>
    </row>
    <row r="599" spans="2:13" ht="15" customHeight="1" x14ac:dyDescent="0.25">
      <c r="B599" s="35" t="s">
        <v>4378</v>
      </c>
      <c r="C599" s="23" t="s">
        <v>4379</v>
      </c>
      <c r="D599" s="23" t="s">
        <v>3303</v>
      </c>
      <c r="E599" s="23" t="s">
        <v>3317</v>
      </c>
      <c r="F599" s="23" t="s">
        <v>3305</v>
      </c>
      <c r="G599" s="93">
        <v>0</v>
      </c>
      <c r="H599" s="93">
        <v>0</v>
      </c>
      <c r="I599" s="23"/>
      <c r="J599" s="23"/>
      <c r="K599" s="23"/>
      <c r="L599" s="23" t="s">
        <v>4377</v>
      </c>
      <c r="M599" s="23" t="s">
        <v>3715</v>
      </c>
    </row>
    <row r="600" spans="2:13" ht="15" customHeight="1" x14ac:dyDescent="0.25">
      <c r="B600" s="35" t="s">
        <v>4377</v>
      </c>
      <c r="C600" s="23" t="s">
        <v>4380</v>
      </c>
      <c r="D600" s="23" t="s">
        <v>3303</v>
      </c>
      <c r="E600" s="23" t="s">
        <v>3367</v>
      </c>
      <c r="F600" s="23" t="s">
        <v>3305</v>
      </c>
      <c r="G600" s="93">
        <v>0</v>
      </c>
      <c r="H600" s="93">
        <v>0</v>
      </c>
      <c r="I600" s="23"/>
      <c r="J600" s="23"/>
      <c r="K600" s="23"/>
      <c r="L600" s="23" t="s">
        <v>4030</v>
      </c>
      <c r="M600" s="23"/>
    </row>
    <row r="601" spans="2:13" ht="15" customHeight="1" x14ac:dyDescent="0.25">
      <c r="B601" s="35" t="s">
        <v>4381</v>
      </c>
      <c r="C601" s="23" t="s">
        <v>4382</v>
      </c>
      <c r="D601" s="23" t="s">
        <v>3303</v>
      </c>
      <c r="E601" s="23" t="s">
        <v>3304</v>
      </c>
      <c r="F601" s="23" t="s">
        <v>3305</v>
      </c>
      <c r="G601" s="93">
        <v>0</v>
      </c>
      <c r="H601" s="93">
        <v>0</v>
      </c>
      <c r="I601" s="23"/>
      <c r="J601" s="23"/>
      <c r="K601" s="23"/>
      <c r="L601" s="23" t="s">
        <v>4383</v>
      </c>
      <c r="M601" s="23"/>
    </row>
    <row r="602" spans="2:13" ht="15" customHeight="1" x14ac:dyDescent="0.25">
      <c r="B602" s="35" t="s">
        <v>4384</v>
      </c>
      <c r="C602" s="23" t="s">
        <v>4385</v>
      </c>
      <c r="D602" s="23" t="s">
        <v>3303</v>
      </c>
      <c r="E602" s="23" t="s">
        <v>3317</v>
      </c>
      <c r="F602" s="23" t="s">
        <v>3305</v>
      </c>
      <c r="G602" s="93">
        <v>0</v>
      </c>
      <c r="H602" s="93">
        <v>0</v>
      </c>
      <c r="I602" s="23"/>
      <c r="J602" s="23"/>
      <c r="K602" s="23"/>
      <c r="L602" s="23" t="s">
        <v>4383</v>
      </c>
      <c r="M602" s="23" t="s">
        <v>3715</v>
      </c>
    </row>
    <row r="603" spans="2:13" ht="15" customHeight="1" x14ac:dyDescent="0.25">
      <c r="B603" s="35" t="s">
        <v>4386</v>
      </c>
      <c r="C603" s="23" t="s">
        <v>4387</v>
      </c>
      <c r="D603" s="23" t="s">
        <v>3303</v>
      </c>
      <c r="E603" s="23" t="s">
        <v>3317</v>
      </c>
      <c r="F603" s="23" t="s">
        <v>3305</v>
      </c>
      <c r="G603" s="93">
        <v>0</v>
      </c>
      <c r="H603" s="93">
        <v>0</v>
      </c>
      <c r="I603" s="23"/>
      <c r="J603" s="23"/>
      <c r="K603" s="23"/>
      <c r="L603" s="23" t="s">
        <v>4383</v>
      </c>
      <c r="M603" s="23" t="s">
        <v>3715</v>
      </c>
    </row>
    <row r="604" spans="2:13" ht="15" customHeight="1" x14ac:dyDescent="0.25">
      <c r="B604" s="35" t="s">
        <v>4388</v>
      </c>
      <c r="C604" s="23" t="s">
        <v>4389</v>
      </c>
      <c r="D604" s="23" t="s">
        <v>3303</v>
      </c>
      <c r="E604" s="23" t="s">
        <v>3317</v>
      </c>
      <c r="F604" s="23" t="s">
        <v>3305</v>
      </c>
      <c r="G604" s="93">
        <v>0</v>
      </c>
      <c r="H604" s="93">
        <v>0</v>
      </c>
      <c r="I604" s="23"/>
      <c r="J604" s="23"/>
      <c r="K604" s="23"/>
      <c r="L604" s="23" t="s">
        <v>4383</v>
      </c>
      <c r="M604" s="23" t="s">
        <v>3715</v>
      </c>
    </row>
    <row r="605" spans="2:13" ht="15" customHeight="1" x14ac:dyDescent="0.25">
      <c r="B605" s="35" t="s">
        <v>4390</v>
      </c>
      <c r="C605" s="23" t="s">
        <v>4391</v>
      </c>
      <c r="D605" s="23" t="s">
        <v>3303</v>
      </c>
      <c r="E605" s="23" t="s">
        <v>3317</v>
      </c>
      <c r="F605" s="23" t="s">
        <v>3305</v>
      </c>
      <c r="G605" s="93">
        <v>0</v>
      </c>
      <c r="H605" s="93">
        <v>0</v>
      </c>
      <c r="I605" s="23"/>
      <c r="J605" s="23"/>
      <c r="K605" s="23"/>
      <c r="L605" s="23" t="s">
        <v>4383</v>
      </c>
      <c r="M605" s="23" t="s">
        <v>3715</v>
      </c>
    </row>
    <row r="606" spans="2:13" ht="15" customHeight="1" x14ac:dyDescent="0.25">
      <c r="B606" s="35" t="s">
        <v>4392</v>
      </c>
      <c r="C606" s="23" t="s">
        <v>4393</v>
      </c>
      <c r="D606" s="23" t="s">
        <v>3303</v>
      </c>
      <c r="E606" s="23" t="s">
        <v>3317</v>
      </c>
      <c r="F606" s="23" t="s">
        <v>3305</v>
      </c>
      <c r="G606" s="93">
        <v>0</v>
      </c>
      <c r="H606" s="93">
        <v>0</v>
      </c>
      <c r="I606" s="23"/>
      <c r="J606" s="23"/>
      <c r="K606" s="23"/>
      <c r="L606" s="23" t="s">
        <v>4383</v>
      </c>
      <c r="M606" s="23" t="s">
        <v>3715</v>
      </c>
    </row>
    <row r="607" spans="2:13" ht="15" customHeight="1" x14ac:dyDescent="0.25">
      <c r="B607" s="35" t="s">
        <v>4394</v>
      </c>
      <c r="C607" s="23" t="s">
        <v>4395</v>
      </c>
      <c r="D607" s="23" t="s">
        <v>3303</v>
      </c>
      <c r="E607" s="23" t="s">
        <v>3317</v>
      </c>
      <c r="F607" s="23" t="s">
        <v>3305</v>
      </c>
      <c r="G607" s="93">
        <v>0</v>
      </c>
      <c r="H607" s="93">
        <v>0</v>
      </c>
      <c r="I607" s="23"/>
      <c r="J607" s="23"/>
      <c r="K607" s="23"/>
      <c r="L607" s="23" t="s">
        <v>4383</v>
      </c>
      <c r="M607" s="23" t="s">
        <v>3715</v>
      </c>
    </row>
    <row r="608" spans="2:13" ht="15" customHeight="1" x14ac:dyDescent="0.25">
      <c r="B608" s="35" t="s">
        <v>4396</v>
      </c>
      <c r="C608" s="23" t="s">
        <v>4397</v>
      </c>
      <c r="D608" s="23" t="s">
        <v>3303</v>
      </c>
      <c r="E608" s="23" t="s">
        <v>3317</v>
      </c>
      <c r="F608" s="23" t="s">
        <v>3305</v>
      </c>
      <c r="G608" s="93">
        <v>0</v>
      </c>
      <c r="H608" s="93">
        <v>0</v>
      </c>
      <c r="I608" s="23"/>
      <c r="J608" s="23"/>
      <c r="K608" s="23"/>
      <c r="L608" s="23" t="s">
        <v>4383</v>
      </c>
      <c r="M608" s="23" t="s">
        <v>3715</v>
      </c>
    </row>
    <row r="609" spans="2:13" ht="15" customHeight="1" x14ac:dyDescent="0.25">
      <c r="B609" s="35" t="s">
        <v>4383</v>
      </c>
      <c r="C609" s="23" t="s">
        <v>4398</v>
      </c>
      <c r="D609" s="23" t="s">
        <v>3303</v>
      </c>
      <c r="E609" s="23" t="s">
        <v>3367</v>
      </c>
      <c r="F609" s="23" t="s">
        <v>3305</v>
      </c>
      <c r="G609" s="93">
        <v>0</v>
      </c>
      <c r="H609" s="93">
        <v>0</v>
      </c>
      <c r="I609" s="23"/>
      <c r="J609" s="23"/>
      <c r="K609" s="23"/>
      <c r="L609" s="23" t="s">
        <v>4030</v>
      </c>
      <c r="M609" s="23"/>
    </row>
    <row r="610" spans="2:13" ht="15" customHeight="1" x14ac:dyDescent="0.25">
      <c r="B610" s="35" t="s">
        <v>4399</v>
      </c>
      <c r="C610" s="23" t="s">
        <v>4400</v>
      </c>
      <c r="D610" s="23" t="s">
        <v>3303</v>
      </c>
      <c r="E610" s="23" t="s">
        <v>3304</v>
      </c>
      <c r="F610" s="23" t="s">
        <v>3305</v>
      </c>
      <c r="G610" s="93">
        <v>0</v>
      </c>
      <c r="H610" s="93">
        <v>0</v>
      </c>
      <c r="I610" s="23"/>
      <c r="J610" s="23"/>
      <c r="K610" s="23"/>
      <c r="L610" s="23" t="s">
        <v>4401</v>
      </c>
      <c r="M610" s="23"/>
    </row>
    <row r="611" spans="2:13" ht="15" customHeight="1" x14ac:dyDescent="0.25">
      <c r="B611" s="35" t="s">
        <v>4402</v>
      </c>
      <c r="C611" s="23" t="s">
        <v>4403</v>
      </c>
      <c r="D611" s="23" t="s">
        <v>3303</v>
      </c>
      <c r="E611" s="23" t="s">
        <v>3317</v>
      </c>
      <c r="F611" s="23" t="s">
        <v>3305</v>
      </c>
      <c r="G611" s="93">
        <v>0</v>
      </c>
      <c r="H611" s="93">
        <v>0</v>
      </c>
      <c r="I611" s="23"/>
      <c r="J611" s="23"/>
      <c r="K611" s="23"/>
      <c r="L611" s="23" t="s">
        <v>4401</v>
      </c>
      <c r="M611" s="23" t="s">
        <v>3715</v>
      </c>
    </row>
    <row r="612" spans="2:13" ht="15" customHeight="1" x14ac:dyDescent="0.25">
      <c r="B612" s="35" t="s">
        <v>4404</v>
      </c>
      <c r="C612" s="23" t="s">
        <v>4405</v>
      </c>
      <c r="D612" s="23" t="s">
        <v>3303</v>
      </c>
      <c r="E612" s="23" t="s">
        <v>3317</v>
      </c>
      <c r="F612" s="23" t="s">
        <v>3305</v>
      </c>
      <c r="G612" s="93">
        <v>0</v>
      </c>
      <c r="H612" s="93">
        <v>0</v>
      </c>
      <c r="I612" s="23"/>
      <c r="J612" s="23"/>
      <c r="K612" s="23"/>
      <c r="L612" s="23" t="s">
        <v>4401</v>
      </c>
      <c r="M612" s="23" t="s">
        <v>3715</v>
      </c>
    </row>
    <row r="613" spans="2:13" ht="15" customHeight="1" x14ac:dyDescent="0.25">
      <c r="B613" s="35" t="s">
        <v>4406</v>
      </c>
      <c r="C613" s="23" t="s">
        <v>4407</v>
      </c>
      <c r="D613" s="23" t="s">
        <v>3303</v>
      </c>
      <c r="E613" s="23" t="s">
        <v>3317</v>
      </c>
      <c r="F613" s="23" t="s">
        <v>3305</v>
      </c>
      <c r="G613" s="93">
        <v>0</v>
      </c>
      <c r="H613" s="93">
        <v>0</v>
      </c>
      <c r="I613" s="23"/>
      <c r="J613" s="23"/>
      <c r="K613" s="23"/>
      <c r="L613" s="23" t="s">
        <v>4401</v>
      </c>
      <c r="M613" s="23" t="s">
        <v>3715</v>
      </c>
    </row>
    <row r="614" spans="2:13" ht="15" customHeight="1" x14ac:dyDescent="0.25">
      <c r="B614" s="35" t="s">
        <v>4408</v>
      </c>
      <c r="C614" s="23" t="s">
        <v>4409</v>
      </c>
      <c r="D614" s="23" t="s">
        <v>3303</v>
      </c>
      <c r="E614" s="23" t="s">
        <v>3317</v>
      </c>
      <c r="F614" s="23" t="s">
        <v>3305</v>
      </c>
      <c r="G614" s="93">
        <v>0</v>
      </c>
      <c r="H614" s="93">
        <v>0</v>
      </c>
      <c r="I614" s="23"/>
      <c r="J614" s="23"/>
      <c r="K614" s="23"/>
      <c r="L614" s="23" t="s">
        <v>4401</v>
      </c>
      <c r="M614" s="23" t="s">
        <v>3715</v>
      </c>
    </row>
    <row r="615" spans="2:13" ht="15" customHeight="1" x14ac:dyDescent="0.25">
      <c r="B615" s="35" t="s">
        <v>4410</v>
      </c>
      <c r="C615" s="23" t="s">
        <v>4411</v>
      </c>
      <c r="D615" s="23" t="s">
        <v>3303</v>
      </c>
      <c r="E615" s="23" t="s">
        <v>3317</v>
      </c>
      <c r="F615" s="23" t="s">
        <v>3305</v>
      </c>
      <c r="G615" s="93">
        <v>3</v>
      </c>
      <c r="H615" s="93">
        <v>1</v>
      </c>
      <c r="I615" s="23"/>
      <c r="J615" s="23"/>
      <c r="K615" s="23"/>
      <c r="L615" s="23" t="s">
        <v>4401</v>
      </c>
      <c r="M615" s="23" t="s">
        <v>3715</v>
      </c>
    </row>
    <row r="616" spans="2:13" ht="15" customHeight="1" x14ac:dyDescent="0.25">
      <c r="B616" s="35" t="s">
        <v>4412</v>
      </c>
      <c r="C616" s="23" t="s">
        <v>4413</v>
      </c>
      <c r="D616" s="23" t="s">
        <v>3303</v>
      </c>
      <c r="E616" s="23" t="s">
        <v>3317</v>
      </c>
      <c r="F616" s="23" t="s">
        <v>3305</v>
      </c>
      <c r="G616" s="93">
        <v>3</v>
      </c>
      <c r="H616" s="93">
        <v>1</v>
      </c>
      <c r="I616" s="23"/>
      <c r="J616" s="23"/>
      <c r="K616" s="23"/>
      <c r="L616" s="23" t="s">
        <v>4401</v>
      </c>
      <c r="M616" s="23" t="s">
        <v>3715</v>
      </c>
    </row>
    <row r="617" spans="2:13" ht="15" customHeight="1" x14ac:dyDescent="0.25">
      <c r="B617" s="35" t="s">
        <v>4401</v>
      </c>
      <c r="C617" s="23" t="s">
        <v>4414</v>
      </c>
      <c r="D617" s="23" t="s">
        <v>3303</v>
      </c>
      <c r="E617" s="23" t="s">
        <v>3367</v>
      </c>
      <c r="F617" s="23" t="s">
        <v>3305</v>
      </c>
      <c r="G617" s="93">
        <v>0</v>
      </c>
      <c r="H617" s="93">
        <v>1</v>
      </c>
      <c r="I617" s="23"/>
      <c r="J617" s="23"/>
      <c r="K617" s="23"/>
      <c r="L617" s="23" t="s">
        <v>4030</v>
      </c>
      <c r="M617" s="23"/>
    </row>
    <row r="618" spans="2:13" ht="15" customHeight="1" x14ac:dyDescent="0.25">
      <c r="B618" s="35" t="s">
        <v>4415</v>
      </c>
      <c r="C618" s="23" t="s">
        <v>4416</v>
      </c>
      <c r="D618" s="23" t="s">
        <v>3303</v>
      </c>
      <c r="E618" s="23" t="s">
        <v>3304</v>
      </c>
      <c r="F618" s="23" t="s">
        <v>3305</v>
      </c>
      <c r="G618" s="93">
        <v>0</v>
      </c>
      <c r="H618" s="93">
        <v>0</v>
      </c>
      <c r="I618" s="23"/>
      <c r="J618" s="23"/>
      <c r="K618" s="23"/>
      <c r="L618" s="23" t="s">
        <v>4417</v>
      </c>
      <c r="M618" s="23"/>
    </row>
    <row r="619" spans="2:13" ht="15" customHeight="1" x14ac:dyDescent="0.25">
      <c r="B619" s="35" t="s">
        <v>4418</v>
      </c>
      <c r="C619" s="23" t="s">
        <v>4419</v>
      </c>
      <c r="D619" s="23" t="s">
        <v>3303</v>
      </c>
      <c r="E619" s="23" t="s">
        <v>3317</v>
      </c>
      <c r="F619" s="23" t="s">
        <v>3305</v>
      </c>
      <c r="G619" s="93">
        <v>0</v>
      </c>
      <c r="H619" s="93">
        <v>1</v>
      </c>
      <c r="I619" s="23"/>
      <c r="J619" s="23"/>
      <c r="K619" s="23"/>
      <c r="L619" s="23" t="s">
        <v>4417</v>
      </c>
      <c r="M619" s="23" t="s">
        <v>3715</v>
      </c>
    </row>
    <row r="620" spans="2:13" ht="15" customHeight="1" x14ac:dyDescent="0.25">
      <c r="B620" s="35" t="s">
        <v>4420</v>
      </c>
      <c r="C620" s="23" t="s">
        <v>4421</v>
      </c>
      <c r="D620" s="23" t="s">
        <v>3303</v>
      </c>
      <c r="E620" s="23" t="s">
        <v>3317</v>
      </c>
      <c r="F620" s="23" t="s">
        <v>3305</v>
      </c>
      <c r="G620" s="93">
        <v>3</v>
      </c>
      <c r="H620" s="93">
        <v>1</v>
      </c>
      <c r="I620" s="23"/>
      <c r="J620" s="23"/>
      <c r="K620" s="23"/>
      <c r="L620" s="23" t="s">
        <v>4417</v>
      </c>
      <c r="M620" s="23" t="s">
        <v>3715</v>
      </c>
    </row>
    <row r="621" spans="2:13" ht="15" customHeight="1" x14ac:dyDescent="0.25">
      <c r="B621" s="35" t="s">
        <v>4422</v>
      </c>
      <c r="C621" s="23" t="s">
        <v>4423</v>
      </c>
      <c r="D621" s="23" t="s">
        <v>3303</v>
      </c>
      <c r="E621" s="23" t="s">
        <v>3317</v>
      </c>
      <c r="F621" s="23" t="s">
        <v>3305</v>
      </c>
      <c r="G621" s="93">
        <v>3</v>
      </c>
      <c r="H621" s="93">
        <v>1</v>
      </c>
      <c r="I621" s="23"/>
      <c r="J621" s="23"/>
      <c r="K621" s="23"/>
      <c r="L621" s="23" t="s">
        <v>4417</v>
      </c>
      <c r="M621" s="23" t="s">
        <v>3715</v>
      </c>
    </row>
    <row r="622" spans="2:13" ht="15" customHeight="1" x14ac:dyDescent="0.25">
      <c r="B622" s="35" t="s">
        <v>4424</v>
      </c>
      <c r="C622" s="23" t="s">
        <v>4425</v>
      </c>
      <c r="D622" s="23" t="s">
        <v>3303</v>
      </c>
      <c r="E622" s="23" t="s">
        <v>3317</v>
      </c>
      <c r="F622" s="23" t="s">
        <v>3305</v>
      </c>
      <c r="G622" s="93">
        <v>3</v>
      </c>
      <c r="H622" s="93">
        <v>1</v>
      </c>
      <c r="I622" s="23"/>
      <c r="J622" s="23"/>
      <c r="K622" s="23"/>
      <c r="L622" s="23" t="s">
        <v>4417</v>
      </c>
      <c r="M622" s="23" t="s">
        <v>3715</v>
      </c>
    </row>
    <row r="623" spans="2:13" ht="15" customHeight="1" x14ac:dyDescent="0.25">
      <c r="B623" s="35" t="s">
        <v>4426</v>
      </c>
      <c r="C623" s="23" t="s">
        <v>4427</v>
      </c>
      <c r="D623" s="23" t="s">
        <v>3303</v>
      </c>
      <c r="E623" s="23" t="s">
        <v>3317</v>
      </c>
      <c r="F623" s="23" t="s">
        <v>3305</v>
      </c>
      <c r="G623" s="93">
        <v>3</v>
      </c>
      <c r="H623" s="93">
        <v>1</v>
      </c>
      <c r="I623" s="23"/>
      <c r="J623" s="23"/>
      <c r="K623" s="23"/>
      <c r="L623" s="23" t="s">
        <v>4417</v>
      </c>
      <c r="M623" s="23" t="s">
        <v>3715</v>
      </c>
    </row>
    <row r="624" spans="2:13" ht="15" customHeight="1" x14ac:dyDescent="0.25">
      <c r="B624" s="35" t="s">
        <v>4428</v>
      </c>
      <c r="C624" s="23" t="s">
        <v>4429</v>
      </c>
      <c r="D624" s="23" t="s">
        <v>3303</v>
      </c>
      <c r="E624" s="23" t="s">
        <v>3317</v>
      </c>
      <c r="F624" s="23" t="s">
        <v>3305</v>
      </c>
      <c r="G624" s="93">
        <v>0</v>
      </c>
      <c r="H624" s="93">
        <v>0</v>
      </c>
      <c r="I624" s="23"/>
      <c r="J624" s="23"/>
      <c r="K624" s="23"/>
      <c r="L624" s="23" t="s">
        <v>4417</v>
      </c>
      <c r="M624" s="23" t="s">
        <v>3715</v>
      </c>
    </row>
    <row r="625" spans="2:13" ht="15" customHeight="1" x14ac:dyDescent="0.25">
      <c r="B625" s="35" t="s">
        <v>4430</v>
      </c>
      <c r="C625" s="23" t="s">
        <v>4431</v>
      </c>
      <c r="D625" s="23" t="s">
        <v>3303</v>
      </c>
      <c r="E625" s="23" t="s">
        <v>3317</v>
      </c>
      <c r="F625" s="23" t="s">
        <v>3305</v>
      </c>
      <c r="G625" s="93">
        <v>0</v>
      </c>
      <c r="H625" s="93">
        <v>0</v>
      </c>
      <c r="I625" s="23"/>
      <c r="J625" s="23"/>
      <c r="K625" s="23"/>
      <c r="L625" s="23" t="s">
        <v>4417</v>
      </c>
      <c r="M625" s="23" t="s">
        <v>3715</v>
      </c>
    </row>
    <row r="626" spans="2:13" ht="15" customHeight="1" x14ac:dyDescent="0.25">
      <c r="B626" s="35" t="s">
        <v>4432</v>
      </c>
      <c r="C626" s="23" t="s">
        <v>4433</v>
      </c>
      <c r="D626" s="23" t="s">
        <v>3303</v>
      </c>
      <c r="E626" s="23" t="s">
        <v>3317</v>
      </c>
      <c r="F626" s="23" t="s">
        <v>3305</v>
      </c>
      <c r="G626" s="93">
        <v>0</v>
      </c>
      <c r="H626" s="93">
        <v>0</v>
      </c>
      <c r="I626" s="23"/>
      <c r="J626" s="23"/>
      <c r="K626" s="23"/>
      <c r="L626" s="23" t="s">
        <v>4417</v>
      </c>
      <c r="M626" s="23" t="s">
        <v>3715</v>
      </c>
    </row>
    <row r="627" spans="2:13" ht="15" customHeight="1" x14ac:dyDescent="0.25">
      <c r="B627" s="35" t="s">
        <v>4434</v>
      </c>
      <c r="C627" s="23" t="s">
        <v>4435</v>
      </c>
      <c r="D627" s="23" t="s">
        <v>3303</v>
      </c>
      <c r="E627" s="23" t="s">
        <v>3317</v>
      </c>
      <c r="F627" s="23" t="s">
        <v>3305</v>
      </c>
      <c r="G627" s="93">
        <v>0</v>
      </c>
      <c r="H627" s="93">
        <v>0</v>
      </c>
      <c r="I627" s="23"/>
      <c r="J627" s="23"/>
      <c r="K627" s="23"/>
      <c r="L627" s="23" t="s">
        <v>4417</v>
      </c>
      <c r="M627" s="23" t="s">
        <v>3715</v>
      </c>
    </row>
    <row r="628" spans="2:13" ht="15" customHeight="1" x14ac:dyDescent="0.25">
      <c r="B628" s="35" t="s">
        <v>4436</v>
      </c>
      <c r="C628" s="23" t="s">
        <v>4437</v>
      </c>
      <c r="D628" s="23" t="s">
        <v>3303</v>
      </c>
      <c r="E628" s="23" t="s">
        <v>3317</v>
      </c>
      <c r="F628" s="23" t="s">
        <v>3305</v>
      </c>
      <c r="G628" s="93">
        <v>0</v>
      </c>
      <c r="H628" s="93">
        <v>0</v>
      </c>
      <c r="I628" s="23"/>
      <c r="J628" s="23"/>
      <c r="K628" s="23"/>
      <c r="L628" s="23" t="s">
        <v>4417</v>
      </c>
      <c r="M628" s="23" t="s">
        <v>3715</v>
      </c>
    </row>
    <row r="629" spans="2:13" ht="15" customHeight="1" x14ac:dyDescent="0.25">
      <c r="B629" s="35" t="s">
        <v>4438</v>
      </c>
      <c r="C629" s="23" t="s">
        <v>4439</v>
      </c>
      <c r="D629" s="23" t="s">
        <v>3303</v>
      </c>
      <c r="E629" s="23" t="s">
        <v>3317</v>
      </c>
      <c r="F629" s="23" t="s">
        <v>3305</v>
      </c>
      <c r="G629" s="93">
        <v>0</v>
      </c>
      <c r="H629" s="93">
        <v>0</v>
      </c>
      <c r="I629" s="23"/>
      <c r="J629" s="23"/>
      <c r="K629" s="23"/>
      <c r="L629" s="23" t="s">
        <v>4417</v>
      </c>
      <c r="M629" s="23" t="s">
        <v>3715</v>
      </c>
    </row>
    <row r="630" spans="2:13" ht="15" customHeight="1" x14ac:dyDescent="0.25">
      <c r="B630" s="35" t="s">
        <v>4440</v>
      </c>
      <c r="C630" s="23" t="s">
        <v>4441</v>
      </c>
      <c r="D630" s="23" t="s">
        <v>3303</v>
      </c>
      <c r="E630" s="23" t="s">
        <v>3317</v>
      </c>
      <c r="F630" s="23" t="s">
        <v>3305</v>
      </c>
      <c r="G630" s="93">
        <v>0</v>
      </c>
      <c r="H630" s="93">
        <v>0</v>
      </c>
      <c r="I630" s="23"/>
      <c r="J630" s="23"/>
      <c r="K630" s="23"/>
      <c r="L630" s="23" t="s">
        <v>4417</v>
      </c>
      <c r="M630" s="23" t="s">
        <v>3715</v>
      </c>
    </row>
    <row r="631" spans="2:13" ht="15" customHeight="1" x14ac:dyDescent="0.25">
      <c r="B631" s="35" t="s">
        <v>4442</v>
      </c>
      <c r="C631" s="23" t="s">
        <v>4443</v>
      </c>
      <c r="D631" s="23" t="s">
        <v>3303</v>
      </c>
      <c r="E631" s="23" t="s">
        <v>3317</v>
      </c>
      <c r="F631" s="23" t="s">
        <v>3305</v>
      </c>
      <c r="G631" s="93">
        <v>0</v>
      </c>
      <c r="H631" s="93">
        <v>0</v>
      </c>
      <c r="I631" s="23"/>
      <c r="J631" s="23"/>
      <c r="K631" s="23"/>
      <c r="L631" s="23" t="s">
        <v>4417</v>
      </c>
      <c r="M631" s="23" t="s">
        <v>3715</v>
      </c>
    </row>
    <row r="632" spans="2:13" ht="15" customHeight="1" x14ac:dyDescent="0.25">
      <c r="B632" s="35" t="s">
        <v>4444</v>
      </c>
      <c r="C632" s="23" t="s">
        <v>4445</v>
      </c>
      <c r="D632" s="23" t="s">
        <v>3303</v>
      </c>
      <c r="E632" s="23" t="s">
        <v>3317</v>
      </c>
      <c r="F632" s="23" t="s">
        <v>3305</v>
      </c>
      <c r="G632" s="93">
        <v>0</v>
      </c>
      <c r="H632" s="93">
        <v>1</v>
      </c>
      <c r="I632" s="23"/>
      <c r="J632" s="23"/>
      <c r="K632" s="23"/>
      <c r="L632" s="23" t="s">
        <v>4417</v>
      </c>
      <c r="M632" s="23" t="s">
        <v>3715</v>
      </c>
    </row>
    <row r="633" spans="2:13" ht="15" customHeight="1" x14ac:dyDescent="0.25">
      <c r="B633" s="35" t="s">
        <v>4446</v>
      </c>
      <c r="C633" s="23" t="s">
        <v>4447</v>
      </c>
      <c r="D633" s="23" t="s">
        <v>3303</v>
      </c>
      <c r="E633" s="23" t="s">
        <v>3317</v>
      </c>
      <c r="F633" s="23" t="s">
        <v>3305</v>
      </c>
      <c r="G633" s="93">
        <v>0</v>
      </c>
      <c r="H633" s="93">
        <v>1</v>
      </c>
      <c r="I633" s="23"/>
      <c r="J633" s="23"/>
      <c r="K633" s="23"/>
      <c r="L633" s="23" t="s">
        <v>4417</v>
      </c>
      <c r="M633" s="23" t="s">
        <v>3715</v>
      </c>
    </row>
    <row r="634" spans="2:13" ht="15" customHeight="1" x14ac:dyDescent="0.25">
      <c r="B634" s="35" t="s">
        <v>4448</v>
      </c>
      <c r="C634" s="23" t="s">
        <v>4449</v>
      </c>
      <c r="D634" s="23" t="s">
        <v>3303</v>
      </c>
      <c r="E634" s="23" t="s">
        <v>3317</v>
      </c>
      <c r="F634" s="23" t="s">
        <v>3305</v>
      </c>
      <c r="G634" s="93">
        <v>0</v>
      </c>
      <c r="H634" s="93">
        <v>1</v>
      </c>
      <c r="I634" s="23"/>
      <c r="J634" s="23"/>
      <c r="K634" s="23"/>
      <c r="L634" s="23" t="s">
        <v>4417</v>
      </c>
      <c r="M634" s="23" t="s">
        <v>3715</v>
      </c>
    </row>
    <row r="635" spans="2:13" ht="15" customHeight="1" x14ac:dyDescent="0.25">
      <c r="B635" s="35" t="s">
        <v>4450</v>
      </c>
      <c r="C635" s="23" t="s">
        <v>4451</v>
      </c>
      <c r="D635" s="23" t="s">
        <v>3303</v>
      </c>
      <c r="E635" s="23" t="s">
        <v>3317</v>
      </c>
      <c r="F635" s="23" t="s">
        <v>3305</v>
      </c>
      <c r="G635" s="93">
        <v>0</v>
      </c>
      <c r="H635" s="93">
        <v>1</v>
      </c>
      <c r="I635" s="23"/>
      <c r="J635" s="23"/>
      <c r="K635" s="23"/>
      <c r="L635" s="23" t="s">
        <v>4417</v>
      </c>
      <c r="M635" s="23" t="s">
        <v>3715</v>
      </c>
    </row>
    <row r="636" spans="2:13" ht="15" customHeight="1" x14ac:dyDescent="0.25">
      <c r="B636" s="35" t="s">
        <v>4452</v>
      </c>
      <c r="C636" s="23" t="s">
        <v>4453</v>
      </c>
      <c r="D636" s="23" t="s">
        <v>3303</v>
      </c>
      <c r="E636" s="23" t="s">
        <v>3317</v>
      </c>
      <c r="F636" s="23" t="s">
        <v>3305</v>
      </c>
      <c r="G636" s="93">
        <v>3</v>
      </c>
      <c r="H636" s="93">
        <v>1</v>
      </c>
      <c r="I636" s="23"/>
      <c r="J636" s="23"/>
      <c r="K636" s="23"/>
      <c r="L636" s="23" t="s">
        <v>4417</v>
      </c>
      <c r="M636" s="23" t="s">
        <v>3715</v>
      </c>
    </row>
    <row r="637" spans="2:13" ht="15" customHeight="1" x14ac:dyDescent="0.25">
      <c r="B637" s="35" t="s">
        <v>4454</v>
      </c>
      <c r="C637" s="23" t="s">
        <v>4455</v>
      </c>
      <c r="D637" s="23" t="s">
        <v>3303</v>
      </c>
      <c r="E637" s="23" t="s">
        <v>3317</v>
      </c>
      <c r="F637" s="23" t="s">
        <v>3305</v>
      </c>
      <c r="G637" s="93">
        <v>3</v>
      </c>
      <c r="H637" s="93">
        <v>1</v>
      </c>
      <c r="I637" s="23"/>
      <c r="J637" s="23"/>
      <c r="K637" s="23"/>
      <c r="L637" s="23" t="s">
        <v>4417</v>
      </c>
      <c r="M637" s="23" t="s">
        <v>3715</v>
      </c>
    </row>
    <row r="638" spans="2:13" ht="15" customHeight="1" x14ac:dyDescent="0.25">
      <c r="B638" s="35" t="s">
        <v>4456</v>
      </c>
      <c r="C638" s="23" t="s">
        <v>4457</v>
      </c>
      <c r="D638" s="23" t="s">
        <v>3303</v>
      </c>
      <c r="E638" s="23" t="s">
        <v>3317</v>
      </c>
      <c r="F638" s="23" t="s">
        <v>3305</v>
      </c>
      <c r="G638" s="93">
        <v>0</v>
      </c>
      <c r="H638" s="93">
        <v>1</v>
      </c>
      <c r="I638" s="23"/>
      <c r="J638" s="23"/>
      <c r="K638" s="23"/>
      <c r="L638" s="23" t="s">
        <v>4417</v>
      </c>
      <c r="M638" s="23"/>
    </row>
    <row r="639" spans="2:13" ht="15" customHeight="1" x14ac:dyDescent="0.25">
      <c r="B639" s="35" t="s">
        <v>4417</v>
      </c>
      <c r="C639" s="23" t="s">
        <v>4458</v>
      </c>
      <c r="D639" s="23" t="s">
        <v>3303</v>
      </c>
      <c r="E639" s="23" t="s">
        <v>3367</v>
      </c>
      <c r="F639" s="23" t="s">
        <v>3305</v>
      </c>
      <c r="G639" s="93">
        <v>0</v>
      </c>
      <c r="H639" s="93">
        <v>0</v>
      </c>
      <c r="I639" s="23"/>
      <c r="J639" s="23"/>
      <c r="K639" s="23"/>
      <c r="L639" s="23" t="s">
        <v>4030</v>
      </c>
      <c r="M639" s="23"/>
    </row>
    <row r="640" spans="2:13" ht="15" customHeight="1" x14ac:dyDescent="0.25">
      <c r="B640" s="35" t="s">
        <v>4459</v>
      </c>
      <c r="C640" s="23" t="s">
        <v>4460</v>
      </c>
      <c r="D640" s="23" t="s">
        <v>3303</v>
      </c>
      <c r="E640" s="23" t="s">
        <v>3304</v>
      </c>
      <c r="F640" s="23" t="s">
        <v>3305</v>
      </c>
      <c r="G640" s="93">
        <v>0</v>
      </c>
      <c r="H640" s="93">
        <v>0</v>
      </c>
      <c r="I640" s="23"/>
      <c r="J640" s="23"/>
      <c r="K640" s="23"/>
      <c r="L640" s="23" t="s">
        <v>4461</v>
      </c>
      <c r="M640" s="23"/>
    </row>
    <row r="641" spans="2:13" ht="15" customHeight="1" x14ac:dyDescent="0.25">
      <c r="B641" s="35" t="s">
        <v>4462</v>
      </c>
      <c r="C641" s="23" t="s">
        <v>4463</v>
      </c>
      <c r="D641" s="23" t="s">
        <v>3303</v>
      </c>
      <c r="E641" s="23" t="s">
        <v>3317</v>
      </c>
      <c r="F641" s="23" t="s">
        <v>3305</v>
      </c>
      <c r="G641" s="93">
        <v>0</v>
      </c>
      <c r="H641" s="93">
        <v>0</v>
      </c>
      <c r="I641" s="23"/>
      <c r="J641" s="23"/>
      <c r="K641" s="23"/>
      <c r="L641" s="23" t="s">
        <v>4461</v>
      </c>
      <c r="M641" s="23" t="s">
        <v>3715</v>
      </c>
    </row>
    <row r="642" spans="2:13" ht="15" customHeight="1" x14ac:dyDescent="0.25">
      <c r="B642" s="35" t="s">
        <v>4464</v>
      </c>
      <c r="C642" s="23" t="s">
        <v>4465</v>
      </c>
      <c r="D642" s="23" t="s">
        <v>3303</v>
      </c>
      <c r="E642" s="23" t="s">
        <v>3317</v>
      </c>
      <c r="F642" s="23" t="s">
        <v>3305</v>
      </c>
      <c r="G642" s="93">
        <v>0</v>
      </c>
      <c r="H642" s="93">
        <v>0</v>
      </c>
      <c r="I642" s="23"/>
      <c r="J642" s="23"/>
      <c r="K642" s="23"/>
      <c r="L642" s="23" t="s">
        <v>4461</v>
      </c>
      <c r="M642" s="23" t="s">
        <v>3715</v>
      </c>
    </row>
    <row r="643" spans="2:13" ht="15" customHeight="1" x14ac:dyDescent="0.25">
      <c r="B643" s="35" t="s">
        <v>4466</v>
      </c>
      <c r="C643" s="23" t="s">
        <v>4467</v>
      </c>
      <c r="D643" s="23" t="s">
        <v>3303</v>
      </c>
      <c r="E643" s="23" t="s">
        <v>3317</v>
      </c>
      <c r="F643" s="23" t="s">
        <v>3305</v>
      </c>
      <c r="G643" s="93">
        <v>0</v>
      </c>
      <c r="H643" s="93">
        <v>0</v>
      </c>
      <c r="I643" s="23"/>
      <c r="J643" s="23"/>
      <c r="K643" s="23"/>
      <c r="L643" s="23" t="s">
        <v>4461</v>
      </c>
      <c r="M643" s="23" t="s">
        <v>3715</v>
      </c>
    </row>
    <row r="644" spans="2:13" ht="15" customHeight="1" x14ac:dyDescent="0.25">
      <c r="B644" s="35" t="s">
        <v>4468</v>
      </c>
      <c r="C644" s="23" t="s">
        <v>4469</v>
      </c>
      <c r="D644" s="23" t="s">
        <v>3303</v>
      </c>
      <c r="E644" s="23" t="s">
        <v>3317</v>
      </c>
      <c r="F644" s="23" t="s">
        <v>3305</v>
      </c>
      <c r="G644" s="93">
        <v>0</v>
      </c>
      <c r="H644" s="93">
        <v>0</v>
      </c>
      <c r="I644" s="23"/>
      <c r="J644" s="23"/>
      <c r="K644" s="23"/>
      <c r="L644" s="23" t="s">
        <v>4461</v>
      </c>
      <c r="M644" s="23" t="s">
        <v>3715</v>
      </c>
    </row>
    <row r="645" spans="2:13" ht="15" customHeight="1" x14ac:dyDescent="0.25">
      <c r="B645" s="35" t="s">
        <v>4470</v>
      </c>
      <c r="C645" s="23" t="s">
        <v>4471</v>
      </c>
      <c r="D645" s="23" t="s">
        <v>3303</v>
      </c>
      <c r="E645" s="23" t="s">
        <v>3317</v>
      </c>
      <c r="F645" s="23" t="s">
        <v>3305</v>
      </c>
      <c r="G645" s="93">
        <v>0</v>
      </c>
      <c r="H645" s="93">
        <v>0</v>
      </c>
      <c r="I645" s="23"/>
      <c r="J645" s="23"/>
      <c r="K645" s="23"/>
      <c r="L645" s="23" t="s">
        <v>4461</v>
      </c>
      <c r="M645" s="23" t="s">
        <v>3715</v>
      </c>
    </row>
    <row r="646" spans="2:13" ht="15" customHeight="1" x14ac:dyDescent="0.25">
      <c r="B646" s="35" t="s">
        <v>4472</v>
      </c>
      <c r="C646" s="23" t="s">
        <v>4473</v>
      </c>
      <c r="D646" s="23" t="s">
        <v>3303</v>
      </c>
      <c r="E646" s="23" t="s">
        <v>3317</v>
      </c>
      <c r="F646" s="23" t="s">
        <v>3305</v>
      </c>
      <c r="G646" s="93">
        <v>0</v>
      </c>
      <c r="H646" s="93">
        <v>0</v>
      </c>
      <c r="I646" s="23"/>
      <c r="J646" s="23"/>
      <c r="K646" s="23"/>
      <c r="L646" s="23" t="s">
        <v>4461</v>
      </c>
      <c r="M646" s="23" t="s">
        <v>3715</v>
      </c>
    </row>
    <row r="647" spans="2:13" ht="15" customHeight="1" x14ac:dyDescent="0.25">
      <c r="B647" s="35" t="s">
        <v>4474</v>
      </c>
      <c r="C647" s="23" t="s">
        <v>4475</v>
      </c>
      <c r="D647" s="23" t="s">
        <v>3303</v>
      </c>
      <c r="E647" s="23" t="s">
        <v>3317</v>
      </c>
      <c r="F647" s="23" t="s">
        <v>3305</v>
      </c>
      <c r="G647" s="93">
        <v>0</v>
      </c>
      <c r="H647" s="93">
        <v>0</v>
      </c>
      <c r="I647" s="23"/>
      <c r="J647" s="23"/>
      <c r="K647" s="23"/>
      <c r="L647" s="23" t="s">
        <v>4461</v>
      </c>
      <c r="M647" s="23" t="s">
        <v>3715</v>
      </c>
    </row>
    <row r="648" spans="2:13" ht="15" customHeight="1" x14ac:dyDescent="0.25">
      <c r="B648" s="35" t="s">
        <v>4476</v>
      </c>
      <c r="C648" s="23" t="s">
        <v>4477</v>
      </c>
      <c r="D648" s="23" t="s">
        <v>3303</v>
      </c>
      <c r="E648" s="23" t="s">
        <v>3317</v>
      </c>
      <c r="F648" s="23" t="s">
        <v>3305</v>
      </c>
      <c r="G648" s="93">
        <v>0</v>
      </c>
      <c r="H648" s="93">
        <v>0</v>
      </c>
      <c r="I648" s="23"/>
      <c r="J648" s="23"/>
      <c r="K648" s="23"/>
      <c r="L648" s="23" t="s">
        <v>4461</v>
      </c>
      <c r="M648" s="23" t="s">
        <v>3715</v>
      </c>
    </row>
    <row r="649" spans="2:13" ht="15" customHeight="1" x14ac:dyDescent="0.25">
      <c r="B649" s="35" t="s">
        <v>4478</v>
      </c>
      <c r="C649" s="23" t="s">
        <v>4479</v>
      </c>
      <c r="D649" s="23" t="s">
        <v>3303</v>
      </c>
      <c r="E649" s="23" t="s">
        <v>3317</v>
      </c>
      <c r="F649" s="23" t="s">
        <v>3305</v>
      </c>
      <c r="G649" s="93">
        <v>0</v>
      </c>
      <c r="H649" s="93">
        <v>0</v>
      </c>
      <c r="I649" s="23"/>
      <c r="J649" s="23"/>
      <c r="K649" s="23"/>
      <c r="L649" s="23" t="s">
        <v>4461</v>
      </c>
      <c r="M649" s="23" t="s">
        <v>3715</v>
      </c>
    </row>
    <row r="650" spans="2:13" ht="15" customHeight="1" x14ac:dyDescent="0.25">
      <c r="B650" s="35" t="s">
        <v>4461</v>
      </c>
      <c r="C650" s="23" t="s">
        <v>4480</v>
      </c>
      <c r="D650" s="23" t="s">
        <v>3303</v>
      </c>
      <c r="E650" s="23" t="s">
        <v>3367</v>
      </c>
      <c r="F650" s="23" t="s">
        <v>3305</v>
      </c>
      <c r="G650" s="93">
        <v>0</v>
      </c>
      <c r="H650" s="93">
        <v>1</v>
      </c>
      <c r="I650" s="23"/>
      <c r="J650" s="23"/>
      <c r="K650" s="23"/>
      <c r="L650" s="23" t="s">
        <v>4030</v>
      </c>
      <c r="M650" s="23"/>
    </row>
    <row r="651" spans="2:13" ht="15" customHeight="1" x14ac:dyDescent="0.25">
      <c r="B651" s="35" t="s">
        <v>4481</v>
      </c>
      <c r="C651" s="23" t="s">
        <v>4482</v>
      </c>
      <c r="D651" s="23" t="s">
        <v>3303</v>
      </c>
      <c r="E651" s="23" t="s">
        <v>3304</v>
      </c>
      <c r="F651" s="23" t="s">
        <v>3305</v>
      </c>
      <c r="G651" s="93">
        <v>0</v>
      </c>
      <c r="H651" s="93">
        <v>1</v>
      </c>
      <c r="I651" s="23"/>
      <c r="J651" s="23"/>
      <c r="K651" s="23"/>
      <c r="L651" s="23" t="s">
        <v>4483</v>
      </c>
      <c r="M651" s="23"/>
    </row>
    <row r="652" spans="2:13" ht="15" customHeight="1" x14ac:dyDescent="0.25">
      <c r="B652" s="35" t="s">
        <v>4484</v>
      </c>
      <c r="C652" s="23" t="s">
        <v>4485</v>
      </c>
      <c r="D652" s="23" t="s">
        <v>3303</v>
      </c>
      <c r="E652" s="23" t="s">
        <v>3317</v>
      </c>
      <c r="F652" s="23" t="s">
        <v>3305</v>
      </c>
      <c r="G652" s="93">
        <v>3</v>
      </c>
      <c r="H652" s="93">
        <v>1</v>
      </c>
      <c r="I652" s="23"/>
      <c r="J652" s="23"/>
      <c r="K652" s="23"/>
      <c r="L652" s="23" t="s">
        <v>4483</v>
      </c>
      <c r="M652" s="23" t="s">
        <v>3715</v>
      </c>
    </row>
    <row r="653" spans="2:13" ht="15" customHeight="1" x14ac:dyDescent="0.25">
      <c r="B653" s="35" t="s">
        <v>4486</v>
      </c>
      <c r="C653" s="23" t="s">
        <v>4487</v>
      </c>
      <c r="D653" s="23" t="s">
        <v>3303</v>
      </c>
      <c r="E653" s="23" t="s">
        <v>3317</v>
      </c>
      <c r="F653" s="23" t="s">
        <v>3305</v>
      </c>
      <c r="G653" s="93">
        <v>0</v>
      </c>
      <c r="H653" s="93">
        <v>1</v>
      </c>
      <c r="I653" s="23"/>
      <c r="J653" s="23"/>
      <c r="K653" s="23"/>
      <c r="L653" s="23" t="s">
        <v>4483</v>
      </c>
      <c r="M653" s="23" t="s">
        <v>3715</v>
      </c>
    </row>
    <row r="654" spans="2:13" ht="15" customHeight="1" x14ac:dyDescent="0.25">
      <c r="B654" s="35" t="s">
        <v>4488</v>
      </c>
      <c r="C654" s="23" t="s">
        <v>4489</v>
      </c>
      <c r="D654" s="23" t="s">
        <v>3303</v>
      </c>
      <c r="E654" s="23" t="s">
        <v>3317</v>
      </c>
      <c r="F654" s="23" t="s">
        <v>3305</v>
      </c>
      <c r="G654" s="93">
        <v>0</v>
      </c>
      <c r="H654" s="93">
        <v>1</v>
      </c>
      <c r="I654" s="23"/>
      <c r="J654" s="23"/>
      <c r="K654" s="23"/>
      <c r="L654" s="23" t="s">
        <v>4483</v>
      </c>
      <c r="M654" s="23" t="s">
        <v>3715</v>
      </c>
    </row>
    <row r="655" spans="2:13" ht="15" customHeight="1" x14ac:dyDescent="0.25">
      <c r="B655" s="35" t="s">
        <v>4490</v>
      </c>
      <c r="C655" s="23" t="s">
        <v>4491</v>
      </c>
      <c r="D655" s="23" t="s">
        <v>3303</v>
      </c>
      <c r="E655" s="23" t="s">
        <v>3317</v>
      </c>
      <c r="F655" s="23" t="s">
        <v>3305</v>
      </c>
      <c r="G655" s="93">
        <v>0</v>
      </c>
      <c r="H655" s="93">
        <v>1</v>
      </c>
      <c r="I655" s="23"/>
      <c r="J655" s="23"/>
      <c r="K655" s="23"/>
      <c r="L655" s="23" t="s">
        <v>4483</v>
      </c>
      <c r="M655" s="23" t="s">
        <v>3715</v>
      </c>
    </row>
    <row r="656" spans="2:13" ht="15" customHeight="1" x14ac:dyDescent="0.25">
      <c r="B656" s="35" t="s">
        <v>4492</v>
      </c>
      <c r="C656" s="23" t="s">
        <v>4493</v>
      </c>
      <c r="D656" s="23" t="s">
        <v>3303</v>
      </c>
      <c r="E656" s="23" t="s">
        <v>3317</v>
      </c>
      <c r="F656" s="23" t="s">
        <v>3305</v>
      </c>
      <c r="G656" s="93">
        <v>0</v>
      </c>
      <c r="H656" s="93">
        <v>1</v>
      </c>
      <c r="I656" s="23"/>
      <c r="J656" s="23"/>
      <c r="K656" s="23"/>
      <c r="L656" s="23" t="s">
        <v>4483</v>
      </c>
      <c r="M656" s="23" t="s">
        <v>3715</v>
      </c>
    </row>
    <row r="657" spans="2:13" ht="15" customHeight="1" x14ac:dyDescent="0.25">
      <c r="B657" s="35" t="s">
        <v>4494</v>
      </c>
      <c r="C657" s="23" t="s">
        <v>4495</v>
      </c>
      <c r="D657" s="23" t="s">
        <v>3303</v>
      </c>
      <c r="E657" s="23" t="s">
        <v>3317</v>
      </c>
      <c r="F657" s="23" t="s">
        <v>3305</v>
      </c>
      <c r="G657" s="93">
        <v>0</v>
      </c>
      <c r="H657" s="93">
        <v>1</v>
      </c>
      <c r="I657" s="23"/>
      <c r="J657" s="23"/>
      <c r="K657" s="23"/>
      <c r="L657" s="23" t="s">
        <v>4483</v>
      </c>
      <c r="M657" s="23" t="s">
        <v>3715</v>
      </c>
    </row>
    <row r="658" spans="2:13" ht="15" customHeight="1" x14ac:dyDescent="0.25">
      <c r="B658" s="35" t="s">
        <v>4496</v>
      </c>
      <c r="C658" s="23" t="s">
        <v>4497</v>
      </c>
      <c r="D658" s="23" t="s">
        <v>3303</v>
      </c>
      <c r="E658" s="23" t="s">
        <v>3317</v>
      </c>
      <c r="F658" s="23" t="s">
        <v>3305</v>
      </c>
      <c r="G658" s="93">
        <v>0</v>
      </c>
      <c r="H658" s="93">
        <v>1</v>
      </c>
      <c r="I658" s="23"/>
      <c r="J658" s="23"/>
      <c r="K658" s="23"/>
      <c r="L658" s="23" t="s">
        <v>4483</v>
      </c>
      <c r="M658" s="23" t="s">
        <v>3715</v>
      </c>
    </row>
    <row r="659" spans="2:13" ht="15" customHeight="1" x14ac:dyDescent="0.25">
      <c r="B659" s="35" t="s">
        <v>4498</v>
      </c>
      <c r="C659" s="23" t="s">
        <v>4499</v>
      </c>
      <c r="D659" s="23" t="s">
        <v>3303</v>
      </c>
      <c r="E659" s="23" t="s">
        <v>3317</v>
      </c>
      <c r="F659" s="23" t="s">
        <v>3305</v>
      </c>
      <c r="G659" s="93">
        <v>0</v>
      </c>
      <c r="H659" s="93">
        <v>1</v>
      </c>
      <c r="I659" s="23"/>
      <c r="J659" s="23"/>
      <c r="K659" s="23"/>
      <c r="L659" s="23" t="s">
        <v>4483</v>
      </c>
      <c r="M659" s="23" t="s">
        <v>3715</v>
      </c>
    </row>
    <row r="660" spans="2:13" ht="15" customHeight="1" x14ac:dyDescent="0.25">
      <c r="B660" s="35" t="s">
        <v>4500</v>
      </c>
      <c r="C660" s="23" t="s">
        <v>4501</v>
      </c>
      <c r="D660" s="23" t="s">
        <v>3303</v>
      </c>
      <c r="E660" s="23" t="s">
        <v>3317</v>
      </c>
      <c r="F660" s="23" t="s">
        <v>3305</v>
      </c>
      <c r="G660" s="93">
        <v>0</v>
      </c>
      <c r="H660" s="93">
        <v>1</v>
      </c>
      <c r="I660" s="23"/>
      <c r="J660" s="23"/>
      <c r="K660" s="23"/>
      <c r="L660" s="23" t="s">
        <v>4483</v>
      </c>
      <c r="M660" s="23" t="s">
        <v>3715</v>
      </c>
    </row>
    <row r="661" spans="2:13" ht="15" customHeight="1" x14ac:dyDescent="0.25">
      <c r="B661" s="35" t="s">
        <v>4483</v>
      </c>
      <c r="C661" s="23" t="s">
        <v>4502</v>
      </c>
      <c r="D661" s="23" t="s">
        <v>3303</v>
      </c>
      <c r="E661" s="23" t="s">
        <v>3367</v>
      </c>
      <c r="F661" s="23" t="s">
        <v>3305</v>
      </c>
      <c r="G661" s="93">
        <v>0</v>
      </c>
      <c r="H661" s="93">
        <v>1</v>
      </c>
      <c r="I661" s="23"/>
      <c r="J661" s="23"/>
      <c r="K661" s="23"/>
      <c r="L661" s="23" t="s">
        <v>4030</v>
      </c>
      <c r="M661" s="23"/>
    </row>
    <row r="662" spans="2:13" ht="15" customHeight="1" x14ac:dyDescent="0.25">
      <c r="B662" s="35" t="s">
        <v>4503</v>
      </c>
      <c r="C662" s="23" t="s">
        <v>4504</v>
      </c>
      <c r="D662" s="23" t="s">
        <v>3303</v>
      </c>
      <c r="E662" s="23" t="s">
        <v>3304</v>
      </c>
      <c r="F662" s="23" t="s">
        <v>3305</v>
      </c>
      <c r="G662" s="93">
        <v>0</v>
      </c>
      <c r="H662" s="93">
        <v>1</v>
      </c>
      <c r="I662" s="23"/>
      <c r="J662" s="23"/>
      <c r="K662" s="23"/>
      <c r="L662" s="23" t="s">
        <v>4505</v>
      </c>
      <c r="M662" s="23"/>
    </row>
    <row r="663" spans="2:13" ht="15" customHeight="1" x14ac:dyDescent="0.25">
      <c r="B663" s="35" t="s">
        <v>4506</v>
      </c>
      <c r="C663" s="23" t="s">
        <v>4507</v>
      </c>
      <c r="D663" s="23" t="s">
        <v>3303</v>
      </c>
      <c r="E663" s="23" t="s">
        <v>3317</v>
      </c>
      <c r="F663" s="23" t="s">
        <v>3305</v>
      </c>
      <c r="G663" s="93">
        <v>0</v>
      </c>
      <c r="H663" s="93">
        <v>1</v>
      </c>
      <c r="I663" s="23"/>
      <c r="J663" s="23"/>
      <c r="K663" s="23"/>
      <c r="L663" s="23" t="s">
        <v>4505</v>
      </c>
      <c r="M663" s="23" t="s">
        <v>3715</v>
      </c>
    </row>
    <row r="664" spans="2:13" ht="15" customHeight="1" x14ac:dyDescent="0.25">
      <c r="B664" s="35" t="s">
        <v>4508</v>
      </c>
      <c r="C664" s="23" t="s">
        <v>4509</v>
      </c>
      <c r="D664" s="23" t="s">
        <v>3303</v>
      </c>
      <c r="E664" s="23" t="s">
        <v>3317</v>
      </c>
      <c r="F664" s="23" t="s">
        <v>3305</v>
      </c>
      <c r="G664" s="93">
        <v>3</v>
      </c>
      <c r="H664" s="93">
        <v>1</v>
      </c>
      <c r="I664" s="23"/>
      <c r="J664" s="23"/>
      <c r="K664" s="23"/>
      <c r="L664" s="23" t="s">
        <v>4505</v>
      </c>
      <c r="M664" s="23" t="s">
        <v>3715</v>
      </c>
    </row>
    <row r="665" spans="2:13" ht="15" customHeight="1" x14ac:dyDescent="0.25">
      <c r="B665" s="35" t="s">
        <v>4510</v>
      </c>
      <c r="C665" s="23" t="s">
        <v>4511</v>
      </c>
      <c r="D665" s="23" t="s">
        <v>3303</v>
      </c>
      <c r="E665" s="23" t="s">
        <v>3317</v>
      </c>
      <c r="F665" s="23" t="s">
        <v>3305</v>
      </c>
      <c r="G665" s="93">
        <v>3</v>
      </c>
      <c r="H665" s="93">
        <v>1</v>
      </c>
      <c r="I665" s="23"/>
      <c r="J665" s="23"/>
      <c r="K665" s="23"/>
      <c r="L665" s="23" t="s">
        <v>4505</v>
      </c>
      <c r="M665" s="23" t="s">
        <v>3715</v>
      </c>
    </row>
    <row r="666" spans="2:13" ht="15" customHeight="1" x14ac:dyDescent="0.25">
      <c r="B666" s="35" t="s">
        <v>4512</v>
      </c>
      <c r="C666" s="23" t="s">
        <v>4513</v>
      </c>
      <c r="D666" s="23" t="s">
        <v>3303</v>
      </c>
      <c r="E666" s="23" t="s">
        <v>3317</v>
      </c>
      <c r="F666" s="23" t="s">
        <v>3305</v>
      </c>
      <c r="G666" s="93">
        <v>3</v>
      </c>
      <c r="H666" s="93">
        <v>1</v>
      </c>
      <c r="I666" s="23"/>
      <c r="J666" s="23"/>
      <c r="K666" s="23"/>
      <c r="L666" s="23" t="s">
        <v>4505</v>
      </c>
      <c r="M666" s="23" t="s">
        <v>3715</v>
      </c>
    </row>
    <row r="667" spans="2:13" ht="15" customHeight="1" x14ac:dyDescent="0.25">
      <c r="B667" s="35" t="s">
        <v>4514</v>
      </c>
      <c r="C667" s="23" t="s">
        <v>4515</v>
      </c>
      <c r="D667" s="23" t="s">
        <v>3303</v>
      </c>
      <c r="E667" s="23" t="s">
        <v>3317</v>
      </c>
      <c r="F667" s="23" t="s">
        <v>3305</v>
      </c>
      <c r="G667" s="93">
        <v>3</v>
      </c>
      <c r="H667" s="93">
        <v>1</v>
      </c>
      <c r="I667" s="23"/>
      <c r="J667" s="23"/>
      <c r="K667" s="23"/>
      <c r="L667" s="23" t="s">
        <v>4505</v>
      </c>
      <c r="M667" s="23" t="s">
        <v>3715</v>
      </c>
    </row>
    <row r="668" spans="2:13" ht="15" customHeight="1" x14ac:dyDescent="0.25">
      <c r="B668" s="35" t="s">
        <v>4516</v>
      </c>
      <c r="C668" s="23" t="s">
        <v>4517</v>
      </c>
      <c r="D668" s="23" t="s">
        <v>3303</v>
      </c>
      <c r="E668" s="23" t="s">
        <v>3317</v>
      </c>
      <c r="F668" s="23" t="s">
        <v>3305</v>
      </c>
      <c r="G668" s="93">
        <v>3</v>
      </c>
      <c r="H668" s="93">
        <v>1</v>
      </c>
      <c r="I668" s="23"/>
      <c r="J668" s="23"/>
      <c r="K668" s="23"/>
      <c r="L668" s="23" t="s">
        <v>4505</v>
      </c>
      <c r="M668" s="23" t="s">
        <v>3715</v>
      </c>
    </row>
    <row r="669" spans="2:13" ht="15" customHeight="1" x14ac:dyDescent="0.25">
      <c r="B669" s="35" t="s">
        <v>4518</v>
      </c>
      <c r="C669" s="23" t="s">
        <v>4519</v>
      </c>
      <c r="D669" s="23" t="s">
        <v>3303</v>
      </c>
      <c r="E669" s="23" t="s">
        <v>3317</v>
      </c>
      <c r="F669" s="23" t="s">
        <v>3305</v>
      </c>
      <c r="G669" s="93">
        <v>3</v>
      </c>
      <c r="H669" s="93">
        <v>1</v>
      </c>
      <c r="I669" s="23"/>
      <c r="J669" s="23"/>
      <c r="K669" s="23"/>
      <c r="L669" s="23" t="s">
        <v>4505</v>
      </c>
      <c r="M669" s="23" t="s">
        <v>3715</v>
      </c>
    </row>
    <row r="670" spans="2:13" ht="15" customHeight="1" x14ac:dyDescent="0.25">
      <c r="B670" s="35" t="s">
        <v>4520</v>
      </c>
      <c r="C670" s="23" t="s">
        <v>4521</v>
      </c>
      <c r="D670" s="23" t="s">
        <v>3303</v>
      </c>
      <c r="E670" s="23" t="s">
        <v>3317</v>
      </c>
      <c r="F670" s="23" t="s">
        <v>3305</v>
      </c>
      <c r="G670" s="93">
        <v>3</v>
      </c>
      <c r="H670" s="93">
        <v>1</v>
      </c>
      <c r="I670" s="23"/>
      <c r="J670" s="23"/>
      <c r="K670" s="23"/>
      <c r="L670" s="23" t="s">
        <v>4505</v>
      </c>
      <c r="M670" s="23" t="s">
        <v>3715</v>
      </c>
    </row>
    <row r="671" spans="2:13" ht="15" customHeight="1" x14ac:dyDescent="0.25">
      <c r="B671" s="35" t="s">
        <v>4522</v>
      </c>
      <c r="C671" s="23" t="s">
        <v>4523</v>
      </c>
      <c r="D671" s="23" t="s">
        <v>3303</v>
      </c>
      <c r="E671" s="23" t="s">
        <v>3317</v>
      </c>
      <c r="F671" s="23" t="s">
        <v>3305</v>
      </c>
      <c r="G671" s="93">
        <v>3</v>
      </c>
      <c r="H671" s="93">
        <v>1</v>
      </c>
      <c r="I671" s="23"/>
      <c r="J671" s="23"/>
      <c r="K671" s="23"/>
      <c r="L671" s="23" t="s">
        <v>4505</v>
      </c>
      <c r="M671" s="23" t="s">
        <v>3715</v>
      </c>
    </row>
    <row r="672" spans="2:13" ht="15" customHeight="1" x14ac:dyDescent="0.25">
      <c r="B672" s="35" t="s">
        <v>4505</v>
      </c>
      <c r="C672" s="23" t="s">
        <v>4524</v>
      </c>
      <c r="D672" s="23" t="s">
        <v>3303</v>
      </c>
      <c r="E672" s="23" t="s">
        <v>3367</v>
      </c>
      <c r="F672" s="23" t="s">
        <v>3305</v>
      </c>
      <c r="G672" s="93">
        <v>0</v>
      </c>
      <c r="H672" s="93">
        <v>1</v>
      </c>
      <c r="I672" s="23"/>
      <c r="J672" s="23"/>
      <c r="K672" s="23"/>
      <c r="L672" s="23" t="s">
        <v>4030</v>
      </c>
      <c r="M672" s="23"/>
    </row>
    <row r="673" spans="2:13" ht="15" customHeight="1" x14ac:dyDescent="0.25">
      <c r="B673" s="35" t="s">
        <v>4525</v>
      </c>
      <c r="C673" s="23" t="s">
        <v>4526</v>
      </c>
      <c r="D673" s="23" t="s">
        <v>3303</v>
      </c>
      <c r="E673" s="23" t="s">
        <v>3304</v>
      </c>
      <c r="F673" s="23" t="s">
        <v>3305</v>
      </c>
      <c r="G673" s="93">
        <v>0</v>
      </c>
      <c r="H673" s="93">
        <v>0</v>
      </c>
      <c r="I673" s="23"/>
      <c r="J673" s="23"/>
      <c r="K673" s="23"/>
      <c r="L673" s="23" t="s">
        <v>4527</v>
      </c>
      <c r="M673" s="23"/>
    </row>
    <row r="674" spans="2:13" ht="15" customHeight="1" x14ac:dyDescent="0.25">
      <c r="B674" s="35" t="s">
        <v>4528</v>
      </c>
      <c r="C674" s="23" t="s">
        <v>4529</v>
      </c>
      <c r="D674" s="23" t="s">
        <v>3303</v>
      </c>
      <c r="E674" s="23" t="s">
        <v>3317</v>
      </c>
      <c r="F674" s="23" t="s">
        <v>3305</v>
      </c>
      <c r="G674" s="93">
        <v>0</v>
      </c>
      <c r="H674" s="93">
        <v>0</v>
      </c>
      <c r="I674" s="23"/>
      <c r="J674" s="23"/>
      <c r="K674" s="23"/>
      <c r="L674" s="23" t="s">
        <v>4527</v>
      </c>
      <c r="M674" s="23" t="s">
        <v>3715</v>
      </c>
    </row>
    <row r="675" spans="2:13" ht="15" customHeight="1" x14ac:dyDescent="0.25">
      <c r="B675" s="35" t="s">
        <v>4530</v>
      </c>
      <c r="C675" s="23" t="s">
        <v>4531</v>
      </c>
      <c r="D675" s="23" t="s">
        <v>3303</v>
      </c>
      <c r="E675" s="23" t="s">
        <v>3317</v>
      </c>
      <c r="F675" s="23" t="s">
        <v>3305</v>
      </c>
      <c r="G675" s="93">
        <v>0</v>
      </c>
      <c r="H675" s="93">
        <v>0</v>
      </c>
      <c r="I675" s="23"/>
      <c r="J675" s="23"/>
      <c r="K675" s="23"/>
      <c r="L675" s="23" t="s">
        <v>4527</v>
      </c>
      <c r="M675" s="23" t="s">
        <v>3715</v>
      </c>
    </row>
    <row r="676" spans="2:13" ht="15" customHeight="1" x14ac:dyDescent="0.25">
      <c r="B676" s="35" t="s">
        <v>4532</v>
      </c>
      <c r="C676" s="23" t="s">
        <v>4533</v>
      </c>
      <c r="D676" s="23" t="s">
        <v>3303</v>
      </c>
      <c r="E676" s="23" t="s">
        <v>3317</v>
      </c>
      <c r="F676" s="23" t="s">
        <v>3305</v>
      </c>
      <c r="G676" s="93">
        <v>0</v>
      </c>
      <c r="H676" s="93">
        <v>0</v>
      </c>
      <c r="I676" s="23"/>
      <c r="J676" s="23"/>
      <c r="K676" s="23"/>
      <c r="L676" s="23" t="s">
        <v>4527</v>
      </c>
      <c r="M676" s="23" t="s">
        <v>3715</v>
      </c>
    </row>
    <row r="677" spans="2:13" ht="15" customHeight="1" x14ac:dyDescent="0.25">
      <c r="B677" s="35" t="s">
        <v>4534</v>
      </c>
      <c r="C677" s="23" t="s">
        <v>4535</v>
      </c>
      <c r="D677" s="23" t="s">
        <v>3303</v>
      </c>
      <c r="E677" s="23" t="s">
        <v>3317</v>
      </c>
      <c r="F677" s="23" t="s">
        <v>3305</v>
      </c>
      <c r="G677" s="93">
        <v>0</v>
      </c>
      <c r="H677" s="93">
        <v>1</v>
      </c>
      <c r="I677" s="23"/>
      <c r="J677" s="23"/>
      <c r="K677" s="23"/>
      <c r="L677" s="23" t="s">
        <v>4527</v>
      </c>
      <c r="M677" s="23" t="s">
        <v>3715</v>
      </c>
    </row>
    <row r="678" spans="2:13" ht="15" customHeight="1" x14ac:dyDescent="0.25">
      <c r="B678" s="35" t="s">
        <v>4536</v>
      </c>
      <c r="C678" s="23" t="s">
        <v>4537</v>
      </c>
      <c r="D678" s="23" t="s">
        <v>3303</v>
      </c>
      <c r="E678" s="23" t="s">
        <v>3317</v>
      </c>
      <c r="F678" s="23" t="s">
        <v>3305</v>
      </c>
      <c r="G678" s="93">
        <v>0</v>
      </c>
      <c r="H678" s="93">
        <v>1</v>
      </c>
      <c r="I678" s="23"/>
      <c r="J678" s="23"/>
      <c r="K678" s="23"/>
      <c r="L678" s="23" t="s">
        <v>4527</v>
      </c>
      <c r="M678" s="23" t="s">
        <v>3715</v>
      </c>
    </row>
    <row r="679" spans="2:13" ht="15" customHeight="1" x14ac:dyDescent="0.25">
      <c r="B679" s="35" t="s">
        <v>4538</v>
      </c>
      <c r="C679" s="23" t="s">
        <v>4539</v>
      </c>
      <c r="D679" s="23" t="s">
        <v>3303</v>
      </c>
      <c r="E679" s="23" t="s">
        <v>3317</v>
      </c>
      <c r="F679" s="23" t="s">
        <v>3305</v>
      </c>
      <c r="G679" s="93">
        <v>0</v>
      </c>
      <c r="H679" s="93">
        <v>1</v>
      </c>
      <c r="I679" s="23"/>
      <c r="J679" s="23"/>
      <c r="K679" s="23"/>
      <c r="L679" s="23" t="s">
        <v>4527</v>
      </c>
      <c r="M679" s="23" t="s">
        <v>3715</v>
      </c>
    </row>
    <row r="680" spans="2:13" ht="15" customHeight="1" x14ac:dyDescent="0.25">
      <c r="B680" s="35" t="s">
        <v>4540</v>
      </c>
      <c r="C680" s="23" t="s">
        <v>4541</v>
      </c>
      <c r="D680" s="23" t="s">
        <v>3303</v>
      </c>
      <c r="E680" s="23" t="s">
        <v>3317</v>
      </c>
      <c r="F680" s="23" t="s">
        <v>3305</v>
      </c>
      <c r="G680" s="93">
        <v>3</v>
      </c>
      <c r="H680" s="93">
        <v>1</v>
      </c>
      <c r="I680" s="23"/>
      <c r="J680" s="23"/>
      <c r="K680" s="23"/>
      <c r="L680" s="23" t="s">
        <v>4527</v>
      </c>
      <c r="M680" s="23" t="s">
        <v>3715</v>
      </c>
    </row>
    <row r="681" spans="2:13" ht="15" customHeight="1" x14ac:dyDescent="0.25">
      <c r="B681" s="35" t="s">
        <v>4542</v>
      </c>
      <c r="C681" s="23" t="s">
        <v>4543</v>
      </c>
      <c r="D681" s="23" t="s">
        <v>3303</v>
      </c>
      <c r="E681" s="23" t="s">
        <v>3317</v>
      </c>
      <c r="F681" s="23" t="s">
        <v>3305</v>
      </c>
      <c r="G681" s="93">
        <v>0</v>
      </c>
      <c r="H681" s="93">
        <v>1</v>
      </c>
      <c r="I681" s="23"/>
      <c r="J681" s="23"/>
      <c r="K681" s="23"/>
      <c r="L681" s="23" t="s">
        <v>4527</v>
      </c>
      <c r="M681" s="23"/>
    </row>
    <row r="682" spans="2:13" ht="15" customHeight="1" x14ac:dyDescent="0.25">
      <c r="B682" s="35" t="s">
        <v>4527</v>
      </c>
      <c r="C682" s="23" t="s">
        <v>4544</v>
      </c>
      <c r="D682" s="23" t="s">
        <v>3303</v>
      </c>
      <c r="E682" s="23" t="s">
        <v>3367</v>
      </c>
      <c r="F682" s="23" t="s">
        <v>3305</v>
      </c>
      <c r="G682" s="93">
        <v>0</v>
      </c>
      <c r="H682" s="93">
        <v>0</v>
      </c>
      <c r="I682" s="23"/>
      <c r="J682" s="23"/>
      <c r="K682" s="23"/>
      <c r="L682" s="23" t="s">
        <v>4030</v>
      </c>
      <c r="M682" s="23"/>
    </row>
    <row r="683" spans="2:13" ht="15" customHeight="1" x14ac:dyDescent="0.25">
      <c r="B683" s="35" t="s">
        <v>4545</v>
      </c>
      <c r="C683" s="23" t="s">
        <v>4546</v>
      </c>
      <c r="D683" s="23" t="s">
        <v>3303</v>
      </c>
      <c r="E683" s="23" t="s">
        <v>3304</v>
      </c>
      <c r="F683" s="23" t="s">
        <v>3305</v>
      </c>
      <c r="G683" s="93">
        <v>0</v>
      </c>
      <c r="H683" s="93">
        <v>0</v>
      </c>
      <c r="I683" s="23"/>
      <c r="J683" s="23"/>
      <c r="K683" s="23"/>
      <c r="L683" s="23" t="s">
        <v>4547</v>
      </c>
      <c r="M683" s="23"/>
    </row>
    <row r="684" spans="2:13" ht="15" customHeight="1" x14ac:dyDescent="0.25">
      <c r="B684" s="35" t="s">
        <v>4548</v>
      </c>
      <c r="C684" s="23" t="s">
        <v>4549</v>
      </c>
      <c r="D684" s="23" t="s">
        <v>3303</v>
      </c>
      <c r="E684" s="23" t="s">
        <v>3317</v>
      </c>
      <c r="F684" s="23" t="s">
        <v>3305</v>
      </c>
      <c r="G684" s="93">
        <v>0</v>
      </c>
      <c r="H684" s="93">
        <v>0</v>
      </c>
      <c r="I684" s="23"/>
      <c r="J684" s="23"/>
      <c r="K684" s="23"/>
      <c r="L684" s="23" t="s">
        <v>4547</v>
      </c>
      <c r="M684" s="23" t="s">
        <v>3715</v>
      </c>
    </row>
    <row r="685" spans="2:13" ht="15" customHeight="1" x14ac:dyDescent="0.25">
      <c r="B685" s="35" t="s">
        <v>4550</v>
      </c>
      <c r="C685" s="23" t="s">
        <v>4551</v>
      </c>
      <c r="D685" s="23" t="s">
        <v>3303</v>
      </c>
      <c r="E685" s="23" t="s">
        <v>3317</v>
      </c>
      <c r="F685" s="23" t="s">
        <v>3305</v>
      </c>
      <c r="G685" s="93">
        <v>0</v>
      </c>
      <c r="H685" s="93">
        <v>0</v>
      </c>
      <c r="I685" s="23"/>
      <c r="J685" s="23"/>
      <c r="K685" s="23"/>
      <c r="L685" s="23" t="s">
        <v>4547</v>
      </c>
      <c r="M685" s="23" t="s">
        <v>3715</v>
      </c>
    </row>
    <row r="686" spans="2:13" ht="15" customHeight="1" x14ac:dyDescent="0.25">
      <c r="B686" s="35" t="s">
        <v>4552</v>
      </c>
      <c r="C686" s="23" t="s">
        <v>4553</v>
      </c>
      <c r="D686" s="23" t="s">
        <v>3303</v>
      </c>
      <c r="E686" s="23" t="s">
        <v>3317</v>
      </c>
      <c r="F686" s="23" t="s">
        <v>3305</v>
      </c>
      <c r="G686" s="93">
        <v>0</v>
      </c>
      <c r="H686" s="93">
        <v>0</v>
      </c>
      <c r="I686" s="23"/>
      <c r="J686" s="23"/>
      <c r="K686" s="23"/>
      <c r="L686" s="23" t="s">
        <v>4547</v>
      </c>
      <c r="M686" s="23" t="s">
        <v>3715</v>
      </c>
    </row>
    <row r="687" spans="2:13" ht="15" customHeight="1" x14ac:dyDescent="0.25">
      <c r="B687" s="35" t="s">
        <v>4554</v>
      </c>
      <c r="C687" s="23" t="s">
        <v>4555</v>
      </c>
      <c r="D687" s="23" t="s">
        <v>3303</v>
      </c>
      <c r="E687" s="23" t="s">
        <v>3317</v>
      </c>
      <c r="F687" s="23" t="s">
        <v>3305</v>
      </c>
      <c r="G687" s="93">
        <v>0</v>
      </c>
      <c r="H687" s="93">
        <v>0</v>
      </c>
      <c r="I687" s="23"/>
      <c r="J687" s="23"/>
      <c r="K687" s="23"/>
      <c r="L687" s="23" t="s">
        <v>4547</v>
      </c>
      <c r="M687" s="23" t="s">
        <v>3715</v>
      </c>
    </row>
    <row r="688" spans="2:13" ht="15" customHeight="1" x14ac:dyDescent="0.25">
      <c r="B688" s="35" t="s">
        <v>4556</v>
      </c>
      <c r="C688" s="23" t="s">
        <v>4557</v>
      </c>
      <c r="D688" s="23" t="s">
        <v>3303</v>
      </c>
      <c r="E688" s="23" t="s">
        <v>3317</v>
      </c>
      <c r="F688" s="23" t="s">
        <v>3305</v>
      </c>
      <c r="G688" s="93">
        <v>0</v>
      </c>
      <c r="H688" s="93">
        <v>0</v>
      </c>
      <c r="I688" s="23"/>
      <c r="J688" s="23"/>
      <c r="K688" s="23"/>
      <c r="L688" s="23" t="s">
        <v>4547</v>
      </c>
      <c r="M688" s="23" t="s">
        <v>3715</v>
      </c>
    </row>
    <row r="689" spans="2:13" ht="15" customHeight="1" x14ac:dyDescent="0.25">
      <c r="B689" s="35" t="s">
        <v>4558</v>
      </c>
      <c r="C689" s="23" t="s">
        <v>4559</v>
      </c>
      <c r="D689" s="23" t="s">
        <v>3303</v>
      </c>
      <c r="E689" s="23" t="s">
        <v>3317</v>
      </c>
      <c r="F689" s="23" t="s">
        <v>3305</v>
      </c>
      <c r="G689" s="93">
        <v>0</v>
      </c>
      <c r="H689" s="93">
        <v>1</v>
      </c>
      <c r="I689" s="23"/>
      <c r="J689" s="23"/>
      <c r="K689" s="23"/>
      <c r="L689" s="23" t="s">
        <v>4547</v>
      </c>
      <c r="M689" s="23" t="s">
        <v>3715</v>
      </c>
    </row>
    <row r="690" spans="2:13" ht="15" customHeight="1" x14ac:dyDescent="0.25">
      <c r="B690" s="35" t="s">
        <v>4547</v>
      </c>
      <c r="C690" s="23" t="s">
        <v>4560</v>
      </c>
      <c r="D690" s="23" t="s">
        <v>3303</v>
      </c>
      <c r="E690" s="23" t="s">
        <v>3367</v>
      </c>
      <c r="F690" s="23" t="s">
        <v>3305</v>
      </c>
      <c r="G690" s="93">
        <v>0</v>
      </c>
      <c r="H690" s="93">
        <v>0</v>
      </c>
      <c r="I690" s="23"/>
      <c r="J690" s="23"/>
      <c r="K690" s="23"/>
      <c r="L690" s="23" t="s">
        <v>4030</v>
      </c>
      <c r="M690" s="23"/>
    </row>
    <row r="691" spans="2:13" ht="15" customHeight="1" x14ac:dyDescent="0.25">
      <c r="B691" s="35" t="s">
        <v>4561</v>
      </c>
      <c r="C691" s="23" t="s">
        <v>4562</v>
      </c>
      <c r="D691" s="23" t="s">
        <v>3303</v>
      </c>
      <c r="E691" s="23" t="s">
        <v>3317</v>
      </c>
      <c r="F691" s="23" t="s">
        <v>3305</v>
      </c>
      <c r="G691" s="93">
        <v>3</v>
      </c>
      <c r="H691" s="93">
        <v>1</v>
      </c>
      <c r="I691" s="23"/>
      <c r="J691" s="23"/>
      <c r="K691" s="23"/>
      <c r="L691" s="23" t="s">
        <v>4030</v>
      </c>
      <c r="M691" s="23" t="s">
        <v>3694</v>
      </c>
    </row>
    <row r="692" spans="2:13" ht="15" customHeight="1" x14ac:dyDescent="0.25">
      <c r="B692" s="35" t="s">
        <v>4563</v>
      </c>
      <c r="C692" s="23" t="s">
        <v>4564</v>
      </c>
      <c r="D692" s="23" t="s">
        <v>3303</v>
      </c>
      <c r="E692" s="23" t="s">
        <v>3317</v>
      </c>
      <c r="F692" s="23" t="s">
        <v>3305</v>
      </c>
      <c r="G692" s="93">
        <v>3</v>
      </c>
      <c r="H692" s="93">
        <v>1</v>
      </c>
      <c r="I692" s="23"/>
      <c r="J692" s="23"/>
      <c r="K692" s="23"/>
      <c r="L692" s="23" t="s">
        <v>4030</v>
      </c>
      <c r="M692" s="23"/>
    </row>
    <row r="693" spans="2:13" ht="15" customHeight="1" x14ac:dyDescent="0.25">
      <c r="B693" s="35" t="s">
        <v>4565</v>
      </c>
      <c r="C693" s="23" t="s">
        <v>4566</v>
      </c>
      <c r="D693" s="23" t="s">
        <v>3303</v>
      </c>
      <c r="E693" s="23" t="s">
        <v>3317</v>
      </c>
      <c r="F693" s="23" t="s">
        <v>3305</v>
      </c>
      <c r="G693" s="93">
        <v>3</v>
      </c>
      <c r="H693" s="93">
        <v>1</v>
      </c>
      <c r="I693" s="23"/>
      <c r="J693" s="23"/>
      <c r="K693" s="23"/>
      <c r="L693" s="23" t="s">
        <v>4030</v>
      </c>
      <c r="M693" s="23"/>
    </row>
    <row r="694" spans="2:13" ht="15" customHeight="1" x14ac:dyDescent="0.25">
      <c r="B694" s="35" t="s">
        <v>4030</v>
      </c>
      <c r="C694" s="23" t="s">
        <v>4567</v>
      </c>
      <c r="D694" s="23" t="s">
        <v>3303</v>
      </c>
      <c r="E694" s="23" t="s">
        <v>3367</v>
      </c>
      <c r="F694" s="23" t="s">
        <v>3305</v>
      </c>
      <c r="G694" s="93">
        <v>0</v>
      </c>
      <c r="H694" s="93">
        <v>0</v>
      </c>
      <c r="I694" s="23"/>
      <c r="J694" s="23"/>
      <c r="K694" s="23"/>
      <c r="L694" s="23" t="s">
        <v>3501</v>
      </c>
      <c r="M694" s="23"/>
    </row>
    <row r="695" spans="2:13" ht="15" customHeight="1" x14ac:dyDescent="0.25">
      <c r="B695" s="35" t="s">
        <v>3501</v>
      </c>
      <c r="C695" s="23" t="s">
        <v>4568</v>
      </c>
      <c r="D695" s="23" t="s">
        <v>3303</v>
      </c>
      <c r="E695" s="23" t="s">
        <v>3367</v>
      </c>
      <c r="F695" s="23" t="s">
        <v>3305</v>
      </c>
      <c r="G695" s="93">
        <v>0</v>
      </c>
      <c r="H695" s="93">
        <v>0</v>
      </c>
      <c r="I695" s="23"/>
      <c r="J695" s="23"/>
      <c r="K695" s="23"/>
      <c r="L695" s="23" t="s">
        <v>4569</v>
      </c>
      <c r="M695" s="23"/>
    </row>
    <row r="696" spans="2:13" ht="15" customHeight="1" x14ac:dyDescent="0.25">
      <c r="B696" s="35" t="s">
        <v>4570</v>
      </c>
      <c r="C696" s="23" t="s">
        <v>4571</v>
      </c>
      <c r="D696" s="23" t="s">
        <v>3303</v>
      </c>
      <c r="E696" s="23" t="s">
        <v>3304</v>
      </c>
      <c r="F696" s="23" t="s">
        <v>3305</v>
      </c>
      <c r="G696" s="93">
        <v>0</v>
      </c>
      <c r="H696" s="93">
        <v>0</v>
      </c>
      <c r="I696" s="23"/>
      <c r="J696" s="23"/>
      <c r="K696" s="23"/>
      <c r="L696" s="23" t="s">
        <v>4572</v>
      </c>
      <c r="M696" s="23"/>
    </row>
    <row r="697" spans="2:13" ht="15" customHeight="1" x14ac:dyDescent="0.25">
      <c r="B697" s="35" t="s">
        <v>4573</v>
      </c>
      <c r="C697" s="23" t="s">
        <v>4574</v>
      </c>
      <c r="D697" s="23" t="s">
        <v>3303</v>
      </c>
      <c r="E697" s="23" t="s">
        <v>3317</v>
      </c>
      <c r="F697" s="23" t="s">
        <v>3305</v>
      </c>
      <c r="G697" s="93">
        <v>3</v>
      </c>
      <c r="H697" s="93">
        <v>1</v>
      </c>
      <c r="I697" s="23"/>
      <c r="J697" s="23"/>
      <c r="K697" s="23"/>
      <c r="L697" s="23" t="s">
        <v>4572</v>
      </c>
      <c r="M697" s="23"/>
    </row>
    <row r="698" spans="2:13" ht="15" customHeight="1" x14ac:dyDescent="0.25">
      <c r="B698" s="35" t="s">
        <v>4575</v>
      </c>
      <c r="C698" s="23" t="s">
        <v>4576</v>
      </c>
      <c r="D698" s="23" t="s">
        <v>3303</v>
      </c>
      <c r="E698" s="23" t="s">
        <v>3304</v>
      </c>
      <c r="F698" s="23" t="s">
        <v>3305</v>
      </c>
      <c r="G698" s="93">
        <v>0</v>
      </c>
      <c r="H698" s="93">
        <v>0</v>
      </c>
      <c r="I698" s="23"/>
      <c r="J698" s="23"/>
      <c r="K698" s="23"/>
      <c r="L698" s="23" t="s">
        <v>4577</v>
      </c>
      <c r="M698" s="23"/>
    </row>
    <row r="699" spans="2:13" ht="15" customHeight="1" x14ac:dyDescent="0.25">
      <c r="B699" s="35" t="s">
        <v>4578</v>
      </c>
      <c r="C699" s="23" t="s">
        <v>4579</v>
      </c>
      <c r="D699" s="23" t="s">
        <v>3303</v>
      </c>
      <c r="E699" s="23" t="s">
        <v>3304</v>
      </c>
      <c r="F699" s="23" t="s">
        <v>3305</v>
      </c>
      <c r="G699" s="93">
        <v>0</v>
      </c>
      <c r="H699" s="93">
        <v>0</v>
      </c>
      <c r="I699" s="23"/>
      <c r="J699" s="23"/>
      <c r="K699" s="23"/>
      <c r="L699" s="23" t="s">
        <v>4580</v>
      </c>
      <c r="M699" s="23"/>
    </row>
    <row r="700" spans="2:13" ht="15" customHeight="1" x14ac:dyDescent="0.25">
      <c r="B700" s="35" t="s">
        <v>4581</v>
      </c>
      <c r="C700" s="23" t="s">
        <v>4582</v>
      </c>
      <c r="D700" s="23" t="s">
        <v>3303</v>
      </c>
      <c r="E700" s="23" t="s">
        <v>3317</v>
      </c>
      <c r="F700" s="23" t="s">
        <v>3305</v>
      </c>
      <c r="G700" s="93">
        <v>3</v>
      </c>
      <c r="H700" s="93">
        <v>0</v>
      </c>
      <c r="I700" s="23"/>
      <c r="J700" s="23"/>
      <c r="K700" s="23"/>
      <c r="L700" s="23" t="s">
        <v>4580</v>
      </c>
      <c r="M700" s="23"/>
    </row>
    <row r="701" spans="2:13" ht="15" customHeight="1" x14ac:dyDescent="0.25">
      <c r="B701" s="35" t="s">
        <v>4583</v>
      </c>
      <c r="C701" s="23" t="s">
        <v>4584</v>
      </c>
      <c r="D701" s="23" t="s">
        <v>3303</v>
      </c>
      <c r="E701" s="23" t="s">
        <v>3317</v>
      </c>
      <c r="F701" s="23" t="s">
        <v>3305</v>
      </c>
      <c r="G701" s="93">
        <v>3</v>
      </c>
      <c r="H701" s="93">
        <v>1</v>
      </c>
      <c r="I701" s="23"/>
      <c r="J701" s="23"/>
      <c r="K701" s="23"/>
      <c r="L701" s="23" t="s">
        <v>4580</v>
      </c>
      <c r="M701" s="23"/>
    </row>
    <row r="702" spans="2:13" ht="15" customHeight="1" x14ac:dyDescent="0.25">
      <c r="B702" s="35" t="s">
        <v>4580</v>
      </c>
      <c r="C702" s="23" t="s">
        <v>4585</v>
      </c>
      <c r="D702" s="23" t="s">
        <v>3303</v>
      </c>
      <c r="E702" s="23" t="s">
        <v>3367</v>
      </c>
      <c r="F702" s="23" t="s">
        <v>3305</v>
      </c>
      <c r="G702" s="93">
        <v>0</v>
      </c>
      <c r="H702" s="93">
        <v>0</v>
      </c>
      <c r="I702" s="23"/>
      <c r="J702" s="23"/>
      <c r="K702" s="23"/>
      <c r="L702" s="23" t="s">
        <v>4577</v>
      </c>
      <c r="M702" s="23"/>
    </row>
    <row r="703" spans="2:13" ht="15" customHeight="1" x14ac:dyDescent="0.25">
      <c r="B703" s="35" t="s">
        <v>4586</v>
      </c>
      <c r="C703" s="23" t="s">
        <v>4587</v>
      </c>
      <c r="D703" s="23" t="s">
        <v>3303</v>
      </c>
      <c r="E703" s="23" t="s">
        <v>3304</v>
      </c>
      <c r="F703" s="23" t="s">
        <v>3305</v>
      </c>
      <c r="G703" s="93">
        <v>0</v>
      </c>
      <c r="H703" s="93">
        <v>0</v>
      </c>
      <c r="I703" s="23"/>
      <c r="J703" s="23"/>
      <c r="K703" s="23"/>
      <c r="L703" s="23" t="s">
        <v>4588</v>
      </c>
      <c r="M703" s="23"/>
    </row>
    <row r="704" spans="2:13" ht="15" customHeight="1" x14ac:dyDescent="0.25">
      <c r="B704" s="35" t="s">
        <v>4589</v>
      </c>
      <c r="C704" s="23" t="s">
        <v>4590</v>
      </c>
      <c r="D704" s="23" t="s">
        <v>3303</v>
      </c>
      <c r="E704" s="23" t="s">
        <v>3317</v>
      </c>
      <c r="F704" s="23" t="s">
        <v>3305</v>
      </c>
      <c r="G704" s="93">
        <v>3</v>
      </c>
      <c r="H704" s="93">
        <v>0</v>
      </c>
      <c r="I704" s="23"/>
      <c r="J704" s="23"/>
      <c r="K704" s="23"/>
      <c r="L704" s="23" t="s">
        <v>4588</v>
      </c>
      <c r="M704" s="23"/>
    </row>
    <row r="705" spans="2:13" ht="15" customHeight="1" x14ac:dyDescent="0.25">
      <c r="B705" s="35" t="s">
        <v>4591</v>
      </c>
      <c r="C705" s="23" t="s">
        <v>4592</v>
      </c>
      <c r="D705" s="23" t="s">
        <v>3303</v>
      </c>
      <c r="E705" s="23" t="s">
        <v>3317</v>
      </c>
      <c r="F705" s="23" t="s">
        <v>3305</v>
      </c>
      <c r="G705" s="93">
        <v>3</v>
      </c>
      <c r="H705" s="93">
        <v>1</v>
      </c>
      <c r="I705" s="23"/>
      <c r="J705" s="23"/>
      <c r="K705" s="23"/>
      <c r="L705" s="23" t="s">
        <v>4588</v>
      </c>
      <c r="M705" s="23"/>
    </row>
    <row r="706" spans="2:13" ht="15" customHeight="1" x14ac:dyDescent="0.25">
      <c r="B706" s="35" t="s">
        <v>4588</v>
      </c>
      <c r="C706" s="23" t="s">
        <v>4593</v>
      </c>
      <c r="D706" s="23" t="s">
        <v>3303</v>
      </c>
      <c r="E706" s="23" t="s">
        <v>3367</v>
      </c>
      <c r="F706" s="23" t="s">
        <v>3305</v>
      </c>
      <c r="G706" s="93">
        <v>0</v>
      </c>
      <c r="H706" s="93">
        <v>0</v>
      </c>
      <c r="I706" s="23"/>
      <c r="J706" s="23"/>
      <c r="K706" s="23"/>
      <c r="L706" s="23" t="s">
        <v>4577</v>
      </c>
      <c r="M706" s="23"/>
    </row>
    <row r="707" spans="2:13" ht="15" customHeight="1" x14ac:dyDescent="0.25">
      <c r="B707" s="35" t="s">
        <v>4594</v>
      </c>
      <c r="C707" s="23" t="s">
        <v>4595</v>
      </c>
      <c r="D707" s="23" t="s">
        <v>3303</v>
      </c>
      <c r="E707" s="23" t="s">
        <v>3304</v>
      </c>
      <c r="F707" s="23" t="s">
        <v>3305</v>
      </c>
      <c r="G707" s="93">
        <v>0</v>
      </c>
      <c r="H707" s="93">
        <v>0</v>
      </c>
      <c r="I707" s="23"/>
      <c r="J707" s="23"/>
      <c r="K707" s="23"/>
      <c r="L707" s="23" t="s">
        <v>4596</v>
      </c>
      <c r="M707" s="23"/>
    </row>
    <row r="708" spans="2:13" ht="15" customHeight="1" x14ac:dyDescent="0.25">
      <c r="B708" s="35" t="s">
        <v>4597</v>
      </c>
      <c r="C708" s="23" t="s">
        <v>4598</v>
      </c>
      <c r="D708" s="23" t="s">
        <v>3303</v>
      </c>
      <c r="E708" s="23" t="s">
        <v>3317</v>
      </c>
      <c r="F708" s="23" t="s">
        <v>3305</v>
      </c>
      <c r="G708" s="93">
        <v>3</v>
      </c>
      <c r="H708" s="93">
        <v>0</v>
      </c>
      <c r="I708" s="23"/>
      <c r="J708" s="23"/>
      <c r="K708" s="23"/>
      <c r="L708" s="23" t="s">
        <v>4596</v>
      </c>
      <c r="M708" s="23"/>
    </row>
    <row r="709" spans="2:13" ht="15" customHeight="1" x14ac:dyDescent="0.25">
      <c r="B709" s="35" t="s">
        <v>4599</v>
      </c>
      <c r="C709" s="23" t="s">
        <v>4600</v>
      </c>
      <c r="D709" s="23" t="s">
        <v>3303</v>
      </c>
      <c r="E709" s="23" t="s">
        <v>3317</v>
      </c>
      <c r="F709" s="23" t="s">
        <v>3305</v>
      </c>
      <c r="G709" s="93">
        <v>3</v>
      </c>
      <c r="H709" s="93">
        <v>1</v>
      </c>
      <c r="I709" s="23"/>
      <c r="J709" s="23"/>
      <c r="K709" s="23"/>
      <c r="L709" s="23" t="s">
        <v>4596</v>
      </c>
      <c r="M709" s="23"/>
    </row>
    <row r="710" spans="2:13" ht="15" customHeight="1" x14ac:dyDescent="0.25">
      <c r="B710" s="35" t="s">
        <v>4596</v>
      </c>
      <c r="C710" s="23" t="s">
        <v>4601</v>
      </c>
      <c r="D710" s="23" t="s">
        <v>3303</v>
      </c>
      <c r="E710" s="23" t="s">
        <v>3367</v>
      </c>
      <c r="F710" s="23" t="s">
        <v>3305</v>
      </c>
      <c r="G710" s="93">
        <v>0</v>
      </c>
      <c r="H710" s="93">
        <v>0</v>
      </c>
      <c r="I710" s="23"/>
      <c r="J710" s="23"/>
      <c r="K710" s="23"/>
      <c r="L710" s="23" t="s">
        <v>4577</v>
      </c>
      <c r="M710" s="23"/>
    </row>
    <row r="711" spans="2:13" ht="15" customHeight="1" x14ac:dyDescent="0.25">
      <c r="B711" s="35" t="s">
        <v>4602</v>
      </c>
      <c r="C711" s="23" t="s">
        <v>4603</v>
      </c>
      <c r="D711" s="23" t="s">
        <v>3303</v>
      </c>
      <c r="E711" s="23" t="s">
        <v>3304</v>
      </c>
      <c r="F711" s="23" t="s">
        <v>3305</v>
      </c>
      <c r="G711" s="93">
        <v>0</v>
      </c>
      <c r="H711" s="93">
        <v>0</v>
      </c>
      <c r="I711" s="23"/>
      <c r="J711" s="23"/>
      <c r="K711" s="23"/>
      <c r="L711" s="23" t="s">
        <v>4604</v>
      </c>
      <c r="M711" s="23"/>
    </row>
    <row r="712" spans="2:13" ht="15" customHeight="1" x14ac:dyDescent="0.25">
      <c r="B712" s="35" t="s">
        <v>4605</v>
      </c>
      <c r="C712" s="23" t="s">
        <v>4606</v>
      </c>
      <c r="D712" s="23" t="s">
        <v>3303</v>
      </c>
      <c r="E712" s="23" t="s">
        <v>3317</v>
      </c>
      <c r="F712" s="23" t="s">
        <v>3305</v>
      </c>
      <c r="G712" s="93">
        <v>3</v>
      </c>
      <c r="H712" s="93">
        <v>0</v>
      </c>
      <c r="I712" s="23"/>
      <c r="J712" s="23"/>
      <c r="K712" s="23"/>
      <c r="L712" s="23" t="s">
        <v>4604</v>
      </c>
      <c r="M712" s="23"/>
    </row>
    <row r="713" spans="2:13" ht="15" customHeight="1" x14ac:dyDescent="0.25">
      <c r="B713" s="35" t="s">
        <v>4607</v>
      </c>
      <c r="C713" s="23" t="s">
        <v>4608</v>
      </c>
      <c r="D713" s="23" t="s">
        <v>3303</v>
      </c>
      <c r="E713" s="23" t="s">
        <v>3317</v>
      </c>
      <c r="F713" s="23" t="s">
        <v>3305</v>
      </c>
      <c r="G713" s="93">
        <v>3</v>
      </c>
      <c r="H713" s="93">
        <v>1</v>
      </c>
      <c r="I713" s="23"/>
      <c r="J713" s="23"/>
      <c r="K713" s="23"/>
      <c r="L713" s="23" t="s">
        <v>4604</v>
      </c>
      <c r="M713" s="23"/>
    </row>
    <row r="714" spans="2:13" ht="15" customHeight="1" x14ac:dyDescent="0.25">
      <c r="B714" s="35" t="s">
        <v>4604</v>
      </c>
      <c r="C714" s="23" t="s">
        <v>4609</v>
      </c>
      <c r="D714" s="23" t="s">
        <v>3303</v>
      </c>
      <c r="E714" s="23" t="s">
        <v>3367</v>
      </c>
      <c r="F714" s="23" t="s">
        <v>3305</v>
      </c>
      <c r="G714" s="93">
        <v>0</v>
      </c>
      <c r="H714" s="93">
        <v>0</v>
      </c>
      <c r="I714" s="23"/>
      <c r="J714" s="23"/>
      <c r="K714" s="23"/>
      <c r="L714" s="23" t="s">
        <v>4577</v>
      </c>
      <c r="M714" s="23"/>
    </row>
    <row r="715" spans="2:13" ht="15" customHeight="1" x14ac:dyDescent="0.25">
      <c r="B715" s="35" t="s">
        <v>4577</v>
      </c>
      <c r="C715" s="23" t="s">
        <v>4610</v>
      </c>
      <c r="D715" s="23" t="s">
        <v>3303</v>
      </c>
      <c r="E715" s="23" t="s">
        <v>3367</v>
      </c>
      <c r="F715" s="23" t="s">
        <v>3305</v>
      </c>
      <c r="G715" s="93">
        <v>0</v>
      </c>
      <c r="H715" s="93">
        <v>0</v>
      </c>
      <c r="I715" s="23"/>
      <c r="J715" s="23"/>
      <c r="K715" s="23"/>
      <c r="L715" s="23" t="s">
        <v>4572</v>
      </c>
      <c r="M715" s="23"/>
    </row>
    <row r="716" spans="2:13" ht="15" customHeight="1" x14ac:dyDescent="0.25">
      <c r="B716" s="35" t="s">
        <v>4611</v>
      </c>
      <c r="C716" s="23" t="s">
        <v>4612</v>
      </c>
      <c r="D716" s="23" t="s">
        <v>3303</v>
      </c>
      <c r="E716" s="23" t="s">
        <v>3304</v>
      </c>
      <c r="F716" s="23" t="s">
        <v>3305</v>
      </c>
      <c r="G716" s="93">
        <v>0</v>
      </c>
      <c r="H716" s="93">
        <v>0</v>
      </c>
      <c r="I716" s="23"/>
      <c r="J716" s="23"/>
      <c r="K716" s="23"/>
      <c r="L716" s="23" t="s">
        <v>4613</v>
      </c>
      <c r="M716" s="23"/>
    </row>
    <row r="717" spans="2:13" ht="15" customHeight="1" x14ac:dyDescent="0.25">
      <c r="B717" s="35" t="s">
        <v>4614</v>
      </c>
      <c r="C717" s="23" t="s">
        <v>4615</v>
      </c>
      <c r="D717" s="23" t="s">
        <v>3303</v>
      </c>
      <c r="E717" s="23" t="s">
        <v>3317</v>
      </c>
      <c r="F717" s="23" t="s">
        <v>3305</v>
      </c>
      <c r="G717" s="93">
        <v>3</v>
      </c>
      <c r="H717" s="93">
        <v>0</v>
      </c>
      <c r="I717" s="23"/>
      <c r="J717" s="23"/>
      <c r="K717" s="23"/>
      <c r="L717" s="23" t="s">
        <v>4613</v>
      </c>
      <c r="M717" s="23"/>
    </row>
    <row r="718" spans="2:13" ht="15" customHeight="1" x14ac:dyDescent="0.25">
      <c r="B718" s="35" t="s">
        <v>4616</v>
      </c>
      <c r="C718" s="23" t="s">
        <v>4617</v>
      </c>
      <c r="D718" s="23" t="s">
        <v>3303</v>
      </c>
      <c r="E718" s="23" t="s">
        <v>3317</v>
      </c>
      <c r="F718" s="23" t="s">
        <v>3305</v>
      </c>
      <c r="G718" s="93">
        <v>3</v>
      </c>
      <c r="H718" s="93">
        <v>0</v>
      </c>
      <c r="I718" s="23"/>
      <c r="J718" s="23"/>
      <c r="K718" s="23"/>
      <c r="L718" s="23" t="s">
        <v>4613</v>
      </c>
      <c r="M718" s="23"/>
    </row>
    <row r="719" spans="2:13" ht="15" customHeight="1" x14ac:dyDescent="0.25">
      <c r="B719" s="35" t="s">
        <v>4618</v>
      </c>
      <c r="C719" s="23" t="s">
        <v>4619</v>
      </c>
      <c r="D719" s="23" t="s">
        <v>3303</v>
      </c>
      <c r="E719" s="23" t="s">
        <v>3317</v>
      </c>
      <c r="F719" s="23" t="s">
        <v>3305</v>
      </c>
      <c r="G719" s="93">
        <v>3</v>
      </c>
      <c r="H719" s="93">
        <v>0</v>
      </c>
      <c r="I719" s="23"/>
      <c r="J719" s="23"/>
      <c r="K719" s="23"/>
      <c r="L719" s="23" t="s">
        <v>4613</v>
      </c>
      <c r="M719" s="23"/>
    </row>
    <row r="720" spans="2:13" ht="15" customHeight="1" x14ac:dyDescent="0.25">
      <c r="B720" s="35" t="s">
        <v>4620</v>
      </c>
      <c r="C720" s="23" t="s">
        <v>4621</v>
      </c>
      <c r="D720" s="23" t="s">
        <v>3303</v>
      </c>
      <c r="E720" s="23" t="s">
        <v>3317</v>
      </c>
      <c r="F720" s="23" t="s">
        <v>3305</v>
      </c>
      <c r="G720" s="93">
        <v>3</v>
      </c>
      <c r="H720" s="93">
        <v>0</v>
      </c>
      <c r="I720" s="23"/>
      <c r="J720" s="23"/>
      <c r="K720" s="23"/>
      <c r="L720" s="23" t="s">
        <v>4613</v>
      </c>
      <c r="M720" s="23"/>
    </row>
    <row r="721" spans="2:13" ht="15" customHeight="1" x14ac:dyDescent="0.25">
      <c r="B721" s="35" t="s">
        <v>4622</v>
      </c>
      <c r="C721" s="23" t="s">
        <v>4623</v>
      </c>
      <c r="D721" s="23" t="s">
        <v>3303</v>
      </c>
      <c r="E721" s="23" t="s">
        <v>3317</v>
      </c>
      <c r="F721" s="23" t="s">
        <v>3305</v>
      </c>
      <c r="G721" s="93">
        <v>3</v>
      </c>
      <c r="H721" s="93">
        <v>0</v>
      </c>
      <c r="I721" s="23"/>
      <c r="J721" s="23"/>
      <c r="K721" s="23"/>
      <c r="L721" s="23" t="s">
        <v>4613</v>
      </c>
      <c r="M721" s="23"/>
    </row>
    <row r="722" spans="2:13" ht="15" customHeight="1" x14ac:dyDescent="0.25">
      <c r="B722" s="35" t="s">
        <v>4624</v>
      </c>
      <c r="C722" s="23" t="s">
        <v>4625</v>
      </c>
      <c r="D722" s="23" t="s">
        <v>3303</v>
      </c>
      <c r="E722" s="23" t="s">
        <v>3317</v>
      </c>
      <c r="F722" s="23" t="s">
        <v>3305</v>
      </c>
      <c r="G722" s="93">
        <v>3</v>
      </c>
      <c r="H722" s="93">
        <v>0</v>
      </c>
      <c r="I722" s="23"/>
      <c r="J722" s="23"/>
      <c r="K722" s="23"/>
      <c r="L722" s="23" t="s">
        <v>4613</v>
      </c>
      <c r="M722" s="23"/>
    </row>
    <row r="723" spans="2:13" ht="15" customHeight="1" x14ac:dyDescent="0.25">
      <c r="B723" s="35" t="s">
        <v>4613</v>
      </c>
      <c r="C723" s="23" t="s">
        <v>4626</v>
      </c>
      <c r="D723" s="23" t="s">
        <v>3303</v>
      </c>
      <c r="E723" s="23" t="s">
        <v>3367</v>
      </c>
      <c r="F723" s="23" t="s">
        <v>3305</v>
      </c>
      <c r="G723" s="93">
        <v>0</v>
      </c>
      <c r="H723" s="93">
        <v>0</v>
      </c>
      <c r="I723" s="23"/>
      <c r="J723" s="23"/>
      <c r="K723" s="23"/>
      <c r="L723" s="23" t="s">
        <v>4572</v>
      </c>
      <c r="M723" s="23"/>
    </row>
    <row r="724" spans="2:13" ht="15" customHeight="1" x14ac:dyDescent="0.25">
      <c r="B724" s="35" t="s">
        <v>4627</v>
      </c>
      <c r="C724" s="23" t="s">
        <v>4628</v>
      </c>
      <c r="D724" s="23" t="s">
        <v>3303</v>
      </c>
      <c r="E724" s="23" t="s">
        <v>3304</v>
      </c>
      <c r="F724" s="23" t="s">
        <v>3305</v>
      </c>
      <c r="G724" s="93">
        <v>0</v>
      </c>
      <c r="H724" s="93">
        <v>0</v>
      </c>
      <c r="I724" s="23"/>
      <c r="J724" s="23"/>
      <c r="K724" s="23"/>
      <c r="L724" s="23" t="s">
        <v>4629</v>
      </c>
      <c r="M724" s="23"/>
    </row>
    <row r="725" spans="2:13" ht="15" customHeight="1" x14ac:dyDescent="0.25">
      <c r="B725" s="35" t="s">
        <v>4630</v>
      </c>
      <c r="C725" s="23" t="s">
        <v>4631</v>
      </c>
      <c r="D725" s="23" t="s">
        <v>3303</v>
      </c>
      <c r="E725" s="23" t="s">
        <v>3317</v>
      </c>
      <c r="F725" s="23" t="s">
        <v>3305</v>
      </c>
      <c r="G725" s="93">
        <v>3</v>
      </c>
      <c r="H725" s="93">
        <v>0</v>
      </c>
      <c r="I725" s="23"/>
      <c r="J725" s="23"/>
      <c r="K725" s="23"/>
      <c r="L725" s="23" t="s">
        <v>4629</v>
      </c>
      <c r="M725" s="23"/>
    </row>
    <row r="726" spans="2:13" ht="15" customHeight="1" x14ac:dyDescent="0.25">
      <c r="B726" s="35" t="s">
        <v>4632</v>
      </c>
      <c r="C726" s="23" t="s">
        <v>3668</v>
      </c>
      <c r="D726" s="23" t="s">
        <v>3303</v>
      </c>
      <c r="E726" s="23" t="s">
        <v>3317</v>
      </c>
      <c r="F726" s="23" t="s">
        <v>3305</v>
      </c>
      <c r="G726" s="93">
        <v>3</v>
      </c>
      <c r="H726" s="93">
        <v>1</v>
      </c>
      <c r="I726" s="23"/>
      <c r="J726" s="23"/>
      <c r="K726" s="23"/>
      <c r="L726" s="23" t="s">
        <v>4629</v>
      </c>
      <c r="M726" s="23"/>
    </row>
    <row r="727" spans="2:13" ht="15" customHeight="1" x14ac:dyDescent="0.25">
      <c r="B727" s="35" t="s">
        <v>4633</v>
      </c>
      <c r="C727" s="23" t="s">
        <v>4634</v>
      </c>
      <c r="D727" s="23" t="s">
        <v>3303</v>
      </c>
      <c r="E727" s="23" t="s">
        <v>3317</v>
      </c>
      <c r="F727" s="23" t="s">
        <v>3305</v>
      </c>
      <c r="G727" s="93">
        <v>0</v>
      </c>
      <c r="H727" s="93">
        <v>1</v>
      </c>
      <c r="I727" s="23"/>
      <c r="J727" s="23"/>
      <c r="K727" s="23"/>
      <c r="L727" s="23" t="s">
        <v>4629</v>
      </c>
      <c r="M727" s="23" t="s">
        <v>4635</v>
      </c>
    </row>
    <row r="728" spans="2:13" ht="15" customHeight="1" x14ac:dyDescent="0.25">
      <c r="B728" s="35" t="s">
        <v>4636</v>
      </c>
      <c r="C728" s="23" t="s">
        <v>4637</v>
      </c>
      <c r="D728" s="23" t="s">
        <v>3303</v>
      </c>
      <c r="E728" s="23" t="s">
        <v>3317</v>
      </c>
      <c r="F728" s="23" t="s">
        <v>3305</v>
      </c>
      <c r="G728" s="93">
        <v>3</v>
      </c>
      <c r="H728" s="93">
        <v>1</v>
      </c>
      <c r="I728" s="23"/>
      <c r="J728" s="23"/>
      <c r="K728" s="23"/>
      <c r="L728" s="23" t="s">
        <v>4629</v>
      </c>
      <c r="M728" s="23" t="s">
        <v>4635</v>
      </c>
    </row>
    <row r="729" spans="2:13" ht="15" customHeight="1" x14ac:dyDescent="0.25">
      <c r="B729" s="35" t="s">
        <v>4638</v>
      </c>
      <c r="C729" s="23" t="s">
        <v>4639</v>
      </c>
      <c r="D729" s="23" t="s">
        <v>3303</v>
      </c>
      <c r="E729" s="23" t="s">
        <v>3317</v>
      </c>
      <c r="F729" s="23" t="s">
        <v>3305</v>
      </c>
      <c r="G729" s="93">
        <v>3</v>
      </c>
      <c r="H729" s="93">
        <v>1</v>
      </c>
      <c r="I729" s="23"/>
      <c r="J729" s="23"/>
      <c r="K729" s="23"/>
      <c r="L729" s="23" t="s">
        <v>4629</v>
      </c>
      <c r="M729" s="23"/>
    </row>
    <row r="730" spans="2:13" ht="15" customHeight="1" x14ac:dyDescent="0.25">
      <c r="B730" s="35" t="s">
        <v>4640</v>
      </c>
      <c r="C730" s="23" t="s">
        <v>4641</v>
      </c>
      <c r="D730" s="23" t="s">
        <v>3303</v>
      </c>
      <c r="E730" s="23" t="s">
        <v>3317</v>
      </c>
      <c r="F730" s="23" t="s">
        <v>3305</v>
      </c>
      <c r="G730" s="93">
        <v>3</v>
      </c>
      <c r="H730" s="93">
        <v>0</v>
      </c>
      <c r="I730" s="23"/>
      <c r="J730" s="23"/>
      <c r="K730" s="23"/>
      <c r="L730" s="23" t="s">
        <v>4629</v>
      </c>
      <c r="M730" s="23"/>
    </row>
    <row r="731" spans="2:13" ht="15" customHeight="1" x14ac:dyDescent="0.25">
      <c r="B731" s="35" t="s">
        <v>4642</v>
      </c>
      <c r="C731" s="23" t="s">
        <v>4643</v>
      </c>
      <c r="D731" s="23" t="s">
        <v>3303</v>
      </c>
      <c r="E731" s="23" t="s">
        <v>3317</v>
      </c>
      <c r="F731" s="23" t="s">
        <v>3305</v>
      </c>
      <c r="G731" s="93">
        <v>3</v>
      </c>
      <c r="H731" s="93">
        <v>0</v>
      </c>
      <c r="I731" s="23"/>
      <c r="J731" s="23"/>
      <c r="K731" s="23"/>
      <c r="L731" s="23" t="s">
        <v>4629</v>
      </c>
      <c r="M731" s="23"/>
    </row>
    <row r="732" spans="2:13" ht="15" customHeight="1" x14ac:dyDescent="0.25">
      <c r="B732" s="35" t="s">
        <v>4644</v>
      </c>
      <c r="C732" s="23" t="s">
        <v>4645</v>
      </c>
      <c r="D732" s="23" t="s">
        <v>3303</v>
      </c>
      <c r="E732" s="23" t="s">
        <v>3317</v>
      </c>
      <c r="F732" s="23" t="s">
        <v>3305</v>
      </c>
      <c r="G732" s="93">
        <v>3</v>
      </c>
      <c r="H732" s="93">
        <v>1</v>
      </c>
      <c r="I732" s="23"/>
      <c r="J732" s="23"/>
      <c r="K732" s="23"/>
      <c r="L732" s="23" t="s">
        <v>4629</v>
      </c>
      <c r="M732" s="23" t="s">
        <v>4646</v>
      </c>
    </row>
    <row r="733" spans="2:13" ht="15" customHeight="1" x14ac:dyDescent="0.25">
      <c r="B733" s="35" t="s">
        <v>4647</v>
      </c>
      <c r="C733" s="23" t="s">
        <v>4648</v>
      </c>
      <c r="D733" s="23" t="s">
        <v>3303</v>
      </c>
      <c r="E733" s="23" t="s">
        <v>3317</v>
      </c>
      <c r="F733" s="23" t="s">
        <v>3305</v>
      </c>
      <c r="G733" s="93">
        <v>3</v>
      </c>
      <c r="H733" s="93">
        <v>1</v>
      </c>
      <c r="I733" s="23"/>
      <c r="J733" s="23"/>
      <c r="K733" s="23"/>
      <c r="L733" s="23" t="s">
        <v>4629</v>
      </c>
      <c r="M733" s="23" t="s">
        <v>3694</v>
      </c>
    </row>
    <row r="734" spans="2:13" ht="15" customHeight="1" x14ac:dyDescent="0.25">
      <c r="B734" s="35" t="s">
        <v>4649</v>
      </c>
      <c r="C734" s="23" t="s">
        <v>4650</v>
      </c>
      <c r="D734" s="23" t="s">
        <v>3303</v>
      </c>
      <c r="E734" s="23" t="s">
        <v>3317</v>
      </c>
      <c r="F734" s="23" t="s">
        <v>3305</v>
      </c>
      <c r="G734" s="93">
        <v>0</v>
      </c>
      <c r="H734" s="93">
        <v>1</v>
      </c>
      <c r="I734" s="23"/>
      <c r="J734" s="23"/>
      <c r="K734" s="23"/>
      <c r="L734" s="23" t="s">
        <v>4629</v>
      </c>
      <c r="M734" s="23" t="s">
        <v>3694</v>
      </c>
    </row>
    <row r="735" spans="2:13" ht="15" customHeight="1" x14ac:dyDescent="0.25">
      <c r="B735" s="35" t="s">
        <v>4629</v>
      </c>
      <c r="C735" s="23" t="s">
        <v>4651</v>
      </c>
      <c r="D735" s="23" t="s">
        <v>3303</v>
      </c>
      <c r="E735" s="23" t="s">
        <v>3367</v>
      </c>
      <c r="F735" s="23" t="s">
        <v>3305</v>
      </c>
      <c r="G735" s="93">
        <v>0</v>
      </c>
      <c r="H735" s="93">
        <v>0</v>
      </c>
      <c r="I735" s="23"/>
      <c r="J735" s="23"/>
      <c r="K735" s="23"/>
      <c r="L735" s="23" t="s">
        <v>4572</v>
      </c>
      <c r="M735" s="23"/>
    </row>
    <row r="736" spans="2:13" ht="15" customHeight="1" x14ac:dyDescent="0.25">
      <c r="B736" s="35" t="s">
        <v>4652</v>
      </c>
      <c r="C736" s="23" t="s">
        <v>4653</v>
      </c>
      <c r="D736" s="23" t="s">
        <v>3303</v>
      </c>
      <c r="E736" s="23" t="s">
        <v>3304</v>
      </c>
      <c r="F736" s="23" t="s">
        <v>3305</v>
      </c>
      <c r="G736" s="93">
        <v>0</v>
      </c>
      <c r="H736" s="93">
        <v>0</v>
      </c>
      <c r="I736" s="23"/>
      <c r="J736" s="23"/>
      <c r="K736" s="23"/>
      <c r="L736" s="23" t="s">
        <v>4654</v>
      </c>
      <c r="M736" s="23"/>
    </row>
    <row r="737" spans="2:13" ht="15" customHeight="1" x14ac:dyDescent="0.25">
      <c r="B737" s="35" t="s">
        <v>4655</v>
      </c>
      <c r="C737" s="23" t="s">
        <v>4656</v>
      </c>
      <c r="D737" s="23" t="s">
        <v>3303</v>
      </c>
      <c r="E737" s="23" t="s">
        <v>3304</v>
      </c>
      <c r="F737" s="23" t="s">
        <v>3305</v>
      </c>
      <c r="G737" s="93">
        <v>0</v>
      </c>
      <c r="H737" s="93">
        <v>0</v>
      </c>
      <c r="I737" s="23"/>
      <c r="J737" s="23"/>
      <c r="K737" s="23"/>
      <c r="L737" s="23" t="s">
        <v>4657</v>
      </c>
      <c r="M737" s="23"/>
    </row>
    <row r="738" spans="2:13" ht="15" customHeight="1" x14ac:dyDescent="0.25">
      <c r="B738" s="35" t="s">
        <v>2757</v>
      </c>
      <c r="C738" s="23" t="s">
        <v>4658</v>
      </c>
      <c r="D738" s="23" t="s">
        <v>3303</v>
      </c>
      <c r="E738" s="23" t="s">
        <v>3317</v>
      </c>
      <c r="F738" s="23" t="s">
        <v>3305</v>
      </c>
      <c r="G738" s="93">
        <v>3</v>
      </c>
      <c r="H738" s="93">
        <v>1</v>
      </c>
      <c r="I738" s="23"/>
      <c r="J738" s="23"/>
      <c r="K738" s="23"/>
      <c r="L738" s="23" t="s">
        <v>4657</v>
      </c>
      <c r="M738" s="23"/>
    </row>
    <row r="739" spans="2:13" ht="15" customHeight="1" x14ac:dyDescent="0.25">
      <c r="B739" s="35" t="s">
        <v>2657</v>
      </c>
      <c r="C739" s="23" t="s">
        <v>4659</v>
      </c>
      <c r="D739" s="23" t="s">
        <v>3303</v>
      </c>
      <c r="E739" s="23" t="s">
        <v>3317</v>
      </c>
      <c r="F739" s="23" t="s">
        <v>3305</v>
      </c>
      <c r="G739" s="93">
        <v>0</v>
      </c>
      <c r="H739" s="93">
        <v>1</v>
      </c>
      <c r="I739" s="23"/>
      <c r="J739" s="23"/>
      <c r="K739" s="23"/>
      <c r="L739" s="23" t="s">
        <v>4657</v>
      </c>
      <c r="M739" s="23"/>
    </row>
    <row r="740" spans="2:13" ht="15" customHeight="1" x14ac:dyDescent="0.25">
      <c r="B740" s="35" t="s">
        <v>2661</v>
      </c>
      <c r="C740" s="23" t="s">
        <v>4660</v>
      </c>
      <c r="D740" s="23" t="s">
        <v>3303</v>
      </c>
      <c r="E740" s="23" t="s">
        <v>3317</v>
      </c>
      <c r="F740" s="23" t="s">
        <v>3305</v>
      </c>
      <c r="G740" s="93">
        <v>0</v>
      </c>
      <c r="H740" s="93">
        <v>1</v>
      </c>
      <c r="I740" s="23"/>
      <c r="J740" s="23"/>
      <c r="K740" s="23"/>
      <c r="L740" s="23" t="s">
        <v>4657</v>
      </c>
      <c r="M740" s="23"/>
    </row>
    <row r="741" spans="2:13" ht="15" customHeight="1" x14ac:dyDescent="0.25">
      <c r="B741" s="35" t="s">
        <v>2665</v>
      </c>
      <c r="C741" s="23" t="s">
        <v>4661</v>
      </c>
      <c r="D741" s="23" t="s">
        <v>3303</v>
      </c>
      <c r="E741" s="23" t="s">
        <v>3317</v>
      </c>
      <c r="F741" s="23" t="s">
        <v>3305</v>
      </c>
      <c r="G741" s="93">
        <v>0</v>
      </c>
      <c r="H741" s="93">
        <v>1</v>
      </c>
      <c r="I741" s="23"/>
      <c r="J741" s="23"/>
      <c r="K741" s="23"/>
      <c r="L741" s="23" t="s">
        <v>4657</v>
      </c>
      <c r="M741" s="23"/>
    </row>
    <row r="742" spans="2:13" ht="15" customHeight="1" x14ac:dyDescent="0.25">
      <c r="B742" s="35" t="s">
        <v>2669</v>
      </c>
      <c r="C742" s="23" t="s">
        <v>4662</v>
      </c>
      <c r="D742" s="23" t="s">
        <v>3303</v>
      </c>
      <c r="E742" s="23" t="s">
        <v>3317</v>
      </c>
      <c r="F742" s="23" t="s">
        <v>3305</v>
      </c>
      <c r="G742" s="93">
        <v>0</v>
      </c>
      <c r="H742" s="93">
        <v>1</v>
      </c>
      <c r="I742" s="23"/>
      <c r="J742" s="23"/>
      <c r="K742" s="23"/>
      <c r="L742" s="23" t="s">
        <v>4657</v>
      </c>
      <c r="M742" s="23"/>
    </row>
    <row r="743" spans="2:13" ht="15" customHeight="1" x14ac:dyDescent="0.25">
      <c r="B743" s="35" t="s">
        <v>4663</v>
      </c>
      <c r="C743" s="23" t="s">
        <v>4664</v>
      </c>
      <c r="D743" s="23" t="s">
        <v>3303</v>
      </c>
      <c r="E743" s="23" t="s">
        <v>3317</v>
      </c>
      <c r="F743" s="23" t="s">
        <v>3305</v>
      </c>
      <c r="G743" s="93">
        <v>0</v>
      </c>
      <c r="H743" s="93">
        <v>1</v>
      </c>
      <c r="I743" s="23"/>
      <c r="J743" s="23"/>
      <c r="K743" s="23"/>
      <c r="L743" s="23" t="s">
        <v>4657</v>
      </c>
      <c r="M743" s="23" t="s">
        <v>3694</v>
      </c>
    </row>
    <row r="744" spans="2:13" ht="15" customHeight="1" x14ac:dyDescent="0.25">
      <c r="B744" s="35" t="s">
        <v>2675</v>
      </c>
      <c r="C744" s="23" t="s">
        <v>4665</v>
      </c>
      <c r="D744" s="23" t="s">
        <v>3303</v>
      </c>
      <c r="E744" s="23" t="s">
        <v>3317</v>
      </c>
      <c r="F744" s="23" t="s">
        <v>3305</v>
      </c>
      <c r="G744" s="93">
        <v>3</v>
      </c>
      <c r="H744" s="93">
        <v>1</v>
      </c>
      <c r="I744" s="23"/>
      <c r="J744" s="23"/>
      <c r="K744" s="23"/>
      <c r="L744" s="23" t="s">
        <v>4657</v>
      </c>
      <c r="M744" s="23"/>
    </row>
    <row r="745" spans="2:13" ht="15" customHeight="1" x14ac:dyDescent="0.25">
      <c r="B745" s="35" t="s">
        <v>2679</v>
      </c>
      <c r="C745" s="23" t="s">
        <v>4666</v>
      </c>
      <c r="D745" s="23" t="s">
        <v>3303</v>
      </c>
      <c r="E745" s="23" t="s">
        <v>3317</v>
      </c>
      <c r="F745" s="23" t="s">
        <v>3305</v>
      </c>
      <c r="G745" s="93">
        <v>3</v>
      </c>
      <c r="H745" s="93">
        <v>1</v>
      </c>
      <c r="I745" s="23"/>
      <c r="J745" s="23"/>
      <c r="K745" s="23"/>
      <c r="L745" s="23" t="s">
        <v>4657</v>
      </c>
      <c r="M745" s="23"/>
    </row>
    <row r="746" spans="2:13" ht="15" customHeight="1" x14ac:dyDescent="0.25">
      <c r="B746" s="35" t="s">
        <v>2683</v>
      </c>
      <c r="C746" s="23" t="s">
        <v>4667</v>
      </c>
      <c r="D746" s="23" t="s">
        <v>3303</v>
      </c>
      <c r="E746" s="23" t="s">
        <v>3317</v>
      </c>
      <c r="F746" s="23" t="s">
        <v>3305</v>
      </c>
      <c r="G746" s="93">
        <v>3</v>
      </c>
      <c r="H746" s="93">
        <v>1</v>
      </c>
      <c r="I746" s="23"/>
      <c r="J746" s="23"/>
      <c r="K746" s="23"/>
      <c r="L746" s="23" t="s">
        <v>4657</v>
      </c>
      <c r="M746" s="23"/>
    </row>
    <row r="747" spans="2:13" ht="15" customHeight="1" x14ac:dyDescent="0.25">
      <c r="B747" s="35" t="s">
        <v>2687</v>
      </c>
      <c r="C747" s="23" t="s">
        <v>4668</v>
      </c>
      <c r="D747" s="23" t="s">
        <v>3303</v>
      </c>
      <c r="E747" s="23" t="s">
        <v>3317</v>
      </c>
      <c r="F747" s="23" t="s">
        <v>3305</v>
      </c>
      <c r="G747" s="93">
        <v>0</v>
      </c>
      <c r="H747" s="93">
        <v>1</v>
      </c>
      <c r="I747" s="23"/>
      <c r="J747" s="23"/>
      <c r="K747" s="23"/>
      <c r="L747" s="23" t="s">
        <v>4657</v>
      </c>
      <c r="M747" s="23"/>
    </row>
    <row r="748" spans="2:13" ht="15" customHeight="1" x14ac:dyDescent="0.25">
      <c r="B748" s="35" t="s">
        <v>2691</v>
      </c>
      <c r="C748" s="23" t="s">
        <v>4669</v>
      </c>
      <c r="D748" s="23" t="s">
        <v>3303</v>
      </c>
      <c r="E748" s="23" t="s">
        <v>3317</v>
      </c>
      <c r="F748" s="23" t="s">
        <v>3305</v>
      </c>
      <c r="G748" s="93">
        <v>3</v>
      </c>
      <c r="H748" s="93">
        <v>1</v>
      </c>
      <c r="I748" s="23"/>
      <c r="J748" s="23"/>
      <c r="K748" s="23"/>
      <c r="L748" s="23" t="s">
        <v>4657</v>
      </c>
      <c r="M748" s="23"/>
    </row>
    <row r="749" spans="2:13" ht="15" customHeight="1" x14ac:dyDescent="0.25">
      <c r="B749" s="35" t="s">
        <v>4670</v>
      </c>
      <c r="C749" s="23" t="s">
        <v>4671</v>
      </c>
      <c r="D749" s="23" t="s">
        <v>3303</v>
      </c>
      <c r="E749" s="23" t="s">
        <v>3317</v>
      </c>
      <c r="F749" s="23" t="s">
        <v>3305</v>
      </c>
      <c r="G749" s="93">
        <v>3</v>
      </c>
      <c r="H749" s="93">
        <v>0</v>
      </c>
      <c r="I749" s="23"/>
      <c r="J749" s="23"/>
      <c r="K749" s="23"/>
      <c r="L749" s="23" t="s">
        <v>4657</v>
      </c>
      <c r="M749" s="23"/>
    </row>
    <row r="750" spans="2:13" ht="15" customHeight="1" x14ac:dyDescent="0.25">
      <c r="B750" s="35" t="s">
        <v>4672</v>
      </c>
      <c r="C750" s="23" t="s">
        <v>4673</v>
      </c>
      <c r="D750" s="23" t="s">
        <v>3303</v>
      </c>
      <c r="E750" s="23" t="s">
        <v>3317</v>
      </c>
      <c r="F750" s="23" t="s">
        <v>3305</v>
      </c>
      <c r="G750" s="93">
        <v>3</v>
      </c>
      <c r="H750" s="93">
        <v>1</v>
      </c>
      <c r="I750" s="23"/>
      <c r="J750" s="23"/>
      <c r="K750" s="23"/>
      <c r="L750" s="23" t="s">
        <v>4657</v>
      </c>
      <c r="M750" s="23"/>
    </row>
    <row r="751" spans="2:13" ht="15" customHeight="1" x14ac:dyDescent="0.25">
      <c r="B751" s="35" t="s">
        <v>4674</v>
      </c>
      <c r="C751" s="23" t="s">
        <v>4675</v>
      </c>
      <c r="D751" s="23" t="s">
        <v>3303</v>
      </c>
      <c r="E751" s="23" t="s">
        <v>3317</v>
      </c>
      <c r="F751" s="23" t="s">
        <v>3305</v>
      </c>
      <c r="G751" s="93">
        <v>3</v>
      </c>
      <c r="H751" s="93">
        <v>0</v>
      </c>
      <c r="I751" s="23"/>
      <c r="J751" s="23"/>
      <c r="K751" s="23"/>
      <c r="L751" s="23" t="s">
        <v>4657</v>
      </c>
      <c r="M751" s="23"/>
    </row>
    <row r="752" spans="2:13" ht="15" customHeight="1" x14ac:dyDescent="0.25">
      <c r="B752" s="35" t="s">
        <v>4657</v>
      </c>
      <c r="C752" s="23" t="s">
        <v>4676</v>
      </c>
      <c r="D752" s="23" t="s">
        <v>3303</v>
      </c>
      <c r="E752" s="23" t="s">
        <v>3367</v>
      </c>
      <c r="F752" s="23" t="s">
        <v>3305</v>
      </c>
      <c r="G752" s="93">
        <v>0</v>
      </c>
      <c r="H752" s="93">
        <v>0</v>
      </c>
      <c r="I752" s="23"/>
      <c r="J752" s="23"/>
      <c r="K752" s="23"/>
      <c r="L752" s="23" t="s">
        <v>4654</v>
      </c>
      <c r="M752" s="23"/>
    </row>
    <row r="753" spans="2:13" ht="15" customHeight="1" x14ac:dyDescent="0.25">
      <c r="B753" s="35" t="s">
        <v>4677</v>
      </c>
      <c r="C753" s="23" t="s">
        <v>4678</v>
      </c>
      <c r="D753" s="23" t="s">
        <v>3303</v>
      </c>
      <c r="E753" s="23" t="s">
        <v>3304</v>
      </c>
      <c r="F753" s="23" t="s">
        <v>3305</v>
      </c>
      <c r="G753" s="93">
        <v>0</v>
      </c>
      <c r="H753" s="93">
        <v>0</v>
      </c>
      <c r="I753" s="23"/>
      <c r="J753" s="23"/>
      <c r="K753" s="23"/>
      <c r="L753" s="23" t="s">
        <v>4679</v>
      </c>
      <c r="M753" s="23"/>
    </row>
    <row r="754" spans="2:13" ht="15" customHeight="1" x14ac:dyDescent="0.25">
      <c r="B754" s="35" t="s">
        <v>4680</v>
      </c>
      <c r="C754" s="23" t="s">
        <v>4681</v>
      </c>
      <c r="D754" s="23" t="s">
        <v>3303</v>
      </c>
      <c r="E754" s="23" t="s">
        <v>3304</v>
      </c>
      <c r="F754" s="23" t="s">
        <v>3305</v>
      </c>
      <c r="G754" s="93">
        <v>0</v>
      </c>
      <c r="H754" s="93">
        <v>1</v>
      </c>
      <c r="I754" s="23"/>
      <c r="J754" s="23"/>
      <c r="K754" s="23"/>
      <c r="L754" s="23" t="s">
        <v>4682</v>
      </c>
      <c r="M754" s="23"/>
    </row>
    <row r="755" spans="2:13" ht="15" customHeight="1" x14ac:dyDescent="0.25">
      <c r="B755" s="35" t="s">
        <v>2699</v>
      </c>
      <c r="C755" s="23" t="s">
        <v>4683</v>
      </c>
      <c r="D755" s="23" t="s">
        <v>3303</v>
      </c>
      <c r="E755" s="23" t="s">
        <v>3317</v>
      </c>
      <c r="F755" s="23" t="s">
        <v>3305</v>
      </c>
      <c r="G755" s="93">
        <v>0</v>
      </c>
      <c r="H755" s="93">
        <v>1</v>
      </c>
      <c r="I755" s="23"/>
      <c r="J755" s="23"/>
      <c r="K755" s="23"/>
      <c r="L755" s="23" t="s">
        <v>4682</v>
      </c>
      <c r="M755" s="23"/>
    </row>
    <row r="756" spans="2:13" ht="15" customHeight="1" x14ac:dyDescent="0.25">
      <c r="B756" s="35" t="s">
        <v>2703</v>
      </c>
      <c r="C756" s="23" t="s">
        <v>4684</v>
      </c>
      <c r="D756" s="23" t="s">
        <v>3303</v>
      </c>
      <c r="E756" s="23" t="s">
        <v>3317</v>
      </c>
      <c r="F756" s="23" t="s">
        <v>3305</v>
      </c>
      <c r="G756" s="93">
        <v>3</v>
      </c>
      <c r="H756" s="93">
        <v>1</v>
      </c>
      <c r="I756" s="23"/>
      <c r="J756" s="23"/>
      <c r="K756" s="23"/>
      <c r="L756" s="23" t="s">
        <v>4682</v>
      </c>
      <c r="M756" s="23"/>
    </row>
    <row r="757" spans="2:13" ht="15" customHeight="1" x14ac:dyDescent="0.25">
      <c r="B757" s="35" t="s">
        <v>2759</v>
      </c>
      <c r="C757" s="23" t="s">
        <v>4685</v>
      </c>
      <c r="D757" s="23" t="s">
        <v>3303</v>
      </c>
      <c r="E757" s="23" t="s">
        <v>3317</v>
      </c>
      <c r="F757" s="23" t="s">
        <v>3305</v>
      </c>
      <c r="G757" s="93">
        <v>3</v>
      </c>
      <c r="H757" s="93">
        <v>1</v>
      </c>
      <c r="I757" s="23"/>
      <c r="J757" s="23"/>
      <c r="K757" s="23"/>
      <c r="L757" s="23" t="s">
        <v>4682</v>
      </c>
      <c r="M757" s="23"/>
    </row>
    <row r="758" spans="2:13" ht="15" customHeight="1" x14ac:dyDescent="0.25">
      <c r="B758" s="35" t="s">
        <v>2707</v>
      </c>
      <c r="C758" s="23" t="s">
        <v>4686</v>
      </c>
      <c r="D758" s="23" t="s">
        <v>3303</v>
      </c>
      <c r="E758" s="23" t="s">
        <v>3317</v>
      </c>
      <c r="F758" s="23" t="s">
        <v>3305</v>
      </c>
      <c r="G758" s="93">
        <v>0</v>
      </c>
      <c r="H758" s="93">
        <v>1</v>
      </c>
      <c r="I758" s="23"/>
      <c r="J758" s="23"/>
      <c r="K758" s="23"/>
      <c r="L758" s="23" t="s">
        <v>4682</v>
      </c>
      <c r="M758" s="23"/>
    </row>
    <row r="759" spans="2:13" ht="15" customHeight="1" x14ac:dyDescent="0.25">
      <c r="B759" s="35" t="s">
        <v>2711</v>
      </c>
      <c r="C759" s="23" t="s">
        <v>4687</v>
      </c>
      <c r="D759" s="23" t="s">
        <v>3303</v>
      </c>
      <c r="E759" s="23" t="s">
        <v>3317</v>
      </c>
      <c r="F759" s="23" t="s">
        <v>3305</v>
      </c>
      <c r="G759" s="93">
        <v>0</v>
      </c>
      <c r="H759" s="93">
        <v>1</v>
      </c>
      <c r="I759" s="23"/>
      <c r="J759" s="23"/>
      <c r="K759" s="23"/>
      <c r="L759" s="23" t="s">
        <v>4682</v>
      </c>
      <c r="M759" s="23"/>
    </row>
    <row r="760" spans="2:13" ht="15" customHeight="1" x14ac:dyDescent="0.25">
      <c r="B760" s="35" t="s">
        <v>2715</v>
      </c>
      <c r="C760" s="23" t="s">
        <v>4688</v>
      </c>
      <c r="D760" s="23" t="s">
        <v>3303</v>
      </c>
      <c r="E760" s="23" t="s">
        <v>3317</v>
      </c>
      <c r="F760" s="23" t="s">
        <v>3305</v>
      </c>
      <c r="G760" s="93">
        <v>0</v>
      </c>
      <c r="H760" s="93">
        <v>1</v>
      </c>
      <c r="I760" s="23"/>
      <c r="J760" s="23"/>
      <c r="K760" s="23"/>
      <c r="L760" s="23" t="s">
        <v>4682</v>
      </c>
      <c r="M760" s="23"/>
    </row>
    <row r="761" spans="2:13" ht="15" customHeight="1" x14ac:dyDescent="0.25">
      <c r="B761" s="35" t="s">
        <v>2719</v>
      </c>
      <c r="C761" s="23" t="s">
        <v>4689</v>
      </c>
      <c r="D761" s="23" t="s">
        <v>3303</v>
      </c>
      <c r="E761" s="23" t="s">
        <v>3317</v>
      </c>
      <c r="F761" s="23" t="s">
        <v>3305</v>
      </c>
      <c r="G761" s="93">
        <v>3</v>
      </c>
      <c r="H761" s="93">
        <v>1</v>
      </c>
      <c r="I761" s="23"/>
      <c r="J761" s="23"/>
      <c r="K761" s="23"/>
      <c r="L761" s="23" t="s">
        <v>4682</v>
      </c>
      <c r="M761" s="23"/>
    </row>
    <row r="762" spans="2:13" ht="15" customHeight="1" x14ac:dyDescent="0.25">
      <c r="B762" s="35" t="s">
        <v>2723</v>
      </c>
      <c r="C762" s="23" t="s">
        <v>2724</v>
      </c>
      <c r="D762" s="23" t="s">
        <v>3303</v>
      </c>
      <c r="E762" s="23" t="s">
        <v>3317</v>
      </c>
      <c r="F762" s="23" t="s">
        <v>3305</v>
      </c>
      <c r="G762" s="93">
        <v>3</v>
      </c>
      <c r="H762" s="93">
        <v>1</v>
      </c>
      <c r="I762" s="23"/>
      <c r="J762" s="23"/>
      <c r="K762" s="23"/>
      <c r="L762" s="23" t="s">
        <v>4682</v>
      </c>
      <c r="M762" s="23"/>
    </row>
    <row r="763" spans="2:13" ht="15" customHeight="1" x14ac:dyDescent="0.25">
      <c r="B763" s="35" t="s">
        <v>4682</v>
      </c>
      <c r="C763" s="23" t="s">
        <v>4690</v>
      </c>
      <c r="D763" s="23" t="s">
        <v>3303</v>
      </c>
      <c r="E763" s="23" t="s">
        <v>3367</v>
      </c>
      <c r="F763" s="23" t="s">
        <v>3305</v>
      </c>
      <c r="G763" s="93">
        <v>0</v>
      </c>
      <c r="H763" s="93">
        <v>1</v>
      </c>
      <c r="I763" s="23"/>
      <c r="J763" s="23"/>
      <c r="K763" s="23"/>
      <c r="L763" s="23" t="s">
        <v>4679</v>
      </c>
      <c r="M763" s="23"/>
    </row>
    <row r="764" spans="2:13" ht="15" customHeight="1" x14ac:dyDescent="0.25">
      <c r="B764" s="35" t="s">
        <v>4679</v>
      </c>
      <c r="C764" s="23" t="s">
        <v>4691</v>
      </c>
      <c r="D764" s="23" t="s">
        <v>3303</v>
      </c>
      <c r="E764" s="23" t="s">
        <v>3367</v>
      </c>
      <c r="F764" s="23" t="s">
        <v>3305</v>
      </c>
      <c r="G764" s="93">
        <v>0</v>
      </c>
      <c r="H764" s="93">
        <v>0</v>
      </c>
      <c r="I764" s="23"/>
      <c r="J764" s="23"/>
      <c r="K764" s="23"/>
      <c r="L764" s="23" t="s">
        <v>4654</v>
      </c>
      <c r="M764" s="23"/>
    </row>
    <row r="765" spans="2:13" ht="15" customHeight="1" x14ac:dyDescent="0.25">
      <c r="B765" s="35" t="s">
        <v>4654</v>
      </c>
      <c r="C765" s="23" t="s">
        <v>4692</v>
      </c>
      <c r="D765" s="23" t="s">
        <v>3303</v>
      </c>
      <c r="E765" s="23" t="s">
        <v>3367</v>
      </c>
      <c r="F765" s="23" t="s">
        <v>3305</v>
      </c>
      <c r="G765" s="93">
        <v>0</v>
      </c>
      <c r="H765" s="93">
        <v>0</v>
      </c>
      <c r="I765" s="23"/>
      <c r="J765" s="23"/>
      <c r="K765" s="23"/>
      <c r="L765" s="23" t="s">
        <v>4572</v>
      </c>
      <c r="M765" s="23"/>
    </row>
    <row r="766" spans="2:13" ht="15" customHeight="1" x14ac:dyDescent="0.25">
      <c r="B766" s="35" t="s">
        <v>4693</v>
      </c>
      <c r="C766" s="23" t="s">
        <v>4694</v>
      </c>
      <c r="D766" s="23" t="s">
        <v>3303</v>
      </c>
      <c r="E766" s="23" t="s">
        <v>3304</v>
      </c>
      <c r="F766" s="23" t="s">
        <v>3305</v>
      </c>
      <c r="G766" s="93">
        <v>0</v>
      </c>
      <c r="H766" s="93">
        <v>0</v>
      </c>
      <c r="I766" s="23"/>
      <c r="J766" s="23"/>
      <c r="K766" s="23"/>
      <c r="L766" s="23" t="s">
        <v>4695</v>
      </c>
      <c r="M766" s="23"/>
    </row>
    <row r="767" spans="2:13" ht="15" customHeight="1" x14ac:dyDescent="0.25">
      <c r="B767" s="35" t="s">
        <v>4696</v>
      </c>
      <c r="C767" s="23" t="s">
        <v>4697</v>
      </c>
      <c r="D767" s="23" t="s">
        <v>3303</v>
      </c>
      <c r="E767" s="23" t="s">
        <v>3317</v>
      </c>
      <c r="F767" s="23" t="s">
        <v>3305</v>
      </c>
      <c r="G767" s="93">
        <v>3</v>
      </c>
      <c r="H767" s="93">
        <v>0</v>
      </c>
      <c r="I767" s="23"/>
      <c r="J767" s="23"/>
      <c r="K767" s="23"/>
      <c r="L767" s="23" t="s">
        <v>4695</v>
      </c>
      <c r="M767" s="23"/>
    </row>
    <row r="768" spans="2:13" ht="15" customHeight="1" x14ac:dyDescent="0.25">
      <c r="B768" s="35" t="s">
        <v>4698</v>
      </c>
      <c r="C768" s="23" t="s">
        <v>4699</v>
      </c>
      <c r="D768" s="23" t="s">
        <v>3303</v>
      </c>
      <c r="E768" s="23" t="s">
        <v>3317</v>
      </c>
      <c r="F768" s="23" t="s">
        <v>3305</v>
      </c>
      <c r="G768" s="93">
        <v>3</v>
      </c>
      <c r="H768" s="93">
        <v>1</v>
      </c>
      <c r="I768" s="23"/>
      <c r="J768" s="23"/>
      <c r="K768" s="23"/>
      <c r="L768" s="23" t="s">
        <v>4695</v>
      </c>
      <c r="M768" s="23"/>
    </row>
    <row r="769" spans="2:13" ht="15" customHeight="1" x14ac:dyDescent="0.25">
      <c r="B769" s="35" t="s">
        <v>4700</v>
      </c>
      <c r="C769" s="23" t="s">
        <v>4701</v>
      </c>
      <c r="D769" s="23" t="s">
        <v>3303</v>
      </c>
      <c r="E769" s="23" t="s">
        <v>3317</v>
      </c>
      <c r="F769" s="23" t="s">
        <v>3305</v>
      </c>
      <c r="G769" s="93">
        <v>3</v>
      </c>
      <c r="H769" s="93">
        <v>0</v>
      </c>
      <c r="I769" s="23"/>
      <c r="J769" s="23"/>
      <c r="K769" s="23"/>
      <c r="L769" s="23" t="s">
        <v>4695</v>
      </c>
      <c r="M769" s="23"/>
    </row>
    <row r="770" spans="2:13" ht="15" customHeight="1" x14ac:dyDescent="0.25">
      <c r="B770" s="35" t="s">
        <v>4702</v>
      </c>
      <c r="C770" s="23" t="s">
        <v>4703</v>
      </c>
      <c r="D770" s="23" t="s">
        <v>3303</v>
      </c>
      <c r="E770" s="23" t="s">
        <v>3317</v>
      </c>
      <c r="F770" s="23" t="s">
        <v>3305</v>
      </c>
      <c r="G770" s="93">
        <v>3</v>
      </c>
      <c r="H770" s="93">
        <v>0</v>
      </c>
      <c r="I770" s="23"/>
      <c r="J770" s="23"/>
      <c r="K770" s="23"/>
      <c r="L770" s="23" t="s">
        <v>4695</v>
      </c>
      <c r="M770" s="23"/>
    </row>
    <row r="771" spans="2:13" ht="15" customHeight="1" x14ac:dyDescent="0.25">
      <c r="B771" s="35" t="s">
        <v>4704</v>
      </c>
      <c r="C771" s="23" t="s">
        <v>4705</v>
      </c>
      <c r="D771" s="23" t="s">
        <v>3303</v>
      </c>
      <c r="E771" s="23" t="s">
        <v>3317</v>
      </c>
      <c r="F771" s="23" t="s">
        <v>3305</v>
      </c>
      <c r="G771" s="93">
        <v>3</v>
      </c>
      <c r="H771" s="93">
        <v>0</v>
      </c>
      <c r="I771" s="23"/>
      <c r="J771" s="23"/>
      <c r="K771" s="23"/>
      <c r="L771" s="23" t="s">
        <v>4695</v>
      </c>
      <c r="M771" s="23"/>
    </row>
    <row r="772" spans="2:13" ht="15" customHeight="1" x14ac:dyDescent="0.25">
      <c r="B772" s="35" t="s">
        <v>4695</v>
      </c>
      <c r="C772" s="23" t="s">
        <v>4706</v>
      </c>
      <c r="D772" s="23" t="s">
        <v>3303</v>
      </c>
      <c r="E772" s="23" t="s">
        <v>3367</v>
      </c>
      <c r="F772" s="23" t="s">
        <v>3305</v>
      </c>
      <c r="G772" s="93">
        <v>0</v>
      </c>
      <c r="H772" s="93">
        <v>0</v>
      </c>
      <c r="I772" s="23"/>
      <c r="J772" s="23"/>
      <c r="K772" s="23"/>
      <c r="L772" s="23" t="s">
        <v>4572</v>
      </c>
      <c r="M772" s="23"/>
    </row>
    <row r="773" spans="2:13" ht="15" customHeight="1" x14ac:dyDescent="0.25">
      <c r="B773" s="35" t="s">
        <v>4707</v>
      </c>
      <c r="C773" s="23" t="s">
        <v>4708</v>
      </c>
      <c r="D773" s="23" t="s">
        <v>3303</v>
      </c>
      <c r="E773" s="23" t="s">
        <v>3304</v>
      </c>
      <c r="F773" s="23" t="s">
        <v>3305</v>
      </c>
      <c r="G773" s="93">
        <v>0</v>
      </c>
      <c r="H773" s="93">
        <v>0</v>
      </c>
      <c r="I773" s="23"/>
      <c r="J773" s="23"/>
      <c r="K773" s="23"/>
      <c r="L773" s="23" t="s">
        <v>4709</v>
      </c>
      <c r="M773" s="23"/>
    </row>
    <row r="774" spans="2:13" ht="15" customHeight="1" x14ac:dyDescent="0.25">
      <c r="B774" s="35" t="s">
        <v>4710</v>
      </c>
      <c r="C774" s="23" t="s">
        <v>4711</v>
      </c>
      <c r="D774" s="23" t="s">
        <v>3303</v>
      </c>
      <c r="E774" s="23" t="s">
        <v>3317</v>
      </c>
      <c r="F774" s="23" t="s">
        <v>3305</v>
      </c>
      <c r="G774" s="93">
        <v>3</v>
      </c>
      <c r="H774" s="93">
        <v>1</v>
      </c>
      <c r="I774" s="23"/>
      <c r="J774" s="23"/>
      <c r="K774" s="23"/>
      <c r="L774" s="23" t="s">
        <v>4709</v>
      </c>
      <c r="M774" s="23"/>
    </row>
    <row r="775" spans="2:13" ht="15" customHeight="1" x14ac:dyDescent="0.25">
      <c r="B775" s="35" t="s">
        <v>4712</v>
      </c>
      <c r="C775" s="23" t="s">
        <v>4713</v>
      </c>
      <c r="D775" s="23" t="s">
        <v>3303</v>
      </c>
      <c r="E775" s="23" t="s">
        <v>3317</v>
      </c>
      <c r="F775" s="23" t="s">
        <v>3305</v>
      </c>
      <c r="G775" s="93">
        <v>3</v>
      </c>
      <c r="H775" s="93">
        <v>1</v>
      </c>
      <c r="I775" s="23"/>
      <c r="J775" s="23"/>
      <c r="K775" s="23"/>
      <c r="L775" s="23" t="s">
        <v>4709</v>
      </c>
      <c r="M775" s="23"/>
    </row>
    <row r="776" spans="2:13" ht="15" customHeight="1" x14ac:dyDescent="0.25">
      <c r="B776" s="35" t="s">
        <v>4714</v>
      </c>
      <c r="C776" s="23" t="s">
        <v>4715</v>
      </c>
      <c r="D776" s="23" t="s">
        <v>3303</v>
      </c>
      <c r="E776" s="23" t="s">
        <v>3317</v>
      </c>
      <c r="F776" s="23" t="s">
        <v>3305</v>
      </c>
      <c r="G776" s="93">
        <v>3</v>
      </c>
      <c r="H776" s="93">
        <v>1</v>
      </c>
      <c r="I776" s="23"/>
      <c r="J776" s="23"/>
      <c r="K776" s="23"/>
      <c r="L776" s="23" t="s">
        <v>4709</v>
      </c>
      <c r="M776" s="23" t="s">
        <v>4716</v>
      </c>
    </row>
    <row r="777" spans="2:13" ht="15" customHeight="1" x14ac:dyDescent="0.25">
      <c r="B777" s="35" t="s">
        <v>4717</v>
      </c>
      <c r="C777" s="23" t="s">
        <v>4718</v>
      </c>
      <c r="D777" s="23" t="s">
        <v>3303</v>
      </c>
      <c r="E777" s="23" t="s">
        <v>3317</v>
      </c>
      <c r="F777" s="23" t="s">
        <v>3305</v>
      </c>
      <c r="G777" s="93">
        <v>3</v>
      </c>
      <c r="H777" s="93">
        <v>0</v>
      </c>
      <c r="I777" s="23"/>
      <c r="J777" s="23"/>
      <c r="K777" s="23"/>
      <c r="L777" s="23" t="s">
        <v>4709</v>
      </c>
      <c r="M777" s="23"/>
    </row>
    <row r="778" spans="2:13" ht="15" customHeight="1" x14ac:dyDescent="0.25">
      <c r="B778" s="35" t="s">
        <v>4719</v>
      </c>
      <c r="C778" s="23" t="s">
        <v>4720</v>
      </c>
      <c r="D778" s="23" t="s">
        <v>3303</v>
      </c>
      <c r="E778" s="23" t="s">
        <v>3317</v>
      </c>
      <c r="F778" s="23" t="s">
        <v>3305</v>
      </c>
      <c r="G778" s="93">
        <v>3</v>
      </c>
      <c r="H778" s="93">
        <v>1</v>
      </c>
      <c r="I778" s="23"/>
      <c r="J778" s="23"/>
      <c r="K778" s="23"/>
      <c r="L778" s="23" t="s">
        <v>4709</v>
      </c>
      <c r="M778" s="23"/>
    </row>
    <row r="779" spans="2:13" ht="15" customHeight="1" x14ac:dyDescent="0.25">
      <c r="B779" s="35" t="s">
        <v>4721</v>
      </c>
      <c r="C779" s="23" t="s">
        <v>4722</v>
      </c>
      <c r="D779" s="23" t="s">
        <v>3303</v>
      </c>
      <c r="E779" s="23" t="s">
        <v>3317</v>
      </c>
      <c r="F779" s="23" t="s">
        <v>3305</v>
      </c>
      <c r="G779" s="93">
        <v>3</v>
      </c>
      <c r="H779" s="93">
        <v>0</v>
      </c>
      <c r="I779" s="23"/>
      <c r="J779" s="23"/>
      <c r="K779" s="23"/>
      <c r="L779" s="23" t="s">
        <v>4709</v>
      </c>
      <c r="M779" s="23"/>
    </row>
    <row r="780" spans="2:13" ht="15" customHeight="1" x14ac:dyDescent="0.25">
      <c r="B780" s="35" t="s">
        <v>4723</v>
      </c>
      <c r="C780" s="23" t="s">
        <v>4724</v>
      </c>
      <c r="D780" s="23" t="s">
        <v>3303</v>
      </c>
      <c r="E780" s="23" t="s">
        <v>3317</v>
      </c>
      <c r="F780" s="23" t="s">
        <v>3305</v>
      </c>
      <c r="G780" s="93">
        <v>3</v>
      </c>
      <c r="H780" s="93">
        <v>1</v>
      </c>
      <c r="I780" s="23"/>
      <c r="J780" s="23"/>
      <c r="K780" s="23"/>
      <c r="L780" s="23" t="s">
        <v>4709</v>
      </c>
      <c r="M780" s="23" t="s">
        <v>4716</v>
      </c>
    </row>
    <row r="781" spans="2:13" ht="15" customHeight="1" x14ac:dyDescent="0.25">
      <c r="B781" s="35" t="s">
        <v>4725</v>
      </c>
      <c r="C781" s="23" t="s">
        <v>4726</v>
      </c>
      <c r="D781" s="23" t="s">
        <v>3303</v>
      </c>
      <c r="E781" s="23" t="s">
        <v>3317</v>
      </c>
      <c r="F781" s="23" t="s">
        <v>3305</v>
      </c>
      <c r="G781" s="93">
        <v>0</v>
      </c>
      <c r="H781" s="93">
        <v>1</v>
      </c>
      <c r="I781" s="23"/>
      <c r="J781" s="23"/>
      <c r="K781" s="23"/>
      <c r="L781" s="23" t="s">
        <v>4709</v>
      </c>
      <c r="M781" s="23"/>
    </row>
    <row r="782" spans="2:13" ht="15" customHeight="1" x14ac:dyDescent="0.25">
      <c r="B782" s="35" t="s">
        <v>4727</v>
      </c>
      <c r="C782" s="23" t="s">
        <v>4728</v>
      </c>
      <c r="D782" s="23" t="s">
        <v>3303</v>
      </c>
      <c r="E782" s="23" t="s">
        <v>3317</v>
      </c>
      <c r="F782" s="23" t="s">
        <v>3305</v>
      </c>
      <c r="G782" s="93">
        <v>3</v>
      </c>
      <c r="H782" s="93">
        <v>1</v>
      </c>
      <c r="I782" s="23"/>
      <c r="J782" s="23"/>
      <c r="K782" s="23"/>
      <c r="L782" s="23" t="s">
        <v>4709</v>
      </c>
      <c r="M782" s="23" t="s">
        <v>4729</v>
      </c>
    </row>
    <row r="783" spans="2:13" ht="15" customHeight="1" x14ac:dyDescent="0.25">
      <c r="B783" s="35" t="s">
        <v>4730</v>
      </c>
      <c r="C783" s="23" t="s">
        <v>4731</v>
      </c>
      <c r="D783" s="23" t="s">
        <v>3303</v>
      </c>
      <c r="E783" s="23" t="s">
        <v>3317</v>
      </c>
      <c r="F783" s="23" t="s">
        <v>3305</v>
      </c>
      <c r="G783" s="93">
        <v>3</v>
      </c>
      <c r="H783" s="93">
        <v>0</v>
      </c>
      <c r="I783" s="23"/>
      <c r="J783" s="23"/>
      <c r="K783" s="23"/>
      <c r="L783" s="23" t="s">
        <v>4709</v>
      </c>
      <c r="M783" s="23" t="s">
        <v>4732</v>
      </c>
    </row>
    <row r="784" spans="2:13" ht="15" customHeight="1" x14ac:dyDescent="0.25">
      <c r="B784" s="35" t="s">
        <v>334</v>
      </c>
      <c r="C784" s="23" t="s">
        <v>4733</v>
      </c>
      <c r="D784" s="23" t="s">
        <v>3303</v>
      </c>
      <c r="E784" s="23" t="s">
        <v>3317</v>
      </c>
      <c r="F784" s="23" t="s">
        <v>3305</v>
      </c>
      <c r="G784" s="93">
        <v>3</v>
      </c>
      <c r="H784" s="93">
        <v>1</v>
      </c>
      <c r="I784" s="23"/>
      <c r="J784" s="23"/>
      <c r="K784" s="23"/>
      <c r="L784" s="23" t="s">
        <v>4709</v>
      </c>
      <c r="M784" s="23"/>
    </row>
    <row r="785" spans="2:13" ht="15" customHeight="1" x14ac:dyDescent="0.25">
      <c r="B785" s="35" t="s">
        <v>4734</v>
      </c>
      <c r="C785" s="23" t="s">
        <v>4735</v>
      </c>
      <c r="D785" s="23" t="s">
        <v>3303</v>
      </c>
      <c r="E785" s="23" t="s">
        <v>3317</v>
      </c>
      <c r="F785" s="23" t="s">
        <v>3305</v>
      </c>
      <c r="G785" s="93">
        <v>3</v>
      </c>
      <c r="H785" s="93">
        <v>0</v>
      </c>
      <c r="I785" s="23"/>
      <c r="J785" s="23"/>
      <c r="K785" s="23"/>
      <c r="L785" s="23" t="s">
        <v>4709</v>
      </c>
      <c r="M785" s="23" t="s">
        <v>4729</v>
      </c>
    </row>
    <row r="786" spans="2:13" ht="15" customHeight="1" x14ac:dyDescent="0.25">
      <c r="B786" s="35" t="s">
        <v>4736</v>
      </c>
      <c r="C786" s="23" t="s">
        <v>4737</v>
      </c>
      <c r="D786" s="23" t="s">
        <v>3303</v>
      </c>
      <c r="E786" s="23" t="s">
        <v>3317</v>
      </c>
      <c r="F786" s="23" t="s">
        <v>3305</v>
      </c>
      <c r="G786" s="93">
        <v>3</v>
      </c>
      <c r="H786" s="93">
        <v>1</v>
      </c>
      <c r="I786" s="23"/>
      <c r="J786" s="23"/>
      <c r="K786" s="23"/>
      <c r="L786" s="23" t="s">
        <v>4709</v>
      </c>
      <c r="M786" s="23" t="s">
        <v>4729</v>
      </c>
    </row>
    <row r="787" spans="2:13" ht="15" customHeight="1" x14ac:dyDescent="0.25">
      <c r="B787" s="35" t="s">
        <v>4738</v>
      </c>
      <c r="C787" s="23" t="s">
        <v>4739</v>
      </c>
      <c r="D787" s="23" t="s">
        <v>3303</v>
      </c>
      <c r="E787" s="23" t="s">
        <v>3317</v>
      </c>
      <c r="F787" s="23" t="s">
        <v>3305</v>
      </c>
      <c r="G787" s="93">
        <v>3</v>
      </c>
      <c r="H787" s="93">
        <v>0</v>
      </c>
      <c r="I787" s="23"/>
      <c r="J787" s="23"/>
      <c r="K787" s="23"/>
      <c r="L787" s="23" t="s">
        <v>4709</v>
      </c>
      <c r="M787" s="23" t="s">
        <v>4729</v>
      </c>
    </row>
    <row r="788" spans="2:13" ht="15" customHeight="1" x14ac:dyDescent="0.25">
      <c r="B788" s="35" t="s">
        <v>4740</v>
      </c>
      <c r="C788" s="23" t="s">
        <v>4741</v>
      </c>
      <c r="D788" s="23" t="s">
        <v>3303</v>
      </c>
      <c r="E788" s="23" t="s">
        <v>3317</v>
      </c>
      <c r="F788" s="23" t="s">
        <v>3305</v>
      </c>
      <c r="G788" s="93">
        <v>3</v>
      </c>
      <c r="H788" s="93">
        <v>1</v>
      </c>
      <c r="I788" s="23"/>
      <c r="J788" s="23"/>
      <c r="K788" s="23"/>
      <c r="L788" s="23" t="s">
        <v>4709</v>
      </c>
      <c r="M788" s="23"/>
    </row>
    <row r="789" spans="2:13" ht="15" customHeight="1" x14ac:dyDescent="0.25">
      <c r="B789" s="35" t="s">
        <v>4742</v>
      </c>
      <c r="C789" s="23" t="s">
        <v>390</v>
      </c>
      <c r="D789" s="23" t="s">
        <v>3303</v>
      </c>
      <c r="E789" s="23" t="s">
        <v>3317</v>
      </c>
      <c r="F789" s="23" t="s">
        <v>3305</v>
      </c>
      <c r="G789" s="93">
        <v>3</v>
      </c>
      <c r="H789" s="93">
        <v>0</v>
      </c>
      <c r="I789" s="23"/>
      <c r="J789" s="23"/>
      <c r="K789" s="23"/>
      <c r="L789" s="23" t="s">
        <v>4709</v>
      </c>
      <c r="M789" s="23"/>
    </row>
    <row r="790" spans="2:13" ht="15" customHeight="1" x14ac:dyDescent="0.25">
      <c r="B790" s="35" t="s">
        <v>4743</v>
      </c>
      <c r="C790" s="23" t="s">
        <v>4744</v>
      </c>
      <c r="D790" s="23" t="s">
        <v>3303</v>
      </c>
      <c r="E790" s="23" t="s">
        <v>3317</v>
      </c>
      <c r="F790" s="23" t="s">
        <v>3305</v>
      </c>
      <c r="G790" s="93">
        <v>3</v>
      </c>
      <c r="H790" s="93">
        <v>1</v>
      </c>
      <c r="I790" s="23"/>
      <c r="J790" s="23"/>
      <c r="K790" s="23"/>
      <c r="L790" s="23" t="s">
        <v>4709</v>
      </c>
      <c r="M790" s="23" t="s">
        <v>4729</v>
      </c>
    </row>
    <row r="791" spans="2:13" ht="15" customHeight="1" x14ac:dyDescent="0.25">
      <c r="B791" s="35" t="s">
        <v>4745</v>
      </c>
      <c r="C791" s="23" t="s">
        <v>4746</v>
      </c>
      <c r="D791" s="23" t="s">
        <v>3303</v>
      </c>
      <c r="E791" s="23" t="s">
        <v>3317</v>
      </c>
      <c r="F791" s="23" t="s">
        <v>3305</v>
      </c>
      <c r="G791" s="93">
        <v>3</v>
      </c>
      <c r="H791" s="93">
        <v>0</v>
      </c>
      <c r="I791" s="23"/>
      <c r="J791" s="23"/>
      <c r="K791" s="23"/>
      <c r="L791" s="23" t="s">
        <v>4709</v>
      </c>
      <c r="M791" s="23"/>
    </row>
    <row r="792" spans="2:13" ht="15" customHeight="1" x14ac:dyDescent="0.25">
      <c r="B792" s="35" t="s">
        <v>4747</v>
      </c>
      <c r="C792" s="23" t="s">
        <v>4748</v>
      </c>
      <c r="D792" s="23" t="s">
        <v>3303</v>
      </c>
      <c r="E792" s="23" t="s">
        <v>3317</v>
      </c>
      <c r="F792" s="23" t="s">
        <v>3305</v>
      </c>
      <c r="G792" s="93">
        <v>3</v>
      </c>
      <c r="H792" s="93">
        <v>0</v>
      </c>
      <c r="I792" s="23"/>
      <c r="J792" s="23"/>
      <c r="K792" s="23"/>
      <c r="L792" s="23" t="s">
        <v>4709</v>
      </c>
      <c r="M792" s="23"/>
    </row>
    <row r="793" spans="2:13" ht="15" customHeight="1" x14ac:dyDescent="0.25">
      <c r="B793" s="35" t="s">
        <v>4749</v>
      </c>
      <c r="C793" s="23" t="s">
        <v>4750</v>
      </c>
      <c r="D793" s="23" t="s">
        <v>3303</v>
      </c>
      <c r="E793" s="23" t="s">
        <v>3317</v>
      </c>
      <c r="F793" s="23" t="s">
        <v>3305</v>
      </c>
      <c r="G793" s="93">
        <v>3</v>
      </c>
      <c r="H793" s="93">
        <v>0</v>
      </c>
      <c r="I793" s="23"/>
      <c r="J793" s="23"/>
      <c r="K793" s="23"/>
      <c r="L793" s="23" t="s">
        <v>4709</v>
      </c>
      <c r="M793" s="23"/>
    </row>
    <row r="794" spans="2:13" ht="15" customHeight="1" x14ac:dyDescent="0.25">
      <c r="B794" s="35" t="s">
        <v>4751</v>
      </c>
      <c r="C794" s="23" t="s">
        <v>4752</v>
      </c>
      <c r="D794" s="23" t="s">
        <v>3303</v>
      </c>
      <c r="E794" s="23" t="s">
        <v>3317</v>
      </c>
      <c r="F794" s="23" t="s">
        <v>3305</v>
      </c>
      <c r="G794" s="93">
        <v>0</v>
      </c>
      <c r="H794" s="93">
        <v>0</v>
      </c>
      <c r="I794" s="23"/>
      <c r="J794" s="23"/>
      <c r="K794" s="23"/>
      <c r="L794" s="23" t="s">
        <v>4709</v>
      </c>
      <c r="M794" s="23"/>
    </row>
    <row r="795" spans="2:13" ht="15" customHeight="1" x14ac:dyDescent="0.25">
      <c r="B795" s="35" t="s">
        <v>4709</v>
      </c>
      <c r="C795" s="23" t="s">
        <v>4753</v>
      </c>
      <c r="D795" s="23" t="s">
        <v>3303</v>
      </c>
      <c r="E795" s="23" t="s">
        <v>3367</v>
      </c>
      <c r="F795" s="23" t="s">
        <v>3305</v>
      </c>
      <c r="G795" s="93">
        <v>0</v>
      </c>
      <c r="H795" s="93">
        <v>0</v>
      </c>
      <c r="I795" s="23"/>
      <c r="J795" s="23"/>
      <c r="K795" s="23"/>
      <c r="L795" s="23" t="s">
        <v>4572</v>
      </c>
      <c r="M795" s="23"/>
    </row>
    <row r="796" spans="2:13" ht="15" customHeight="1" x14ac:dyDescent="0.25">
      <c r="B796" s="35" t="s">
        <v>4754</v>
      </c>
      <c r="C796" s="23" t="s">
        <v>4755</v>
      </c>
      <c r="D796" s="23" t="s">
        <v>3303</v>
      </c>
      <c r="E796" s="23" t="s">
        <v>3304</v>
      </c>
      <c r="F796" s="23" t="s">
        <v>3305</v>
      </c>
      <c r="G796" s="93">
        <v>0</v>
      </c>
      <c r="H796" s="93">
        <v>0</v>
      </c>
      <c r="I796" s="23"/>
      <c r="J796" s="23"/>
      <c r="K796" s="23"/>
      <c r="L796" s="23" t="s">
        <v>4756</v>
      </c>
      <c r="M796" s="23"/>
    </row>
    <row r="797" spans="2:13" ht="15" customHeight="1" x14ac:dyDescent="0.25">
      <c r="B797" s="35" t="s">
        <v>4757</v>
      </c>
      <c r="C797" s="23" t="s">
        <v>4758</v>
      </c>
      <c r="D797" s="23" t="s">
        <v>3303</v>
      </c>
      <c r="E797" s="23" t="s">
        <v>3317</v>
      </c>
      <c r="F797" s="23" t="s">
        <v>3305</v>
      </c>
      <c r="G797" s="93">
        <v>3</v>
      </c>
      <c r="H797" s="93">
        <v>0</v>
      </c>
      <c r="I797" s="23"/>
      <c r="J797" s="23"/>
      <c r="K797" s="23"/>
      <c r="L797" s="23" t="s">
        <v>4756</v>
      </c>
      <c r="M797" s="23"/>
    </row>
    <row r="798" spans="2:13" ht="15" customHeight="1" x14ac:dyDescent="0.25">
      <c r="B798" s="35" t="s">
        <v>4759</v>
      </c>
      <c r="C798" s="23" t="s">
        <v>4760</v>
      </c>
      <c r="D798" s="23" t="s">
        <v>3303</v>
      </c>
      <c r="E798" s="23" t="s">
        <v>3317</v>
      </c>
      <c r="F798" s="23" t="s">
        <v>3305</v>
      </c>
      <c r="G798" s="93">
        <v>3</v>
      </c>
      <c r="H798" s="93">
        <v>0</v>
      </c>
      <c r="I798" s="23"/>
      <c r="J798" s="23"/>
      <c r="K798" s="23"/>
      <c r="L798" s="23" t="s">
        <v>4756</v>
      </c>
      <c r="M798" s="23"/>
    </row>
    <row r="799" spans="2:13" ht="15" customHeight="1" x14ac:dyDescent="0.25">
      <c r="B799" s="35" t="s">
        <v>4761</v>
      </c>
      <c r="C799" s="23" t="s">
        <v>4762</v>
      </c>
      <c r="D799" s="23" t="s">
        <v>3303</v>
      </c>
      <c r="E799" s="23" t="s">
        <v>3317</v>
      </c>
      <c r="F799" s="23" t="s">
        <v>3305</v>
      </c>
      <c r="G799" s="93">
        <v>3</v>
      </c>
      <c r="H799" s="93">
        <v>0</v>
      </c>
      <c r="I799" s="23"/>
      <c r="J799" s="23"/>
      <c r="K799" s="23"/>
      <c r="L799" s="23" t="s">
        <v>4756</v>
      </c>
      <c r="M799" s="23"/>
    </row>
    <row r="800" spans="2:13" ht="15" customHeight="1" x14ac:dyDescent="0.25">
      <c r="B800" s="35" t="s">
        <v>4763</v>
      </c>
      <c r="C800" s="23" t="s">
        <v>4764</v>
      </c>
      <c r="D800" s="23" t="s">
        <v>3303</v>
      </c>
      <c r="E800" s="23" t="s">
        <v>3317</v>
      </c>
      <c r="F800" s="23" t="s">
        <v>3305</v>
      </c>
      <c r="G800" s="93">
        <v>3</v>
      </c>
      <c r="H800" s="93">
        <v>0</v>
      </c>
      <c r="I800" s="23"/>
      <c r="J800" s="23"/>
      <c r="K800" s="23"/>
      <c r="L800" s="23" t="s">
        <v>4756</v>
      </c>
      <c r="M800" s="23"/>
    </row>
    <row r="801" spans="2:13" ht="15" customHeight="1" x14ac:dyDescent="0.25">
      <c r="B801" s="35" t="s">
        <v>4765</v>
      </c>
      <c r="C801" s="23" t="s">
        <v>4766</v>
      </c>
      <c r="D801" s="23" t="s">
        <v>3303</v>
      </c>
      <c r="E801" s="23" t="s">
        <v>3317</v>
      </c>
      <c r="F801" s="23" t="s">
        <v>3305</v>
      </c>
      <c r="G801" s="93">
        <v>3</v>
      </c>
      <c r="H801" s="93">
        <v>0</v>
      </c>
      <c r="I801" s="23"/>
      <c r="J801" s="23"/>
      <c r="K801" s="23"/>
      <c r="L801" s="23" t="s">
        <v>4756</v>
      </c>
      <c r="M801" s="23"/>
    </row>
    <row r="802" spans="2:13" ht="15" customHeight="1" x14ac:dyDescent="0.25">
      <c r="B802" s="35" t="s">
        <v>4767</v>
      </c>
      <c r="C802" s="23" t="s">
        <v>4768</v>
      </c>
      <c r="D802" s="23" t="s">
        <v>3303</v>
      </c>
      <c r="E802" s="23" t="s">
        <v>3317</v>
      </c>
      <c r="F802" s="23" t="s">
        <v>3305</v>
      </c>
      <c r="G802" s="93">
        <v>3</v>
      </c>
      <c r="H802" s="93">
        <v>0</v>
      </c>
      <c r="I802" s="23"/>
      <c r="J802" s="23"/>
      <c r="K802" s="23"/>
      <c r="L802" s="23" t="s">
        <v>4756</v>
      </c>
      <c r="M802" s="23"/>
    </row>
    <row r="803" spans="2:13" ht="15" customHeight="1" x14ac:dyDescent="0.25">
      <c r="B803" s="35" t="s">
        <v>4769</v>
      </c>
      <c r="C803" s="23" t="s">
        <v>4770</v>
      </c>
      <c r="D803" s="23" t="s">
        <v>3303</v>
      </c>
      <c r="E803" s="23" t="s">
        <v>3317</v>
      </c>
      <c r="F803" s="23" t="s">
        <v>3305</v>
      </c>
      <c r="G803" s="93">
        <v>3</v>
      </c>
      <c r="H803" s="93">
        <v>1</v>
      </c>
      <c r="I803" s="23"/>
      <c r="J803" s="23"/>
      <c r="K803" s="23"/>
      <c r="L803" s="23" t="s">
        <v>4756</v>
      </c>
      <c r="M803" s="23"/>
    </row>
    <row r="804" spans="2:13" ht="15" customHeight="1" x14ac:dyDescent="0.25">
      <c r="B804" s="35" t="s">
        <v>4771</v>
      </c>
      <c r="C804" s="23" t="s">
        <v>4772</v>
      </c>
      <c r="D804" s="23" t="s">
        <v>3303</v>
      </c>
      <c r="E804" s="23" t="s">
        <v>3317</v>
      </c>
      <c r="F804" s="23" t="s">
        <v>3305</v>
      </c>
      <c r="G804" s="93">
        <v>3</v>
      </c>
      <c r="H804" s="93">
        <v>0</v>
      </c>
      <c r="I804" s="23"/>
      <c r="J804" s="23"/>
      <c r="K804" s="23"/>
      <c r="L804" s="23" t="s">
        <v>4756</v>
      </c>
      <c r="M804" s="23"/>
    </row>
    <row r="805" spans="2:13" ht="15" customHeight="1" x14ac:dyDescent="0.25">
      <c r="B805" s="35" t="s">
        <v>4773</v>
      </c>
      <c r="C805" s="23" t="s">
        <v>4774</v>
      </c>
      <c r="D805" s="23" t="s">
        <v>3303</v>
      </c>
      <c r="E805" s="23" t="s">
        <v>3317</v>
      </c>
      <c r="F805" s="23" t="s">
        <v>3305</v>
      </c>
      <c r="G805" s="93">
        <v>3</v>
      </c>
      <c r="H805" s="93">
        <v>0</v>
      </c>
      <c r="I805" s="23"/>
      <c r="J805" s="23"/>
      <c r="K805" s="23"/>
      <c r="L805" s="23" t="s">
        <v>4756</v>
      </c>
      <c r="M805" s="23"/>
    </row>
    <row r="806" spans="2:13" ht="15" customHeight="1" x14ac:dyDescent="0.25">
      <c r="B806" s="35" t="s">
        <v>4775</v>
      </c>
      <c r="C806" s="23" t="s">
        <v>4776</v>
      </c>
      <c r="D806" s="23" t="s">
        <v>3303</v>
      </c>
      <c r="E806" s="23" t="s">
        <v>3317</v>
      </c>
      <c r="F806" s="23" t="s">
        <v>3305</v>
      </c>
      <c r="G806" s="93">
        <v>3</v>
      </c>
      <c r="H806" s="93">
        <v>1</v>
      </c>
      <c r="I806" s="23"/>
      <c r="J806" s="23"/>
      <c r="K806" s="23"/>
      <c r="L806" s="23" t="s">
        <v>4756</v>
      </c>
      <c r="M806" s="23"/>
    </row>
    <row r="807" spans="2:13" ht="15" customHeight="1" x14ac:dyDescent="0.25">
      <c r="B807" s="35" t="s">
        <v>3050</v>
      </c>
      <c r="C807" s="23" t="s">
        <v>3051</v>
      </c>
      <c r="D807" s="23" t="s">
        <v>3303</v>
      </c>
      <c r="E807" s="23" t="s">
        <v>3317</v>
      </c>
      <c r="F807" s="23" t="s">
        <v>3305</v>
      </c>
      <c r="G807" s="93">
        <v>3</v>
      </c>
      <c r="H807" s="93">
        <v>0</v>
      </c>
      <c r="I807" s="23"/>
      <c r="J807" s="23"/>
      <c r="K807" s="23"/>
      <c r="L807" s="23" t="s">
        <v>4756</v>
      </c>
      <c r="M807" s="23"/>
    </row>
    <row r="808" spans="2:13" ht="15" customHeight="1" x14ac:dyDescent="0.25">
      <c r="B808" s="35" t="s">
        <v>4777</v>
      </c>
      <c r="C808" s="23" t="s">
        <v>4778</v>
      </c>
      <c r="D808" s="23" t="s">
        <v>3303</v>
      </c>
      <c r="E808" s="23" t="s">
        <v>3317</v>
      </c>
      <c r="F808" s="23" t="s">
        <v>3305</v>
      </c>
      <c r="G808" s="93">
        <v>3</v>
      </c>
      <c r="H808" s="93">
        <v>0</v>
      </c>
      <c r="I808" s="23"/>
      <c r="J808" s="23"/>
      <c r="K808" s="23"/>
      <c r="L808" s="23" t="s">
        <v>4756</v>
      </c>
      <c r="M808" s="23"/>
    </row>
    <row r="809" spans="2:13" ht="15" customHeight="1" x14ac:dyDescent="0.25">
      <c r="B809" s="35" t="s">
        <v>4779</v>
      </c>
      <c r="C809" s="23" t="s">
        <v>4780</v>
      </c>
      <c r="D809" s="23" t="s">
        <v>3303</v>
      </c>
      <c r="E809" s="23" t="s">
        <v>3317</v>
      </c>
      <c r="F809" s="23" t="s">
        <v>3305</v>
      </c>
      <c r="G809" s="93">
        <v>3</v>
      </c>
      <c r="H809" s="93">
        <v>0</v>
      </c>
      <c r="I809" s="23"/>
      <c r="J809" s="23"/>
      <c r="K809" s="23"/>
      <c r="L809" s="23" t="s">
        <v>4756</v>
      </c>
      <c r="M809" s="23"/>
    </row>
    <row r="810" spans="2:13" ht="15" customHeight="1" x14ac:dyDescent="0.25">
      <c r="B810" s="35" t="s">
        <v>4781</v>
      </c>
      <c r="C810" s="23" t="s">
        <v>4782</v>
      </c>
      <c r="D810" s="23" t="s">
        <v>3303</v>
      </c>
      <c r="E810" s="23" t="s">
        <v>3317</v>
      </c>
      <c r="F810" s="23" t="s">
        <v>3305</v>
      </c>
      <c r="G810" s="93">
        <v>3</v>
      </c>
      <c r="H810" s="93">
        <v>0</v>
      </c>
      <c r="I810" s="23"/>
      <c r="J810" s="23"/>
      <c r="K810" s="23"/>
      <c r="L810" s="23" t="s">
        <v>4756</v>
      </c>
      <c r="M810" s="23"/>
    </row>
    <row r="811" spans="2:13" ht="15" customHeight="1" x14ac:dyDescent="0.25">
      <c r="B811" s="35" t="s">
        <v>4783</v>
      </c>
      <c r="C811" s="23" t="s">
        <v>4784</v>
      </c>
      <c r="D811" s="23" t="s">
        <v>3303</v>
      </c>
      <c r="E811" s="23" t="s">
        <v>3317</v>
      </c>
      <c r="F811" s="23" t="s">
        <v>3305</v>
      </c>
      <c r="G811" s="93">
        <v>3</v>
      </c>
      <c r="H811" s="93">
        <v>0</v>
      </c>
      <c r="I811" s="23"/>
      <c r="J811" s="23"/>
      <c r="K811" s="23"/>
      <c r="L811" s="23" t="s">
        <v>4756</v>
      </c>
      <c r="M811" s="23"/>
    </row>
    <row r="812" spans="2:13" ht="15" customHeight="1" x14ac:dyDescent="0.25">
      <c r="B812" s="35" t="s">
        <v>4785</v>
      </c>
      <c r="C812" s="23" t="s">
        <v>4786</v>
      </c>
      <c r="D812" s="23" t="s">
        <v>3303</v>
      </c>
      <c r="E812" s="23" t="s">
        <v>3317</v>
      </c>
      <c r="F812" s="23" t="s">
        <v>3305</v>
      </c>
      <c r="G812" s="93">
        <v>3</v>
      </c>
      <c r="H812" s="93">
        <v>0</v>
      </c>
      <c r="I812" s="23"/>
      <c r="J812" s="23"/>
      <c r="K812" s="23"/>
      <c r="L812" s="23" t="s">
        <v>4756</v>
      </c>
      <c r="M812" s="23"/>
    </row>
    <row r="813" spans="2:13" ht="15" customHeight="1" x14ac:dyDescent="0.25">
      <c r="B813" s="35" t="s">
        <v>4756</v>
      </c>
      <c r="C813" s="23" t="s">
        <v>4787</v>
      </c>
      <c r="D813" s="23" t="s">
        <v>3303</v>
      </c>
      <c r="E813" s="23" t="s">
        <v>3367</v>
      </c>
      <c r="F813" s="23" t="s">
        <v>3305</v>
      </c>
      <c r="G813" s="93">
        <v>0</v>
      </c>
      <c r="H813" s="93">
        <v>0</v>
      </c>
      <c r="I813" s="23"/>
      <c r="J813" s="23"/>
      <c r="K813" s="23"/>
      <c r="L813" s="23" t="s">
        <v>4572</v>
      </c>
      <c r="M813" s="23"/>
    </row>
    <row r="814" spans="2:13" ht="15" customHeight="1" x14ac:dyDescent="0.25">
      <c r="B814" s="35" t="s">
        <v>4788</v>
      </c>
      <c r="C814" s="23" t="s">
        <v>4789</v>
      </c>
      <c r="D814" s="23" t="s">
        <v>3303</v>
      </c>
      <c r="E814" s="23" t="s">
        <v>3304</v>
      </c>
      <c r="F814" s="23" t="s">
        <v>3305</v>
      </c>
      <c r="G814" s="93">
        <v>0</v>
      </c>
      <c r="H814" s="93">
        <v>0</v>
      </c>
      <c r="I814" s="23"/>
      <c r="J814" s="23"/>
      <c r="K814" s="23"/>
      <c r="L814" s="23" t="s">
        <v>4790</v>
      </c>
      <c r="M814" s="23"/>
    </row>
    <row r="815" spans="2:13" ht="15" customHeight="1" x14ac:dyDescent="0.25">
      <c r="B815" s="35" t="s">
        <v>4791</v>
      </c>
      <c r="C815" s="23" t="s">
        <v>4792</v>
      </c>
      <c r="D815" s="23" t="s">
        <v>3303</v>
      </c>
      <c r="E815" s="23" t="s">
        <v>3317</v>
      </c>
      <c r="F815" s="23" t="s">
        <v>3305</v>
      </c>
      <c r="G815" s="93">
        <v>3</v>
      </c>
      <c r="H815" s="93">
        <v>0</v>
      </c>
      <c r="I815" s="23"/>
      <c r="J815" s="23"/>
      <c r="K815" s="23"/>
      <c r="L815" s="23" t="s">
        <v>4790</v>
      </c>
      <c r="M815" s="23"/>
    </row>
    <row r="816" spans="2:13" ht="15" customHeight="1" x14ac:dyDescent="0.25">
      <c r="B816" s="35" t="s">
        <v>4793</v>
      </c>
      <c r="C816" s="23" t="s">
        <v>4794</v>
      </c>
      <c r="D816" s="23" t="s">
        <v>3303</v>
      </c>
      <c r="E816" s="23" t="s">
        <v>3317</v>
      </c>
      <c r="F816" s="23" t="s">
        <v>3305</v>
      </c>
      <c r="G816" s="93">
        <v>3</v>
      </c>
      <c r="H816" s="93">
        <v>0</v>
      </c>
      <c r="I816" s="23"/>
      <c r="J816" s="23"/>
      <c r="K816" s="23"/>
      <c r="L816" s="23" t="s">
        <v>4790</v>
      </c>
      <c r="M816" s="23"/>
    </row>
    <row r="817" spans="2:13" ht="15" customHeight="1" x14ac:dyDescent="0.25">
      <c r="B817" s="35" t="s">
        <v>4795</v>
      </c>
      <c r="C817" s="23" t="s">
        <v>4796</v>
      </c>
      <c r="D817" s="23" t="s">
        <v>3303</v>
      </c>
      <c r="E817" s="23" t="s">
        <v>3317</v>
      </c>
      <c r="F817" s="23" t="s">
        <v>3305</v>
      </c>
      <c r="G817" s="93">
        <v>3</v>
      </c>
      <c r="H817" s="93">
        <v>1</v>
      </c>
      <c r="I817" s="23"/>
      <c r="J817" s="23"/>
      <c r="K817" s="23"/>
      <c r="L817" s="23" t="s">
        <v>4790</v>
      </c>
      <c r="M817" s="23"/>
    </row>
    <row r="818" spans="2:13" ht="15" customHeight="1" x14ac:dyDescent="0.25">
      <c r="B818" s="35" t="s">
        <v>4797</v>
      </c>
      <c r="C818" s="23" t="s">
        <v>4798</v>
      </c>
      <c r="D818" s="23" t="s">
        <v>3303</v>
      </c>
      <c r="E818" s="23" t="s">
        <v>3317</v>
      </c>
      <c r="F818" s="23" t="s">
        <v>3305</v>
      </c>
      <c r="G818" s="93">
        <v>3</v>
      </c>
      <c r="H818" s="93">
        <v>1</v>
      </c>
      <c r="I818" s="23"/>
      <c r="J818" s="23"/>
      <c r="K818" s="23"/>
      <c r="L818" s="23" t="s">
        <v>4790</v>
      </c>
      <c r="M818" s="23"/>
    </row>
    <row r="819" spans="2:13" ht="15" customHeight="1" x14ac:dyDescent="0.25">
      <c r="B819" s="35" t="s">
        <v>4799</v>
      </c>
      <c r="C819" s="23" t="s">
        <v>4800</v>
      </c>
      <c r="D819" s="23" t="s">
        <v>3303</v>
      </c>
      <c r="E819" s="23" t="s">
        <v>3317</v>
      </c>
      <c r="F819" s="23" t="s">
        <v>3305</v>
      </c>
      <c r="G819" s="93">
        <v>3</v>
      </c>
      <c r="H819" s="93">
        <v>0</v>
      </c>
      <c r="I819" s="23"/>
      <c r="J819" s="23"/>
      <c r="K819" s="23"/>
      <c r="L819" s="23" t="s">
        <v>4790</v>
      </c>
      <c r="M819" s="23"/>
    </row>
    <row r="820" spans="2:13" ht="15" customHeight="1" x14ac:dyDescent="0.25">
      <c r="B820" s="35" t="s">
        <v>4801</v>
      </c>
      <c r="C820" s="23" t="s">
        <v>4802</v>
      </c>
      <c r="D820" s="23" t="s">
        <v>3303</v>
      </c>
      <c r="E820" s="23" t="s">
        <v>3317</v>
      </c>
      <c r="F820" s="23" t="s">
        <v>3305</v>
      </c>
      <c r="G820" s="93">
        <v>3</v>
      </c>
      <c r="H820" s="93">
        <v>0</v>
      </c>
      <c r="I820" s="23"/>
      <c r="J820" s="23"/>
      <c r="K820" s="23"/>
      <c r="L820" s="23" t="s">
        <v>4790</v>
      </c>
      <c r="M820" s="23"/>
    </row>
    <row r="821" spans="2:13" ht="15" customHeight="1" x14ac:dyDescent="0.25">
      <c r="B821" s="35" t="s">
        <v>4803</v>
      </c>
      <c r="C821" s="23" t="s">
        <v>4804</v>
      </c>
      <c r="D821" s="23" t="s">
        <v>3303</v>
      </c>
      <c r="E821" s="23" t="s">
        <v>3317</v>
      </c>
      <c r="F821" s="23" t="s">
        <v>3305</v>
      </c>
      <c r="G821" s="93">
        <v>3</v>
      </c>
      <c r="H821" s="93">
        <v>0</v>
      </c>
      <c r="I821" s="23"/>
      <c r="J821" s="23"/>
      <c r="K821" s="23"/>
      <c r="L821" s="23" t="s">
        <v>4790</v>
      </c>
      <c r="M821" s="23"/>
    </row>
    <row r="822" spans="2:13" ht="15" customHeight="1" x14ac:dyDescent="0.25">
      <c r="B822" s="35" t="s">
        <v>4805</v>
      </c>
      <c r="C822" s="23" t="s">
        <v>4806</v>
      </c>
      <c r="D822" s="23" t="s">
        <v>3303</v>
      </c>
      <c r="E822" s="23" t="s">
        <v>3317</v>
      </c>
      <c r="F822" s="23" t="s">
        <v>3305</v>
      </c>
      <c r="G822" s="93">
        <v>3</v>
      </c>
      <c r="H822" s="93">
        <v>0</v>
      </c>
      <c r="I822" s="23"/>
      <c r="J822" s="23"/>
      <c r="K822" s="23"/>
      <c r="L822" s="23" t="s">
        <v>4790</v>
      </c>
      <c r="M822" s="23"/>
    </row>
    <row r="823" spans="2:13" ht="15" customHeight="1" x14ac:dyDescent="0.25">
      <c r="B823" s="35" t="s">
        <v>4790</v>
      </c>
      <c r="C823" s="23" t="s">
        <v>4807</v>
      </c>
      <c r="D823" s="23" t="s">
        <v>3303</v>
      </c>
      <c r="E823" s="23" t="s">
        <v>3367</v>
      </c>
      <c r="F823" s="23" t="s">
        <v>3305</v>
      </c>
      <c r="G823" s="93">
        <v>0</v>
      </c>
      <c r="H823" s="93">
        <v>0</v>
      </c>
      <c r="I823" s="23"/>
      <c r="J823" s="23"/>
      <c r="K823" s="23"/>
      <c r="L823" s="23" t="s">
        <v>4572</v>
      </c>
      <c r="M823" s="23"/>
    </row>
    <row r="824" spans="2:13" ht="15" customHeight="1" x14ac:dyDescent="0.25">
      <c r="B824" s="35" t="s">
        <v>4808</v>
      </c>
      <c r="C824" s="23" t="s">
        <v>4809</v>
      </c>
      <c r="D824" s="23" t="s">
        <v>3303</v>
      </c>
      <c r="E824" s="23" t="s">
        <v>3304</v>
      </c>
      <c r="F824" s="23" t="s">
        <v>3305</v>
      </c>
      <c r="G824" s="93">
        <v>0</v>
      </c>
      <c r="H824" s="93">
        <v>0</v>
      </c>
      <c r="I824" s="23"/>
      <c r="J824" s="23"/>
      <c r="K824" s="23"/>
      <c r="L824" s="23" t="s">
        <v>4810</v>
      </c>
      <c r="M824" s="23"/>
    </row>
    <row r="825" spans="2:13" ht="15" customHeight="1" x14ac:dyDescent="0.25">
      <c r="B825" s="35" t="s">
        <v>4811</v>
      </c>
      <c r="C825" s="23" t="s">
        <v>4812</v>
      </c>
      <c r="D825" s="23" t="s">
        <v>3303</v>
      </c>
      <c r="E825" s="23" t="s">
        <v>3317</v>
      </c>
      <c r="F825" s="23" t="s">
        <v>3305</v>
      </c>
      <c r="G825" s="93">
        <v>3</v>
      </c>
      <c r="H825" s="93">
        <v>0</v>
      </c>
      <c r="I825" s="23"/>
      <c r="J825" s="23"/>
      <c r="K825" s="23"/>
      <c r="L825" s="23" t="s">
        <v>4810</v>
      </c>
      <c r="M825" s="23"/>
    </row>
    <row r="826" spans="2:13" ht="15" customHeight="1" x14ac:dyDescent="0.25">
      <c r="B826" s="35" t="s">
        <v>4813</v>
      </c>
      <c r="C826" s="23" t="s">
        <v>4814</v>
      </c>
      <c r="D826" s="23" t="s">
        <v>3303</v>
      </c>
      <c r="E826" s="23" t="s">
        <v>3317</v>
      </c>
      <c r="F826" s="23" t="s">
        <v>3305</v>
      </c>
      <c r="G826" s="93">
        <v>3</v>
      </c>
      <c r="H826" s="93">
        <v>1</v>
      </c>
      <c r="I826" s="23"/>
      <c r="J826" s="23"/>
      <c r="K826" s="23"/>
      <c r="L826" s="23" t="s">
        <v>4810</v>
      </c>
      <c r="M826" s="23"/>
    </row>
    <row r="827" spans="2:13" ht="15" customHeight="1" x14ac:dyDescent="0.25">
      <c r="B827" s="35" t="s">
        <v>4815</v>
      </c>
      <c r="C827" s="23" t="s">
        <v>4816</v>
      </c>
      <c r="D827" s="23" t="s">
        <v>3303</v>
      </c>
      <c r="E827" s="23" t="s">
        <v>3317</v>
      </c>
      <c r="F827" s="23" t="s">
        <v>3305</v>
      </c>
      <c r="G827" s="93">
        <v>3</v>
      </c>
      <c r="H827" s="93">
        <v>0</v>
      </c>
      <c r="I827" s="23"/>
      <c r="J827" s="23"/>
      <c r="K827" s="23"/>
      <c r="L827" s="23" t="s">
        <v>4810</v>
      </c>
      <c r="M827" s="23"/>
    </row>
    <row r="828" spans="2:13" ht="15" customHeight="1" x14ac:dyDescent="0.25">
      <c r="B828" s="35" t="s">
        <v>4817</v>
      </c>
      <c r="C828" s="23" t="s">
        <v>4818</v>
      </c>
      <c r="D828" s="23" t="s">
        <v>3303</v>
      </c>
      <c r="E828" s="23" t="s">
        <v>3317</v>
      </c>
      <c r="F828" s="23" t="s">
        <v>3305</v>
      </c>
      <c r="G828" s="93">
        <v>3</v>
      </c>
      <c r="H828" s="93">
        <v>1</v>
      </c>
      <c r="I828" s="23"/>
      <c r="J828" s="23"/>
      <c r="K828" s="23"/>
      <c r="L828" s="23" t="s">
        <v>4810</v>
      </c>
      <c r="M828" s="23"/>
    </row>
    <row r="829" spans="2:13" ht="15" customHeight="1" x14ac:dyDescent="0.25">
      <c r="B829" s="35" t="s">
        <v>4819</v>
      </c>
      <c r="C829" s="23" t="s">
        <v>4820</v>
      </c>
      <c r="D829" s="23" t="s">
        <v>3303</v>
      </c>
      <c r="E829" s="23" t="s">
        <v>3317</v>
      </c>
      <c r="F829" s="23" t="s">
        <v>3305</v>
      </c>
      <c r="G829" s="93">
        <v>3</v>
      </c>
      <c r="H829" s="93">
        <v>1</v>
      </c>
      <c r="I829" s="23"/>
      <c r="J829" s="23"/>
      <c r="K829" s="23"/>
      <c r="L829" s="23" t="s">
        <v>4810</v>
      </c>
      <c r="M829" s="23"/>
    </row>
    <row r="830" spans="2:13" ht="15" customHeight="1" x14ac:dyDescent="0.25">
      <c r="B830" s="35" t="s">
        <v>4821</v>
      </c>
      <c r="C830" s="23" t="s">
        <v>4822</v>
      </c>
      <c r="D830" s="23" t="s">
        <v>3303</v>
      </c>
      <c r="E830" s="23" t="s">
        <v>3317</v>
      </c>
      <c r="F830" s="23" t="s">
        <v>3305</v>
      </c>
      <c r="G830" s="93">
        <v>3</v>
      </c>
      <c r="H830" s="93">
        <v>1</v>
      </c>
      <c r="I830" s="23"/>
      <c r="J830" s="23"/>
      <c r="K830" s="23"/>
      <c r="L830" s="23" t="s">
        <v>4810</v>
      </c>
      <c r="M830" s="23"/>
    </row>
    <row r="831" spans="2:13" ht="15" customHeight="1" x14ac:dyDescent="0.25">
      <c r="B831" s="35" t="s">
        <v>4823</v>
      </c>
      <c r="C831" s="23" t="s">
        <v>4824</v>
      </c>
      <c r="D831" s="23" t="s">
        <v>3303</v>
      </c>
      <c r="E831" s="23" t="s">
        <v>3317</v>
      </c>
      <c r="F831" s="23" t="s">
        <v>3305</v>
      </c>
      <c r="G831" s="93">
        <v>3</v>
      </c>
      <c r="H831" s="93">
        <v>1</v>
      </c>
      <c r="I831" s="23"/>
      <c r="J831" s="23"/>
      <c r="K831" s="23"/>
      <c r="L831" s="23" t="s">
        <v>4810</v>
      </c>
      <c r="M831" s="23"/>
    </row>
    <row r="832" spans="2:13" ht="15" customHeight="1" x14ac:dyDescent="0.25">
      <c r="B832" s="35" t="s">
        <v>4825</v>
      </c>
      <c r="C832" s="23" t="s">
        <v>4826</v>
      </c>
      <c r="D832" s="23" t="s">
        <v>3303</v>
      </c>
      <c r="E832" s="23" t="s">
        <v>3317</v>
      </c>
      <c r="F832" s="23" t="s">
        <v>3305</v>
      </c>
      <c r="G832" s="93">
        <v>3</v>
      </c>
      <c r="H832" s="93">
        <v>1</v>
      </c>
      <c r="I832" s="23"/>
      <c r="J832" s="23"/>
      <c r="K832" s="23"/>
      <c r="L832" s="23" t="s">
        <v>4810</v>
      </c>
      <c r="M832" s="23"/>
    </row>
    <row r="833" spans="2:13" ht="15" customHeight="1" x14ac:dyDescent="0.25">
      <c r="B833" s="35" t="s">
        <v>4827</v>
      </c>
      <c r="C833" s="23" t="s">
        <v>4828</v>
      </c>
      <c r="D833" s="23" t="s">
        <v>3303</v>
      </c>
      <c r="E833" s="23" t="s">
        <v>3317</v>
      </c>
      <c r="F833" s="23" t="s">
        <v>3305</v>
      </c>
      <c r="G833" s="93">
        <v>3</v>
      </c>
      <c r="H833" s="93">
        <v>1</v>
      </c>
      <c r="I833" s="23"/>
      <c r="J833" s="23"/>
      <c r="K833" s="23"/>
      <c r="L833" s="23" t="s">
        <v>4810</v>
      </c>
      <c r="M833" s="23"/>
    </row>
    <row r="834" spans="2:13" ht="15" customHeight="1" x14ac:dyDescent="0.25">
      <c r="B834" s="35" t="s">
        <v>4829</v>
      </c>
      <c r="C834" s="23" t="s">
        <v>4830</v>
      </c>
      <c r="D834" s="23" t="s">
        <v>3303</v>
      </c>
      <c r="E834" s="23" t="s">
        <v>3317</v>
      </c>
      <c r="F834" s="23" t="s">
        <v>3305</v>
      </c>
      <c r="G834" s="93">
        <v>3</v>
      </c>
      <c r="H834" s="93">
        <v>1</v>
      </c>
      <c r="I834" s="23"/>
      <c r="J834" s="23"/>
      <c r="K834" s="23"/>
      <c r="L834" s="23" t="s">
        <v>4810</v>
      </c>
      <c r="M834" s="23"/>
    </row>
    <row r="835" spans="2:13" ht="15" customHeight="1" x14ac:dyDescent="0.25">
      <c r="B835" s="35" t="s">
        <v>4831</v>
      </c>
      <c r="C835" s="23" t="s">
        <v>4832</v>
      </c>
      <c r="D835" s="23" t="s">
        <v>3303</v>
      </c>
      <c r="E835" s="23" t="s">
        <v>3317</v>
      </c>
      <c r="F835" s="23" t="s">
        <v>3305</v>
      </c>
      <c r="G835" s="93">
        <v>3</v>
      </c>
      <c r="H835" s="93">
        <v>0</v>
      </c>
      <c r="I835" s="23"/>
      <c r="J835" s="23"/>
      <c r="K835" s="23"/>
      <c r="L835" s="23" t="s">
        <v>4810</v>
      </c>
      <c r="M835" s="23"/>
    </row>
    <row r="836" spans="2:13" ht="15" customHeight="1" x14ac:dyDescent="0.25">
      <c r="B836" s="35" t="s">
        <v>4833</v>
      </c>
      <c r="C836" s="23" t="s">
        <v>4834</v>
      </c>
      <c r="D836" s="23" t="s">
        <v>3303</v>
      </c>
      <c r="E836" s="23" t="s">
        <v>3317</v>
      </c>
      <c r="F836" s="23" t="s">
        <v>3305</v>
      </c>
      <c r="G836" s="93">
        <v>3</v>
      </c>
      <c r="H836" s="93">
        <v>0</v>
      </c>
      <c r="I836" s="23"/>
      <c r="J836" s="23"/>
      <c r="K836" s="23"/>
      <c r="L836" s="23" t="s">
        <v>4810</v>
      </c>
      <c r="M836" s="23"/>
    </row>
    <row r="837" spans="2:13" ht="15" customHeight="1" x14ac:dyDescent="0.25">
      <c r="B837" s="35" t="s">
        <v>4835</v>
      </c>
      <c r="C837" s="23" t="s">
        <v>4836</v>
      </c>
      <c r="D837" s="23" t="s">
        <v>3303</v>
      </c>
      <c r="E837" s="23" t="s">
        <v>3317</v>
      </c>
      <c r="F837" s="23" t="s">
        <v>3305</v>
      </c>
      <c r="G837" s="93">
        <v>3</v>
      </c>
      <c r="H837" s="93">
        <v>1</v>
      </c>
      <c r="I837" s="23"/>
      <c r="J837" s="23"/>
      <c r="K837" s="23"/>
      <c r="L837" s="23" t="s">
        <v>4810</v>
      </c>
      <c r="M837" s="23"/>
    </row>
    <row r="838" spans="2:13" ht="15" customHeight="1" x14ac:dyDescent="0.25">
      <c r="B838" s="35" t="s">
        <v>4837</v>
      </c>
      <c r="C838" s="23" t="s">
        <v>4838</v>
      </c>
      <c r="D838" s="23" t="s">
        <v>3303</v>
      </c>
      <c r="E838" s="23" t="s">
        <v>3317</v>
      </c>
      <c r="F838" s="23" t="s">
        <v>3305</v>
      </c>
      <c r="G838" s="93">
        <v>3</v>
      </c>
      <c r="H838" s="93">
        <v>0</v>
      </c>
      <c r="I838" s="23"/>
      <c r="J838" s="23"/>
      <c r="K838" s="23"/>
      <c r="L838" s="23" t="s">
        <v>4810</v>
      </c>
      <c r="M838" s="23"/>
    </row>
    <row r="839" spans="2:13" ht="15" customHeight="1" x14ac:dyDescent="0.25">
      <c r="B839" s="35" t="s">
        <v>4839</v>
      </c>
      <c r="C839" s="23" t="s">
        <v>4840</v>
      </c>
      <c r="D839" s="23" t="s">
        <v>3303</v>
      </c>
      <c r="E839" s="23" t="s">
        <v>3317</v>
      </c>
      <c r="F839" s="23" t="s">
        <v>3305</v>
      </c>
      <c r="G839" s="93">
        <v>3</v>
      </c>
      <c r="H839" s="93">
        <v>1</v>
      </c>
      <c r="I839" s="23"/>
      <c r="J839" s="23"/>
      <c r="K839" s="23"/>
      <c r="L839" s="23" t="s">
        <v>4810</v>
      </c>
      <c r="M839" s="23"/>
    </row>
    <row r="840" spans="2:13" ht="15" customHeight="1" x14ac:dyDescent="0.25">
      <c r="B840" s="35" t="s">
        <v>4841</v>
      </c>
      <c r="C840" s="23" t="s">
        <v>4842</v>
      </c>
      <c r="D840" s="23" t="s">
        <v>3303</v>
      </c>
      <c r="E840" s="23" t="s">
        <v>3317</v>
      </c>
      <c r="F840" s="23" t="s">
        <v>3305</v>
      </c>
      <c r="G840" s="93">
        <v>3</v>
      </c>
      <c r="H840" s="93">
        <v>1</v>
      </c>
      <c r="I840" s="23"/>
      <c r="J840" s="23"/>
      <c r="K840" s="23"/>
      <c r="L840" s="23" t="s">
        <v>4810</v>
      </c>
      <c r="M840" s="23"/>
    </row>
    <row r="841" spans="2:13" ht="15" customHeight="1" x14ac:dyDescent="0.25">
      <c r="B841" s="35" t="s">
        <v>4843</v>
      </c>
      <c r="C841" s="23" t="s">
        <v>4844</v>
      </c>
      <c r="D841" s="23" t="s">
        <v>3303</v>
      </c>
      <c r="E841" s="23" t="s">
        <v>3317</v>
      </c>
      <c r="F841" s="23" t="s">
        <v>3305</v>
      </c>
      <c r="G841" s="93">
        <v>3</v>
      </c>
      <c r="H841" s="93">
        <v>1</v>
      </c>
      <c r="I841" s="23"/>
      <c r="J841" s="23"/>
      <c r="K841" s="23"/>
      <c r="L841" s="23" t="s">
        <v>4810</v>
      </c>
      <c r="M841" s="23"/>
    </row>
    <row r="842" spans="2:13" ht="15" customHeight="1" x14ac:dyDescent="0.25">
      <c r="B842" s="35" t="s">
        <v>4845</v>
      </c>
      <c r="C842" s="23" t="s">
        <v>4846</v>
      </c>
      <c r="D842" s="23" t="s">
        <v>3303</v>
      </c>
      <c r="E842" s="23" t="s">
        <v>3317</v>
      </c>
      <c r="F842" s="23" t="s">
        <v>3305</v>
      </c>
      <c r="G842" s="93">
        <v>3</v>
      </c>
      <c r="H842" s="93">
        <v>1</v>
      </c>
      <c r="I842" s="23"/>
      <c r="J842" s="23"/>
      <c r="K842" s="23"/>
      <c r="L842" s="23" t="s">
        <v>4810</v>
      </c>
      <c r="M842" s="23"/>
    </row>
    <row r="843" spans="2:13" ht="15" customHeight="1" x14ac:dyDescent="0.25">
      <c r="B843" s="35" t="s">
        <v>4810</v>
      </c>
      <c r="C843" s="23" t="s">
        <v>4847</v>
      </c>
      <c r="D843" s="23" t="s">
        <v>3303</v>
      </c>
      <c r="E843" s="23" t="s">
        <v>3367</v>
      </c>
      <c r="F843" s="23" t="s">
        <v>3305</v>
      </c>
      <c r="G843" s="93">
        <v>0</v>
      </c>
      <c r="H843" s="93">
        <v>0</v>
      </c>
      <c r="I843" s="23"/>
      <c r="J843" s="23"/>
      <c r="K843" s="23"/>
      <c r="L843" s="23" t="s">
        <v>4572</v>
      </c>
      <c r="M843" s="23"/>
    </row>
    <row r="844" spans="2:13" ht="15" customHeight="1" x14ac:dyDescent="0.25">
      <c r="B844" s="35" t="s">
        <v>4848</v>
      </c>
      <c r="C844" s="23" t="s">
        <v>4849</v>
      </c>
      <c r="D844" s="23" t="s">
        <v>3303</v>
      </c>
      <c r="E844" s="23" t="s">
        <v>3304</v>
      </c>
      <c r="F844" s="23" t="s">
        <v>3305</v>
      </c>
      <c r="G844" s="93">
        <v>0</v>
      </c>
      <c r="H844" s="93">
        <v>0</v>
      </c>
      <c r="I844" s="23"/>
      <c r="J844" s="23"/>
      <c r="K844" s="23"/>
      <c r="L844" s="23" t="s">
        <v>4850</v>
      </c>
      <c r="M844" s="23"/>
    </row>
    <row r="845" spans="2:13" ht="15" customHeight="1" x14ac:dyDescent="0.25">
      <c r="B845" s="35" t="s">
        <v>4851</v>
      </c>
      <c r="C845" s="23" t="s">
        <v>4852</v>
      </c>
      <c r="D845" s="23" t="s">
        <v>3303</v>
      </c>
      <c r="E845" s="23" t="s">
        <v>3304</v>
      </c>
      <c r="F845" s="23" t="s">
        <v>3305</v>
      </c>
      <c r="G845" s="93">
        <v>0</v>
      </c>
      <c r="H845" s="93">
        <v>0</v>
      </c>
      <c r="I845" s="23"/>
      <c r="J845" s="23"/>
      <c r="K845" s="23"/>
      <c r="L845" s="23" t="s">
        <v>4853</v>
      </c>
      <c r="M845" s="23"/>
    </row>
    <row r="846" spans="2:13" ht="15" customHeight="1" x14ac:dyDescent="0.25">
      <c r="B846" s="35" t="s">
        <v>4854</v>
      </c>
      <c r="C846" s="23" t="s">
        <v>4855</v>
      </c>
      <c r="D846" s="23" t="s">
        <v>3303</v>
      </c>
      <c r="E846" s="23" t="s">
        <v>3317</v>
      </c>
      <c r="F846" s="23" t="s">
        <v>3305</v>
      </c>
      <c r="G846" s="93">
        <v>3</v>
      </c>
      <c r="H846" s="93">
        <v>1</v>
      </c>
      <c r="I846" s="23"/>
      <c r="J846" s="23"/>
      <c r="K846" s="23"/>
      <c r="L846" s="23" t="s">
        <v>4853</v>
      </c>
      <c r="M846" s="23" t="s">
        <v>4716</v>
      </c>
    </row>
    <row r="847" spans="2:13" ht="15" customHeight="1" x14ac:dyDescent="0.25">
      <c r="B847" s="35" t="s">
        <v>338</v>
      </c>
      <c r="C847" s="23" t="s">
        <v>4856</v>
      </c>
      <c r="D847" s="23" t="s">
        <v>3303</v>
      </c>
      <c r="E847" s="23" t="s">
        <v>3317</v>
      </c>
      <c r="F847" s="23" t="s">
        <v>3305</v>
      </c>
      <c r="G847" s="93">
        <v>3</v>
      </c>
      <c r="H847" s="93">
        <v>1</v>
      </c>
      <c r="I847" s="23"/>
      <c r="J847" s="23"/>
      <c r="K847" s="23"/>
      <c r="L847" s="23" t="s">
        <v>4853</v>
      </c>
      <c r="M847" s="23" t="s">
        <v>4716</v>
      </c>
    </row>
    <row r="848" spans="2:13" ht="15" customHeight="1" x14ac:dyDescent="0.25">
      <c r="B848" s="35" t="s">
        <v>4857</v>
      </c>
      <c r="C848" s="23" t="s">
        <v>4858</v>
      </c>
      <c r="D848" s="23" t="s">
        <v>3303</v>
      </c>
      <c r="E848" s="23" t="s">
        <v>3317</v>
      </c>
      <c r="F848" s="23" t="s">
        <v>3305</v>
      </c>
      <c r="G848" s="93">
        <v>3</v>
      </c>
      <c r="H848" s="93">
        <v>1</v>
      </c>
      <c r="I848" s="23"/>
      <c r="J848" s="23"/>
      <c r="K848" s="23"/>
      <c r="L848" s="23" t="s">
        <v>4853</v>
      </c>
      <c r="M848" s="23" t="s">
        <v>4716</v>
      </c>
    </row>
    <row r="849" spans="2:13" ht="15" customHeight="1" x14ac:dyDescent="0.25">
      <c r="B849" s="35" t="s">
        <v>4859</v>
      </c>
      <c r="C849" s="23" t="s">
        <v>4860</v>
      </c>
      <c r="D849" s="23" t="s">
        <v>3303</v>
      </c>
      <c r="E849" s="23" t="s">
        <v>3317</v>
      </c>
      <c r="F849" s="23" t="s">
        <v>3305</v>
      </c>
      <c r="G849" s="93">
        <v>3</v>
      </c>
      <c r="H849" s="93">
        <v>1</v>
      </c>
      <c r="I849" s="23"/>
      <c r="J849" s="23"/>
      <c r="K849" s="23"/>
      <c r="L849" s="23" t="s">
        <v>4853</v>
      </c>
      <c r="M849" s="23" t="s">
        <v>4716</v>
      </c>
    </row>
    <row r="850" spans="2:13" ht="15" customHeight="1" x14ac:dyDescent="0.25">
      <c r="B850" s="35" t="s">
        <v>4861</v>
      </c>
      <c r="C850" s="23" t="s">
        <v>4862</v>
      </c>
      <c r="D850" s="23" t="s">
        <v>3303</v>
      </c>
      <c r="E850" s="23" t="s">
        <v>3317</v>
      </c>
      <c r="F850" s="23" t="s">
        <v>3305</v>
      </c>
      <c r="G850" s="93">
        <v>3</v>
      </c>
      <c r="H850" s="93">
        <v>1</v>
      </c>
      <c r="I850" s="23"/>
      <c r="J850" s="23"/>
      <c r="K850" s="23"/>
      <c r="L850" s="23" t="s">
        <v>4853</v>
      </c>
      <c r="M850" s="23" t="s">
        <v>4716</v>
      </c>
    </row>
    <row r="851" spans="2:13" ht="15" customHeight="1" x14ac:dyDescent="0.25">
      <c r="B851" s="35" t="s">
        <v>4863</v>
      </c>
      <c r="C851" s="23" t="s">
        <v>4864</v>
      </c>
      <c r="D851" s="23" t="s">
        <v>3303</v>
      </c>
      <c r="E851" s="23" t="s">
        <v>3317</v>
      </c>
      <c r="F851" s="23" t="s">
        <v>3305</v>
      </c>
      <c r="G851" s="93">
        <v>3</v>
      </c>
      <c r="H851" s="93">
        <v>1</v>
      </c>
      <c r="I851" s="23"/>
      <c r="J851" s="23"/>
      <c r="K851" s="23"/>
      <c r="L851" s="23" t="s">
        <v>4853</v>
      </c>
      <c r="M851" s="23" t="s">
        <v>4716</v>
      </c>
    </row>
    <row r="852" spans="2:13" ht="15" customHeight="1" x14ac:dyDescent="0.25">
      <c r="B852" s="35" t="s">
        <v>4865</v>
      </c>
      <c r="C852" s="23" t="s">
        <v>4866</v>
      </c>
      <c r="D852" s="23" t="s">
        <v>3303</v>
      </c>
      <c r="E852" s="23" t="s">
        <v>3317</v>
      </c>
      <c r="F852" s="23" t="s">
        <v>3305</v>
      </c>
      <c r="G852" s="93">
        <v>3</v>
      </c>
      <c r="H852" s="93">
        <v>1</v>
      </c>
      <c r="I852" s="23"/>
      <c r="J852" s="23"/>
      <c r="K852" s="23"/>
      <c r="L852" s="23" t="s">
        <v>4853</v>
      </c>
      <c r="M852" s="23" t="s">
        <v>4716</v>
      </c>
    </row>
    <row r="853" spans="2:13" ht="15" customHeight="1" x14ac:dyDescent="0.25">
      <c r="B853" s="35" t="s">
        <v>4867</v>
      </c>
      <c r="C853" s="23" t="s">
        <v>4868</v>
      </c>
      <c r="D853" s="23" t="s">
        <v>3303</v>
      </c>
      <c r="E853" s="23" t="s">
        <v>3317</v>
      </c>
      <c r="F853" s="23" t="s">
        <v>3305</v>
      </c>
      <c r="G853" s="93">
        <v>3</v>
      </c>
      <c r="H853" s="93">
        <v>1</v>
      </c>
      <c r="I853" s="23"/>
      <c r="J853" s="23"/>
      <c r="K853" s="23"/>
      <c r="L853" s="23" t="s">
        <v>4853</v>
      </c>
      <c r="M853" s="23" t="s">
        <v>4716</v>
      </c>
    </row>
    <row r="854" spans="2:13" ht="15" customHeight="1" x14ac:dyDescent="0.25">
      <c r="B854" s="35" t="s">
        <v>4869</v>
      </c>
      <c r="C854" s="23" t="s">
        <v>4870</v>
      </c>
      <c r="D854" s="23" t="s">
        <v>3303</v>
      </c>
      <c r="E854" s="23" t="s">
        <v>3317</v>
      </c>
      <c r="F854" s="23" t="s">
        <v>3305</v>
      </c>
      <c r="G854" s="93">
        <v>3</v>
      </c>
      <c r="H854" s="93">
        <v>0</v>
      </c>
      <c r="I854" s="23"/>
      <c r="J854" s="23"/>
      <c r="K854" s="23"/>
      <c r="L854" s="23" t="s">
        <v>4853</v>
      </c>
      <c r="M854" s="23"/>
    </row>
    <row r="855" spans="2:13" ht="15" customHeight="1" x14ac:dyDescent="0.25">
      <c r="B855" s="35" t="s">
        <v>4871</v>
      </c>
      <c r="C855" s="23" t="s">
        <v>4872</v>
      </c>
      <c r="D855" s="23" t="s">
        <v>3303</v>
      </c>
      <c r="E855" s="23" t="s">
        <v>3317</v>
      </c>
      <c r="F855" s="23" t="s">
        <v>3305</v>
      </c>
      <c r="G855" s="93">
        <v>3</v>
      </c>
      <c r="H855" s="93">
        <v>1</v>
      </c>
      <c r="I855" s="23"/>
      <c r="J855" s="23"/>
      <c r="K855" s="23"/>
      <c r="L855" s="23" t="s">
        <v>4853</v>
      </c>
      <c r="M855" s="23" t="s">
        <v>4716</v>
      </c>
    </row>
    <row r="856" spans="2:13" ht="15" customHeight="1" x14ac:dyDescent="0.25">
      <c r="B856" s="35" t="s">
        <v>4873</v>
      </c>
      <c r="C856" s="23" t="s">
        <v>4874</v>
      </c>
      <c r="D856" s="23" t="s">
        <v>3303</v>
      </c>
      <c r="E856" s="23" t="s">
        <v>3317</v>
      </c>
      <c r="F856" s="23" t="s">
        <v>3305</v>
      </c>
      <c r="G856" s="93">
        <v>3</v>
      </c>
      <c r="H856" s="93">
        <v>1</v>
      </c>
      <c r="I856" s="23"/>
      <c r="J856" s="23"/>
      <c r="K856" s="23"/>
      <c r="L856" s="23" t="s">
        <v>4853</v>
      </c>
      <c r="M856" s="23" t="s">
        <v>4716</v>
      </c>
    </row>
    <row r="857" spans="2:13" ht="15" customHeight="1" x14ac:dyDescent="0.25">
      <c r="B857" s="35" t="s">
        <v>4875</v>
      </c>
      <c r="C857" s="23" t="s">
        <v>4876</v>
      </c>
      <c r="D857" s="23" t="s">
        <v>3303</v>
      </c>
      <c r="E857" s="23" t="s">
        <v>3317</v>
      </c>
      <c r="F857" s="23" t="s">
        <v>3305</v>
      </c>
      <c r="G857" s="93">
        <v>3</v>
      </c>
      <c r="H857" s="93">
        <v>1</v>
      </c>
      <c r="I857" s="23"/>
      <c r="J857" s="23"/>
      <c r="K857" s="23"/>
      <c r="L857" s="23" t="s">
        <v>4853</v>
      </c>
      <c r="M857" s="23" t="s">
        <v>4716</v>
      </c>
    </row>
    <row r="858" spans="2:13" ht="15" customHeight="1" x14ac:dyDescent="0.25">
      <c r="B858" s="35" t="s">
        <v>4877</v>
      </c>
      <c r="C858" s="23" t="s">
        <v>4878</v>
      </c>
      <c r="D858" s="23" t="s">
        <v>3303</v>
      </c>
      <c r="E858" s="23" t="s">
        <v>3317</v>
      </c>
      <c r="F858" s="23" t="s">
        <v>3305</v>
      </c>
      <c r="G858" s="93">
        <v>3</v>
      </c>
      <c r="H858" s="93">
        <v>1</v>
      </c>
      <c r="I858" s="23"/>
      <c r="J858" s="23"/>
      <c r="K858" s="23"/>
      <c r="L858" s="23" t="s">
        <v>4853</v>
      </c>
      <c r="M858" s="23" t="s">
        <v>4716</v>
      </c>
    </row>
    <row r="859" spans="2:13" ht="15" customHeight="1" x14ac:dyDescent="0.25">
      <c r="B859" s="35" t="s">
        <v>4879</v>
      </c>
      <c r="C859" s="23" t="s">
        <v>4880</v>
      </c>
      <c r="D859" s="23" t="s">
        <v>3303</v>
      </c>
      <c r="E859" s="23" t="s">
        <v>3317</v>
      </c>
      <c r="F859" s="23" t="s">
        <v>3305</v>
      </c>
      <c r="G859" s="93">
        <v>3</v>
      </c>
      <c r="H859" s="93">
        <v>1</v>
      </c>
      <c r="I859" s="23"/>
      <c r="J859" s="23"/>
      <c r="K859" s="23"/>
      <c r="L859" s="23" t="s">
        <v>4853</v>
      </c>
      <c r="M859" s="23" t="s">
        <v>4716</v>
      </c>
    </row>
    <row r="860" spans="2:13" ht="15" customHeight="1" x14ac:dyDescent="0.25">
      <c r="B860" s="35" t="s">
        <v>4881</v>
      </c>
      <c r="C860" s="23" t="s">
        <v>4882</v>
      </c>
      <c r="D860" s="23" t="s">
        <v>3303</v>
      </c>
      <c r="E860" s="23" t="s">
        <v>3317</v>
      </c>
      <c r="F860" s="23" t="s">
        <v>3305</v>
      </c>
      <c r="G860" s="93">
        <v>3</v>
      </c>
      <c r="H860" s="93">
        <v>1</v>
      </c>
      <c r="I860" s="23"/>
      <c r="J860" s="23"/>
      <c r="K860" s="23"/>
      <c r="L860" s="23" t="s">
        <v>4853</v>
      </c>
      <c r="M860" s="23" t="s">
        <v>4716</v>
      </c>
    </row>
    <row r="861" spans="2:13" ht="15" customHeight="1" x14ac:dyDescent="0.25">
      <c r="B861" s="35" t="s">
        <v>4883</v>
      </c>
      <c r="C861" s="23" t="s">
        <v>4884</v>
      </c>
      <c r="D861" s="23" t="s">
        <v>3303</v>
      </c>
      <c r="E861" s="23" t="s">
        <v>3317</v>
      </c>
      <c r="F861" s="23" t="s">
        <v>3305</v>
      </c>
      <c r="G861" s="93">
        <v>3</v>
      </c>
      <c r="H861" s="93">
        <v>0</v>
      </c>
      <c r="I861" s="23"/>
      <c r="J861" s="23"/>
      <c r="K861" s="23"/>
      <c r="L861" s="23" t="s">
        <v>4853</v>
      </c>
      <c r="M861" s="23"/>
    </row>
    <row r="862" spans="2:13" ht="15" customHeight="1" x14ac:dyDescent="0.25">
      <c r="B862" s="35" t="s">
        <v>4885</v>
      </c>
      <c r="C862" s="23" t="s">
        <v>4886</v>
      </c>
      <c r="D862" s="23" t="s">
        <v>3303</v>
      </c>
      <c r="E862" s="23" t="s">
        <v>3317</v>
      </c>
      <c r="F862" s="23" t="s">
        <v>3305</v>
      </c>
      <c r="G862" s="93">
        <v>0</v>
      </c>
      <c r="H862" s="93">
        <v>1</v>
      </c>
      <c r="I862" s="23"/>
      <c r="J862" s="23"/>
      <c r="K862" s="23"/>
      <c r="L862" s="23" t="s">
        <v>4853</v>
      </c>
      <c r="M862" s="23" t="s">
        <v>4716</v>
      </c>
    </row>
    <row r="863" spans="2:13" ht="15" customHeight="1" x14ac:dyDescent="0.25">
      <c r="B863" s="35" t="s">
        <v>4887</v>
      </c>
      <c r="C863" s="23" t="s">
        <v>4888</v>
      </c>
      <c r="D863" s="23" t="s">
        <v>3303</v>
      </c>
      <c r="E863" s="23" t="s">
        <v>3317</v>
      </c>
      <c r="F863" s="23" t="s">
        <v>3305</v>
      </c>
      <c r="G863" s="93">
        <v>0</v>
      </c>
      <c r="H863" s="93">
        <v>0</v>
      </c>
      <c r="I863" s="23"/>
      <c r="J863" s="23"/>
      <c r="K863" s="23"/>
      <c r="L863" s="23" t="s">
        <v>4853</v>
      </c>
      <c r="M863" s="23"/>
    </row>
    <row r="864" spans="2:13" ht="15" customHeight="1" x14ac:dyDescent="0.25">
      <c r="B864" s="35" t="s">
        <v>4889</v>
      </c>
      <c r="C864" s="23" t="s">
        <v>4890</v>
      </c>
      <c r="D864" s="23" t="s">
        <v>3303</v>
      </c>
      <c r="E864" s="23" t="s">
        <v>3317</v>
      </c>
      <c r="F864" s="23" t="s">
        <v>3305</v>
      </c>
      <c r="G864" s="93">
        <v>0</v>
      </c>
      <c r="H864" s="93">
        <v>1</v>
      </c>
      <c r="I864" s="23"/>
      <c r="J864" s="23"/>
      <c r="K864" s="23"/>
      <c r="L864" s="23" t="s">
        <v>4853</v>
      </c>
      <c r="M864" s="23" t="s">
        <v>4716</v>
      </c>
    </row>
    <row r="865" spans="2:13" ht="15" customHeight="1" x14ac:dyDescent="0.25">
      <c r="B865" s="35" t="s">
        <v>4891</v>
      </c>
      <c r="C865" s="23" t="s">
        <v>4892</v>
      </c>
      <c r="D865" s="23" t="s">
        <v>3303</v>
      </c>
      <c r="E865" s="23" t="s">
        <v>3317</v>
      </c>
      <c r="F865" s="23" t="s">
        <v>3305</v>
      </c>
      <c r="G865" s="93">
        <v>0</v>
      </c>
      <c r="H865" s="93">
        <v>1</v>
      </c>
      <c r="I865" s="23"/>
      <c r="J865" s="23"/>
      <c r="K865" s="23"/>
      <c r="L865" s="23" t="s">
        <v>4853</v>
      </c>
      <c r="M865" s="23" t="s">
        <v>4716</v>
      </c>
    </row>
    <row r="866" spans="2:13" ht="15" customHeight="1" x14ac:dyDescent="0.25">
      <c r="B866" s="35" t="s">
        <v>4893</v>
      </c>
      <c r="C866" s="23" t="s">
        <v>4894</v>
      </c>
      <c r="D866" s="23" t="s">
        <v>3303</v>
      </c>
      <c r="E866" s="23" t="s">
        <v>3317</v>
      </c>
      <c r="F866" s="23" t="s">
        <v>3305</v>
      </c>
      <c r="G866" s="93">
        <v>0</v>
      </c>
      <c r="H866" s="93">
        <v>1</v>
      </c>
      <c r="I866" s="23"/>
      <c r="J866" s="23"/>
      <c r="K866" s="23"/>
      <c r="L866" s="23" t="s">
        <v>4853</v>
      </c>
      <c r="M866" s="23" t="s">
        <v>4716</v>
      </c>
    </row>
    <row r="867" spans="2:13" ht="15" customHeight="1" x14ac:dyDescent="0.25">
      <c r="B867" s="35" t="s">
        <v>4895</v>
      </c>
      <c r="C867" s="23" t="s">
        <v>4896</v>
      </c>
      <c r="D867" s="23" t="s">
        <v>3303</v>
      </c>
      <c r="E867" s="23" t="s">
        <v>3317</v>
      </c>
      <c r="F867" s="23" t="s">
        <v>3305</v>
      </c>
      <c r="G867" s="93">
        <v>3</v>
      </c>
      <c r="H867" s="93">
        <v>1</v>
      </c>
      <c r="I867" s="23"/>
      <c r="J867" s="23"/>
      <c r="K867" s="23"/>
      <c r="L867" s="23" t="s">
        <v>4853</v>
      </c>
      <c r="M867" s="23" t="s">
        <v>4716</v>
      </c>
    </row>
    <row r="868" spans="2:13" ht="15" customHeight="1" x14ac:dyDescent="0.25">
      <c r="B868" s="35" t="s">
        <v>4897</v>
      </c>
      <c r="C868" s="23" t="s">
        <v>4898</v>
      </c>
      <c r="D868" s="23" t="s">
        <v>3303</v>
      </c>
      <c r="E868" s="23" t="s">
        <v>3317</v>
      </c>
      <c r="F868" s="23" t="s">
        <v>3305</v>
      </c>
      <c r="G868" s="93">
        <v>0</v>
      </c>
      <c r="H868" s="93">
        <v>1</v>
      </c>
      <c r="I868" s="23"/>
      <c r="J868" s="23"/>
      <c r="K868" s="23"/>
      <c r="L868" s="23" t="s">
        <v>4853</v>
      </c>
      <c r="M868" s="23" t="s">
        <v>4716</v>
      </c>
    </row>
    <row r="869" spans="2:13" ht="15" customHeight="1" x14ac:dyDescent="0.25">
      <c r="B869" s="35" t="s">
        <v>4899</v>
      </c>
      <c r="C869" s="23" t="s">
        <v>4900</v>
      </c>
      <c r="D869" s="23" t="s">
        <v>3303</v>
      </c>
      <c r="E869" s="23" t="s">
        <v>3317</v>
      </c>
      <c r="F869" s="23" t="s">
        <v>3305</v>
      </c>
      <c r="G869" s="93">
        <v>0</v>
      </c>
      <c r="H869" s="93">
        <v>1</v>
      </c>
      <c r="I869" s="23"/>
      <c r="J869" s="23"/>
      <c r="K869" s="23"/>
      <c r="L869" s="23" t="s">
        <v>4853</v>
      </c>
      <c r="M869" s="23" t="s">
        <v>4716</v>
      </c>
    </row>
    <row r="870" spans="2:13" ht="15" customHeight="1" x14ac:dyDescent="0.25">
      <c r="B870" s="35" t="s">
        <v>4901</v>
      </c>
      <c r="C870" s="23" t="s">
        <v>4902</v>
      </c>
      <c r="D870" s="23" t="s">
        <v>3303</v>
      </c>
      <c r="E870" s="23" t="s">
        <v>3317</v>
      </c>
      <c r="F870" s="23" t="s">
        <v>3305</v>
      </c>
      <c r="G870" s="93">
        <v>0</v>
      </c>
      <c r="H870" s="93">
        <v>1</v>
      </c>
      <c r="I870" s="23"/>
      <c r="J870" s="23"/>
      <c r="K870" s="23"/>
      <c r="L870" s="23" t="s">
        <v>4853</v>
      </c>
      <c r="M870" s="23" t="s">
        <v>4716</v>
      </c>
    </row>
    <row r="871" spans="2:13" ht="15" customHeight="1" x14ac:dyDescent="0.25">
      <c r="B871" s="35" t="s">
        <v>4853</v>
      </c>
      <c r="C871" s="23" t="s">
        <v>4903</v>
      </c>
      <c r="D871" s="23" t="s">
        <v>3303</v>
      </c>
      <c r="E871" s="23" t="s">
        <v>3367</v>
      </c>
      <c r="F871" s="23" t="s">
        <v>3305</v>
      </c>
      <c r="G871" s="93">
        <v>0</v>
      </c>
      <c r="H871" s="93">
        <v>0</v>
      </c>
      <c r="I871" s="23"/>
      <c r="J871" s="23"/>
      <c r="K871" s="23"/>
      <c r="L871" s="23" t="s">
        <v>4850</v>
      </c>
      <c r="M871" s="23"/>
    </row>
    <row r="872" spans="2:13" ht="15" customHeight="1" x14ac:dyDescent="0.25">
      <c r="B872" s="35" t="s">
        <v>4904</v>
      </c>
      <c r="C872" s="23" t="s">
        <v>4905</v>
      </c>
      <c r="D872" s="23" t="s">
        <v>3303</v>
      </c>
      <c r="E872" s="23" t="s">
        <v>3304</v>
      </c>
      <c r="F872" s="23" t="s">
        <v>3305</v>
      </c>
      <c r="G872" s="93">
        <v>0</v>
      </c>
      <c r="H872" s="93">
        <v>0</v>
      </c>
      <c r="I872" s="23"/>
      <c r="J872" s="23"/>
      <c r="K872" s="23"/>
      <c r="L872" s="23" t="s">
        <v>4906</v>
      </c>
      <c r="M872" s="23"/>
    </row>
    <row r="873" spans="2:13" ht="15" customHeight="1" x14ac:dyDescent="0.25">
      <c r="B873" s="35" t="s">
        <v>4907</v>
      </c>
      <c r="C873" s="23" t="s">
        <v>4908</v>
      </c>
      <c r="D873" s="23" t="s">
        <v>3303</v>
      </c>
      <c r="E873" s="23" t="s">
        <v>3317</v>
      </c>
      <c r="F873" s="23" t="s">
        <v>3305</v>
      </c>
      <c r="G873" s="93">
        <v>3</v>
      </c>
      <c r="H873" s="93">
        <v>1</v>
      </c>
      <c r="I873" s="23"/>
      <c r="J873" s="23"/>
      <c r="K873" s="23"/>
      <c r="L873" s="23" t="s">
        <v>4906</v>
      </c>
      <c r="M873" s="23" t="s">
        <v>4716</v>
      </c>
    </row>
    <row r="874" spans="2:13" ht="15" customHeight="1" x14ac:dyDescent="0.25">
      <c r="B874" s="35" t="s">
        <v>4909</v>
      </c>
      <c r="C874" s="23" t="s">
        <v>4910</v>
      </c>
      <c r="D874" s="23" t="s">
        <v>3303</v>
      </c>
      <c r="E874" s="23" t="s">
        <v>3317</v>
      </c>
      <c r="F874" s="23" t="s">
        <v>3305</v>
      </c>
      <c r="G874" s="93">
        <v>3</v>
      </c>
      <c r="H874" s="93">
        <v>1</v>
      </c>
      <c r="I874" s="23"/>
      <c r="J874" s="23"/>
      <c r="K874" s="23"/>
      <c r="L874" s="23" t="s">
        <v>4906</v>
      </c>
      <c r="M874" s="23" t="s">
        <v>4716</v>
      </c>
    </row>
    <row r="875" spans="2:13" ht="15" customHeight="1" x14ac:dyDescent="0.25">
      <c r="B875" s="35" t="s">
        <v>4911</v>
      </c>
      <c r="C875" s="23" t="s">
        <v>4912</v>
      </c>
      <c r="D875" s="23" t="s">
        <v>3303</v>
      </c>
      <c r="E875" s="23" t="s">
        <v>3317</v>
      </c>
      <c r="F875" s="23" t="s">
        <v>3305</v>
      </c>
      <c r="G875" s="93">
        <v>3</v>
      </c>
      <c r="H875" s="93">
        <v>1</v>
      </c>
      <c r="I875" s="23"/>
      <c r="J875" s="23"/>
      <c r="K875" s="23"/>
      <c r="L875" s="23" t="s">
        <v>4906</v>
      </c>
      <c r="M875" s="23" t="s">
        <v>4716</v>
      </c>
    </row>
    <row r="876" spans="2:13" ht="15" customHeight="1" x14ac:dyDescent="0.25">
      <c r="B876" s="35" t="s">
        <v>4913</v>
      </c>
      <c r="C876" s="23" t="s">
        <v>4914</v>
      </c>
      <c r="D876" s="23" t="s">
        <v>3303</v>
      </c>
      <c r="E876" s="23" t="s">
        <v>3317</v>
      </c>
      <c r="F876" s="23" t="s">
        <v>3305</v>
      </c>
      <c r="G876" s="93">
        <v>3</v>
      </c>
      <c r="H876" s="93">
        <v>1</v>
      </c>
      <c r="I876" s="23"/>
      <c r="J876" s="23"/>
      <c r="K876" s="23"/>
      <c r="L876" s="23" t="s">
        <v>4906</v>
      </c>
      <c r="M876" s="23" t="s">
        <v>4716</v>
      </c>
    </row>
    <row r="877" spans="2:13" ht="15" customHeight="1" x14ac:dyDescent="0.25">
      <c r="B877" s="35" t="s">
        <v>4915</v>
      </c>
      <c r="C877" s="23" t="s">
        <v>4916</v>
      </c>
      <c r="D877" s="23" t="s">
        <v>3303</v>
      </c>
      <c r="E877" s="23" t="s">
        <v>3317</v>
      </c>
      <c r="F877" s="23" t="s">
        <v>3305</v>
      </c>
      <c r="G877" s="93">
        <v>3</v>
      </c>
      <c r="H877" s="93">
        <v>1</v>
      </c>
      <c r="I877" s="23"/>
      <c r="J877" s="23"/>
      <c r="K877" s="23"/>
      <c r="L877" s="23" t="s">
        <v>4906</v>
      </c>
      <c r="M877" s="23" t="s">
        <v>4716</v>
      </c>
    </row>
    <row r="878" spans="2:13" ht="15" customHeight="1" x14ac:dyDescent="0.25">
      <c r="B878" s="35" t="s">
        <v>4917</v>
      </c>
      <c r="C878" s="23" t="s">
        <v>4918</v>
      </c>
      <c r="D878" s="23" t="s">
        <v>3303</v>
      </c>
      <c r="E878" s="23" t="s">
        <v>3317</v>
      </c>
      <c r="F878" s="23" t="s">
        <v>3305</v>
      </c>
      <c r="G878" s="93">
        <v>3</v>
      </c>
      <c r="H878" s="93">
        <v>1</v>
      </c>
      <c r="I878" s="23"/>
      <c r="J878" s="23"/>
      <c r="K878" s="23"/>
      <c r="L878" s="23" t="s">
        <v>4906</v>
      </c>
      <c r="M878" s="23" t="s">
        <v>4716</v>
      </c>
    </row>
    <row r="879" spans="2:13" ht="15" customHeight="1" x14ac:dyDescent="0.25">
      <c r="B879" s="35" t="s">
        <v>2761</v>
      </c>
      <c r="C879" s="23" t="s">
        <v>2762</v>
      </c>
      <c r="D879" s="23" t="s">
        <v>3303</v>
      </c>
      <c r="E879" s="23" t="s">
        <v>3317</v>
      </c>
      <c r="F879" s="23" t="s">
        <v>3305</v>
      </c>
      <c r="G879" s="93">
        <v>3</v>
      </c>
      <c r="H879" s="93">
        <v>0</v>
      </c>
      <c r="I879" s="23"/>
      <c r="J879" s="23"/>
      <c r="K879" s="23"/>
      <c r="L879" s="23" t="s">
        <v>4906</v>
      </c>
      <c r="M879" s="23"/>
    </row>
    <row r="880" spans="2:13" ht="15" customHeight="1" x14ac:dyDescent="0.25">
      <c r="B880" s="35" t="s">
        <v>4919</v>
      </c>
      <c r="C880" s="23" t="s">
        <v>4920</v>
      </c>
      <c r="D880" s="23" t="s">
        <v>3303</v>
      </c>
      <c r="E880" s="23" t="s">
        <v>3317</v>
      </c>
      <c r="F880" s="23" t="s">
        <v>3305</v>
      </c>
      <c r="G880" s="93">
        <v>3</v>
      </c>
      <c r="H880" s="93">
        <v>0</v>
      </c>
      <c r="I880" s="23"/>
      <c r="J880" s="23"/>
      <c r="K880" s="23"/>
      <c r="L880" s="23" t="s">
        <v>4906</v>
      </c>
      <c r="M880" s="23"/>
    </row>
    <row r="881" spans="2:13" ht="15" customHeight="1" x14ac:dyDescent="0.25">
      <c r="B881" s="35" t="s">
        <v>4921</v>
      </c>
      <c r="C881" s="23" t="s">
        <v>4922</v>
      </c>
      <c r="D881" s="23" t="s">
        <v>3303</v>
      </c>
      <c r="E881" s="23" t="s">
        <v>3317</v>
      </c>
      <c r="F881" s="23" t="s">
        <v>3305</v>
      </c>
      <c r="G881" s="93">
        <v>3</v>
      </c>
      <c r="H881" s="93">
        <v>0</v>
      </c>
      <c r="I881" s="23"/>
      <c r="J881" s="23"/>
      <c r="K881" s="23"/>
      <c r="L881" s="23" t="s">
        <v>4906</v>
      </c>
      <c r="M881" s="23" t="s">
        <v>4716</v>
      </c>
    </row>
    <row r="882" spans="2:13" ht="15" customHeight="1" x14ac:dyDescent="0.25">
      <c r="B882" s="35" t="s">
        <v>4906</v>
      </c>
      <c r="C882" s="23" t="s">
        <v>4923</v>
      </c>
      <c r="D882" s="23" t="s">
        <v>3303</v>
      </c>
      <c r="E882" s="23" t="s">
        <v>3367</v>
      </c>
      <c r="F882" s="23" t="s">
        <v>3305</v>
      </c>
      <c r="G882" s="93">
        <v>0</v>
      </c>
      <c r="H882" s="93">
        <v>0</v>
      </c>
      <c r="I882" s="23"/>
      <c r="J882" s="23"/>
      <c r="K882" s="23"/>
      <c r="L882" s="23" t="s">
        <v>4850</v>
      </c>
      <c r="M882" s="23"/>
    </row>
    <row r="883" spans="2:13" ht="15" customHeight="1" x14ac:dyDescent="0.25">
      <c r="B883" s="35" t="s">
        <v>4924</v>
      </c>
      <c r="C883" s="23" t="s">
        <v>4925</v>
      </c>
      <c r="D883" s="23" t="s">
        <v>3303</v>
      </c>
      <c r="E883" s="23" t="s">
        <v>3304</v>
      </c>
      <c r="F883" s="23" t="s">
        <v>3305</v>
      </c>
      <c r="G883" s="93">
        <v>0</v>
      </c>
      <c r="H883" s="93">
        <v>0</v>
      </c>
      <c r="I883" s="23"/>
      <c r="J883" s="23"/>
      <c r="K883" s="23"/>
      <c r="L883" s="23" t="s">
        <v>4926</v>
      </c>
      <c r="M883" s="23"/>
    </row>
    <row r="884" spans="2:13" ht="15" customHeight="1" x14ac:dyDescent="0.25">
      <c r="B884" s="35" t="s">
        <v>4927</v>
      </c>
      <c r="C884" s="23" t="s">
        <v>4928</v>
      </c>
      <c r="D884" s="23" t="s">
        <v>3303</v>
      </c>
      <c r="E884" s="23" t="s">
        <v>3317</v>
      </c>
      <c r="F884" s="23" t="s">
        <v>3305</v>
      </c>
      <c r="G884" s="93">
        <v>3</v>
      </c>
      <c r="H884" s="93">
        <v>1</v>
      </c>
      <c r="I884" s="23"/>
      <c r="J884" s="23"/>
      <c r="K884" s="23"/>
      <c r="L884" s="23" t="s">
        <v>4926</v>
      </c>
      <c r="M884" s="23" t="s">
        <v>4716</v>
      </c>
    </row>
    <row r="885" spans="2:13" ht="15" customHeight="1" x14ac:dyDescent="0.25">
      <c r="B885" s="35" t="s">
        <v>4929</v>
      </c>
      <c r="C885" s="23" t="s">
        <v>4930</v>
      </c>
      <c r="D885" s="23" t="s">
        <v>3303</v>
      </c>
      <c r="E885" s="23" t="s">
        <v>3317</v>
      </c>
      <c r="F885" s="23" t="s">
        <v>3305</v>
      </c>
      <c r="G885" s="93">
        <v>3</v>
      </c>
      <c r="H885" s="93">
        <v>1</v>
      </c>
      <c r="I885" s="23"/>
      <c r="J885" s="23"/>
      <c r="K885" s="23"/>
      <c r="L885" s="23" t="s">
        <v>4926</v>
      </c>
      <c r="M885" s="23" t="s">
        <v>4716</v>
      </c>
    </row>
    <row r="886" spans="2:13" ht="15" customHeight="1" x14ac:dyDescent="0.25">
      <c r="B886" s="35" t="s">
        <v>4931</v>
      </c>
      <c r="C886" s="23" t="s">
        <v>4932</v>
      </c>
      <c r="D886" s="23" t="s">
        <v>3303</v>
      </c>
      <c r="E886" s="23" t="s">
        <v>3317</v>
      </c>
      <c r="F886" s="23" t="s">
        <v>3305</v>
      </c>
      <c r="G886" s="93">
        <v>3</v>
      </c>
      <c r="H886" s="93">
        <v>1</v>
      </c>
      <c r="I886" s="23"/>
      <c r="J886" s="23"/>
      <c r="K886" s="23"/>
      <c r="L886" s="23" t="s">
        <v>4926</v>
      </c>
      <c r="M886" s="23" t="s">
        <v>4716</v>
      </c>
    </row>
    <row r="887" spans="2:13" ht="15" customHeight="1" x14ac:dyDescent="0.25">
      <c r="B887" s="35" t="s">
        <v>4933</v>
      </c>
      <c r="C887" s="23" t="s">
        <v>4934</v>
      </c>
      <c r="D887" s="23" t="s">
        <v>3303</v>
      </c>
      <c r="E887" s="23" t="s">
        <v>3317</v>
      </c>
      <c r="F887" s="23" t="s">
        <v>3305</v>
      </c>
      <c r="G887" s="93">
        <v>3</v>
      </c>
      <c r="H887" s="93">
        <v>1</v>
      </c>
      <c r="I887" s="23"/>
      <c r="J887" s="23"/>
      <c r="K887" s="23"/>
      <c r="L887" s="23" t="s">
        <v>4926</v>
      </c>
      <c r="M887" s="23" t="s">
        <v>4716</v>
      </c>
    </row>
    <row r="888" spans="2:13" ht="15" customHeight="1" x14ac:dyDescent="0.25">
      <c r="B888" s="35" t="s">
        <v>4935</v>
      </c>
      <c r="C888" s="23" t="s">
        <v>4936</v>
      </c>
      <c r="D888" s="23" t="s">
        <v>3303</v>
      </c>
      <c r="E888" s="23" t="s">
        <v>3317</v>
      </c>
      <c r="F888" s="23" t="s">
        <v>3305</v>
      </c>
      <c r="G888" s="93">
        <v>3</v>
      </c>
      <c r="H888" s="93">
        <v>1</v>
      </c>
      <c r="I888" s="23"/>
      <c r="J888" s="23"/>
      <c r="K888" s="23"/>
      <c r="L888" s="23" t="s">
        <v>4926</v>
      </c>
      <c r="M888" s="23" t="s">
        <v>4716</v>
      </c>
    </row>
    <row r="889" spans="2:13" ht="15" customHeight="1" x14ac:dyDescent="0.25">
      <c r="B889" s="35" t="s">
        <v>4937</v>
      </c>
      <c r="C889" s="23" t="s">
        <v>4938</v>
      </c>
      <c r="D889" s="23" t="s">
        <v>3303</v>
      </c>
      <c r="E889" s="23" t="s">
        <v>3317</v>
      </c>
      <c r="F889" s="23" t="s">
        <v>3305</v>
      </c>
      <c r="G889" s="93">
        <v>3</v>
      </c>
      <c r="H889" s="93">
        <v>1</v>
      </c>
      <c r="I889" s="23"/>
      <c r="J889" s="23"/>
      <c r="K889" s="23"/>
      <c r="L889" s="23" t="s">
        <v>4926</v>
      </c>
      <c r="M889" s="23" t="s">
        <v>4716</v>
      </c>
    </row>
    <row r="890" spans="2:13" ht="15" customHeight="1" x14ac:dyDescent="0.25">
      <c r="B890" s="35" t="s">
        <v>4939</v>
      </c>
      <c r="C890" s="23" t="s">
        <v>4940</v>
      </c>
      <c r="D890" s="23" t="s">
        <v>3303</v>
      </c>
      <c r="E890" s="23" t="s">
        <v>3317</v>
      </c>
      <c r="F890" s="23" t="s">
        <v>3305</v>
      </c>
      <c r="G890" s="93">
        <v>3</v>
      </c>
      <c r="H890" s="93">
        <v>1</v>
      </c>
      <c r="I890" s="23"/>
      <c r="J890" s="23"/>
      <c r="K890" s="23"/>
      <c r="L890" s="23" t="s">
        <v>4926</v>
      </c>
      <c r="M890" s="23" t="s">
        <v>4716</v>
      </c>
    </row>
    <row r="891" spans="2:13" ht="15" customHeight="1" x14ac:dyDescent="0.25">
      <c r="B891" s="35" t="s">
        <v>4941</v>
      </c>
      <c r="C891" s="23" t="s">
        <v>4942</v>
      </c>
      <c r="D891" s="23" t="s">
        <v>3303</v>
      </c>
      <c r="E891" s="23" t="s">
        <v>3317</v>
      </c>
      <c r="F891" s="23" t="s">
        <v>3305</v>
      </c>
      <c r="G891" s="93">
        <v>3</v>
      </c>
      <c r="H891" s="93">
        <v>1</v>
      </c>
      <c r="I891" s="23"/>
      <c r="J891" s="23"/>
      <c r="K891" s="23"/>
      <c r="L891" s="23" t="s">
        <v>4926</v>
      </c>
      <c r="M891" s="23" t="s">
        <v>4716</v>
      </c>
    </row>
    <row r="892" spans="2:13" ht="15" customHeight="1" x14ac:dyDescent="0.25">
      <c r="B892" s="35" t="s">
        <v>4943</v>
      </c>
      <c r="C892" s="23" t="s">
        <v>4944</v>
      </c>
      <c r="D892" s="23" t="s">
        <v>3303</v>
      </c>
      <c r="E892" s="23" t="s">
        <v>3317</v>
      </c>
      <c r="F892" s="23" t="s">
        <v>3305</v>
      </c>
      <c r="G892" s="93">
        <v>3</v>
      </c>
      <c r="H892" s="93">
        <v>1</v>
      </c>
      <c r="I892" s="23"/>
      <c r="J892" s="23"/>
      <c r="K892" s="23"/>
      <c r="L892" s="23" t="s">
        <v>4926</v>
      </c>
      <c r="M892" s="23" t="s">
        <v>4716</v>
      </c>
    </row>
    <row r="893" spans="2:13" ht="15" customHeight="1" x14ac:dyDescent="0.25">
      <c r="B893" s="35" t="s">
        <v>4945</v>
      </c>
      <c r="C893" s="23" t="s">
        <v>4946</v>
      </c>
      <c r="D893" s="23" t="s">
        <v>3303</v>
      </c>
      <c r="E893" s="23" t="s">
        <v>3317</v>
      </c>
      <c r="F893" s="23" t="s">
        <v>3305</v>
      </c>
      <c r="G893" s="93">
        <v>3</v>
      </c>
      <c r="H893" s="93">
        <v>1</v>
      </c>
      <c r="I893" s="23"/>
      <c r="J893" s="23"/>
      <c r="K893" s="23"/>
      <c r="L893" s="23" t="s">
        <v>4926</v>
      </c>
      <c r="M893" s="23" t="s">
        <v>4716</v>
      </c>
    </row>
    <row r="894" spans="2:13" ht="15" customHeight="1" x14ac:dyDescent="0.25">
      <c r="B894" s="35" t="s">
        <v>4947</v>
      </c>
      <c r="C894" s="23" t="s">
        <v>4948</v>
      </c>
      <c r="D894" s="23" t="s">
        <v>3303</v>
      </c>
      <c r="E894" s="23" t="s">
        <v>3317</v>
      </c>
      <c r="F894" s="23" t="s">
        <v>3305</v>
      </c>
      <c r="G894" s="93">
        <v>3</v>
      </c>
      <c r="H894" s="93">
        <v>1</v>
      </c>
      <c r="I894" s="23"/>
      <c r="J894" s="23"/>
      <c r="K894" s="23"/>
      <c r="L894" s="23" t="s">
        <v>4926</v>
      </c>
      <c r="M894" s="23" t="s">
        <v>4716</v>
      </c>
    </row>
    <row r="895" spans="2:13" ht="15" customHeight="1" x14ac:dyDescent="0.25">
      <c r="B895" s="35" t="s">
        <v>4949</v>
      </c>
      <c r="C895" s="23" t="s">
        <v>4950</v>
      </c>
      <c r="D895" s="23" t="s">
        <v>3303</v>
      </c>
      <c r="E895" s="23" t="s">
        <v>3317</v>
      </c>
      <c r="F895" s="23" t="s">
        <v>3305</v>
      </c>
      <c r="G895" s="93">
        <v>3</v>
      </c>
      <c r="H895" s="93">
        <v>1</v>
      </c>
      <c r="I895" s="23"/>
      <c r="J895" s="23"/>
      <c r="K895" s="23"/>
      <c r="L895" s="23" t="s">
        <v>4926</v>
      </c>
      <c r="M895" s="23" t="s">
        <v>4716</v>
      </c>
    </row>
    <row r="896" spans="2:13" ht="15" customHeight="1" x14ac:dyDescent="0.25">
      <c r="B896" s="35" t="s">
        <v>4951</v>
      </c>
      <c r="C896" s="23" t="s">
        <v>4952</v>
      </c>
      <c r="D896" s="23" t="s">
        <v>3303</v>
      </c>
      <c r="E896" s="23" t="s">
        <v>3317</v>
      </c>
      <c r="F896" s="23" t="s">
        <v>3305</v>
      </c>
      <c r="G896" s="93">
        <v>3</v>
      </c>
      <c r="H896" s="93">
        <v>0</v>
      </c>
      <c r="I896" s="23"/>
      <c r="J896" s="23"/>
      <c r="K896" s="23"/>
      <c r="L896" s="23" t="s">
        <v>4926</v>
      </c>
      <c r="M896" s="23"/>
    </row>
    <row r="897" spans="2:13" ht="15" customHeight="1" x14ac:dyDescent="0.25">
      <c r="B897" s="35" t="s">
        <v>4953</v>
      </c>
      <c r="C897" s="23" t="s">
        <v>4954</v>
      </c>
      <c r="D897" s="23" t="s">
        <v>3303</v>
      </c>
      <c r="E897" s="23" t="s">
        <v>3317</v>
      </c>
      <c r="F897" s="23" t="s">
        <v>3305</v>
      </c>
      <c r="G897" s="93">
        <v>3</v>
      </c>
      <c r="H897" s="93">
        <v>1</v>
      </c>
      <c r="I897" s="23"/>
      <c r="J897" s="23"/>
      <c r="K897" s="23"/>
      <c r="L897" s="23" t="s">
        <v>4926</v>
      </c>
      <c r="M897" s="23" t="s">
        <v>4716</v>
      </c>
    </row>
    <row r="898" spans="2:13" ht="15" customHeight="1" x14ac:dyDescent="0.25">
      <c r="B898" s="35" t="s">
        <v>4955</v>
      </c>
      <c r="C898" s="23" t="s">
        <v>4956</v>
      </c>
      <c r="D898" s="23" t="s">
        <v>3303</v>
      </c>
      <c r="E898" s="23" t="s">
        <v>3317</v>
      </c>
      <c r="F898" s="23" t="s">
        <v>3305</v>
      </c>
      <c r="G898" s="93">
        <v>3</v>
      </c>
      <c r="H898" s="93">
        <v>0</v>
      </c>
      <c r="I898" s="23"/>
      <c r="J898" s="23"/>
      <c r="K898" s="23"/>
      <c r="L898" s="23" t="s">
        <v>4926</v>
      </c>
      <c r="M898" s="23"/>
    </row>
    <row r="899" spans="2:13" ht="15" customHeight="1" x14ac:dyDescent="0.25">
      <c r="B899" s="35" t="s">
        <v>4957</v>
      </c>
      <c r="C899" s="23" t="s">
        <v>4958</v>
      </c>
      <c r="D899" s="23" t="s">
        <v>3303</v>
      </c>
      <c r="E899" s="23" t="s">
        <v>3317</v>
      </c>
      <c r="F899" s="23" t="s">
        <v>3305</v>
      </c>
      <c r="G899" s="93">
        <v>3</v>
      </c>
      <c r="H899" s="93">
        <v>0</v>
      </c>
      <c r="I899" s="23"/>
      <c r="J899" s="23"/>
      <c r="K899" s="23"/>
      <c r="L899" s="23" t="s">
        <v>4926</v>
      </c>
      <c r="M899" s="23"/>
    </row>
    <row r="900" spans="2:13" ht="15" customHeight="1" x14ac:dyDescent="0.25">
      <c r="B900" s="35" t="s">
        <v>4959</v>
      </c>
      <c r="C900" s="23" t="s">
        <v>4960</v>
      </c>
      <c r="D900" s="23" t="s">
        <v>3303</v>
      </c>
      <c r="E900" s="23" t="s">
        <v>3317</v>
      </c>
      <c r="F900" s="23" t="s">
        <v>3305</v>
      </c>
      <c r="G900" s="93">
        <v>3</v>
      </c>
      <c r="H900" s="93">
        <v>0</v>
      </c>
      <c r="I900" s="23"/>
      <c r="J900" s="23"/>
      <c r="K900" s="23"/>
      <c r="L900" s="23" t="s">
        <v>4926</v>
      </c>
      <c r="M900" s="23"/>
    </row>
    <row r="901" spans="2:13" ht="15" customHeight="1" x14ac:dyDescent="0.25">
      <c r="B901" s="35" t="s">
        <v>4961</v>
      </c>
      <c r="C901" s="23" t="s">
        <v>4962</v>
      </c>
      <c r="D901" s="23" t="s">
        <v>3303</v>
      </c>
      <c r="E901" s="23" t="s">
        <v>3317</v>
      </c>
      <c r="F901" s="23" t="s">
        <v>3305</v>
      </c>
      <c r="G901" s="93">
        <v>0</v>
      </c>
      <c r="H901" s="93">
        <v>1</v>
      </c>
      <c r="I901" s="23"/>
      <c r="J901" s="23"/>
      <c r="K901" s="23"/>
      <c r="L901" s="23" t="s">
        <v>4926</v>
      </c>
      <c r="M901" s="23" t="s">
        <v>4716</v>
      </c>
    </row>
    <row r="902" spans="2:13" ht="15" customHeight="1" x14ac:dyDescent="0.25">
      <c r="B902" s="35" t="s">
        <v>4963</v>
      </c>
      <c r="C902" s="23" t="s">
        <v>4964</v>
      </c>
      <c r="D902" s="23" t="s">
        <v>3303</v>
      </c>
      <c r="E902" s="23" t="s">
        <v>3317</v>
      </c>
      <c r="F902" s="23" t="s">
        <v>3305</v>
      </c>
      <c r="G902" s="93">
        <v>3</v>
      </c>
      <c r="H902" s="93">
        <v>1</v>
      </c>
      <c r="I902" s="23"/>
      <c r="J902" s="23"/>
      <c r="K902" s="23"/>
      <c r="L902" s="23" t="s">
        <v>4926</v>
      </c>
      <c r="M902" s="23"/>
    </row>
    <row r="903" spans="2:13" ht="15" customHeight="1" x14ac:dyDescent="0.25">
      <c r="B903" s="35" t="s">
        <v>4926</v>
      </c>
      <c r="C903" s="23" t="s">
        <v>4965</v>
      </c>
      <c r="D903" s="23" t="s">
        <v>3303</v>
      </c>
      <c r="E903" s="23" t="s">
        <v>3367</v>
      </c>
      <c r="F903" s="23" t="s">
        <v>3305</v>
      </c>
      <c r="G903" s="93">
        <v>0</v>
      </c>
      <c r="H903" s="93">
        <v>0</v>
      </c>
      <c r="I903" s="23"/>
      <c r="J903" s="23"/>
      <c r="K903" s="23"/>
      <c r="L903" s="23" t="s">
        <v>4850</v>
      </c>
      <c r="M903" s="23"/>
    </row>
    <row r="904" spans="2:13" ht="15" customHeight="1" x14ac:dyDescent="0.25">
      <c r="B904" s="35" t="s">
        <v>4966</v>
      </c>
      <c r="C904" s="23" t="s">
        <v>4967</v>
      </c>
      <c r="D904" s="23" t="s">
        <v>3303</v>
      </c>
      <c r="E904" s="23" t="s">
        <v>3304</v>
      </c>
      <c r="F904" s="23" t="s">
        <v>3305</v>
      </c>
      <c r="G904" s="93">
        <v>0</v>
      </c>
      <c r="H904" s="93">
        <v>0</v>
      </c>
      <c r="I904" s="23"/>
      <c r="J904" s="23"/>
      <c r="K904" s="23"/>
      <c r="L904" s="23" t="s">
        <v>4968</v>
      </c>
      <c r="M904" s="23"/>
    </row>
    <row r="905" spans="2:13" ht="15" customHeight="1" x14ac:dyDescent="0.25">
      <c r="B905" s="35" t="s">
        <v>4969</v>
      </c>
      <c r="C905" s="23" t="s">
        <v>4970</v>
      </c>
      <c r="D905" s="23" t="s">
        <v>3303</v>
      </c>
      <c r="E905" s="23" t="s">
        <v>3317</v>
      </c>
      <c r="F905" s="23" t="s">
        <v>3305</v>
      </c>
      <c r="G905" s="93">
        <v>3</v>
      </c>
      <c r="H905" s="93">
        <v>1</v>
      </c>
      <c r="I905" s="23"/>
      <c r="J905" s="23"/>
      <c r="K905" s="23"/>
      <c r="L905" s="23" t="s">
        <v>4968</v>
      </c>
      <c r="M905" s="23" t="s">
        <v>4716</v>
      </c>
    </row>
    <row r="906" spans="2:13" ht="15" customHeight="1" x14ac:dyDescent="0.25">
      <c r="B906" s="35" t="s">
        <v>4968</v>
      </c>
      <c r="C906" s="23" t="s">
        <v>4971</v>
      </c>
      <c r="D906" s="23" t="s">
        <v>3303</v>
      </c>
      <c r="E906" s="23" t="s">
        <v>3367</v>
      </c>
      <c r="F906" s="23" t="s">
        <v>3305</v>
      </c>
      <c r="G906" s="93">
        <v>0</v>
      </c>
      <c r="H906" s="93">
        <v>0</v>
      </c>
      <c r="I906" s="23"/>
      <c r="J906" s="23"/>
      <c r="K906" s="23"/>
      <c r="L906" s="23" t="s">
        <v>4850</v>
      </c>
      <c r="M906" s="23"/>
    </row>
    <row r="907" spans="2:13" ht="15" customHeight="1" x14ac:dyDescent="0.25">
      <c r="B907" s="35" t="s">
        <v>4972</v>
      </c>
      <c r="C907" s="23" t="s">
        <v>4973</v>
      </c>
      <c r="D907" s="23" t="s">
        <v>3303</v>
      </c>
      <c r="E907" s="23" t="s">
        <v>3304</v>
      </c>
      <c r="F907" s="23" t="s">
        <v>3305</v>
      </c>
      <c r="G907" s="93">
        <v>0</v>
      </c>
      <c r="H907" s="93">
        <v>0</v>
      </c>
      <c r="I907" s="23"/>
      <c r="J907" s="23"/>
      <c r="K907" s="23"/>
      <c r="L907" s="23" t="s">
        <v>4974</v>
      </c>
      <c r="M907" s="23"/>
    </row>
    <row r="908" spans="2:13" ht="15" customHeight="1" x14ac:dyDescent="0.25">
      <c r="B908" s="35" t="s">
        <v>4975</v>
      </c>
      <c r="C908" s="23" t="s">
        <v>4976</v>
      </c>
      <c r="D908" s="23" t="s">
        <v>3303</v>
      </c>
      <c r="E908" s="23" t="s">
        <v>3317</v>
      </c>
      <c r="F908" s="23" t="s">
        <v>3305</v>
      </c>
      <c r="G908" s="93">
        <v>3</v>
      </c>
      <c r="H908" s="93">
        <v>0</v>
      </c>
      <c r="I908" s="23"/>
      <c r="J908" s="23"/>
      <c r="K908" s="23"/>
      <c r="L908" s="23" t="s">
        <v>4974</v>
      </c>
      <c r="M908" s="23"/>
    </row>
    <row r="909" spans="2:13" ht="15" customHeight="1" x14ac:dyDescent="0.25">
      <c r="B909" s="35" t="s">
        <v>4977</v>
      </c>
      <c r="C909" s="23" t="s">
        <v>4978</v>
      </c>
      <c r="D909" s="23" t="s">
        <v>3303</v>
      </c>
      <c r="E909" s="23" t="s">
        <v>3317</v>
      </c>
      <c r="F909" s="23" t="s">
        <v>3305</v>
      </c>
      <c r="G909" s="93">
        <v>3</v>
      </c>
      <c r="H909" s="93">
        <v>0</v>
      </c>
      <c r="I909" s="23"/>
      <c r="J909" s="23"/>
      <c r="K909" s="23"/>
      <c r="L909" s="23" t="s">
        <v>4974</v>
      </c>
      <c r="M909" s="23"/>
    </row>
    <row r="910" spans="2:13" ht="15" customHeight="1" x14ac:dyDescent="0.25">
      <c r="B910" s="35" t="s">
        <v>4979</v>
      </c>
      <c r="C910" s="23" t="s">
        <v>4980</v>
      </c>
      <c r="D910" s="23" t="s">
        <v>3303</v>
      </c>
      <c r="E910" s="23" t="s">
        <v>3317</v>
      </c>
      <c r="F910" s="23" t="s">
        <v>3305</v>
      </c>
      <c r="G910" s="93">
        <v>3</v>
      </c>
      <c r="H910" s="93">
        <v>1</v>
      </c>
      <c r="I910" s="23"/>
      <c r="J910" s="23"/>
      <c r="K910" s="23"/>
      <c r="L910" s="23" t="s">
        <v>4974</v>
      </c>
      <c r="M910" s="23"/>
    </row>
    <row r="911" spans="2:13" ht="15" customHeight="1" x14ac:dyDescent="0.25">
      <c r="B911" s="35" t="s">
        <v>4981</v>
      </c>
      <c r="C911" s="23" t="s">
        <v>4982</v>
      </c>
      <c r="D911" s="23" t="s">
        <v>3303</v>
      </c>
      <c r="E911" s="23" t="s">
        <v>3317</v>
      </c>
      <c r="F911" s="23" t="s">
        <v>3305</v>
      </c>
      <c r="G911" s="93">
        <v>3</v>
      </c>
      <c r="H911" s="93">
        <v>1</v>
      </c>
      <c r="I911" s="23"/>
      <c r="J911" s="23"/>
      <c r="K911" s="23"/>
      <c r="L911" s="23" t="s">
        <v>4974</v>
      </c>
      <c r="M911" s="23"/>
    </row>
    <row r="912" spans="2:13" ht="15" customHeight="1" x14ac:dyDescent="0.25">
      <c r="B912" s="35" t="s">
        <v>4983</v>
      </c>
      <c r="C912" s="23" t="s">
        <v>4984</v>
      </c>
      <c r="D912" s="23" t="s">
        <v>3303</v>
      </c>
      <c r="E912" s="23" t="s">
        <v>3317</v>
      </c>
      <c r="F912" s="23" t="s">
        <v>3305</v>
      </c>
      <c r="G912" s="93">
        <v>3</v>
      </c>
      <c r="H912" s="93">
        <v>0</v>
      </c>
      <c r="I912" s="23"/>
      <c r="J912" s="23"/>
      <c r="K912" s="23"/>
      <c r="L912" s="23" t="s">
        <v>4974</v>
      </c>
      <c r="M912" s="23"/>
    </row>
    <row r="913" spans="2:13" ht="15" customHeight="1" x14ac:dyDescent="0.25">
      <c r="B913" s="35" t="s">
        <v>4985</v>
      </c>
      <c r="C913" s="23" t="s">
        <v>4986</v>
      </c>
      <c r="D913" s="23" t="s">
        <v>3303</v>
      </c>
      <c r="E913" s="23" t="s">
        <v>3317</v>
      </c>
      <c r="F913" s="23" t="s">
        <v>3305</v>
      </c>
      <c r="G913" s="93">
        <v>3</v>
      </c>
      <c r="H913" s="93">
        <v>1</v>
      </c>
      <c r="I913" s="23"/>
      <c r="J913" s="23"/>
      <c r="K913" s="23"/>
      <c r="L913" s="23" t="s">
        <v>4974</v>
      </c>
      <c r="M913" s="23" t="s">
        <v>4716</v>
      </c>
    </row>
    <row r="914" spans="2:13" ht="15" customHeight="1" x14ac:dyDescent="0.25">
      <c r="B914" s="35" t="s">
        <v>4987</v>
      </c>
      <c r="C914" s="23" t="s">
        <v>4988</v>
      </c>
      <c r="D914" s="23" t="s">
        <v>3303</v>
      </c>
      <c r="E914" s="23" t="s">
        <v>3317</v>
      </c>
      <c r="F914" s="23" t="s">
        <v>3305</v>
      </c>
      <c r="G914" s="93">
        <v>3</v>
      </c>
      <c r="H914" s="93">
        <v>1</v>
      </c>
      <c r="I914" s="23"/>
      <c r="J914" s="23"/>
      <c r="K914" s="23"/>
      <c r="L914" s="23" t="s">
        <v>4974</v>
      </c>
      <c r="M914" s="23"/>
    </row>
    <row r="915" spans="2:13" ht="15" customHeight="1" x14ac:dyDescent="0.25">
      <c r="B915" s="35" t="s">
        <v>4989</v>
      </c>
      <c r="C915" s="23" t="s">
        <v>4990</v>
      </c>
      <c r="D915" s="23" t="s">
        <v>3303</v>
      </c>
      <c r="E915" s="23" t="s">
        <v>3317</v>
      </c>
      <c r="F915" s="23" t="s">
        <v>3305</v>
      </c>
      <c r="G915" s="93">
        <v>3</v>
      </c>
      <c r="H915" s="93">
        <v>1</v>
      </c>
      <c r="I915" s="23"/>
      <c r="J915" s="23"/>
      <c r="K915" s="23"/>
      <c r="L915" s="23" t="s">
        <v>4974</v>
      </c>
      <c r="M915" s="23"/>
    </row>
    <row r="916" spans="2:13" ht="15" customHeight="1" x14ac:dyDescent="0.25">
      <c r="B916" s="35" t="s">
        <v>4991</v>
      </c>
      <c r="C916" s="23" t="s">
        <v>4992</v>
      </c>
      <c r="D916" s="23" t="s">
        <v>3303</v>
      </c>
      <c r="E916" s="23" t="s">
        <v>3317</v>
      </c>
      <c r="F916" s="23" t="s">
        <v>3305</v>
      </c>
      <c r="G916" s="93">
        <v>3</v>
      </c>
      <c r="H916" s="93">
        <v>0</v>
      </c>
      <c r="I916" s="23"/>
      <c r="J916" s="23"/>
      <c r="K916" s="23"/>
      <c r="L916" s="23" t="s">
        <v>4974</v>
      </c>
      <c r="M916" s="23"/>
    </row>
    <row r="917" spans="2:13" ht="15" customHeight="1" x14ac:dyDescent="0.25">
      <c r="B917" s="35" t="s">
        <v>4993</v>
      </c>
      <c r="C917" s="23" t="s">
        <v>4994</v>
      </c>
      <c r="D917" s="23" t="s">
        <v>3303</v>
      </c>
      <c r="E917" s="23" t="s">
        <v>3317</v>
      </c>
      <c r="F917" s="23" t="s">
        <v>3305</v>
      </c>
      <c r="G917" s="93">
        <v>0</v>
      </c>
      <c r="H917" s="93">
        <v>0</v>
      </c>
      <c r="I917" s="23"/>
      <c r="J917" s="23"/>
      <c r="K917" s="23"/>
      <c r="L917" s="23" t="s">
        <v>4974</v>
      </c>
      <c r="M917" s="23"/>
    </row>
    <row r="918" spans="2:13" ht="15" customHeight="1" x14ac:dyDescent="0.25">
      <c r="B918" s="35" t="s">
        <v>4974</v>
      </c>
      <c r="C918" s="23" t="s">
        <v>4995</v>
      </c>
      <c r="D918" s="23" t="s">
        <v>3303</v>
      </c>
      <c r="E918" s="23" t="s">
        <v>3367</v>
      </c>
      <c r="F918" s="23" t="s">
        <v>3305</v>
      </c>
      <c r="G918" s="93">
        <v>0</v>
      </c>
      <c r="H918" s="93">
        <v>0</v>
      </c>
      <c r="I918" s="23"/>
      <c r="J918" s="23"/>
      <c r="K918" s="23"/>
      <c r="L918" s="23" t="s">
        <v>4850</v>
      </c>
      <c r="M918" s="23"/>
    </row>
    <row r="919" spans="2:13" ht="15" customHeight="1" x14ac:dyDescent="0.25">
      <c r="B919" s="35" t="s">
        <v>4996</v>
      </c>
      <c r="C919" s="23" t="s">
        <v>4997</v>
      </c>
      <c r="D919" s="23" t="s">
        <v>3303</v>
      </c>
      <c r="E919" s="23" t="s">
        <v>3304</v>
      </c>
      <c r="F919" s="23" t="s">
        <v>3305</v>
      </c>
      <c r="G919" s="93">
        <v>0</v>
      </c>
      <c r="H919" s="93">
        <v>1</v>
      </c>
      <c r="I919" s="23"/>
      <c r="J919" s="23"/>
      <c r="K919" s="23"/>
      <c r="L919" s="23" t="s">
        <v>4998</v>
      </c>
      <c r="M919" s="23"/>
    </row>
    <row r="920" spans="2:13" ht="15" customHeight="1" x14ac:dyDescent="0.25">
      <c r="B920" s="35" t="s">
        <v>2727</v>
      </c>
      <c r="C920" s="23" t="s">
        <v>4999</v>
      </c>
      <c r="D920" s="23" t="s">
        <v>3303</v>
      </c>
      <c r="E920" s="23" t="s">
        <v>3317</v>
      </c>
      <c r="F920" s="23" t="s">
        <v>3305</v>
      </c>
      <c r="G920" s="93">
        <v>0</v>
      </c>
      <c r="H920" s="93">
        <v>1</v>
      </c>
      <c r="I920" s="23"/>
      <c r="J920" s="23"/>
      <c r="K920" s="23"/>
      <c r="L920" s="23" t="s">
        <v>4998</v>
      </c>
      <c r="M920" s="23"/>
    </row>
    <row r="921" spans="2:13" ht="15" customHeight="1" x14ac:dyDescent="0.25">
      <c r="B921" s="35" t="s">
        <v>2731</v>
      </c>
      <c r="C921" s="23" t="s">
        <v>5000</v>
      </c>
      <c r="D921" s="23" t="s">
        <v>3303</v>
      </c>
      <c r="E921" s="23" t="s">
        <v>3317</v>
      </c>
      <c r="F921" s="23" t="s">
        <v>3305</v>
      </c>
      <c r="G921" s="93">
        <v>0</v>
      </c>
      <c r="H921" s="93">
        <v>1</v>
      </c>
      <c r="I921" s="23"/>
      <c r="J921" s="23"/>
      <c r="K921" s="23"/>
      <c r="L921" s="23" t="s">
        <v>4998</v>
      </c>
      <c r="M921" s="23"/>
    </row>
    <row r="922" spans="2:13" ht="15" customHeight="1" x14ac:dyDescent="0.25">
      <c r="B922" s="35" t="s">
        <v>2735</v>
      </c>
      <c r="C922" s="23" t="s">
        <v>5001</v>
      </c>
      <c r="D922" s="23" t="s">
        <v>3303</v>
      </c>
      <c r="E922" s="23" t="s">
        <v>3317</v>
      </c>
      <c r="F922" s="23" t="s">
        <v>3305</v>
      </c>
      <c r="G922" s="93">
        <v>0</v>
      </c>
      <c r="H922" s="93">
        <v>1</v>
      </c>
      <c r="I922" s="23"/>
      <c r="J922" s="23"/>
      <c r="K922" s="23"/>
      <c r="L922" s="23" t="s">
        <v>4998</v>
      </c>
      <c r="M922" s="23"/>
    </row>
    <row r="923" spans="2:13" ht="15" customHeight="1" x14ac:dyDescent="0.25">
      <c r="B923" s="35" t="s">
        <v>2739</v>
      </c>
      <c r="C923" s="23" t="s">
        <v>5002</v>
      </c>
      <c r="D923" s="23" t="s">
        <v>3303</v>
      </c>
      <c r="E923" s="23" t="s">
        <v>3317</v>
      </c>
      <c r="F923" s="23" t="s">
        <v>3305</v>
      </c>
      <c r="G923" s="93">
        <v>0</v>
      </c>
      <c r="H923" s="93">
        <v>1</v>
      </c>
      <c r="I923" s="23"/>
      <c r="J923" s="23"/>
      <c r="K923" s="23"/>
      <c r="L923" s="23" t="s">
        <v>4998</v>
      </c>
      <c r="M923" s="23"/>
    </row>
    <row r="924" spans="2:13" ht="15" customHeight="1" x14ac:dyDescent="0.25">
      <c r="B924" s="35" t="s">
        <v>2743</v>
      </c>
      <c r="C924" s="23" t="s">
        <v>5003</v>
      </c>
      <c r="D924" s="23" t="s">
        <v>3303</v>
      </c>
      <c r="E924" s="23" t="s">
        <v>3317</v>
      </c>
      <c r="F924" s="23" t="s">
        <v>3305</v>
      </c>
      <c r="G924" s="93">
        <v>0</v>
      </c>
      <c r="H924" s="93">
        <v>1</v>
      </c>
      <c r="I924" s="23"/>
      <c r="J924" s="23"/>
      <c r="K924" s="23"/>
      <c r="L924" s="23" t="s">
        <v>4998</v>
      </c>
      <c r="M924" s="23"/>
    </row>
    <row r="925" spans="2:13" ht="15" customHeight="1" x14ac:dyDescent="0.25">
      <c r="B925" s="35" t="s">
        <v>2747</v>
      </c>
      <c r="C925" s="23" t="s">
        <v>5004</v>
      </c>
      <c r="D925" s="23" t="s">
        <v>3303</v>
      </c>
      <c r="E925" s="23" t="s">
        <v>3317</v>
      </c>
      <c r="F925" s="23" t="s">
        <v>3305</v>
      </c>
      <c r="G925" s="93">
        <v>0</v>
      </c>
      <c r="H925" s="93">
        <v>1</v>
      </c>
      <c r="I925" s="23"/>
      <c r="J925" s="23"/>
      <c r="K925" s="23"/>
      <c r="L925" s="23" t="s">
        <v>4998</v>
      </c>
      <c r="M925" s="23"/>
    </row>
    <row r="926" spans="2:13" ht="15" customHeight="1" x14ac:dyDescent="0.25">
      <c r="B926" s="35" t="s">
        <v>5005</v>
      </c>
      <c r="C926" s="23" t="s">
        <v>5006</v>
      </c>
      <c r="D926" s="23" t="s">
        <v>3303</v>
      </c>
      <c r="E926" s="23" t="s">
        <v>3317</v>
      </c>
      <c r="F926" s="23" t="s">
        <v>3729</v>
      </c>
      <c r="G926" s="93">
        <v>3</v>
      </c>
      <c r="H926" s="93">
        <v>1</v>
      </c>
      <c r="I926" s="23"/>
      <c r="J926" s="23"/>
      <c r="K926" s="23"/>
      <c r="L926" s="23" t="s">
        <v>4998</v>
      </c>
      <c r="M926" s="23"/>
    </row>
    <row r="927" spans="2:13" ht="15" customHeight="1" x14ac:dyDescent="0.25">
      <c r="B927" s="35" t="s">
        <v>2751</v>
      </c>
      <c r="C927" s="23" t="s">
        <v>5007</v>
      </c>
      <c r="D927" s="23" t="s">
        <v>3303</v>
      </c>
      <c r="E927" s="23" t="s">
        <v>3317</v>
      </c>
      <c r="F927" s="23" t="s">
        <v>3305</v>
      </c>
      <c r="G927" s="93">
        <v>0</v>
      </c>
      <c r="H927" s="93">
        <v>1</v>
      </c>
      <c r="I927" s="23"/>
      <c r="J927" s="23"/>
      <c r="K927" s="23"/>
      <c r="L927" s="23" t="s">
        <v>4998</v>
      </c>
      <c r="M927" s="23"/>
    </row>
    <row r="928" spans="2:13" ht="15" customHeight="1" x14ac:dyDescent="0.25">
      <c r="B928" s="35" t="s">
        <v>2755</v>
      </c>
      <c r="C928" s="23" t="s">
        <v>5008</v>
      </c>
      <c r="D928" s="23" t="s">
        <v>3303</v>
      </c>
      <c r="E928" s="23" t="s">
        <v>3317</v>
      </c>
      <c r="F928" s="23" t="s">
        <v>3305</v>
      </c>
      <c r="G928" s="93">
        <v>0</v>
      </c>
      <c r="H928" s="93">
        <v>1</v>
      </c>
      <c r="I928" s="23"/>
      <c r="J928" s="23"/>
      <c r="K928" s="23"/>
      <c r="L928" s="23" t="s">
        <v>4998</v>
      </c>
      <c r="M928" s="23"/>
    </row>
    <row r="929" spans="2:13" ht="15" customHeight="1" x14ac:dyDescent="0.25">
      <c r="B929" s="35" t="s">
        <v>2763</v>
      </c>
      <c r="C929" s="23" t="s">
        <v>2764</v>
      </c>
      <c r="D929" s="23" t="s">
        <v>3303</v>
      </c>
      <c r="E929" s="23" t="s">
        <v>3317</v>
      </c>
      <c r="F929" s="23" t="s">
        <v>3305</v>
      </c>
      <c r="G929" s="93">
        <v>0</v>
      </c>
      <c r="H929" s="93">
        <v>1</v>
      </c>
      <c r="I929" s="23"/>
      <c r="J929" s="23"/>
      <c r="K929" s="23"/>
      <c r="L929" s="23" t="s">
        <v>4998</v>
      </c>
      <c r="M929" s="23"/>
    </row>
    <row r="930" spans="2:13" ht="15" customHeight="1" x14ac:dyDescent="0.25">
      <c r="B930" s="35" t="s">
        <v>2765</v>
      </c>
      <c r="C930" s="23" t="s">
        <v>2766</v>
      </c>
      <c r="D930" s="23" t="s">
        <v>3303</v>
      </c>
      <c r="E930" s="23" t="s">
        <v>3317</v>
      </c>
      <c r="F930" s="23" t="s">
        <v>3305</v>
      </c>
      <c r="G930" s="93">
        <v>3</v>
      </c>
      <c r="H930" s="93">
        <v>1</v>
      </c>
      <c r="I930" s="23"/>
      <c r="J930" s="23"/>
      <c r="K930" s="23"/>
      <c r="L930" s="23" t="s">
        <v>4998</v>
      </c>
      <c r="M930" s="23"/>
    </row>
    <row r="931" spans="2:13" ht="15" customHeight="1" x14ac:dyDescent="0.25">
      <c r="B931" s="35" t="s">
        <v>4998</v>
      </c>
      <c r="C931" s="23" t="s">
        <v>5009</v>
      </c>
      <c r="D931" s="23" t="s">
        <v>3303</v>
      </c>
      <c r="E931" s="23" t="s">
        <v>3367</v>
      </c>
      <c r="F931" s="23" t="s">
        <v>3305</v>
      </c>
      <c r="G931" s="93">
        <v>0</v>
      </c>
      <c r="H931" s="93">
        <v>1</v>
      </c>
      <c r="I931" s="23"/>
      <c r="J931" s="23"/>
      <c r="K931" s="23"/>
      <c r="L931" s="23" t="s">
        <v>4572</v>
      </c>
      <c r="M931" s="23"/>
    </row>
    <row r="932" spans="2:13" ht="15" customHeight="1" x14ac:dyDescent="0.25">
      <c r="B932" s="35" t="s">
        <v>5010</v>
      </c>
      <c r="C932" s="23" t="s">
        <v>5011</v>
      </c>
      <c r="D932" s="23" t="s">
        <v>3303</v>
      </c>
      <c r="E932" s="23" t="s">
        <v>3317</v>
      </c>
      <c r="F932" s="23" t="s">
        <v>3305</v>
      </c>
      <c r="G932" s="93">
        <v>3</v>
      </c>
      <c r="H932" s="93">
        <v>1</v>
      </c>
      <c r="I932" s="23"/>
      <c r="J932" s="23"/>
      <c r="K932" s="23"/>
      <c r="L932" s="23" t="s">
        <v>4572</v>
      </c>
      <c r="M932" s="23"/>
    </row>
    <row r="933" spans="2:13" ht="15" customHeight="1" x14ac:dyDescent="0.25">
      <c r="B933" s="35" t="s">
        <v>4850</v>
      </c>
      <c r="C933" s="23" t="s">
        <v>5012</v>
      </c>
      <c r="D933" s="23" t="s">
        <v>3303</v>
      </c>
      <c r="E933" s="23" t="s">
        <v>3367</v>
      </c>
      <c r="F933" s="23" t="s">
        <v>3305</v>
      </c>
      <c r="G933" s="93">
        <v>0</v>
      </c>
      <c r="H933" s="93">
        <v>0</v>
      </c>
      <c r="I933" s="23"/>
      <c r="J933" s="23"/>
      <c r="K933" s="23"/>
      <c r="L933" s="23" t="s">
        <v>4572</v>
      </c>
      <c r="M933" s="23"/>
    </row>
    <row r="934" spans="2:13" ht="15" customHeight="1" x14ac:dyDescent="0.25">
      <c r="B934" s="35" t="s">
        <v>4572</v>
      </c>
      <c r="C934" s="23" t="s">
        <v>5013</v>
      </c>
      <c r="D934" s="23" t="s">
        <v>3303</v>
      </c>
      <c r="E934" s="23" t="s">
        <v>3367</v>
      </c>
      <c r="F934" s="23" t="s">
        <v>3305</v>
      </c>
      <c r="G934" s="93">
        <v>0</v>
      </c>
      <c r="H934" s="93">
        <v>0</v>
      </c>
      <c r="I934" s="23"/>
      <c r="J934" s="23"/>
      <c r="K934" s="23"/>
      <c r="L934" s="23" t="s">
        <v>4569</v>
      </c>
      <c r="M934" s="23"/>
    </row>
    <row r="935" spans="2:13" ht="15" customHeight="1" x14ac:dyDescent="0.25">
      <c r="B935" s="35" t="s">
        <v>4569</v>
      </c>
      <c r="C935" s="23" t="s">
        <v>5014</v>
      </c>
      <c r="D935" s="23" t="s">
        <v>3303</v>
      </c>
      <c r="E935" s="23" t="s">
        <v>3367</v>
      </c>
      <c r="F935" s="23" t="s">
        <v>3305</v>
      </c>
      <c r="G935" s="93">
        <v>0</v>
      </c>
      <c r="H935" s="93">
        <v>0</v>
      </c>
      <c r="I935" s="23"/>
      <c r="J935" s="23"/>
      <c r="K935" s="23"/>
      <c r="L935" s="23" t="s">
        <v>3487</v>
      </c>
      <c r="M935" s="23"/>
    </row>
    <row r="936" spans="2:13" ht="15" customHeight="1" x14ac:dyDescent="0.25">
      <c r="B936" s="35" t="s">
        <v>5015</v>
      </c>
      <c r="C936" s="23" t="s">
        <v>5016</v>
      </c>
      <c r="D936" s="23" t="s">
        <v>3303</v>
      </c>
      <c r="E936" s="23" t="s">
        <v>3304</v>
      </c>
      <c r="F936" s="23" t="s">
        <v>3305</v>
      </c>
      <c r="G936" s="93">
        <v>0</v>
      </c>
      <c r="H936" s="93">
        <v>0</v>
      </c>
      <c r="I936" s="23"/>
      <c r="J936" s="23"/>
      <c r="K936" s="23"/>
      <c r="L936" s="23" t="s">
        <v>5017</v>
      </c>
      <c r="M936" s="23"/>
    </row>
    <row r="937" spans="2:13" ht="15" customHeight="1" x14ac:dyDescent="0.25">
      <c r="B937" s="35" t="s">
        <v>5018</v>
      </c>
      <c r="C937" s="23" t="s">
        <v>5019</v>
      </c>
      <c r="D937" s="23" t="s">
        <v>3303</v>
      </c>
      <c r="E937" s="23" t="s">
        <v>3304</v>
      </c>
      <c r="F937" s="23" t="s">
        <v>3305</v>
      </c>
      <c r="G937" s="93">
        <v>0</v>
      </c>
      <c r="H937" s="93">
        <v>0</v>
      </c>
      <c r="I937" s="23"/>
      <c r="J937" s="23"/>
      <c r="K937" s="23"/>
      <c r="L937" s="23" t="s">
        <v>5017</v>
      </c>
      <c r="M937" s="23"/>
    </row>
    <row r="938" spans="2:13" ht="15" customHeight="1" x14ac:dyDescent="0.25">
      <c r="B938" s="35" t="s">
        <v>5020</v>
      </c>
      <c r="C938" s="23" t="s">
        <v>5021</v>
      </c>
      <c r="D938" s="23" t="s">
        <v>3303</v>
      </c>
      <c r="E938" s="23" t="s">
        <v>3304</v>
      </c>
      <c r="F938" s="23" t="s">
        <v>3305</v>
      </c>
      <c r="G938" s="93">
        <v>0</v>
      </c>
      <c r="H938" s="93">
        <v>0</v>
      </c>
      <c r="I938" s="23"/>
      <c r="J938" s="23"/>
      <c r="K938" s="23"/>
      <c r="L938" s="23" t="s">
        <v>5022</v>
      </c>
      <c r="M938" s="23"/>
    </row>
    <row r="939" spans="2:13" ht="15" customHeight="1" x14ac:dyDescent="0.25">
      <c r="B939" s="35" t="s">
        <v>5023</v>
      </c>
      <c r="C939" s="23" t="s">
        <v>5024</v>
      </c>
      <c r="D939" s="23" t="s">
        <v>3303</v>
      </c>
      <c r="E939" s="23" t="s">
        <v>3317</v>
      </c>
      <c r="F939" s="23" t="s">
        <v>3305</v>
      </c>
      <c r="G939" s="93">
        <v>3</v>
      </c>
      <c r="H939" s="93">
        <v>0</v>
      </c>
      <c r="I939" s="23"/>
      <c r="J939" s="23"/>
      <c r="K939" s="23"/>
      <c r="L939" s="23" t="s">
        <v>5022</v>
      </c>
      <c r="M939" s="23"/>
    </row>
    <row r="940" spans="2:13" ht="15" customHeight="1" x14ac:dyDescent="0.25">
      <c r="B940" s="35" t="s">
        <v>5025</v>
      </c>
      <c r="C940" s="23" t="s">
        <v>5026</v>
      </c>
      <c r="D940" s="23" t="s">
        <v>3303</v>
      </c>
      <c r="E940" s="23" t="s">
        <v>3317</v>
      </c>
      <c r="F940" s="23" t="s">
        <v>3305</v>
      </c>
      <c r="G940" s="93">
        <v>3</v>
      </c>
      <c r="H940" s="93">
        <v>1</v>
      </c>
      <c r="I940" s="23"/>
      <c r="J940" s="23"/>
      <c r="K940" s="23"/>
      <c r="L940" s="23" t="s">
        <v>5022</v>
      </c>
      <c r="M940" s="23"/>
    </row>
    <row r="941" spans="2:13" ht="15" customHeight="1" x14ac:dyDescent="0.25">
      <c r="B941" s="35" t="s">
        <v>3053</v>
      </c>
      <c r="C941" s="23" t="s">
        <v>3054</v>
      </c>
      <c r="D941" s="23" t="s">
        <v>3303</v>
      </c>
      <c r="E941" s="23" t="s">
        <v>3317</v>
      </c>
      <c r="F941" s="23" t="s">
        <v>3305</v>
      </c>
      <c r="G941" s="93">
        <v>3</v>
      </c>
      <c r="H941" s="93">
        <v>1</v>
      </c>
      <c r="I941" s="23"/>
      <c r="J941" s="23"/>
      <c r="K941" s="23"/>
      <c r="L941" s="23" t="s">
        <v>5022</v>
      </c>
      <c r="M941" s="23"/>
    </row>
    <row r="942" spans="2:13" ht="15" customHeight="1" x14ac:dyDescent="0.25">
      <c r="B942" s="35" t="s">
        <v>3055</v>
      </c>
      <c r="C942" s="23" t="s">
        <v>3056</v>
      </c>
      <c r="D942" s="23" t="s">
        <v>3303</v>
      </c>
      <c r="E942" s="23" t="s">
        <v>3317</v>
      </c>
      <c r="F942" s="23" t="s">
        <v>3305</v>
      </c>
      <c r="G942" s="93">
        <v>3</v>
      </c>
      <c r="H942" s="93">
        <v>1</v>
      </c>
      <c r="I942" s="23"/>
      <c r="J942" s="23"/>
      <c r="K942" s="23"/>
      <c r="L942" s="23" t="s">
        <v>5022</v>
      </c>
      <c r="M942" s="23"/>
    </row>
    <row r="943" spans="2:13" ht="15" customHeight="1" x14ac:dyDescent="0.25">
      <c r="B943" s="35" t="s">
        <v>3057</v>
      </c>
      <c r="C943" s="23" t="s">
        <v>3058</v>
      </c>
      <c r="D943" s="23" t="s">
        <v>3303</v>
      </c>
      <c r="E943" s="23" t="s">
        <v>3317</v>
      </c>
      <c r="F943" s="23" t="s">
        <v>3305</v>
      </c>
      <c r="G943" s="93">
        <v>3</v>
      </c>
      <c r="H943" s="93">
        <v>1</v>
      </c>
      <c r="I943" s="23"/>
      <c r="J943" s="23"/>
      <c r="K943" s="23"/>
      <c r="L943" s="23" t="s">
        <v>5022</v>
      </c>
      <c r="M943" s="23"/>
    </row>
    <row r="944" spans="2:13" ht="15" customHeight="1" x14ac:dyDescent="0.25">
      <c r="B944" s="35" t="s">
        <v>3059</v>
      </c>
      <c r="C944" s="23" t="s">
        <v>3060</v>
      </c>
      <c r="D944" s="23" t="s">
        <v>3303</v>
      </c>
      <c r="E944" s="23" t="s">
        <v>3317</v>
      </c>
      <c r="F944" s="23" t="s">
        <v>3305</v>
      </c>
      <c r="G944" s="93">
        <v>3</v>
      </c>
      <c r="H944" s="93">
        <v>1</v>
      </c>
      <c r="I944" s="23"/>
      <c r="J944" s="23"/>
      <c r="K944" s="23"/>
      <c r="L944" s="23" t="s">
        <v>5022</v>
      </c>
      <c r="M944" s="23"/>
    </row>
    <row r="945" spans="2:13" ht="15" customHeight="1" x14ac:dyDescent="0.25">
      <c r="B945" s="35" t="s">
        <v>5027</v>
      </c>
      <c r="C945" s="23" t="s">
        <v>3228</v>
      </c>
      <c r="D945" s="23" t="s">
        <v>3303</v>
      </c>
      <c r="E945" s="23" t="s">
        <v>3317</v>
      </c>
      <c r="F945" s="23" t="s">
        <v>3305</v>
      </c>
      <c r="G945" s="93">
        <v>3</v>
      </c>
      <c r="H945" s="93">
        <v>1</v>
      </c>
      <c r="I945" s="23"/>
      <c r="J945" s="23"/>
      <c r="K945" s="23"/>
      <c r="L945" s="23" t="s">
        <v>5022</v>
      </c>
      <c r="M945" s="23"/>
    </row>
    <row r="946" spans="2:13" ht="15" customHeight="1" x14ac:dyDescent="0.25">
      <c r="B946" s="35" t="s">
        <v>5028</v>
      </c>
      <c r="C946" s="23" t="s">
        <v>5029</v>
      </c>
      <c r="D946" s="23" t="s">
        <v>3303</v>
      </c>
      <c r="E946" s="23" t="s">
        <v>3317</v>
      </c>
      <c r="F946" s="23" t="s">
        <v>3305</v>
      </c>
      <c r="G946" s="93">
        <v>3</v>
      </c>
      <c r="H946" s="93">
        <v>0</v>
      </c>
      <c r="I946" s="23"/>
      <c r="J946" s="23"/>
      <c r="K946" s="23"/>
      <c r="L946" s="23" t="s">
        <v>5022</v>
      </c>
      <c r="M946" s="23"/>
    </row>
    <row r="947" spans="2:13" ht="15" customHeight="1" x14ac:dyDescent="0.25">
      <c r="B947" s="35" t="s">
        <v>5030</v>
      </c>
      <c r="C947" s="23" t="s">
        <v>5031</v>
      </c>
      <c r="D947" s="23" t="s">
        <v>3303</v>
      </c>
      <c r="E947" s="23" t="s">
        <v>3317</v>
      </c>
      <c r="F947" s="23" t="s">
        <v>3305</v>
      </c>
      <c r="G947" s="93">
        <v>3</v>
      </c>
      <c r="H947" s="93">
        <v>1</v>
      </c>
      <c r="I947" s="23"/>
      <c r="J947" s="23"/>
      <c r="K947" s="23"/>
      <c r="L947" s="23" t="s">
        <v>5022</v>
      </c>
      <c r="M947" s="23"/>
    </row>
    <row r="948" spans="2:13" ht="15" customHeight="1" x14ac:dyDescent="0.25">
      <c r="B948" s="35" t="s">
        <v>5032</v>
      </c>
      <c r="C948" s="23" t="s">
        <v>5033</v>
      </c>
      <c r="D948" s="23" t="s">
        <v>3303</v>
      </c>
      <c r="E948" s="23" t="s">
        <v>3317</v>
      </c>
      <c r="F948" s="23" t="s">
        <v>3305</v>
      </c>
      <c r="G948" s="93">
        <v>3</v>
      </c>
      <c r="H948" s="93">
        <v>1</v>
      </c>
      <c r="I948" s="23"/>
      <c r="J948" s="23"/>
      <c r="K948" s="23"/>
      <c r="L948" s="23" t="s">
        <v>5022</v>
      </c>
      <c r="M948" s="23"/>
    </row>
    <row r="949" spans="2:13" ht="15" customHeight="1" x14ac:dyDescent="0.25">
      <c r="B949" s="35" t="s">
        <v>5034</v>
      </c>
      <c r="C949" s="23" t="s">
        <v>5035</v>
      </c>
      <c r="D949" s="23" t="s">
        <v>3303</v>
      </c>
      <c r="E949" s="23" t="s">
        <v>3317</v>
      </c>
      <c r="F949" s="23" t="s">
        <v>3305</v>
      </c>
      <c r="G949" s="93">
        <v>3</v>
      </c>
      <c r="H949" s="93">
        <v>0</v>
      </c>
      <c r="I949" s="23"/>
      <c r="J949" s="23"/>
      <c r="K949" s="23"/>
      <c r="L949" s="23" t="s">
        <v>5022</v>
      </c>
      <c r="M949" s="23"/>
    </row>
    <row r="950" spans="2:13" ht="15" customHeight="1" x14ac:dyDescent="0.25">
      <c r="B950" s="35" t="s">
        <v>5036</v>
      </c>
      <c r="C950" s="23" t="s">
        <v>5037</v>
      </c>
      <c r="D950" s="23" t="s">
        <v>3303</v>
      </c>
      <c r="E950" s="23" t="s">
        <v>3317</v>
      </c>
      <c r="F950" s="23" t="s">
        <v>3305</v>
      </c>
      <c r="G950" s="93">
        <v>3</v>
      </c>
      <c r="H950" s="93">
        <v>0</v>
      </c>
      <c r="I950" s="23"/>
      <c r="J950" s="23"/>
      <c r="K950" s="23"/>
      <c r="L950" s="23" t="s">
        <v>5022</v>
      </c>
      <c r="M950" s="23"/>
    </row>
    <row r="951" spans="2:13" ht="15" customHeight="1" x14ac:dyDescent="0.25">
      <c r="B951" s="35" t="s">
        <v>5038</v>
      </c>
      <c r="C951" s="23" t="s">
        <v>5039</v>
      </c>
      <c r="D951" s="23" t="s">
        <v>3303</v>
      </c>
      <c r="E951" s="23" t="s">
        <v>3317</v>
      </c>
      <c r="F951" s="23" t="s">
        <v>3305</v>
      </c>
      <c r="G951" s="93">
        <v>3</v>
      </c>
      <c r="H951" s="93">
        <v>0</v>
      </c>
      <c r="I951" s="23"/>
      <c r="J951" s="23"/>
      <c r="K951" s="23"/>
      <c r="L951" s="23" t="s">
        <v>5022</v>
      </c>
      <c r="M951" s="23"/>
    </row>
    <row r="952" spans="2:13" ht="15" customHeight="1" x14ac:dyDescent="0.25">
      <c r="B952" s="35" t="s">
        <v>5040</v>
      </c>
      <c r="C952" s="23" t="s">
        <v>5041</v>
      </c>
      <c r="D952" s="23" t="s">
        <v>3303</v>
      </c>
      <c r="E952" s="23" t="s">
        <v>3317</v>
      </c>
      <c r="F952" s="23" t="s">
        <v>3305</v>
      </c>
      <c r="G952" s="93">
        <v>3</v>
      </c>
      <c r="H952" s="93">
        <v>0</v>
      </c>
      <c r="I952" s="23"/>
      <c r="J952" s="23"/>
      <c r="K952" s="23"/>
      <c r="L952" s="23" t="s">
        <v>5022</v>
      </c>
      <c r="M952" s="23"/>
    </row>
    <row r="953" spans="2:13" ht="15" customHeight="1" x14ac:dyDescent="0.25">
      <c r="B953" s="35" t="s">
        <v>5022</v>
      </c>
      <c r="C953" s="23" t="s">
        <v>5042</v>
      </c>
      <c r="D953" s="23" t="s">
        <v>3303</v>
      </c>
      <c r="E953" s="23" t="s">
        <v>3367</v>
      </c>
      <c r="F953" s="23" t="s">
        <v>3305</v>
      </c>
      <c r="G953" s="93">
        <v>0</v>
      </c>
      <c r="H953" s="93">
        <v>0</v>
      </c>
      <c r="I953" s="23"/>
      <c r="J953" s="23"/>
      <c r="K953" s="23"/>
      <c r="L953" s="23" t="s">
        <v>5043</v>
      </c>
      <c r="M953" s="23"/>
    </row>
    <row r="954" spans="2:13" ht="15" customHeight="1" x14ac:dyDescent="0.25">
      <c r="B954" s="35" t="s">
        <v>5044</v>
      </c>
      <c r="C954" s="23" t="s">
        <v>5045</v>
      </c>
      <c r="D954" s="23" t="s">
        <v>3303</v>
      </c>
      <c r="E954" s="23" t="s">
        <v>3304</v>
      </c>
      <c r="F954" s="23" t="s">
        <v>3305</v>
      </c>
      <c r="G954" s="93">
        <v>0</v>
      </c>
      <c r="H954" s="93">
        <v>1</v>
      </c>
      <c r="I954" s="23"/>
      <c r="J954" s="23"/>
      <c r="K954" s="23"/>
      <c r="L954" s="23" t="s">
        <v>5046</v>
      </c>
      <c r="M954" s="23"/>
    </row>
    <row r="955" spans="2:13" ht="15" customHeight="1" x14ac:dyDescent="0.25">
      <c r="B955" s="35" t="s">
        <v>5047</v>
      </c>
      <c r="C955" s="23" t="s">
        <v>5048</v>
      </c>
      <c r="D955" s="23" t="s">
        <v>3303</v>
      </c>
      <c r="E955" s="23" t="s">
        <v>3317</v>
      </c>
      <c r="F955" s="23" t="s">
        <v>3305</v>
      </c>
      <c r="G955" s="93">
        <v>3</v>
      </c>
      <c r="H955" s="93">
        <v>1</v>
      </c>
      <c r="I955" s="23"/>
      <c r="J955" s="23"/>
      <c r="K955" s="23"/>
      <c r="L955" s="23" t="s">
        <v>5046</v>
      </c>
      <c r="M955" s="23"/>
    </row>
    <row r="956" spans="2:13" ht="15" customHeight="1" x14ac:dyDescent="0.25">
      <c r="B956" s="35" t="s">
        <v>5049</v>
      </c>
      <c r="C956" s="23" t="s">
        <v>5050</v>
      </c>
      <c r="D956" s="23" t="s">
        <v>3303</v>
      </c>
      <c r="E956" s="23" t="s">
        <v>3317</v>
      </c>
      <c r="F956" s="23" t="s">
        <v>3305</v>
      </c>
      <c r="G956" s="93">
        <v>3</v>
      </c>
      <c r="H956" s="93">
        <v>1</v>
      </c>
      <c r="I956" s="23"/>
      <c r="J956" s="23"/>
      <c r="K956" s="23"/>
      <c r="L956" s="23" t="s">
        <v>5046</v>
      </c>
      <c r="M956" s="23"/>
    </row>
    <row r="957" spans="2:13" ht="15" customHeight="1" x14ac:dyDescent="0.25">
      <c r="B957" s="35" t="s">
        <v>3062</v>
      </c>
      <c r="C957" s="23" t="s">
        <v>3063</v>
      </c>
      <c r="D957" s="23" t="s">
        <v>3303</v>
      </c>
      <c r="E957" s="23" t="s">
        <v>3317</v>
      </c>
      <c r="F957" s="23" t="s">
        <v>3305</v>
      </c>
      <c r="G957" s="93">
        <v>3</v>
      </c>
      <c r="H957" s="93">
        <v>1</v>
      </c>
      <c r="I957" s="23"/>
      <c r="J957" s="23"/>
      <c r="K957" s="23"/>
      <c r="L957" s="23" t="s">
        <v>5046</v>
      </c>
      <c r="M957" s="23"/>
    </row>
    <row r="958" spans="2:13" ht="15" customHeight="1" x14ac:dyDescent="0.25">
      <c r="B958" s="35" t="s">
        <v>3064</v>
      </c>
      <c r="C958" s="23" t="s">
        <v>3065</v>
      </c>
      <c r="D958" s="23" t="s">
        <v>3303</v>
      </c>
      <c r="E958" s="23" t="s">
        <v>3317</v>
      </c>
      <c r="F958" s="23" t="s">
        <v>3305</v>
      </c>
      <c r="G958" s="93">
        <v>3</v>
      </c>
      <c r="H958" s="93">
        <v>1</v>
      </c>
      <c r="I958" s="23"/>
      <c r="J958" s="23"/>
      <c r="K958" s="23"/>
      <c r="L958" s="23" t="s">
        <v>5046</v>
      </c>
      <c r="M958" s="23"/>
    </row>
    <row r="959" spans="2:13" ht="15" customHeight="1" x14ac:dyDescent="0.25">
      <c r="B959" s="35" t="s">
        <v>3066</v>
      </c>
      <c r="C959" s="23" t="s">
        <v>3067</v>
      </c>
      <c r="D959" s="23" t="s">
        <v>3303</v>
      </c>
      <c r="E959" s="23" t="s">
        <v>3317</v>
      </c>
      <c r="F959" s="23" t="s">
        <v>3305</v>
      </c>
      <c r="G959" s="93">
        <v>3</v>
      </c>
      <c r="H959" s="93">
        <v>1</v>
      </c>
      <c r="I959" s="23"/>
      <c r="J959" s="23"/>
      <c r="K959" s="23"/>
      <c r="L959" s="23" t="s">
        <v>5046</v>
      </c>
      <c r="M959" s="23"/>
    </row>
    <row r="960" spans="2:13" ht="15" customHeight="1" x14ac:dyDescent="0.25">
      <c r="B960" s="35" t="s">
        <v>3069</v>
      </c>
      <c r="C960" s="23" t="s">
        <v>3070</v>
      </c>
      <c r="D960" s="23" t="s">
        <v>3303</v>
      </c>
      <c r="E960" s="23" t="s">
        <v>3317</v>
      </c>
      <c r="F960" s="23" t="s">
        <v>3305</v>
      </c>
      <c r="G960" s="93">
        <v>3</v>
      </c>
      <c r="H960" s="93">
        <v>1</v>
      </c>
      <c r="I960" s="23"/>
      <c r="J960" s="23"/>
      <c r="K960" s="23"/>
      <c r="L960" s="23" t="s">
        <v>5046</v>
      </c>
      <c r="M960" s="23"/>
    </row>
    <row r="961" spans="2:13" ht="15" customHeight="1" x14ac:dyDescent="0.25">
      <c r="B961" s="35" t="s">
        <v>5051</v>
      </c>
      <c r="C961" s="23" t="s">
        <v>5052</v>
      </c>
      <c r="D961" s="23" t="s">
        <v>3303</v>
      </c>
      <c r="E961" s="23" t="s">
        <v>3317</v>
      </c>
      <c r="F961" s="23" t="s">
        <v>3305</v>
      </c>
      <c r="G961" s="93">
        <v>3</v>
      </c>
      <c r="H961" s="93">
        <v>1</v>
      </c>
      <c r="I961" s="23"/>
      <c r="J961" s="23"/>
      <c r="K961" s="23"/>
      <c r="L961" s="23" t="s">
        <v>5046</v>
      </c>
      <c r="M961" s="23"/>
    </row>
    <row r="962" spans="2:13" ht="15" customHeight="1" x14ac:dyDescent="0.25">
      <c r="B962" s="35" t="s">
        <v>5053</v>
      </c>
      <c r="C962" s="23" t="s">
        <v>5054</v>
      </c>
      <c r="D962" s="23" t="s">
        <v>3303</v>
      </c>
      <c r="E962" s="23" t="s">
        <v>3317</v>
      </c>
      <c r="F962" s="23" t="s">
        <v>3305</v>
      </c>
      <c r="G962" s="93">
        <v>3</v>
      </c>
      <c r="H962" s="93">
        <v>1</v>
      </c>
      <c r="I962" s="23"/>
      <c r="J962" s="23"/>
      <c r="K962" s="23"/>
      <c r="L962" s="23" t="s">
        <v>5046</v>
      </c>
      <c r="M962" s="23"/>
    </row>
    <row r="963" spans="2:13" ht="15" customHeight="1" x14ac:dyDescent="0.25">
      <c r="B963" s="35" t="s">
        <v>5055</v>
      </c>
      <c r="C963" s="23" t="s">
        <v>5056</v>
      </c>
      <c r="D963" s="23" t="s">
        <v>3303</v>
      </c>
      <c r="E963" s="23" t="s">
        <v>3317</v>
      </c>
      <c r="F963" s="23" t="s">
        <v>3305</v>
      </c>
      <c r="G963" s="93">
        <v>3</v>
      </c>
      <c r="H963" s="93">
        <v>0</v>
      </c>
      <c r="I963" s="23"/>
      <c r="J963" s="23"/>
      <c r="K963" s="23"/>
      <c r="L963" s="23" t="s">
        <v>5046</v>
      </c>
      <c r="M963" s="23"/>
    </row>
    <row r="964" spans="2:13" ht="15" customHeight="1" x14ac:dyDescent="0.25">
      <c r="B964" s="35" t="s">
        <v>5057</v>
      </c>
      <c r="C964" s="23" t="s">
        <v>5058</v>
      </c>
      <c r="D964" s="23" t="s">
        <v>3303</v>
      </c>
      <c r="E964" s="23" t="s">
        <v>3317</v>
      </c>
      <c r="F964" s="23" t="s">
        <v>3305</v>
      </c>
      <c r="G964" s="93">
        <v>3</v>
      </c>
      <c r="H964" s="93">
        <v>0</v>
      </c>
      <c r="I964" s="23"/>
      <c r="J964" s="23"/>
      <c r="K964" s="23"/>
      <c r="L964" s="23" t="s">
        <v>5046</v>
      </c>
      <c r="M964" s="23"/>
    </row>
    <row r="965" spans="2:13" ht="15" customHeight="1" x14ac:dyDescent="0.25">
      <c r="B965" s="35" t="s">
        <v>5059</v>
      </c>
      <c r="C965" s="23" t="s">
        <v>5035</v>
      </c>
      <c r="D965" s="23" t="s">
        <v>3303</v>
      </c>
      <c r="E965" s="23" t="s">
        <v>3317</v>
      </c>
      <c r="F965" s="23" t="s">
        <v>3305</v>
      </c>
      <c r="G965" s="93">
        <v>3</v>
      </c>
      <c r="H965" s="93">
        <v>0</v>
      </c>
      <c r="I965" s="23"/>
      <c r="J965" s="23"/>
      <c r="K965" s="23"/>
      <c r="L965" s="23" t="s">
        <v>5046</v>
      </c>
      <c r="M965" s="23"/>
    </row>
    <row r="966" spans="2:13" ht="15" customHeight="1" x14ac:dyDescent="0.25">
      <c r="B966" s="35" t="s">
        <v>5060</v>
      </c>
      <c r="C966" s="23" t="s">
        <v>5037</v>
      </c>
      <c r="D966" s="23" t="s">
        <v>3303</v>
      </c>
      <c r="E966" s="23" t="s">
        <v>3317</v>
      </c>
      <c r="F966" s="23" t="s">
        <v>3305</v>
      </c>
      <c r="G966" s="93">
        <v>3</v>
      </c>
      <c r="H966" s="93">
        <v>0</v>
      </c>
      <c r="I966" s="23"/>
      <c r="J966" s="23"/>
      <c r="K966" s="23"/>
      <c r="L966" s="23" t="s">
        <v>5046</v>
      </c>
      <c r="M966" s="23"/>
    </row>
    <row r="967" spans="2:13" ht="15" customHeight="1" x14ac:dyDescent="0.25">
      <c r="B967" s="35" t="s">
        <v>5061</v>
      </c>
      <c r="C967" s="23" t="s">
        <v>5062</v>
      </c>
      <c r="D967" s="23" t="s">
        <v>3303</v>
      </c>
      <c r="E967" s="23" t="s">
        <v>3317</v>
      </c>
      <c r="F967" s="23" t="s">
        <v>3305</v>
      </c>
      <c r="G967" s="93">
        <v>3</v>
      </c>
      <c r="H967" s="93">
        <v>1</v>
      </c>
      <c r="I967" s="23"/>
      <c r="J967" s="23"/>
      <c r="K967" s="23"/>
      <c r="L967" s="23" t="s">
        <v>5046</v>
      </c>
      <c r="M967" s="23"/>
    </row>
    <row r="968" spans="2:13" ht="15" customHeight="1" x14ac:dyDescent="0.25">
      <c r="B968" s="35" t="s">
        <v>5063</v>
      </c>
      <c r="C968" s="23" t="s">
        <v>5064</v>
      </c>
      <c r="D968" s="23" t="s">
        <v>3303</v>
      </c>
      <c r="E968" s="23" t="s">
        <v>3317</v>
      </c>
      <c r="F968" s="23" t="s">
        <v>3305</v>
      </c>
      <c r="G968" s="93">
        <v>3</v>
      </c>
      <c r="H968" s="93">
        <v>1</v>
      </c>
      <c r="I968" s="23"/>
      <c r="J968" s="23"/>
      <c r="K968" s="23"/>
      <c r="L968" s="23" t="s">
        <v>5046</v>
      </c>
      <c r="M968" s="23"/>
    </row>
    <row r="969" spans="2:13" ht="15" customHeight="1" x14ac:dyDescent="0.25">
      <c r="B969" s="35" t="s">
        <v>5046</v>
      </c>
      <c r="C969" s="23" t="s">
        <v>5065</v>
      </c>
      <c r="D969" s="23" t="s">
        <v>3303</v>
      </c>
      <c r="E969" s="23" t="s">
        <v>3367</v>
      </c>
      <c r="F969" s="23" t="s">
        <v>3305</v>
      </c>
      <c r="G969" s="93">
        <v>0</v>
      </c>
      <c r="H969" s="93">
        <v>1</v>
      </c>
      <c r="I969" s="23"/>
      <c r="J969" s="23"/>
      <c r="K969" s="23"/>
      <c r="L969" s="23" t="s">
        <v>5043</v>
      </c>
      <c r="M969" s="23"/>
    </row>
    <row r="970" spans="2:13" ht="15" customHeight="1" x14ac:dyDescent="0.25">
      <c r="B970" s="35" t="s">
        <v>5066</v>
      </c>
      <c r="C970" s="23" t="s">
        <v>5067</v>
      </c>
      <c r="D970" s="23" t="s">
        <v>3303</v>
      </c>
      <c r="E970" s="23" t="s">
        <v>3304</v>
      </c>
      <c r="F970" s="23" t="s">
        <v>3305</v>
      </c>
      <c r="G970" s="93">
        <v>0</v>
      </c>
      <c r="H970" s="93">
        <v>0</v>
      </c>
      <c r="I970" s="23"/>
      <c r="J970" s="23"/>
      <c r="K970" s="23"/>
      <c r="L970" s="23" t="s">
        <v>5068</v>
      </c>
      <c r="M970" s="23"/>
    </row>
    <row r="971" spans="2:13" ht="15" customHeight="1" x14ac:dyDescent="0.25">
      <c r="B971" s="35" t="s">
        <v>5069</v>
      </c>
      <c r="C971" s="23" t="s">
        <v>5070</v>
      </c>
      <c r="D971" s="23" t="s">
        <v>3303</v>
      </c>
      <c r="E971" s="23" t="s">
        <v>3317</v>
      </c>
      <c r="F971" s="23" t="s">
        <v>3305</v>
      </c>
      <c r="G971" s="93">
        <v>3</v>
      </c>
      <c r="H971" s="93">
        <v>0</v>
      </c>
      <c r="I971" s="23"/>
      <c r="J971" s="23"/>
      <c r="K971" s="23"/>
      <c r="L971" s="23" t="s">
        <v>5068</v>
      </c>
      <c r="M971" s="23"/>
    </row>
    <row r="972" spans="2:13" ht="15" customHeight="1" x14ac:dyDescent="0.25">
      <c r="B972" s="35" t="s">
        <v>5071</v>
      </c>
      <c r="C972" s="23" t="s">
        <v>5072</v>
      </c>
      <c r="D972" s="23" t="s">
        <v>3303</v>
      </c>
      <c r="E972" s="23" t="s">
        <v>3317</v>
      </c>
      <c r="F972" s="23" t="s">
        <v>3305</v>
      </c>
      <c r="G972" s="93">
        <v>3</v>
      </c>
      <c r="H972" s="93">
        <v>1</v>
      </c>
      <c r="I972" s="23"/>
      <c r="J972" s="23"/>
      <c r="K972" s="23"/>
      <c r="L972" s="23" t="s">
        <v>5068</v>
      </c>
      <c r="M972" s="23"/>
    </row>
    <row r="973" spans="2:13" ht="15" customHeight="1" x14ac:dyDescent="0.25">
      <c r="B973" s="35" t="s">
        <v>3072</v>
      </c>
      <c r="C973" s="23" t="s">
        <v>3073</v>
      </c>
      <c r="D973" s="23" t="s">
        <v>3303</v>
      </c>
      <c r="E973" s="23" t="s">
        <v>3317</v>
      </c>
      <c r="F973" s="23" t="s">
        <v>3305</v>
      </c>
      <c r="G973" s="93">
        <v>3</v>
      </c>
      <c r="H973" s="93">
        <v>1</v>
      </c>
      <c r="I973" s="23"/>
      <c r="J973" s="23"/>
      <c r="K973" s="23"/>
      <c r="L973" s="23" t="s">
        <v>5068</v>
      </c>
      <c r="M973" s="23"/>
    </row>
    <row r="974" spans="2:13" ht="15" customHeight="1" x14ac:dyDescent="0.25">
      <c r="B974" s="35" t="s">
        <v>3074</v>
      </c>
      <c r="C974" s="23" t="s">
        <v>3075</v>
      </c>
      <c r="D974" s="23" t="s">
        <v>3303</v>
      </c>
      <c r="E974" s="23" t="s">
        <v>3317</v>
      </c>
      <c r="F974" s="23" t="s">
        <v>3305</v>
      </c>
      <c r="G974" s="93">
        <v>3</v>
      </c>
      <c r="H974" s="93">
        <v>1</v>
      </c>
      <c r="I974" s="23"/>
      <c r="J974" s="23"/>
      <c r="K974" s="23"/>
      <c r="L974" s="23" t="s">
        <v>5068</v>
      </c>
      <c r="M974" s="23"/>
    </row>
    <row r="975" spans="2:13" ht="15" customHeight="1" x14ac:dyDescent="0.25">
      <c r="B975" s="35" t="s">
        <v>3077</v>
      </c>
      <c r="C975" s="23" t="s">
        <v>3078</v>
      </c>
      <c r="D975" s="23" t="s">
        <v>3303</v>
      </c>
      <c r="E975" s="23" t="s">
        <v>3317</v>
      </c>
      <c r="F975" s="23" t="s">
        <v>3305</v>
      </c>
      <c r="G975" s="93">
        <v>3</v>
      </c>
      <c r="H975" s="93">
        <v>1</v>
      </c>
      <c r="I975" s="23"/>
      <c r="J975" s="23"/>
      <c r="K975" s="23"/>
      <c r="L975" s="23" t="s">
        <v>5068</v>
      </c>
      <c r="M975" s="23"/>
    </row>
    <row r="976" spans="2:13" ht="15" customHeight="1" x14ac:dyDescent="0.25">
      <c r="B976" s="35" t="s">
        <v>3079</v>
      </c>
      <c r="C976" s="23" t="s">
        <v>3080</v>
      </c>
      <c r="D976" s="23" t="s">
        <v>3303</v>
      </c>
      <c r="E976" s="23" t="s">
        <v>3317</v>
      </c>
      <c r="F976" s="23" t="s">
        <v>3305</v>
      </c>
      <c r="G976" s="93">
        <v>2</v>
      </c>
      <c r="H976" s="93">
        <v>1</v>
      </c>
      <c r="I976" s="23"/>
      <c r="J976" s="23"/>
      <c r="K976" s="23"/>
      <c r="L976" s="23" t="s">
        <v>5068</v>
      </c>
      <c r="M976" s="23"/>
    </row>
    <row r="977" spans="2:13" ht="15" customHeight="1" x14ac:dyDescent="0.25">
      <c r="B977" s="35" t="s">
        <v>5073</v>
      </c>
      <c r="C977" s="23" t="s">
        <v>3245</v>
      </c>
      <c r="D977" s="23" t="s">
        <v>3303</v>
      </c>
      <c r="E977" s="23" t="s">
        <v>3317</v>
      </c>
      <c r="F977" s="23" t="s">
        <v>3305</v>
      </c>
      <c r="G977" s="93">
        <v>3</v>
      </c>
      <c r="H977" s="93">
        <v>1</v>
      </c>
      <c r="I977" s="23"/>
      <c r="J977" s="23"/>
      <c r="K977" s="23"/>
      <c r="L977" s="23" t="s">
        <v>5068</v>
      </c>
      <c r="M977" s="23"/>
    </row>
    <row r="978" spans="2:13" ht="15" customHeight="1" x14ac:dyDescent="0.25">
      <c r="B978" s="35" t="s">
        <v>3082</v>
      </c>
      <c r="C978" s="23" t="s">
        <v>3083</v>
      </c>
      <c r="D978" s="23" t="s">
        <v>3303</v>
      </c>
      <c r="E978" s="23" t="s">
        <v>3317</v>
      </c>
      <c r="F978" s="23" t="s">
        <v>3305</v>
      </c>
      <c r="G978" s="93">
        <v>3</v>
      </c>
      <c r="H978" s="93">
        <v>0</v>
      </c>
      <c r="I978" s="23"/>
      <c r="J978" s="23"/>
      <c r="K978" s="23"/>
      <c r="L978" s="23" t="s">
        <v>5068</v>
      </c>
      <c r="M978" s="23"/>
    </row>
    <row r="979" spans="2:13" ht="15" customHeight="1" x14ac:dyDescent="0.25">
      <c r="B979" s="35" t="s">
        <v>5074</v>
      </c>
      <c r="C979" s="23" t="s">
        <v>5075</v>
      </c>
      <c r="D979" s="23" t="s">
        <v>3303</v>
      </c>
      <c r="E979" s="23" t="s">
        <v>3317</v>
      </c>
      <c r="F979" s="23" t="s">
        <v>3305</v>
      </c>
      <c r="G979" s="93">
        <v>3</v>
      </c>
      <c r="H979" s="93">
        <v>0</v>
      </c>
      <c r="I979" s="23"/>
      <c r="J979" s="23"/>
      <c r="K979" s="23"/>
      <c r="L979" s="23" t="s">
        <v>5068</v>
      </c>
      <c r="M979" s="23"/>
    </row>
    <row r="980" spans="2:13" ht="15" customHeight="1" x14ac:dyDescent="0.25">
      <c r="B980" s="35" t="s">
        <v>5076</v>
      </c>
      <c r="C980" s="23" t="s">
        <v>5077</v>
      </c>
      <c r="D980" s="23" t="s">
        <v>3303</v>
      </c>
      <c r="E980" s="23" t="s">
        <v>3317</v>
      </c>
      <c r="F980" s="23" t="s">
        <v>3305</v>
      </c>
      <c r="G980" s="93">
        <v>3</v>
      </c>
      <c r="H980" s="93">
        <v>0</v>
      </c>
      <c r="I980" s="23"/>
      <c r="J980" s="23"/>
      <c r="K980" s="23"/>
      <c r="L980" s="23" t="s">
        <v>5068</v>
      </c>
      <c r="M980" s="23"/>
    </row>
    <row r="981" spans="2:13" ht="15" customHeight="1" x14ac:dyDescent="0.25">
      <c r="B981" s="35" t="s">
        <v>5078</v>
      </c>
      <c r="C981" s="23" t="s">
        <v>5035</v>
      </c>
      <c r="D981" s="23" t="s">
        <v>3303</v>
      </c>
      <c r="E981" s="23" t="s">
        <v>3317</v>
      </c>
      <c r="F981" s="23" t="s">
        <v>3305</v>
      </c>
      <c r="G981" s="93">
        <v>3</v>
      </c>
      <c r="H981" s="93">
        <v>0</v>
      </c>
      <c r="I981" s="23"/>
      <c r="J981" s="23"/>
      <c r="K981" s="23"/>
      <c r="L981" s="23" t="s">
        <v>5068</v>
      </c>
      <c r="M981" s="23"/>
    </row>
    <row r="982" spans="2:13" ht="15" customHeight="1" x14ac:dyDescent="0.25">
      <c r="B982" s="35" t="s">
        <v>5079</v>
      </c>
      <c r="C982" s="23" t="s">
        <v>5037</v>
      </c>
      <c r="D982" s="23" t="s">
        <v>3303</v>
      </c>
      <c r="E982" s="23" t="s">
        <v>3317</v>
      </c>
      <c r="F982" s="23" t="s">
        <v>3305</v>
      </c>
      <c r="G982" s="93">
        <v>3</v>
      </c>
      <c r="H982" s="93">
        <v>0</v>
      </c>
      <c r="I982" s="23"/>
      <c r="J982" s="23"/>
      <c r="K982" s="23"/>
      <c r="L982" s="23" t="s">
        <v>5068</v>
      </c>
      <c r="M982" s="23"/>
    </row>
    <row r="983" spans="2:13" ht="15" customHeight="1" x14ac:dyDescent="0.25">
      <c r="B983" s="35" t="s">
        <v>5080</v>
      </c>
      <c r="C983" s="23" t="s">
        <v>5081</v>
      </c>
      <c r="D983" s="23" t="s">
        <v>3303</v>
      </c>
      <c r="E983" s="23" t="s">
        <v>3317</v>
      </c>
      <c r="F983" s="23" t="s">
        <v>3305</v>
      </c>
      <c r="G983" s="93">
        <v>3</v>
      </c>
      <c r="H983" s="93">
        <v>0</v>
      </c>
      <c r="I983" s="23"/>
      <c r="J983" s="23"/>
      <c r="K983" s="23"/>
      <c r="L983" s="23" t="s">
        <v>5068</v>
      </c>
      <c r="M983" s="23"/>
    </row>
    <row r="984" spans="2:13" ht="15" customHeight="1" x14ac:dyDescent="0.25">
      <c r="B984" s="35" t="s">
        <v>5082</v>
      </c>
      <c r="C984" s="23" t="s">
        <v>5083</v>
      </c>
      <c r="D984" s="23" t="s">
        <v>3303</v>
      </c>
      <c r="E984" s="23" t="s">
        <v>3317</v>
      </c>
      <c r="F984" s="23" t="s">
        <v>3305</v>
      </c>
      <c r="G984" s="93">
        <v>3</v>
      </c>
      <c r="H984" s="93">
        <v>0</v>
      </c>
      <c r="I984" s="23"/>
      <c r="J984" s="23"/>
      <c r="K984" s="23"/>
      <c r="L984" s="23" t="s">
        <v>5068</v>
      </c>
      <c r="M984" s="23"/>
    </row>
    <row r="985" spans="2:13" ht="15" customHeight="1" x14ac:dyDescent="0.25">
      <c r="B985" s="35" t="s">
        <v>5068</v>
      </c>
      <c r="C985" s="23" t="s">
        <v>5084</v>
      </c>
      <c r="D985" s="23" t="s">
        <v>3303</v>
      </c>
      <c r="E985" s="23" t="s">
        <v>3367</v>
      </c>
      <c r="F985" s="23" t="s">
        <v>3305</v>
      </c>
      <c r="G985" s="93">
        <v>0</v>
      </c>
      <c r="H985" s="93">
        <v>0</v>
      </c>
      <c r="I985" s="23"/>
      <c r="J985" s="23"/>
      <c r="K985" s="23"/>
      <c r="L985" s="23" t="s">
        <v>5043</v>
      </c>
      <c r="M985" s="23"/>
    </row>
    <row r="986" spans="2:13" ht="15" customHeight="1" x14ac:dyDescent="0.25">
      <c r="B986" s="35" t="s">
        <v>5085</v>
      </c>
      <c r="C986" s="23" t="s">
        <v>5086</v>
      </c>
      <c r="D986" s="23" t="s">
        <v>3303</v>
      </c>
      <c r="E986" s="23" t="s">
        <v>3304</v>
      </c>
      <c r="F986" s="23" t="s">
        <v>3305</v>
      </c>
      <c r="G986" s="93">
        <v>0</v>
      </c>
      <c r="H986" s="93">
        <v>0</v>
      </c>
      <c r="I986" s="23"/>
      <c r="J986" s="23"/>
      <c r="K986" s="23"/>
      <c r="L986" s="23" t="s">
        <v>5087</v>
      </c>
      <c r="M986" s="23"/>
    </row>
    <row r="987" spans="2:13" ht="15" customHeight="1" x14ac:dyDescent="0.25">
      <c r="B987" s="35" t="s">
        <v>5088</v>
      </c>
      <c r="C987" s="23" t="s">
        <v>5089</v>
      </c>
      <c r="D987" s="23" t="s">
        <v>3303</v>
      </c>
      <c r="E987" s="23" t="s">
        <v>3317</v>
      </c>
      <c r="F987" s="23" t="s">
        <v>3305</v>
      </c>
      <c r="G987" s="93">
        <v>3</v>
      </c>
      <c r="H987" s="93">
        <v>0</v>
      </c>
      <c r="I987" s="23"/>
      <c r="J987" s="23"/>
      <c r="K987" s="23"/>
      <c r="L987" s="23" t="s">
        <v>5087</v>
      </c>
      <c r="M987" s="23"/>
    </row>
    <row r="988" spans="2:13" ht="15" customHeight="1" x14ac:dyDescent="0.25">
      <c r="B988" s="35" t="s">
        <v>5090</v>
      </c>
      <c r="C988" s="23" t="s">
        <v>5091</v>
      </c>
      <c r="D988" s="23" t="s">
        <v>3303</v>
      </c>
      <c r="E988" s="23" t="s">
        <v>3317</v>
      </c>
      <c r="F988" s="23" t="s">
        <v>3305</v>
      </c>
      <c r="G988" s="93">
        <v>3</v>
      </c>
      <c r="H988" s="93">
        <v>1</v>
      </c>
      <c r="I988" s="23"/>
      <c r="J988" s="23"/>
      <c r="K988" s="23"/>
      <c r="L988" s="23" t="s">
        <v>5087</v>
      </c>
      <c r="M988" s="23"/>
    </row>
    <row r="989" spans="2:13" ht="15" customHeight="1" x14ac:dyDescent="0.25">
      <c r="B989" s="35" t="s">
        <v>5092</v>
      </c>
      <c r="C989" s="23" t="s">
        <v>5093</v>
      </c>
      <c r="D989" s="23" t="s">
        <v>3303</v>
      </c>
      <c r="E989" s="23" t="s">
        <v>3317</v>
      </c>
      <c r="F989" s="23" t="s">
        <v>3305</v>
      </c>
      <c r="G989" s="93">
        <v>3</v>
      </c>
      <c r="H989" s="93">
        <v>1</v>
      </c>
      <c r="I989" s="23"/>
      <c r="J989" s="23"/>
      <c r="K989" s="23"/>
      <c r="L989" s="23" t="s">
        <v>5087</v>
      </c>
      <c r="M989" s="23"/>
    </row>
    <row r="990" spans="2:13" ht="15" customHeight="1" x14ac:dyDescent="0.25">
      <c r="B990" s="35" t="s">
        <v>5094</v>
      </c>
      <c r="C990" s="23" t="s">
        <v>5095</v>
      </c>
      <c r="D990" s="23" t="s">
        <v>3303</v>
      </c>
      <c r="E990" s="23" t="s">
        <v>3317</v>
      </c>
      <c r="F990" s="23" t="s">
        <v>3305</v>
      </c>
      <c r="G990" s="93">
        <v>3</v>
      </c>
      <c r="H990" s="93">
        <v>1</v>
      </c>
      <c r="I990" s="23"/>
      <c r="J990" s="23"/>
      <c r="K990" s="23"/>
      <c r="L990" s="23" t="s">
        <v>5087</v>
      </c>
      <c r="M990" s="23"/>
    </row>
    <row r="991" spans="2:13" ht="15" customHeight="1" x14ac:dyDescent="0.25">
      <c r="B991" s="35" t="s">
        <v>3085</v>
      </c>
      <c r="C991" s="23" t="s">
        <v>3086</v>
      </c>
      <c r="D991" s="23" t="s">
        <v>3303</v>
      </c>
      <c r="E991" s="23" t="s">
        <v>3317</v>
      </c>
      <c r="F991" s="23" t="s">
        <v>3305</v>
      </c>
      <c r="G991" s="93">
        <v>3</v>
      </c>
      <c r="H991" s="93">
        <v>1</v>
      </c>
      <c r="I991" s="23"/>
      <c r="J991" s="23"/>
      <c r="K991" s="23"/>
      <c r="L991" s="23" t="s">
        <v>5087</v>
      </c>
      <c r="M991" s="23"/>
    </row>
    <row r="992" spans="2:13" ht="15" customHeight="1" x14ac:dyDescent="0.25">
      <c r="B992" s="35" t="s">
        <v>3087</v>
      </c>
      <c r="C992" s="23" t="s">
        <v>3088</v>
      </c>
      <c r="D992" s="23" t="s">
        <v>3303</v>
      </c>
      <c r="E992" s="23" t="s">
        <v>3317</v>
      </c>
      <c r="F992" s="23" t="s">
        <v>3305</v>
      </c>
      <c r="G992" s="93">
        <v>3</v>
      </c>
      <c r="H992" s="93">
        <v>1</v>
      </c>
      <c r="I992" s="23"/>
      <c r="J992" s="23"/>
      <c r="K992" s="23"/>
      <c r="L992" s="23" t="s">
        <v>5087</v>
      </c>
      <c r="M992" s="23"/>
    </row>
    <row r="993" spans="2:13" ht="15" customHeight="1" x14ac:dyDescent="0.25">
      <c r="B993" s="35" t="s">
        <v>3089</v>
      </c>
      <c r="C993" s="23" t="s">
        <v>3090</v>
      </c>
      <c r="D993" s="23" t="s">
        <v>3303</v>
      </c>
      <c r="E993" s="23" t="s">
        <v>3317</v>
      </c>
      <c r="F993" s="23" t="s">
        <v>3305</v>
      </c>
      <c r="G993" s="93">
        <v>3</v>
      </c>
      <c r="H993" s="93">
        <v>1</v>
      </c>
      <c r="I993" s="23"/>
      <c r="J993" s="23"/>
      <c r="K993" s="23"/>
      <c r="L993" s="23" t="s">
        <v>5087</v>
      </c>
      <c r="M993" s="23"/>
    </row>
    <row r="994" spans="2:13" ht="15" customHeight="1" x14ac:dyDescent="0.25">
      <c r="B994" s="35" t="s">
        <v>3092</v>
      </c>
      <c r="C994" s="23" t="s">
        <v>3093</v>
      </c>
      <c r="D994" s="23" t="s">
        <v>3303</v>
      </c>
      <c r="E994" s="23" t="s">
        <v>3317</v>
      </c>
      <c r="F994" s="23" t="s">
        <v>3305</v>
      </c>
      <c r="G994" s="93">
        <v>3</v>
      </c>
      <c r="H994" s="93">
        <v>1</v>
      </c>
      <c r="I994" s="23"/>
      <c r="J994" s="23"/>
      <c r="K994" s="23"/>
      <c r="L994" s="23" t="s">
        <v>5087</v>
      </c>
      <c r="M994" s="23"/>
    </row>
    <row r="995" spans="2:13" ht="15" customHeight="1" x14ac:dyDescent="0.25">
      <c r="B995" s="35" t="s">
        <v>5096</v>
      </c>
      <c r="C995" s="23" t="s">
        <v>5097</v>
      </c>
      <c r="D995" s="23" t="s">
        <v>3303</v>
      </c>
      <c r="E995" s="23" t="s">
        <v>3317</v>
      </c>
      <c r="F995" s="23" t="s">
        <v>3305</v>
      </c>
      <c r="G995" s="93">
        <v>3</v>
      </c>
      <c r="H995" s="93">
        <v>0</v>
      </c>
      <c r="I995" s="23"/>
      <c r="J995" s="23"/>
      <c r="K995" s="23"/>
      <c r="L995" s="23" t="s">
        <v>5087</v>
      </c>
      <c r="M995" s="23"/>
    </row>
    <row r="996" spans="2:13" ht="15" customHeight="1" x14ac:dyDescent="0.25">
      <c r="B996" s="35" t="s">
        <v>5098</v>
      </c>
      <c r="C996" s="23" t="s">
        <v>5099</v>
      </c>
      <c r="D996" s="23" t="s">
        <v>3303</v>
      </c>
      <c r="E996" s="23" t="s">
        <v>3317</v>
      </c>
      <c r="F996" s="23" t="s">
        <v>3305</v>
      </c>
      <c r="G996" s="93">
        <v>3</v>
      </c>
      <c r="H996" s="93">
        <v>0</v>
      </c>
      <c r="I996" s="23"/>
      <c r="J996" s="23"/>
      <c r="K996" s="23"/>
      <c r="L996" s="23" t="s">
        <v>5087</v>
      </c>
      <c r="M996" s="23"/>
    </row>
    <row r="997" spans="2:13" ht="15" customHeight="1" x14ac:dyDescent="0.25">
      <c r="B997" s="35" t="s">
        <v>5100</v>
      </c>
      <c r="C997" s="23" t="s">
        <v>5056</v>
      </c>
      <c r="D997" s="23" t="s">
        <v>3303</v>
      </c>
      <c r="E997" s="23" t="s">
        <v>3317</v>
      </c>
      <c r="F997" s="23" t="s">
        <v>3305</v>
      </c>
      <c r="G997" s="93">
        <v>3</v>
      </c>
      <c r="H997" s="93">
        <v>0</v>
      </c>
      <c r="I997" s="23"/>
      <c r="J997" s="23"/>
      <c r="K997" s="23"/>
      <c r="L997" s="23" t="s">
        <v>5087</v>
      </c>
      <c r="M997" s="23"/>
    </row>
    <row r="998" spans="2:13" ht="15" customHeight="1" x14ac:dyDescent="0.25">
      <c r="B998" s="35" t="s">
        <v>5101</v>
      </c>
      <c r="C998" s="23" t="s">
        <v>5058</v>
      </c>
      <c r="D998" s="23" t="s">
        <v>3303</v>
      </c>
      <c r="E998" s="23" t="s">
        <v>3317</v>
      </c>
      <c r="F998" s="23" t="s">
        <v>3305</v>
      </c>
      <c r="G998" s="93">
        <v>3</v>
      </c>
      <c r="H998" s="93">
        <v>0</v>
      </c>
      <c r="I998" s="23"/>
      <c r="J998" s="23"/>
      <c r="K998" s="23"/>
      <c r="L998" s="23" t="s">
        <v>5087</v>
      </c>
      <c r="M998" s="23"/>
    </row>
    <row r="999" spans="2:13" ht="15" customHeight="1" x14ac:dyDescent="0.25">
      <c r="B999" s="35" t="s">
        <v>5102</v>
      </c>
      <c r="C999" s="23" t="s">
        <v>5035</v>
      </c>
      <c r="D999" s="23" t="s">
        <v>3303</v>
      </c>
      <c r="E999" s="23" t="s">
        <v>3317</v>
      </c>
      <c r="F999" s="23" t="s">
        <v>3305</v>
      </c>
      <c r="G999" s="93">
        <v>3</v>
      </c>
      <c r="H999" s="93">
        <v>0</v>
      </c>
      <c r="I999" s="23"/>
      <c r="J999" s="23"/>
      <c r="K999" s="23"/>
      <c r="L999" s="23" t="s">
        <v>5087</v>
      </c>
      <c r="M999" s="23"/>
    </row>
    <row r="1000" spans="2:13" ht="15" customHeight="1" x14ac:dyDescent="0.25">
      <c r="B1000" s="35" t="s">
        <v>5103</v>
      </c>
      <c r="C1000" s="23" t="s">
        <v>5037</v>
      </c>
      <c r="D1000" s="23" t="s">
        <v>3303</v>
      </c>
      <c r="E1000" s="23" t="s">
        <v>3317</v>
      </c>
      <c r="F1000" s="23" t="s">
        <v>3305</v>
      </c>
      <c r="G1000" s="93">
        <v>3</v>
      </c>
      <c r="H1000" s="93">
        <v>0</v>
      </c>
      <c r="I1000" s="23"/>
      <c r="J1000" s="23"/>
      <c r="K1000" s="23"/>
      <c r="L1000" s="23" t="s">
        <v>5087</v>
      </c>
      <c r="M1000" s="23"/>
    </row>
    <row r="1001" spans="2:13" ht="15" customHeight="1" x14ac:dyDescent="0.25">
      <c r="B1001" s="35" t="s">
        <v>5104</v>
      </c>
      <c r="C1001" s="23" t="s">
        <v>5105</v>
      </c>
      <c r="D1001" s="23" t="s">
        <v>3303</v>
      </c>
      <c r="E1001" s="23" t="s">
        <v>3317</v>
      </c>
      <c r="F1001" s="23" t="s">
        <v>3305</v>
      </c>
      <c r="G1001" s="93">
        <v>3</v>
      </c>
      <c r="H1001" s="93">
        <v>0</v>
      </c>
      <c r="I1001" s="23"/>
      <c r="J1001" s="23"/>
      <c r="K1001" s="23"/>
      <c r="L1001" s="23" t="s">
        <v>5087</v>
      </c>
      <c r="M1001" s="23"/>
    </row>
    <row r="1002" spans="2:13" ht="15" customHeight="1" x14ac:dyDescent="0.25">
      <c r="B1002" s="35" t="s">
        <v>5106</v>
      </c>
      <c r="C1002" s="23" t="s">
        <v>5107</v>
      </c>
      <c r="D1002" s="23" t="s">
        <v>3303</v>
      </c>
      <c r="E1002" s="23" t="s">
        <v>3317</v>
      </c>
      <c r="F1002" s="23" t="s">
        <v>3305</v>
      </c>
      <c r="G1002" s="93">
        <v>3</v>
      </c>
      <c r="H1002" s="93">
        <v>0</v>
      </c>
      <c r="I1002" s="23"/>
      <c r="J1002" s="23"/>
      <c r="K1002" s="23"/>
      <c r="L1002" s="23" t="s">
        <v>5087</v>
      </c>
      <c r="M1002" s="23"/>
    </row>
    <row r="1003" spans="2:13" ht="15" customHeight="1" x14ac:dyDescent="0.25">
      <c r="B1003" s="35" t="s">
        <v>5087</v>
      </c>
      <c r="C1003" s="23" t="s">
        <v>5108</v>
      </c>
      <c r="D1003" s="23" t="s">
        <v>3303</v>
      </c>
      <c r="E1003" s="23" t="s">
        <v>3367</v>
      </c>
      <c r="F1003" s="23" t="s">
        <v>3305</v>
      </c>
      <c r="G1003" s="93">
        <v>0</v>
      </c>
      <c r="H1003" s="93">
        <v>0</v>
      </c>
      <c r="I1003" s="23"/>
      <c r="J1003" s="23"/>
      <c r="K1003" s="23"/>
      <c r="L1003" s="23" t="s">
        <v>5043</v>
      </c>
      <c r="M1003" s="23"/>
    </row>
    <row r="1004" spans="2:13" ht="15" customHeight="1" x14ac:dyDescent="0.25">
      <c r="B1004" s="35" t="s">
        <v>5109</v>
      </c>
      <c r="C1004" s="23" t="s">
        <v>5110</v>
      </c>
      <c r="D1004" s="23" t="s">
        <v>3303</v>
      </c>
      <c r="E1004" s="23" t="s">
        <v>3317</v>
      </c>
      <c r="F1004" s="23" t="s">
        <v>3305</v>
      </c>
      <c r="G1004" s="93">
        <v>3</v>
      </c>
      <c r="H1004" s="93">
        <v>1</v>
      </c>
      <c r="I1004" s="23"/>
      <c r="J1004" s="23"/>
      <c r="K1004" s="23"/>
      <c r="L1004" s="23" t="s">
        <v>5043</v>
      </c>
      <c r="M1004" s="23"/>
    </row>
    <row r="1005" spans="2:13" ht="15" customHeight="1" x14ac:dyDescent="0.25">
      <c r="B1005" s="35" t="s">
        <v>5111</v>
      </c>
      <c r="C1005" s="23" t="s">
        <v>5112</v>
      </c>
      <c r="D1005" s="23" t="s">
        <v>3303</v>
      </c>
      <c r="E1005" s="23" t="s">
        <v>3304</v>
      </c>
      <c r="F1005" s="23" t="s">
        <v>3305</v>
      </c>
      <c r="G1005" s="93">
        <v>0</v>
      </c>
      <c r="H1005" s="93">
        <v>1</v>
      </c>
      <c r="I1005" s="23"/>
      <c r="J1005" s="23"/>
      <c r="K1005" s="23"/>
      <c r="L1005" s="23" t="s">
        <v>5113</v>
      </c>
      <c r="M1005" s="23"/>
    </row>
    <row r="1006" spans="2:13" ht="15" customHeight="1" x14ac:dyDescent="0.25">
      <c r="B1006" s="35" t="s">
        <v>5114</v>
      </c>
      <c r="C1006" s="23" t="s">
        <v>5115</v>
      </c>
      <c r="D1006" s="23" t="s">
        <v>3303</v>
      </c>
      <c r="E1006" s="23" t="s">
        <v>3317</v>
      </c>
      <c r="F1006" s="23" t="s">
        <v>3305</v>
      </c>
      <c r="G1006" s="93">
        <v>3</v>
      </c>
      <c r="H1006" s="93">
        <v>1</v>
      </c>
      <c r="I1006" s="23"/>
      <c r="J1006" s="23"/>
      <c r="K1006" s="23"/>
      <c r="L1006" s="23" t="s">
        <v>5113</v>
      </c>
      <c r="M1006" s="23"/>
    </row>
    <row r="1007" spans="2:13" ht="15" customHeight="1" x14ac:dyDescent="0.25">
      <c r="B1007" s="35" t="s">
        <v>5116</v>
      </c>
      <c r="C1007" s="23" t="s">
        <v>5117</v>
      </c>
      <c r="D1007" s="23" t="s">
        <v>3303</v>
      </c>
      <c r="E1007" s="23" t="s">
        <v>3317</v>
      </c>
      <c r="F1007" s="23" t="s">
        <v>3305</v>
      </c>
      <c r="G1007" s="93">
        <v>3</v>
      </c>
      <c r="H1007" s="93">
        <v>1</v>
      </c>
      <c r="I1007" s="23"/>
      <c r="J1007" s="23"/>
      <c r="K1007" s="23"/>
      <c r="L1007" s="23" t="s">
        <v>5113</v>
      </c>
      <c r="M1007" s="23"/>
    </row>
    <row r="1008" spans="2:13" ht="15" customHeight="1" x14ac:dyDescent="0.25">
      <c r="B1008" s="35" t="s">
        <v>3095</v>
      </c>
      <c r="C1008" s="23" t="s">
        <v>3096</v>
      </c>
      <c r="D1008" s="23" t="s">
        <v>3303</v>
      </c>
      <c r="E1008" s="23" t="s">
        <v>3317</v>
      </c>
      <c r="F1008" s="23" t="s">
        <v>3305</v>
      </c>
      <c r="G1008" s="93">
        <v>3</v>
      </c>
      <c r="H1008" s="93">
        <v>1</v>
      </c>
      <c r="I1008" s="23"/>
      <c r="J1008" s="23"/>
      <c r="K1008" s="23"/>
      <c r="L1008" s="23" t="s">
        <v>5113</v>
      </c>
      <c r="M1008" s="23"/>
    </row>
    <row r="1009" spans="2:13" ht="15" customHeight="1" x14ac:dyDescent="0.25">
      <c r="B1009" s="35" t="s">
        <v>3097</v>
      </c>
      <c r="C1009" s="23" t="s">
        <v>3098</v>
      </c>
      <c r="D1009" s="23" t="s">
        <v>3303</v>
      </c>
      <c r="E1009" s="23" t="s">
        <v>3317</v>
      </c>
      <c r="F1009" s="23" t="s">
        <v>3305</v>
      </c>
      <c r="G1009" s="93">
        <v>3</v>
      </c>
      <c r="H1009" s="93">
        <v>1</v>
      </c>
      <c r="I1009" s="23"/>
      <c r="J1009" s="23"/>
      <c r="K1009" s="23"/>
      <c r="L1009" s="23" t="s">
        <v>5113</v>
      </c>
      <c r="M1009" s="23"/>
    </row>
    <row r="1010" spans="2:13" ht="15" customHeight="1" x14ac:dyDescent="0.25">
      <c r="B1010" s="35" t="s">
        <v>3099</v>
      </c>
      <c r="C1010" s="23" t="s">
        <v>3100</v>
      </c>
      <c r="D1010" s="23" t="s">
        <v>3303</v>
      </c>
      <c r="E1010" s="23" t="s">
        <v>3317</v>
      </c>
      <c r="F1010" s="23" t="s">
        <v>3305</v>
      </c>
      <c r="G1010" s="93">
        <v>3</v>
      </c>
      <c r="H1010" s="93">
        <v>1</v>
      </c>
      <c r="I1010" s="23"/>
      <c r="J1010" s="23"/>
      <c r="K1010" s="23"/>
      <c r="L1010" s="23" t="s">
        <v>5113</v>
      </c>
      <c r="M1010" s="23"/>
    </row>
    <row r="1011" spans="2:13" ht="15" customHeight="1" x14ac:dyDescent="0.25">
      <c r="B1011" s="35" t="s">
        <v>3101</v>
      </c>
      <c r="C1011" s="23" t="s">
        <v>3102</v>
      </c>
      <c r="D1011" s="23" t="s">
        <v>3303</v>
      </c>
      <c r="E1011" s="23" t="s">
        <v>3317</v>
      </c>
      <c r="F1011" s="23" t="s">
        <v>3305</v>
      </c>
      <c r="G1011" s="93">
        <v>3</v>
      </c>
      <c r="H1011" s="93">
        <v>1</v>
      </c>
      <c r="I1011" s="23"/>
      <c r="J1011" s="23"/>
      <c r="K1011" s="23"/>
      <c r="L1011" s="23" t="s">
        <v>5113</v>
      </c>
      <c r="M1011" s="23"/>
    </row>
    <row r="1012" spans="2:13" ht="15" customHeight="1" x14ac:dyDescent="0.25">
      <c r="B1012" s="35" t="s">
        <v>5118</v>
      </c>
      <c r="C1012" s="23" t="s">
        <v>5119</v>
      </c>
      <c r="D1012" s="23" t="s">
        <v>3303</v>
      </c>
      <c r="E1012" s="23" t="s">
        <v>3317</v>
      </c>
      <c r="F1012" s="23" t="s">
        <v>3305</v>
      </c>
      <c r="G1012" s="93">
        <v>3</v>
      </c>
      <c r="H1012" s="93">
        <v>1</v>
      </c>
      <c r="I1012" s="23"/>
      <c r="J1012" s="23"/>
      <c r="K1012" s="23"/>
      <c r="L1012" s="23" t="s">
        <v>5113</v>
      </c>
      <c r="M1012" s="23"/>
    </row>
    <row r="1013" spans="2:13" ht="15" customHeight="1" x14ac:dyDescent="0.25">
      <c r="B1013" s="35" t="s">
        <v>5120</v>
      </c>
      <c r="C1013" s="23" t="s">
        <v>5121</v>
      </c>
      <c r="D1013" s="23" t="s">
        <v>3303</v>
      </c>
      <c r="E1013" s="23" t="s">
        <v>3317</v>
      </c>
      <c r="F1013" s="23" t="s">
        <v>3305</v>
      </c>
      <c r="G1013" s="93">
        <v>3</v>
      </c>
      <c r="H1013" s="93">
        <v>1</v>
      </c>
      <c r="I1013" s="23"/>
      <c r="J1013" s="23"/>
      <c r="K1013" s="23"/>
      <c r="L1013" s="23" t="s">
        <v>5113</v>
      </c>
      <c r="M1013" s="23"/>
    </row>
    <row r="1014" spans="2:13" ht="15" customHeight="1" x14ac:dyDescent="0.25">
      <c r="B1014" s="35" t="s">
        <v>5113</v>
      </c>
      <c r="C1014" s="23" t="s">
        <v>5122</v>
      </c>
      <c r="D1014" s="23" t="s">
        <v>3303</v>
      </c>
      <c r="E1014" s="23" t="s">
        <v>3367</v>
      </c>
      <c r="F1014" s="23" t="s">
        <v>3305</v>
      </c>
      <c r="G1014" s="93">
        <v>0</v>
      </c>
      <c r="H1014" s="93">
        <v>1</v>
      </c>
      <c r="I1014" s="23"/>
      <c r="J1014" s="23"/>
      <c r="K1014" s="23"/>
      <c r="L1014" s="23" t="s">
        <v>5043</v>
      </c>
      <c r="M1014" s="23"/>
    </row>
    <row r="1015" spans="2:13" ht="15" customHeight="1" x14ac:dyDescent="0.25">
      <c r="B1015" s="35" t="s">
        <v>5123</v>
      </c>
      <c r="C1015" s="23" t="s">
        <v>5124</v>
      </c>
      <c r="D1015" s="23" t="s">
        <v>3303</v>
      </c>
      <c r="E1015" s="23" t="s">
        <v>3304</v>
      </c>
      <c r="F1015" s="23" t="s">
        <v>3305</v>
      </c>
      <c r="G1015" s="93">
        <v>0</v>
      </c>
      <c r="H1015" s="93">
        <v>1</v>
      </c>
      <c r="I1015" s="23"/>
      <c r="J1015" s="23"/>
      <c r="K1015" s="23"/>
      <c r="L1015" s="23" t="s">
        <v>5125</v>
      </c>
      <c r="M1015" s="23"/>
    </row>
    <row r="1016" spans="2:13" ht="15" customHeight="1" x14ac:dyDescent="0.25">
      <c r="B1016" s="35" t="s">
        <v>5126</v>
      </c>
      <c r="C1016" s="23" t="s">
        <v>5127</v>
      </c>
      <c r="D1016" s="23" t="s">
        <v>3303</v>
      </c>
      <c r="E1016" s="23" t="s">
        <v>3317</v>
      </c>
      <c r="F1016" s="23" t="s">
        <v>3305</v>
      </c>
      <c r="G1016" s="93">
        <v>3</v>
      </c>
      <c r="H1016" s="93">
        <v>1</v>
      </c>
      <c r="I1016" s="23"/>
      <c r="J1016" s="23"/>
      <c r="K1016" s="23"/>
      <c r="L1016" s="23" t="s">
        <v>5125</v>
      </c>
      <c r="M1016" s="23"/>
    </row>
    <row r="1017" spans="2:13" ht="15" customHeight="1" x14ac:dyDescent="0.25">
      <c r="B1017" s="35" t="s">
        <v>5128</v>
      </c>
      <c r="C1017" s="23" t="s">
        <v>5129</v>
      </c>
      <c r="D1017" s="23" t="s">
        <v>3303</v>
      </c>
      <c r="E1017" s="23" t="s">
        <v>3317</v>
      </c>
      <c r="F1017" s="23" t="s">
        <v>3305</v>
      </c>
      <c r="G1017" s="93">
        <v>3</v>
      </c>
      <c r="H1017" s="93">
        <v>1</v>
      </c>
      <c r="I1017" s="23"/>
      <c r="J1017" s="23"/>
      <c r="K1017" s="23"/>
      <c r="L1017" s="23" t="s">
        <v>5125</v>
      </c>
      <c r="M1017" s="23"/>
    </row>
    <row r="1018" spans="2:13" ht="15" customHeight="1" x14ac:dyDescent="0.25">
      <c r="B1018" s="35" t="s">
        <v>3103</v>
      </c>
      <c r="C1018" s="23" t="s">
        <v>3104</v>
      </c>
      <c r="D1018" s="23" t="s">
        <v>3303</v>
      </c>
      <c r="E1018" s="23" t="s">
        <v>3317</v>
      </c>
      <c r="F1018" s="23" t="s">
        <v>3305</v>
      </c>
      <c r="G1018" s="93">
        <v>3</v>
      </c>
      <c r="H1018" s="93">
        <v>1</v>
      </c>
      <c r="I1018" s="23"/>
      <c r="J1018" s="23"/>
      <c r="K1018" s="23"/>
      <c r="L1018" s="23" t="s">
        <v>5125</v>
      </c>
      <c r="M1018" s="23"/>
    </row>
    <row r="1019" spans="2:13" ht="15" customHeight="1" x14ac:dyDescent="0.25">
      <c r="B1019" s="35" t="s">
        <v>3106</v>
      </c>
      <c r="C1019" s="23" t="s">
        <v>3107</v>
      </c>
      <c r="D1019" s="23" t="s">
        <v>3303</v>
      </c>
      <c r="E1019" s="23" t="s">
        <v>3317</v>
      </c>
      <c r="F1019" s="23" t="s">
        <v>3305</v>
      </c>
      <c r="G1019" s="93">
        <v>3</v>
      </c>
      <c r="H1019" s="93">
        <v>1</v>
      </c>
      <c r="I1019" s="23"/>
      <c r="J1019" s="23"/>
      <c r="K1019" s="23"/>
      <c r="L1019" s="23" t="s">
        <v>5125</v>
      </c>
      <c r="M1019" s="23"/>
    </row>
    <row r="1020" spans="2:13" ht="15" customHeight="1" x14ac:dyDescent="0.25">
      <c r="B1020" s="35" t="s">
        <v>3108</v>
      </c>
      <c r="C1020" s="23" t="s">
        <v>3109</v>
      </c>
      <c r="D1020" s="23" t="s">
        <v>3303</v>
      </c>
      <c r="E1020" s="23" t="s">
        <v>3317</v>
      </c>
      <c r="F1020" s="23" t="s">
        <v>3305</v>
      </c>
      <c r="G1020" s="93">
        <v>3</v>
      </c>
      <c r="H1020" s="93">
        <v>1</v>
      </c>
      <c r="I1020" s="23"/>
      <c r="J1020" s="23"/>
      <c r="K1020" s="23"/>
      <c r="L1020" s="23" t="s">
        <v>5125</v>
      </c>
      <c r="M1020" s="23"/>
    </row>
    <row r="1021" spans="2:13" ht="15" customHeight="1" x14ac:dyDescent="0.25">
      <c r="B1021" s="35" t="s">
        <v>3110</v>
      </c>
      <c r="C1021" s="23" t="s">
        <v>3111</v>
      </c>
      <c r="D1021" s="23" t="s">
        <v>3303</v>
      </c>
      <c r="E1021" s="23" t="s">
        <v>3317</v>
      </c>
      <c r="F1021" s="23" t="s">
        <v>3305</v>
      </c>
      <c r="G1021" s="93">
        <v>3</v>
      </c>
      <c r="H1021" s="93">
        <v>1</v>
      </c>
      <c r="I1021" s="23"/>
      <c r="J1021" s="23"/>
      <c r="K1021" s="23"/>
      <c r="L1021" s="23" t="s">
        <v>5125</v>
      </c>
      <c r="M1021" s="23"/>
    </row>
    <row r="1022" spans="2:13" ht="15" customHeight="1" x14ac:dyDescent="0.25">
      <c r="B1022" s="35" t="s">
        <v>5130</v>
      </c>
      <c r="C1022" s="23" t="s">
        <v>5131</v>
      </c>
      <c r="D1022" s="23" t="s">
        <v>3303</v>
      </c>
      <c r="E1022" s="23" t="s">
        <v>3317</v>
      </c>
      <c r="F1022" s="23" t="s">
        <v>3305</v>
      </c>
      <c r="G1022" s="93">
        <v>3</v>
      </c>
      <c r="H1022" s="93">
        <v>1</v>
      </c>
      <c r="I1022" s="23"/>
      <c r="J1022" s="23"/>
      <c r="K1022" s="23"/>
      <c r="L1022" s="23" t="s">
        <v>5125</v>
      </c>
      <c r="M1022" s="23"/>
    </row>
    <row r="1023" spans="2:13" ht="15" customHeight="1" x14ac:dyDescent="0.25">
      <c r="B1023" s="35" t="s">
        <v>5132</v>
      </c>
      <c r="C1023" s="23" t="s">
        <v>5133</v>
      </c>
      <c r="D1023" s="23" t="s">
        <v>3303</v>
      </c>
      <c r="E1023" s="23" t="s">
        <v>3317</v>
      </c>
      <c r="F1023" s="23" t="s">
        <v>3305</v>
      </c>
      <c r="G1023" s="93">
        <v>3</v>
      </c>
      <c r="H1023" s="93">
        <v>1</v>
      </c>
      <c r="I1023" s="23"/>
      <c r="J1023" s="23"/>
      <c r="K1023" s="23"/>
      <c r="L1023" s="23" t="s">
        <v>5125</v>
      </c>
      <c r="M1023" s="23"/>
    </row>
    <row r="1024" spans="2:13" ht="15" customHeight="1" x14ac:dyDescent="0.25">
      <c r="B1024" s="35" t="s">
        <v>5134</v>
      </c>
      <c r="C1024" s="23" t="s">
        <v>5135</v>
      </c>
      <c r="D1024" s="23" t="s">
        <v>3303</v>
      </c>
      <c r="E1024" s="23" t="s">
        <v>3317</v>
      </c>
      <c r="F1024" s="23" t="s">
        <v>3305</v>
      </c>
      <c r="G1024" s="93">
        <v>3</v>
      </c>
      <c r="H1024" s="93">
        <v>1</v>
      </c>
      <c r="I1024" s="23"/>
      <c r="J1024" s="23"/>
      <c r="K1024" s="23"/>
      <c r="L1024" s="23" t="s">
        <v>5125</v>
      </c>
      <c r="M1024" s="23"/>
    </row>
    <row r="1025" spans="2:13" ht="15" customHeight="1" x14ac:dyDescent="0.25">
      <c r="B1025" s="35" t="s">
        <v>5136</v>
      </c>
      <c r="C1025" s="23" t="s">
        <v>5137</v>
      </c>
      <c r="D1025" s="23" t="s">
        <v>3303</v>
      </c>
      <c r="E1025" s="23" t="s">
        <v>3317</v>
      </c>
      <c r="F1025" s="23" t="s">
        <v>3305</v>
      </c>
      <c r="G1025" s="93">
        <v>3</v>
      </c>
      <c r="H1025" s="93">
        <v>1</v>
      </c>
      <c r="I1025" s="23"/>
      <c r="J1025" s="23"/>
      <c r="K1025" s="23"/>
      <c r="L1025" s="23" t="s">
        <v>5125</v>
      </c>
      <c r="M1025" s="23"/>
    </row>
    <row r="1026" spans="2:13" ht="15" customHeight="1" x14ac:dyDescent="0.25">
      <c r="B1026" s="35" t="s">
        <v>5125</v>
      </c>
      <c r="C1026" s="23" t="s">
        <v>5138</v>
      </c>
      <c r="D1026" s="23" t="s">
        <v>3303</v>
      </c>
      <c r="E1026" s="23" t="s">
        <v>3367</v>
      </c>
      <c r="F1026" s="23" t="s">
        <v>3305</v>
      </c>
      <c r="G1026" s="93">
        <v>0</v>
      </c>
      <c r="H1026" s="93">
        <v>1</v>
      </c>
      <c r="I1026" s="23"/>
      <c r="J1026" s="23"/>
      <c r="K1026" s="23"/>
      <c r="L1026" s="23" t="s">
        <v>5043</v>
      </c>
      <c r="M1026" s="23"/>
    </row>
    <row r="1027" spans="2:13" ht="15" customHeight="1" x14ac:dyDescent="0.25">
      <c r="B1027" s="35" t="s">
        <v>5043</v>
      </c>
      <c r="C1027" s="23" t="s">
        <v>5139</v>
      </c>
      <c r="D1027" s="23" t="s">
        <v>3303</v>
      </c>
      <c r="E1027" s="23" t="s">
        <v>3367</v>
      </c>
      <c r="F1027" s="23" t="s">
        <v>3305</v>
      </c>
      <c r="G1027" s="93">
        <v>0</v>
      </c>
      <c r="H1027" s="93">
        <v>0</v>
      </c>
      <c r="I1027" s="23"/>
      <c r="J1027" s="23"/>
      <c r="K1027" s="23"/>
      <c r="L1027" s="23" t="s">
        <v>5017</v>
      </c>
      <c r="M1027" s="23"/>
    </row>
    <row r="1028" spans="2:13" ht="15" customHeight="1" x14ac:dyDescent="0.25">
      <c r="B1028" s="35" t="s">
        <v>5017</v>
      </c>
      <c r="C1028" s="23" t="s">
        <v>5140</v>
      </c>
      <c r="D1028" s="23" t="s">
        <v>3303</v>
      </c>
      <c r="E1028" s="23" t="s">
        <v>3367</v>
      </c>
      <c r="F1028" s="23" t="s">
        <v>3305</v>
      </c>
      <c r="G1028" s="93">
        <v>0</v>
      </c>
      <c r="H1028" s="93">
        <v>0</v>
      </c>
      <c r="I1028" s="23"/>
      <c r="J1028" s="23"/>
      <c r="K1028" s="23"/>
      <c r="L1028" s="23" t="s">
        <v>3487</v>
      </c>
      <c r="M1028" s="23"/>
    </row>
    <row r="1029" spans="2:13" ht="15" customHeight="1" x14ac:dyDescent="0.25">
      <c r="B1029" s="35" t="s">
        <v>5141</v>
      </c>
      <c r="C1029" s="23" t="s">
        <v>5142</v>
      </c>
      <c r="D1029" s="23" t="s">
        <v>3303</v>
      </c>
      <c r="E1029" s="23" t="s">
        <v>3304</v>
      </c>
      <c r="F1029" s="23" t="s">
        <v>3305</v>
      </c>
      <c r="G1029" s="93">
        <v>0</v>
      </c>
      <c r="H1029" s="93">
        <v>0</v>
      </c>
      <c r="I1029" s="23"/>
      <c r="J1029" s="23"/>
      <c r="K1029" s="23"/>
      <c r="L1029" s="23" t="s">
        <v>5143</v>
      </c>
      <c r="M1029" s="23"/>
    </row>
    <row r="1030" spans="2:13" ht="15" customHeight="1" x14ac:dyDescent="0.25">
      <c r="B1030" s="35" t="s">
        <v>5144</v>
      </c>
      <c r="C1030" s="23" t="s">
        <v>5145</v>
      </c>
      <c r="D1030" s="23" t="s">
        <v>3303</v>
      </c>
      <c r="E1030" s="23" t="s">
        <v>3317</v>
      </c>
      <c r="F1030" s="23" t="s">
        <v>3305</v>
      </c>
      <c r="G1030" s="93">
        <v>3</v>
      </c>
      <c r="H1030" s="93">
        <v>0</v>
      </c>
      <c r="I1030" s="23"/>
      <c r="J1030" s="23"/>
      <c r="K1030" s="23"/>
      <c r="L1030" s="23" t="s">
        <v>5143</v>
      </c>
      <c r="M1030" s="23"/>
    </row>
    <row r="1031" spans="2:13" ht="15" customHeight="1" x14ac:dyDescent="0.25">
      <c r="B1031" s="35" t="s">
        <v>5146</v>
      </c>
      <c r="C1031" s="23" t="s">
        <v>5147</v>
      </c>
      <c r="D1031" s="23" t="s">
        <v>3303</v>
      </c>
      <c r="E1031" s="23" t="s">
        <v>3317</v>
      </c>
      <c r="F1031" s="23" t="s">
        <v>3305</v>
      </c>
      <c r="G1031" s="93">
        <v>3</v>
      </c>
      <c r="H1031" s="93">
        <v>0</v>
      </c>
      <c r="I1031" s="23"/>
      <c r="J1031" s="23"/>
      <c r="K1031" s="23"/>
      <c r="L1031" s="23" t="s">
        <v>5143</v>
      </c>
      <c r="M1031" s="23"/>
    </row>
    <row r="1032" spans="2:13" ht="15" customHeight="1" x14ac:dyDescent="0.25">
      <c r="B1032" s="35" t="s">
        <v>2767</v>
      </c>
      <c r="C1032" s="23" t="s">
        <v>5148</v>
      </c>
      <c r="D1032" s="23" t="s">
        <v>3303</v>
      </c>
      <c r="E1032" s="23" t="s">
        <v>3317</v>
      </c>
      <c r="F1032" s="23" t="s">
        <v>3305</v>
      </c>
      <c r="G1032" s="93">
        <v>3</v>
      </c>
      <c r="H1032" s="93">
        <v>1</v>
      </c>
      <c r="I1032" s="23"/>
      <c r="J1032" s="23"/>
      <c r="K1032" s="23"/>
      <c r="L1032" s="23" t="s">
        <v>5143</v>
      </c>
      <c r="M1032" s="23"/>
    </row>
    <row r="1033" spans="2:13" ht="15" customHeight="1" x14ac:dyDescent="0.25">
      <c r="B1033" s="35" t="s">
        <v>5149</v>
      </c>
      <c r="C1033" s="23" t="s">
        <v>5150</v>
      </c>
      <c r="D1033" s="23" t="s">
        <v>3303</v>
      </c>
      <c r="E1033" s="23" t="s">
        <v>3317</v>
      </c>
      <c r="F1033" s="23" t="s">
        <v>3305</v>
      </c>
      <c r="G1033" s="93">
        <v>3</v>
      </c>
      <c r="H1033" s="93">
        <v>1</v>
      </c>
      <c r="I1033" s="23"/>
      <c r="J1033" s="23"/>
      <c r="K1033" s="23"/>
      <c r="L1033" s="23" t="s">
        <v>5143</v>
      </c>
      <c r="M1033" s="23"/>
    </row>
    <row r="1034" spans="2:13" ht="15" customHeight="1" x14ac:dyDescent="0.25">
      <c r="B1034" s="35" t="s">
        <v>5143</v>
      </c>
      <c r="C1034" s="23" t="s">
        <v>5151</v>
      </c>
      <c r="D1034" s="23" t="s">
        <v>3303</v>
      </c>
      <c r="E1034" s="23" t="s">
        <v>3367</v>
      </c>
      <c r="F1034" s="23" t="s">
        <v>3305</v>
      </c>
      <c r="G1034" s="93">
        <v>0</v>
      </c>
      <c r="H1034" s="93">
        <v>0</v>
      </c>
      <c r="I1034" s="23"/>
      <c r="J1034" s="23"/>
      <c r="K1034" s="23"/>
      <c r="L1034" s="23" t="s">
        <v>3487</v>
      </c>
      <c r="M1034" s="23"/>
    </row>
    <row r="1035" spans="2:13" ht="15" customHeight="1" x14ac:dyDescent="0.25">
      <c r="B1035" s="35" t="s">
        <v>5152</v>
      </c>
      <c r="C1035" s="23" t="s">
        <v>5153</v>
      </c>
      <c r="D1035" s="23" t="s">
        <v>3303</v>
      </c>
      <c r="E1035" s="23" t="s">
        <v>3304</v>
      </c>
      <c r="F1035" s="23" t="s">
        <v>3305</v>
      </c>
      <c r="G1035" s="93">
        <v>0</v>
      </c>
      <c r="H1035" s="93">
        <v>0</v>
      </c>
      <c r="I1035" s="23"/>
      <c r="J1035" s="23"/>
      <c r="K1035" s="23"/>
      <c r="L1035" s="23" t="s">
        <v>5154</v>
      </c>
      <c r="M1035" s="23"/>
    </row>
    <row r="1036" spans="2:13" ht="15" customHeight="1" x14ac:dyDescent="0.25">
      <c r="B1036" s="35" t="s">
        <v>5154</v>
      </c>
      <c r="C1036" s="23" t="s">
        <v>5155</v>
      </c>
      <c r="D1036" s="23" t="s">
        <v>3303</v>
      </c>
      <c r="E1036" s="23" t="s">
        <v>3367</v>
      </c>
      <c r="F1036" s="23" t="s">
        <v>3305</v>
      </c>
      <c r="G1036" s="93">
        <v>0</v>
      </c>
      <c r="H1036" s="93">
        <v>0</v>
      </c>
      <c r="I1036" s="23"/>
      <c r="J1036" s="23"/>
      <c r="K1036" s="23"/>
      <c r="L1036" s="23" t="s">
        <v>3487</v>
      </c>
      <c r="M1036" s="23"/>
    </row>
    <row r="1037" spans="2:13" ht="15" customHeight="1" x14ac:dyDescent="0.25">
      <c r="B1037" s="35" t="s">
        <v>3487</v>
      </c>
      <c r="C1037" s="23" t="s">
        <v>5156</v>
      </c>
      <c r="D1037" s="23" t="s">
        <v>3303</v>
      </c>
      <c r="E1037" s="23" t="s">
        <v>3367</v>
      </c>
      <c r="F1037" s="23" t="s">
        <v>3305</v>
      </c>
      <c r="G1037" s="93">
        <v>0</v>
      </c>
      <c r="H1037" s="93">
        <v>0</v>
      </c>
      <c r="I1037" s="23"/>
      <c r="J1037" s="23"/>
      <c r="K1037" s="23"/>
      <c r="L1037" s="23" t="s">
        <v>5157</v>
      </c>
      <c r="M1037" s="23"/>
    </row>
    <row r="1038" spans="2:13" ht="15" customHeight="1" x14ac:dyDescent="0.25">
      <c r="B1038" s="35" t="s">
        <v>5158</v>
      </c>
      <c r="C1038" s="23" t="s">
        <v>5159</v>
      </c>
      <c r="D1038" s="23" t="s">
        <v>3303</v>
      </c>
      <c r="E1038" s="23" t="s">
        <v>3304</v>
      </c>
      <c r="F1038" s="23" t="s">
        <v>3305</v>
      </c>
      <c r="G1038" s="93">
        <v>0</v>
      </c>
      <c r="H1038" s="93">
        <v>0</v>
      </c>
      <c r="I1038" s="23"/>
      <c r="J1038" s="23"/>
      <c r="K1038" s="23"/>
      <c r="L1038" s="23" t="s">
        <v>5160</v>
      </c>
      <c r="M1038" s="23"/>
    </row>
    <row r="1039" spans="2:13" ht="15" customHeight="1" x14ac:dyDescent="0.25">
      <c r="B1039" s="35" t="s">
        <v>5161</v>
      </c>
      <c r="C1039" s="23" t="s">
        <v>5162</v>
      </c>
      <c r="D1039" s="23" t="s">
        <v>3303</v>
      </c>
      <c r="E1039" s="23" t="s">
        <v>3317</v>
      </c>
      <c r="F1039" s="23" t="s">
        <v>3305</v>
      </c>
      <c r="G1039" s="93">
        <v>3</v>
      </c>
      <c r="H1039" s="93">
        <v>0</v>
      </c>
      <c r="I1039" s="23"/>
      <c r="J1039" s="23"/>
      <c r="K1039" s="23"/>
      <c r="L1039" s="23" t="s">
        <v>5160</v>
      </c>
      <c r="M1039" s="23"/>
    </row>
    <row r="1040" spans="2:13" ht="15" customHeight="1" x14ac:dyDescent="0.25">
      <c r="B1040" s="35" t="s">
        <v>5163</v>
      </c>
      <c r="C1040" s="23" t="s">
        <v>5164</v>
      </c>
      <c r="D1040" s="23" t="s">
        <v>3303</v>
      </c>
      <c r="E1040" s="23" t="s">
        <v>3317</v>
      </c>
      <c r="F1040" s="23" t="s">
        <v>3305</v>
      </c>
      <c r="G1040" s="93">
        <v>3</v>
      </c>
      <c r="H1040" s="93">
        <v>0</v>
      </c>
      <c r="I1040" s="23"/>
      <c r="J1040" s="23"/>
      <c r="K1040" s="23"/>
      <c r="L1040" s="23" t="s">
        <v>5160</v>
      </c>
      <c r="M1040" s="23"/>
    </row>
    <row r="1041" spans="2:13" ht="15" customHeight="1" x14ac:dyDescent="0.25">
      <c r="B1041" s="35" t="s">
        <v>5165</v>
      </c>
      <c r="C1041" s="23" t="s">
        <v>5166</v>
      </c>
      <c r="D1041" s="23" t="s">
        <v>3303</v>
      </c>
      <c r="E1041" s="23" t="s">
        <v>3317</v>
      </c>
      <c r="F1041" s="23" t="s">
        <v>3305</v>
      </c>
      <c r="G1041" s="93">
        <v>3</v>
      </c>
      <c r="H1041" s="93">
        <v>0</v>
      </c>
      <c r="I1041" s="23"/>
      <c r="J1041" s="23"/>
      <c r="K1041" s="23"/>
      <c r="L1041" s="23" t="s">
        <v>5160</v>
      </c>
      <c r="M1041" s="23"/>
    </row>
    <row r="1042" spans="2:13" ht="15" customHeight="1" x14ac:dyDescent="0.25">
      <c r="B1042" s="35" t="s">
        <v>5167</v>
      </c>
      <c r="C1042" s="23" t="s">
        <v>5168</v>
      </c>
      <c r="D1042" s="23" t="s">
        <v>3303</v>
      </c>
      <c r="E1042" s="23" t="s">
        <v>3317</v>
      </c>
      <c r="F1042" s="23" t="s">
        <v>3305</v>
      </c>
      <c r="G1042" s="93">
        <v>3</v>
      </c>
      <c r="H1042" s="93">
        <v>0</v>
      </c>
      <c r="I1042" s="23"/>
      <c r="J1042" s="23"/>
      <c r="K1042" s="23"/>
      <c r="L1042" s="23" t="s">
        <v>5160</v>
      </c>
      <c r="M1042" s="23"/>
    </row>
    <row r="1043" spans="2:13" ht="15" customHeight="1" x14ac:dyDescent="0.25">
      <c r="B1043" s="35" t="s">
        <v>5169</v>
      </c>
      <c r="C1043" s="23" t="s">
        <v>5170</v>
      </c>
      <c r="D1043" s="23" t="s">
        <v>3303</v>
      </c>
      <c r="E1043" s="23" t="s">
        <v>3317</v>
      </c>
      <c r="F1043" s="23" t="s">
        <v>3305</v>
      </c>
      <c r="G1043" s="93">
        <v>3</v>
      </c>
      <c r="H1043" s="93">
        <v>0</v>
      </c>
      <c r="I1043" s="23"/>
      <c r="J1043" s="23"/>
      <c r="K1043" s="23"/>
      <c r="L1043" s="23" t="s">
        <v>5160</v>
      </c>
      <c r="M1043" s="23"/>
    </row>
    <row r="1044" spans="2:13" ht="15" customHeight="1" x14ac:dyDescent="0.25">
      <c r="B1044" s="35" t="s">
        <v>5171</v>
      </c>
      <c r="C1044" s="23" t="s">
        <v>5172</v>
      </c>
      <c r="D1044" s="23" t="s">
        <v>3303</v>
      </c>
      <c r="E1044" s="23" t="s">
        <v>3317</v>
      </c>
      <c r="F1044" s="23" t="s">
        <v>3305</v>
      </c>
      <c r="G1044" s="93">
        <v>3</v>
      </c>
      <c r="H1044" s="93">
        <v>0</v>
      </c>
      <c r="I1044" s="23"/>
      <c r="J1044" s="23"/>
      <c r="K1044" s="23"/>
      <c r="L1044" s="23" t="s">
        <v>5160</v>
      </c>
      <c r="M1044" s="23"/>
    </row>
    <row r="1045" spans="2:13" ht="15" customHeight="1" x14ac:dyDescent="0.25">
      <c r="B1045" s="35" t="s">
        <v>5173</v>
      </c>
      <c r="C1045" s="23" t="s">
        <v>5174</v>
      </c>
      <c r="D1045" s="23" t="s">
        <v>3303</v>
      </c>
      <c r="E1045" s="23" t="s">
        <v>3317</v>
      </c>
      <c r="F1045" s="23" t="s">
        <v>3305</v>
      </c>
      <c r="G1045" s="93">
        <v>3</v>
      </c>
      <c r="H1045" s="93">
        <v>0</v>
      </c>
      <c r="I1045" s="23"/>
      <c r="J1045" s="23"/>
      <c r="K1045" s="23"/>
      <c r="L1045" s="23" t="s">
        <v>5160</v>
      </c>
      <c r="M1045" s="23"/>
    </row>
    <row r="1046" spans="2:13" ht="15" customHeight="1" x14ac:dyDescent="0.25">
      <c r="B1046" s="35" t="s">
        <v>5175</v>
      </c>
      <c r="C1046" s="23" t="s">
        <v>5176</v>
      </c>
      <c r="D1046" s="23" t="s">
        <v>3303</v>
      </c>
      <c r="E1046" s="23" t="s">
        <v>3317</v>
      </c>
      <c r="F1046" s="23" t="s">
        <v>3305</v>
      </c>
      <c r="G1046" s="93">
        <v>3</v>
      </c>
      <c r="H1046" s="93">
        <v>0</v>
      </c>
      <c r="I1046" s="23"/>
      <c r="J1046" s="23"/>
      <c r="K1046" s="23"/>
      <c r="L1046" s="23" t="s">
        <v>5160</v>
      </c>
      <c r="M1046" s="23"/>
    </row>
    <row r="1047" spans="2:13" ht="15" customHeight="1" x14ac:dyDescent="0.25">
      <c r="B1047" s="35" t="s">
        <v>5177</v>
      </c>
      <c r="C1047" s="23" t="s">
        <v>5178</v>
      </c>
      <c r="D1047" s="23" t="s">
        <v>3303</v>
      </c>
      <c r="E1047" s="23" t="s">
        <v>3317</v>
      </c>
      <c r="F1047" s="23" t="s">
        <v>3305</v>
      </c>
      <c r="G1047" s="93">
        <v>3</v>
      </c>
      <c r="H1047" s="93">
        <v>0</v>
      </c>
      <c r="I1047" s="23"/>
      <c r="J1047" s="23"/>
      <c r="K1047" s="23"/>
      <c r="L1047" s="23" t="s">
        <v>5160</v>
      </c>
      <c r="M1047" s="23"/>
    </row>
    <row r="1048" spans="2:13" ht="15" customHeight="1" x14ac:dyDescent="0.25">
      <c r="B1048" s="35" t="s">
        <v>5179</v>
      </c>
      <c r="C1048" s="23" t="s">
        <v>5180</v>
      </c>
      <c r="D1048" s="23" t="s">
        <v>3303</v>
      </c>
      <c r="E1048" s="23" t="s">
        <v>3317</v>
      </c>
      <c r="F1048" s="23" t="s">
        <v>3305</v>
      </c>
      <c r="G1048" s="93">
        <v>3</v>
      </c>
      <c r="H1048" s="93">
        <v>0</v>
      </c>
      <c r="I1048" s="23"/>
      <c r="J1048" s="23"/>
      <c r="K1048" s="23"/>
      <c r="L1048" s="23" t="s">
        <v>5160</v>
      </c>
      <c r="M1048" s="23"/>
    </row>
    <row r="1049" spans="2:13" ht="15" customHeight="1" x14ac:dyDescent="0.25">
      <c r="B1049" s="35" t="s">
        <v>5181</v>
      </c>
      <c r="C1049" s="23" t="s">
        <v>5182</v>
      </c>
      <c r="D1049" s="23" t="s">
        <v>3303</v>
      </c>
      <c r="E1049" s="23" t="s">
        <v>3317</v>
      </c>
      <c r="F1049" s="23" t="s">
        <v>3305</v>
      </c>
      <c r="G1049" s="93">
        <v>3</v>
      </c>
      <c r="H1049" s="93">
        <v>0</v>
      </c>
      <c r="I1049" s="23"/>
      <c r="J1049" s="23"/>
      <c r="K1049" s="23"/>
      <c r="L1049" s="23" t="s">
        <v>5160</v>
      </c>
      <c r="M1049" s="23"/>
    </row>
    <row r="1050" spans="2:13" ht="15" customHeight="1" x14ac:dyDescent="0.25">
      <c r="B1050" s="35" t="s">
        <v>5183</v>
      </c>
      <c r="C1050" s="23" t="s">
        <v>5184</v>
      </c>
      <c r="D1050" s="23" t="s">
        <v>3303</v>
      </c>
      <c r="E1050" s="23" t="s">
        <v>3317</v>
      </c>
      <c r="F1050" s="23" t="s">
        <v>3305</v>
      </c>
      <c r="G1050" s="93">
        <v>3</v>
      </c>
      <c r="H1050" s="93">
        <v>0</v>
      </c>
      <c r="I1050" s="23"/>
      <c r="J1050" s="23"/>
      <c r="K1050" s="23"/>
      <c r="L1050" s="23" t="s">
        <v>5160</v>
      </c>
      <c r="M1050" s="23"/>
    </row>
    <row r="1051" spans="2:13" ht="15" customHeight="1" x14ac:dyDescent="0.25">
      <c r="B1051" s="35" t="s">
        <v>5185</v>
      </c>
      <c r="C1051" s="23" t="s">
        <v>5186</v>
      </c>
      <c r="D1051" s="23" t="s">
        <v>3303</v>
      </c>
      <c r="E1051" s="23" t="s">
        <v>3317</v>
      </c>
      <c r="F1051" s="23" t="s">
        <v>3305</v>
      </c>
      <c r="G1051" s="93">
        <v>3</v>
      </c>
      <c r="H1051" s="93">
        <v>0</v>
      </c>
      <c r="I1051" s="23"/>
      <c r="J1051" s="23"/>
      <c r="K1051" s="23"/>
      <c r="L1051" s="23" t="s">
        <v>5160</v>
      </c>
      <c r="M1051" s="23"/>
    </row>
    <row r="1052" spans="2:13" ht="15" customHeight="1" x14ac:dyDescent="0.25">
      <c r="B1052" s="35" t="s">
        <v>5187</v>
      </c>
      <c r="C1052" s="23" t="s">
        <v>5188</v>
      </c>
      <c r="D1052" s="23" t="s">
        <v>3303</v>
      </c>
      <c r="E1052" s="23" t="s">
        <v>3317</v>
      </c>
      <c r="F1052" s="23" t="s">
        <v>3305</v>
      </c>
      <c r="G1052" s="93">
        <v>3</v>
      </c>
      <c r="H1052" s="93">
        <v>0</v>
      </c>
      <c r="I1052" s="23"/>
      <c r="J1052" s="23"/>
      <c r="K1052" s="23"/>
      <c r="L1052" s="23" t="s">
        <v>5160</v>
      </c>
      <c r="M1052" s="23"/>
    </row>
    <row r="1053" spans="2:13" ht="15" customHeight="1" x14ac:dyDescent="0.25">
      <c r="B1053" s="35" t="s">
        <v>5189</v>
      </c>
      <c r="C1053" s="23" t="s">
        <v>5190</v>
      </c>
      <c r="D1053" s="23" t="s">
        <v>3303</v>
      </c>
      <c r="E1053" s="23" t="s">
        <v>3317</v>
      </c>
      <c r="F1053" s="23" t="s">
        <v>3305</v>
      </c>
      <c r="G1053" s="93">
        <v>3</v>
      </c>
      <c r="H1053" s="93">
        <v>0</v>
      </c>
      <c r="I1053" s="23"/>
      <c r="J1053" s="23"/>
      <c r="K1053" s="23"/>
      <c r="L1053" s="23" t="s">
        <v>5160</v>
      </c>
      <c r="M1053" s="23"/>
    </row>
    <row r="1054" spans="2:13" ht="15" customHeight="1" x14ac:dyDescent="0.25">
      <c r="B1054" s="35" t="s">
        <v>5191</v>
      </c>
      <c r="C1054" s="23" t="s">
        <v>5192</v>
      </c>
      <c r="D1054" s="23" t="s">
        <v>3303</v>
      </c>
      <c r="E1054" s="23" t="s">
        <v>3317</v>
      </c>
      <c r="F1054" s="23" t="s">
        <v>3305</v>
      </c>
      <c r="G1054" s="93">
        <v>3</v>
      </c>
      <c r="H1054" s="93">
        <v>0</v>
      </c>
      <c r="I1054" s="23"/>
      <c r="J1054" s="23"/>
      <c r="K1054" s="23"/>
      <c r="L1054" s="23" t="s">
        <v>5160</v>
      </c>
      <c r="M1054" s="23"/>
    </row>
    <row r="1055" spans="2:13" ht="15" customHeight="1" x14ac:dyDescent="0.25">
      <c r="B1055" s="35" t="s">
        <v>5193</v>
      </c>
      <c r="C1055" s="23" t="s">
        <v>5194</v>
      </c>
      <c r="D1055" s="23" t="s">
        <v>3303</v>
      </c>
      <c r="E1055" s="23" t="s">
        <v>3317</v>
      </c>
      <c r="F1055" s="23" t="s">
        <v>3305</v>
      </c>
      <c r="G1055" s="93">
        <v>3</v>
      </c>
      <c r="H1055" s="93">
        <v>0</v>
      </c>
      <c r="I1055" s="23"/>
      <c r="J1055" s="23"/>
      <c r="K1055" s="23"/>
      <c r="L1055" s="23" t="s">
        <v>5160</v>
      </c>
      <c r="M1055" s="23"/>
    </row>
    <row r="1056" spans="2:13" ht="15" customHeight="1" x14ac:dyDescent="0.25">
      <c r="B1056" s="35" t="s">
        <v>5195</v>
      </c>
      <c r="C1056" s="23" t="s">
        <v>5196</v>
      </c>
      <c r="D1056" s="23" t="s">
        <v>3303</v>
      </c>
      <c r="E1056" s="23" t="s">
        <v>3317</v>
      </c>
      <c r="F1056" s="23" t="s">
        <v>3305</v>
      </c>
      <c r="G1056" s="93">
        <v>3</v>
      </c>
      <c r="H1056" s="93">
        <v>0</v>
      </c>
      <c r="I1056" s="23"/>
      <c r="J1056" s="23"/>
      <c r="K1056" s="23"/>
      <c r="L1056" s="23" t="s">
        <v>5160</v>
      </c>
      <c r="M1056" s="23"/>
    </row>
    <row r="1057" spans="2:13" ht="15" customHeight="1" x14ac:dyDescent="0.25">
      <c r="B1057" s="35" t="s">
        <v>5197</v>
      </c>
      <c r="C1057" s="23" t="s">
        <v>5198</v>
      </c>
      <c r="D1057" s="23" t="s">
        <v>3303</v>
      </c>
      <c r="E1057" s="23" t="s">
        <v>3317</v>
      </c>
      <c r="F1057" s="23" t="s">
        <v>3305</v>
      </c>
      <c r="G1057" s="93">
        <v>3</v>
      </c>
      <c r="H1057" s="93">
        <v>0</v>
      </c>
      <c r="I1057" s="23"/>
      <c r="J1057" s="23"/>
      <c r="K1057" s="23"/>
      <c r="L1057" s="23" t="s">
        <v>5160</v>
      </c>
      <c r="M1057" s="23"/>
    </row>
    <row r="1058" spans="2:13" ht="15" customHeight="1" x14ac:dyDescent="0.25">
      <c r="B1058" s="35" t="s">
        <v>5199</v>
      </c>
      <c r="C1058" s="23" t="s">
        <v>5200</v>
      </c>
      <c r="D1058" s="23" t="s">
        <v>3303</v>
      </c>
      <c r="E1058" s="23" t="s">
        <v>3317</v>
      </c>
      <c r="F1058" s="23" t="s">
        <v>3305</v>
      </c>
      <c r="G1058" s="93">
        <v>3</v>
      </c>
      <c r="H1058" s="93">
        <v>0</v>
      </c>
      <c r="I1058" s="23"/>
      <c r="J1058" s="23"/>
      <c r="K1058" s="23"/>
      <c r="L1058" s="23" t="s">
        <v>5160</v>
      </c>
      <c r="M1058" s="23"/>
    </row>
    <row r="1059" spans="2:13" ht="15" customHeight="1" x14ac:dyDescent="0.25">
      <c r="B1059" s="35" t="s">
        <v>5201</v>
      </c>
      <c r="C1059" s="23" t="s">
        <v>5202</v>
      </c>
      <c r="D1059" s="23" t="s">
        <v>3303</v>
      </c>
      <c r="E1059" s="23" t="s">
        <v>3317</v>
      </c>
      <c r="F1059" s="23" t="s">
        <v>3305</v>
      </c>
      <c r="G1059" s="93">
        <v>3</v>
      </c>
      <c r="H1059" s="93">
        <v>0</v>
      </c>
      <c r="I1059" s="23"/>
      <c r="J1059" s="23"/>
      <c r="K1059" s="23"/>
      <c r="L1059" s="23" t="s">
        <v>5160</v>
      </c>
      <c r="M1059" s="23"/>
    </row>
    <row r="1060" spans="2:13" ht="15" customHeight="1" x14ac:dyDescent="0.25">
      <c r="B1060" s="35" t="s">
        <v>5203</v>
      </c>
      <c r="C1060" s="23" t="s">
        <v>5204</v>
      </c>
      <c r="D1060" s="23" t="s">
        <v>3303</v>
      </c>
      <c r="E1060" s="23" t="s">
        <v>3317</v>
      </c>
      <c r="F1060" s="23" t="s">
        <v>3305</v>
      </c>
      <c r="G1060" s="93">
        <v>3</v>
      </c>
      <c r="H1060" s="93">
        <v>0</v>
      </c>
      <c r="I1060" s="23"/>
      <c r="J1060" s="23"/>
      <c r="K1060" s="23"/>
      <c r="L1060" s="23" t="s">
        <v>5160</v>
      </c>
      <c r="M1060" s="23"/>
    </row>
    <row r="1061" spans="2:13" ht="15" customHeight="1" x14ac:dyDescent="0.25">
      <c r="B1061" s="35" t="s">
        <v>5205</v>
      </c>
      <c r="C1061" s="23" t="s">
        <v>5206</v>
      </c>
      <c r="D1061" s="23" t="s">
        <v>3303</v>
      </c>
      <c r="E1061" s="23" t="s">
        <v>3317</v>
      </c>
      <c r="F1061" s="23" t="s">
        <v>3305</v>
      </c>
      <c r="G1061" s="93">
        <v>3</v>
      </c>
      <c r="H1061" s="93">
        <v>0</v>
      </c>
      <c r="I1061" s="23"/>
      <c r="J1061" s="23"/>
      <c r="K1061" s="23"/>
      <c r="L1061" s="23" t="s">
        <v>5160</v>
      </c>
      <c r="M1061" s="23"/>
    </row>
    <row r="1062" spans="2:13" ht="15" customHeight="1" x14ac:dyDescent="0.25">
      <c r="B1062" s="35" t="s">
        <v>5207</v>
      </c>
      <c r="C1062" s="23" t="s">
        <v>5208</v>
      </c>
      <c r="D1062" s="23" t="s">
        <v>3303</v>
      </c>
      <c r="E1062" s="23" t="s">
        <v>3317</v>
      </c>
      <c r="F1062" s="23" t="s">
        <v>3305</v>
      </c>
      <c r="G1062" s="93">
        <v>3</v>
      </c>
      <c r="H1062" s="93">
        <v>0</v>
      </c>
      <c r="I1062" s="23"/>
      <c r="J1062" s="23"/>
      <c r="K1062" s="23"/>
      <c r="L1062" s="23" t="s">
        <v>5160</v>
      </c>
      <c r="M1062" s="23"/>
    </row>
    <row r="1063" spans="2:13" ht="15" customHeight="1" x14ac:dyDescent="0.25">
      <c r="B1063" s="35" t="s">
        <v>5209</v>
      </c>
      <c r="C1063" s="23" t="s">
        <v>5210</v>
      </c>
      <c r="D1063" s="23" t="s">
        <v>3303</v>
      </c>
      <c r="E1063" s="23" t="s">
        <v>3317</v>
      </c>
      <c r="F1063" s="23" t="s">
        <v>3305</v>
      </c>
      <c r="G1063" s="93">
        <v>3</v>
      </c>
      <c r="H1063" s="93">
        <v>0</v>
      </c>
      <c r="I1063" s="23"/>
      <c r="J1063" s="23"/>
      <c r="K1063" s="23"/>
      <c r="L1063" s="23" t="s">
        <v>5160</v>
      </c>
      <c r="M1063" s="23"/>
    </row>
    <row r="1064" spans="2:13" ht="15" customHeight="1" x14ac:dyDescent="0.25">
      <c r="B1064" s="35" t="s">
        <v>5211</v>
      </c>
      <c r="C1064" s="23" t="s">
        <v>5212</v>
      </c>
      <c r="D1064" s="23" t="s">
        <v>3303</v>
      </c>
      <c r="E1064" s="23" t="s">
        <v>3317</v>
      </c>
      <c r="F1064" s="23" t="s">
        <v>3305</v>
      </c>
      <c r="G1064" s="93">
        <v>3</v>
      </c>
      <c r="H1064" s="93">
        <v>0</v>
      </c>
      <c r="I1064" s="23"/>
      <c r="J1064" s="23"/>
      <c r="K1064" s="23"/>
      <c r="L1064" s="23" t="s">
        <v>5160</v>
      </c>
      <c r="M1064" s="23"/>
    </row>
    <row r="1065" spans="2:13" ht="15" customHeight="1" x14ac:dyDescent="0.25">
      <c r="B1065" s="35" t="s">
        <v>5213</v>
      </c>
      <c r="C1065" s="23" t="s">
        <v>5214</v>
      </c>
      <c r="D1065" s="23" t="s">
        <v>3303</v>
      </c>
      <c r="E1065" s="23" t="s">
        <v>3317</v>
      </c>
      <c r="F1065" s="23" t="s">
        <v>3305</v>
      </c>
      <c r="G1065" s="93">
        <v>3</v>
      </c>
      <c r="H1065" s="93">
        <v>0</v>
      </c>
      <c r="I1065" s="23"/>
      <c r="J1065" s="23"/>
      <c r="K1065" s="23"/>
      <c r="L1065" s="23" t="s">
        <v>5160</v>
      </c>
      <c r="M1065" s="23"/>
    </row>
    <row r="1066" spans="2:13" ht="15" customHeight="1" x14ac:dyDescent="0.25">
      <c r="B1066" s="35" t="s">
        <v>5215</v>
      </c>
      <c r="C1066" s="23" t="s">
        <v>5216</v>
      </c>
      <c r="D1066" s="23" t="s">
        <v>3303</v>
      </c>
      <c r="E1066" s="23" t="s">
        <v>3317</v>
      </c>
      <c r="F1066" s="23" t="s">
        <v>3305</v>
      </c>
      <c r="G1066" s="93">
        <v>3</v>
      </c>
      <c r="H1066" s="93">
        <v>0</v>
      </c>
      <c r="I1066" s="23"/>
      <c r="J1066" s="23"/>
      <c r="K1066" s="23"/>
      <c r="L1066" s="23" t="s">
        <v>5160</v>
      </c>
      <c r="M1066" s="23"/>
    </row>
    <row r="1067" spans="2:13" ht="15" customHeight="1" x14ac:dyDescent="0.25">
      <c r="B1067" s="35" t="s">
        <v>5217</v>
      </c>
      <c r="C1067" s="23" t="s">
        <v>5218</v>
      </c>
      <c r="D1067" s="23" t="s">
        <v>3303</v>
      </c>
      <c r="E1067" s="23" t="s">
        <v>3317</v>
      </c>
      <c r="F1067" s="23" t="s">
        <v>3305</v>
      </c>
      <c r="G1067" s="93">
        <v>3</v>
      </c>
      <c r="H1067" s="93">
        <v>0</v>
      </c>
      <c r="I1067" s="23"/>
      <c r="J1067" s="23"/>
      <c r="K1067" s="23"/>
      <c r="L1067" s="23" t="s">
        <v>5160</v>
      </c>
      <c r="M1067" s="23"/>
    </row>
    <row r="1068" spans="2:13" ht="15" customHeight="1" x14ac:dyDescent="0.25">
      <c r="B1068" s="35" t="s">
        <v>5219</v>
      </c>
      <c r="C1068" s="23" t="s">
        <v>5220</v>
      </c>
      <c r="D1068" s="23" t="s">
        <v>3303</v>
      </c>
      <c r="E1068" s="23" t="s">
        <v>3317</v>
      </c>
      <c r="F1068" s="23" t="s">
        <v>3305</v>
      </c>
      <c r="G1068" s="93">
        <v>3</v>
      </c>
      <c r="H1068" s="93">
        <v>0</v>
      </c>
      <c r="I1068" s="23"/>
      <c r="J1068" s="23"/>
      <c r="K1068" s="23"/>
      <c r="L1068" s="23" t="s">
        <v>5160</v>
      </c>
      <c r="M1068" s="23"/>
    </row>
    <row r="1069" spans="2:13" ht="15" customHeight="1" x14ac:dyDescent="0.25">
      <c r="B1069" s="35" t="s">
        <v>5221</v>
      </c>
      <c r="C1069" s="23" t="s">
        <v>5222</v>
      </c>
      <c r="D1069" s="23" t="s">
        <v>3303</v>
      </c>
      <c r="E1069" s="23" t="s">
        <v>3317</v>
      </c>
      <c r="F1069" s="23" t="s">
        <v>3305</v>
      </c>
      <c r="G1069" s="93">
        <v>3</v>
      </c>
      <c r="H1069" s="93">
        <v>0</v>
      </c>
      <c r="I1069" s="23"/>
      <c r="J1069" s="23"/>
      <c r="K1069" s="23"/>
      <c r="L1069" s="23" t="s">
        <v>5160</v>
      </c>
      <c r="M1069" s="23"/>
    </row>
    <row r="1070" spans="2:13" ht="15" customHeight="1" x14ac:dyDescent="0.25">
      <c r="B1070" s="35" t="s">
        <v>5223</v>
      </c>
      <c r="C1070" s="23" t="s">
        <v>5224</v>
      </c>
      <c r="D1070" s="23" t="s">
        <v>3303</v>
      </c>
      <c r="E1070" s="23" t="s">
        <v>3317</v>
      </c>
      <c r="F1070" s="23" t="s">
        <v>3305</v>
      </c>
      <c r="G1070" s="93">
        <v>3</v>
      </c>
      <c r="H1070" s="93">
        <v>0</v>
      </c>
      <c r="I1070" s="23"/>
      <c r="J1070" s="23"/>
      <c r="K1070" s="23"/>
      <c r="L1070" s="23" t="s">
        <v>5160</v>
      </c>
      <c r="M1070" s="23"/>
    </row>
    <row r="1071" spans="2:13" ht="15" customHeight="1" x14ac:dyDescent="0.25">
      <c r="B1071" s="35" t="s">
        <v>5225</v>
      </c>
      <c r="C1071" s="23" t="s">
        <v>5226</v>
      </c>
      <c r="D1071" s="23" t="s">
        <v>3303</v>
      </c>
      <c r="E1071" s="23" t="s">
        <v>3317</v>
      </c>
      <c r="F1071" s="23" t="s">
        <v>3305</v>
      </c>
      <c r="G1071" s="93">
        <v>3</v>
      </c>
      <c r="H1071" s="93">
        <v>0</v>
      </c>
      <c r="I1071" s="23"/>
      <c r="J1071" s="23"/>
      <c r="K1071" s="23"/>
      <c r="L1071" s="23" t="s">
        <v>5160</v>
      </c>
      <c r="M1071" s="23"/>
    </row>
    <row r="1072" spans="2:13" ht="15" customHeight="1" x14ac:dyDescent="0.25">
      <c r="B1072" s="35" t="s">
        <v>5227</v>
      </c>
      <c r="C1072" s="23" t="s">
        <v>5228</v>
      </c>
      <c r="D1072" s="23" t="s">
        <v>3303</v>
      </c>
      <c r="E1072" s="23" t="s">
        <v>3317</v>
      </c>
      <c r="F1072" s="23" t="s">
        <v>3305</v>
      </c>
      <c r="G1072" s="93">
        <v>3</v>
      </c>
      <c r="H1072" s="93">
        <v>0</v>
      </c>
      <c r="I1072" s="23"/>
      <c r="J1072" s="23"/>
      <c r="K1072" s="23"/>
      <c r="L1072" s="23" t="s">
        <v>5160</v>
      </c>
      <c r="M1072" s="23"/>
    </row>
    <row r="1073" spans="2:13" ht="15" customHeight="1" x14ac:dyDescent="0.25">
      <c r="B1073" s="35" t="s">
        <v>5229</v>
      </c>
      <c r="C1073" s="23" t="s">
        <v>5230</v>
      </c>
      <c r="D1073" s="23" t="s">
        <v>3303</v>
      </c>
      <c r="E1073" s="23" t="s">
        <v>3317</v>
      </c>
      <c r="F1073" s="23" t="s">
        <v>3305</v>
      </c>
      <c r="G1073" s="93">
        <v>3</v>
      </c>
      <c r="H1073" s="93">
        <v>0</v>
      </c>
      <c r="I1073" s="23"/>
      <c r="J1073" s="23"/>
      <c r="K1073" s="23"/>
      <c r="L1073" s="23" t="s">
        <v>5160</v>
      </c>
      <c r="M1073" s="23"/>
    </row>
    <row r="1074" spans="2:13" ht="15" customHeight="1" x14ac:dyDescent="0.25">
      <c r="B1074" s="35" t="s">
        <v>5231</v>
      </c>
      <c r="C1074" s="23" t="s">
        <v>5232</v>
      </c>
      <c r="D1074" s="23" t="s">
        <v>3303</v>
      </c>
      <c r="E1074" s="23" t="s">
        <v>3317</v>
      </c>
      <c r="F1074" s="23" t="s">
        <v>3305</v>
      </c>
      <c r="G1074" s="93">
        <v>3</v>
      </c>
      <c r="H1074" s="93">
        <v>0</v>
      </c>
      <c r="I1074" s="23"/>
      <c r="J1074" s="23"/>
      <c r="K1074" s="23"/>
      <c r="L1074" s="23" t="s">
        <v>5160</v>
      </c>
      <c r="M1074" s="23"/>
    </row>
    <row r="1075" spans="2:13" ht="15" customHeight="1" x14ac:dyDescent="0.25">
      <c r="B1075" s="35" t="s">
        <v>5233</v>
      </c>
      <c r="C1075" s="23" t="s">
        <v>5234</v>
      </c>
      <c r="D1075" s="23" t="s">
        <v>3303</v>
      </c>
      <c r="E1075" s="23" t="s">
        <v>3317</v>
      </c>
      <c r="F1075" s="23" t="s">
        <v>3305</v>
      </c>
      <c r="G1075" s="93">
        <v>3</v>
      </c>
      <c r="H1075" s="93">
        <v>1</v>
      </c>
      <c r="I1075" s="23"/>
      <c r="J1075" s="23"/>
      <c r="K1075" s="23"/>
      <c r="L1075" s="23" t="s">
        <v>5160</v>
      </c>
      <c r="M1075" s="23" t="s">
        <v>5235</v>
      </c>
    </row>
    <row r="1076" spans="2:13" ht="15" customHeight="1" x14ac:dyDescent="0.25">
      <c r="B1076" s="35" t="s">
        <v>5236</v>
      </c>
      <c r="C1076" s="23" t="s">
        <v>5237</v>
      </c>
      <c r="D1076" s="23" t="s">
        <v>3303</v>
      </c>
      <c r="E1076" s="23" t="s">
        <v>3317</v>
      </c>
      <c r="F1076" s="23" t="s">
        <v>3305</v>
      </c>
      <c r="G1076" s="93">
        <v>3</v>
      </c>
      <c r="H1076" s="93">
        <v>0</v>
      </c>
      <c r="I1076" s="23"/>
      <c r="J1076" s="23"/>
      <c r="K1076" s="23"/>
      <c r="L1076" s="23" t="s">
        <v>5160</v>
      </c>
      <c r="M1076" s="23"/>
    </row>
    <row r="1077" spans="2:13" ht="15" customHeight="1" x14ac:dyDescent="0.25">
      <c r="B1077" s="35" t="s">
        <v>5238</v>
      </c>
      <c r="C1077" s="23" t="s">
        <v>5239</v>
      </c>
      <c r="D1077" s="23" t="s">
        <v>3303</v>
      </c>
      <c r="E1077" s="23" t="s">
        <v>3317</v>
      </c>
      <c r="F1077" s="23" t="s">
        <v>3305</v>
      </c>
      <c r="G1077" s="93">
        <v>3</v>
      </c>
      <c r="H1077" s="93">
        <v>1</v>
      </c>
      <c r="I1077" s="23"/>
      <c r="J1077" s="23"/>
      <c r="K1077" s="23"/>
      <c r="L1077" s="23" t="s">
        <v>5160</v>
      </c>
      <c r="M1077" s="23"/>
    </row>
    <row r="1078" spans="2:13" ht="15" customHeight="1" x14ac:dyDescent="0.25">
      <c r="B1078" s="35" t="s">
        <v>5240</v>
      </c>
      <c r="C1078" s="23" t="s">
        <v>5241</v>
      </c>
      <c r="D1078" s="23" t="s">
        <v>3303</v>
      </c>
      <c r="E1078" s="23" t="s">
        <v>3317</v>
      </c>
      <c r="F1078" s="23" t="s">
        <v>3305</v>
      </c>
      <c r="G1078" s="93">
        <v>0</v>
      </c>
      <c r="H1078" s="93">
        <v>1</v>
      </c>
      <c r="I1078" s="23"/>
      <c r="J1078" s="23"/>
      <c r="K1078" s="23"/>
      <c r="L1078" s="23" t="s">
        <v>5160</v>
      </c>
      <c r="M1078" s="23"/>
    </row>
    <row r="1079" spans="2:13" ht="15" customHeight="1" x14ac:dyDescent="0.25">
      <c r="B1079" s="35" t="s">
        <v>5160</v>
      </c>
      <c r="C1079" s="23" t="s">
        <v>5242</v>
      </c>
      <c r="D1079" s="23" t="s">
        <v>3303</v>
      </c>
      <c r="E1079" s="23" t="s">
        <v>3367</v>
      </c>
      <c r="F1079" s="23" t="s">
        <v>3305</v>
      </c>
      <c r="G1079" s="93">
        <v>0</v>
      </c>
      <c r="H1079" s="93">
        <v>0</v>
      </c>
      <c r="I1079" s="23"/>
      <c r="J1079" s="23"/>
      <c r="K1079" s="23"/>
      <c r="L1079" s="23" t="s">
        <v>5157</v>
      </c>
      <c r="M1079" s="23"/>
    </row>
    <row r="1080" spans="2:13" ht="15" customHeight="1" x14ac:dyDescent="0.25">
      <c r="B1080" s="35" t="s">
        <v>5243</v>
      </c>
      <c r="C1080" s="23" t="s">
        <v>5244</v>
      </c>
      <c r="D1080" s="23" t="s">
        <v>3303</v>
      </c>
      <c r="E1080" s="23" t="s">
        <v>3304</v>
      </c>
      <c r="F1080" s="23" t="s">
        <v>3729</v>
      </c>
      <c r="G1080" s="93">
        <v>0</v>
      </c>
      <c r="H1080" s="93">
        <v>0</v>
      </c>
      <c r="I1080" s="23"/>
      <c r="J1080" s="23"/>
      <c r="K1080" s="23"/>
      <c r="L1080" s="23"/>
      <c r="M1080" s="23"/>
    </row>
    <row r="1081" spans="2:13" ht="15" customHeight="1" x14ac:dyDescent="0.25">
      <c r="B1081" s="35" t="s">
        <v>5245</v>
      </c>
      <c r="C1081" s="23" t="s">
        <v>5246</v>
      </c>
      <c r="D1081" s="23" t="s">
        <v>3303</v>
      </c>
      <c r="E1081" s="23" t="s">
        <v>3304</v>
      </c>
      <c r="F1081" s="23" t="s">
        <v>3729</v>
      </c>
      <c r="G1081" s="93">
        <v>0</v>
      </c>
      <c r="H1081" s="93">
        <v>0</v>
      </c>
      <c r="I1081" s="23"/>
      <c r="J1081" s="23"/>
      <c r="K1081" s="23"/>
      <c r="L1081" s="23" t="s">
        <v>5247</v>
      </c>
      <c r="M1081" s="23"/>
    </row>
    <row r="1082" spans="2:13" ht="15" customHeight="1" x14ac:dyDescent="0.25">
      <c r="B1082" s="35" t="s">
        <v>5248</v>
      </c>
      <c r="C1082" s="23" t="s">
        <v>5249</v>
      </c>
      <c r="D1082" s="23" t="s">
        <v>3303</v>
      </c>
      <c r="E1082" s="23" t="s">
        <v>3304</v>
      </c>
      <c r="F1082" s="23" t="s">
        <v>3729</v>
      </c>
      <c r="G1082" s="93">
        <v>0</v>
      </c>
      <c r="H1082" s="93">
        <v>1</v>
      </c>
      <c r="I1082" s="23"/>
      <c r="J1082" s="23"/>
      <c r="K1082" s="23"/>
      <c r="L1082" s="23" t="s">
        <v>5250</v>
      </c>
      <c r="M1082" s="23"/>
    </row>
    <row r="1083" spans="2:13" ht="15" customHeight="1" x14ac:dyDescent="0.25">
      <c r="B1083" s="35" t="s">
        <v>2769</v>
      </c>
      <c r="C1083" s="23" t="s">
        <v>5251</v>
      </c>
      <c r="D1083" s="23" t="s">
        <v>3303</v>
      </c>
      <c r="E1083" s="23" t="s">
        <v>3317</v>
      </c>
      <c r="F1083" s="23" t="s">
        <v>3729</v>
      </c>
      <c r="G1083" s="93">
        <v>3</v>
      </c>
      <c r="H1083" s="93">
        <v>1</v>
      </c>
      <c r="I1083" s="23"/>
      <c r="J1083" s="23"/>
      <c r="K1083" s="23"/>
      <c r="L1083" s="23" t="s">
        <v>5250</v>
      </c>
      <c r="M1083" s="23"/>
    </row>
    <row r="1084" spans="2:13" ht="15" customHeight="1" x14ac:dyDescent="0.25">
      <c r="B1084" s="35" t="s">
        <v>2773</v>
      </c>
      <c r="C1084" s="23" t="s">
        <v>5252</v>
      </c>
      <c r="D1084" s="23" t="s">
        <v>3303</v>
      </c>
      <c r="E1084" s="23" t="s">
        <v>3317</v>
      </c>
      <c r="F1084" s="23" t="s">
        <v>3729</v>
      </c>
      <c r="G1084" s="93">
        <v>3</v>
      </c>
      <c r="H1084" s="93">
        <v>1</v>
      </c>
      <c r="I1084" s="23"/>
      <c r="J1084" s="23"/>
      <c r="K1084" s="23"/>
      <c r="L1084" s="23" t="s">
        <v>5250</v>
      </c>
      <c r="M1084" s="23"/>
    </row>
    <row r="1085" spans="2:13" ht="15" customHeight="1" x14ac:dyDescent="0.25">
      <c r="B1085" s="35" t="s">
        <v>2777</v>
      </c>
      <c r="C1085" s="23" t="s">
        <v>5253</v>
      </c>
      <c r="D1085" s="23" t="s">
        <v>3303</v>
      </c>
      <c r="E1085" s="23" t="s">
        <v>3317</v>
      </c>
      <c r="F1085" s="23" t="s">
        <v>3729</v>
      </c>
      <c r="G1085" s="93">
        <v>3</v>
      </c>
      <c r="H1085" s="93">
        <v>1</v>
      </c>
      <c r="I1085" s="23"/>
      <c r="J1085" s="23"/>
      <c r="K1085" s="23"/>
      <c r="L1085" s="23" t="s">
        <v>5250</v>
      </c>
      <c r="M1085" s="23"/>
    </row>
    <row r="1086" spans="2:13" ht="15" customHeight="1" x14ac:dyDescent="0.25">
      <c r="B1086" s="35" t="s">
        <v>2781</v>
      </c>
      <c r="C1086" s="23" t="s">
        <v>5254</v>
      </c>
      <c r="D1086" s="23" t="s">
        <v>3303</v>
      </c>
      <c r="E1086" s="23" t="s">
        <v>3317</v>
      </c>
      <c r="F1086" s="23" t="s">
        <v>3729</v>
      </c>
      <c r="G1086" s="93">
        <v>3</v>
      </c>
      <c r="H1086" s="93">
        <v>1</v>
      </c>
      <c r="I1086" s="23"/>
      <c r="J1086" s="23"/>
      <c r="K1086" s="23"/>
      <c r="L1086" s="23" t="s">
        <v>5250</v>
      </c>
      <c r="M1086" s="23"/>
    </row>
    <row r="1087" spans="2:13" ht="15" customHeight="1" x14ac:dyDescent="0.25">
      <c r="B1087" s="35" t="s">
        <v>5255</v>
      </c>
      <c r="C1087" s="23" t="s">
        <v>5256</v>
      </c>
      <c r="D1087" s="23" t="s">
        <v>3303</v>
      </c>
      <c r="E1087" s="23" t="s">
        <v>3317</v>
      </c>
      <c r="F1087" s="23" t="s">
        <v>3729</v>
      </c>
      <c r="G1087" s="93">
        <v>3</v>
      </c>
      <c r="H1087" s="93">
        <v>1</v>
      </c>
      <c r="I1087" s="23"/>
      <c r="J1087" s="23"/>
      <c r="K1087" s="23"/>
      <c r="L1087" s="23" t="s">
        <v>5250</v>
      </c>
      <c r="M1087" s="23" t="s">
        <v>3694</v>
      </c>
    </row>
    <row r="1088" spans="2:13" ht="15" customHeight="1" x14ac:dyDescent="0.25">
      <c r="B1088" s="35" t="s">
        <v>2785</v>
      </c>
      <c r="C1088" s="23" t="s">
        <v>2786</v>
      </c>
      <c r="D1088" s="23" t="s">
        <v>3303</v>
      </c>
      <c r="E1088" s="23" t="s">
        <v>3317</v>
      </c>
      <c r="F1088" s="23" t="s">
        <v>3729</v>
      </c>
      <c r="G1088" s="93">
        <v>3</v>
      </c>
      <c r="H1088" s="93">
        <v>1</v>
      </c>
      <c r="I1088" s="23"/>
      <c r="J1088" s="23"/>
      <c r="K1088" s="23"/>
      <c r="L1088" s="23" t="s">
        <v>5250</v>
      </c>
      <c r="M1088" s="23"/>
    </row>
    <row r="1089" spans="2:13" ht="15" customHeight="1" x14ac:dyDescent="0.25">
      <c r="B1089" s="35" t="s">
        <v>2789</v>
      </c>
      <c r="C1089" s="23" t="s">
        <v>5257</v>
      </c>
      <c r="D1089" s="23" t="s">
        <v>3303</v>
      </c>
      <c r="E1089" s="23" t="s">
        <v>3317</v>
      </c>
      <c r="F1089" s="23" t="s">
        <v>3729</v>
      </c>
      <c r="G1089" s="93">
        <v>3</v>
      </c>
      <c r="H1089" s="93">
        <v>1</v>
      </c>
      <c r="I1089" s="23"/>
      <c r="J1089" s="23"/>
      <c r="K1089" s="23"/>
      <c r="L1089" s="23" t="s">
        <v>5250</v>
      </c>
      <c r="M1089" s="23"/>
    </row>
    <row r="1090" spans="2:13" ht="15" customHeight="1" x14ac:dyDescent="0.25">
      <c r="B1090" s="35" t="s">
        <v>2793</v>
      </c>
      <c r="C1090" s="23" t="s">
        <v>5258</v>
      </c>
      <c r="D1090" s="23" t="s">
        <v>3303</v>
      </c>
      <c r="E1090" s="23" t="s">
        <v>3317</v>
      </c>
      <c r="F1090" s="23" t="s">
        <v>3729</v>
      </c>
      <c r="G1090" s="93">
        <v>3</v>
      </c>
      <c r="H1090" s="93">
        <v>1</v>
      </c>
      <c r="I1090" s="23"/>
      <c r="J1090" s="23"/>
      <c r="K1090" s="23"/>
      <c r="L1090" s="23" t="s">
        <v>5250</v>
      </c>
      <c r="M1090" s="23"/>
    </row>
    <row r="1091" spans="2:13" ht="15" customHeight="1" x14ac:dyDescent="0.25">
      <c r="B1091" s="35" t="s">
        <v>2797</v>
      </c>
      <c r="C1091" s="23" t="s">
        <v>2798</v>
      </c>
      <c r="D1091" s="23" t="s">
        <v>3303</v>
      </c>
      <c r="E1091" s="23" t="s">
        <v>3317</v>
      </c>
      <c r="F1091" s="23" t="s">
        <v>3729</v>
      </c>
      <c r="G1091" s="93">
        <v>3</v>
      </c>
      <c r="H1091" s="93">
        <v>1</v>
      </c>
      <c r="I1091" s="23"/>
      <c r="J1091" s="23"/>
      <c r="K1091" s="23"/>
      <c r="L1091" s="23" t="s">
        <v>5250</v>
      </c>
      <c r="M1091" s="23"/>
    </row>
    <row r="1092" spans="2:13" ht="15" customHeight="1" x14ac:dyDescent="0.25">
      <c r="B1092" s="35" t="s">
        <v>2799</v>
      </c>
      <c r="C1092" s="23" t="s">
        <v>5259</v>
      </c>
      <c r="D1092" s="23" t="s">
        <v>3303</v>
      </c>
      <c r="E1092" s="23" t="s">
        <v>3317</v>
      </c>
      <c r="F1092" s="23" t="s">
        <v>3729</v>
      </c>
      <c r="G1092" s="93">
        <v>3</v>
      </c>
      <c r="H1092" s="93">
        <v>1</v>
      </c>
      <c r="I1092" s="23"/>
      <c r="J1092" s="23"/>
      <c r="K1092" s="23"/>
      <c r="L1092" s="23" t="s">
        <v>5250</v>
      </c>
      <c r="M1092" s="23"/>
    </row>
    <row r="1093" spans="2:13" ht="15" customHeight="1" x14ac:dyDescent="0.25">
      <c r="B1093" s="35" t="s">
        <v>2803</v>
      </c>
      <c r="C1093" s="23" t="s">
        <v>5260</v>
      </c>
      <c r="D1093" s="23" t="s">
        <v>3303</v>
      </c>
      <c r="E1093" s="23" t="s">
        <v>3317</v>
      </c>
      <c r="F1093" s="23" t="s">
        <v>3729</v>
      </c>
      <c r="G1093" s="93">
        <v>3</v>
      </c>
      <c r="H1093" s="93">
        <v>1</v>
      </c>
      <c r="I1093" s="23"/>
      <c r="J1093" s="23"/>
      <c r="K1093" s="23"/>
      <c r="L1093" s="23" t="s">
        <v>5250</v>
      </c>
      <c r="M1093" s="23"/>
    </row>
    <row r="1094" spans="2:13" ht="15" customHeight="1" x14ac:dyDescent="0.25">
      <c r="B1094" s="35" t="s">
        <v>2807</v>
      </c>
      <c r="C1094" s="23" t="s">
        <v>5261</v>
      </c>
      <c r="D1094" s="23" t="s">
        <v>3303</v>
      </c>
      <c r="E1094" s="23" t="s">
        <v>3317</v>
      </c>
      <c r="F1094" s="23" t="s">
        <v>3729</v>
      </c>
      <c r="G1094" s="93">
        <v>3</v>
      </c>
      <c r="H1094" s="93">
        <v>1</v>
      </c>
      <c r="I1094" s="23"/>
      <c r="J1094" s="23"/>
      <c r="K1094" s="23"/>
      <c r="L1094" s="23" t="s">
        <v>5250</v>
      </c>
      <c r="M1094" s="23"/>
    </row>
    <row r="1095" spans="2:13" ht="15" customHeight="1" x14ac:dyDescent="0.25">
      <c r="B1095" s="35" t="s">
        <v>2809</v>
      </c>
      <c r="C1095" s="23" t="s">
        <v>5262</v>
      </c>
      <c r="D1095" s="23" t="s">
        <v>3303</v>
      </c>
      <c r="E1095" s="23" t="s">
        <v>3317</v>
      </c>
      <c r="F1095" s="23" t="s">
        <v>3729</v>
      </c>
      <c r="G1095" s="93">
        <v>3</v>
      </c>
      <c r="H1095" s="93">
        <v>1</v>
      </c>
      <c r="I1095" s="23"/>
      <c r="J1095" s="23"/>
      <c r="K1095" s="23"/>
      <c r="L1095" s="23" t="s">
        <v>5250</v>
      </c>
      <c r="M1095" s="23"/>
    </row>
    <row r="1096" spans="2:13" ht="15" customHeight="1" x14ac:dyDescent="0.25">
      <c r="B1096" s="35" t="s">
        <v>5263</v>
      </c>
      <c r="C1096" s="23" t="s">
        <v>5264</v>
      </c>
      <c r="D1096" s="23" t="s">
        <v>3303</v>
      </c>
      <c r="E1096" s="23" t="s">
        <v>3317</v>
      </c>
      <c r="F1096" s="23" t="s">
        <v>3729</v>
      </c>
      <c r="G1096" s="93">
        <v>3</v>
      </c>
      <c r="H1096" s="93">
        <v>1</v>
      </c>
      <c r="I1096" s="23"/>
      <c r="J1096" s="23"/>
      <c r="K1096" s="23"/>
      <c r="L1096" s="23" t="s">
        <v>5250</v>
      </c>
      <c r="M1096" s="23"/>
    </row>
    <row r="1097" spans="2:13" ht="15" customHeight="1" x14ac:dyDescent="0.25">
      <c r="B1097" s="35" t="s">
        <v>2813</v>
      </c>
      <c r="C1097" s="23" t="s">
        <v>5265</v>
      </c>
      <c r="D1097" s="23" t="s">
        <v>3303</v>
      </c>
      <c r="E1097" s="23" t="s">
        <v>3317</v>
      </c>
      <c r="F1097" s="23" t="s">
        <v>3729</v>
      </c>
      <c r="G1097" s="93">
        <v>3</v>
      </c>
      <c r="H1097" s="93">
        <v>1</v>
      </c>
      <c r="I1097" s="23"/>
      <c r="J1097" s="23"/>
      <c r="K1097" s="23"/>
      <c r="L1097" s="23" t="s">
        <v>5250</v>
      </c>
      <c r="M1097" s="23" t="s">
        <v>3503</v>
      </c>
    </row>
    <row r="1098" spans="2:13" ht="15" customHeight="1" x14ac:dyDescent="0.25">
      <c r="B1098" s="35" t="s">
        <v>2817</v>
      </c>
      <c r="C1098" s="23" t="s">
        <v>2818</v>
      </c>
      <c r="D1098" s="23" t="s">
        <v>3303</v>
      </c>
      <c r="E1098" s="23" t="s">
        <v>3317</v>
      </c>
      <c r="F1098" s="23" t="s">
        <v>3729</v>
      </c>
      <c r="G1098" s="93">
        <v>3</v>
      </c>
      <c r="H1098" s="93">
        <v>1</v>
      </c>
      <c r="I1098" s="23"/>
      <c r="J1098" s="23"/>
      <c r="K1098" s="23"/>
      <c r="L1098" s="23" t="s">
        <v>5250</v>
      </c>
      <c r="M1098" s="23" t="s">
        <v>3503</v>
      </c>
    </row>
    <row r="1099" spans="2:13" ht="15" customHeight="1" x14ac:dyDescent="0.25">
      <c r="B1099" s="35" t="s">
        <v>2819</v>
      </c>
      <c r="C1099" s="23" t="s">
        <v>5266</v>
      </c>
      <c r="D1099" s="23" t="s">
        <v>3303</v>
      </c>
      <c r="E1099" s="23" t="s">
        <v>3317</v>
      </c>
      <c r="F1099" s="23" t="s">
        <v>3729</v>
      </c>
      <c r="G1099" s="93">
        <v>3</v>
      </c>
      <c r="H1099" s="93">
        <v>1</v>
      </c>
      <c r="I1099" s="23"/>
      <c r="J1099" s="23"/>
      <c r="K1099" s="23"/>
      <c r="L1099" s="23" t="s">
        <v>5250</v>
      </c>
      <c r="M1099" s="23" t="s">
        <v>3503</v>
      </c>
    </row>
    <row r="1100" spans="2:13" ht="15" customHeight="1" x14ac:dyDescent="0.25">
      <c r="B1100" s="35" t="s">
        <v>2822</v>
      </c>
      <c r="C1100" s="23" t="s">
        <v>5267</v>
      </c>
      <c r="D1100" s="23" t="s">
        <v>3303</v>
      </c>
      <c r="E1100" s="23" t="s">
        <v>3317</v>
      </c>
      <c r="F1100" s="23" t="s">
        <v>3729</v>
      </c>
      <c r="G1100" s="93">
        <v>3</v>
      </c>
      <c r="H1100" s="93">
        <v>1</v>
      </c>
      <c r="I1100" s="23"/>
      <c r="J1100" s="23"/>
      <c r="K1100" s="23"/>
      <c r="L1100" s="23" t="s">
        <v>5250</v>
      </c>
      <c r="M1100" s="23" t="s">
        <v>3503</v>
      </c>
    </row>
    <row r="1101" spans="2:13" ht="15" customHeight="1" x14ac:dyDescent="0.25">
      <c r="B1101" s="35" t="s">
        <v>2825</v>
      </c>
      <c r="C1101" s="23" t="s">
        <v>2826</v>
      </c>
      <c r="D1101" s="23" t="s">
        <v>3303</v>
      </c>
      <c r="E1101" s="23" t="s">
        <v>3317</v>
      </c>
      <c r="F1101" s="23" t="s">
        <v>3729</v>
      </c>
      <c r="G1101" s="93">
        <v>3</v>
      </c>
      <c r="H1101" s="93">
        <v>1</v>
      </c>
      <c r="I1101" s="23"/>
      <c r="J1101" s="23"/>
      <c r="K1101" s="23"/>
      <c r="L1101" s="23" t="s">
        <v>5250</v>
      </c>
      <c r="M1101" s="23"/>
    </row>
    <row r="1102" spans="2:13" ht="15" customHeight="1" x14ac:dyDescent="0.25">
      <c r="B1102" s="35" t="s">
        <v>2828</v>
      </c>
      <c r="C1102" s="23" t="s">
        <v>5268</v>
      </c>
      <c r="D1102" s="23" t="s">
        <v>3303</v>
      </c>
      <c r="E1102" s="23" t="s">
        <v>3317</v>
      </c>
      <c r="F1102" s="23" t="s">
        <v>3729</v>
      </c>
      <c r="G1102" s="93">
        <v>3</v>
      </c>
      <c r="H1102" s="93">
        <v>1</v>
      </c>
      <c r="I1102" s="23"/>
      <c r="J1102" s="23"/>
      <c r="K1102" s="23"/>
      <c r="L1102" s="23" t="s">
        <v>5250</v>
      </c>
      <c r="M1102" s="23"/>
    </row>
    <row r="1103" spans="2:13" ht="15" customHeight="1" x14ac:dyDescent="0.25">
      <c r="B1103" s="35" t="s">
        <v>2832</v>
      </c>
      <c r="C1103" s="23" t="s">
        <v>5269</v>
      </c>
      <c r="D1103" s="23" t="s">
        <v>3303</v>
      </c>
      <c r="E1103" s="23" t="s">
        <v>3317</v>
      </c>
      <c r="F1103" s="23" t="s">
        <v>3729</v>
      </c>
      <c r="G1103" s="93">
        <v>3</v>
      </c>
      <c r="H1103" s="93">
        <v>1</v>
      </c>
      <c r="I1103" s="23"/>
      <c r="J1103" s="23"/>
      <c r="K1103" s="23"/>
      <c r="L1103" s="23" t="s">
        <v>5250</v>
      </c>
      <c r="M1103" s="23"/>
    </row>
    <row r="1104" spans="2:13" ht="15" customHeight="1" x14ac:dyDescent="0.25">
      <c r="B1104" s="35" t="s">
        <v>2836</v>
      </c>
      <c r="C1104" s="23" t="s">
        <v>5270</v>
      </c>
      <c r="D1104" s="23" t="s">
        <v>3303</v>
      </c>
      <c r="E1104" s="23" t="s">
        <v>3317</v>
      </c>
      <c r="F1104" s="23" t="s">
        <v>3729</v>
      </c>
      <c r="G1104" s="93">
        <v>3</v>
      </c>
      <c r="H1104" s="93">
        <v>1</v>
      </c>
      <c r="I1104" s="23"/>
      <c r="J1104" s="23"/>
      <c r="K1104" s="23"/>
      <c r="L1104" s="23" t="s">
        <v>5250</v>
      </c>
      <c r="M1104" s="23"/>
    </row>
    <row r="1105" spans="2:13" ht="15" customHeight="1" x14ac:dyDescent="0.25">
      <c r="B1105" s="35" t="s">
        <v>2840</v>
      </c>
      <c r="C1105" s="23" t="s">
        <v>5271</v>
      </c>
      <c r="D1105" s="23" t="s">
        <v>3303</v>
      </c>
      <c r="E1105" s="23" t="s">
        <v>3317</v>
      </c>
      <c r="F1105" s="23" t="s">
        <v>3729</v>
      </c>
      <c r="G1105" s="93">
        <v>3</v>
      </c>
      <c r="H1105" s="93">
        <v>1</v>
      </c>
      <c r="I1105" s="23"/>
      <c r="J1105" s="23"/>
      <c r="K1105" s="23"/>
      <c r="L1105" s="23" t="s">
        <v>5250</v>
      </c>
      <c r="M1105" s="23"/>
    </row>
    <row r="1106" spans="2:13" ht="15" customHeight="1" x14ac:dyDescent="0.25">
      <c r="B1106" s="35" t="s">
        <v>2844</v>
      </c>
      <c r="C1106" s="23" t="s">
        <v>5272</v>
      </c>
      <c r="D1106" s="23" t="s">
        <v>3303</v>
      </c>
      <c r="E1106" s="23" t="s">
        <v>3317</v>
      </c>
      <c r="F1106" s="23" t="s">
        <v>3729</v>
      </c>
      <c r="G1106" s="93">
        <v>3</v>
      </c>
      <c r="H1106" s="93">
        <v>1</v>
      </c>
      <c r="I1106" s="23"/>
      <c r="J1106" s="23"/>
      <c r="K1106" s="23"/>
      <c r="L1106" s="23" t="s">
        <v>5250</v>
      </c>
      <c r="M1106" s="23"/>
    </row>
    <row r="1107" spans="2:13" ht="15" customHeight="1" x14ac:dyDescent="0.25">
      <c r="B1107" s="35" t="s">
        <v>2848</v>
      </c>
      <c r="C1107" s="23" t="s">
        <v>5273</v>
      </c>
      <c r="D1107" s="23" t="s">
        <v>3303</v>
      </c>
      <c r="E1107" s="23" t="s">
        <v>3317</v>
      </c>
      <c r="F1107" s="23" t="s">
        <v>3729</v>
      </c>
      <c r="G1107" s="93">
        <v>3</v>
      </c>
      <c r="H1107" s="93">
        <v>1</v>
      </c>
      <c r="I1107" s="23"/>
      <c r="J1107" s="23"/>
      <c r="K1107" s="23"/>
      <c r="L1107" s="23" t="s">
        <v>5250</v>
      </c>
      <c r="M1107" s="23"/>
    </row>
    <row r="1108" spans="2:13" ht="15" customHeight="1" x14ac:dyDescent="0.25">
      <c r="B1108" s="35" t="s">
        <v>2852</v>
      </c>
      <c r="C1108" s="23" t="s">
        <v>5274</v>
      </c>
      <c r="D1108" s="23" t="s">
        <v>3303</v>
      </c>
      <c r="E1108" s="23" t="s">
        <v>3317</v>
      </c>
      <c r="F1108" s="23" t="s">
        <v>3729</v>
      </c>
      <c r="G1108" s="93">
        <v>3</v>
      </c>
      <c r="H1108" s="93">
        <v>1</v>
      </c>
      <c r="I1108" s="23"/>
      <c r="J1108" s="23"/>
      <c r="K1108" s="23"/>
      <c r="L1108" s="23" t="s">
        <v>5250</v>
      </c>
      <c r="M1108" s="23"/>
    </row>
    <row r="1109" spans="2:13" ht="15" customHeight="1" x14ac:dyDescent="0.25">
      <c r="B1109" s="35" t="s">
        <v>2856</v>
      </c>
      <c r="C1109" s="23" t="s">
        <v>5275</v>
      </c>
      <c r="D1109" s="23" t="s">
        <v>3303</v>
      </c>
      <c r="E1109" s="23" t="s">
        <v>3317</v>
      </c>
      <c r="F1109" s="23" t="s">
        <v>3729</v>
      </c>
      <c r="G1109" s="93">
        <v>3</v>
      </c>
      <c r="H1109" s="93">
        <v>1</v>
      </c>
      <c r="I1109" s="23"/>
      <c r="J1109" s="23"/>
      <c r="K1109" s="23"/>
      <c r="L1109" s="23" t="s">
        <v>5250</v>
      </c>
      <c r="M1109" s="23"/>
    </row>
    <row r="1110" spans="2:13" ht="15" customHeight="1" x14ac:dyDescent="0.25">
      <c r="B1110" s="35" t="s">
        <v>5276</v>
      </c>
      <c r="C1110" s="23" t="s">
        <v>5277</v>
      </c>
      <c r="D1110" s="23" t="s">
        <v>3303</v>
      </c>
      <c r="E1110" s="23" t="s">
        <v>3317</v>
      </c>
      <c r="F1110" s="23" t="s">
        <v>3729</v>
      </c>
      <c r="G1110" s="93">
        <v>3</v>
      </c>
      <c r="H1110" s="93">
        <v>1</v>
      </c>
      <c r="I1110" s="23"/>
      <c r="J1110" s="23"/>
      <c r="K1110" s="23"/>
      <c r="L1110" s="23" t="s">
        <v>5250</v>
      </c>
      <c r="M1110" s="23" t="s">
        <v>3694</v>
      </c>
    </row>
    <row r="1111" spans="2:13" ht="15" customHeight="1" x14ac:dyDescent="0.25">
      <c r="B1111" s="35" t="s">
        <v>2860</v>
      </c>
      <c r="C1111" s="23" t="s">
        <v>2861</v>
      </c>
      <c r="D1111" s="23" t="s">
        <v>3303</v>
      </c>
      <c r="E1111" s="23" t="s">
        <v>3317</v>
      </c>
      <c r="F1111" s="23" t="s">
        <v>3729</v>
      </c>
      <c r="G1111" s="93">
        <v>3</v>
      </c>
      <c r="H1111" s="93">
        <v>1</v>
      </c>
      <c r="I1111" s="23"/>
      <c r="J1111" s="23"/>
      <c r="K1111" s="23"/>
      <c r="L1111" s="23" t="s">
        <v>5250</v>
      </c>
      <c r="M1111" s="23"/>
    </row>
    <row r="1112" spans="2:13" ht="15" customHeight="1" x14ac:dyDescent="0.25">
      <c r="B1112" s="35" t="s">
        <v>2863</v>
      </c>
      <c r="C1112" s="23" t="s">
        <v>2864</v>
      </c>
      <c r="D1112" s="23" t="s">
        <v>3303</v>
      </c>
      <c r="E1112" s="23" t="s">
        <v>3317</v>
      </c>
      <c r="F1112" s="23" t="s">
        <v>3729</v>
      </c>
      <c r="G1112" s="93">
        <v>3</v>
      </c>
      <c r="H1112" s="93">
        <v>1</v>
      </c>
      <c r="I1112" s="23"/>
      <c r="J1112" s="23"/>
      <c r="K1112" s="23"/>
      <c r="L1112" s="23" t="s">
        <v>5250</v>
      </c>
      <c r="M1112" s="23"/>
    </row>
    <row r="1113" spans="2:13" ht="15" customHeight="1" x14ac:dyDescent="0.25">
      <c r="B1113" s="35" t="s">
        <v>5250</v>
      </c>
      <c r="C1113" s="23" t="s">
        <v>5278</v>
      </c>
      <c r="D1113" s="23" t="s">
        <v>3303</v>
      </c>
      <c r="E1113" s="23" t="s">
        <v>3367</v>
      </c>
      <c r="F1113" s="23" t="s">
        <v>3729</v>
      </c>
      <c r="G1113" s="93">
        <v>0</v>
      </c>
      <c r="H1113" s="93">
        <v>1</v>
      </c>
      <c r="I1113" s="23"/>
      <c r="J1113" s="23"/>
      <c r="K1113" s="23"/>
      <c r="L1113" s="23" t="s">
        <v>5247</v>
      </c>
      <c r="M1113" s="23"/>
    </row>
    <row r="1114" spans="2:13" ht="15" customHeight="1" x14ac:dyDescent="0.25">
      <c r="B1114" s="35" t="s">
        <v>5279</v>
      </c>
      <c r="C1114" s="23" t="s">
        <v>5280</v>
      </c>
      <c r="D1114" s="23" t="s">
        <v>3303</v>
      </c>
      <c r="E1114" s="23" t="s">
        <v>3304</v>
      </c>
      <c r="F1114" s="23" t="s">
        <v>3729</v>
      </c>
      <c r="G1114" s="93">
        <v>0</v>
      </c>
      <c r="H1114" s="93">
        <v>0</v>
      </c>
      <c r="I1114" s="23"/>
      <c r="J1114" s="23"/>
      <c r="K1114" s="23"/>
      <c r="L1114" s="23" t="s">
        <v>5281</v>
      </c>
      <c r="M1114" s="23"/>
    </row>
    <row r="1115" spans="2:13" ht="15" customHeight="1" x14ac:dyDescent="0.25">
      <c r="B1115" s="35" t="s">
        <v>5282</v>
      </c>
      <c r="C1115" s="23" t="s">
        <v>5283</v>
      </c>
      <c r="D1115" s="23" t="s">
        <v>3303</v>
      </c>
      <c r="E1115" s="23" t="s">
        <v>3304</v>
      </c>
      <c r="F1115" s="23" t="s">
        <v>3729</v>
      </c>
      <c r="G1115" s="93">
        <v>0</v>
      </c>
      <c r="H1115" s="93">
        <v>0</v>
      </c>
      <c r="I1115" s="23"/>
      <c r="J1115" s="23"/>
      <c r="K1115" s="23"/>
      <c r="L1115" s="23" t="s">
        <v>5284</v>
      </c>
      <c r="M1115" s="23"/>
    </row>
    <row r="1116" spans="2:13" ht="15" customHeight="1" x14ac:dyDescent="0.25">
      <c r="B1116" s="35" t="s">
        <v>335</v>
      </c>
      <c r="C1116" s="23" t="s">
        <v>3112</v>
      </c>
      <c r="D1116" s="23" t="s">
        <v>3303</v>
      </c>
      <c r="E1116" s="23" t="s">
        <v>3317</v>
      </c>
      <c r="F1116" s="23" t="s">
        <v>3729</v>
      </c>
      <c r="G1116" s="93">
        <v>3</v>
      </c>
      <c r="H1116" s="93">
        <v>1</v>
      </c>
      <c r="I1116" s="23"/>
      <c r="J1116" s="23"/>
      <c r="K1116" s="23"/>
      <c r="L1116" s="23" t="s">
        <v>5284</v>
      </c>
      <c r="M1116" s="23"/>
    </row>
    <row r="1117" spans="2:13" ht="15" customHeight="1" x14ac:dyDescent="0.25">
      <c r="B1117" s="35" t="s">
        <v>331</v>
      </c>
      <c r="C1117" s="23" t="s">
        <v>3114</v>
      </c>
      <c r="D1117" s="23" t="s">
        <v>3303</v>
      </c>
      <c r="E1117" s="23" t="s">
        <v>3317</v>
      </c>
      <c r="F1117" s="23" t="s">
        <v>3729</v>
      </c>
      <c r="G1117" s="93">
        <v>3</v>
      </c>
      <c r="H1117" s="93">
        <v>1</v>
      </c>
      <c r="I1117" s="23"/>
      <c r="J1117" s="23"/>
      <c r="K1117" s="23"/>
      <c r="L1117" s="23" t="s">
        <v>5284</v>
      </c>
      <c r="M1117" s="23"/>
    </row>
    <row r="1118" spans="2:13" ht="15" customHeight="1" x14ac:dyDescent="0.25">
      <c r="B1118" s="35" t="s">
        <v>327</v>
      </c>
      <c r="C1118" s="23" t="s">
        <v>3115</v>
      </c>
      <c r="D1118" s="23" t="s">
        <v>3303</v>
      </c>
      <c r="E1118" s="23" t="s">
        <v>3317</v>
      </c>
      <c r="F1118" s="23" t="s">
        <v>3729</v>
      </c>
      <c r="G1118" s="93">
        <v>3</v>
      </c>
      <c r="H1118" s="93">
        <v>1</v>
      </c>
      <c r="I1118" s="23"/>
      <c r="J1118" s="23"/>
      <c r="K1118" s="23"/>
      <c r="L1118" s="23" t="s">
        <v>5284</v>
      </c>
      <c r="M1118" s="23"/>
    </row>
    <row r="1119" spans="2:13" ht="15" customHeight="1" x14ac:dyDescent="0.25">
      <c r="B1119" s="35" t="s">
        <v>330</v>
      </c>
      <c r="C1119" s="23" t="s">
        <v>3116</v>
      </c>
      <c r="D1119" s="23" t="s">
        <v>3303</v>
      </c>
      <c r="E1119" s="23" t="s">
        <v>3317</v>
      </c>
      <c r="F1119" s="23" t="s">
        <v>3729</v>
      </c>
      <c r="G1119" s="93">
        <v>3</v>
      </c>
      <c r="H1119" s="93">
        <v>0</v>
      </c>
      <c r="I1119" s="23"/>
      <c r="J1119" s="23"/>
      <c r="K1119" s="23"/>
      <c r="L1119" s="23" t="s">
        <v>5284</v>
      </c>
      <c r="M1119" s="23"/>
    </row>
    <row r="1120" spans="2:13" ht="15" customHeight="1" x14ac:dyDescent="0.25">
      <c r="B1120" s="35" t="s">
        <v>351</v>
      </c>
      <c r="C1120" s="23" t="s">
        <v>5285</v>
      </c>
      <c r="D1120" s="23" t="s">
        <v>3303</v>
      </c>
      <c r="E1120" s="23" t="s">
        <v>3317</v>
      </c>
      <c r="F1120" s="23" t="s">
        <v>3729</v>
      </c>
      <c r="G1120" s="93">
        <v>3</v>
      </c>
      <c r="H1120" s="93">
        <v>0</v>
      </c>
      <c r="I1120" s="23"/>
      <c r="J1120" s="23"/>
      <c r="K1120" s="23"/>
      <c r="L1120" s="23" t="s">
        <v>5284</v>
      </c>
      <c r="M1120" s="23"/>
    </row>
    <row r="1121" spans="2:13" ht="15" customHeight="1" x14ac:dyDescent="0.25">
      <c r="B1121" s="35" t="s">
        <v>3117</v>
      </c>
      <c r="C1121" s="23" t="s">
        <v>3118</v>
      </c>
      <c r="D1121" s="23" t="s">
        <v>3303</v>
      </c>
      <c r="E1121" s="23" t="s">
        <v>3317</v>
      </c>
      <c r="F1121" s="23" t="s">
        <v>3729</v>
      </c>
      <c r="G1121" s="93">
        <v>3</v>
      </c>
      <c r="H1121" s="93">
        <v>1</v>
      </c>
      <c r="I1121" s="23"/>
      <c r="J1121" s="23"/>
      <c r="K1121" s="23"/>
      <c r="L1121" s="23" t="s">
        <v>5284</v>
      </c>
      <c r="M1121" s="23"/>
    </row>
    <row r="1122" spans="2:13" ht="15" customHeight="1" x14ac:dyDescent="0.25">
      <c r="B1122" s="35" t="s">
        <v>5286</v>
      </c>
      <c r="C1122" s="23" t="s">
        <v>5287</v>
      </c>
      <c r="D1122" s="23" t="s">
        <v>3303</v>
      </c>
      <c r="E1122" s="23" t="s">
        <v>3317</v>
      </c>
      <c r="F1122" s="23" t="s">
        <v>3729</v>
      </c>
      <c r="G1122" s="93">
        <v>3</v>
      </c>
      <c r="H1122" s="93">
        <v>0</v>
      </c>
      <c r="I1122" s="23"/>
      <c r="J1122" s="23"/>
      <c r="K1122" s="23"/>
      <c r="L1122" s="23" t="s">
        <v>5284</v>
      </c>
      <c r="M1122" s="23"/>
    </row>
    <row r="1123" spans="2:13" ht="15" customHeight="1" x14ac:dyDescent="0.25">
      <c r="B1123" s="35" t="s">
        <v>5288</v>
      </c>
      <c r="C1123" s="23" t="s">
        <v>5289</v>
      </c>
      <c r="D1123" s="23" t="s">
        <v>3303</v>
      </c>
      <c r="E1123" s="23" t="s">
        <v>3317</v>
      </c>
      <c r="F1123" s="23" t="s">
        <v>3729</v>
      </c>
      <c r="G1123" s="93">
        <v>3</v>
      </c>
      <c r="H1123" s="93">
        <v>0</v>
      </c>
      <c r="I1123" s="23"/>
      <c r="J1123" s="23"/>
      <c r="K1123" s="23"/>
      <c r="L1123" s="23" t="s">
        <v>5284</v>
      </c>
      <c r="M1123" s="23"/>
    </row>
    <row r="1124" spans="2:13" ht="15" customHeight="1" x14ac:dyDescent="0.25">
      <c r="B1124" s="35" t="s">
        <v>352</v>
      </c>
      <c r="C1124" s="23" t="s">
        <v>3119</v>
      </c>
      <c r="D1124" s="23" t="s">
        <v>3303</v>
      </c>
      <c r="E1124" s="23" t="s">
        <v>3317</v>
      </c>
      <c r="F1124" s="23" t="s">
        <v>3729</v>
      </c>
      <c r="G1124" s="93">
        <v>3</v>
      </c>
      <c r="H1124" s="93">
        <v>1</v>
      </c>
      <c r="I1124" s="23"/>
      <c r="J1124" s="23"/>
      <c r="K1124" s="23"/>
      <c r="L1124" s="23" t="s">
        <v>5284</v>
      </c>
      <c r="M1124" s="23"/>
    </row>
    <row r="1125" spans="2:13" ht="15" customHeight="1" x14ac:dyDescent="0.25">
      <c r="B1125" s="35" t="s">
        <v>5290</v>
      </c>
      <c r="C1125" s="23" t="s">
        <v>5291</v>
      </c>
      <c r="D1125" s="23" t="s">
        <v>3303</v>
      </c>
      <c r="E1125" s="23" t="s">
        <v>3317</v>
      </c>
      <c r="F1125" s="23" t="s">
        <v>3729</v>
      </c>
      <c r="G1125" s="93">
        <v>3</v>
      </c>
      <c r="H1125" s="93">
        <v>0</v>
      </c>
      <c r="I1125" s="23"/>
      <c r="J1125" s="23"/>
      <c r="K1125" s="23"/>
      <c r="L1125" s="23" t="s">
        <v>5284</v>
      </c>
      <c r="M1125" s="23"/>
    </row>
    <row r="1126" spans="2:13" ht="15" customHeight="1" x14ac:dyDescent="0.25">
      <c r="B1126" s="35" t="s">
        <v>5292</v>
      </c>
      <c r="C1126" s="23" t="s">
        <v>5293</v>
      </c>
      <c r="D1126" s="23" t="s">
        <v>3303</v>
      </c>
      <c r="E1126" s="23" t="s">
        <v>3317</v>
      </c>
      <c r="F1126" s="23" t="s">
        <v>3729</v>
      </c>
      <c r="G1126" s="93">
        <v>3</v>
      </c>
      <c r="H1126" s="93">
        <v>0</v>
      </c>
      <c r="I1126" s="23"/>
      <c r="J1126" s="23"/>
      <c r="K1126" s="23"/>
      <c r="L1126" s="23" t="s">
        <v>5284</v>
      </c>
      <c r="M1126" s="23"/>
    </row>
    <row r="1127" spans="2:13" ht="15" customHeight="1" x14ac:dyDescent="0.25">
      <c r="B1127" s="35" t="s">
        <v>5294</v>
      </c>
      <c r="C1127" s="23" t="s">
        <v>5295</v>
      </c>
      <c r="D1127" s="23" t="s">
        <v>3303</v>
      </c>
      <c r="E1127" s="23" t="s">
        <v>3317</v>
      </c>
      <c r="F1127" s="23" t="s">
        <v>3729</v>
      </c>
      <c r="G1127" s="93">
        <v>3</v>
      </c>
      <c r="H1127" s="93">
        <v>1</v>
      </c>
      <c r="I1127" s="23"/>
      <c r="J1127" s="23"/>
      <c r="K1127" s="23"/>
      <c r="L1127" s="23" t="s">
        <v>5284</v>
      </c>
      <c r="M1127" s="23"/>
    </row>
    <row r="1128" spans="2:13" ht="15" customHeight="1" x14ac:dyDescent="0.25">
      <c r="B1128" s="35" t="s">
        <v>5296</v>
      </c>
      <c r="C1128" s="23" t="s">
        <v>5297</v>
      </c>
      <c r="D1128" s="23" t="s">
        <v>3303</v>
      </c>
      <c r="E1128" s="23" t="s">
        <v>3317</v>
      </c>
      <c r="F1128" s="23" t="s">
        <v>3729</v>
      </c>
      <c r="G1128" s="93">
        <v>3</v>
      </c>
      <c r="H1128" s="93">
        <v>1</v>
      </c>
      <c r="I1128" s="23"/>
      <c r="J1128" s="23"/>
      <c r="K1128" s="23"/>
      <c r="L1128" s="23" t="s">
        <v>5284</v>
      </c>
      <c r="M1128" s="23"/>
    </row>
    <row r="1129" spans="2:13" ht="15" customHeight="1" x14ac:dyDescent="0.25">
      <c r="B1129" s="35" t="s">
        <v>333</v>
      </c>
      <c r="C1129" s="23" t="s">
        <v>3120</v>
      </c>
      <c r="D1129" s="23" t="s">
        <v>3303</v>
      </c>
      <c r="E1129" s="23" t="s">
        <v>3317</v>
      </c>
      <c r="F1129" s="23" t="s">
        <v>3729</v>
      </c>
      <c r="G1129" s="93">
        <v>3</v>
      </c>
      <c r="H1129" s="93">
        <v>1</v>
      </c>
      <c r="I1129" s="23"/>
      <c r="J1129" s="23"/>
      <c r="K1129" s="23"/>
      <c r="L1129" s="23" t="s">
        <v>5284</v>
      </c>
      <c r="M1129" s="23"/>
    </row>
    <row r="1130" spans="2:13" ht="15" customHeight="1" x14ac:dyDescent="0.25">
      <c r="B1130" s="35" t="s">
        <v>5298</v>
      </c>
      <c r="C1130" s="23" t="s">
        <v>5299</v>
      </c>
      <c r="D1130" s="23" t="s">
        <v>3303</v>
      </c>
      <c r="E1130" s="23" t="s">
        <v>3317</v>
      </c>
      <c r="F1130" s="23" t="s">
        <v>3729</v>
      </c>
      <c r="G1130" s="93">
        <v>3</v>
      </c>
      <c r="H1130" s="93">
        <v>0</v>
      </c>
      <c r="I1130" s="23"/>
      <c r="J1130" s="23"/>
      <c r="K1130" s="23"/>
      <c r="L1130" s="23" t="s">
        <v>5284</v>
      </c>
      <c r="M1130" s="23"/>
    </row>
    <row r="1131" spans="2:13" ht="15" customHeight="1" x14ac:dyDescent="0.25">
      <c r="B1131" s="35" t="s">
        <v>5300</v>
      </c>
      <c r="C1131" s="23" t="s">
        <v>5301</v>
      </c>
      <c r="D1131" s="23" t="s">
        <v>3303</v>
      </c>
      <c r="E1131" s="23" t="s">
        <v>3317</v>
      </c>
      <c r="F1131" s="23" t="s">
        <v>3729</v>
      </c>
      <c r="G1131" s="93">
        <v>3</v>
      </c>
      <c r="H1131" s="93">
        <v>1</v>
      </c>
      <c r="I1131" s="23"/>
      <c r="J1131" s="23"/>
      <c r="K1131" s="23"/>
      <c r="L1131" s="23" t="s">
        <v>5284</v>
      </c>
      <c r="M1131" s="23"/>
    </row>
    <row r="1132" spans="2:13" ht="15" customHeight="1" x14ac:dyDescent="0.25">
      <c r="B1132" s="35" t="s">
        <v>5302</v>
      </c>
      <c r="C1132" s="23" t="s">
        <v>5303</v>
      </c>
      <c r="D1132" s="23" t="s">
        <v>3303</v>
      </c>
      <c r="E1132" s="23" t="s">
        <v>3317</v>
      </c>
      <c r="F1132" s="23" t="s">
        <v>3729</v>
      </c>
      <c r="G1132" s="93">
        <v>3</v>
      </c>
      <c r="H1132" s="93">
        <v>0</v>
      </c>
      <c r="I1132" s="23"/>
      <c r="J1132" s="23"/>
      <c r="K1132" s="23"/>
      <c r="L1132" s="23" t="s">
        <v>5284</v>
      </c>
      <c r="M1132" s="23"/>
    </row>
    <row r="1133" spans="2:13" ht="15" customHeight="1" x14ac:dyDescent="0.25">
      <c r="B1133" s="35" t="s">
        <v>5284</v>
      </c>
      <c r="C1133" s="23" t="s">
        <v>5304</v>
      </c>
      <c r="D1133" s="23" t="s">
        <v>3303</v>
      </c>
      <c r="E1133" s="23" t="s">
        <v>3367</v>
      </c>
      <c r="F1133" s="23" t="s">
        <v>3729</v>
      </c>
      <c r="G1133" s="93">
        <v>0</v>
      </c>
      <c r="H1133" s="93">
        <v>0</v>
      </c>
      <c r="I1133" s="23"/>
      <c r="J1133" s="23"/>
      <c r="K1133" s="23"/>
      <c r="L1133" s="23" t="s">
        <v>5281</v>
      </c>
      <c r="M1133" s="23"/>
    </row>
    <row r="1134" spans="2:13" ht="15" customHeight="1" x14ac:dyDescent="0.25">
      <c r="B1134" s="35" t="s">
        <v>5305</v>
      </c>
      <c r="C1134" s="23" t="s">
        <v>5306</v>
      </c>
      <c r="D1134" s="23" t="s">
        <v>3303</v>
      </c>
      <c r="E1134" s="23" t="s">
        <v>3304</v>
      </c>
      <c r="F1134" s="23" t="s">
        <v>3729</v>
      </c>
      <c r="G1134" s="93">
        <v>0</v>
      </c>
      <c r="H1134" s="93">
        <v>1</v>
      </c>
      <c r="I1134" s="23"/>
      <c r="J1134" s="23"/>
      <c r="K1134" s="23"/>
      <c r="L1134" s="23" t="s">
        <v>5307</v>
      </c>
      <c r="M1134" s="23"/>
    </row>
    <row r="1135" spans="2:13" ht="15" customHeight="1" x14ac:dyDescent="0.25">
      <c r="B1135" s="35" t="s">
        <v>5308</v>
      </c>
      <c r="C1135" s="23" t="s">
        <v>5309</v>
      </c>
      <c r="D1135" s="23" t="s">
        <v>3303</v>
      </c>
      <c r="E1135" s="23" t="s">
        <v>3317</v>
      </c>
      <c r="F1135" s="23" t="s">
        <v>3729</v>
      </c>
      <c r="G1135" s="93">
        <v>3</v>
      </c>
      <c r="H1135" s="93">
        <v>1</v>
      </c>
      <c r="I1135" s="23"/>
      <c r="J1135" s="23"/>
      <c r="K1135" s="23"/>
      <c r="L1135" s="23" t="s">
        <v>5307</v>
      </c>
      <c r="M1135" s="23"/>
    </row>
    <row r="1136" spans="2:13" ht="15" customHeight="1" x14ac:dyDescent="0.25">
      <c r="B1136" s="35" t="s">
        <v>5310</v>
      </c>
      <c r="C1136" s="23" t="s">
        <v>5311</v>
      </c>
      <c r="D1136" s="23" t="s">
        <v>3303</v>
      </c>
      <c r="E1136" s="23" t="s">
        <v>3317</v>
      </c>
      <c r="F1136" s="23" t="s">
        <v>3729</v>
      </c>
      <c r="G1136" s="93">
        <v>3</v>
      </c>
      <c r="H1136" s="93">
        <v>1</v>
      </c>
      <c r="I1136" s="23"/>
      <c r="J1136" s="23"/>
      <c r="K1136" s="23"/>
      <c r="L1136" s="23" t="s">
        <v>5307</v>
      </c>
      <c r="M1136" s="23"/>
    </row>
    <row r="1137" spans="2:13" ht="15" customHeight="1" x14ac:dyDescent="0.25">
      <c r="B1137" s="35" t="s">
        <v>5312</v>
      </c>
      <c r="C1137" s="23" t="s">
        <v>5313</v>
      </c>
      <c r="D1137" s="23" t="s">
        <v>3303</v>
      </c>
      <c r="E1137" s="23" t="s">
        <v>3317</v>
      </c>
      <c r="F1137" s="23" t="s">
        <v>3729</v>
      </c>
      <c r="G1137" s="93">
        <v>3</v>
      </c>
      <c r="H1137" s="93">
        <v>1</v>
      </c>
      <c r="I1137" s="23"/>
      <c r="J1137" s="23"/>
      <c r="K1137" s="23"/>
      <c r="L1137" s="23" t="s">
        <v>5307</v>
      </c>
      <c r="M1137" s="23"/>
    </row>
    <row r="1138" spans="2:13" ht="15" customHeight="1" x14ac:dyDescent="0.25">
      <c r="B1138" s="35" t="s">
        <v>5307</v>
      </c>
      <c r="C1138" s="23" t="s">
        <v>5314</v>
      </c>
      <c r="D1138" s="23" t="s">
        <v>3303</v>
      </c>
      <c r="E1138" s="23" t="s">
        <v>3367</v>
      </c>
      <c r="F1138" s="23" t="s">
        <v>3729</v>
      </c>
      <c r="G1138" s="93">
        <v>0</v>
      </c>
      <c r="H1138" s="93">
        <v>1</v>
      </c>
      <c r="I1138" s="23"/>
      <c r="J1138" s="23"/>
      <c r="K1138" s="23"/>
      <c r="L1138" s="23" t="s">
        <v>5281</v>
      </c>
      <c r="M1138" s="23"/>
    </row>
    <row r="1139" spans="2:13" ht="15" customHeight="1" x14ac:dyDescent="0.25">
      <c r="B1139" s="35" t="s">
        <v>5315</v>
      </c>
      <c r="C1139" s="23" t="s">
        <v>5316</v>
      </c>
      <c r="D1139" s="23" t="s">
        <v>3303</v>
      </c>
      <c r="E1139" s="23" t="s">
        <v>3304</v>
      </c>
      <c r="F1139" s="23" t="s">
        <v>3729</v>
      </c>
      <c r="G1139" s="93">
        <v>0</v>
      </c>
      <c r="H1139" s="93">
        <v>0</v>
      </c>
      <c r="I1139" s="23"/>
      <c r="J1139" s="23"/>
      <c r="K1139" s="23"/>
      <c r="L1139" s="23" t="s">
        <v>5317</v>
      </c>
      <c r="M1139" s="23"/>
    </row>
    <row r="1140" spans="2:13" ht="15" customHeight="1" x14ac:dyDescent="0.25">
      <c r="B1140" s="35" t="s">
        <v>5318</v>
      </c>
      <c r="C1140" s="23" t="s">
        <v>5319</v>
      </c>
      <c r="D1140" s="23" t="s">
        <v>3303</v>
      </c>
      <c r="E1140" s="23" t="s">
        <v>3317</v>
      </c>
      <c r="F1140" s="23" t="s">
        <v>3729</v>
      </c>
      <c r="G1140" s="93">
        <v>3</v>
      </c>
      <c r="H1140" s="93">
        <v>1</v>
      </c>
      <c r="I1140" s="23"/>
      <c r="J1140" s="23"/>
      <c r="K1140" s="23"/>
      <c r="L1140" s="23" t="s">
        <v>5317</v>
      </c>
      <c r="M1140" s="23" t="s">
        <v>4716</v>
      </c>
    </row>
    <row r="1141" spans="2:13" ht="15" customHeight="1" x14ac:dyDescent="0.25">
      <c r="B1141" s="35" t="s">
        <v>5320</v>
      </c>
      <c r="C1141" s="23" t="s">
        <v>5321</v>
      </c>
      <c r="D1141" s="23" t="s">
        <v>3303</v>
      </c>
      <c r="E1141" s="23" t="s">
        <v>3317</v>
      </c>
      <c r="F1141" s="23" t="s">
        <v>3729</v>
      </c>
      <c r="G1141" s="93">
        <v>3</v>
      </c>
      <c r="H1141" s="93">
        <v>1</v>
      </c>
      <c r="I1141" s="23"/>
      <c r="J1141" s="23"/>
      <c r="K1141" s="23"/>
      <c r="L1141" s="23" t="s">
        <v>5317</v>
      </c>
      <c r="M1141" s="23" t="s">
        <v>4716</v>
      </c>
    </row>
    <row r="1142" spans="2:13" ht="15" customHeight="1" x14ac:dyDescent="0.25">
      <c r="B1142" s="35" t="s">
        <v>5322</v>
      </c>
      <c r="C1142" s="23" t="s">
        <v>5323</v>
      </c>
      <c r="D1142" s="23" t="s">
        <v>3303</v>
      </c>
      <c r="E1142" s="23" t="s">
        <v>3317</v>
      </c>
      <c r="F1142" s="23" t="s">
        <v>3729</v>
      </c>
      <c r="G1142" s="93">
        <v>3</v>
      </c>
      <c r="H1142" s="93">
        <v>1</v>
      </c>
      <c r="I1142" s="23"/>
      <c r="J1142" s="23"/>
      <c r="K1142" s="23"/>
      <c r="L1142" s="23" t="s">
        <v>5317</v>
      </c>
      <c r="M1142" s="23" t="s">
        <v>4716</v>
      </c>
    </row>
    <row r="1143" spans="2:13" ht="15" customHeight="1" x14ac:dyDescent="0.25">
      <c r="B1143" s="35" t="s">
        <v>5324</v>
      </c>
      <c r="C1143" s="23" t="s">
        <v>5325</v>
      </c>
      <c r="D1143" s="23" t="s">
        <v>3303</v>
      </c>
      <c r="E1143" s="23" t="s">
        <v>3317</v>
      </c>
      <c r="F1143" s="23" t="s">
        <v>3729</v>
      </c>
      <c r="G1143" s="93">
        <v>3</v>
      </c>
      <c r="H1143" s="93">
        <v>1</v>
      </c>
      <c r="I1143" s="23"/>
      <c r="J1143" s="23"/>
      <c r="K1143" s="23"/>
      <c r="L1143" s="23" t="s">
        <v>5317</v>
      </c>
      <c r="M1143" s="23" t="s">
        <v>4716</v>
      </c>
    </row>
    <row r="1144" spans="2:13" ht="15" customHeight="1" x14ac:dyDescent="0.25">
      <c r="B1144" s="35" t="s">
        <v>5326</v>
      </c>
      <c r="C1144" s="23" t="s">
        <v>5327</v>
      </c>
      <c r="D1144" s="23" t="s">
        <v>3303</v>
      </c>
      <c r="E1144" s="23" t="s">
        <v>3317</v>
      </c>
      <c r="F1144" s="23" t="s">
        <v>3729</v>
      </c>
      <c r="G1144" s="93">
        <v>3</v>
      </c>
      <c r="H1144" s="93">
        <v>1</v>
      </c>
      <c r="I1144" s="23"/>
      <c r="J1144" s="23"/>
      <c r="K1144" s="23"/>
      <c r="L1144" s="23" t="s">
        <v>5317</v>
      </c>
      <c r="M1144" s="23" t="s">
        <v>4716</v>
      </c>
    </row>
    <row r="1145" spans="2:13" ht="15" customHeight="1" x14ac:dyDescent="0.25">
      <c r="B1145" s="35" t="s">
        <v>5328</v>
      </c>
      <c r="C1145" s="23" t="s">
        <v>5329</v>
      </c>
      <c r="D1145" s="23" t="s">
        <v>3303</v>
      </c>
      <c r="E1145" s="23" t="s">
        <v>3317</v>
      </c>
      <c r="F1145" s="23" t="s">
        <v>3729</v>
      </c>
      <c r="G1145" s="93">
        <v>3</v>
      </c>
      <c r="H1145" s="93">
        <v>1</v>
      </c>
      <c r="I1145" s="23"/>
      <c r="J1145" s="23"/>
      <c r="K1145" s="23"/>
      <c r="L1145" s="23" t="s">
        <v>5317</v>
      </c>
      <c r="M1145" s="23" t="s">
        <v>4716</v>
      </c>
    </row>
    <row r="1146" spans="2:13" ht="15" customHeight="1" x14ac:dyDescent="0.25">
      <c r="B1146" s="35" t="s">
        <v>5330</v>
      </c>
      <c r="C1146" s="23" t="s">
        <v>5331</v>
      </c>
      <c r="D1146" s="23" t="s">
        <v>3303</v>
      </c>
      <c r="E1146" s="23" t="s">
        <v>3317</v>
      </c>
      <c r="F1146" s="23" t="s">
        <v>3729</v>
      </c>
      <c r="G1146" s="93">
        <v>3</v>
      </c>
      <c r="H1146" s="93">
        <v>1</v>
      </c>
      <c r="I1146" s="23"/>
      <c r="J1146" s="23"/>
      <c r="K1146" s="23"/>
      <c r="L1146" s="23" t="s">
        <v>5317</v>
      </c>
      <c r="M1146" s="23" t="s">
        <v>4716</v>
      </c>
    </row>
    <row r="1147" spans="2:13" ht="15" customHeight="1" x14ac:dyDescent="0.25">
      <c r="B1147" s="35" t="s">
        <v>5332</v>
      </c>
      <c r="C1147" s="23" t="s">
        <v>5333</v>
      </c>
      <c r="D1147" s="23" t="s">
        <v>3303</v>
      </c>
      <c r="E1147" s="23" t="s">
        <v>3317</v>
      </c>
      <c r="F1147" s="23" t="s">
        <v>3729</v>
      </c>
      <c r="G1147" s="93">
        <v>3</v>
      </c>
      <c r="H1147" s="93">
        <v>1</v>
      </c>
      <c r="I1147" s="23"/>
      <c r="J1147" s="23"/>
      <c r="K1147" s="23"/>
      <c r="L1147" s="23" t="s">
        <v>5317</v>
      </c>
      <c r="M1147" s="23" t="s">
        <v>4716</v>
      </c>
    </row>
    <row r="1148" spans="2:13" ht="15" customHeight="1" x14ac:dyDescent="0.25">
      <c r="B1148" s="35" t="s">
        <v>5334</v>
      </c>
      <c r="C1148" s="23" t="s">
        <v>5335</v>
      </c>
      <c r="D1148" s="23" t="s">
        <v>3303</v>
      </c>
      <c r="E1148" s="23" t="s">
        <v>3317</v>
      </c>
      <c r="F1148" s="23" t="s">
        <v>3729</v>
      </c>
      <c r="G1148" s="93">
        <v>3</v>
      </c>
      <c r="H1148" s="93">
        <v>1</v>
      </c>
      <c r="I1148" s="23"/>
      <c r="J1148" s="23"/>
      <c r="K1148" s="23"/>
      <c r="L1148" s="23" t="s">
        <v>5317</v>
      </c>
      <c r="M1148" s="23" t="s">
        <v>4716</v>
      </c>
    </row>
    <row r="1149" spans="2:13" ht="15" customHeight="1" x14ac:dyDescent="0.25">
      <c r="B1149" s="35" t="s">
        <v>5336</v>
      </c>
      <c r="C1149" s="23" t="s">
        <v>5337</v>
      </c>
      <c r="D1149" s="23" t="s">
        <v>3303</v>
      </c>
      <c r="E1149" s="23" t="s">
        <v>3317</v>
      </c>
      <c r="F1149" s="23" t="s">
        <v>3729</v>
      </c>
      <c r="G1149" s="93">
        <v>3</v>
      </c>
      <c r="H1149" s="93">
        <v>1</v>
      </c>
      <c r="I1149" s="23"/>
      <c r="J1149" s="23"/>
      <c r="K1149" s="23"/>
      <c r="L1149" s="23" t="s">
        <v>5317</v>
      </c>
      <c r="M1149" s="23" t="s">
        <v>4716</v>
      </c>
    </row>
    <row r="1150" spans="2:13" ht="15" customHeight="1" x14ac:dyDescent="0.25">
      <c r="B1150" s="35" t="s">
        <v>5338</v>
      </c>
      <c r="C1150" s="23" t="s">
        <v>5339</v>
      </c>
      <c r="D1150" s="23" t="s">
        <v>3303</v>
      </c>
      <c r="E1150" s="23" t="s">
        <v>3317</v>
      </c>
      <c r="F1150" s="23" t="s">
        <v>3729</v>
      </c>
      <c r="G1150" s="93">
        <v>3</v>
      </c>
      <c r="H1150" s="93">
        <v>1</v>
      </c>
      <c r="I1150" s="23"/>
      <c r="J1150" s="23"/>
      <c r="K1150" s="23"/>
      <c r="L1150" s="23" t="s">
        <v>5317</v>
      </c>
      <c r="M1150" s="23" t="s">
        <v>4716</v>
      </c>
    </row>
    <row r="1151" spans="2:13" ht="15" customHeight="1" x14ac:dyDescent="0.25">
      <c r="B1151" s="35" t="s">
        <v>5340</v>
      </c>
      <c r="C1151" s="23" t="s">
        <v>5341</v>
      </c>
      <c r="D1151" s="23" t="s">
        <v>3303</v>
      </c>
      <c r="E1151" s="23" t="s">
        <v>3317</v>
      </c>
      <c r="F1151" s="23" t="s">
        <v>3729</v>
      </c>
      <c r="G1151" s="93">
        <v>3</v>
      </c>
      <c r="H1151" s="93">
        <v>1</v>
      </c>
      <c r="I1151" s="23"/>
      <c r="J1151" s="23"/>
      <c r="K1151" s="23"/>
      <c r="L1151" s="23" t="s">
        <v>5317</v>
      </c>
      <c r="M1151" s="23" t="s">
        <v>4716</v>
      </c>
    </row>
    <row r="1152" spans="2:13" ht="15" customHeight="1" x14ac:dyDescent="0.25">
      <c r="B1152" s="35" t="s">
        <v>5342</v>
      </c>
      <c r="C1152" s="23" t="s">
        <v>5343</v>
      </c>
      <c r="D1152" s="23" t="s">
        <v>3303</v>
      </c>
      <c r="E1152" s="23" t="s">
        <v>3317</v>
      </c>
      <c r="F1152" s="23" t="s">
        <v>3729</v>
      </c>
      <c r="G1152" s="93">
        <v>3</v>
      </c>
      <c r="H1152" s="93">
        <v>1</v>
      </c>
      <c r="I1152" s="23"/>
      <c r="J1152" s="23"/>
      <c r="K1152" s="23"/>
      <c r="L1152" s="23" t="s">
        <v>5317</v>
      </c>
      <c r="M1152" s="23" t="s">
        <v>4716</v>
      </c>
    </row>
    <row r="1153" spans="2:13" ht="15" customHeight="1" x14ac:dyDescent="0.25">
      <c r="B1153" s="35" t="s">
        <v>5344</v>
      </c>
      <c r="C1153" s="23" t="s">
        <v>4892</v>
      </c>
      <c r="D1153" s="23" t="s">
        <v>3303</v>
      </c>
      <c r="E1153" s="23" t="s">
        <v>3317</v>
      </c>
      <c r="F1153" s="23" t="s">
        <v>3729</v>
      </c>
      <c r="G1153" s="93">
        <v>0</v>
      </c>
      <c r="H1153" s="93">
        <v>1</v>
      </c>
      <c r="I1153" s="23"/>
      <c r="J1153" s="23"/>
      <c r="K1153" s="23"/>
      <c r="L1153" s="23" t="s">
        <v>5317</v>
      </c>
      <c r="M1153" s="23" t="s">
        <v>4716</v>
      </c>
    </row>
    <row r="1154" spans="2:13" ht="15" customHeight="1" x14ac:dyDescent="0.25">
      <c r="B1154" s="35" t="s">
        <v>5345</v>
      </c>
      <c r="C1154" s="23" t="s">
        <v>4894</v>
      </c>
      <c r="D1154" s="23" t="s">
        <v>3303</v>
      </c>
      <c r="E1154" s="23" t="s">
        <v>3317</v>
      </c>
      <c r="F1154" s="23" t="s">
        <v>3729</v>
      </c>
      <c r="G1154" s="93">
        <v>3</v>
      </c>
      <c r="H1154" s="93">
        <v>1</v>
      </c>
      <c r="I1154" s="23"/>
      <c r="J1154" s="23"/>
      <c r="K1154" s="23"/>
      <c r="L1154" s="23" t="s">
        <v>5317</v>
      </c>
      <c r="M1154" s="23" t="s">
        <v>4716</v>
      </c>
    </row>
    <row r="1155" spans="2:13" ht="15" customHeight="1" x14ac:dyDescent="0.25">
      <c r="B1155" s="35" t="s">
        <v>5346</v>
      </c>
      <c r="C1155" s="23" t="s">
        <v>4896</v>
      </c>
      <c r="D1155" s="23" t="s">
        <v>3303</v>
      </c>
      <c r="E1155" s="23" t="s">
        <v>3317</v>
      </c>
      <c r="F1155" s="23" t="s">
        <v>3729</v>
      </c>
      <c r="G1155" s="93">
        <v>3</v>
      </c>
      <c r="H1155" s="93">
        <v>1</v>
      </c>
      <c r="I1155" s="23"/>
      <c r="J1155" s="23"/>
      <c r="K1155" s="23"/>
      <c r="L1155" s="23" t="s">
        <v>5317</v>
      </c>
      <c r="M1155" s="23" t="s">
        <v>4716</v>
      </c>
    </row>
    <row r="1156" spans="2:13" ht="15" customHeight="1" x14ac:dyDescent="0.25">
      <c r="B1156" s="35" t="s">
        <v>5347</v>
      </c>
      <c r="C1156" s="23" t="s">
        <v>5348</v>
      </c>
      <c r="D1156" s="23" t="s">
        <v>3303</v>
      </c>
      <c r="E1156" s="23" t="s">
        <v>3317</v>
      </c>
      <c r="F1156" s="23" t="s">
        <v>3729</v>
      </c>
      <c r="G1156" s="93">
        <v>3</v>
      </c>
      <c r="H1156" s="93">
        <v>1</v>
      </c>
      <c r="I1156" s="23"/>
      <c r="J1156" s="23"/>
      <c r="K1156" s="23"/>
      <c r="L1156" s="23" t="s">
        <v>5317</v>
      </c>
      <c r="M1156" s="23" t="s">
        <v>4716</v>
      </c>
    </row>
    <row r="1157" spans="2:13" ht="15" customHeight="1" x14ac:dyDescent="0.25">
      <c r="B1157" s="35" t="s">
        <v>5349</v>
      </c>
      <c r="C1157" s="23" t="s">
        <v>5350</v>
      </c>
      <c r="D1157" s="23" t="s">
        <v>3303</v>
      </c>
      <c r="E1157" s="23" t="s">
        <v>3317</v>
      </c>
      <c r="F1157" s="23" t="s">
        <v>3729</v>
      </c>
      <c r="G1157" s="93">
        <v>3</v>
      </c>
      <c r="H1157" s="93">
        <v>1</v>
      </c>
      <c r="I1157" s="23"/>
      <c r="J1157" s="23"/>
      <c r="K1157" s="23"/>
      <c r="L1157" s="23" t="s">
        <v>5317</v>
      </c>
      <c r="M1157" s="23" t="s">
        <v>4716</v>
      </c>
    </row>
    <row r="1158" spans="2:13" ht="15" customHeight="1" x14ac:dyDescent="0.25">
      <c r="B1158" s="35" t="s">
        <v>5351</v>
      </c>
      <c r="C1158" s="23" t="s">
        <v>5352</v>
      </c>
      <c r="D1158" s="23" t="s">
        <v>3303</v>
      </c>
      <c r="E1158" s="23" t="s">
        <v>3317</v>
      </c>
      <c r="F1158" s="23" t="s">
        <v>3729</v>
      </c>
      <c r="G1158" s="93">
        <v>3</v>
      </c>
      <c r="H1158" s="93">
        <v>1</v>
      </c>
      <c r="I1158" s="23"/>
      <c r="J1158" s="23"/>
      <c r="K1158" s="23"/>
      <c r="L1158" s="23" t="s">
        <v>5317</v>
      </c>
      <c r="M1158" s="23" t="s">
        <v>4716</v>
      </c>
    </row>
    <row r="1159" spans="2:13" ht="15" customHeight="1" x14ac:dyDescent="0.25">
      <c r="B1159" s="35" t="s">
        <v>5353</v>
      </c>
      <c r="C1159" s="23" t="s">
        <v>5354</v>
      </c>
      <c r="D1159" s="23" t="s">
        <v>3303</v>
      </c>
      <c r="E1159" s="23" t="s">
        <v>3317</v>
      </c>
      <c r="F1159" s="23" t="s">
        <v>3729</v>
      </c>
      <c r="G1159" s="93">
        <v>3</v>
      </c>
      <c r="H1159" s="93">
        <v>1</v>
      </c>
      <c r="I1159" s="23"/>
      <c r="J1159" s="23"/>
      <c r="K1159" s="23"/>
      <c r="L1159" s="23" t="s">
        <v>5317</v>
      </c>
      <c r="M1159" s="23" t="s">
        <v>4716</v>
      </c>
    </row>
    <row r="1160" spans="2:13" ht="15" customHeight="1" x14ac:dyDescent="0.25">
      <c r="B1160" s="35" t="s">
        <v>5355</v>
      </c>
      <c r="C1160" s="23" t="s">
        <v>5356</v>
      </c>
      <c r="D1160" s="23" t="s">
        <v>3303</v>
      </c>
      <c r="E1160" s="23" t="s">
        <v>3317</v>
      </c>
      <c r="F1160" s="23" t="s">
        <v>3729</v>
      </c>
      <c r="G1160" s="93">
        <v>3</v>
      </c>
      <c r="H1160" s="93">
        <v>1</v>
      </c>
      <c r="I1160" s="23"/>
      <c r="J1160" s="23"/>
      <c r="K1160" s="23"/>
      <c r="L1160" s="23" t="s">
        <v>5317</v>
      </c>
      <c r="M1160" s="23" t="s">
        <v>4716</v>
      </c>
    </row>
    <row r="1161" spans="2:13" ht="15" customHeight="1" x14ac:dyDescent="0.25">
      <c r="B1161" s="35" t="s">
        <v>5357</v>
      </c>
      <c r="C1161" s="23" t="s">
        <v>5358</v>
      </c>
      <c r="D1161" s="23" t="s">
        <v>3303</v>
      </c>
      <c r="E1161" s="23" t="s">
        <v>3317</v>
      </c>
      <c r="F1161" s="23" t="s">
        <v>3729</v>
      </c>
      <c r="G1161" s="93">
        <v>3</v>
      </c>
      <c r="H1161" s="93">
        <v>1</v>
      </c>
      <c r="I1161" s="23"/>
      <c r="J1161" s="23"/>
      <c r="K1161" s="23"/>
      <c r="L1161" s="23" t="s">
        <v>5317</v>
      </c>
      <c r="M1161" s="23" t="s">
        <v>4716</v>
      </c>
    </row>
    <row r="1162" spans="2:13" ht="15" customHeight="1" x14ac:dyDescent="0.25">
      <c r="B1162" s="35" t="s">
        <v>5359</v>
      </c>
      <c r="C1162" s="23" t="s">
        <v>5360</v>
      </c>
      <c r="D1162" s="23" t="s">
        <v>3303</v>
      </c>
      <c r="E1162" s="23" t="s">
        <v>3317</v>
      </c>
      <c r="F1162" s="23" t="s">
        <v>3729</v>
      </c>
      <c r="G1162" s="93">
        <v>3</v>
      </c>
      <c r="H1162" s="93">
        <v>1</v>
      </c>
      <c r="I1162" s="23"/>
      <c r="J1162" s="23"/>
      <c r="K1162" s="23"/>
      <c r="L1162" s="23" t="s">
        <v>5317</v>
      </c>
      <c r="M1162" s="23" t="s">
        <v>4716</v>
      </c>
    </row>
    <row r="1163" spans="2:13" ht="15" customHeight="1" x14ac:dyDescent="0.25">
      <c r="B1163" s="35" t="s">
        <v>5361</v>
      </c>
      <c r="C1163" s="23" t="s">
        <v>5362</v>
      </c>
      <c r="D1163" s="23" t="s">
        <v>3303</v>
      </c>
      <c r="E1163" s="23" t="s">
        <v>3317</v>
      </c>
      <c r="F1163" s="23" t="s">
        <v>3729</v>
      </c>
      <c r="G1163" s="93">
        <v>3</v>
      </c>
      <c r="H1163" s="93">
        <v>1</v>
      </c>
      <c r="I1163" s="23"/>
      <c r="J1163" s="23"/>
      <c r="K1163" s="23"/>
      <c r="L1163" s="23" t="s">
        <v>5317</v>
      </c>
      <c r="M1163" s="23" t="s">
        <v>4716</v>
      </c>
    </row>
    <row r="1164" spans="2:13" ht="15" customHeight="1" x14ac:dyDescent="0.25">
      <c r="B1164" s="35" t="s">
        <v>3121</v>
      </c>
      <c r="C1164" s="23" t="s">
        <v>3122</v>
      </c>
      <c r="D1164" s="23" t="s">
        <v>3303</v>
      </c>
      <c r="E1164" s="23" t="s">
        <v>3317</v>
      </c>
      <c r="F1164" s="23" t="s">
        <v>3729</v>
      </c>
      <c r="G1164" s="93">
        <v>3</v>
      </c>
      <c r="H1164" s="93">
        <v>1</v>
      </c>
      <c r="I1164" s="23"/>
      <c r="J1164" s="23"/>
      <c r="K1164" s="23"/>
      <c r="L1164" s="23" t="s">
        <v>5317</v>
      </c>
      <c r="M1164" s="23" t="s">
        <v>4716</v>
      </c>
    </row>
    <row r="1165" spans="2:13" ht="15" customHeight="1" x14ac:dyDescent="0.25">
      <c r="B1165" s="35" t="s">
        <v>5363</v>
      </c>
      <c r="C1165" s="23" t="s">
        <v>5364</v>
      </c>
      <c r="D1165" s="23" t="s">
        <v>3303</v>
      </c>
      <c r="E1165" s="23" t="s">
        <v>3317</v>
      </c>
      <c r="F1165" s="23" t="s">
        <v>3729</v>
      </c>
      <c r="G1165" s="93">
        <v>3</v>
      </c>
      <c r="H1165" s="93">
        <v>0</v>
      </c>
      <c r="I1165" s="23"/>
      <c r="J1165" s="23"/>
      <c r="K1165" s="23"/>
      <c r="L1165" s="23" t="s">
        <v>5317</v>
      </c>
      <c r="M1165" s="23"/>
    </row>
    <row r="1166" spans="2:13" ht="15" customHeight="1" x14ac:dyDescent="0.25">
      <c r="B1166" s="35" t="s">
        <v>5365</v>
      </c>
      <c r="C1166" s="23" t="s">
        <v>5366</v>
      </c>
      <c r="D1166" s="23" t="s">
        <v>3303</v>
      </c>
      <c r="E1166" s="23" t="s">
        <v>3317</v>
      </c>
      <c r="F1166" s="23" t="s">
        <v>3729</v>
      </c>
      <c r="G1166" s="93">
        <v>3</v>
      </c>
      <c r="H1166" s="93">
        <v>1</v>
      </c>
      <c r="I1166" s="23"/>
      <c r="J1166" s="23"/>
      <c r="K1166" s="23"/>
      <c r="L1166" s="23" t="s">
        <v>5317</v>
      </c>
      <c r="M1166" s="23" t="s">
        <v>4716</v>
      </c>
    </row>
    <row r="1167" spans="2:13" ht="15" customHeight="1" x14ac:dyDescent="0.25">
      <c r="B1167" s="35" t="s">
        <v>5367</v>
      </c>
      <c r="C1167" s="23" t="s">
        <v>5368</v>
      </c>
      <c r="D1167" s="23" t="s">
        <v>3303</v>
      </c>
      <c r="E1167" s="23" t="s">
        <v>3317</v>
      </c>
      <c r="F1167" s="23" t="s">
        <v>3729</v>
      </c>
      <c r="G1167" s="93">
        <v>3</v>
      </c>
      <c r="H1167" s="93">
        <v>1</v>
      </c>
      <c r="I1167" s="23"/>
      <c r="J1167" s="23"/>
      <c r="K1167" s="23"/>
      <c r="L1167" s="23" t="s">
        <v>5317</v>
      </c>
      <c r="M1167" s="23" t="s">
        <v>4716</v>
      </c>
    </row>
    <row r="1168" spans="2:13" ht="15" customHeight="1" x14ac:dyDescent="0.25">
      <c r="B1168" s="35" t="s">
        <v>5369</v>
      </c>
      <c r="C1168" s="23" t="s">
        <v>5370</v>
      </c>
      <c r="D1168" s="23" t="s">
        <v>3303</v>
      </c>
      <c r="E1168" s="23" t="s">
        <v>3317</v>
      </c>
      <c r="F1168" s="23" t="s">
        <v>3729</v>
      </c>
      <c r="G1168" s="93">
        <v>3</v>
      </c>
      <c r="H1168" s="93">
        <v>1</v>
      </c>
      <c r="I1168" s="23"/>
      <c r="J1168" s="23"/>
      <c r="K1168" s="23"/>
      <c r="L1168" s="23" t="s">
        <v>5317</v>
      </c>
      <c r="M1168" s="23" t="s">
        <v>4716</v>
      </c>
    </row>
    <row r="1169" spans="2:13" ht="15" customHeight="1" x14ac:dyDescent="0.25">
      <c r="B1169" s="35" t="s">
        <v>5371</v>
      </c>
      <c r="C1169" s="23" t="s">
        <v>5372</v>
      </c>
      <c r="D1169" s="23" t="s">
        <v>3303</v>
      </c>
      <c r="E1169" s="23" t="s">
        <v>3317</v>
      </c>
      <c r="F1169" s="23" t="s">
        <v>3729</v>
      </c>
      <c r="G1169" s="93">
        <v>3</v>
      </c>
      <c r="H1169" s="93">
        <v>1</v>
      </c>
      <c r="I1169" s="23"/>
      <c r="J1169" s="23"/>
      <c r="K1169" s="23"/>
      <c r="L1169" s="23" t="s">
        <v>5317</v>
      </c>
      <c r="M1169" s="23" t="s">
        <v>3694</v>
      </c>
    </row>
    <row r="1170" spans="2:13" ht="15" customHeight="1" x14ac:dyDescent="0.25">
      <c r="B1170" s="35" t="s">
        <v>5373</v>
      </c>
      <c r="C1170" s="23" t="s">
        <v>5374</v>
      </c>
      <c r="D1170" s="23" t="s">
        <v>3303</v>
      </c>
      <c r="E1170" s="23" t="s">
        <v>3317</v>
      </c>
      <c r="F1170" s="23" t="s">
        <v>3729</v>
      </c>
      <c r="G1170" s="93">
        <v>3</v>
      </c>
      <c r="H1170" s="93">
        <v>0</v>
      </c>
      <c r="I1170" s="23"/>
      <c r="J1170" s="23"/>
      <c r="K1170" s="23"/>
      <c r="L1170" s="23" t="s">
        <v>5317</v>
      </c>
      <c r="M1170" s="23" t="s">
        <v>4716</v>
      </c>
    </row>
    <row r="1171" spans="2:13" ht="15" customHeight="1" x14ac:dyDescent="0.25">
      <c r="B1171" s="35" t="s">
        <v>5375</v>
      </c>
      <c r="C1171" s="23" t="s">
        <v>5376</v>
      </c>
      <c r="D1171" s="23" t="s">
        <v>3303</v>
      </c>
      <c r="E1171" s="23" t="s">
        <v>3317</v>
      </c>
      <c r="F1171" s="23" t="s">
        <v>3729</v>
      </c>
      <c r="G1171" s="93">
        <v>3</v>
      </c>
      <c r="H1171" s="93">
        <v>1</v>
      </c>
      <c r="I1171" s="23"/>
      <c r="J1171" s="23"/>
      <c r="K1171" s="23"/>
      <c r="L1171" s="23" t="s">
        <v>5317</v>
      </c>
      <c r="M1171" s="23" t="s">
        <v>3694</v>
      </c>
    </row>
    <row r="1172" spans="2:13" ht="15" customHeight="1" x14ac:dyDescent="0.25">
      <c r="B1172" s="35" t="s">
        <v>5377</v>
      </c>
      <c r="C1172" s="23" t="s">
        <v>5378</v>
      </c>
      <c r="D1172" s="23" t="s">
        <v>3303</v>
      </c>
      <c r="E1172" s="23" t="s">
        <v>3317</v>
      </c>
      <c r="F1172" s="23" t="s">
        <v>3729</v>
      </c>
      <c r="G1172" s="93">
        <v>3</v>
      </c>
      <c r="H1172" s="93">
        <v>1</v>
      </c>
      <c r="I1172" s="23"/>
      <c r="J1172" s="23"/>
      <c r="K1172" s="23"/>
      <c r="L1172" s="23" t="s">
        <v>5317</v>
      </c>
      <c r="M1172" s="23" t="s">
        <v>4716</v>
      </c>
    </row>
    <row r="1173" spans="2:13" ht="15" customHeight="1" x14ac:dyDescent="0.25">
      <c r="B1173" s="35" t="s">
        <v>5379</v>
      </c>
      <c r="C1173" s="23" t="s">
        <v>5380</v>
      </c>
      <c r="D1173" s="23" t="s">
        <v>3303</v>
      </c>
      <c r="E1173" s="23" t="s">
        <v>3317</v>
      </c>
      <c r="F1173" s="23" t="s">
        <v>3729</v>
      </c>
      <c r="G1173" s="93">
        <v>3</v>
      </c>
      <c r="H1173" s="93">
        <v>1</v>
      </c>
      <c r="I1173" s="23"/>
      <c r="J1173" s="23"/>
      <c r="K1173" s="23"/>
      <c r="L1173" s="23" t="s">
        <v>5317</v>
      </c>
      <c r="M1173" s="23" t="s">
        <v>4716</v>
      </c>
    </row>
    <row r="1174" spans="2:13" ht="15" customHeight="1" x14ac:dyDescent="0.25">
      <c r="B1174" s="35" t="s">
        <v>5381</v>
      </c>
      <c r="C1174" s="23" t="s">
        <v>5382</v>
      </c>
      <c r="D1174" s="23" t="s">
        <v>3303</v>
      </c>
      <c r="E1174" s="23" t="s">
        <v>3317</v>
      </c>
      <c r="F1174" s="23" t="s">
        <v>3729</v>
      </c>
      <c r="G1174" s="93">
        <v>3</v>
      </c>
      <c r="H1174" s="93">
        <v>0</v>
      </c>
      <c r="I1174" s="23"/>
      <c r="J1174" s="23"/>
      <c r="K1174" s="23"/>
      <c r="L1174" s="23" t="s">
        <v>5317</v>
      </c>
      <c r="M1174" s="23"/>
    </row>
    <row r="1175" spans="2:13" ht="15" customHeight="1" x14ac:dyDescent="0.25">
      <c r="B1175" s="35" t="s">
        <v>5383</v>
      </c>
      <c r="C1175" s="23" t="s">
        <v>5384</v>
      </c>
      <c r="D1175" s="23" t="s">
        <v>3303</v>
      </c>
      <c r="E1175" s="23" t="s">
        <v>3317</v>
      </c>
      <c r="F1175" s="23" t="s">
        <v>3729</v>
      </c>
      <c r="G1175" s="93">
        <v>3</v>
      </c>
      <c r="H1175" s="93">
        <v>0</v>
      </c>
      <c r="I1175" s="23"/>
      <c r="J1175" s="23"/>
      <c r="K1175" s="23"/>
      <c r="L1175" s="23" t="s">
        <v>5317</v>
      </c>
      <c r="M1175" s="23" t="s">
        <v>4716</v>
      </c>
    </row>
    <row r="1176" spans="2:13" ht="15" customHeight="1" x14ac:dyDescent="0.25">
      <c r="B1176" s="35" t="s">
        <v>5385</v>
      </c>
      <c r="C1176" s="23" t="s">
        <v>5386</v>
      </c>
      <c r="D1176" s="23" t="s">
        <v>3303</v>
      </c>
      <c r="E1176" s="23" t="s">
        <v>3317</v>
      </c>
      <c r="F1176" s="23" t="s">
        <v>3729</v>
      </c>
      <c r="G1176" s="93">
        <v>3</v>
      </c>
      <c r="H1176" s="93">
        <v>0</v>
      </c>
      <c r="I1176" s="23"/>
      <c r="J1176" s="23"/>
      <c r="K1176" s="23"/>
      <c r="L1176" s="23" t="s">
        <v>5317</v>
      </c>
      <c r="M1176" s="23"/>
    </row>
    <row r="1177" spans="2:13" ht="15" customHeight="1" x14ac:dyDescent="0.25">
      <c r="B1177" s="35" t="s">
        <v>5387</v>
      </c>
      <c r="C1177" s="23" t="s">
        <v>5388</v>
      </c>
      <c r="D1177" s="23" t="s">
        <v>3303</v>
      </c>
      <c r="E1177" s="23" t="s">
        <v>3317</v>
      </c>
      <c r="F1177" s="23" t="s">
        <v>3729</v>
      </c>
      <c r="G1177" s="93">
        <v>3</v>
      </c>
      <c r="H1177" s="93">
        <v>1</v>
      </c>
      <c r="I1177" s="23"/>
      <c r="J1177" s="23"/>
      <c r="K1177" s="23"/>
      <c r="L1177" s="23" t="s">
        <v>5317</v>
      </c>
      <c r="M1177" s="23" t="s">
        <v>3694</v>
      </c>
    </row>
    <row r="1178" spans="2:13" ht="15" customHeight="1" x14ac:dyDescent="0.25">
      <c r="B1178" s="35" t="s">
        <v>5389</v>
      </c>
      <c r="C1178" s="23" t="s">
        <v>5390</v>
      </c>
      <c r="D1178" s="23" t="s">
        <v>3303</v>
      </c>
      <c r="E1178" s="23" t="s">
        <v>3317</v>
      </c>
      <c r="F1178" s="23" t="s">
        <v>3729</v>
      </c>
      <c r="G1178" s="93">
        <v>3</v>
      </c>
      <c r="H1178" s="93">
        <v>1</v>
      </c>
      <c r="I1178" s="23"/>
      <c r="J1178" s="23"/>
      <c r="K1178" s="23"/>
      <c r="L1178" s="23" t="s">
        <v>5317</v>
      </c>
      <c r="M1178" s="23"/>
    </row>
    <row r="1179" spans="2:13" ht="15" customHeight="1" x14ac:dyDescent="0.25">
      <c r="B1179" s="35" t="s">
        <v>5391</v>
      </c>
      <c r="C1179" s="23" t="s">
        <v>5392</v>
      </c>
      <c r="D1179" s="23" t="s">
        <v>3303</v>
      </c>
      <c r="E1179" s="23" t="s">
        <v>3317</v>
      </c>
      <c r="F1179" s="23" t="s">
        <v>3729</v>
      </c>
      <c r="G1179" s="93">
        <v>3</v>
      </c>
      <c r="H1179" s="93">
        <v>1</v>
      </c>
      <c r="I1179" s="23"/>
      <c r="J1179" s="23"/>
      <c r="K1179" s="23"/>
      <c r="L1179" s="23" t="s">
        <v>5317</v>
      </c>
      <c r="M1179" s="23"/>
    </row>
    <row r="1180" spans="2:13" ht="15" customHeight="1" x14ac:dyDescent="0.25">
      <c r="B1180" s="35" t="s">
        <v>5393</v>
      </c>
      <c r="C1180" s="23" t="s">
        <v>5394</v>
      </c>
      <c r="D1180" s="23" t="s">
        <v>3303</v>
      </c>
      <c r="E1180" s="23" t="s">
        <v>3317</v>
      </c>
      <c r="F1180" s="23" t="s">
        <v>3729</v>
      </c>
      <c r="G1180" s="93">
        <v>3</v>
      </c>
      <c r="H1180" s="93">
        <v>0</v>
      </c>
      <c r="I1180" s="23"/>
      <c r="J1180" s="23"/>
      <c r="K1180" s="23"/>
      <c r="L1180" s="23" t="s">
        <v>5317</v>
      </c>
      <c r="M1180" s="23"/>
    </row>
    <row r="1181" spans="2:13" ht="15" customHeight="1" x14ac:dyDescent="0.25">
      <c r="B1181" s="35" t="s">
        <v>5317</v>
      </c>
      <c r="C1181" s="23" t="s">
        <v>5395</v>
      </c>
      <c r="D1181" s="23" t="s">
        <v>3303</v>
      </c>
      <c r="E1181" s="23" t="s">
        <v>3367</v>
      </c>
      <c r="F1181" s="23" t="s">
        <v>3729</v>
      </c>
      <c r="G1181" s="93">
        <v>0</v>
      </c>
      <c r="H1181" s="93">
        <v>0</v>
      </c>
      <c r="I1181" s="23"/>
      <c r="J1181" s="23"/>
      <c r="K1181" s="23"/>
      <c r="L1181" s="23" t="s">
        <v>5281</v>
      </c>
      <c r="M1181" s="23"/>
    </row>
    <row r="1182" spans="2:13" ht="15" customHeight="1" x14ac:dyDescent="0.25">
      <c r="B1182" s="35" t="s">
        <v>5396</v>
      </c>
      <c r="C1182" s="23" t="s">
        <v>5397</v>
      </c>
      <c r="D1182" s="23" t="s">
        <v>3303</v>
      </c>
      <c r="E1182" s="23" t="s">
        <v>3304</v>
      </c>
      <c r="F1182" s="23" t="s">
        <v>3729</v>
      </c>
      <c r="G1182" s="93">
        <v>0</v>
      </c>
      <c r="H1182" s="93">
        <v>0</v>
      </c>
      <c r="I1182" s="23"/>
      <c r="J1182" s="23"/>
      <c r="K1182" s="23"/>
      <c r="L1182" s="23" t="s">
        <v>5398</v>
      </c>
      <c r="M1182" s="23"/>
    </row>
    <row r="1183" spans="2:13" ht="15" customHeight="1" x14ac:dyDescent="0.25">
      <c r="B1183" s="35" t="s">
        <v>5399</v>
      </c>
      <c r="C1183" s="23" t="s">
        <v>5400</v>
      </c>
      <c r="D1183" s="23" t="s">
        <v>3303</v>
      </c>
      <c r="E1183" s="23" t="s">
        <v>3317</v>
      </c>
      <c r="F1183" s="23" t="s">
        <v>3729</v>
      </c>
      <c r="G1183" s="93">
        <v>3</v>
      </c>
      <c r="H1183" s="93">
        <v>1</v>
      </c>
      <c r="I1183" s="23"/>
      <c r="J1183" s="23"/>
      <c r="K1183" s="23"/>
      <c r="L1183" s="23" t="s">
        <v>5398</v>
      </c>
      <c r="M1183" s="23"/>
    </row>
    <row r="1184" spans="2:13" ht="15" customHeight="1" x14ac:dyDescent="0.25">
      <c r="B1184" s="35" t="s">
        <v>5401</v>
      </c>
      <c r="C1184" s="23" t="s">
        <v>5402</v>
      </c>
      <c r="D1184" s="23" t="s">
        <v>3303</v>
      </c>
      <c r="E1184" s="23" t="s">
        <v>3317</v>
      </c>
      <c r="F1184" s="23" t="s">
        <v>3729</v>
      </c>
      <c r="G1184" s="93">
        <v>3</v>
      </c>
      <c r="H1184" s="93">
        <v>1</v>
      </c>
      <c r="I1184" s="23"/>
      <c r="J1184" s="23"/>
      <c r="K1184" s="23"/>
      <c r="L1184" s="23" t="s">
        <v>5398</v>
      </c>
      <c r="M1184" s="23" t="s">
        <v>4716</v>
      </c>
    </row>
    <row r="1185" spans="2:13" ht="15" customHeight="1" x14ac:dyDescent="0.25">
      <c r="B1185" s="35" t="s">
        <v>5403</v>
      </c>
      <c r="C1185" s="23" t="s">
        <v>5404</v>
      </c>
      <c r="D1185" s="23" t="s">
        <v>3303</v>
      </c>
      <c r="E1185" s="23" t="s">
        <v>3317</v>
      </c>
      <c r="F1185" s="23" t="s">
        <v>3729</v>
      </c>
      <c r="G1185" s="93">
        <v>3</v>
      </c>
      <c r="H1185" s="93">
        <v>1</v>
      </c>
      <c r="I1185" s="23"/>
      <c r="J1185" s="23"/>
      <c r="K1185" s="23"/>
      <c r="L1185" s="23" t="s">
        <v>5398</v>
      </c>
      <c r="M1185" s="23"/>
    </row>
    <row r="1186" spans="2:13" ht="15" customHeight="1" x14ac:dyDescent="0.25">
      <c r="B1186" s="35" t="s">
        <v>5405</v>
      </c>
      <c r="C1186" s="23" t="s">
        <v>5406</v>
      </c>
      <c r="D1186" s="23" t="s">
        <v>3303</v>
      </c>
      <c r="E1186" s="23" t="s">
        <v>3317</v>
      </c>
      <c r="F1186" s="23" t="s">
        <v>3729</v>
      </c>
      <c r="G1186" s="93">
        <v>0</v>
      </c>
      <c r="H1186" s="93">
        <v>1</v>
      </c>
      <c r="I1186" s="23"/>
      <c r="J1186" s="23"/>
      <c r="K1186" s="23"/>
      <c r="L1186" s="23" t="s">
        <v>5398</v>
      </c>
      <c r="M1186" s="23"/>
    </row>
    <row r="1187" spans="2:13" ht="15" customHeight="1" x14ac:dyDescent="0.25">
      <c r="B1187" s="35" t="s">
        <v>5407</v>
      </c>
      <c r="C1187" s="23" t="s">
        <v>5408</v>
      </c>
      <c r="D1187" s="23" t="s">
        <v>3303</v>
      </c>
      <c r="E1187" s="23" t="s">
        <v>3317</v>
      </c>
      <c r="F1187" s="23" t="s">
        <v>3729</v>
      </c>
      <c r="G1187" s="93">
        <v>3</v>
      </c>
      <c r="H1187" s="93">
        <v>1</v>
      </c>
      <c r="I1187" s="23"/>
      <c r="J1187" s="23"/>
      <c r="K1187" s="23"/>
      <c r="L1187" s="23" t="s">
        <v>5398</v>
      </c>
      <c r="M1187" s="23"/>
    </row>
    <row r="1188" spans="2:13" ht="15" customHeight="1" x14ac:dyDescent="0.25">
      <c r="B1188" s="35" t="s">
        <v>5409</v>
      </c>
      <c r="C1188" s="23" t="s">
        <v>5410</v>
      </c>
      <c r="D1188" s="23" t="s">
        <v>3303</v>
      </c>
      <c r="E1188" s="23" t="s">
        <v>3317</v>
      </c>
      <c r="F1188" s="23" t="s">
        <v>3729</v>
      </c>
      <c r="G1188" s="93">
        <v>3</v>
      </c>
      <c r="H1188" s="93">
        <v>1</v>
      </c>
      <c r="I1188" s="23"/>
      <c r="J1188" s="23"/>
      <c r="K1188" s="23"/>
      <c r="L1188" s="23" t="s">
        <v>5398</v>
      </c>
      <c r="M1188" s="23"/>
    </row>
    <row r="1189" spans="2:13" ht="15" customHeight="1" x14ac:dyDescent="0.25">
      <c r="B1189" s="35" t="s">
        <v>5411</v>
      </c>
      <c r="C1189" s="23" t="s">
        <v>5412</v>
      </c>
      <c r="D1189" s="23" t="s">
        <v>3303</v>
      </c>
      <c r="E1189" s="23" t="s">
        <v>3317</v>
      </c>
      <c r="F1189" s="23" t="s">
        <v>3729</v>
      </c>
      <c r="G1189" s="93">
        <v>3</v>
      </c>
      <c r="H1189" s="93">
        <v>1</v>
      </c>
      <c r="I1189" s="23"/>
      <c r="J1189" s="23"/>
      <c r="K1189" s="23"/>
      <c r="L1189" s="23" t="s">
        <v>5398</v>
      </c>
      <c r="M1189" s="23"/>
    </row>
    <row r="1190" spans="2:13" ht="15" customHeight="1" x14ac:dyDescent="0.25">
      <c r="B1190" s="35" t="s">
        <v>5413</v>
      </c>
      <c r="C1190" s="23" t="s">
        <v>5414</v>
      </c>
      <c r="D1190" s="23" t="s">
        <v>3303</v>
      </c>
      <c r="E1190" s="23" t="s">
        <v>3317</v>
      </c>
      <c r="F1190" s="23" t="s">
        <v>3729</v>
      </c>
      <c r="G1190" s="93">
        <v>3</v>
      </c>
      <c r="H1190" s="93">
        <v>1</v>
      </c>
      <c r="I1190" s="23"/>
      <c r="J1190" s="23"/>
      <c r="K1190" s="23"/>
      <c r="L1190" s="23" t="s">
        <v>5398</v>
      </c>
      <c r="M1190" s="23"/>
    </row>
    <row r="1191" spans="2:13" ht="15" customHeight="1" x14ac:dyDescent="0.25">
      <c r="B1191" s="35" t="s">
        <v>5415</v>
      </c>
      <c r="C1191" s="23" t="s">
        <v>5416</v>
      </c>
      <c r="D1191" s="23" t="s">
        <v>3303</v>
      </c>
      <c r="E1191" s="23" t="s">
        <v>3317</v>
      </c>
      <c r="F1191" s="23" t="s">
        <v>3729</v>
      </c>
      <c r="G1191" s="93">
        <v>3</v>
      </c>
      <c r="H1191" s="93">
        <v>1</v>
      </c>
      <c r="I1191" s="23"/>
      <c r="J1191" s="23"/>
      <c r="K1191" s="23"/>
      <c r="L1191" s="23" t="s">
        <v>5398</v>
      </c>
      <c r="M1191" s="23"/>
    </row>
    <row r="1192" spans="2:13" ht="15" customHeight="1" x14ac:dyDescent="0.25">
      <c r="B1192" s="35" t="s">
        <v>5398</v>
      </c>
      <c r="C1192" s="23" t="s">
        <v>5417</v>
      </c>
      <c r="D1192" s="23" t="s">
        <v>3303</v>
      </c>
      <c r="E1192" s="23" t="s">
        <v>3367</v>
      </c>
      <c r="F1192" s="23" t="s">
        <v>3729</v>
      </c>
      <c r="G1192" s="93">
        <v>0</v>
      </c>
      <c r="H1192" s="93">
        <v>0</v>
      </c>
      <c r="I1192" s="23"/>
      <c r="J1192" s="23"/>
      <c r="K1192" s="23"/>
      <c r="L1192" s="23" t="s">
        <v>5281</v>
      </c>
      <c r="M1192" s="23"/>
    </row>
    <row r="1193" spans="2:13" ht="15" customHeight="1" x14ac:dyDescent="0.25">
      <c r="B1193" s="35" t="s">
        <v>5418</v>
      </c>
      <c r="C1193" s="23" t="s">
        <v>5419</v>
      </c>
      <c r="D1193" s="23" t="s">
        <v>3303</v>
      </c>
      <c r="E1193" s="23" t="s">
        <v>3304</v>
      </c>
      <c r="F1193" s="23" t="s">
        <v>3729</v>
      </c>
      <c r="G1193" s="93">
        <v>0</v>
      </c>
      <c r="H1193" s="93">
        <v>0</v>
      </c>
      <c r="I1193" s="23"/>
      <c r="J1193" s="23"/>
      <c r="K1193" s="23"/>
      <c r="L1193" s="23" t="s">
        <v>5420</v>
      </c>
      <c r="M1193" s="23"/>
    </row>
    <row r="1194" spans="2:13" ht="15" customHeight="1" x14ac:dyDescent="0.25">
      <c r="B1194" s="35" t="s">
        <v>5421</v>
      </c>
      <c r="C1194" s="23" t="s">
        <v>5422</v>
      </c>
      <c r="D1194" s="23" t="s">
        <v>3303</v>
      </c>
      <c r="E1194" s="23" t="s">
        <v>3317</v>
      </c>
      <c r="F1194" s="23" t="s">
        <v>3729</v>
      </c>
      <c r="G1194" s="93">
        <v>3</v>
      </c>
      <c r="H1194" s="93">
        <v>1</v>
      </c>
      <c r="I1194" s="23"/>
      <c r="J1194" s="23"/>
      <c r="K1194" s="23"/>
      <c r="L1194" s="23" t="s">
        <v>5420</v>
      </c>
      <c r="M1194" s="23" t="s">
        <v>4716</v>
      </c>
    </row>
    <row r="1195" spans="2:13" ht="15" customHeight="1" x14ac:dyDescent="0.25">
      <c r="B1195" s="35" t="s">
        <v>5423</v>
      </c>
      <c r="C1195" s="23" t="s">
        <v>5424</v>
      </c>
      <c r="D1195" s="23" t="s">
        <v>3303</v>
      </c>
      <c r="E1195" s="23" t="s">
        <v>3317</v>
      </c>
      <c r="F1195" s="23" t="s">
        <v>3729</v>
      </c>
      <c r="G1195" s="93">
        <v>3</v>
      </c>
      <c r="H1195" s="93">
        <v>1</v>
      </c>
      <c r="I1195" s="23"/>
      <c r="J1195" s="23"/>
      <c r="K1195" s="23"/>
      <c r="L1195" s="23" t="s">
        <v>5420</v>
      </c>
      <c r="M1195" s="23" t="s">
        <v>4716</v>
      </c>
    </row>
    <row r="1196" spans="2:13" ht="15" customHeight="1" x14ac:dyDescent="0.25">
      <c r="B1196" s="35" t="s">
        <v>5425</v>
      </c>
      <c r="C1196" s="23" t="s">
        <v>5426</v>
      </c>
      <c r="D1196" s="23" t="s">
        <v>3303</v>
      </c>
      <c r="E1196" s="23" t="s">
        <v>3317</v>
      </c>
      <c r="F1196" s="23" t="s">
        <v>3729</v>
      </c>
      <c r="G1196" s="93">
        <v>3</v>
      </c>
      <c r="H1196" s="93">
        <v>1</v>
      </c>
      <c r="I1196" s="23"/>
      <c r="J1196" s="23"/>
      <c r="K1196" s="23"/>
      <c r="L1196" s="23" t="s">
        <v>5420</v>
      </c>
      <c r="M1196" s="23" t="s">
        <v>4716</v>
      </c>
    </row>
    <row r="1197" spans="2:13" ht="15" customHeight="1" x14ac:dyDescent="0.25">
      <c r="B1197" s="35" t="s">
        <v>5427</v>
      </c>
      <c r="C1197" s="23" t="s">
        <v>5428</v>
      </c>
      <c r="D1197" s="23" t="s">
        <v>3303</v>
      </c>
      <c r="E1197" s="23" t="s">
        <v>3317</v>
      </c>
      <c r="F1197" s="23" t="s">
        <v>3729</v>
      </c>
      <c r="G1197" s="93">
        <v>3</v>
      </c>
      <c r="H1197" s="93">
        <v>1</v>
      </c>
      <c r="I1197" s="23"/>
      <c r="J1197" s="23"/>
      <c r="K1197" s="23"/>
      <c r="L1197" s="23" t="s">
        <v>5420</v>
      </c>
      <c r="M1197" s="23" t="s">
        <v>4716</v>
      </c>
    </row>
    <row r="1198" spans="2:13" ht="15" customHeight="1" x14ac:dyDescent="0.25">
      <c r="B1198" s="35" t="s">
        <v>5429</v>
      </c>
      <c r="C1198" s="23" t="s">
        <v>5430</v>
      </c>
      <c r="D1198" s="23" t="s">
        <v>3303</v>
      </c>
      <c r="E1198" s="23" t="s">
        <v>3317</v>
      </c>
      <c r="F1198" s="23" t="s">
        <v>3729</v>
      </c>
      <c r="G1198" s="93">
        <v>3</v>
      </c>
      <c r="H1198" s="93">
        <v>1</v>
      </c>
      <c r="I1198" s="23"/>
      <c r="J1198" s="23"/>
      <c r="K1198" s="23"/>
      <c r="L1198" s="23" t="s">
        <v>5420</v>
      </c>
      <c r="M1198" s="23" t="s">
        <v>4716</v>
      </c>
    </row>
    <row r="1199" spans="2:13" ht="15" customHeight="1" x14ac:dyDescent="0.25">
      <c r="B1199" s="35" t="s">
        <v>5431</v>
      </c>
      <c r="C1199" s="23" t="s">
        <v>5432</v>
      </c>
      <c r="D1199" s="23" t="s">
        <v>3303</v>
      </c>
      <c r="E1199" s="23" t="s">
        <v>3317</v>
      </c>
      <c r="F1199" s="23" t="s">
        <v>3729</v>
      </c>
      <c r="G1199" s="93">
        <v>3</v>
      </c>
      <c r="H1199" s="93">
        <v>1</v>
      </c>
      <c r="I1199" s="23"/>
      <c r="J1199" s="23"/>
      <c r="K1199" s="23"/>
      <c r="L1199" s="23" t="s">
        <v>5420</v>
      </c>
      <c r="M1199" s="23"/>
    </row>
    <row r="1200" spans="2:13" ht="15" customHeight="1" x14ac:dyDescent="0.25">
      <c r="B1200" s="35" t="s">
        <v>5433</v>
      </c>
      <c r="C1200" s="23" t="s">
        <v>5434</v>
      </c>
      <c r="D1200" s="23" t="s">
        <v>3303</v>
      </c>
      <c r="E1200" s="23" t="s">
        <v>3317</v>
      </c>
      <c r="F1200" s="23" t="s">
        <v>3729</v>
      </c>
      <c r="G1200" s="93">
        <v>3</v>
      </c>
      <c r="H1200" s="93">
        <v>1</v>
      </c>
      <c r="I1200" s="23"/>
      <c r="J1200" s="23"/>
      <c r="K1200" s="23"/>
      <c r="L1200" s="23" t="s">
        <v>5420</v>
      </c>
      <c r="M1200" s="23" t="s">
        <v>4716</v>
      </c>
    </row>
    <row r="1201" spans="2:13" ht="15" customHeight="1" x14ac:dyDescent="0.25">
      <c r="B1201" s="35" t="s">
        <v>5435</v>
      </c>
      <c r="C1201" s="23" t="s">
        <v>5436</v>
      </c>
      <c r="D1201" s="23" t="s">
        <v>3303</v>
      </c>
      <c r="E1201" s="23" t="s">
        <v>3317</v>
      </c>
      <c r="F1201" s="23" t="s">
        <v>3729</v>
      </c>
      <c r="G1201" s="93">
        <v>3</v>
      </c>
      <c r="H1201" s="93">
        <v>1</v>
      </c>
      <c r="I1201" s="23"/>
      <c r="J1201" s="23"/>
      <c r="K1201" s="23"/>
      <c r="L1201" s="23" t="s">
        <v>5420</v>
      </c>
      <c r="M1201" s="23" t="s">
        <v>4716</v>
      </c>
    </row>
    <row r="1202" spans="2:13" ht="15" customHeight="1" x14ac:dyDescent="0.25">
      <c r="B1202" s="35" t="s">
        <v>5437</v>
      </c>
      <c r="C1202" s="23" t="s">
        <v>5438</v>
      </c>
      <c r="D1202" s="23" t="s">
        <v>3303</v>
      </c>
      <c r="E1202" s="23" t="s">
        <v>3317</v>
      </c>
      <c r="F1202" s="23" t="s">
        <v>3729</v>
      </c>
      <c r="G1202" s="93">
        <v>3</v>
      </c>
      <c r="H1202" s="93">
        <v>1</v>
      </c>
      <c r="I1202" s="23"/>
      <c r="J1202" s="23"/>
      <c r="K1202" s="23"/>
      <c r="L1202" s="23" t="s">
        <v>5420</v>
      </c>
      <c r="M1202" s="23" t="s">
        <v>4716</v>
      </c>
    </row>
    <row r="1203" spans="2:13" ht="15" customHeight="1" x14ac:dyDescent="0.25">
      <c r="B1203" s="35" t="s">
        <v>5439</v>
      </c>
      <c r="C1203" s="23" t="s">
        <v>5440</v>
      </c>
      <c r="D1203" s="23" t="s">
        <v>3303</v>
      </c>
      <c r="E1203" s="23" t="s">
        <v>3317</v>
      </c>
      <c r="F1203" s="23" t="s">
        <v>3729</v>
      </c>
      <c r="G1203" s="93">
        <v>3</v>
      </c>
      <c r="H1203" s="93">
        <v>1</v>
      </c>
      <c r="I1203" s="23"/>
      <c r="J1203" s="23"/>
      <c r="K1203" s="23"/>
      <c r="L1203" s="23" t="s">
        <v>5420</v>
      </c>
      <c r="M1203" s="23" t="s">
        <v>4716</v>
      </c>
    </row>
    <row r="1204" spans="2:13" ht="15" customHeight="1" x14ac:dyDescent="0.25">
      <c r="B1204" s="35" t="s">
        <v>5441</v>
      </c>
      <c r="C1204" s="23" t="s">
        <v>5442</v>
      </c>
      <c r="D1204" s="23" t="s">
        <v>3303</v>
      </c>
      <c r="E1204" s="23" t="s">
        <v>3317</v>
      </c>
      <c r="F1204" s="23" t="s">
        <v>3729</v>
      </c>
      <c r="G1204" s="93">
        <v>3</v>
      </c>
      <c r="H1204" s="93">
        <v>1</v>
      </c>
      <c r="I1204" s="23"/>
      <c r="J1204" s="23"/>
      <c r="K1204" s="23"/>
      <c r="L1204" s="23" t="s">
        <v>5420</v>
      </c>
      <c r="M1204" s="23" t="s">
        <v>4716</v>
      </c>
    </row>
    <row r="1205" spans="2:13" ht="15" customHeight="1" x14ac:dyDescent="0.25">
      <c r="B1205" s="35" t="s">
        <v>5443</v>
      </c>
      <c r="C1205" s="23" t="s">
        <v>5444</v>
      </c>
      <c r="D1205" s="23" t="s">
        <v>3303</v>
      </c>
      <c r="E1205" s="23" t="s">
        <v>3317</v>
      </c>
      <c r="F1205" s="23" t="s">
        <v>3729</v>
      </c>
      <c r="G1205" s="93">
        <v>3</v>
      </c>
      <c r="H1205" s="93">
        <v>1</v>
      </c>
      <c r="I1205" s="23"/>
      <c r="J1205" s="23"/>
      <c r="K1205" s="23"/>
      <c r="L1205" s="23" t="s">
        <v>5420</v>
      </c>
      <c r="M1205" s="23" t="s">
        <v>4716</v>
      </c>
    </row>
    <row r="1206" spans="2:13" ht="15" customHeight="1" x14ac:dyDescent="0.25">
      <c r="B1206" s="35" t="s">
        <v>5445</v>
      </c>
      <c r="C1206" s="23" t="s">
        <v>5446</v>
      </c>
      <c r="D1206" s="23" t="s">
        <v>3303</v>
      </c>
      <c r="E1206" s="23" t="s">
        <v>3317</v>
      </c>
      <c r="F1206" s="23" t="s">
        <v>3729</v>
      </c>
      <c r="G1206" s="93">
        <v>3</v>
      </c>
      <c r="H1206" s="93">
        <v>1</v>
      </c>
      <c r="I1206" s="23"/>
      <c r="J1206" s="23"/>
      <c r="K1206" s="23"/>
      <c r="L1206" s="23" t="s">
        <v>5420</v>
      </c>
      <c r="M1206" s="23" t="s">
        <v>4716</v>
      </c>
    </row>
    <row r="1207" spans="2:13" ht="15" customHeight="1" x14ac:dyDescent="0.25">
      <c r="B1207" s="35" t="s">
        <v>5447</v>
      </c>
      <c r="C1207" s="23" t="s">
        <v>5448</v>
      </c>
      <c r="D1207" s="23" t="s">
        <v>3303</v>
      </c>
      <c r="E1207" s="23" t="s">
        <v>3317</v>
      </c>
      <c r="F1207" s="23" t="s">
        <v>3729</v>
      </c>
      <c r="G1207" s="93">
        <v>3</v>
      </c>
      <c r="H1207" s="93">
        <v>1</v>
      </c>
      <c r="I1207" s="23"/>
      <c r="J1207" s="23"/>
      <c r="K1207" s="23"/>
      <c r="L1207" s="23" t="s">
        <v>5420</v>
      </c>
      <c r="M1207" s="23" t="s">
        <v>4716</v>
      </c>
    </row>
    <row r="1208" spans="2:13" ht="15" customHeight="1" x14ac:dyDescent="0.25">
      <c r="B1208" s="35" t="s">
        <v>5449</v>
      </c>
      <c r="C1208" s="23" t="s">
        <v>5450</v>
      </c>
      <c r="D1208" s="23" t="s">
        <v>3303</v>
      </c>
      <c r="E1208" s="23" t="s">
        <v>3317</v>
      </c>
      <c r="F1208" s="23" t="s">
        <v>3729</v>
      </c>
      <c r="G1208" s="93">
        <v>3</v>
      </c>
      <c r="H1208" s="93">
        <v>1</v>
      </c>
      <c r="I1208" s="23"/>
      <c r="J1208" s="23"/>
      <c r="K1208" s="23"/>
      <c r="L1208" s="23" t="s">
        <v>5420</v>
      </c>
      <c r="M1208" s="23" t="s">
        <v>4716</v>
      </c>
    </row>
    <row r="1209" spans="2:13" ht="15" customHeight="1" x14ac:dyDescent="0.25">
      <c r="B1209" s="35" t="s">
        <v>5451</v>
      </c>
      <c r="C1209" s="23" t="s">
        <v>5452</v>
      </c>
      <c r="D1209" s="23" t="s">
        <v>3303</v>
      </c>
      <c r="E1209" s="23" t="s">
        <v>3317</v>
      </c>
      <c r="F1209" s="23" t="s">
        <v>3729</v>
      </c>
      <c r="G1209" s="93">
        <v>3</v>
      </c>
      <c r="H1209" s="93">
        <v>1</v>
      </c>
      <c r="I1209" s="23"/>
      <c r="J1209" s="23"/>
      <c r="K1209" s="23"/>
      <c r="L1209" s="23" t="s">
        <v>5420</v>
      </c>
      <c r="M1209" s="23" t="s">
        <v>4716</v>
      </c>
    </row>
    <row r="1210" spans="2:13" ht="15" customHeight="1" x14ac:dyDescent="0.25">
      <c r="B1210" s="35" t="s">
        <v>5453</v>
      </c>
      <c r="C1210" s="23" t="s">
        <v>5454</v>
      </c>
      <c r="D1210" s="23" t="s">
        <v>3303</v>
      </c>
      <c r="E1210" s="23" t="s">
        <v>3317</v>
      </c>
      <c r="F1210" s="23" t="s">
        <v>3729</v>
      </c>
      <c r="G1210" s="93">
        <v>3</v>
      </c>
      <c r="H1210" s="93">
        <v>1</v>
      </c>
      <c r="I1210" s="23"/>
      <c r="J1210" s="23"/>
      <c r="K1210" s="23"/>
      <c r="L1210" s="23" t="s">
        <v>5420</v>
      </c>
      <c r="M1210" s="23" t="s">
        <v>4716</v>
      </c>
    </row>
    <row r="1211" spans="2:13" ht="15" customHeight="1" x14ac:dyDescent="0.25">
      <c r="B1211" s="35" t="s">
        <v>5455</v>
      </c>
      <c r="C1211" s="23" t="s">
        <v>5456</v>
      </c>
      <c r="D1211" s="23" t="s">
        <v>3303</v>
      </c>
      <c r="E1211" s="23" t="s">
        <v>3317</v>
      </c>
      <c r="F1211" s="23" t="s">
        <v>3729</v>
      </c>
      <c r="G1211" s="93">
        <v>3</v>
      </c>
      <c r="H1211" s="93">
        <v>1</v>
      </c>
      <c r="I1211" s="23"/>
      <c r="J1211" s="23"/>
      <c r="K1211" s="23"/>
      <c r="L1211" s="23" t="s">
        <v>5420</v>
      </c>
      <c r="M1211" s="23" t="s">
        <v>4716</v>
      </c>
    </row>
    <row r="1212" spans="2:13" ht="15" customHeight="1" x14ac:dyDescent="0.25">
      <c r="B1212" s="35" t="s">
        <v>5457</v>
      </c>
      <c r="C1212" s="23" t="s">
        <v>5458</v>
      </c>
      <c r="D1212" s="23" t="s">
        <v>3303</v>
      </c>
      <c r="E1212" s="23" t="s">
        <v>3317</v>
      </c>
      <c r="F1212" s="23" t="s">
        <v>3729</v>
      </c>
      <c r="G1212" s="93">
        <v>3</v>
      </c>
      <c r="H1212" s="93">
        <v>1</v>
      </c>
      <c r="I1212" s="23"/>
      <c r="J1212" s="23"/>
      <c r="K1212" s="23"/>
      <c r="L1212" s="23" t="s">
        <v>5420</v>
      </c>
      <c r="M1212" s="23" t="s">
        <v>4716</v>
      </c>
    </row>
    <row r="1213" spans="2:13" ht="15" customHeight="1" x14ac:dyDescent="0.25">
      <c r="B1213" s="35" t="s">
        <v>5459</v>
      </c>
      <c r="C1213" s="23" t="s">
        <v>5460</v>
      </c>
      <c r="D1213" s="23" t="s">
        <v>3303</v>
      </c>
      <c r="E1213" s="23" t="s">
        <v>3317</v>
      </c>
      <c r="F1213" s="23" t="s">
        <v>3729</v>
      </c>
      <c r="G1213" s="93">
        <v>3</v>
      </c>
      <c r="H1213" s="93">
        <v>1</v>
      </c>
      <c r="I1213" s="23"/>
      <c r="J1213" s="23"/>
      <c r="K1213" s="23"/>
      <c r="L1213" s="23" t="s">
        <v>5420</v>
      </c>
      <c r="M1213" s="23"/>
    </row>
    <row r="1214" spans="2:13" ht="15" customHeight="1" x14ac:dyDescent="0.25">
      <c r="B1214" s="35" t="s">
        <v>5461</v>
      </c>
      <c r="C1214" s="23" t="s">
        <v>5462</v>
      </c>
      <c r="D1214" s="23" t="s">
        <v>3303</v>
      </c>
      <c r="E1214" s="23" t="s">
        <v>3317</v>
      </c>
      <c r="F1214" s="23" t="s">
        <v>3729</v>
      </c>
      <c r="G1214" s="93">
        <v>3</v>
      </c>
      <c r="H1214" s="93">
        <v>1</v>
      </c>
      <c r="I1214" s="23"/>
      <c r="J1214" s="23"/>
      <c r="K1214" s="23"/>
      <c r="L1214" s="23" t="s">
        <v>5420</v>
      </c>
      <c r="M1214" s="23"/>
    </row>
    <row r="1215" spans="2:13" ht="15" customHeight="1" x14ac:dyDescent="0.25">
      <c r="B1215" s="35" t="s">
        <v>5463</v>
      </c>
      <c r="C1215" s="23" t="s">
        <v>5464</v>
      </c>
      <c r="D1215" s="23" t="s">
        <v>3303</v>
      </c>
      <c r="E1215" s="23" t="s">
        <v>3317</v>
      </c>
      <c r="F1215" s="23" t="s">
        <v>3729</v>
      </c>
      <c r="G1215" s="93">
        <v>3</v>
      </c>
      <c r="H1215" s="93">
        <v>1</v>
      </c>
      <c r="I1215" s="23"/>
      <c r="J1215" s="23"/>
      <c r="K1215" s="23"/>
      <c r="L1215" s="23" t="s">
        <v>5420</v>
      </c>
      <c r="M1215" s="23" t="s">
        <v>4716</v>
      </c>
    </row>
    <row r="1216" spans="2:13" ht="15" customHeight="1" x14ac:dyDescent="0.25">
      <c r="B1216" s="35" t="s">
        <v>5465</v>
      </c>
      <c r="C1216" s="23" t="s">
        <v>5466</v>
      </c>
      <c r="D1216" s="23" t="s">
        <v>3303</v>
      </c>
      <c r="E1216" s="23" t="s">
        <v>3317</v>
      </c>
      <c r="F1216" s="23" t="s">
        <v>3729</v>
      </c>
      <c r="G1216" s="93">
        <v>3</v>
      </c>
      <c r="H1216" s="93">
        <v>1</v>
      </c>
      <c r="I1216" s="23"/>
      <c r="J1216" s="23"/>
      <c r="K1216" s="23"/>
      <c r="L1216" s="23" t="s">
        <v>5420</v>
      </c>
      <c r="M1216" s="23" t="s">
        <v>4716</v>
      </c>
    </row>
    <row r="1217" spans="2:13" ht="15" customHeight="1" x14ac:dyDescent="0.25">
      <c r="B1217" s="35" t="s">
        <v>5467</v>
      </c>
      <c r="C1217" s="23" t="s">
        <v>5468</v>
      </c>
      <c r="D1217" s="23" t="s">
        <v>3303</v>
      </c>
      <c r="E1217" s="23" t="s">
        <v>3317</v>
      </c>
      <c r="F1217" s="23" t="s">
        <v>3729</v>
      </c>
      <c r="G1217" s="93">
        <v>3</v>
      </c>
      <c r="H1217" s="93">
        <v>1</v>
      </c>
      <c r="I1217" s="23"/>
      <c r="J1217" s="23"/>
      <c r="K1217" s="23"/>
      <c r="L1217" s="23" t="s">
        <v>5420</v>
      </c>
      <c r="M1217" s="23" t="s">
        <v>4716</v>
      </c>
    </row>
    <row r="1218" spans="2:13" ht="15" customHeight="1" x14ac:dyDescent="0.25">
      <c r="B1218" s="35" t="s">
        <v>5469</v>
      </c>
      <c r="C1218" s="23" t="s">
        <v>5470</v>
      </c>
      <c r="D1218" s="23" t="s">
        <v>3303</v>
      </c>
      <c r="E1218" s="23" t="s">
        <v>3317</v>
      </c>
      <c r="F1218" s="23" t="s">
        <v>3729</v>
      </c>
      <c r="G1218" s="93">
        <v>3</v>
      </c>
      <c r="H1218" s="93">
        <v>0</v>
      </c>
      <c r="I1218" s="23"/>
      <c r="J1218" s="23"/>
      <c r="K1218" s="23"/>
      <c r="L1218" s="23" t="s">
        <v>5420</v>
      </c>
      <c r="M1218" s="23"/>
    </row>
    <row r="1219" spans="2:13" ht="15" customHeight="1" x14ac:dyDescent="0.25">
      <c r="B1219" s="35" t="s">
        <v>5471</v>
      </c>
      <c r="C1219" s="23" t="s">
        <v>5472</v>
      </c>
      <c r="D1219" s="23" t="s">
        <v>3303</v>
      </c>
      <c r="E1219" s="23" t="s">
        <v>3317</v>
      </c>
      <c r="F1219" s="23" t="s">
        <v>3729</v>
      </c>
      <c r="G1219" s="93">
        <v>3</v>
      </c>
      <c r="H1219" s="93">
        <v>0</v>
      </c>
      <c r="I1219" s="23"/>
      <c r="J1219" s="23"/>
      <c r="K1219" s="23"/>
      <c r="L1219" s="23" t="s">
        <v>5420</v>
      </c>
      <c r="M1219" s="23"/>
    </row>
    <row r="1220" spans="2:13" ht="15" customHeight="1" x14ac:dyDescent="0.25">
      <c r="B1220" s="35" t="s">
        <v>5473</v>
      </c>
      <c r="C1220" s="23" t="s">
        <v>5474</v>
      </c>
      <c r="D1220" s="23" t="s">
        <v>3303</v>
      </c>
      <c r="E1220" s="23" t="s">
        <v>3317</v>
      </c>
      <c r="F1220" s="23" t="s">
        <v>3729</v>
      </c>
      <c r="G1220" s="93">
        <v>3</v>
      </c>
      <c r="H1220" s="93">
        <v>1</v>
      </c>
      <c r="I1220" s="23"/>
      <c r="J1220" s="23"/>
      <c r="K1220" s="23"/>
      <c r="L1220" s="23" t="s">
        <v>5420</v>
      </c>
      <c r="M1220" s="23" t="s">
        <v>3694</v>
      </c>
    </row>
    <row r="1221" spans="2:13" ht="15" customHeight="1" x14ac:dyDescent="0.25">
      <c r="B1221" s="35" t="s">
        <v>5475</v>
      </c>
      <c r="C1221" s="23" t="s">
        <v>5476</v>
      </c>
      <c r="D1221" s="23" t="s">
        <v>3303</v>
      </c>
      <c r="E1221" s="23" t="s">
        <v>3317</v>
      </c>
      <c r="F1221" s="23" t="s">
        <v>3729</v>
      </c>
      <c r="G1221" s="93">
        <v>3</v>
      </c>
      <c r="H1221" s="93">
        <v>0</v>
      </c>
      <c r="I1221" s="23"/>
      <c r="J1221" s="23"/>
      <c r="K1221" s="23"/>
      <c r="L1221" s="23" t="s">
        <v>5420</v>
      </c>
      <c r="M1221" s="23"/>
    </row>
    <row r="1222" spans="2:13" ht="15" customHeight="1" x14ac:dyDescent="0.25">
      <c r="B1222" s="35" t="s">
        <v>5420</v>
      </c>
      <c r="C1222" s="23" t="s">
        <v>5477</v>
      </c>
      <c r="D1222" s="23" t="s">
        <v>3303</v>
      </c>
      <c r="E1222" s="23" t="s">
        <v>3367</v>
      </c>
      <c r="F1222" s="23" t="s">
        <v>3729</v>
      </c>
      <c r="G1222" s="93">
        <v>0</v>
      </c>
      <c r="H1222" s="93">
        <v>0</v>
      </c>
      <c r="I1222" s="23"/>
      <c r="J1222" s="23"/>
      <c r="K1222" s="23"/>
      <c r="L1222" s="23" t="s">
        <v>5281</v>
      </c>
      <c r="M1222" s="23"/>
    </row>
    <row r="1223" spans="2:13" ht="15" customHeight="1" x14ac:dyDescent="0.25">
      <c r="B1223" s="35" t="s">
        <v>5478</v>
      </c>
      <c r="C1223" s="23" t="s">
        <v>5479</v>
      </c>
      <c r="D1223" s="23" t="s">
        <v>3303</v>
      </c>
      <c r="E1223" s="23" t="s">
        <v>3304</v>
      </c>
      <c r="F1223" s="23" t="s">
        <v>3729</v>
      </c>
      <c r="G1223" s="93">
        <v>0</v>
      </c>
      <c r="H1223" s="93">
        <v>0</v>
      </c>
      <c r="I1223" s="23"/>
      <c r="J1223" s="23"/>
      <c r="K1223" s="23"/>
      <c r="L1223" s="23" t="s">
        <v>5480</v>
      </c>
      <c r="M1223" s="23"/>
    </row>
    <row r="1224" spans="2:13" ht="15" customHeight="1" x14ac:dyDescent="0.25">
      <c r="B1224" s="35" t="s">
        <v>5481</v>
      </c>
      <c r="C1224" s="23" t="s">
        <v>3980</v>
      </c>
      <c r="D1224" s="23" t="s">
        <v>3303</v>
      </c>
      <c r="E1224" s="23" t="s">
        <v>3304</v>
      </c>
      <c r="F1224" s="23" t="s">
        <v>3729</v>
      </c>
      <c r="G1224" s="93">
        <v>0</v>
      </c>
      <c r="H1224" s="93">
        <v>1</v>
      </c>
      <c r="I1224" s="23"/>
      <c r="J1224" s="23"/>
      <c r="K1224" s="23"/>
      <c r="L1224" s="23" t="s">
        <v>5482</v>
      </c>
      <c r="M1224" s="23"/>
    </row>
    <row r="1225" spans="2:13" ht="15" customHeight="1" x14ac:dyDescent="0.25">
      <c r="B1225" s="35" t="s">
        <v>5483</v>
      </c>
      <c r="C1225" s="23" t="s">
        <v>5484</v>
      </c>
      <c r="D1225" s="23" t="s">
        <v>3303</v>
      </c>
      <c r="E1225" s="23" t="s">
        <v>3317</v>
      </c>
      <c r="F1225" s="23" t="s">
        <v>3729</v>
      </c>
      <c r="G1225" s="93">
        <v>3</v>
      </c>
      <c r="H1225" s="93">
        <v>1</v>
      </c>
      <c r="I1225" s="23"/>
      <c r="J1225" s="23"/>
      <c r="K1225" s="23"/>
      <c r="L1225" s="23" t="s">
        <v>5482</v>
      </c>
      <c r="M1225" s="23"/>
    </row>
    <row r="1226" spans="2:13" ht="15" customHeight="1" x14ac:dyDescent="0.25">
      <c r="B1226" s="35" t="s">
        <v>5485</v>
      </c>
      <c r="C1226" s="23" t="s">
        <v>5486</v>
      </c>
      <c r="D1226" s="23" t="s">
        <v>3303</v>
      </c>
      <c r="E1226" s="23" t="s">
        <v>3317</v>
      </c>
      <c r="F1226" s="23" t="s">
        <v>3729</v>
      </c>
      <c r="G1226" s="93">
        <v>0</v>
      </c>
      <c r="H1226" s="93">
        <v>1</v>
      </c>
      <c r="I1226" s="23"/>
      <c r="J1226" s="23"/>
      <c r="K1226" s="23"/>
      <c r="L1226" s="23" t="s">
        <v>5482</v>
      </c>
      <c r="M1226" s="23"/>
    </row>
    <row r="1227" spans="2:13" ht="15" customHeight="1" x14ac:dyDescent="0.25">
      <c r="B1227" s="35" t="s">
        <v>5487</v>
      </c>
      <c r="C1227" s="23" t="s">
        <v>5488</v>
      </c>
      <c r="D1227" s="23" t="s">
        <v>3303</v>
      </c>
      <c r="E1227" s="23" t="s">
        <v>3317</v>
      </c>
      <c r="F1227" s="23" t="s">
        <v>3729</v>
      </c>
      <c r="G1227" s="93">
        <v>0</v>
      </c>
      <c r="H1227" s="93">
        <v>1</v>
      </c>
      <c r="I1227" s="23"/>
      <c r="J1227" s="23"/>
      <c r="K1227" s="23"/>
      <c r="L1227" s="23" t="s">
        <v>5482</v>
      </c>
      <c r="M1227" s="23" t="s">
        <v>4716</v>
      </c>
    </row>
    <row r="1228" spans="2:13" ht="15" customHeight="1" x14ac:dyDescent="0.25">
      <c r="B1228" s="35" t="s">
        <v>5489</v>
      </c>
      <c r="C1228" s="23" t="s">
        <v>5490</v>
      </c>
      <c r="D1228" s="23" t="s">
        <v>3303</v>
      </c>
      <c r="E1228" s="23" t="s">
        <v>3317</v>
      </c>
      <c r="F1228" s="23" t="s">
        <v>3729</v>
      </c>
      <c r="G1228" s="93">
        <v>0</v>
      </c>
      <c r="H1228" s="93">
        <v>1</v>
      </c>
      <c r="I1228" s="23"/>
      <c r="J1228" s="23"/>
      <c r="K1228" s="23"/>
      <c r="L1228" s="23" t="s">
        <v>5482</v>
      </c>
      <c r="M1228" s="23"/>
    </row>
    <row r="1229" spans="2:13" ht="15" customHeight="1" x14ac:dyDescent="0.25">
      <c r="B1229" s="35" t="s">
        <v>5491</v>
      </c>
      <c r="C1229" s="23" t="s">
        <v>5492</v>
      </c>
      <c r="D1229" s="23" t="s">
        <v>3303</v>
      </c>
      <c r="E1229" s="23" t="s">
        <v>3317</v>
      </c>
      <c r="F1229" s="23" t="s">
        <v>3729</v>
      </c>
      <c r="G1229" s="93">
        <v>3</v>
      </c>
      <c r="H1229" s="93">
        <v>1</v>
      </c>
      <c r="I1229" s="23"/>
      <c r="J1229" s="23"/>
      <c r="K1229" s="23"/>
      <c r="L1229" s="23" t="s">
        <v>5482</v>
      </c>
      <c r="M1229" s="23" t="s">
        <v>4716</v>
      </c>
    </row>
    <row r="1230" spans="2:13" ht="15" customHeight="1" x14ac:dyDescent="0.25">
      <c r="B1230" s="35" t="s">
        <v>5493</v>
      </c>
      <c r="C1230" s="23" t="s">
        <v>5494</v>
      </c>
      <c r="D1230" s="23" t="s">
        <v>3303</v>
      </c>
      <c r="E1230" s="23" t="s">
        <v>3317</v>
      </c>
      <c r="F1230" s="23" t="s">
        <v>3729</v>
      </c>
      <c r="G1230" s="93">
        <v>0</v>
      </c>
      <c r="H1230" s="93">
        <v>1</v>
      </c>
      <c r="I1230" s="23"/>
      <c r="J1230" s="23"/>
      <c r="K1230" s="23"/>
      <c r="L1230" s="23" t="s">
        <v>5482</v>
      </c>
      <c r="M1230" s="23"/>
    </row>
    <row r="1231" spans="2:13" ht="15" customHeight="1" x14ac:dyDescent="0.25">
      <c r="B1231" s="35" t="s">
        <v>5495</v>
      </c>
      <c r="C1231" s="23" t="s">
        <v>5496</v>
      </c>
      <c r="D1231" s="23" t="s">
        <v>3303</v>
      </c>
      <c r="E1231" s="23" t="s">
        <v>3317</v>
      </c>
      <c r="F1231" s="23" t="s">
        <v>3729</v>
      </c>
      <c r="G1231" s="93">
        <v>3</v>
      </c>
      <c r="H1231" s="93">
        <v>1</v>
      </c>
      <c r="I1231" s="23"/>
      <c r="J1231" s="23"/>
      <c r="K1231" s="23"/>
      <c r="L1231" s="23" t="s">
        <v>5482</v>
      </c>
      <c r="M1231" s="23"/>
    </row>
    <row r="1232" spans="2:13" ht="15" customHeight="1" x14ac:dyDescent="0.25">
      <c r="B1232" s="35" t="s">
        <v>5497</v>
      </c>
      <c r="C1232" s="23" t="s">
        <v>5498</v>
      </c>
      <c r="D1232" s="23" t="s">
        <v>3303</v>
      </c>
      <c r="E1232" s="23" t="s">
        <v>3317</v>
      </c>
      <c r="F1232" s="23" t="s">
        <v>3729</v>
      </c>
      <c r="G1232" s="93">
        <v>3</v>
      </c>
      <c r="H1232" s="93">
        <v>1</v>
      </c>
      <c r="I1232" s="23"/>
      <c r="J1232" s="23"/>
      <c r="K1232" s="23"/>
      <c r="L1232" s="23" t="s">
        <v>5482</v>
      </c>
      <c r="M1232" s="23"/>
    </row>
    <row r="1233" spans="2:13" ht="15" customHeight="1" x14ac:dyDescent="0.25">
      <c r="B1233" s="35" t="s">
        <v>5499</v>
      </c>
      <c r="C1233" s="23" t="s">
        <v>5500</v>
      </c>
      <c r="D1233" s="23" t="s">
        <v>3303</v>
      </c>
      <c r="E1233" s="23" t="s">
        <v>3317</v>
      </c>
      <c r="F1233" s="23" t="s">
        <v>3729</v>
      </c>
      <c r="G1233" s="93">
        <v>3</v>
      </c>
      <c r="H1233" s="93">
        <v>1</v>
      </c>
      <c r="I1233" s="23"/>
      <c r="J1233" s="23"/>
      <c r="K1233" s="23"/>
      <c r="L1233" s="23" t="s">
        <v>5482</v>
      </c>
      <c r="M1233" s="23"/>
    </row>
    <row r="1234" spans="2:13" ht="15" customHeight="1" x14ac:dyDescent="0.25">
      <c r="B1234" s="35" t="s">
        <v>5501</v>
      </c>
      <c r="C1234" s="23" t="s">
        <v>5502</v>
      </c>
      <c r="D1234" s="23" t="s">
        <v>3303</v>
      </c>
      <c r="E1234" s="23" t="s">
        <v>3317</v>
      </c>
      <c r="F1234" s="23" t="s">
        <v>3729</v>
      </c>
      <c r="G1234" s="93">
        <v>3</v>
      </c>
      <c r="H1234" s="93">
        <v>1</v>
      </c>
      <c r="I1234" s="23"/>
      <c r="J1234" s="23"/>
      <c r="K1234" s="23"/>
      <c r="L1234" s="23" t="s">
        <v>5482</v>
      </c>
      <c r="M1234" s="23"/>
    </row>
    <row r="1235" spans="2:13" ht="15" customHeight="1" x14ac:dyDescent="0.25">
      <c r="B1235" s="35" t="s">
        <v>5503</v>
      </c>
      <c r="C1235" s="23" t="s">
        <v>4013</v>
      </c>
      <c r="D1235" s="23" t="s">
        <v>3303</v>
      </c>
      <c r="E1235" s="23" t="s">
        <v>3317</v>
      </c>
      <c r="F1235" s="23" t="s">
        <v>3729</v>
      </c>
      <c r="G1235" s="93">
        <v>3</v>
      </c>
      <c r="H1235" s="93">
        <v>1</v>
      </c>
      <c r="I1235" s="23"/>
      <c r="J1235" s="23"/>
      <c r="K1235" s="23"/>
      <c r="L1235" s="23" t="s">
        <v>5482</v>
      </c>
      <c r="M1235" s="23"/>
    </row>
    <row r="1236" spans="2:13" ht="15" customHeight="1" x14ac:dyDescent="0.25">
      <c r="B1236" s="35" t="s">
        <v>5482</v>
      </c>
      <c r="C1236" s="23" t="s">
        <v>4014</v>
      </c>
      <c r="D1236" s="23" t="s">
        <v>3303</v>
      </c>
      <c r="E1236" s="23" t="s">
        <v>3367</v>
      </c>
      <c r="F1236" s="23" t="s">
        <v>3729</v>
      </c>
      <c r="G1236" s="93">
        <v>0</v>
      </c>
      <c r="H1236" s="93">
        <v>1</v>
      </c>
      <c r="I1236" s="23"/>
      <c r="J1236" s="23"/>
      <c r="K1236" s="23"/>
      <c r="L1236" s="23" t="s">
        <v>5480</v>
      </c>
      <c r="M1236" s="23"/>
    </row>
    <row r="1237" spans="2:13" ht="15" customHeight="1" x14ac:dyDescent="0.25">
      <c r="B1237" s="35" t="s">
        <v>5504</v>
      </c>
      <c r="C1237" s="23" t="s">
        <v>5505</v>
      </c>
      <c r="D1237" s="23" t="s">
        <v>3303</v>
      </c>
      <c r="E1237" s="23" t="s">
        <v>3304</v>
      </c>
      <c r="F1237" s="23" t="s">
        <v>3729</v>
      </c>
      <c r="G1237" s="93">
        <v>0</v>
      </c>
      <c r="H1237" s="93">
        <v>0</v>
      </c>
      <c r="I1237" s="23"/>
      <c r="J1237" s="23"/>
      <c r="K1237" s="23"/>
      <c r="L1237" s="23" t="s">
        <v>5506</v>
      </c>
      <c r="M1237" s="23"/>
    </row>
    <row r="1238" spans="2:13" ht="15" customHeight="1" x14ac:dyDescent="0.25">
      <c r="B1238" s="35" t="s">
        <v>5507</v>
      </c>
      <c r="C1238" s="23" t="s">
        <v>5508</v>
      </c>
      <c r="D1238" s="23" t="s">
        <v>3303</v>
      </c>
      <c r="E1238" s="23" t="s">
        <v>3317</v>
      </c>
      <c r="F1238" s="23" t="s">
        <v>3729</v>
      </c>
      <c r="G1238" s="93">
        <v>3</v>
      </c>
      <c r="H1238" s="93">
        <v>0</v>
      </c>
      <c r="I1238" s="23"/>
      <c r="J1238" s="23"/>
      <c r="K1238" s="23"/>
      <c r="L1238" s="23" t="s">
        <v>5506</v>
      </c>
      <c r="M1238" s="23" t="s">
        <v>4716</v>
      </c>
    </row>
    <row r="1239" spans="2:13" ht="15" customHeight="1" x14ac:dyDescent="0.25">
      <c r="B1239" s="35" t="s">
        <v>5509</v>
      </c>
      <c r="C1239" s="23" t="s">
        <v>5510</v>
      </c>
      <c r="D1239" s="23" t="s">
        <v>3303</v>
      </c>
      <c r="E1239" s="23" t="s">
        <v>3317</v>
      </c>
      <c r="F1239" s="23" t="s">
        <v>3729</v>
      </c>
      <c r="G1239" s="93">
        <v>3</v>
      </c>
      <c r="H1239" s="93">
        <v>0</v>
      </c>
      <c r="I1239" s="23"/>
      <c r="J1239" s="23"/>
      <c r="K1239" s="23"/>
      <c r="L1239" s="23" t="s">
        <v>5506</v>
      </c>
      <c r="M1239" s="23" t="s">
        <v>4716</v>
      </c>
    </row>
    <row r="1240" spans="2:13" ht="15" customHeight="1" x14ac:dyDescent="0.25">
      <c r="B1240" s="35" t="s">
        <v>5511</v>
      </c>
      <c r="C1240" s="23" t="s">
        <v>5512</v>
      </c>
      <c r="D1240" s="23" t="s">
        <v>3303</v>
      </c>
      <c r="E1240" s="23" t="s">
        <v>3317</v>
      </c>
      <c r="F1240" s="23" t="s">
        <v>3729</v>
      </c>
      <c r="G1240" s="93">
        <v>3</v>
      </c>
      <c r="H1240" s="93">
        <v>0</v>
      </c>
      <c r="I1240" s="23"/>
      <c r="J1240" s="23"/>
      <c r="K1240" s="23"/>
      <c r="L1240" s="23" t="s">
        <v>5506</v>
      </c>
      <c r="M1240" s="23" t="s">
        <v>4716</v>
      </c>
    </row>
    <row r="1241" spans="2:13" ht="15" customHeight="1" x14ac:dyDescent="0.25">
      <c r="B1241" s="35" t="s">
        <v>5513</v>
      </c>
      <c r="C1241" s="23" t="s">
        <v>5514</v>
      </c>
      <c r="D1241" s="23" t="s">
        <v>3303</v>
      </c>
      <c r="E1241" s="23" t="s">
        <v>3317</v>
      </c>
      <c r="F1241" s="23" t="s">
        <v>3729</v>
      </c>
      <c r="G1241" s="93">
        <v>3</v>
      </c>
      <c r="H1241" s="93">
        <v>0</v>
      </c>
      <c r="I1241" s="23"/>
      <c r="J1241" s="23"/>
      <c r="K1241" s="23"/>
      <c r="L1241" s="23" t="s">
        <v>5506</v>
      </c>
      <c r="M1241" s="23"/>
    </row>
    <row r="1242" spans="2:13" ht="15" customHeight="1" x14ac:dyDescent="0.25">
      <c r="B1242" s="35" t="s">
        <v>5515</v>
      </c>
      <c r="C1242" s="23" t="s">
        <v>5516</v>
      </c>
      <c r="D1242" s="23" t="s">
        <v>3303</v>
      </c>
      <c r="E1242" s="23" t="s">
        <v>3317</v>
      </c>
      <c r="F1242" s="23" t="s">
        <v>3729</v>
      </c>
      <c r="G1242" s="93">
        <v>3</v>
      </c>
      <c r="H1242" s="93">
        <v>0</v>
      </c>
      <c r="I1242" s="23"/>
      <c r="J1242" s="23"/>
      <c r="K1242" s="23"/>
      <c r="L1242" s="23" t="s">
        <v>5506</v>
      </c>
      <c r="M1242" s="23" t="s">
        <v>4716</v>
      </c>
    </row>
    <row r="1243" spans="2:13" ht="15" customHeight="1" x14ac:dyDescent="0.25">
      <c r="B1243" s="35" t="s">
        <v>5517</v>
      </c>
      <c r="C1243" s="23" t="s">
        <v>5518</v>
      </c>
      <c r="D1243" s="23" t="s">
        <v>3303</v>
      </c>
      <c r="E1243" s="23" t="s">
        <v>3317</v>
      </c>
      <c r="F1243" s="23" t="s">
        <v>3729</v>
      </c>
      <c r="G1243" s="93">
        <v>3</v>
      </c>
      <c r="H1243" s="93">
        <v>0</v>
      </c>
      <c r="I1243" s="23"/>
      <c r="J1243" s="23"/>
      <c r="K1243" s="23"/>
      <c r="L1243" s="23" t="s">
        <v>5506</v>
      </c>
      <c r="M1243" s="23" t="s">
        <v>4716</v>
      </c>
    </row>
    <row r="1244" spans="2:13" ht="15" customHeight="1" x14ac:dyDescent="0.25">
      <c r="B1244" s="35" t="s">
        <v>5519</v>
      </c>
      <c r="C1244" s="23" t="s">
        <v>5520</v>
      </c>
      <c r="D1244" s="23" t="s">
        <v>3303</v>
      </c>
      <c r="E1244" s="23" t="s">
        <v>3317</v>
      </c>
      <c r="F1244" s="23" t="s">
        <v>3729</v>
      </c>
      <c r="G1244" s="93">
        <v>3</v>
      </c>
      <c r="H1244" s="93">
        <v>0</v>
      </c>
      <c r="I1244" s="23"/>
      <c r="J1244" s="23"/>
      <c r="K1244" s="23"/>
      <c r="L1244" s="23" t="s">
        <v>5506</v>
      </c>
      <c r="M1244" s="23"/>
    </row>
    <row r="1245" spans="2:13" ht="15" customHeight="1" x14ac:dyDescent="0.25">
      <c r="B1245" s="35" t="s">
        <v>5506</v>
      </c>
      <c r="C1245" s="23" t="s">
        <v>5521</v>
      </c>
      <c r="D1245" s="23" t="s">
        <v>3303</v>
      </c>
      <c r="E1245" s="23" t="s">
        <v>3367</v>
      </c>
      <c r="F1245" s="23" t="s">
        <v>3729</v>
      </c>
      <c r="G1245" s="93">
        <v>0</v>
      </c>
      <c r="H1245" s="93">
        <v>0</v>
      </c>
      <c r="I1245" s="23"/>
      <c r="J1245" s="23"/>
      <c r="K1245" s="23"/>
      <c r="L1245" s="23" t="s">
        <v>5480</v>
      </c>
      <c r="M1245" s="23"/>
    </row>
    <row r="1246" spans="2:13" ht="15" customHeight="1" x14ac:dyDescent="0.25">
      <c r="B1246" s="35" t="s">
        <v>5480</v>
      </c>
      <c r="C1246" s="23" t="s">
        <v>5522</v>
      </c>
      <c r="D1246" s="23" t="s">
        <v>3303</v>
      </c>
      <c r="E1246" s="23" t="s">
        <v>3367</v>
      </c>
      <c r="F1246" s="23" t="s">
        <v>3729</v>
      </c>
      <c r="G1246" s="93">
        <v>0</v>
      </c>
      <c r="H1246" s="93">
        <v>0</v>
      </c>
      <c r="I1246" s="23"/>
      <c r="J1246" s="23"/>
      <c r="K1246" s="23"/>
      <c r="L1246" s="23" t="s">
        <v>5281</v>
      </c>
      <c r="M1246" s="23"/>
    </row>
    <row r="1247" spans="2:13" ht="15" customHeight="1" x14ac:dyDescent="0.25">
      <c r="B1247" s="35" t="s">
        <v>5523</v>
      </c>
      <c r="C1247" s="23" t="s">
        <v>5524</v>
      </c>
      <c r="D1247" s="23" t="s">
        <v>3303</v>
      </c>
      <c r="E1247" s="23" t="s">
        <v>3304</v>
      </c>
      <c r="F1247" s="23" t="s">
        <v>3729</v>
      </c>
      <c r="G1247" s="93">
        <v>0</v>
      </c>
      <c r="H1247" s="93">
        <v>0</v>
      </c>
      <c r="I1247" s="23"/>
      <c r="J1247" s="23"/>
      <c r="K1247" s="23"/>
      <c r="L1247" s="23" t="s">
        <v>5525</v>
      </c>
      <c r="M1247" s="23"/>
    </row>
    <row r="1248" spans="2:13" ht="15" customHeight="1" x14ac:dyDescent="0.25">
      <c r="B1248" s="35" t="s">
        <v>5526</v>
      </c>
      <c r="C1248" s="23" t="s">
        <v>5527</v>
      </c>
      <c r="D1248" s="23" t="s">
        <v>3303</v>
      </c>
      <c r="E1248" s="23" t="s">
        <v>3317</v>
      </c>
      <c r="F1248" s="23" t="s">
        <v>3729</v>
      </c>
      <c r="G1248" s="93">
        <v>3</v>
      </c>
      <c r="H1248" s="93">
        <v>0</v>
      </c>
      <c r="I1248" s="23"/>
      <c r="J1248" s="23"/>
      <c r="K1248" s="23"/>
      <c r="L1248" s="23" t="s">
        <v>5525</v>
      </c>
      <c r="M1248" s="23" t="s">
        <v>4716</v>
      </c>
    </row>
    <row r="1249" spans="2:13" ht="15" customHeight="1" x14ac:dyDescent="0.25">
      <c r="B1249" s="35" t="s">
        <v>5528</v>
      </c>
      <c r="C1249" s="23" t="s">
        <v>5529</v>
      </c>
      <c r="D1249" s="23" t="s">
        <v>3303</v>
      </c>
      <c r="E1249" s="23" t="s">
        <v>3317</v>
      </c>
      <c r="F1249" s="23" t="s">
        <v>3729</v>
      </c>
      <c r="G1249" s="93">
        <v>3</v>
      </c>
      <c r="H1249" s="93">
        <v>1</v>
      </c>
      <c r="I1249" s="23"/>
      <c r="J1249" s="23"/>
      <c r="K1249" s="23"/>
      <c r="L1249" s="23" t="s">
        <v>5525</v>
      </c>
      <c r="M1249" s="23" t="s">
        <v>4716</v>
      </c>
    </row>
    <row r="1250" spans="2:13" ht="15" customHeight="1" x14ac:dyDescent="0.25">
      <c r="B1250" s="35" t="s">
        <v>5530</v>
      </c>
      <c r="C1250" s="23" t="s">
        <v>5531</v>
      </c>
      <c r="D1250" s="23" t="s">
        <v>3303</v>
      </c>
      <c r="E1250" s="23" t="s">
        <v>3317</v>
      </c>
      <c r="F1250" s="23" t="s">
        <v>3729</v>
      </c>
      <c r="G1250" s="93">
        <v>3</v>
      </c>
      <c r="H1250" s="93">
        <v>1</v>
      </c>
      <c r="I1250" s="23"/>
      <c r="J1250" s="23"/>
      <c r="K1250" s="23"/>
      <c r="L1250" s="23" t="s">
        <v>5525</v>
      </c>
      <c r="M1250" s="23" t="s">
        <v>4716</v>
      </c>
    </row>
    <row r="1251" spans="2:13" ht="15" customHeight="1" x14ac:dyDescent="0.25">
      <c r="B1251" s="35" t="s">
        <v>5532</v>
      </c>
      <c r="C1251" s="23" t="s">
        <v>5533</v>
      </c>
      <c r="D1251" s="23" t="s">
        <v>3303</v>
      </c>
      <c r="E1251" s="23" t="s">
        <v>3317</v>
      </c>
      <c r="F1251" s="23" t="s">
        <v>3729</v>
      </c>
      <c r="G1251" s="93">
        <v>3</v>
      </c>
      <c r="H1251" s="93">
        <v>1</v>
      </c>
      <c r="I1251" s="23"/>
      <c r="J1251" s="23"/>
      <c r="K1251" s="23"/>
      <c r="L1251" s="23" t="s">
        <v>5525</v>
      </c>
      <c r="M1251" s="23" t="s">
        <v>4716</v>
      </c>
    </row>
    <row r="1252" spans="2:13" ht="15" customHeight="1" x14ac:dyDescent="0.25">
      <c r="B1252" s="35" t="s">
        <v>5534</v>
      </c>
      <c r="C1252" s="23" t="s">
        <v>5535</v>
      </c>
      <c r="D1252" s="23" t="s">
        <v>3303</v>
      </c>
      <c r="E1252" s="23" t="s">
        <v>3317</v>
      </c>
      <c r="F1252" s="23" t="s">
        <v>3729</v>
      </c>
      <c r="G1252" s="93">
        <v>3</v>
      </c>
      <c r="H1252" s="93">
        <v>1</v>
      </c>
      <c r="I1252" s="23"/>
      <c r="J1252" s="23"/>
      <c r="K1252" s="23"/>
      <c r="L1252" s="23" t="s">
        <v>5525</v>
      </c>
      <c r="M1252" s="23" t="s">
        <v>4716</v>
      </c>
    </row>
    <row r="1253" spans="2:13" ht="15" customHeight="1" x14ac:dyDescent="0.25">
      <c r="B1253" s="35" t="s">
        <v>5536</v>
      </c>
      <c r="C1253" s="23" t="s">
        <v>5537</v>
      </c>
      <c r="D1253" s="23" t="s">
        <v>3303</v>
      </c>
      <c r="E1253" s="23" t="s">
        <v>3317</v>
      </c>
      <c r="F1253" s="23" t="s">
        <v>3729</v>
      </c>
      <c r="G1253" s="93">
        <v>3</v>
      </c>
      <c r="H1253" s="93">
        <v>1</v>
      </c>
      <c r="I1253" s="23"/>
      <c r="J1253" s="23"/>
      <c r="K1253" s="23"/>
      <c r="L1253" s="23" t="s">
        <v>5525</v>
      </c>
      <c r="M1253" s="23" t="s">
        <v>4716</v>
      </c>
    </row>
    <row r="1254" spans="2:13" ht="15" customHeight="1" x14ac:dyDescent="0.25">
      <c r="B1254" s="35" t="s">
        <v>5538</v>
      </c>
      <c r="C1254" s="23" t="s">
        <v>5539</v>
      </c>
      <c r="D1254" s="23" t="s">
        <v>3303</v>
      </c>
      <c r="E1254" s="23" t="s">
        <v>3317</v>
      </c>
      <c r="F1254" s="23" t="s">
        <v>3729</v>
      </c>
      <c r="G1254" s="93">
        <v>3</v>
      </c>
      <c r="H1254" s="93">
        <v>1</v>
      </c>
      <c r="I1254" s="23"/>
      <c r="J1254" s="23"/>
      <c r="K1254" s="23"/>
      <c r="L1254" s="23" t="s">
        <v>5525</v>
      </c>
      <c r="M1254" s="23"/>
    </row>
    <row r="1255" spans="2:13" ht="15" customHeight="1" x14ac:dyDescent="0.25">
      <c r="B1255" s="35" t="s">
        <v>5540</v>
      </c>
      <c r="C1255" s="23" t="s">
        <v>5541</v>
      </c>
      <c r="D1255" s="23" t="s">
        <v>3303</v>
      </c>
      <c r="E1255" s="23" t="s">
        <v>3317</v>
      </c>
      <c r="F1255" s="23" t="s">
        <v>3729</v>
      </c>
      <c r="G1255" s="93">
        <v>3</v>
      </c>
      <c r="H1255" s="93">
        <v>1</v>
      </c>
      <c r="I1255" s="23"/>
      <c r="J1255" s="23"/>
      <c r="K1255" s="23"/>
      <c r="L1255" s="23" t="s">
        <v>5525</v>
      </c>
      <c r="M1255" s="23"/>
    </row>
    <row r="1256" spans="2:13" ht="15" customHeight="1" x14ac:dyDescent="0.25">
      <c r="B1256" s="35" t="s">
        <v>5542</v>
      </c>
      <c r="C1256" s="23" t="s">
        <v>5543</v>
      </c>
      <c r="D1256" s="23" t="s">
        <v>3303</v>
      </c>
      <c r="E1256" s="23" t="s">
        <v>3317</v>
      </c>
      <c r="F1256" s="23" t="s">
        <v>3729</v>
      </c>
      <c r="G1256" s="93">
        <v>3</v>
      </c>
      <c r="H1256" s="93">
        <v>1</v>
      </c>
      <c r="I1256" s="23"/>
      <c r="J1256" s="23"/>
      <c r="K1256" s="23"/>
      <c r="L1256" s="23" t="s">
        <v>5525</v>
      </c>
      <c r="M1256" s="23"/>
    </row>
    <row r="1257" spans="2:13" ht="15" customHeight="1" x14ac:dyDescent="0.25">
      <c r="B1257" s="35" t="s">
        <v>5544</v>
      </c>
      <c r="C1257" s="23" t="s">
        <v>5545</v>
      </c>
      <c r="D1257" s="23" t="s">
        <v>3303</v>
      </c>
      <c r="E1257" s="23" t="s">
        <v>3317</v>
      </c>
      <c r="F1257" s="23" t="s">
        <v>3729</v>
      </c>
      <c r="G1257" s="93">
        <v>3</v>
      </c>
      <c r="H1257" s="93">
        <v>1</v>
      </c>
      <c r="I1257" s="23"/>
      <c r="J1257" s="23"/>
      <c r="K1257" s="23"/>
      <c r="L1257" s="23" t="s">
        <v>5525</v>
      </c>
      <c r="M1257" s="23"/>
    </row>
    <row r="1258" spans="2:13" ht="15" customHeight="1" x14ac:dyDescent="0.25">
      <c r="B1258" s="35" t="s">
        <v>5546</v>
      </c>
      <c r="C1258" s="23" t="s">
        <v>5547</v>
      </c>
      <c r="D1258" s="23" t="s">
        <v>3303</v>
      </c>
      <c r="E1258" s="23" t="s">
        <v>3317</v>
      </c>
      <c r="F1258" s="23" t="s">
        <v>3729</v>
      </c>
      <c r="G1258" s="93">
        <v>3</v>
      </c>
      <c r="H1258" s="93">
        <v>1</v>
      </c>
      <c r="I1258" s="23"/>
      <c r="J1258" s="23"/>
      <c r="K1258" s="23"/>
      <c r="L1258" s="23" t="s">
        <v>5525</v>
      </c>
      <c r="M1258" s="23"/>
    </row>
    <row r="1259" spans="2:13" ht="15" customHeight="1" x14ac:dyDescent="0.25">
      <c r="B1259" s="35" t="s">
        <v>5548</v>
      </c>
      <c r="C1259" s="23" t="s">
        <v>5549</v>
      </c>
      <c r="D1259" s="23" t="s">
        <v>3303</v>
      </c>
      <c r="E1259" s="23" t="s">
        <v>3317</v>
      </c>
      <c r="F1259" s="23" t="s">
        <v>3729</v>
      </c>
      <c r="G1259" s="93">
        <v>3</v>
      </c>
      <c r="H1259" s="93">
        <v>1</v>
      </c>
      <c r="I1259" s="23"/>
      <c r="J1259" s="23"/>
      <c r="K1259" s="23"/>
      <c r="L1259" s="23" t="s">
        <v>5525</v>
      </c>
      <c r="M1259" s="23" t="s">
        <v>4716</v>
      </c>
    </row>
    <row r="1260" spans="2:13" ht="15" customHeight="1" x14ac:dyDescent="0.25">
      <c r="B1260" s="35" t="s">
        <v>5550</v>
      </c>
      <c r="C1260" s="23" t="s">
        <v>5551</v>
      </c>
      <c r="D1260" s="23" t="s">
        <v>3303</v>
      </c>
      <c r="E1260" s="23" t="s">
        <v>3317</v>
      </c>
      <c r="F1260" s="23" t="s">
        <v>3729</v>
      </c>
      <c r="G1260" s="93">
        <v>3</v>
      </c>
      <c r="H1260" s="93">
        <v>0</v>
      </c>
      <c r="I1260" s="23"/>
      <c r="J1260" s="23"/>
      <c r="K1260" s="23"/>
      <c r="L1260" s="23" t="s">
        <v>5525</v>
      </c>
      <c r="M1260" s="23" t="s">
        <v>4716</v>
      </c>
    </row>
    <row r="1261" spans="2:13" ht="15" customHeight="1" x14ac:dyDescent="0.25">
      <c r="B1261" s="35" t="s">
        <v>5552</v>
      </c>
      <c r="C1261" s="23" t="s">
        <v>5553</v>
      </c>
      <c r="D1261" s="23" t="s">
        <v>3303</v>
      </c>
      <c r="E1261" s="23" t="s">
        <v>3317</v>
      </c>
      <c r="F1261" s="23" t="s">
        <v>3729</v>
      </c>
      <c r="G1261" s="93">
        <v>3</v>
      </c>
      <c r="H1261" s="93">
        <v>0</v>
      </c>
      <c r="I1261" s="23"/>
      <c r="J1261" s="23"/>
      <c r="K1261" s="23"/>
      <c r="L1261" s="23" t="s">
        <v>5525</v>
      </c>
      <c r="M1261" s="23" t="s">
        <v>4716</v>
      </c>
    </row>
    <row r="1262" spans="2:13" ht="15" customHeight="1" x14ac:dyDescent="0.25">
      <c r="B1262" s="35" t="s">
        <v>5554</v>
      </c>
      <c r="C1262" s="23" t="s">
        <v>5555</v>
      </c>
      <c r="D1262" s="23" t="s">
        <v>3303</v>
      </c>
      <c r="E1262" s="23" t="s">
        <v>3317</v>
      </c>
      <c r="F1262" s="23" t="s">
        <v>3729</v>
      </c>
      <c r="G1262" s="93">
        <v>3</v>
      </c>
      <c r="H1262" s="93">
        <v>0</v>
      </c>
      <c r="I1262" s="23"/>
      <c r="J1262" s="23"/>
      <c r="K1262" s="23"/>
      <c r="L1262" s="23" t="s">
        <v>5525</v>
      </c>
      <c r="M1262" s="23" t="s">
        <v>4716</v>
      </c>
    </row>
    <row r="1263" spans="2:13" ht="15" customHeight="1" x14ac:dyDescent="0.25">
      <c r="B1263" s="35" t="s">
        <v>5556</v>
      </c>
      <c r="C1263" s="23" t="s">
        <v>5557</v>
      </c>
      <c r="D1263" s="23" t="s">
        <v>3303</v>
      </c>
      <c r="E1263" s="23" t="s">
        <v>3317</v>
      </c>
      <c r="F1263" s="23" t="s">
        <v>3729</v>
      </c>
      <c r="G1263" s="93">
        <v>3</v>
      </c>
      <c r="H1263" s="93">
        <v>1</v>
      </c>
      <c r="I1263" s="23"/>
      <c r="J1263" s="23"/>
      <c r="K1263" s="23"/>
      <c r="L1263" s="23" t="s">
        <v>5525</v>
      </c>
      <c r="M1263" s="23" t="s">
        <v>4716</v>
      </c>
    </row>
    <row r="1264" spans="2:13" ht="15" customHeight="1" x14ac:dyDescent="0.25">
      <c r="B1264" s="35" t="s">
        <v>5558</v>
      </c>
      <c r="C1264" s="23" t="s">
        <v>5559</v>
      </c>
      <c r="D1264" s="23" t="s">
        <v>3303</v>
      </c>
      <c r="E1264" s="23" t="s">
        <v>3317</v>
      </c>
      <c r="F1264" s="23" t="s">
        <v>3729</v>
      </c>
      <c r="G1264" s="93">
        <v>3</v>
      </c>
      <c r="H1264" s="93">
        <v>1</v>
      </c>
      <c r="I1264" s="23"/>
      <c r="J1264" s="23"/>
      <c r="K1264" s="23"/>
      <c r="L1264" s="23" t="s">
        <v>5525</v>
      </c>
      <c r="M1264" s="23" t="s">
        <v>4716</v>
      </c>
    </row>
    <row r="1265" spans="2:13" ht="15" customHeight="1" x14ac:dyDescent="0.25">
      <c r="B1265" s="35" t="s">
        <v>5560</v>
      </c>
      <c r="C1265" s="23" t="s">
        <v>5561</v>
      </c>
      <c r="D1265" s="23" t="s">
        <v>3303</v>
      </c>
      <c r="E1265" s="23" t="s">
        <v>3317</v>
      </c>
      <c r="F1265" s="23" t="s">
        <v>3729</v>
      </c>
      <c r="G1265" s="93">
        <v>3</v>
      </c>
      <c r="H1265" s="93">
        <v>1</v>
      </c>
      <c r="I1265" s="23"/>
      <c r="J1265" s="23"/>
      <c r="K1265" s="23"/>
      <c r="L1265" s="23" t="s">
        <v>5525</v>
      </c>
      <c r="M1265" s="23"/>
    </row>
    <row r="1266" spans="2:13" ht="15" customHeight="1" x14ac:dyDescent="0.25">
      <c r="B1266" s="35" t="s">
        <v>5562</v>
      </c>
      <c r="C1266" s="23" t="s">
        <v>5563</v>
      </c>
      <c r="D1266" s="23" t="s">
        <v>3303</v>
      </c>
      <c r="E1266" s="23" t="s">
        <v>3317</v>
      </c>
      <c r="F1266" s="23" t="s">
        <v>3729</v>
      </c>
      <c r="G1266" s="93">
        <v>3</v>
      </c>
      <c r="H1266" s="93">
        <v>1</v>
      </c>
      <c r="I1266" s="23"/>
      <c r="J1266" s="23"/>
      <c r="K1266" s="23"/>
      <c r="L1266" s="23" t="s">
        <v>5525</v>
      </c>
      <c r="M1266" s="23"/>
    </row>
    <row r="1267" spans="2:13" ht="15" customHeight="1" x14ac:dyDescent="0.25">
      <c r="B1267" s="35" t="s">
        <v>5564</v>
      </c>
      <c r="C1267" s="23" t="s">
        <v>5565</v>
      </c>
      <c r="D1267" s="23" t="s">
        <v>3303</v>
      </c>
      <c r="E1267" s="23" t="s">
        <v>3317</v>
      </c>
      <c r="F1267" s="23" t="s">
        <v>3729</v>
      </c>
      <c r="G1267" s="93">
        <v>3</v>
      </c>
      <c r="H1267" s="93">
        <v>0</v>
      </c>
      <c r="I1267" s="23"/>
      <c r="J1267" s="23"/>
      <c r="K1267" s="23"/>
      <c r="L1267" s="23" t="s">
        <v>5525</v>
      </c>
      <c r="M1267" s="23" t="s">
        <v>4716</v>
      </c>
    </row>
    <row r="1268" spans="2:13" ht="15" customHeight="1" x14ac:dyDescent="0.25">
      <c r="B1268" s="35" t="s">
        <v>5566</v>
      </c>
      <c r="C1268" s="23" t="s">
        <v>5567</v>
      </c>
      <c r="D1268" s="23" t="s">
        <v>3303</v>
      </c>
      <c r="E1268" s="23" t="s">
        <v>3317</v>
      </c>
      <c r="F1268" s="23" t="s">
        <v>3729</v>
      </c>
      <c r="G1268" s="93">
        <v>3</v>
      </c>
      <c r="H1268" s="93">
        <v>1</v>
      </c>
      <c r="I1268" s="23"/>
      <c r="J1268" s="23"/>
      <c r="K1268" s="23"/>
      <c r="L1268" s="23" t="s">
        <v>5525</v>
      </c>
      <c r="M1268" s="23" t="s">
        <v>4716</v>
      </c>
    </row>
    <row r="1269" spans="2:13" ht="15" customHeight="1" x14ac:dyDescent="0.25">
      <c r="B1269" s="35" t="s">
        <v>5568</v>
      </c>
      <c r="C1269" s="23" t="s">
        <v>5569</v>
      </c>
      <c r="D1269" s="23" t="s">
        <v>3303</v>
      </c>
      <c r="E1269" s="23" t="s">
        <v>3317</v>
      </c>
      <c r="F1269" s="23" t="s">
        <v>3729</v>
      </c>
      <c r="G1269" s="93">
        <v>3</v>
      </c>
      <c r="H1269" s="93">
        <v>1</v>
      </c>
      <c r="I1269" s="23"/>
      <c r="J1269" s="23"/>
      <c r="K1269" s="23"/>
      <c r="L1269" s="23" t="s">
        <v>5525</v>
      </c>
      <c r="M1269" s="23"/>
    </row>
    <row r="1270" spans="2:13" ht="15" customHeight="1" x14ac:dyDescent="0.25">
      <c r="B1270" s="35" t="s">
        <v>5570</v>
      </c>
      <c r="C1270" s="23" t="s">
        <v>5571</v>
      </c>
      <c r="D1270" s="23" t="s">
        <v>3303</v>
      </c>
      <c r="E1270" s="23" t="s">
        <v>3317</v>
      </c>
      <c r="F1270" s="23" t="s">
        <v>3729</v>
      </c>
      <c r="G1270" s="93">
        <v>3</v>
      </c>
      <c r="H1270" s="93">
        <v>0</v>
      </c>
      <c r="I1270" s="23"/>
      <c r="J1270" s="23"/>
      <c r="K1270" s="23"/>
      <c r="L1270" s="23" t="s">
        <v>5525</v>
      </c>
      <c r="M1270" s="23" t="s">
        <v>4716</v>
      </c>
    </row>
    <row r="1271" spans="2:13" ht="15" customHeight="1" x14ac:dyDescent="0.25">
      <c r="B1271" s="35" t="s">
        <v>5572</v>
      </c>
      <c r="C1271" s="23" t="s">
        <v>5573</v>
      </c>
      <c r="D1271" s="23" t="s">
        <v>3303</v>
      </c>
      <c r="E1271" s="23" t="s">
        <v>3317</v>
      </c>
      <c r="F1271" s="23" t="s">
        <v>3729</v>
      </c>
      <c r="G1271" s="93">
        <v>3</v>
      </c>
      <c r="H1271" s="93">
        <v>1</v>
      </c>
      <c r="I1271" s="23"/>
      <c r="J1271" s="23"/>
      <c r="K1271" s="23"/>
      <c r="L1271" s="23" t="s">
        <v>5525</v>
      </c>
      <c r="M1271" s="23" t="s">
        <v>4716</v>
      </c>
    </row>
    <row r="1272" spans="2:13" ht="15" customHeight="1" x14ac:dyDescent="0.25">
      <c r="B1272" s="35" t="s">
        <v>5574</v>
      </c>
      <c r="C1272" s="23" t="s">
        <v>5575</v>
      </c>
      <c r="D1272" s="23" t="s">
        <v>3303</v>
      </c>
      <c r="E1272" s="23" t="s">
        <v>3317</v>
      </c>
      <c r="F1272" s="23" t="s">
        <v>3729</v>
      </c>
      <c r="G1272" s="93">
        <v>3</v>
      </c>
      <c r="H1272" s="93">
        <v>1</v>
      </c>
      <c r="I1272" s="23"/>
      <c r="J1272" s="23"/>
      <c r="K1272" s="23"/>
      <c r="L1272" s="23" t="s">
        <v>5525</v>
      </c>
      <c r="M1272" s="23"/>
    </row>
    <row r="1273" spans="2:13" ht="15" customHeight="1" x14ac:dyDescent="0.25">
      <c r="B1273" s="35" t="s">
        <v>5576</v>
      </c>
      <c r="C1273" s="23" t="s">
        <v>5577</v>
      </c>
      <c r="D1273" s="23" t="s">
        <v>3303</v>
      </c>
      <c r="E1273" s="23" t="s">
        <v>3317</v>
      </c>
      <c r="F1273" s="23" t="s">
        <v>3729</v>
      </c>
      <c r="G1273" s="93">
        <v>3</v>
      </c>
      <c r="H1273" s="93">
        <v>0</v>
      </c>
      <c r="I1273" s="23"/>
      <c r="J1273" s="23"/>
      <c r="K1273" s="23"/>
      <c r="L1273" s="23" t="s">
        <v>5525</v>
      </c>
      <c r="M1273" s="23" t="s">
        <v>4716</v>
      </c>
    </row>
    <row r="1274" spans="2:13" ht="15" customHeight="1" x14ac:dyDescent="0.25">
      <c r="B1274" s="35" t="s">
        <v>5578</v>
      </c>
      <c r="C1274" s="23" t="s">
        <v>5579</v>
      </c>
      <c r="D1274" s="23" t="s">
        <v>3303</v>
      </c>
      <c r="E1274" s="23" t="s">
        <v>3317</v>
      </c>
      <c r="F1274" s="23" t="s">
        <v>3729</v>
      </c>
      <c r="G1274" s="93">
        <v>3</v>
      </c>
      <c r="H1274" s="93">
        <v>1</v>
      </c>
      <c r="I1274" s="23"/>
      <c r="J1274" s="23"/>
      <c r="K1274" s="23"/>
      <c r="L1274" s="23" t="s">
        <v>5525</v>
      </c>
      <c r="M1274" s="23" t="s">
        <v>4716</v>
      </c>
    </row>
    <row r="1275" spans="2:13" ht="15" customHeight="1" x14ac:dyDescent="0.25">
      <c r="B1275" s="35" t="s">
        <v>5580</v>
      </c>
      <c r="C1275" s="23" t="s">
        <v>5581</v>
      </c>
      <c r="D1275" s="23" t="s">
        <v>3303</v>
      </c>
      <c r="E1275" s="23" t="s">
        <v>3317</v>
      </c>
      <c r="F1275" s="23" t="s">
        <v>3729</v>
      </c>
      <c r="G1275" s="93">
        <v>3</v>
      </c>
      <c r="H1275" s="93">
        <v>0</v>
      </c>
      <c r="I1275" s="23"/>
      <c r="J1275" s="23"/>
      <c r="K1275" s="23"/>
      <c r="L1275" s="23" t="s">
        <v>5525</v>
      </c>
      <c r="M1275" s="23" t="s">
        <v>4716</v>
      </c>
    </row>
    <row r="1276" spans="2:13" ht="15" customHeight="1" x14ac:dyDescent="0.25">
      <c r="B1276" s="35" t="s">
        <v>5525</v>
      </c>
      <c r="C1276" s="23" t="s">
        <v>5582</v>
      </c>
      <c r="D1276" s="23" t="s">
        <v>3303</v>
      </c>
      <c r="E1276" s="23" t="s">
        <v>3367</v>
      </c>
      <c r="F1276" s="23" t="s">
        <v>3729</v>
      </c>
      <c r="G1276" s="93">
        <v>0</v>
      </c>
      <c r="H1276" s="93">
        <v>0</v>
      </c>
      <c r="I1276" s="23"/>
      <c r="J1276" s="23"/>
      <c r="K1276" s="23"/>
      <c r="L1276" s="23" t="s">
        <v>5281</v>
      </c>
      <c r="M1276" s="23"/>
    </row>
    <row r="1277" spans="2:13" ht="15" customHeight="1" x14ac:dyDescent="0.25">
      <c r="B1277" s="35" t="s">
        <v>5583</v>
      </c>
      <c r="C1277" s="23" t="s">
        <v>5584</v>
      </c>
      <c r="D1277" s="23" t="s">
        <v>3303</v>
      </c>
      <c r="E1277" s="23" t="s">
        <v>3304</v>
      </c>
      <c r="F1277" s="23" t="s">
        <v>3729</v>
      </c>
      <c r="G1277" s="93">
        <v>0</v>
      </c>
      <c r="H1277" s="93">
        <v>0</v>
      </c>
      <c r="I1277" s="23"/>
      <c r="J1277" s="23"/>
      <c r="K1277" s="23"/>
      <c r="L1277" s="23" t="s">
        <v>5585</v>
      </c>
      <c r="M1277" s="23"/>
    </row>
    <row r="1278" spans="2:13" ht="15" customHeight="1" x14ac:dyDescent="0.25">
      <c r="B1278" s="35" t="s">
        <v>5586</v>
      </c>
      <c r="C1278" s="23" t="s">
        <v>5587</v>
      </c>
      <c r="D1278" s="23" t="s">
        <v>3303</v>
      </c>
      <c r="E1278" s="23" t="s">
        <v>3317</v>
      </c>
      <c r="F1278" s="23" t="s">
        <v>3729</v>
      </c>
      <c r="G1278" s="93">
        <v>3</v>
      </c>
      <c r="H1278" s="93">
        <v>1</v>
      </c>
      <c r="I1278" s="23"/>
      <c r="J1278" s="23"/>
      <c r="K1278" s="23"/>
      <c r="L1278" s="23" t="s">
        <v>5585</v>
      </c>
      <c r="M1278" s="23" t="s">
        <v>5588</v>
      </c>
    </row>
    <row r="1279" spans="2:13" ht="15" customHeight="1" x14ac:dyDescent="0.25">
      <c r="B1279" s="35" t="s">
        <v>5589</v>
      </c>
      <c r="C1279" s="23" t="s">
        <v>5590</v>
      </c>
      <c r="D1279" s="23" t="s">
        <v>3303</v>
      </c>
      <c r="E1279" s="23" t="s">
        <v>3317</v>
      </c>
      <c r="F1279" s="23" t="s">
        <v>3729</v>
      </c>
      <c r="G1279" s="93">
        <v>3</v>
      </c>
      <c r="H1279" s="93">
        <v>0</v>
      </c>
      <c r="I1279" s="23"/>
      <c r="J1279" s="23"/>
      <c r="K1279" s="23"/>
      <c r="L1279" s="23" t="s">
        <v>5585</v>
      </c>
      <c r="M1279" s="23" t="s">
        <v>4716</v>
      </c>
    </row>
    <row r="1280" spans="2:13" ht="15" customHeight="1" x14ac:dyDescent="0.25">
      <c r="B1280" s="35" t="s">
        <v>5591</v>
      </c>
      <c r="C1280" s="23" t="s">
        <v>5592</v>
      </c>
      <c r="D1280" s="23" t="s">
        <v>3303</v>
      </c>
      <c r="E1280" s="23" t="s">
        <v>3317</v>
      </c>
      <c r="F1280" s="23" t="s">
        <v>3729</v>
      </c>
      <c r="G1280" s="93">
        <v>3</v>
      </c>
      <c r="H1280" s="93">
        <v>1</v>
      </c>
      <c r="I1280" s="23"/>
      <c r="J1280" s="23"/>
      <c r="K1280" s="23"/>
      <c r="L1280" s="23" t="s">
        <v>5585</v>
      </c>
      <c r="M1280" s="23" t="s">
        <v>4716</v>
      </c>
    </row>
    <row r="1281" spans="2:13" ht="15" customHeight="1" x14ac:dyDescent="0.25">
      <c r="B1281" s="35" t="s">
        <v>5593</v>
      </c>
      <c r="C1281" s="23" t="s">
        <v>5594</v>
      </c>
      <c r="D1281" s="23" t="s">
        <v>3303</v>
      </c>
      <c r="E1281" s="23" t="s">
        <v>3317</v>
      </c>
      <c r="F1281" s="23" t="s">
        <v>3729</v>
      </c>
      <c r="G1281" s="93">
        <v>3</v>
      </c>
      <c r="H1281" s="93">
        <v>1</v>
      </c>
      <c r="I1281" s="23"/>
      <c r="J1281" s="23"/>
      <c r="K1281" s="23"/>
      <c r="L1281" s="23" t="s">
        <v>5585</v>
      </c>
      <c r="M1281" s="23" t="s">
        <v>4716</v>
      </c>
    </row>
    <row r="1282" spans="2:13" ht="15" customHeight="1" x14ac:dyDescent="0.25">
      <c r="B1282" s="35" t="s">
        <v>5595</v>
      </c>
      <c r="C1282" s="23" t="s">
        <v>5596</v>
      </c>
      <c r="D1282" s="23" t="s">
        <v>3303</v>
      </c>
      <c r="E1282" s="23" t="s">
        <v>3317</v>
      </c>
      <c r="F1282" s="23" t="s">
        <v>3729</v>
      </c>
      <c r="G1282" s="93">
        <v>3</v>
      </c>
      <c r="H1282" s="93">
        <v>1</v>
      </c>
      <c r="I1282" s="23"/>
      <c r="J1282" s="23"/>
      <c r="K1282" s="23"/>
      <c r="L1282" s="23" t="s">
        <v>5585</v>
      </c>
      <c r="M1282" s="23"/>
    </row>
    <row r="1283" spans="2:13" ht="15" customHeight="1" x14ac:dyDescent="0.25">
      <c r="B1283" s="35" t="s">
        <v>5597</v>
      </c>
      <c r="C1283" s="23" t="s">
        <v>5598</v>
      </c>
      <c r="D1283" s="23" t="s">
        <v>3303</v>
      </c>
      <c r="E1283" s="23" t="s">
        <v>3317</v>
      </c>
      <c r="F1283" s="23" t="s">
        <v>3729</v>
      </c>
      <c r="G1283" s="93">
        <v>3</v>
      </c>
      <c r="H1283" s="93">
        <v>1</v>
      </c>
      <c r="I1283" s="23"/>
      <c r="J1283" s="23"/>
      <c r="K1283" s="23"/>
      <c r="L1283" s="23" t="s">
        <v>5585</v>
      </c>
      <c r="M1283" s="23" t="s">
        <v>4716</v>
      </c>
    </row>
    <row r="1284" spans="2:13" ht="15" customHeight="1" x14ac:dyDescent="0.25">
      <c r="B1284" s="35" t="s">
        <v>5599</v>
      </c>
      <c r="C1284" s="23" t="s">
        <v>5600</v>
      </c>
      <c r="D1284" s="23" t="s">
        <v>3303</v>
      </c>
      <c r="E1284" s="23" t="s">
        <v>3317</v>
      </c>
      <c r="F1284" s="23" t="s">
        <v>3729</v>
      </c>
      <c r="G1284" s="93">
        <v>3</v>
      </c>
      <c r="H1284" s="93">
        <v>1</v>
      </c>
      <c r="I1284" s="23"/>
      <c r="J1284" s="23"/>
      <c r="K1284" s="23"/>
      <c r="L1284" s="23" t="s">
        <v>5585</v>
      </c>
      <c r="M1284" s="23" t="s">
        <v>4716</v>
      </c>
    </row>
    <row r="1285" spans="2:13" ht="15" customHeight="1" x14ac:dyDescent="0.25">
      <c r="B1285" s="35" t="s">
        <v>5601</v>
      </c>
      <c r="C1285" s="23" t="s">
        <v>5602</v>
      </c>
      <c r="D1285" s="23" t="s">
        <v>3303</v>
      </c>
      <c r="E1285" s="23" t="s">
        <v>3317</v>
      </c>
      <c r="F1285" s="23" t="s">
        <v>3729</v>
      </c>
      <c r="G1285" s="93">
        <v>3</v>
      </c>
      <c r="H1285" s="93">
        <v>1</v>
      </c>
      <c r="I1285" s="23"/>
      <c r="J1285" s="23"/>
      <c r="K1285" s="23"/>
      <c r="L1285" s="23" t="s">
        <v>5585</v>
      </c>
      <c r="M1285" s="23" t="s">
        <v>4716</v>
      </c>
    </row>
    <row r="1286" spans="2:13" ht="15" customHeight="1" x14ac:dyDescent="0.25">
      <c r="B1286" s="35" t="s">
        <v>5603</v>
      </c>
      <c r="C1286" s="23" t="s">
        <v>5604</v>
      </c>
      <c r="D1286" s="23" t="s">
        <v>3303</v>
      </c>
      <c r="E1286" s="23" t="s">
        <v>3317</v>
      </c>
      <c r="F1286" s="23" t="s">
        <v>3729</v>
      </c>
      <c r="G1286" s="93">
        <v>3</v>
      </c>
      <c r="H1286" s="93">
        <v>1</v>
      </c>
      <c r="I1286" s="23"/>
      <c r="J1286" s="23"/>
      <c r="K1286" s="23"/>
      <c r="L1286" s="23" t="s">
        <v>5585</v>
      </c>
      <c r="M1286" s="23" t="s">
        <v>4716</v>
      </c>
    </row>
    <row r="1287" spans="2:13" ht="15" customHeight="1" x14ac:dyDescent="0.25">
      <c r="B1287" s="35" t="s">
        <v>5605</v>
      </c>
      <c r="C1287" s="23" t="s">
        <v>5606</v>
      </c>
      <c r="D1287" s="23" t="s">
        <v>3303</v>
      </c>
      <c r="E1287" s="23" t="s">
        <v>3317</v>
      </c>
      <c r="F1287" s="23" t="s">
        <v>3729</v>
      </c>
      <c r="G1287" s="93">
        <v>3</v>
      </c>
      <c r="H1287" s="93">
        <v>1</v>
      </c>
      <c r="I1287" s="23"/>
      <c r="J1287" s="23"/>
      <c r="K1287" s="23"/>
      <c r="L1287" s="23" t="s">
        <v>5585</v>
      </c>
      <c r="M1287" s="23"/>
    </row>
    <row r="1288" spans="2:13" ht="15" customHeight="1" x14ac:dyDescent="0.25">
      <c r="B1288" s="35" t="s">
        <v>5607</v>
      </c>
      <c r="C1288" s="23" t="s">
        <v>5608</v>
      </c>
      <c r="D1288" s="23" t="s">
        <v>3303</v>
      </c>
      <c r="E1288" s="23" t="s">
        <v>3317</v>
      </c>
      <c r="F1288" s="23" t="s">
        <v>3729</v>
      </c>
      <c r="G1288" s="93">
        <v>3</v>
      </c>
      <c r="H1288" s="93">
        <v>1</v>
      </c>
      <c r="I1288" s="23"/>
      <c r="J1288" s="23"/>
      <c r="K1288" s="23"/>
      <c r="L1288" s="23" t="s">
        <v>5585</v>
      </c>
      <c r="M1288" s="23" t="s">
        <v>4716</v>
      </c>
    </row>
    <row r="1289" spans="2:13" ht="15" customHeight="1" x14ac:dyDescent="0.25">
      <c r="B1289" s="35" t="s">
        <v>5609</v>
      </c>
      <c r="C1289" s="23" t="s">
        <v>5610</v>
      </c>
      <c r="D1289" s="23" t="s">
        <v>3303</v>
      </c>
      <c r="E1289" s="23" t="s">
        <v>3317</v>
      </c>
      <c r="F1289" s="23" t="s">
        <v>3729</v>
      </c>
      <c r="G1289" s="93">
        <v>3</v>
      </c>
      <c r="H1289" s="93">
        <v>1</v>
      </c>
      <c r="I1289" s="23"/>
      <c r="J1289" s="23"/>
      <c r="K1289" s="23"/>
      <c r="L1289" s="23" t="s">
        <v>5585</v>
      </c>
      <c r="M1289" s="23" t="s">
        <v>4716</v>
      </c>
    </row>
    <row r="1290" spans="2:13" ht="15" customHeight="1" x14ac:dyDescent="0.25">
      <c r="B1290" s="35" t="s">
        <v>5611</v>
      </c>
      <c r="C1290" s="23" t="s">
        <v>5612</v>
      </c>
      <c r="D1290" s="23" t="s">
        <v>3303</v>
      </c>
      <c r="E1290" s="23" t="s">
        <v>3317</v>
      </c>
      <c r="F1290" s="23" t="s">
        <v>3729</v>
      </c>
      <c r="G1290" s="93">
        <v>3</v>
      </c>
      <c r="H1290" s="93">
        <v>0</v>
      </c>
      <c r="I1290" s="23"/>
      <c r="J1290" s="23"/>
      <c r="K1290" s="23"/>
      <c r="L1290" s="23" t="s">
        <v>5585</v>
      </c>
      <c r="M1290" s="23" t="s">
        <v>4716</v>
      </c>
    </row>
    <row r="1291" spans="2:13" ht="15" customHeight="1" x14ac:dyDescent="0.25">
      <c r="B1291" s="35" t="s">
        <v>5613</v>
      </c>
      <c r="C1291" s="23" t="s">
        <v>5614</v>
      </c>
      <c r="D1291" s="23" t="s">
        <v>3303</v>
      </c>
      <c r="E1291" s="23" t="s">
        <v>3317</v>
      </c>
      <c r="F1291" s="23" t="s">
        <v>3729</v>
      </c>
      <c r="G1291" s="93">
        <v>3</v>
      </c>
      <c r="H1291" s="93">
        <v>1</v>
      </c>
      <c r="I1291" s="23"/>
      <c r="J1291" s="23"/>
      <c r="K1291" s="23"/>
      <c r="L1291" s="23" t="s">
        <v>5585</v>
      </c>
      <c r="M1291" s="23"/>
    </row>
    <row r="1292" spans="2:13" ht="15" customHeight="1" x14ac:dyDescent="0.25">
      <c r="B1292" s="35" t="s">
        <v>5615</v>
      </c>
      <c r="C1292" s="23" t="s">
        <v>5616</v>
      </c>
      <c r="D1292" s="23" t="s">
        <v>3303</v>
      </c>
      <c r="E1292" s="23" t="s">
        <v>3317</v>
      </c>
      <c r="F1292" s="23" t="s">
        <v>3729</v>
      </c>
      <c r="G1292" s="93">
        <v>3</v>
      </c>
      <c r="H1292" s="93">
        <v>0</v>
      </c>
      <c r="I1292" s="23"/>
      <c r="J1292" s="23"/>
      <c r="K1292" s="23"/>
      <c r="L1292" s="23" t="s">
        <v>5585</v>
      </c>
      <c r="M1292" s="23" t="s">
        <v>4716</v>
      </c>
    </row>
    <row r="1293" spans="2:13" ht="15" customHeight="1" x14ac:dyDescent="0.25">
      <c r="B1293" s="35" t="s">
        <v>5617</v>
      </c>
      <c r="C1293" s="23" t="s">
        <v>5618</v>
      </c>
      <c r="D1293" s="23" t="s">
        <v>3303</v>
      </c>
      <c r="E1293" s="23" t="s">
        <v>3317</v>
      </c>
      <c r="F1293" s="23" t="s">
        <v>3729</v>
      </c>
      <c r="G1293" s="93">
        <v>3</v>
      </c>
      <c r="H1293" s="93">
        <v>1</v>
      </c>
      <c r="I1293" s="23"/>
      <c r="J1293" s="23"/>
      <c r="K1293" s="23"/>
      <c r="L1293" s="23" t="s">
        <v>5585</v>
      </c>
      <c r="M1293" s="23"/>
    </row>
    <row r="1294" spans="2:13" ht="15" customHeight="1" x14ac:dyDescent="0.25">
      <c r="B1294" s="35" t="s">
        <v>5619</v>
      </c>
      <c r="C1294" s="23" t="s">
        <v>5620</v>
      </c>
      <c r="D1294" s="23" t="s">
        <v>3303</v>
      </c>
      <c r="E1294" s="23" t="s">
        <v>3317</v>
      </c>
      <c r="F1294" s="23" t="s">
        <v>3729</v>
      </c>
      <c r="G1294" s="93">
        <v>3</v>
      </c>
      <c r="H1294" s="93">
        <v>0</v>
      </c>
      <c r="I1294" s="23"/>
      <c r="J1294" s="23"/>
      <c r="K1294" s="23"/>
      <c r="L1294" s="23" t="s">
        <v>5585</v>
      </c>
      <c r="M1294" s="23" t="s">
        <v>4716</v>
      </c>
    </row>
    <row r="1295" spans="2:13" ht="15" customHeight="1" x14ac:dyDescent="0.25">
      <c r="B1295" s="35" t="s">
        <v>5621</v>
      </c>
      <c r="C1295" s="23" t="s">
        <v>5622</v>
      </c>
      <c r="D1295" s="23" t="s">
        <v>3303</v>
      </c>
      <c r="E1295" s="23" t="s">
        <v>3317</v>
      </c>
      <c r="F1295" s="23" t="s">
        <v>3729</v>
      </c>
      <c r="G1295" s="93">
        <v>3</v>
      </c>
      <c r="H1295" s="93">
        <v>1</v>
      </c>
      <c r="I1295" s="23"/>
      <c r="J1295" s="23"/>
      <c r="K1295" s="23"/>
      <c r="L1295" s="23" t="s">
        <v>5585</v>
      </c>
      <c r="M1295" s="23"/>
    </row>
    <row r="1296" spans="2:13" ht="15" customHeight="1" x14ac:dyDescent="0.25">
      <c r="B1296" s="35" t="s">
        <v>5623</v>
      </c>
      <c r="C1296" s="23" t="s">
        <v>5624</v>
      </c>
      <c r="D1296" s="23" t="s">
        <v>3303</v>
      </c>
      <c r="E1296" s="23" t="s">
        <v>3317</v>
      </c>
      <c r="F1296" s="23" t="s">
        <v>3729</v>
      </c>
      <c r="G1296" s="93">
        <v>3</v>
      </c>
      <c r="H1296" s="93">
        <v>0</v>
      </c>
      <c r="I1296" s="23"/>
      <c r="J1296" s="23"/>
      <c r="K1296" s="23"/>
      <c r="L1296" s="23" t="s">
        <v>5585</v>
      </c>
      <c r="M1296" s="23"/>
    </row>
    <row r="1297" spans="2:13" ht="15" customHeight="1" x14ac:dyDescent="0.25">
      <c r="B1297" s="35" t="s">
        <v>5625</v>
      </c>
      <c r="C1297" s="23" t="s">
        <v>5626</v>
      </c>
      <c r="D1297" s="23" t="s">
        <v>3303</v>
      </c>
      <c r="E1297" s="23" t="s">
        <v>3317</v>
      </c>
      <c r="F1297" s="23" t="s">
        <v>3729</v>
      </c>
      <c r="G1297" s="93">
        <v>3</v>
      </c>
      <c r="H1297" s="93">
        <v>1</v>
      </c>
      <c r="I1297" s="23"/>
      <c r="J1297" s="23"/>
      <c r="K1297" s="23"/>
      <c r="L1297" s="23" t="s">
        <v>5585</v>
      </c>
      <c r="M1297" s="23" t="s">
        <v>4716</v>
      </c>
    </row>
    <row r="1298" spans="2:13" ht="15" customHeight="1" x14ac:dyDescent="0.25">
      <c r="B1298" s="35" t="s">
        <v>5627</v>
      </c>
      <c r="C1298" s="23" t="s">
        <v>5628</v>
      </c>
      <c r="D1298" s="23" t="s">
        <v>3303</v>
      </c>
      <c r="E1298" s="23" t="s">
        <v>3317</v>
      </c>
      <c r="F1298" s="23" t="s">
        <v>3729</v>
      </c>
      <c r="G1298" s="93">
        <v>0</v>
      </c>
      <c r="H1298" s="93">
        <v>0</v>
      </c>
      <c r="I1298" s="23"/>
      <c r="J1298" s="23"/>
      <c r="K1298" s="23"/>
      <c r="L1298" s="23" t="s">
        <v>5585</v>
      </c>
      <c r="M1298" s="23"/>
    </row>
    <row r="1299" spans="2:13" ht="15" customHeight="1" x14ac:dyDescent="0.25">
      <c r="B1299" s="35" t="s">
        <v>2866</v>
      </c>
      <c r="C1299" s="23" t="s">
        <v>2867</v>
      </c>
      <c r="D1299" s="23" t="s">
        <v>3303</v>
      </c>
      <c r="E1299" s="23" t="s">
        <v>3317</v>
      </c>
      <c r="F1299" s="23" t="s">
        <v>3729</v>
      </c>
      <c r="G1299" s="93">
        <v>3</v>
      </c>
      <c r="H1299" s="93">
        <v>0</v>
      </c>
      <c r="I1299" s="23"/>
      <c r="J1299" s="23"/>
      <c r="K1299" s="23"/>
      <c r="L1299" s="23" t="s">
        <v>5585</v>
      </c>
      <c r="M1299" s="23"/>
    </row>
    <row r="1300" spans="2:13" ht="15" customHeight="1" x14ac:dyDescent="0.25">
      <c r="B1300" s="35" t="s">
        <v>2868</v>
      </c>
      <c r="C1300" s="23" t="s">
        <v>2869</v>
      </c>
      <c r="D1300" s="23" t="s">
        <v>3303</v>
      </c>
      <c r="E1300" s="23" t="s">
        <v>3317</v>
      </c>
      <c r="F1300" s="23" t="s">
        <v>3729</v>
      </c>
      <c r="G1300" s="93">
        <v>3</v>
      </c>
      <c r="H1300" s="93">
        <v>0</v>
      </c>
      <c r="I1300" s="23"/>
      <c r="J1300" s="23"/>
      <c r="K1300" s="23"/>
      <c r="L1300" s="23" t="s">
        <v>5585</v>
      </c>
      <c r="M1300" s="23"/>
    </row>
    <row r="1301" spans="2:13" ht="15" customHeight="1" x14ac:dyDescent="0.25">
      <c r="B1301" s="35" t="s">
        <v>5629</v>
      </c>
      <c r="C1301" s="23" t="s">
        <v>5630</v>
      </c>
      <c r="D1301" s="23" t="s">
        <v>3303</v>
      </c>
      <c r="E1301" s="23" t="s">
        <v>3317</v>
      </c>
      <c r="F1301" s="23" t="s">
        <v>3729</v>
      </c>
      <c r="G1301" s="93">
        <v>3</v>
      </c>
      <c r="H1301" s="93">
        <v>1</v>
      </c>
      <c r="I1301" s="23"/>
      <c r="J1301" s="23"/>
      <c r="K1301" s="23"/>
      <c r="L1301" s="23" t="s">
        <v>5585</v>
      </c>
      <c r="M1301" s="23"/>
    </row>
    <row r="1302" spans="2:13" ht="15" customHeight="1" x14ac:dyDescent="0.25">
      <c r="B1302" s="35" t="s">
        <v>2870</v>
      </c>
      <c r="C1302" s="23" t="s">
        <v>2871</v>
      </c>
      <c r="D1302" s="23" t="s">
        <v>3303</v>
      </c>
      <c r="E1302" s="23" t="s">
        <v>3317</v>
      </c>
      <c r="F1302" s="23" t="s">
        <v>3729</v>
      </c>
      <c r="G1302" s="93">
        <v>3</v>
      </c>
      <c r="H1302" s="93">
        <v>1</v>
      </c>
      <c r="I1302" s="23"/>
      <c r="J1302" s="23"/>
      <c r="K1302" s="23"/>
      <c r="L1302" s="23" t="s">
        <v>5585</v>
      </c>
      <c r="M1302" s="23" t="s">
        <v>3503</v>
      </c>
    </row>
    <row r="1303" spans="2:13" ht="15" customHeight="1" x14ac:dyDescent="0.25">
      <c r="B1303" s="35" t="s">
        <v>2874</v>
      </c>
      <c r="C1303" s="23" t="s">
        <v>2875</v>
      </c>
      <c r="D1303" s="23" t="s">
        <v>3303</v>
      </c>
      <c r="E1303" s="23" t="s">
        <v>3317</v>
      </c>
      <c r="F1303" s="23" t="s">
        <v>3729</v>
      </c>
      <c r="G1303" s="93">
        <v>3</v>
      </c>
      <c r="H1303" s="93">
        <v>1</v>
      </c>
      <c r="I1303" s="23"/>
      <c r="J1303" s="23"/>
      <c r="K1303" s="23"/>
      <c r="L1303" s="23" t="s">
        <v>5585</v>
      </c>
      <c r="M1303" s="23"/>
    </row>
    <row r="1304" spans="2:13" ht="15" customHeight="1" x14ac:dyDescent="0.25">
      <c r="B1304" s="35" t="s">
        <v>2878</v>
      </c>
      <c r="C1304" s="23" t="s">
        <v>2879</v>
      </c>
      <c r="D1304" s="23" t="s">
        <v>3303</v>
      </c>
      <c r="E1304" s="23" t="s">
        <v>3317</v>
      </c>
      <c r="F1304" s="23" t="s">
        <v>3729</v>
      </c>
      <c r="G1304" s="93">
        <v>3</v>
      </c>
      <c r="H1304" s="93">
        <v>1</v>
      </c>
      <c r="I1304" s="23"/>
      <c r="J1304" s="23"/>
      <c r="K1304" s="23"/>
      <c r="L1304" s="23" t="s">
        <v>5585</v>
      </c>
      <c r="M1304" s="23"/>
    </row>
    <row r="1305" spans="2:13" ht="15" customHeight="1" x14ac:dyDescent="0.25">
      <c r="B1305" s="35" t="s">
        <v>2880</v>
      </c>
      <c r="C1305" s="23" t="s">
        <v>2881</v>
      </c>
      <c r="D1305" s="23" t="s">
        <v>3303</v>
      </c>
      <c r="E1305" s="23" t="s">
        <v>3317</v>
      </c>
      <c r="F1305" s="23" t="s">
        <v>3729</v>
      </c>
      <c r="G1305" s="93">
        <v>3</v>
      </c>
      <c r="H1305" s="93">
        <v>0</v>
      </c>
      <c r="I1305" s="23"/>
      <c r="J1305" s="23"/>
      <c r="K1305" s="23"/>
      <c r="L1305" s="23" t="s">
        <v>5585</v>
      </c>
      <c r="M1305" s="23"/>
    </row>
    <row r="1306" spans="2:13" ht="15" customHeight="1" x14ac:dyDescent="0.25">
      <c r="B1306" s="35" t="s">
        <v>5631</v>
      </c>
      <c r="C1306" s="23" t="s">
        <v>5632</v>
      </c>
      <c r="D1306" s="23" t="s">
        <v>3303</v>
      </c>
      <c r="E1306" s="23" t="s">
        <v>3317</v>
      </c>
      <c r="F1306" s="23" t="s">
        <v>3729</v>
      </c>
      <c r="G1306" s="93">
        <v>3</v>
      </c>
      <c r="H1306" s="93">
        <v>1</v>
      </c>
      <c r="I1306" s="23"/>
      <c r="J1306" s="23"/>
      <c r="K1306" s="23"/>
      <c r="L1306" s="23" t="s">
        <v>5585</v>
      </c>
      <c r="M1306" s="23" t="s">
        <v>3510</v>
      </c>
    </row>
    <row r="1307" spans="2:13" ht="15" customHeight="1" x14ac:dyDescent="0.25">
      <c r="B1307" s="35" t="s">
        <v>5633</v>
      </c>
      <c r="C1307" s="23" t="s">
        <v>5634</v>
      </c>
      <c r="D1307" s="23" t="s">
        <v>3303</v>
      </c>
      <c r="E1307" s="23" t="s">
        <v>3317</v>
      </c>
      <c r="F1307" s="23" t="s">
        <v>3729</v>
      </c>
      <c r="G1307" s="93">
        <v>3</v>
      </c>
      <c r="H1307" s="93">
        <v>1</v>
      </c>
      <c r="I1307" s="23"/>
      <c r="J1307" s="23"/>
      <c r="K1307" s="23"/>
      <c r="L1307" s="23" t="s">
        <v>5585</v>
      </c>
      <c r="M1307" s="23" t="s">
        <v>3503</v>
      </c>
    </row>
    <row r="1308" spans="2:13" ht="15" customHeight="1" x14ac:dyDescent="0.25">
      <c r="B1308" s="35" t="s">
        <v>5635</v>
      </c>
      <c r="C1308" s="23" t="s">
        <v>5636</v>
      </c>
      <c r="D1308" s="23" t="s">
        <v>3303</v>
      </c>
      <c r="E1308" s="23" t="s">
        <v>3317</v>
      </c>
      <c r="F1308" s="23" t="s">
        <v>3729</v>
      </c>
      <c r="G1308" s="93">
        <v>3</v>
      </c>
      <c r="H1308" s="93">
        <v>1</v>
      </c>
      <c r="I1308" s="23"/>
      <c r="J1308" s="23"/>
      <c r="K1308" s="23"/>
      <c r="L1308" s="23" t="s">
        <v>5585</v>
      </c>
      <c r="M1308" s="23"/>
    </row>
    <row r="1309" spans="2:13" ht="15" customHeight="1" x14ac:dyDescent="0.25">
      <c r="B1309" s="35" t="s">
        <v>5637</v>
      </c>
      <c r="C1309" s="23" t="s">
        <v>5638</v>
      </c>
      <c r="D1309" s="23" t="s">
        <v>3303</v>
      </c>
      <c r="E1309" s="23" t="s">
        <v>3317</v>
      </c>
      <c r="F1309" s="23" t="s">
        <v>3729</v>
      </c>
      <c r="G1309" s="93">
        <v>3</v>
      </c>
      <c r="H1309" s="93">
        <v>1</v>
      </c>
      <c r="I1309" s="23"/>
      <c r="J1309" s="23"/>
      <c r="K1309" s="23"/>
      <c r="L1309" s="23" t="s">
        <v>5585</v>
      </c>
      <c r="M1309" s="23" t="s">
        <v>3510</v>
      </c>
    </row>
    <row r="1310" spans="2:13" ht="15" customHeight="1" x14ac:dyDescent="0.25">
      <c r="B1310" s="35" t="s">
        <v>5639</v>
      </c>
      <c r="C1310" s="23" t="s">
        <v>5640</v>
      </c>
      <c r="D1310" s="23" t="s">
        <v>3303</v>
      </c>
      <c r="E1310" s="23" t="s">
        <v>3317</v>
      </c>
      <c r="F1310" s="23" t="s">
        <v>3729</v>
      </c>
      <c r="G1310" s="93">
        <v>3</v>
      </c>
      <c r="H1310" s="93">
        <v>1</v>
      </c>
      <c r="I1310" s="23"/>
      <c r="J1310" s="23"/>
      <c r="K1310" s="23"/>
      <c r="L1310" s="23" t="s">
        <v>5585</v>
      </c>
      <c r="M1310" s="23" t="s">
        <v>3694</v>
      </c>
    </row>
    <row r="1311" spans="2:13" ht="15" customHeight="1" x14ac:dyDescent="0.25">
      <c r="B1311" s="35" t="s">
        <v>5641</v>
      </c>
      <c r="C1311" s="23" t="s">
        <v>5642</v>
      </c>
      <c r="D1311" s="23" t="s">
        <v>3303</v>
      </c>
      <c r="E1311" s="23" t="s">
        <v>3317</v>
      </c>
      <c r="F1311" s="23" t="s">
        <v>3729</v>
      </c>
      <c r="G1311" s="93">
        <v>3</v>
      </c>
      <c r="H1311" s="93">
        <v>1</v>
      </c>
      <c r="I1311" s="23"/>
      <c r="J1311" s="23"/>
      <c r="K1311" s="23"/>
      <c r="L1311" s="23" t="s">
        <v>5585</v>
      </c>
      <c r="M1311" s="23" t="s">
        <v>4716</v>
      </c>
    </row>
    <row r="1312" spans="2:13" ht="15" customHeight="1" x14ac:dyDescent="0.25">
      <c r="B1312" s="35" t="s">
        <v>2882</v>
      </c>
      <c r="C1312" s="23" t="s">
        <v>5643</v>
      </c>
      <c r="D1312" s="23" t="s">
        <v>3303</v>
      </c>
      <c r="E1312" s="23" t="s">
        <v>3317</v>
      </c>
      <c r="F1312" s="23" t="s">
        <v>3729</v>
      </c>
      <c r="G1312" s="93">
        <v>3</v>
      </c>
      <c r="H1312" s="93">
        <v>1</v>
      </c>
      <c r="I1312" s="23"/>
      <c r="J1312" s="23"/>
      <c r="K1312" s="23"/>
      <c r="L1312" s="23" t="s">
        <v>5585</v>
      </c>
      <c r="M1312" s="23"/>
    </row>
    <row r="1313" spans="2:13" ht="15" customHeight="1" x14ac:dyDescent="0.25">
      <c r="B1313" s="35" t="s">
        <v>5644</v>
      </c>
      <c r="C1313" s="23" t="s">
        <v>5645</v>
      </c>
      <c r="D1313" s="23" t="s">
        <v>3303</v>
      </c>
      <c r="E1313" s="23" t="s">
        <v>3317</v>
      </c>
      <c r="F1313" s="23" t="s">
        <v>3729</v>
      </c>
      <c r="G1313" s="93">
        <v>3</v>
      </c>
      <c r="H1313" s="93">
        <v>1</v>
      </c>
      <c r="I1313" s="23"/>
      <c r="J1313" s="23"/>
      <c r="K1313" s="23"/>
      <c r="L1313" s="23" t="s">
        <v>5585</v>
      </c>
      <c r="M1313" s="23" t="s">
        <v>4716</v>
      </c>
    </row>
    <row r="1314" spans="2:13" ht="15" customHeight="1" x14ac:dyDescent="0.25">
      <c r="B1314" s="35" t="s">
        <v>5646</v>
      </c>
      <c r="C1314" s="23" t="s">
        <v>5647</v>
      </c>
      <c r="D1314" s="23" t="s">
        <v>3303</v>
      </c>
      <c r="E1314" s="23" t="s">
        <v>3317</v>
      </c>
      <c r="F1314" s="23" t="s">
        <v>3729</v>
      </c>
      <c r="G1314" s="93">
        <v>3</v>
      </c>
      <c r="H1314" s="93">
        <v>1</v>
      </c>
      <c r="I1314" s="23"/>
      <c r="J1314" s="23"/>
      <c r="K1314" s="23"/>
      <c r="L1314" s="23" t="s">
        <v>5585</v>
      </c>
      <c r="M1314" s="23"/>
    </row>
    <row r="1315" spans="2:13" ht="15" customHeight="1" x14ac:dyDescent="0.25">
      <c r="B1315" s="35" t="s">
        <v>5648</v>
      </c>
      <c r="C1315" s="23" t="s">
        <v>5649</v>
      </c>
      <c r="D1315" s="23" t="s">
        <v>3303</v>
      </c>
      <c r="E1315" s="23" t="s">
        <v>3317</v>
      </c>
      <c r="F1315" s="23" t="s">
        <v>3729</v>
      </c>
      <c r="G1315" s="93">
        <v>3</v>
      </c>
      <c r="H1315" s="93">
        <v>1</v>
      </c>
      <c r="I1315" s="23"/>
      <c r="J1315" s="23"/>
      <c r="K1315" s="23"/>
      <c r="L1315" s="23" t="s">
        <v>5585</v>
      </c>
      <c r="M1315" s="23" t="s">
        <v>4716</v>
      </c>
    </row>
    <row r="1316" spans="2:13" ht="15" customHeight="1" x14ac:dyDescent="0.25">
      <c r="B1316" s="35" t="s">
        <v>3124</v>
      </c>
      <c r="C1316" s="23" t="s">
        <v>3125</v>
      </c>
      <c r="D1316" s="23" t="s">
        <v>3303</v>
      </c>
      <c r="E1316" s="23" t="s">
        <v>3317</v>
      </c>
      <c r="F1316" s="23" t="s">
        <v>3729</v>
      </c>
      <c r="G1316" s="93">
        <v>3</v>
      </c>
      <c r="H1316" s="93">
        <v>1</v>
      </c>
      <c r="I1316" s="23"/>
      <c r="J1316" s="23"/>
      <c r="K1316" s="23"/>
      <c r="L1316" s="23" t="s">
        <v>5585</v>
      </c>
      <c r="M1316" s="23"/>
    </row>
    <row r="1317" spans="2:13" ht="15" customHeight="1" x14ac:dyDescent="0.25">
      <c r="B1317" s="35" t="s">
        <v>5650</v>
      </c>
      <c r="C1317" s="23" t="s">
        <v>5651</v>
      </c>
      <c r="D1317" s="23" t="s">
        <v>3303</v>
      </c>
      <c r="E1317" s="23" t="s">
        <v>3317</v>
      </c>
      <c r="F1317" s="23" t="s">
        <v>3729</v>
      </c>
      <c r="G1317" s="93">
        <v>3</v>
      </c>
      <c r="H1317" s="93">
        <v>1</v>
      </c>
      <c r="I1317" s="23"/>
      <c r="J1317" s="23"/>
      <c r="K1317" s="23"/>
      <c r="L1317" s="23" t="s">
        <v>5585</v>
      </c>
      <c r="M1317" s="23" t="s">
        <v>4716</v>
      </c>
    </row>
    <row r="1318" spans="2:13" ht="15" customHeight="1" x14ac:dyDescent="0.25">
      <c r="B1318" s="35" t="s">
        <v>5652</v>
      </c>
      <c r="C1318" s="23" t="s">
        <v>5653</v>
      </c>
      <c r="D1318" s="23" t="s">
        <v>3303</v>
      </c>
      <c r="E1318" s="23" t="s">
        <v>3317</v>
      </c>
      <c r="F1318" s="23" t="s">
        <v>3729</v>
      </c>
      <c r="G1318" s="93">
        <v>3</v>
      </c>
      <c r="H1318" s="93">
        <v>1</v>
      </c>
      <c r="I1318" s="23"/>
      <c r="J1318" s="23"/>
      <c r="K1318" s="23"/>
      <c r="L1318" s="23" t="s">
        <v>5585</v>
      </c>
      <c r="M1318" s="23" t="s">
        <v>4716</v>
      </c>
    </row>
    <row r="1319" spans="2:13" ht="15" customHeight="1" x14ac:dyDescent="0.25">
      <c r="B1319" s="35" t="s">
        <v>5654</v>
      </c>
      <c r="C1319" s="23" t="s">
        <v>5655</v>
      </c>
      <c r="D1319" s="23" t="s">
        <v>3303</v>
      </c>
      <c r="E1319" s="23" t="s">
        <v>3317</v>
      </c>
      <c r="F1319" s="23" t="s">
        <v>3729</v>
      </c>
      <c r="G1319" s="93">
        <v>3</v>
      </c>
      <c r="H1319" s="93">
        <v>1</v>
      </c>
      <c r="I1319" s="23"/>
      <c r="J1319" s="23"/>
      <c r="K1319" s="23"/>
      <c r="L1319" s="23" t="s">
        <v>5585</v>
      </c>
      <c r="M1319" s="23"/>
    </row>
    <row r="1320" spans="2:13" ht="15" customHeight="1" x14ac:dyDescent="0.25">
      <c r="B1320" s="35" t="s">
        <v>5656</v>
      </c>
      <c r="C1320" s="23" t="s">
        <v>5657</v>
      </c>
      <c r="D1320" s="23" t="s">
        <v>3303</v>
      </c>
      <c r="E1320" s="23" t="s">
        <v>3317</v>
      </c>
      <c r="F1320" s="23" t="s">
        <v>3729</v>
      </c>
      <c r="G1320" s="93">
        <v>3</v>
      </c>
      <c r="H1320" s="93">
        <v>1</v>
      </c>
      <c r="I1320" s="23"/>
      <c r="J1320" s="23"/>
      <c r="K1320" s="23"/>
      <c r="L1320" s="23" t="s">
        <v>5585</v>
      </c>
      <c r="M1320" s="23" t="s">
        <v>4716</v>
      </c>
    </row>
    <row r="1321" spans="2:13" ht="15" customHeight="1" x14ac:dyDescent="0.25">
      <c r="B1321" s="35" t="s">
        <v>5658</v>
      </c>
      <c r="C1321" s="23" t="s">
        <v>5659</v>
      </c>
      <c r="D1321" s="23" t="s">
        <v>3303</v>
      </c>
      <c r="E1321" s="23" t="s">
        <v>3317</v>
      </c>
      <c r="F1321" s="23" t="s">
        <v>3729</v>
      </c>
      <c r="G1321" s="93">
        <v>3</v>
      </c>
      <c r="H1321" s="93">
        <v>1</v>
      </c>
      <c r="I1321" s="23"/>
      <c r="J1321" s="23"/>
      <c r="K1321" s="23"/>
      <c r="L1321" s="23" t="s">
        <v>5585</v>
      </c>
      <c r="M1321" s="23" t="s">
        <v>4716</v>
      </c>
    </row>
    <row r="1322" spans="2:13" ht="15" customHeight="1" x14ac:dyDescent="0.25">
      <c r="B1322" s="35" t="s">
        <v>5660</v>
      </c>
      <c r="C1322" s="23" t="s">
        <v>5661</v>
      </c>
      <c r="D1322" s="23" t="s">
        <v>3303</v>
      </c>
      <c r="E1322" s="23" t="s">
        <v>3317</v>
      </c>
      <c r="F1322" s="23" t="s">
        <v>3729</v>
      </c>
      <c r="G1322" s="93">
        <v>3</v>
      </c>
      <c r="H1322" s="93">
        <v>1</v>
      </c>
      <c r="I1322" s="23"/>
      <c r="J1322" s="23"/>
      <c r="K1322" s="23"/>
      <c r="L1322" s="23" t="s">
        <v>5585</v>
      </c>
      <c r="M1322" s="23" t="s">
        <v>4716</v>
      </c>
    </row>
    <row r="1323" spans="2:13" ht="15" customHeight="1" x14ac:dyDescent="0.25">
      <c r="B1323" s="35" t="s">
        <v>5662</v>
      </c>
      <c r="C1323" s="23" t="s">
        <v>5663</v>
      </c>
      <c r="D1323" s="23" t="s">
        <v>3303</v>
      </c>
      <c r="E1323" s="23" t="s">
        <v>3317</v>
      </c>
      <c r="F1323" s="23" t="s">
        <v>3729</v>
      </c>
      <c r="G1323" s="93">
        <v>0</v>
      </c>
      <c r="H1323" s="93">
        <v>0</v>
      </c>
      <c r="I1323" s="23"/>
      <c r="J1323" s="23"/>
      <c r="K1323" s="23"/>
      <c r="L1323" s="23" t="s">
        <v>5585</v>
      </c>
      <c r="M1323" s="23"/>
    </row>
    <row r="1324" spans="2:13" ht="15" customHeight="1" x14ac:dyDescent="0.25">
      <c r="B1324" s="35" t="s">
        <v>5585</v>
      </c>
      <c r="C1324" s="23" t="s">
        <v>5664</v>
      </c>
      <c r="D1324" s="23" t="s">
        <v>3303</v>
      </c>
      <c r="E1324" s="23" t="s">
        <v>3367</v>
      </c>
      <c r="F1324" s="23" t="s">
        <v>3729</v>
      </c>
      <c r="G1324" s="93">
        <v>0</v>
      </c>
      <c r="H1324" s="93">
        <v>0</v>
      </c>
      <c r="I1324" s="23"/>
      <c r="J1324" s="23"/>
      <c r="K1324" s="23"/>
      <c r="L1324" s="23" t="s">
        <v>5281</v>
      </c>
      <c r="M1324" s="23"/>
    </row>
    <row r="1325" spans="2:13" ht="15" customHeight="1" x14ac:dyDescent="0.25">
      <c r="B1325" s="35" t="s">
        <v>5665</v>
      </c>
      <c r="C1325" s="23" t="s">
        <v>5666</v>
      </c>
      <c r="D1325" s="23" t="s">
        <v>3303</v>
      </c>
      <c r="E1325" s="23" t="s">
        <v>3304</v>
      </c>
      <c r="F1325" s="23" t="s">
        <v>3729</v>
      </c>
      <c r="G1325" s="93">
        <v>0</v>
      </c>
      <c r="H1325" s="93">
        <v>0</v>
      </c>
      <c r="I1325" s="23"/>
      <c r="J1325" s="23"/>
      <c r="K1325" s="23"/>
      <c r="L1325" s="23" t="s">
        <v>5667</v>
      </c>
      <c r="M1325" s="23"/>
    </row>
    <row r="1326" spans="2:13" ht="15" customHeight="1" x14ac:dyDescent="0.25">
      <c r="B1326" s="35" t="s">
        <v>5668</v>
      </c>
      <c r="C1326" s="23" t="s">
        <v>5669</v>
      </c>
      <c r="D1326" s="23" t="s">
        <v>3303</v>
      </c>
      <c r="E1326" s="23" t="s">
        <v>3317</v>
      </c>
      <c r="F1326" s="23" t="s">
        <v>3729</v>
      </c>
      <c r="G1326" s="93">
        <v>3</v>
      </c>
      <c r="H1326" s="93">
        <v>1</v>
      </c>
      <c r="I1326" s="23"/>
      <c r="J1326" s="23"/>
      <c r="K1326" s="23"/>
      <c r="L1326" s="23" t="s">
        <v>5667</v>
      </c>
      <c r="M1326" s="23"/>
    </row>
    <row r="1327" spans="2:13" ht="15" customHeight="1" x14ac:dyDescent="0.25">
      <c r="B1327" s="35" t="s">
        <v>5670</v>
      </c>
      <c r="C1327" s="23" t="s">
        <v>5671</v>
      </c>
      <c r="D1327" s="23" t="s">
        <v>3303</v>
      </c>
      <c r="E1327" s="23" t="s">
        <v>3317</v>
      </c>
      <c r="F1327" s="23" t="s">
        <v>3729</v>
      </c>
      <c r="G1327" s="93">
        <v>3</v>
      </c>
      <c r="H1327" s="93">
        <v>1</v>
      </c>
      <c r="I1327" s="23"/>
      <c r="J1327" s="23"/>
      <c r="K1327" s="23"/>
      <c r="L1327" s="23" t="s">
        <v>5667</v>
      </c>
      <c r="M1327" s="23"/>
    </row>
    <row r="1328" spans="2:13" ht="15" customHeight="1" x14ac:dyDescent="0.25">
      <c r="B1328" s="35" t="s">
        <v>5672</v>
      </c>
      <c r="C1328" s="23" t="s">
        <v>5673</v>
      </c>
      <c r="D1328" s="23" t="s">
        <v>3303</v>
      </c>
      <c r="E1328" s="23" t="s">
        <v>3317</v>
      </c>
      <c r="F1328" s="23" t="s">
        <v>3729</v>
      </c>
      <c r="G1328" s="93">
        <v>3</v>
      </c>
      <c r="H1328" s="93">
        <v>1</v>
      </c>
      <c r="I1328" s="23"/>
      <c r="J1328" s="23"/>
      <c r="K1328" s="23"/>
      <c r="L1328" s="23" t="s">
        <v>5667</v>
      </c>
      <c r="M1328" s="23" t="s">
        <v>3694</v>
      </c>
    </row>
    <row r="1329" spans="2:13" ht="15" customHeight="1" x14ac:dyDescent="0.25">
      <c r="B1329" s="35" t="s">
        <v>5674</v>
      </c>
      <c r="C1329" s="23" t="s">
        <v>5675</v>
      </c>
      <c r="D1329" s="23" t="s">
        <v>3303</v>
      </c>
      <c r="E1329" s="23" t="s">
        <v>3317</v>
      </c>
      <c r="F1329" s="23" t="s">
        <v>3729</v>
      </c>
      <c r="G1329" s="93">
        <v>3</v>
      </c>
      <c r="H1329" s="93">
        <v>1</v>
      </c>
      <c r="I1329" s="23"/>
      <c r="J1329" s="23"/>
      <c r="K1329" s="23"/>
      <c r="L1329" s="23" t="s">
        <v>5667</v>
      </c>
      <c r="M1329" s="23" t="s">
        <v>3694</v>
      </c>
    </row>
    <row r="1330" spans="2:13" ht="15" customHeight="1" x14ac:dyDescent="0.25">
      <c r="B1330" s="35" t="s">
        <v>5676</v>
      </c>
      <c r="C1330" s="23" t="s">
        <v>5677</v>
      </c>
      <c r="D1330" s="23" t="s">
        <v>3303</v>
      </c>
      <c r="E1330" s="23" t="s">
        <v>3317</v>
      </c>
      <c r="F1330" s="23" t="s">
        <v>3729</v>
      </c>
      <c r="G1330" s="93">
        <v>3</v>
      </c>
      <c r="H1330" s="93">
        <v>1</v>
      </c>
      <c r="I1330" s="23"/>
      <c r="J1330" s="23"/>
      <c r="K1330" s="23"/>
      <c r="L1330" s="23" t="s">
        <v>5667</v>
      </c>
      <c r="M1330" s="23" t="s">
        <v>3694</v>
      </c>
    </row>
    <row r="1331" spans="2:13" ht="15" customHeight="1" x14ac:dyDescent="0.25">
      <c r="B1331" s="35" t="s">
        <v>5678</v>
      </c>
      <c r="C1331" s="23" t="s">
        <v>5679</v>
      </c>
      <c r="D1331" s="23" t="s">
        <v>3303</v>
      </c>
      <c r="E1331" s="23" t="s">
        <v>3317</v>
      </c>
      <c r="F1331" s="23" t="s">
        <v>3729</v>
      </c>
      <c r="G1331" s="93">
        <v>3</v>
      </c>
      <c r="H1331" s="93">
        <v>1</v>
      </c>
      <c r="I1331" s="23"/>
      <c r="J1331" s="23"/>
      <c r="K1331" s="23"/>
      <c r="L1331" s="23" t="s">
        <v>5667</v>
      </c>
      <c r="M1331" s="23" t="s">
        <v>4716</v>
      </c>
    </row>
    <row r="1332" spans="2:13" ht="15" customHeight="1" x14ac:dyDescent="0.25">
      <c r="B1332" s="35" t="s">
        <v>5680</v>
      </c>
      <c r="C1332" s="23" t="s">
        <v>5681</v>
      </c>
      <c r="D1332" s="23" t="s">
        <v>3303</v>
      </c>
      <c r="E1332" s="23" t="s">
        <v>3317</v>
      </c>
      <c r="F1332" s="23" t="s">
        <v>3729</v>
      </c>
      <c r="G1332" s="93">
        <v>3</v>
      </c>
      <c r="H1332" s="93">
        <v>1</v>
      </c>
      <c r="I1332" s="23"/>
      <c r="J1332" s="23"/>
      <c r="K1332" s="23"/>
      <c r="L1332" s="23" t="s">
        <v>5667</v>
      </c>
      <c r="M1332" s="23"/>
    </row>
    <row r="1333" spans="2:13" ht="15" customHeight="1" x14ac:dyDescent="0.25">
      <c r="B1333" s="35" t="s">
        <v>5682</v>
      </c>
      <c r="C1333" s="23" t="s">
        <v>5683</v>
      </c>
      <c r="D1333" s="23" t="s">
        <v>3303</v>
      </c>
      <c r="E1333" s="23" t="s">
        <v>3317</v>
      </c>
      <c r="F1333" s="23" t="s">
        <v>3729</v>
      </c>
      <c r="G1333" s="93">
        <v>3</v>
      </c>
      <c r="H1333" s="93">
        <v>1</v>
      </c>
      <c r="I1333" s="23"/>
      <c r="J1333" s="23"/>
      <c r="K1333" s="23"/>
      <c r="L1333" s="23" t="s">
        <v>5667</v>
      </c>
      <c r="M1333" s="23"/>
    </row>
    <row r="1334" spans="2:13" ht="15" customHeight="1" x14ac:dyDescent="0.25">
      <c r="B1334" s="35" t="s">
        <v>5684</v>
      </c>
      <c r="C1334" s="23" t="s">
        <v>5685</v>
      </c>
      <c r="D1334" s="23" t="s">
        <v>3303</v>
      </c>
      <c r="E1334" s="23" t="s">
        <v>3317</v>
      </c>
      <c r="F1334" s="23" t="s">
        <v>3729</v>
      </c>
      <c r="G1334" s="93">
        <v>3</v>
      </c>
      <c r="H1334" s="93">
        <v>1</v>
      </c>
      <c r="I1334" s="23"/>
      <c r="J1334" s="23"/>
      <c r="K1334" s="23"/>
      <c r="L1334" s="23" t="s">
        <v>5667</v>
      </c>
      <c r="M1334" s="23"/>
    </row>
    <row r="1335" spans="2:13" ht="15" customHeight="1" x14ac:dyDescent="0.25">
      <c r="B1335" s="35" t="s">
        <v>5686</v>
      </c>
      <c r="C1335" s="23" t="s">
        <v>5687</v>
      </c>
      <c r="D1335" s="23" t="s">
        <v>3303</v>
      </c>
      <c r="E1335" s="23" t="s">
        <v>3317</v>
      </c>
      <c r="F1335" s="23" t="s">
        <v>3729</v>
      </c>
      <c r="G1335" s="93">
        <v>3</v>
      </c>
      <c r="H1335" s="93">
        <v>0</v>
      </c>
      <c r="I1335" s="23"/>
      <c r="J1335" s="23"/>
      <c r="K1335" s="23"/>
      <c r="L1335" s="23" t="s">
        <v>5667</v>
      </c>
      <c r="M1335" s="23"/>
    </row>
    <row r="1336" spans="2:13" ht="15" customHeight="1" x14ac:dyDescent="0.25">
      <c r="B1336" s="35" t="s">
        <v>5688</v>
      </c>
      <c r="C1336" s="23" t="s">
        <v>5689</v>
      </c>
      <c r="D1336" s="23" t="s">
        <v>3303</v>
      </c>
      <c r="E1336" s="23" t="s">
        <v>3317</v>
      </c>
      <c r="F1336" s="23" t="s">
        <v>3729</v>
      </c>
      <c r="G1336" s="93">
        <v>3</v>
      </c>
      <c r="H1336" s="93">
        <v>0</v>
      </c>
      <c r="I1336" s="23"/>
      <c r="J1336" s="23"/>
      <c r="K1336" s="23"/>
      <c r="L1336" s="23" t="s">
        <v>5667</v>
      </c>
      <c r="M1336" s="23"/>
    </row>
    <row r="1337" spans="2:13" ht="15" customHeight="1" x14ac:dyDescent="0.25">
      <c r="B1337" s="35" t="s">
        <v>5690</v>
      </c>
      <c r="C1337" s="23" t="s">
        <v>5691</v>
      </c>
      <c r="D1337" s="23" t="s">
        <v>3303</v>
      </c>
      <c r="E1337" s="23" t="s">
        <v>3317</v>
      </c>
      <c r="F1337" s="23" t="s">
        <v>3729</v>
      </c>
      <c r="G1337" s="93">
        <v>3</v>
      </c>
      <c r="H1337" s="93">
        <v>0</v>
      </c>
      <c r="I1337" s="23"/>
      <c r="J1337" s="23"/>
      <c r="K1337" s="23"/>
      <c r="L1337" s="23" t="s">
        <v>5667</v>
      </c>
      <c r="M1337" s="23"/>
    </row>
    <row r="1338" spans="2:13" ht="15" customHeight="1" x14ac:dyDescent="0.25">
      <c r="B1338" s="35" t="s">
        <v>5692</v>
      </c>
      <c r="C1338" s="23" t="s">
        <v>5693</v>
      </c>
      <c r="D1338" s="23" t="s">
        <v>3303</v>
      </c>
      <c r="E1338" s="23" t="s">
        <v>3317</v>
      </c>
      <c r="F1338" s="23" t="s">
        <v>3729</v>
      </c>
      <c r="G1338" s="93">
        <v>3</v>
      </c>
      <c r="H1338" s="93">
        <v>0</v>
      </c>
      <c r="I1338" s="23"/>
      <c r="J1338" s="23"/>
      <c r="K1338" s="23"/>
      <c r="L1338" s="23" t="s">
        <v>5667</v>
      </c>
      <c r="M1338" s="23"/>
    </row>
    <row r="1339" spans="2:13" ht="15" customHeight="1" x14ac:dyDescent="0.25">
      <c r="B1339" s="35" t="s">
        <v>5694</v>
      </c>
      <c r="C1339" s="23" t="s">
        <v>5695</v>
      </c>
      <c r="D1339" s="23" t="s">
        <v>3303</v>
      </c>
      <c r="E1339" s="23" t="s">
        <v>3317</v>
      </c>
      <c r="F1339" s="23" t="s">
        <v>3729</v>
      </c>
      <c r="G1339" s="93">
        <v>3</v>
      </c>
      <c r="H1339" s="93">
        <v>0</v>
      </c>
      <c r="I1339" s="23"/>
      <c r="J1339" s="23"/>
      <c r="K1339" s="23"/>
      <c r="L1339" s="23" t="s">
        <v>5667</v>
      </c>
      <c r="M1339" s="23"/>
    </row>
    <row r="1340" spans="2:13" ht="15" customHeight="1" x14ac:dyDescent="0.25">
      <c r="B1340" s="35" t="s">
        <v>5696</v>
      </c>
      <c r="C1340" s="23" t="s">
        <v>5697</v>
      </c>
      <c r="D1340" s="23" t="s">
        <v>3303</v>
      </c>
      <c r="E1340" s="23" t="s">
        <v>3317</v>
      </c>
      <c r="F1340" s="23" t="s">
        <v>3729</v>
      </c>
      <c r="G1340" s="93">
        <v>3</v>
      </c>
      <c r="H1340" s="93">
        <v>0</v>
      </c>
      <c r="I1340" s="23"/>
      <c r="J1340" s="23"/>
      <c r="K1340" s="23"/>
      <c r="L1340" s="23" t="s">
        <v>5667</v>
      </c>
      <c r="M1340" s="23"/>
    </row>
    <row r="1341" spans="2:13" ht="15" customHeight="1" x14ac:dyDescent="0.25">
      <c r="B1341" s="35" t="s">
        <v>5698</v>
      </c>
      <c r="C1341" s="23" t="s">
        <v>5699</v>
      </c>
      <c r="D1341" s="23" t="s">
        <v>3303</v>
      </c>
      <c r="E1341" s="23" t="s">
        <v>3317</v>
      </c>
      <c r="F1341" s="23" t="s">
        <v>3729</v>
      </c>
      <c r="G1341" s="93">
        <v>3</v>
      </c>
      <c r="H1341" s="93">
        <v>0</v>
      </c>
      <c r="I1341" s="23"/>
      <c r="J1341" s="23"/>
      <c r="K1341" s="23"/>
      <c r="L1341" s="23" t="s">
        <v>5667</v>
      </c>
      <c r="M1341" s="23"/>
    </row>
    <row r="1342" spans="2:13" ht="15" customHeight="1" x14ac:dyDescent="0.25">
      <c r="B1342" s="35" t="s">
        <v>5700</v>
      </c>
      <c r="C1342" s="23" t="s">
        <v>5701</v>
      </c>
      <c r="D1342" s="23" t="s">
        <v>3303</v>
      </c>
      <c r="E1342" s="23" t="s">
        <v>3317</v>
      </c>
      <c r="F1342" s="23" t="s">
        <v>3729</v>
      </c>
      <c r="G1342" s="93">
        <v>3</v>
      </c>
      <c r="H1342" s="93">
        <v>0</v>
      </c>
      <c r="I1342" s="23"/>
      <c r="J1342" s="23"/>
      <c r="K1342" s="23"/>
      <c r="L1342" s="23" t="s">
        <v>5667</v>
      </c>
      <c r="M1342" s="23"/>
    </row>
    <row r="1343" spans="2:13" ht="15" customHeight="1" x14ac:dyDescent="0.25">
      <c r="B1343" s="35" t="s">
        <v>5702</v>
      </c>
      <c r="C1343" s="23" t="s">
        <v>5703</v>
      </c>
      <c r="D1343" s="23" t="s">
        <v>3303</v>
      </c>
      <c r="E1343" s="23" t="s">
        <v>3317</v>
      </c>
      <c r="F1343" s="23" t="s">
        <v>3729</v>
      </c>
      <c r="G1343" s="93">
        <v>3</v>
      </c>
      <c r="H1343" s="93">
        <v>0</v>
      </c>
      <c r="I1343" s="23"/>
      <c r="J1343" s="23"/>
      <c r="K1343" s="23"/>
      <c r="L1343" s="23" t="s">
        <v>5667</v>
      </c>
      <c r="M1343" s="23"/>
    </row>
    <row r="1344" spans="2:13" ht="15" customHeight="1" x14ac:dyDescent="0.25">
      <c r="B1344" s="35" t="s">
        <v>5704</v>
      </c>
      <c r="C1344" s="23" t="s">
        <v>5705</v>
      </c>
      <c r="D1344" s="23" t="s">
        <v>3303</v>
      </c>
      <c r="E1344" s="23" t="s">
        <v>3317</v>
      </c>
      <c r="F1344" s="23" t="s">
        <v>3729</v>
      </c>
      <c r="G1344" s="93">
        <v>3</v>
      </c>
      <c r="H1344" s="93">
        <v>0</v>
      </c>
      <c r="I1344" s="23"/>
      <c r="J1344" s="23"/>
      <c r="K1344" s="23"/>
      <c r="L1344" s="23" t="s">
        <v>5667</v>
      </c>
      <c r="M1344" s="23"/>
    </row>
    <row r="1345" spans="2:13" ht="15" customHeight="1" x14ac:dyDescent="0.25">
      <c r="B1345" s="35" t="s">
        <v>5706</v>
      </c>
      <c r="C1345" s="23" t="s">
        <v>5707</v>
      </c>
      <c r="D1345" s="23" t="s">
        <v>3303</v>
      </c>
      <c r="E1345" s="23" t="s">
        <v>3317</v>
      </c>
      <c r="F1345" s="23" t="s">
        <v>3729</v>
      </c>
      <c r="G1345" s="93">
        <v>3</v>
      </c>
      <c r="H1345" s="93">
        <v>0</v>
      </c>
      <c r="I1345" s="23"/>
      <c r="J1345" s="23"/>
      <c r="K1345" s="23"/>
      <c r="L1345" s="23" t="s">
        <v>5667</v>
      </c>
      <c r="M1345" s="23"/>
    </row>
    <row r="1346" spans="2:13" ht="15" customHeight="1" x14ac:dyDescent="0.25">
      <c r="B1346" s="35" t="s">
        <v>5708</v>
      </c>
      <c r="C1346" s="23" t="s">
        <v>5709</v>
      </c>
      <c r="D1346" s="23" t="s">
        <v>3303</v>
      </c>
      <c r="E1346" s="23" t="s">
        <v>3317</v>
      </c>
      <c r="F1346" s="23" t="s">
        <v>3729</v>
      </c>
      <c r="G1346" s="93">
        <v>3</v>
      </c>
      <c r="H1346" s="93">
        <v>0</v>
      </c>
      <c r="I1346" s="23"/>
      <c r="J1346" s="23"/>
      <c r="K1346" s="23"/>
      <c r="L1346" s="23" t="s">
        <v>5667</v>
      </c>
      <c r="M1346" s="23"/>
    </row>
    <row r="1347" spans="2:13" ht="15" customHeight="1" x14ac:dyDescent="0.25">
      <c r="B1347" s="35" t="s">
        <v>5710</v>
      </c>
      <c r="C1347" s="23" t="s">
        <v>5711</v>
      </c>
      <c r="D1347" s="23" t="s">
        <v>3303</v>
      </c>
      <c r="E1347" s="23" t="s">
        <v>3317</v>
      </c>
      <c r="F1347" s="23" t="s">
        <v>3729</v>
      </c>
      <c r="G1347" s="93">
        <v>3</v>
      </c>
      <c r="H1347" s="93">
        <v>0</v>
      </c>
      <c r="I1347" s="23"/>
      <c r="J1347" s="23"/>
      <c r="K1347" s="23"/>
      <c r="L1347" s="23" t="s">
        <v>5667</v>
      </c>
      <c r="M1347" s="23"/>
    </row>
    <row r="1348" spans="2:13" ht="15" customHeight="1" x14ac:dyDescent="0.25">
      <c r="B1348" s="35" t="s">
        <v>5712</v>
      </c>
      <c r="C1348" s="23" t="s">
        <v>5713</v>
      </c>
      <c r="D1348" s="23" t="s">
        <v>3303</v>
      </c>
      <c r="E1348" s="23" t="s">
        <v>3317</v>
      </c>
      <c r="F1348" s="23" t="s">
        <v>3729</v>
      </c>
      <c r="G1348" s="93">
        <v>3</v>
      </c>
      <c r="H1348" s="93">
        <v>1</v>
      </c>
      <c r="I1348" s="23"/>
      <c r="J1348" s="23"/>
      <c r="K1348" s="23"/>
      <c r="L1348" s="23" t="s">
        <v>5667</v>
      </c>
      <c r="M1348" s="23"/>
    </row>
    <row r="1349" spans="2:13" ht="15" customHeight="1" x14ac:dyDescent="0.25">
      <c r="B1349" s="35" t="s">
        <v>5714</v>
      </c>
      <c r="C1349" s="23" t="s">
        <v>5715</v>
      </c>
      <c r="D1349" s="23" t="s">
        <v>3303</v>
      </c>
      <c r="E1349" s="23" t="s">
        <v>3317</v>
      </c>
      <c r="F1349" s="23" t="s">
        <v>3729</v>
      </c>
      <c r="G1349" s="93">
        <v>3</v>
      </c>
      <c r="H1349" s="93">
        <v>0</v>
      </c>
      <c r="I1349" s="23"/>
      <c r="J1349" s="23"/>
      <c r="K1349" s="23"/>
      <c r="L1349" s="23" t="s">
        <v>5667</v>
      </c>
      <c r="M1349" s="23" t="s">
        <v>4716</v>
      </c>
    </row>
    <row r="1350" spans="2:13" ht="15" customHeight="1" x14ac:dyDescent="0.25">
      <c r="B1350" s="35" t="s">
        <v>5716</v>
      </c>
      <c r="C1350" s="23" t="s">
        <v>5717</v>
      </c>
      <c r="D1350" s="23" t="s">
        <v>3303</v>
      </c>
      <c r="E1350" s="23" t="s">
        <v>3317</v>
      </c>
      <c r="F1350" s="23" t="s">
        <v>3729</v>
      </c>
      <c r="G1350" s="93">
        <v>3</v>
      </c>
      <c r="H1350" s="93">
        <v>1</v>
      </c>
      <c r="I1350" s="23"/>
      <c r="J1350" s="23"/>
      <c r="K1350" s="23"/>
      <c r="L1350" s="23" t="s">
        <v>5667</v>
      </c>
      <c r="M1350" s="23" t="s">
        <v>4716</v>
      </c>
    </row>
    <row r="1351" spans="2:13" ht="15" customHeight="1" x14ac:dyDescent="0.25">
      <c r="B1351" s="35" t="s">
        <v>5718</v>
      </c>
      <c r="C1351" s="23" t="s">
        <v>5719</v>
      </c>
      <c r="D1351" s="23" t="s">
        <v>3303</v>
      </c>
      <c r="E1351" s="23" t="s">
        <v>3317</v>
      </c>
      <c r="F1351" s="23" t="s">
        <v>3729</v>
      </c>
      <c r="G1351" s="93">
        <v>3</v>
      </c>
      <c r="H1351" s="93">
        <v>0</v>
      </c>
      <c r="I1351" s="23"/>
      <c r="J1351" s="23"/>
      <c r="K1351" s="23"/>
      <c r="L1351" s="23" t="s">
        <v>5667</v>
      </c>
      <c r="M1351" s="23"/>
    </row>
    <row r="1352" spans="2:13" ht="15" customHeight="1" x14ac:dyDescent="0.25">
      <c r="B1352" s="35" t="s">
        <v>5720</v>
      </c>
      <c r="C1352" s="23" t="s">
        <v>5721</v>
      </c>
      <c r="D1352" s="23" t="s">
        <v>3303</v>
      </c>
      <c r="E1352" s="23" t="s">
        <v>3317</v>
      </c>
      <c r="F1352" s="23" t="s">
        <v>3729</v>
      </c>
      <c r="G1352" s="93">
        <v>3</v>
      </c>
      <c r="H1352" s="93">
        <v>0</v>
      </c>
      <c r="I1352" s="23"/>
      <c r="J1352" s="23"/>
      <c r="K1352" s="23"/>
      <c r="L1352" s="23" t="s">
        <v>5667</v>
      </c>
      <c r="M1352" s="23" t="s">
        <v>4716</v>
      </c>
    </row>
    <row r="1353" spans="2:13" ht="15" customHeight="1" x14ac:dyDescent="0.25">
      <c r="B1353" s="35" t="s">
        <v>5722</v>
      </c>
      <c r="C1353" s="23" t="s">
        <v>5723</v>
      </c>
      <c r="D1353" s="23" t="s">
        <v>3303</v>
      </c>
      <c r="E1353" s="23" t="s">
        <v>3317</v>
      </c>
      <c r="F1353" s="23" t="s">
        <v>3729</v>
      </c>
      <c r="G1353" s="93">
        <v>3</v>
      </c>
      <c r="H1353" s="93">
        <v>0</v>
      </c>
      <c r="I1353" s="23"/>
      <c r="J1353" s="23"/>
      <c r="K1353" s="23"/>
      <c r="L1353" s="23" t="s">
        <v>5667</v>
      </c>
      <c r="M1353" s="23" t="s">
        <v>4716</v>
      </c>
    </row>
    <row r="1354" spans="2:13" ht="15" customHeight="1" x14ac:dyDescent="0.25">
      <c r="B1354" s="35" t="s">
        <v>5724</v>
      </c>
      <c r="C1354" s="23" t="s">
        <v>5725</v>
      </c>
      <c r="D1354" s="23" t="s">
        <v>3303</v>
      </c>
      <c r="E1354" s="23" t="s">
        <v>3317</v>
      </c>
      <c r="F1354" s="23" t="s">
        <v>3729</v>
      </c>
      <c r="G1354" s="93">
        <v>3</v>
      </c>
      <c r="H1354" s="93">
        <v>1</v>
      </c>
      <c r="I1354" s="23"/>
      <c r="J1354" s="23"/>
      <c r="K1354" s="23"/>
      <c r="L1354" s="23" t="s">
        <v>5667</v>
      </c>
      <c r="M1354" s="23" t="s">
        <v>4716</v>
      </c>
    </row>
    <row r="1355" spans="2:13" ht="15" customHeight="1" x14ac:dyDescent="0.25">
      <c r="B1355" s="35" t="s">
        <v>2886</v>
      </c>
      <c r="C1355" s="23" t="s">
        <v>2887</v>
      </c>
      <c r="D1355" s="23" t="s">
        <v>3303</v>
      </c>
      <c r="E1355" s="23" t="s">
        <v>3317</v>
      </c>
      <c r="F1355" s="23" t="s">
        <v>3729</v>
      </c>
      <c r="G1355" s="93">
        <v>0</v>
      </c>
      <c r="H1355" s="93">
        <v>1</v>
      </c>
      <c r="I1355" s="23"/>
      <c r="J1355" s="23"/>
      <c r="K1355" s="23"/>
      <c r="L1355" s="23" t="s">
        <v>5667</v>
      </c>
      <c r="M1355" s="23"/>
    </row>
    <row r="1356" spans="2:13" ht="15" customHeight="1" x14ac:dyDescent="0.25">
      <c r="B1356" s="35" t="s">
        <v>2890</v>
      </c>
      <c r="C1356" s="23" t="s">
        <v>2891</v>
      </c>
      <c r="D1356" s="23" t="s">
        <v>3303</v>
      </c>
      <c r="E1356" s="23" t="s">
        <v>3317</v>
      </c>
      <c r="F1356" s="23" t="s">
        <v>3729</v>
      </c>
      <c r="G1356" s="93">
        <v>0</v>
      </c>
      <c r="H1356" s="93">
        <v>1</v>
      </c>
      <c r="I1356" s="23"/>
      <c r="J1356" s="23"/>
      <c r="K1356" s="23"/>
      <c r="L1356" s="23" t="s">
        <v>5667</v>
      </c>
      <c r="M1356" s="23"/>
    </row>
    <row r="1357" spans="2:13" ht="15" customHeight="1" x14ac:dyDescent="0.25">
      <c r="B1357" s="35" t="s">
        <v>5667</v>
      </c>
      <c r="C1357" s="23" t="s">
        <v>5726</v>
      </c>
      <c r="D1357" s="23" t="s">
        <v>3303</v>
      </c>
      <c r="E1357" s="23" t="s">
        <v>3367</v>
      </c>
      <c r="F1357" s="23" t="s">
        <v>3729</v>
      </c>
      <c r="G1357" s="93">
        <v>0</v>
      </c>
      <c r="H1357" s="93">
        <v>0</v>
      </c>
      <c r="I1357" s="23"/>
      <c r="J1357" s="23"/>
      <c r="K1357" s="23"/>
      <c r="L1357" s="23" t="s">
        <v>5281</v>
      </c>
      <c r="M1357" s="23"/>
    </row>
    <row r="1358" spans="2:13" ht="15" customHeight="1" x14ac:dyDescent="0.25">
      <c r="B1358" s="35" t="s">
        <v>5727</v>
      </c>
      <c r="C1358" s="23" t="s">
        <v>5728</v>
      </c>
      <c r="D1358" s="23" t="s">
        <v>3303</v>
      </c>
      <c r="E1358" s="23" t="s">
        <v>3304</v>
      </c>
      <c r="F1358" s="23" t="s">
        <v>3729</v>
      </c>
      <c r="G1358" s="93">
        <v>0</v>
      </c>
      <c r="H1358" s="93">
        <v>0</v>
      </c>
      <c r="I1358" s="23"/>
      <c r="J1358" s="23"/>
      <c r="K1358" s="23"/>
      <c r="L1358" s="23" t="s">
        <v>5729</v>
      </c>
      <c r="M1358" s="23"/>
    </row>
    <row r="1359" spans="2:13" ht="15" customHeight="1" x14ac:dyDescent="0.25">
      <c r="B1359" s="35" t="s">
        <v>5730</v>
      </c>
      <c r="C1359" s="23" t="s">
        <v>5731</v>
      </c>
      <c r="D1359" s="23" t="s">
        <v>3303</v>
      </c>
      <c r="E1359" s="23" t="s">
        <v>3317</v>
      </c>
      <c r="F1359" s="23" t="s">
        <v>3729</v>
      </c>
      <c r="G1359" s="93">
        <v>3</v>
      </c>
      <c r="H1359" s="93">
        <v>0</v>
      </c>
      <c r="I1359" s="23"/>
      <c r="J1359" s="23"/>
      <c r="K1359" s="23"/>
      <c r="L1359" s="23" t="s">
        <v>5729</v>
      </c>
      <c r="M1359" s="23" t="s">
        <v>4716</v>
      </c>
    </row>
    <row r="1360" spans="2:13" ht="15" customHeight="1" x14ac:dyDescent="0.25">
      <c r="B1360" s="35" t="s">
        <v>5732</v>
      </c>
      <c r="C1360" s="23" t="s">
        <v>5733</v>
      </c>
      <c r="D1360" s="23" t="s">
        <v>3303</v>
      </c>
      <c r="E1360" s="23" t="s">
        <v>3317</v>
      </c>
      <c r="F1360" s="23" t="s">
        <v>3729</v>
      </c>
      <c r="G1360" s="93">
        <v>3</v>
      </c>
      <c r="H1360" s="93">
        <v>1</v>
      </c>
      <c r="I1360" s="23"/>
      <c r="J1360" s="23"/>
      <c r="K1360" s="23"/>
      <c r="L1360" s="23" t="s">
        <v>5729</v>
      </c>
      <c r="M1360" s="23"/>
    </row>
    <row r="1361" spans="2:13" ht="15" customHeight="1" x14ac:dyDescent="0.25">
      <c r="B1361" s="35" t="s">
        <v>5734</v>
      </c>
      <c r="C1361" s="23" t="s">
        <v>5735</v>
      </c>
      <c r="D1361" s="23" t="s">
        <v>3303</v>
      </c>
      <c r="E1361" s="23" t="s">
        <v>3317</v>
      </c>
      <c r="F1361" s="23" t="s">
        <v>3729</v>
      </c>
      <c r="G1361" s="93">
        <v>0</v>
      </c>
      <c r="H1361" s="93">
        <v>0</v>
      </c>
      <c r="I1361" s="23"/>
      <c r="J1361" s="23"/>
      <c r="K1361" s="23"/>
      <c r="L1361" s="23" t="s">
        <v>5729</v>
      </c>
      <c r="M1361" s="23"/>
    </row>
    <row r="1362" spans="2:13" ht="15" customHeight="1" x14ac:dyDescent="0.25">
      <c r="B1362" s="35" t="s">
        <v>5736</v>
      </c>
      <c r="C1362" s="23" t="s">
        <v>5737</v>
      </c>
      <c r="D1362" s="23" t="s">
        <v>3303</v>
      </c>
      <c r="E1362" s="23" t="s">
        <v>3317</v>
      </c>
      <c r="F1362" s="23" t="s">
        <v>3729</v>
      </c>
      <c r="G1362" s="93">
        <v>0</v>
      </c>
      <c r="H1362" s="93">
        <v>0</v>
      </c>
      <c r="I1362" s="23"/>
      <c r="J1362" s="23"/>
      <c r="K1362" s="23"/>
      <c r="L1362" s="23" t="s">
        <v>5729</v>
      </c>
      <c r="M1362" s="23"/>
    </row>
    <row r="1363" spans="2:13" ht="15" customHeight="1" x14ac:dyDescent="0.25">
      <c r="B1363" s="35" t="s">
        <v>5729</v>
      </c>
      <c r="C1363" s="23" t="s">
        <v>5738</v>
      </c>
      <c r="D1363" s="23" t="s">
        <v>3303</v>
      </c>
      <c r="E1363" s="23" t="s">
        <v>3367</v>
      </c>
      <c r="F1363" s="23" t="s">
        <v>3729</v>
      </c>
      <c r="G1363" s="93">
        <v>0</v>
      </c>
      <c r="H1363" s="93">
        <v>0</v>
      </c>
      <c r="I1363" s="23"/>
      <c r="J1363" s="23"/>
      <c r="K1363" s="23"/>
      <c r="L1363" s="23" t="s">
        <v>5281</v>
      </c>
      <c r="M1363" s="23"/>
    </row>
    <row r="1364" spans="2:13" ht="15" customHeight="1" x14ac:dyDescent="0.25">
      <c r="B1364" s="35" t="s">
        <v>5281</v>
      </c>
      <c r="C1364" s="23" t="s">
        <v>5739</v>
      </c>
      <c r="D1364" s="23" t="s">
        <v>3303</v>
      </c>
      <c r="E1364" s="23" t="s">
        <v>3367</v>
      </c>
      <c r="F1364" s="23" t="s">
        <v>3729</v>
      </c>
      <c r="G1364" s="93">
        <v>0</v>
      </c>
      <c r="H1364" s="93">
        <v>0</v>
      </c>
      <c r="I1364" s="23"/>
      <c r="J1364" s="23"/>
      <c r="K1364" s="23"/>
      <c r="L1364" s="23" t="s">
        <v>5247</v>
      </c>
      <c r="M1364" s="23"/>
    </row>
    <row r="1365" spans="2:13" ht="15" customHeight="1" x14ac:dyDescent="0.25">
      <c r="B1365" s="35" t="s">
        <v>5247</v>
      </c>
      <c r="C1365" s="23" t="s">
        <v>5740</v>
      </c>
      <c r="D1365" s="23" t="s">
        <v>3303</v>
      </c>
      <c r="E1365" s="23" t="s">
        <v>3367</v>
      </c>
      <c r="F1365" s="23" t="s">
        <v>3729</v>
      </c>
      <c r="G1365" s="93">
        <v>0</v>
      </c>
      <c r="H1365" s="93">
        <v>0</v>
      </c>
      <c r="I1365" s="23"/>
      <c r="J1365" s="23"/>
      <c r="K1365" s="23"/>
      <c r="L1365" s="23" t="s">
        <v>5741</v>
      </c>
      <c r="M1365" s="23"/>
    </row>
    <row r="1366" spans="2:13" ht="15" customHeight="1" x14ac:dyDescent="0.25">
      <c r="B1366" s="35" t="s">
        <v>5742</v>
      </c>
      <c r="C1366" s="23" t="s">
        <v>5743</v>
      </c>
      <c r="D1366" s="23" t="s">
        <v>3303</v>
      </c>
      <c r="E1366" s="23" t="s">
        <v>3304</v>
      </c>
      <c r="F1366" s="23" t="s">
        <v>3729</v>
      </c>
      <c r="G1366" s="93">
        <v>0</v>
      </c>
      <c r="H1366" s="93">
        <v>0</v>
      </c>
      <c r="I1366" s="23"/>
      <c r="J1366" s="23"/>
      <c r="K1366" s="23"/>
      <c r="L1366" s="23" t="s">
        <v>5744</v>
      </c>
      <c r="M1366" s="23"/>
    </row>
    <row r="1367" spans="2:13" ht="15" customHeight="1" x14ac:dyDescent="0.25">
      <c r="B1367" s="35" t="s">
        <v>5745</v>
      </c>
      <c r="C1367" s="23" t="s">
        <v>5746</v>
      </c>
      <c r="D1367" s="23" t="s">
        <v>3303</v>
      </c>
      <c r="E1367" s="23" t="s">
        <v>3304</v>
      </c>
      <c r="F1367" s="23" t="s">
        <v>3729</v>
      </c>
      <c r="G1367" s="93">
        <v>0</v>
      </c>
      <c r="H1367" s="93">
        <v>1</v>
      </c>
      <c r="I1367" s="23"/>
      <c r="J1367" s="23"/>
      <c r="K1367" s="23"/>
      <c r="L1367" s="23" t="s">
        <v>5747</v>
      </c>
      <c r="M1367" s="23"/>
    </row>
    <row r="1368" spans="2:13" ht="15" customHeight="1" x14ac:dyDescent="0.25">
      <c r="B1368" s="35" t="s">
        <v>2771</v>
      </c>
      <c r="C1368" s="23" t="s">
        <v>5748</v>
      </c>
      <c r="D1368" s="23" t="s">
        <v>3303</v>
      </c>
      <c r="E1368" s="23" t="s">
        <v>3317</v>
      </c>
      <c r="F1368" s="23" t="s">
        <v>3729</v>
      </c>
      <c r="G1368" s="93">
        <v>3</v>
      </c>
      <c r="H1368" s="93">
        <v>1</v>
      </c>
      <c r="I1368" s="23"/>
      <c r="J1368" s="23"/>
      <c r="K1368" s="23"/>
      <c r="L1368" s="23" t="s">
        <v>5747</v>
      </c>
      <c r="M1368" s="23"/>
    </row>
    <row r="1369" spans="2:13" ht="15" customHeight="1" x14ac:dyDescent="0.25">
      <c r="B1369" s="35" t="s">
        <v>2775</v>
      </c>
      <c r="C1369" s="23" t="s">
        <v>5749</v>
      </c>
      <c r="D1369" s="23" t="s">
        <v>3303</v>
      </c>
      <c r="E1369" s="23" t="s">
        <v>3317</v>
      </c>
      <c r="F1369" s="23" t="s">
        <v>3729</v>
      </c>
      <c r="G1369" s="93">
        <v>3</v>
      </c>
      <c r="H1369" s="93">
        <v>1</v>
      </c>
      <c r="I1369" s="23"/>
      <c r="J1369" s="23"/>
      <c r="K1369" s="23"/>
      <c r="L1369" s="23" t="s">
        <v>5747</v>
      </c>
      <c r="M1369" s="23"/>
    </row>
    <row r="1370" spans="2:13" ht="15" customHeight="1" x14ac:dyDescent="0.25">
      <c r="B1370" s="35" t="s">
        <v>2779</v>
      </c>
      <c r="C1370" s="23" t="s">
        <v>5750</v>
      </c>
      <c r="D1370" s="23" t="s">
        <v>3303</v>
      </c>
      <c r="E1370" s="23" t="s">
        <v>3317</v>
      </c>
      <c r="F1370" s="23" t="s">
        <v>3729</v>
      </c>
      <c r="G1370" s="93">
        <v>3</v>
      </c>
      <c r="H1370" s="93">
        <v>1</v>
      </c>
      <c r="I1370" s="23"/>
      <c r="J1370" s="23"/>
      <c r="K1370" s="23"/>
      <c r="L1370" s="23" t="s">
        <v>5747</v>
      </c>
      <c r="M1370" s="23"/>
    </row>
    <row r="1371" spans="2:13" ht="15" customHeight="1" x14ac:dyDescent="0.25">
      <c r="B1371" s="35" t="s">
        <v>2783</v>
      </c>
      <c r="C1371" s="23" t="s">
        <v>5751</v>
      </c>
      <c r="D1371" s="23" t="s">
        <v>3303</v>
      </c>
      <c r="E1371" s="23" t="s">
        <v>3317</v>
      </c>
      <c r="F1371" s="23" t="s">
        <v>3729</v>
      </c>
      <c r="G1371" s="93">
        <v>3</v>
      </c>
      <c r="H1371" s="93">
        <v>1</v>
      </c>
      <c r="I1371" s="23"/>
      <c r="J1371" s="23"/>
      <c r="K1371" s="23"/>
      <c r="L1371" s="23" t="s">
        <v>5747</v>
      </c>
      <c r="M1371" s="23"/>
    </row>
    <row r="1372" spans="2:13" ht="15" customHeight="1" x14ac:dyDescent="0.25">
      <c r="B1372" s="35" t="s">
        <v>5752</v>
      </c>
      <c r="C1372" s="23" t="s">
        <v>5753</v>
      </c>
      <c r="D1372" s="23" t="s">
        <v>3303</v>
      </c>
      <c r="E1372" s="23" t="s">
        <v>3317</v>
      </c>
      <c r="F1372" s="23" t="s">
        <v>3729</v>
      </c>
      <c r="G1372" s="93">
        <v>3</v>
      </c>
      <c r="H1372" s="93">
        <v>1</v>
      </c>
      <c r="I1372" s="23"/>
      <c r="J1372" s="23"/>
      <c r="K1372" s="23"/>
      <c r="L1372" s="23" t="s">
        <v>5747</v>
      </c>
      <c r="M1372" s="23" t="s">
        <v>3694</v>
      </c>
    </row>
    <row r="1373" spans="2:13" ht="15" customHeight="1" x14ac:dyDescent="0.25">
      <c r="B1373" s="35" t="s">
        <v>2787</v>
      </c>
      <c r="C1373" s="23" t="s">
        <v>2788</v>
      </c>
      <c r="D1373" s="23" t="s">
        <v>3303</v>
      </c>
      <c r="E1373" s="23" t="s">
        <v>3317</v>
      </c>
      <c r="F1373" s="23" t="s">
        <v>3729</v>
      </c>
      <c r="G1373" s="93">
        <v>3</v>
      </c>
      <c r="H1373" s="93">
        <v>1</v>
      </c>
      <c r="I1373" s="23"/>
      <c r="J1373" s="23"/>
      <c r="K1373" s="23"/>
      <c r="L1373" s="23" t="s">
        <v>5747</v>
      </c>
      <c r="M1373" s="23"/>
    </row>
    <row r="1374" spans="2:13" ht="15" customHeight="1" x14ac:dyDescent="0.25">
      <c r="B1374" s="35" t="s">
        <v>2791</v>
      </c>
      <c r="C1374" s="23" t="s">
        <v>5754</v>
      </c>
      <c r="D1374" s="23" t="s">
        <v>3303</v>
      </c>
      <c r="E1374" s="23" t="s">
        <v>3317</v>
      </c>
      <c r="F1374" s="23" t="s">
        <v>3729</v>
      </c>
      <c r="G1374" s="93">
        <v>3</v>
      </c>
      <c r="H1374" s="93">
        <v>1</v>
      </c>
      <c r="I1374" s="23"/>
      <c r="J1374" s="23"/>
      <c r="K1374" s="23"/>
      <c r="L1374" s="23" t="s">
        <v>5747</v>
      </c>
      <c r="M1374" s="23"/>
    </row>
    <row r="1375" spans="2:13" ht="15" customHeight="1" x14ac:dyDescent="0.25">
      <c r="B1375" s="35" t="s">
        <v>2795</v>
      </c>
      <c r="C1375" s="23" t="s">
        <v>5755</v>
      </c>
      <c r="D1375" s="23" t="s">
        <v>3303</v>
      </c>
      <c r="E1375" s="23" t="s">
        <v>3317</v>
      </c>
      <c r="F1375" s="23" t="s">
        <v>3729</v>
      </c>
      <c r="G1375" s="93">
        <v>3</v>
      </c>
      <c r="H1375" s="93">
        <v>1</v>
      </c>
      <c r="I1375" s="23"/>
      <c r="J1375" s="23"/>
      <c r="K1375" s="23"/>
      <c r="L1375" s="23" t="s">
        <v>5747</v>
      </c>
      <c r="M1375" s="23"/>
    </row>
    <row r="1376" spans="2:13" ht="15" customHeight="1" x14ac:dyDescent="0.25">
      <c r="B1376" s="35" t="s">
        <v>2801</v>
      </c>
      <c r="C1376" s="23" t="s">
        <v>5756</v>
      </c>
      <c r="D1376" s="23" t="s">
        <v>3303</v>
      </c>
      <c r="E1376" s="23" t="s">
        <v>3317</v>
      </c>
      <c r="F1376" s="23" t="s">
        <v>3729</v>
      </c>
      <c r="G1376" s="93">
        <v>3</v>
      </c>
      <c r="H1376" s="93">
        <v>1</v>
      </c>
      <c r="I1376" s="23"/>
      <c r="J1376" s="23"/>
      <c r="K1376" s="23"/>
      <c r="L1376" s="23" t="s">
        <v>5747</v>
      </c>
      <c r="M1376" s="23"/>
    </row>
    <row r="1377" spans="2:13" ht="15" customHeight="1" x14ac:dyDescent="0.25">
      <c r="B1377" s="35" t="s">
        <v>5757</v>
      </c>
      <c r="C1377" s="23" t="s">
        <v>5758</v>
      </c>
      <c r="D1377" s="23" t="s">
        <v>3303</v>
      </c>
      <c r="E1377" s="23" t="s">
        <v>3317</v>
      </c>
      <c r="F1377" s="23" t="s">
        <v>3729</v>
      </c>
      <c r="G1377" s="93">
        <v>3</v>
      </c>
      <c r="H1377" s="93">
        <v>1</v>
      </c>
      <c r="I1377" s="23"/>
      <c r="J1377" s="23"/>
      <c r="K1377" s="23"/>
      <c r="L1377" s="23" t="s">
        <v>5747</v>
      </c>
      <c r="M1377" s="23"/>
    </row>
    <row r="1378" spans="2:13" ht="15" customHeight="1" x14ac:dyDescent="0.25">
      <c r="B1378" s="35" t="s">
        <v>2805</v>
      </c>
      <c r="C1378" s="23" t="s">
        <v>5759</v>
      </c>
      <c r="D1378" s="23" t="s">
        <v>3303</v>
      </c>
      <c r="E1378" s="23" t="s">
        <v>3317</v>
      </c>
      <c r="F1378" s="23" t="s">
        <v>3729</v>
      </c>
      <c r="G1378" s="93">
        <v>3</v>
      </c>
      <c r="H1378" s="93">
        <v>1</v>
      </c>
      <c r="I1378" s="23"/>
      <c r="J1378" s="23"/>
      <c r="K1378" s="23"/>
      <c r="L1378" s="23" t="s">
        <v>5747</v>
      </c>
      <c r="M1378" s="23"/>
    </row>
    <row r="1379" spans="2:13" ht="15" customHeight="1" x14ac:dyDescent="0.25">
      <c r="B1379" s="35" t="s">
        <v>2811</v>
      </c>
      <c r="C1379" s="23" t="s">
        <v>5756</v>
      </c>
      <c r="D1379" s="23" t="s">
        <v>3303</v>
      </c>
      <c r="E1379" s="23" t="s">
        <v>3317</v>
      </c>
      <c r="F1379" s="23" t="s">
        <v>3729</v>
      </c>
      <c r="G1379" s="93">
        <v>3</v>
      </c>
      <c r="H1379" s="93">
        <v>1</v>
      </c>
      <c r="I1379" s="23"/>
      <c r="J1379" s="23"/>
      <c r="K1379" s="23"/>
      <c r="L1379" s="23" t="s">
        <v>5747</v>
      </c>
      <c r="M1379" s="23"/>
    </row>
    <row r="1380" spans="2:13" ht="15" customHeight="1" x14ac:dyDescent="0.25">
      <c r="B1380" s="35" t="s">
        <v>2892</v>
      </c>
      <c r="C1380" s="23" t="s">
        <v>5760</v>
      </c>
      <c r="D1380" s="23" t="s">
        <v>3303</v>
      </c>
      <c r="E1380" s="23" t="s">
        <v>3317</v>
      </c>
      <c r="F1380" s="23" t="s">
        <v>3729</v>
      </c>
      <c r="G1380" s="93">
        <v>3</v>
      </c>
      <c r="H1380" s="93">
        <v>1</v>
      </c>
      <c r="I1380" s="23"/>
      <c r="J1380" s="23"/>
      <c r="K1380" s="23"/>
      <c r="L1380" s="23" t="s">
        <v>5747</v>
      </c>
      <c r="M1380" s="23"/>
    </row>
    <row r="1381" spans="2:13" ht="15" customHeight="1" x14ac:dyDescent="0.25">
      <c r="B1381" s="35" t="s">
        <v>5761</v>
      </c>
      <c r="C1381" s="23" t="s">
        <v>5762</v>
      </c>
      <c r="D1381" s="23" t="s">
        <v>3303</v>
      </c>
      <c r="E1381" s="23" t="s">
        <v>3317</v>
      </c>
      <c r="F1381" s="23" t="s">
        <v>3729</v>
      </c>
      <c r="G1381" s="93">
        <v>3</v>
      </c>
      <c r="H1381" s="93">
        <v>1</v>
      </c>
      <c r="I1381" s="23"/>
      <c r="J1381" s="23"/>
      <c r="K1381" s="23"/>
      <c r="L1381" s="23" t="s">
        <v>5747</v>
      </c>
      <c r="M1381" s="23"/>
    </row>
    <row r="1382" spans="2:13" ht="15" customHeight="1" x14ac:dyDescent="0.25">
      <c r="B1382" s="35" t="s">
        <v>5763</v>
      </c>
      <c r="C1382" s="23" t="s">
        <v>5764</v>
      </c>
      <c r="D1382" s="23" t="s">
        <v>3303</v>
      </c>
      <c r="E1382" s="23" t="s">
        <v>3317</v>
      </c>
      <c r="F1382" s="23" t="s">
        <v>3729</v>
      </c>
      <c r="G1382" s="93">
        <v>3</v>
      </c>
      <c r="H1382" s="93">
        <v>1</v>
      </c>
      <c r="I1382" s="23"/>
      <c r="J1382" s="23"/>
      <c r="K1382" s="23"/>
      <c r="L1382" s="23" t="s">
        <v>5747</v>
      </c>
      <c r="M1382" s="23"/>
    </row>
    <row r="1383" spans="2:13" ht="15" customHeight="1" x14ac:dyDescent="0.25">
      <c r="B1383" s="35" t="s">
        <v>5765</v>
      </c>
      <c r="C1383" s="23" t="s">
        <v>5766</v>
      </c>
      <c r="D1383" s="23" t="s">
        <v>3303</v>
      </c>
      <c r="E1383" s="23" t="s">
        <v>3317</v>
      </c>
      <c r="F1383" s="23" t="s">
        <v>3729</v>
      </c>
      <c r="G1383" s="93">
        <v>3</v>
      </c>
      <c r="H1383" s="93">
        <v>1</v>
      </c>
      <c r="I1383" s="23"/>
      <c r="J1383" s="23"/>
      <c r="K1383" s="23"/>
      <c r="L1383" s="23" t="s">
        <v>5747</v>
      </c>
      <c r="M1383" s="23"/>
    </row>
    <row r="1384" spans="2:13" ht="15" customHeight="1" x14ac:dyDescent="0.25">
      <c r="B1384" s="35" t="s">
        <v>5767</v>
      </c>
      <c r="C1384" s="23" t="s">
        <v>5768</v>
      </c>
      <c r="D1384" s="23" t="s">
        <v>3303</v>
      </c>
      <c r="E1384" s="23" t="s">
        <v>3317</v>
      </c>
      <c r="F1384" s="23" t="s">
        <v>3729</v>
      </c>
      <c r="G1384" s="93">
        <v>3</v>
      </c>
      <c r="H1384" s="93">
        <v>1</v>
      </c>
      <c r="I1384" s="23"/>
      <c r="J1384" s="23"/>
      <c r="K1384" s="23"/>
      <c r="L1384" s="23" t="s">
        <v>5747</v>
      </c>
      <c r="M1384" s="23"/>
    </row>
    <row r="1385" spans="2:13" ht="15" customHeight="1" x14ac:dyDescent="0.25">
      <c r="B1385" s="35" t="s">
        <v>5769</v>
      </c>
      <c r="C1385" s="23" t="s">
        <v>5770</v>
      </c>
      <c r="D1385" s="23" t="s">
        <v>3303</v>
      </c>
      <c r="E1385" s="23" t="s">
        <v>3317</v>
      </c>
      <c r="F1385" s="23" t="s">
        <v>3729</v>
      </c>
      <c r="G1385" s="93">
        <v>3</v>
      </c>
      <c r="H1385" s="93">
        <v>1</v>
      </c>
      <c r="I1385" s="23"/>
      <c r="J1385" s="23"/>
      <c r="K1385" s="23"/>
      <c r="L1385" s="23" t="s">
        <v>5747</v>
      </c>
      <c r="M1385" s="23"/>
    </row>
    <row r="1386" spans="2:13" ht="15" customHeight="1" x14ac:dyDescent="0.25">
      <c r="B1386" s="35" t="s">
        <v>2815</v>
      </c>
      <c r="C1386" s="23" t="s">
        <v>5771</v>
      </c>
      <c r="D1386" s="23" t="s">
        <v>3303</v>
      </c>
      <c r="E1386" s="23" t="s">
        <v>3317</v>
      </c>
      <c r="F1386" s="23" t="s">
        <v>3729</v>
      </c>
      <c r="G1386" s="93">
        <v>3</v>
      </c>
      <c r="H1386" s="93">
        <v>1</v>
      </c>
      <c r="I1386" s="23"/>
      <c r="J1386" s="23"/>
      <c r="K1386" s="23"/>
      <c r="L1386" s="23" t="s">
        <v>5747</v>
      </c>
      <c r="M1386" s="23" t="s">
        <v>3503</v>
      </c>
    </row>
    <row r="1387" spans="2:13" ht="15" customHeight="1" x14ac:dyDescent="0.25">
      <c r="B1387" s="35" t="s">
        <v>2821</v>
      </c>
      <c r="C1387" s="23" t="s">
        <v>5266</v>
      </c>
      <c r="D1387" s="23" t="s">
        <v>3303</v>
      </c>
      <c r="E1387" s="23" t="s">
        <v>3317</v>
      </c>
      <c r="F1387" s="23" t="s">
        <v>3729</v>
      </c>
      <c r="G1387" s="93">
        <v>3</v>
      </c>
      <c r="H1387" s="93">
        <v>1</v>
      </c>
      <c r="I1387" s="23"/>
      <c r="J1387" s="23"/>
      <c r="K1387" s="23"/>
      <c r="L1387" s="23" t="s">
        <v>5747</v>
      </c>
      <c r="M1387" s="23" t="s">
        <v>3503</v>
      </c>
    </row>
    <row r="1388" spans="2:13" ht="15" customHeight="1" x14ac:dyDescent="0.25">
      <c r="B1388" s="35" t="s">
        <v>2824</v>
      </c>
      <c r="C1388" s="23" t="s">
        <v>5267</v>
      </c>
      <c r="D1388" s="23" t="s">
        <v>3303</v>
      </c>
      <c r="E1388" s="23" t="s">
        <v>3317</v>
      </c>
      <c r="F1388" s="23" t="s">
        <v>3729</v>
      </c>
      <c r="G1388" s="93">
        <v>3</v>
      </c>
      <c r="H1388" s="93">
        <v>1</v>
      </c>
      <c r="I1388" s="23"/>
      <c r="J1388" s="23"/>
      <c r="K1388" s="23"/>
      <c r="L1388" s="23" t="s">
        <v>5747</v>
      </c>
      <c r="M1388" s="23" t="s">
        <v>3503</v>
      </c>
    </row>
    <row r="1389" spans="2:13" ht="15" customHeight="1" x14ac:dyDescent="0.25">
      <c r="B1389" s="35" t="s">
        <v>2830</v>
      </c>
      <c r="C1389" s="23" t="s">
        <v>5772</v>
      </c>
      <c r="D1389" s="23" t="s">
        <v>3303</v>
      </c>
      <c r="E1389" s="23" t="s">
        <v>3317</v>
      </c>
      <c r="F1389" s="23" t="s">
        <v>3729</v>
      </c>
      <c r="G1389" s="93">
        <v>3</v>
      </c>
      <c r="H1389" s="93">
        <v>1</v>
      </c>
      <c r="I1389" s="23"/>
      <c r="J1389" s="23"/>
      <c r="K1389" s="23"/>
      <c r="L1389" s="23" t="s">
        <v>5747</v>
      </c>
      <c r="M1389" s="23"/>
    </row>
    <row r="1390" spans="2:13" ht="15" customHeight="1" x14ac:dyDescent="0.25">
      <c r="B1390" s="35" t="s">
        <v>2834</v>
      </c>
      <c r="C1390" s="23" t="s">
        <v>5773</v>
      </c>
      <c r="D1390" s="23" t="s">
        <v>3303</v>
      </c>
      <c r="E1390" s="23" t="s">
        <v>3317</v>
      </c>
      <c r="F1390" s="23" t="s">
        <v>3729</v>
      </c>
      <c r="G1390" s="93">
        <v>3</v>
      </c>
      <c r="H1390" s="93">
        <v>1</v>
      </c>
      <c r="I1390" s="23"/>
      <c r="J1390" s="23"/>
      <c r="K1390" s="23"/>
      <c r="L1390" s="23" t="s">
        <v>5747</v>
      </c>
      <c r="M1390" s="23"/>
    </row>
    <row r="1391" spans="2:13" ht="15" customHeight="1" x14ac:dyDescent="0.25">
      <c r="B1391" s="35" t="s">
        <v>2838</v>
      </c>
      <c r="C1391" s="23" t="s">
        <v>5774</v>
      </c>
      <c r="D1391" s="23" t="s">
        <v>3303</v>
      </c>
      <c r="E1391" s="23" t="s">
        <v>3317</v>
      </c>
      <c r="F1391" s="23" t="s">
        <v>3729</v>
      </c>
      <c r="G1391" s="93">
        <v>3</v>
      </c>
      <c r="H1391" s="93">
        <v>1</v>
      </c>
      <c r="I1391" s="23"/>
      <c r="J1391" s="23"/>
      <c r="K1391" s="23"/>
      <c r="L1391" s="23" t="s">
        <v>5747</v>
      </c>
      <c r="M1391" s="23"/>
    </row>
    <row r="1392" spans="2:13" ht="15" customHeight="1" x14ac:dyDescent="0.25">
      <c r="B1392" s="35" t="s">
        <v>2842</v>
      </c>
      <c r="C1392" s="23" t="s">
        <v>5775</v>
      </c>
      <c r="D1392" s="23" t="s">
        <v>3303</v>
      </c>
      <c r="E1392" s="23" t="s">
        <v>3317</v>
      </c>
      <c r="F1392" s="23" t="s">
        <v>3729</v>
      </c>
      <c r="G1392" s="93">
        <v>3</v>
      </c>
      <c r="H1392" s="93">
        <v>1</v>
      </c>
      <c r="I1392" s="23"/>
      <c r="J1392" s="23"/>
      <c r="K1392" s="23"/>
      <c r="L1392" s="23" t="s">
        <v>5747</v>
      </c>
      <c r="M1392" s="23"/>
    </row>
    <row r="1393" spans="2:13" ht="15" customHeight="1" x14ac:dyDescent="0.25">
      <c r="B1393" s="35" t="s">
        <v>2846</v>
      </c>
      <c r="C1393" s="23" t="s">
        <v>5776</v>
      </c>
      <c r="D1393" s="23" t="s">
        <v>3303</v>
      </c>
      <c r="E1393" s="23" t="s">
        <v>3317</v>
      </c>
      <c r="F1393" s="23" t="s">
        <v>3729</v>
      </c>
      <c r="G1393" s="93">
        <v>3</v>
      </c>
      <c r="H1393" s="93">
        <v>1</v>
      </c>
      <c r="I1393" s="23"/>
      <c r="J1393" s="23"/>
      <c r="K1393" s="23"/>
      <c r="L1393" s="23" t="s">
        <v>5747</v>
      </c>
      <c r="M1393" s="23"/>
    </row>
    <row r="1394" spans="2:13" ht="15" customHeight="1" x14ac:dyDescent="0.25">
      <c r="B1394" s="35" t="s">
        <v>2850</v>
      </c>
      <c r="C1394" s="23" t="s">
        <v>5777</v>
      </c>
      <c r="D1394" s="23" t="s">
        <v>3303</v>
      </c>
      <c r="E1394" s="23" t="s">
        <v>3317</v>
      </c>
      <c r="F1394" s="23" t="s">
        <v>3729</v>
      </c>
      <c r="G1394" s="93">
        <v>3</v>
      </c>
      <c r="H1394" s="93">
        <v>1</v>
      </c>
      <c r="I1394" s="23"/>
      <c r="J1394" s="23"/>
      <c r="K1394" s="23"/>
      <c r="L1394" s="23" t="s">
        <v>5747</v>
      </c>
      <c r="M1394" s="23"/>
    </row>
    <row r="1395" spans="2:13" ht="15" customHeight="1" x14ac:dyDescent="0.25">
      <c r="B1395" s="35" t="s">
        <v>2854</v>
      </c>
      <c r="C1395" s="23" t="s">
        <v>5778</v>
      </c>
      <c r="D1395" s="23" t="s">
        <v>3303</v>
      </c>
      <c r="E1395" s="23" t="s">
        <v>3317</v>
      </c>
      <c r="F1395" s="23" t="s">
        <v>3729</v>
      </c>
      <c r="G1395" s="93">
        <v>3</v>
      </c>
      <c r="H1395" s="93">
        <v>1</v>
      </c>
      <c r="I1395" s="23"/>
      <c r="J1395" s="23"/>
      <c r="K1395" s="23"/>
      <c r="L1395" s="23" t="s">
        <v>5747</v>
      </c>
      <c r="M1395" s="23"/>
    </row>
    <row r="1396" spans="2:13" ht="15" customHeight="1" x14ac:dyDescent="0.25">
      <c r="B1396" s="35" t="s">
        <v>2858</v>
      </c>
      <c r="C1396" s="23" t="s">
        <v>5779</v>
      </c>
      <c r="D1396" s="23" t="s">
        <v>3303</v>
      </c>
      <c r="E1396" s="23" t="s">
        <v>3317</v>
      </c>
      <c r="F1396" s="23" t="s">
        <v>3729</v>
      </c>
      <c r="G1396" s="93">
        <v>3</v>
      </c>
      <c r="H1396" s="93">
        <v>1</v>
      </c>
      <c r="I1396" s="23"/>
      <c r="J1396" s="23"/>
      <c r="K1396" s="23"/>
      <c r="L1396" s="23" t="s">
        <v>5747</v>
      </c>
      <c r="M1396" s="23"/>
    </row>
    <row r="1397" spans="2:13" ht="15" customHeight="1" x14ac:dyDescent="0.25">
      <c r="B1397" s="35" t="s">
        <v>2862</v>
      </c>
      <c r="C1397" s="23" t="s">
        <v>2861</v>
      </c>
      <c r="D1397" s="23" t="s">
        <v>3303</v>
      </c>
      <c r="E1397" s="23" t="s">
        <v>3317</v>
      </c>
      <c r="F1397" s="23" t="s">
        <v>3729</v>
      </c>
      <c r="G1397" s="93">
        <v>3</v>
      </c>
      <c r="H1397" s="93">
        <v>1</v>
      </c>
      <c r="I1397" s="23"/>
      <c r="J1397" s="23"/>
      <c r="K1397" s="23"/>
      <c r="L1397" s="23" t="s">
        <v>5747</v>
      </c>
      <c r="M1397" s="23"/>
    </row>
    <row r="1398" spans="2:13" ht="15" customHeight="1" x14ac:dyDescent="0.25">
      <c r="B1398" s="35" t="s">
        <v>2865</v>
      </c>
      <c r="C1398" s="23" t="s">
        <v>2864</v>
      </c>
      <c r="D1398" s="23" t="s">
        <v>3303</v>
      </c>
      <c r="E1398" s="23" t="s">
        <v>3317</v>
      </c>
      <c r="F1398" s="23" t="s">
        <v>3729</v>
      </c>
      <c r="G1398" s="93">
        <v>3</v>
      </c>
      <c r="H1398" s="93">
        <v>1</v>
      </c>
      <c r="I1398" s="23"/>
      <c r="J1398" s="23"/>
      <c r="K1398" s="23"/>
      <c r="L1398" s="23" t="s">
        <v>5747</v>
      </c>
      <c r="M1398" s="23"/>
    </row>
    <row r="1399" spans="2:13" ht="15" customHeight="1" x14ac:dyDescent="0.25">
      <c r="B1399" s="35" t="s">
        <v>5780</v>
      </c>
      <c r="C1399" s="23" t="s">
        <v>5781</v>
      </c>
      <c r="D1399" s="23" t="s">
        <v>3303</v>
      </c>
      <c r="E1399" s="23" t="s">
        <v>3317</v>
      </c>
      <c r="F1399" s="23" t="s">
        <v>3729</v>
      </c>
      <c r="G1399" s="93">
        <v>3</v>
      </c>
      <c r="H1399" s="93">
        <v>1</v>
      </c>
      <c r="I1399" s="23"/>
      <c r="J1399" s="23"/>
      <c r="K1399" s="23"/>
      <c r="L1399" s="23" t="s">
        <v>5747</v>
      </c>
      <c r="M1399" s="23"/>
    </row>
    <row r="1400" spans="2:13" ht="15" customHeight="1" x14ac:dyDescent="0.25">
      <c r="B1400" s="35" t="s">
        <v>5782</v>
      </c>
      <c r="C1400" s="23" t="s">
        <v>5783</v>
      </c>
      <c r="D1400" s="23" t="s">
        <v>3303</v>
      </c>
      <c r="E1400" s="23" t="s">
        <v>3317</v>
      </c>
      <c r="F1400" s="23" t="s">
        <v>3729</v>
      </c>
      <c r="G1400" s="93">
        <v>3</v>
      </c>
      <c r="H1400" s="93">
        <v>1</v>
      </c>
      <c r="I1400" s="23"/>
      <c r="J1400" s="23"/>
      <c r="K1400" s="23"/>
      <c r="L1400" s="23" t="s">
        <v>5747</v>
      </c>
      <c r="M1400" s="23"/>
    </row>
    <row r="1401" spans="2:13" ht="15" customHeight="1" x14ac:dyDescent="0.25">
      <c r="B1401" s="35" t="s">
        <v>5784</v>
      </c>
      <c r="C1401" s="23" t="s">
        <v>5785</v>
      </c>
      <c r="D1401" s="23" t="s">
        <v>3303</v>
      </c>
      <c r="E1401" s="23" t="s">
        <v>3317</v>
      </c>
      <c r="F1401" s="23" t="s">
        <v>3729</v>
      </c>
      <c r="G1401" s="93">
        <v>3</v>
      </c>
      <c r="H1401" s="93">
        <v>1</v>
      </c>
      <c r="I1401" s="23"/>
      <c r="J1401" s="23"/>
      <c r="K1401" s="23"/>
      <c r="L1401" s="23" t="s">
        <v>5747</v>
      </c>
      <c r="M1401" s="23" t="s">
        <v>3694</v>
      </c>
    </row>
    <row r="1402" spans="2:13" ht="15" customHeight="1" x14ac:dyDescent="0.25">
      <c r="B1402" s="35" t="s">
        <v>5786</v>
      </c>
      <c r="C1402" s="23" t="s">
        <v>5787</v>
      </c>
      <c r="D1402" s="23" t="s">
        <v>3303</v>
      </c>
      <c r="E1402" s="23" t="s">
        <v>3317</v>
      </c>
      <c r="F1402" s="23" t="s">
        <v>3729</v>
      </c>
      <c r="G1402" s="93">
        <v>3</v>
      </c>
      <c r="H1402" s="93">
        <v>1</v>
      </c>
      <c r="I1402" s="23"/>
      <c r="J1402" s="23"/>
      <c r="K1402" s="23"/>
      <c r="L1402" s="23" t="s">
        <v>5747</v>
      </c>
      <c r="M1402" s="23" t="s">
        <v>3694</v>
      </c>
    </row>
    <row r="1403" spans="2:13" ht="15" customHeight="1" x14ac:dyDescent="0.25">
      <c r="B1403" s="35" t="s">
        <v>5788</v>
      </c>
      <c r="C1403" s="23" t="s">
        <v>5789</v>
      </c>
      <c r="D1403" s="23" t="s">
        <v>3303</v>
      </c>
      <c r="E1403" s="23" t="s">
        <v>3317</v>
      </c>
      <c r="F1403" s="23" t="s">
        <v>3729</v>
      </c>
      <c r="G1403" s="93">
        <v>3</v>
      </c>
      <c r="H1403" s="93">
        <v>1</v>
      </c>
      <c r="I1403" s="23"/>
      <c r="J1403" s="23"/>
      <c r="K1403" s="23"/>
      <c r="L1403" s="23" t="s">
        <v>5747</v>
      </c>
      <c r="M1403" s="23" t="s">
        <v>3694</v>
      </c>
    </row>
    <row r="1404" spans="2:13" ht="15" customHeight="1" x14ac:dyDescent="0.25">
      <c r="B1404" s="35" t="s">
        <v>5747</v>
      </c>
      <c r="C1404" s="23" t="s">
        <v>5790</v>
      </c>
      <c r="D1404" s="23" t="s">
        <v>3303</v>
      </c>
      <c r="E1404" s="23" t="s">
        <v>3367</v>
      </c>
      <c r="F1404" s="23" t="s">
        <v>3729</v>
      </c>
      <c r="G1404" s="93">
        <v>0</v>
      </c>
      <c r="H1404" s="93">
        <v>1</v>
      </c>
      <c r="I1404" s="23"/>
      <c r="J1404" s="23"/>
      <c r="K1404" s="23"/>
      <c r="L1404" s="23" t="s">
        <v>5744</v>
      </c>
      <c r="M1404" s="23"/>
    </row>
    <row r="1405" spans="2:13" ht="15" customHeight="1" x14ac:dyDescent="0.25">
      <c r="B1405" s="35" t="s">
        <v>5791</v>
      </c>
      <c r="C1405" s="23" t="s">
        <v>5792</v>
      </c>
      <c r="D1405" s="23" t="s">
        <v>3303</v>
      </c>
      <c r="E1405" s="23" t="s">
        <v>3304</v>
      </c>
      <c r="F1405" s="23" t="s">
        <v>3729</v>
      </c>
      <c r="G1405" s="93">
        <v>0</v>
      </c>
      <c r="H1405" s="93">
        <v>0</v>
      </c>
      <c r="I1405" s="23"/>
      <c r="J1405" s="23"/>
      <c r="K1405" s="23"/>
      <c r="L1405" s="23" t="s">
        <v>5793</v>
      </c>
      <c r="M1405" s="23"/>
    </row>
    <row r="1406" spans="2:13" ht="15" customHeight="1" x14ac:dyDescent="0.25">
      <c r="B1406" s="35" t="s">
        <v>5794</v>
      </c>
      <c r="C1406" s="23" t="s">
        <v>5795</v>
      </c>
      <c r="D1406" s="23" t="s">
        <v>3303</v>
      </c>
      <c r="E1406" s="23" t="s">
        <v>3304</v>
      </c>
      <c r="F1406" s="23" t="s">
        <v>3729</v>
      </c>
      <c r="G1406" s="93">
        <v>0</v>
      </c>
      <c r="H1406" s="93">
        <v>0</v>
      </c>
      <c r="I1406" s="23"/>
      <c r="J1406" s="23"/>
      <c r="K1406" s="23"/>
      <c r="L1406" s="23" t="s">
        <v>5796</v>
      </c>
      <c r="M1406" s="23"/>
    </row>
    <row r="1407" spans="2:13" ht="15" customHeight="1" x14ac:dyDescent="0.25">
      <c r="B1407" s="35" t="s">
        <v>5797</v>
      </c>
      <c r="C1407" s="23" t="s">
        <v>5798</v>
      </c>
      <c r="D1407" s="23" t="s">
        <v>3303</v>
      </c>
      <c r="E1407" s="23" t="s">
        <v>3317</v>
      </c>
      <c r="F1407" s="23" t="s">
        <v>3729</v>
      </c>
      <c r="G1407" s="93">
        <v>3</v>
      </c>
      <c r="H1407" s="93">
        <v>0</v>
      </c>
      <c r="I1407" s="23"/>
      <c r="J1407" s="23"/>
      <c r="K1407" s="23"/>
      <c r="L1407" s="23" t="s">
        <v>5796</v>
      </c>
      <c r="M1407" s="23"/>
    </row>
    <row r="1408" spans="2:13" ht="15" customHeight="1" x14ac:dyDescent="0.25">
      <c r="B1408" s="35" t="s">
        <v>5799</v>
      </c>
      <c r="C1408" s="23" t="s">
        <v>5800</v>
      </c>
      <c r="D1408" s="23" t="s">
        <v>3303</v>
      </c>
      <c r="E1408" s="23" t="s">
        <v>3317</v>
      </c>
      <c r="F1408" s="23" t="s">
        <v>3729</v>
      </c>
      <c r="G1408" s="93">
        <v>3</v>
      </c>
      <c r="H1408" s="93">
        <v>0</v>
      </c>
      <c r="I1408" s="23"/>
      <c r="J1408" s="23"/>
      <c r="K1408" s="23"/>
      <c r="L1408" s="23" t="s">
        <v>5796</v>
      </c>
      <c r="M1408" s="23"/>
    </row>
    <row r="1409" spans="2:13" ht="15" customHeight="1" x14ac:dyDescent="0.25">
      <c r="B1409" s="35" t="s">
        <v>5801</v>
      </c>
      <c r="C1409" s="23" t="s">
        <v>5802</v>
      </c>
      <c r="D1409" s="23" t="s">
        <v>3303</v>
      </c>
      <c r="E1409" s="23" t="s">
        <v>3317</v>
      </c>
      <c r="F1409" s="23" t="s">
        <v>3729</v>
      </c>
      <c r="G1409" s="93">
        <v>3</v>
      </c>
      <c r="H1409" s="93">
        <v>0</v>
      </c>
      <c r="I1409" s="23"/>
      <c r="J1409" s="23"/>
      <c r="K1409" s="23"/>
      <c r="L1409" s="23" t="s">
        <v>5796</v>
      </c>
      <c r="M1409" s="23"/>
    </row>
    <row r="1410" spans="2:13" ht="15" customHeight="1" x14ac:dyDescent="0.25">
      <c r="B1410" s="35" t="s">
        <v>5803</v>
      </c>
      <c r="C1410" s="23" t="s">
        <v>5804</v>
      </c>
      <c r="D1410" s="23" t="s">
        <v>3303</v>
      </c>
      <c r="E1410" s="23" t="s">
        <v>3317</v>
      </c>
      <c r="F1410" s="23" t="s">
        <v>3729</v>
      </c>
      <c r="G1410" s="93">
        <v>3</v>
      </c>
      <c r="H1410" s="93">
        <v>0</v>
      </c>
      <c r="I1410" s="23"/>
      <c r="J1410" s="23"/>
      <c r="K1410" s="23"/>
      <c r="L1410" s="23" t="s">
        <v>5796</v>
      </c>
      <c r="M1410" s="23" t="s">
        <v>4716</v>
      </c>
    </row>
    <row r="1411" spans="2:13" ht="15" customHeight="1" x14ac:dyDescent="0.25">
      <c r="B1411" s="35" t="s">
        <v>5805</v>
      </c>
      <c r="C1411" s="23" t="s">
        <v>5806</v>
      </c>
      <c r="D1411" s="23" t="s">
        <v>3303</v>
      </c>
      <c r="E1411" s="23" t="s">
        <v>3317</v>
      </c>
      <c r="F1411" s="23" t="s">
        <v>3729</v>
      </c>
      <c r="G1411" s="93">
        <v>3</v>
      </c>
      <c r="H1411" s="93">
        <v>0</v>
      </c>
      <c r="I1411" s="23"/>
      <c r="J1411" s="23"/>
      <c r="K1411" s="23"/>
      <c r="L1411" s="23" t="s">
        <v>5796</v>
      </c>
      <c r="M1411" s="23"/>
    </row>
    <row r="1412" spans="2:13" ht="15" customHeight="1" x14ac:dyDescent="0.25">
      <c r="B1412" s="35" t="s">
        <v>5807</v>
      </c>
      <c r="C1412" s="23" t="s">
        <v>5808</v>
      </c>
      <c r="D1412" s="23" t="s">
        <v>3303</v>
      </c>
      <c r="E1412" s="23" t="s">
        <v>3317</v>
      </c>
      <c r="F1412" s="23" t="s">
        <v>3729</v>
      </c>
      <c r="G1412" s="93">
        <v>3</v>
      </c>
      <c r="H1412" s="93">
        <v>0</v>
      </c>
      <c r="I1412" s="23"/>
      <c r="J1412" s="23"/>
      <c r="K1412" s="23"/>
      <c r="L1412" s="23" t="s">
        <v>5796</v>
      </c>
      <c r="M1412" s="23"/>
    </row>
    <row r="1413" spans="2:13" ht="15" customHeight="1" x14ac:dyDescent="0.25">
      <c r="B1413" s="35" t="s">
        <v>5809</v>
      </c>
      <c r="C1413" s="23" t="s">
        <v>5810</v>
      </c>
      <c r="D1413" s="23" t="s">
        <v>3303</v>
      </c>
      <c r="E1413" s="23" t="s">
        <v>3317</v>
      </c>
      <c r="F1413" s="23" t="s">
        <v>3729</v>
      </c>
      <c r="G1413" s="93">
        <v>3</v>
      </c>
      <c r="H1413" s="93">
        <v>0</v>
      </c>
      <c r="I1413" s="23"/>
      <c r="J1413" s="23"/>
      <c r="K1413" s="23"/>
      <c r="L1413" s="23" t="s">
        <v>5796</v>
      </c>
      <c r="M1413" s="23"/>
    </row>
    <row r="1414" spans="2:13" ht="15" customHeight="1" x14ac:dyDescent="0.25">
      <c r="B1414" s="35" t="s">
        <v>5811</v>
      </c>
      <c r="C1414" s="23" t="s">
        <v>5812</v>
      </c>
      <c r="D1414" s="23" t="s">
        <v>3303</v>
      </c>
      <c r="E1414" s="23" t="s">
        <v>3317</v>
      </c>
      <c r="F1414" s="23" t="s">
        <v>3729</v>
      </c>
      <c r="G1414" s="93">
        <v>3</v>
      </c>
      <c r="H1414" s="93">
        <v>0</v>
      </c>
      <c r="I1414" s="23"/>
      <c r="J1414" s="23"/>
      <c r="K1414" s="23"/>
      <c r="L1414" s="23" t="s">
        <v>5796</v>
      </c>
      <c r="M1414" s="23"/>
    </row>
    <row r="1415" spans="2:13" ht="15" customHeight="1" x14ac:dyDescent="0.25">
      <c r="B1415" s="35" t="s">
        <v>5813</v>
      </c>
      <c r="C1415" s="23" t="s">
        <v>5814</v>
      </c>
      <c r="D1415" s="23" t="s">
        <v>3303</v>
      </c>
      <c r="E1415" s="23" t="s">
        <v>3317</v>
      </c>
      <c r="F1415" s="23" t="s">
        <v>3729</v>
      </c>
      <c r="G1415" s="93">
        <v>3</v>
      </c>
      <c r="H1415" s="93">
        <v>0</v>
      </c>
      <c r="I1415" s="23"/>
      <c r="J1415" s="23"/>
      <c r="K1415" s="23"/>
      <c r="L1415" s="23" t="s">
        <v>5796</v>
      </c>
      <c r="M1415" s="23"/>
    </row>
    <row r="1416" spans="2:13" ht="15" customHeight="1" x14ac:dyDescent="0.25">
      <c r="B1416" s="35" t="s">
        <v>5815</v>
      </c>
      <c r="C1416" s="23" t="s">
        <v>5816</v>
      </c>
      <c r="D1416" s="23" t="s">
        <v>3303</v>
      </c>
      <c r="E1416" s="23" t="s">
        <v>3317</v>
      </c>
      <c r="F1416" s="23" t="s">
        <v>3729</v>
      </c>
      <c r="G1416" s="93">
        <v>3</v>
      </c>
      <c r="H1416" s="93">
        <v>0</v>
      </c>
      <c r="I1416" s="23"/>
      <c r="J1416" s="23"/>
      <c r="K1416" s="23"/>
      <c r="L1416" s="23" t="s">
        <v>5796</v>
      </c>
      <c r="M1416" s="23"/>
    </row>
    <row r="1417" spans="2:13" ht="15" customHeight="1" x14ac:dyDescent="0.25">
      <c r="B1417" s="35" t="s">
        <v>2888</v>
      </c>
      <c r="C1417" s="23" t="s">
        <v>2889</v>
      </c>
      <c r="D1417" s="23" t="s">
        <v>3303</v>
      </c>
      <c r="E1417" s="23" t="s">
        <v>3317</v>
      </c>
      <c r="F1417" s="23" t="s">
        <v>3729</v>
      </c>
      <c r="G1417" s="93">
        <v>0</v>
      </c>
      <c r="H1417" s="93">
        <v>1</v>
      </c>
      <c r="I1417" s="23"/>
      <c r="J1417" s="23"/>
      <c r="K1417" s="23"/>
      <c r="L1417" s="23" t="s">
        <v>5796</v>
      </c>
      <c r="M1417" s="23"/>
    </row>
    <row r="1418" spans="2:13" ht="15" customHeight="1" x14ac:dyDescent="0.25">
      <c r="B1418" s="35" t="s">
        <v>5817</v>
      </c>
      <c r="C1418" s="23" t="s">
        <v>5818</v>
      </c>
      <c r="D1418" s="23" t="s">
        <v>3303</v>
      </c>
      <c r="E1418" s="23" t="s">
        <v>3317</v>
      </c>
      <c r="F1418" s="23" t="s">
        <v>3729</v>
      </c>
      <c r="G1418" s="93">
        <v>3</v>
      </c>
      <c r="H1418" s="93">
        <v>0</v>
      </c>
      <c r="I1418" s="23"/>
      <c r="J1418" s="23"/>
      <c r="K1418" s="23"/>
      <c r="L1418" s="23" t="s">
        <v>5796</v>
      </c>
      <c r="M1418" s="23"/>
    </row>
    <row r="1419" spans="2:13" ht="15" customHeight="1" x14ac:dyDescent="0.25">
      <c r="B1419" s="35" t="s">
        <v>5819</v>
      </c>
      <c r="C1419" s="23" t="s">
        <v>5820</v>
      </c>
      <c r="D1419" s="23" t="s">
        <v>3303</v>
      </c>
      <c r="E1419" s="23" t="s">
        <v>3317</v>
      </c>
      <c r="F1419" s="23" t="s">
        <v>3729</v>
      </c>
      <c r="G1419" s="93">
        <v>3</v>
      </c>
      <c r="H1419" s="93">
        <v>0</v>
      </c>
      <c r="I1419" s="23"/>
      <c r="J1419" s="23"/>
      <c r="K1419" s="23"/>
      <c r="L1419" s="23" t="s">
        <v>5796</v>
      </c>
      <c r="M1419" s="23"/>
    </row>
    <row r="1420" spans="2:13" ht="15" customHeight="1" x14ac:dyDescent="0.25">
      <c r="B1420" s="35" t="s">
        <v>5821</v>
      </c>
      <c r="C1420" s="23" t="s">
        <v>5822</v>
      </c>
      <c r="D1420" s="23" t="s">
        <v>3303</v>
      </c>
      <c r="E1420" s="23" t="s">
        <v>3317</v>
      </c>
      <c r="F1420" s="23" t="s">
        <v>3729</v>
      </c>
      <c r="G1420" s="93">
        <v>3</v>
      </c>
      <c r="H1420" s="93">
        <v>0</v>
      </c>
      <c r="I1420" s="23"/>
      <c r="J1420" s="23"/>
      <c r="K1420" s="23"/>
      <c r="L1420" s="23" t="s">
        <v>5796</v>
      </c>
      <c r="M1420" s="23"/>
    </row>
    <row r="1421" spans="2:13" ht="15" customHeight="1" x14ac:dyDescent="0.25">
      <c r="B1421" s="35" t="s">
        <v>5823</v>
      </c>
      <c r="C1421" s="23" t="s">
        <v>5824</v>
      </c>
      <c r="D1421" s="23" t="s">
        <v>3303</v>
      </c>
      <c r="E1421" s="23" t="s">
        <v>3317</v>
      </c>
      <c r="F1421" s="23" t="s">
        <v>3729</v>
      </c>
      <c r="G1421" s="93">
        <v>3</v>
      </c>
      <c r="H1421" s="93">
        <v>0</v>
      </c>
      <c r="I1421" s="23"/>
      <c r="J1421" s="23"/>
      <c r="K1421" s="23"/>
      <c r="L1421" s="23" t="s">
        <v>5796</v>
      </c>
      <c r="M1421" s="23"/>
    </row>
    <row r="1422" spans="2:13" ht="15" customHeight="1" x14ac:dyDescent="0.25">
      <c r="B1422" s="35" t="s">
        <v>5825</v>
      </c>
      <c r="C1422" s="23" t="s">
        <v>5826</v>
      </c>
      <c r="D1422" s="23" t="s">
        <v>3303</v>
      </c>
      <c r="E1422" s="23" t="s">
        <v>3317</v>
      </c>
      <c r="F1422" s="23" t="s">
        <v>3729</v>
      </c>
      <c r="G1422" s="93">
        <v>3</v>
      </c>
      <c r="H1422" s="93">
        <v>0</v>
      </c>
      <c r="I1422" s="23"/>
      <c r="J1422" s="23"/>
      <c r="K1422" s="23"/>
      <c r="L1422" s="23" t="s">
        <v>5796</v>
      </c>
      <c r="M1422" s="23"/>
    </row>
    <row r="1423" spans="2:13" ht="15" customHeight="1" x14ac:dyDescent="0.25">
      <c r="B1423" s="35" t="s">
        <v>5827</v>
      </c>
      <c r="C1423" s="23" t="s">
        <v>5828</v>
      </c>
      <c r="D1423" s="23" t="s">
        <v>3303</v>
      </c>
      <c r="E1423" s="23" t="s">
        <v>3317</v>
      </c>
      <c r="F1423" s="23" t="s">
        <v>3729</v>
      </c>
      <c r="G1423" s="93">
        <v>3</v>
      </c>
      <c r="H1423" s="93">
        <v>0</v>
      </c>
      <c r="I1423" s="23"/>
      <c r="J1423" s="23"/>
      <c r="K1423" s="23"/>
      <c r="L1423" s="23" t="s">
        <v>5796</v>
      </c>
      <c r="M1423" s="23"/>
    </row>
    <row r="1424" spans="2:13" ht="15" customHeight="1" x14ac:dyDescent="0.25">
      <c r="B1424" s="35" t="s">
        <v>5829</v>
      </c>
      <c r="C1424" s="23" t="s">
        <v>5830</v>
      </c>
      <c r="D1424" s="23" t="s">
        <v>3303</v>
      </c>
      <c r="E1424" s="23" t="s">
        <v>3317</v>
      </c>
      <c r="F1424" s="23" t="s">
        <v>3729</v>
      </c>
      <c r="G1424" s="93">
        <v>3</v>
      </c>
      <c r="H1424" s="93">
        <v>0</v>
      </c>
      <c r="I1424" s="23"/>
      <c r="J1424" s="23"/>
      <c r="K1424" s="23"/>
      <c r="L1424" s="23" t="s">
        <v>5796</v>
      </c>
      <c r="M1424" s="23"/>
    </row>
    <row r="1425" spans="2:13" ht="15" customHeight="1" x14ac:dyDescent="0.25">
      <c r="B1425" s="35" t="s">
        <v>5831</v>
      </c>
      <c r="C1425" s="23" t="s">
        <v>5832</v>
      </c>
      <c r="D1425" s="23" t="s">
        <v>3303</v>
      </c>
      <c r="E1425" s="23" t="s">
        <v>3317</v>
      </c>
      <c r="F1425" s="23" t="s">
        <v>3729</v>
      </c>
      <c r="G1425" s="93">
        <v>3</v>
      </c>
      <c r="H1425" s="93">
        <v>0</v>
      </c>
      <c r="I1425" s="23"/>
      <c r="J1425" s="23"/>
      <c r="K1425" s="23"/>
      <c r="L1425" s="23" t="s">
        <v>5796</v>
      </c>
      <c r="M1425" s="23"/>
    </row>
    <row r="1426" spans="2:13" ht="15" customHeight="1" x14ac:dyDescent="0.25">
      <c r="B1426" s="35" t="s">
        <v>5833</v>
      </c>
      <c r="C1426" s="23" t="s">
        <v>5834</v>
      </c>
      <c r="D1426" s="23" t="s">
        <v>3303</v>
      </c>
      <c r="E1426" s="23" t="s">
        <v>3317</v>
      </c>
      <c r="F1426" s="23" t="s">
        <v>3729</v>
      </c>
      <c r="G1426" s="93">
        <v>3</v>
      </c>
      <c r="H1426" s="93">
        <v>0</v>
      </c>
      <c r="I1426" s="23"/>
      <c r="J1426" s="23"/>
      <c r="K1426" s="23"/>
      <c r="L1426" s="23" t="s">
        <v>5796</v>
      </c>
      <c r="M1426" s="23"/>
    </row>
    <row r="1427" spans="2:13" ht="15" customHeight="1" x14ac:dyDescent="0.25">
      <c r="B1427" s="35" t="s">
        <v>5835</v>
      </c>
      <c r="C1427" s="23" t="s">
        <v>5836</v>
      </c>
      <c r="D1427" s="23" t="s">
        <v>3303</v>
      </c>
      <c r="E1427" s="23" t="s">
        <v>3317</v>
      </c>
      <c r="F1427" s="23" t="s">
        <v>3729</v>
      </c>
      <c r="G1427" s="93">
        <v>3</v>
      </c>
      <c r="H1427" s="93">
        <v>0</v>
      </c>
      <c r="I1427" s="23"/>
      <c r="J1427" s="23"/>
      <c r="K1427" s="23"/>
      <c r="L1427" s="23" t="s">
        <v>5796</v>
      </c>
      <c r="M1427" s="23"/>
    </row>
    <row r="1428" spans="2:13" ht="15" customHeight="1" x14ac:dyDescent="0.25">
      <c r="B1428" s="35" t="s">
        <v>5837</v>
      </c>
      <c r="C1428" s="23" t="s">
        <v>5838</v>
      </c>
      <c r="D1428" s="23" t="s">
        <v>3303</v>
      </c>
      <c r="E1428" s="23" t="s">
        <v>3317</v>
      </c>
      <c r="F1428" s="23" t="s">
        <v>3729</v>
      </c>
      <c r="G1428" s="93">
        <v>3</v>
      </c>
      <c r="H1428" s="93">
        <v>0</v>
      </c>
      <c r="I1428" s="23"/>
      <c r="J1428" s="23"/>
      <c r="K1428" s="23"/>
      <c r="L1428" s="23" t="s">
        <v>5796</v>
      </c>
      <c r="M1428" s="23"/>
    </row>
    <row r="1429" spans="2:13" ht="15" customHeight="1" x14ac:dyDescent="0.25">
      <c r="B1429" s="35" t="s">
        <v>5839</v>
      </c>
      <c r="C1429" s="23" t="s">
        <v>5840</v>
      </c>
      <c r="D1429" s="23" t="s">
        <v>3303</v>
      </c>
      <c r="E1429" s="23" t="s">
        <v>3317</v>
      </c>
      <c r="F1429" s="23" t="s">
        <v>3729</v>
      </c>
      <c r="G1429" s="93">
        <v>3</v>
      </c>
      <c r="H1429" s="93">
        <v>0</v>
      </c>
      <c r="I1429" s="23"/>
      <c r="J1429" s="23"/>
      <c r="K1429" s="23"/>
      <c r="L1429" s="23" t="s">
        <v>5796</v>
      </c>
      <c r="M1429" s="23"/>
    </row>
    <row r="1430" spans="2:13" ht="15" customHeight="1" x14ac:dyDescent="0.25">
      <c r="B1430" s="35" t="s">
        <v>5841</v>
      </c>
      <c r="C1430" s="23" t="s">
        <v>5842</v>
      </c>
      <c r="D1430" s="23" t="s">
        <v>3303</v>
      </c>
      <c r="E1430" s="23" t="s">
        <v>3317</v>
      </c>
      <c r="F1430" s="23" t="s">
        <v>3729</v>
      </c>
      <c r="G1430" s="93">
        <v>3</v>
      </c>
      <c r="H1430" s="93">
        <v>0</v>
      </c>
      <c r="I1430" s="23"/>
      <c r="J1430" s="23"/>
      <c r="K1430" s="23"/>
      <c r="L1430" s="23" t="s">
        <v>5796</v>
      </c>
      <c r="M1430" s="23"/>
    </row>
    <row r="1431" spans="2:13" ht="15" customHeight="1" x14ac:dyDescent="0.25">
      <c r="B1431" s="35" t="s">
        <v>5843</v>
      </c>
      <c r="C1431" s="23" t="s">
        <v>5844</v>
      </c>
      <c r="D1431" s="23" t="s">
        <v>3303</v>
      </c>
      <c r="E1431" s="23" t="s">
        <v>3317</v>
      </c>
      <c r="F1431" s="23" t="s">
        <v>3729</v>
      </c>
      <c r="G1431" s="93">
        <v>3</v>
      </c>
      <c r="H1431" s="93">
        <v>0</v>
      </c>
      <c r="I1431" s="23"/>
      <c r="J1431" s="23"/>
      <c r="K1431" s="23"/>
      <c r="L1431" s="23" t="s">
        <v>5796</v>
      </c>
      <c r="M1431" s="23"/>
    </row>
    <row r="1432" spans="2:13" ht="15" customHeight="1" x14ac:dyDescent="0.25">
      <c r="B1432" s="35" t="s">
        <v>5845</v>
      </c>
      <c r="C1432" s="23" t="s">
        <v>5846</v>
      </c>
      <c r="D1432" s="23" t="s">
        <v>3303</v>
      </c>
      <c r="E1432" s="23" t="s">
        <v>3317</v>
      </c>
      <c r="F1432" s="23" t="s">
        <v>3729</v>
      </c>
      <c r="G1432" s="93">
        <v>3</v>
      </c>
      <c r="H1432" s="93">
        <v>0</v>
      </c>
      <c r="I1432" s="23"/>
      <c r="J1432" s="23"/>
      <c r="K1432" s="23"/>
      <c r="L1432" s="23" t="s">
        <v>5796</v>
      </c>
      <c r="M1432" s="23"/>
    </row>
    <row r="1433" spans="2:13" ht="15" customHeight="1" x14ac:dyDescent="0.25">
      <c r="B1433" s="35" t="s">
        <v>5847</v>
      </c>
      <c r="C1433" s="23" t="s">
        <v>5848</v>
      </c>
      <c r="D1433" s="23" t="s">
        <v>3303</v>
      </c>
      <c r="E1433" s="23" t="s">
        <v>3317</v>
      </c>
      <c r="F1433" s="23" t="s">
        <v>3729</v>
      </c>
      <c r="G1433" s="93">
        <v>3</v>
      </c>
      <c r="H1433" s="93">
        <v>0</v>
      </c>
      <c r="I1433" s="23"/>
      <c r="J1433" s="23"/>
      <c r="K1433" s="23"/>
      <c r="L1433" s="23" t="s">
        <v>5796</v>
      </c>
      <c r="M1433" s="23"/>
    </row>
    <row r="1434" spans="2:13" ht="15" customHeight="1" x14ac:dyDescent="0.25">
      <c r="B1434" s="35" t="s">
        <v>5849</v>
      </c>
      <c r="C1434" s="23" t="s">
        <v>5850</v>
      </c>
      <c r="D1434" s="23" t="s">
        <v>3303</v>
      </c>
      <c r="E1434" s="23" t="s">
        <v>3317</v>
      </c>
      <c r="F1434" s="23" t="s">
        <v>3729</v>
      </c>
      <c r="G1434" s="93">
        <v>3</v>
      </c>
      <c r="H1434" s="93">
        <v>0</v>
      </c>
      <c r="I1434" s="23"/>
      <c r="J1434" s="23"/>
      <c r="K1434" s="23"/>
      <c r="L1434" s="23" t="s">
        <v>5796</v>
      </c>
      <c r="M1434" s="23"/>
    </row>
    <row r="1435" spans="2:13" ht="15" customHeight="1" x14ac:dyDescent="0.25">
      <c r="B1435" s="35" t="s">
        <v>5851</v>
      </c>
      <c r="C1435" s="23" t="s">
        <v>5852</v>
      </c>
      <c r="D1435" s="23" t="s">
        <v>3303</v>
      </c>
      <c r="E1435" s="23" t="s">
        <v>3317</v>
      </c>
      <c r="F1435" s="23" t="s">
        <v>3729</v>
      </c>
      <c r="G1435" s="93">
        <v>3</v>
      </c>
      <c r="H1435" s="93">
        <v>0</v>
      </c>
      <c r="I1435" s="23"/>
      <c r="J1435" s="23"/>
      <c r="K1435" s="23"/>
      <c r="L1435" s="23" t="s">
        <v>5796</v>
      </c>
      <c r="M1435" s="23"/>
    </row>
    <row r="1436" spans="2:13" ht="15" customHeight="1" x14ac:dyDescent="0.25">
      <c r="B1436" s="35" t="s">
        <v>5853</v>
      </c>
      <c r="C1436" s="23" t="s">
        <v>5854</v>
      </c>
      <c r="D1436" s="23" t="s">
        <v>3303</v>
      </c>
      <c r="E1436" s="23" t="s">
        <v>3317</v>
      </c>
      <c r="F1436" s="23" t="s">
        <v>3729</v>
      </c>
      <c r="G1436" s="93">
        <v>3</v>
      </c>
      <c r="H1436" s="93">
        <v>0</v>
      </c>
      <c r="I1436" s="23"/>
      <c r="J1436" s="23"/>
      <c r="K1436" s="23"/>
      <c r="L1436" s="23" t="s">
        <v>5796</v>
      </c>
      <c r="M1436" s="23"/>
    </row>
    <row r="1437" spans="2:13" ht="15" customHeight="1" x14ac:dyDescent="0.25">
      <c r="B1437" s="35" t="s">
        <v>5855</v>
      </c>
      <c r="C1437" s="23" t="s">
        <v>5856</v>
      </c>
      <c r="D1437" s="23" t="s">
        <v>3303</v>
      </c>
      <c r="E1437" s="23" t="s">
        <v>3317</v>
      </c>
      <c r="F1437" s="23" t="s">
        <v>3729</v>
      </c>
      <c r="G1437" s="93">
        <v>3</v>
      </c>
      <c r="H1437" s="93">
        <v>0</v>
      </c>
      <c r="I1437" s="23"/>
      <c r="J1437" s="23"/>
      <c r="K1437" s="23"/>
      <c r="L1437" s="23" t="s">
        <v>5796</v>
      </c>
      <c r="M1437" s="23"/>
    </row>
    <row r="1438" spans="2:13" ht="15" customHeight="1" x14ac:dyDescent="0.25">
      <c r="B1438" s="35" t="s">
        <v>5857</v>
      </c>
      <c r="C1438" s="23" t="s">
        <v>5858</v>
      </c>
      <c r="D1438" s="23" t="s">
        <v>3303</v>
      </c>
      <c r="E1438" s="23" t="s">
        <v>3317</v>
      </c>
      <c r="F1438" s="23" t="s">
        <v>3729</v>
      </c>
      <c r="G1438" s="93">
        <v>3</v>
      </c>
      <c r="H1438" s="93">
        <v>0</v>
      </c>
      <c r="I1438" s="23"/>
      <c r="J1438" s="23"/>
      <c r="K1438" s="23"/>
      <c r="L1438" s="23" t="s">
        <v>5796</v>
      </c>
      <c r="M1438" s="23"/>
    </row>
    <row r="1439" spans="2:13" ht="15" customHeight="1" x14ac:dyDescent="0.25">
      <c r="B1439" s="35" t="s">
        <v>5859</v>
      </c>
      <c r="C1439" s="23" t="s">
        <v>5860</v>
      </c>
      <c r="D1439" s="23" t="s">
        <v>3303</v>
      </c>
      <c r="E1439" s="23" t="s">
        <v>3317</v>
      </c>
      <c r="F1439" s="23" t="s">
        <v>3729</v>
      </c>
      <c r="G1439" s="93">
        <v>3</v>
      </c>
      <c r="H1439" s="93">
        <v>0</v>
      </c>
      <c r="I1439" s="23"/>
      <c r="J1439" s="23"/>
      <c r="K1439" s="23"/>
      <c r="L1439" s="23" t="s">
        <v>5796</v>
      </c>
      <c r="M1439" s="23"/>
    </row>
    <row r="1440" spans="2:13" ht="15" customHeight="1" x14ac:dyDescent="0.25">
      <c r="B1440" s="35" t="s">
        <v>5861</v>
      </c>
      <c r="C1440" s="23" t="s">
        <v>5862</v>
      </c>
      <c r="D1440" s="23" t="s">
        <v>3303</v>
      </c>
      <c r="E1440" s="23" t="s">
        <v>3317</v>
      </c>
      <c r="F1440" s="23" t="s">
        <v>3729</v>
      </c>
      <c r="G1440" s="93">
        <v>3</v>
      </c>
      <c r="H1440" s="93">
        <v>1</v>
      </c>
      <c r="I1440" s="23"/>
      <c r="J1440" s="23"/>
      <c r="K1440" s="23"/>
      <c r="L1440" s="23" t="s">
        <v>5796</v>
      </c>
      <c r="M1440" s="23" t="s">
        <v>4716</v>
      </c>
    </row>
    <row r="1441" spans="2:13" ht="15" customHeight="1" x14ac:dyDescent="0.25">
      <c r="B1441" s="35" t="s">
        <v>5863</v>
      </c>
      <c r="C1441" s="23" t="s">
        <v>5864</v>
      </c>
      <c r="D1441" s="23" t="s">
        <v>3303</v>
      </c>
      <c r="E1441" s="23" t="s">
        <v>3317</v>
      </c>
      <c r="F1441" s="23" t="s">
        <v>3729</v>
      </c>
      <c r="G1441" s="93">
        <v>3</v>
      </c>
      <c r="H1441" s="93">
        <v>0</v>
      </c>
      <c r="I1441" s="23"/>
      <c r="J1441" s="23"/>
      <c r="K1441" s="23"/>
      <c r="L1441" s="23" t="s">
        <v>5796</v>
      </c>
      <c r="M1441" s="23"/>
    </row>
    <row r="1442" spans="2:13" ht="15" customHeight="1" x14ac:dyDescent="0.25">
      <c r="B1442" s="35" t="s">
        <v>2895</v>
      </c>
      <c r="C1442" s="23" t="s">
        <v>2861</v>
      </c>
      <c r="D1442" s="23" t="s">
        <v>3303</v>
      </c>
      <c r="E1442" s="23" t="s">
        <v>3317</v>
      </c>
      <c r="F1442" s="23" t="s">
        <v>3729</v>
      </c>
      <c r="G1442" s="93">
        <v>3</v>
      </c>
      <c r="H1442" s="93">
        <v>1</v>
      </c>
      <c r="I1442" s="23"/>
      <c r="J1442" s="23"/>
      <c r="K1442" s="23"/>
      <c r="L1442" s="23" t="s">
        <v>5796</v>
      </c>
      <c r="M1442" s="23"/>
    </row>
    <row r="1443" spans="2:13" ht="15" customHeight="1" x14ac:dyDescent="0.25">
      <c r="B1443" s="35" t="s">
        <v>5865</v>
      </c>
      <c r="C1443" s="23" t="s">
        <v>5866</v>
      </c>
      <c r="D1443" s="23" t="s">
        <v>3303</v>
      </c>
      <c r="E1443" s="23" t="s">
        <v>3317</v>
      </c>
      <c r="F1443" s="23" t="s">
        <v>3729</v>
      </c>
      <c r="G1443" s="93">
        <v>3</v>
      </c>
      <c r="H1443" s="93">
        <v>0</v>
      </c>
      <c r="I1443" s="23"/>
      <c r="J1443" s="23"/>
      <c r="K1443" s="23"/>
      <c r="L1443" s="23" t="s">
        <v>5796</v>
      </c>
      <c r="M1443" s="23"/>
    </row>
    <row r="1444" spans="2:13" ht="15" customHeight="1" x14ac:dyDescent="0.25">
      <c r="B1444" s="35" t="s">
        <v>5867</v>
      </c>
      <c r="C1444" s="23" t="s">
        <v>5868</v>
      </c>
      <c r="D1444" s="23" t="s">
        <v>3303</v>
      </c>
      <c r="E1444" s="23" t="s">
        <v>3317</v>
      </c>
      <c r="F1444" s="23" t="s">
        <v>3729</v>
      </c>
      <c r="G1444" s="93">
        <v>3</v>
      </c>
      <c r="H1444" s="93">
        <v>0</v>
      </c>
      <c r="I1444" s="23"/>
      <c r="J1444" s="23"/>
      <c r="K1444" s="23"/>
      <c r="L1444" s="23" t="s">
        <v>5796</v>
      </c>
      <c r="M1444" s="23"/>
    </row>
    <row r="1445" spans="2:13" ht="15" customHeight="1" x14ac:dyDescent="0.25">
      <c r="B1445" s="35" t="s">
        <v>5869</v>
      </c>
      <c r="C1445" s="23" t="s">
        <v>5870</v>
      </c>
      <c r="D1445" s="23" t="s">
        <v>3303</v>
      </c>
      <c r="E1445" s="23" t="s">
        <v>3317</v>
      </c>
      <c r="F1445" s="23" t="s">
        <v>3729</v>
      </c>
      <c r="G1445" s="93">
        <v>3</v>
      </c>
      <c r="H1445" s="93">
        <v>0</v>
      </c>
      <c r="I1445" s="23"/>
      <c r="J1445" s="23"/>
      <c r="K1445" s="23"/>
      <c r="L1445" s="23" t="s">
        <v>5796</v>
      </c>
      <c r="M1445" s="23"/>
    </row>
    <row r="1446" spans="2:13" ht="15" customHeight="1" x14ac:dyDescent="0.25">
      <c r="B1446" s="35" t="s">
        <v>5871</v>
      </c>
      <c r="C1446" s="23" t="s">
        <v>5872</v>
      </c>
      <c r="D1446" s="23" t="s">
        <v>3303</v>
      </c>
      <c r="E1446" s="23" t="s">
        <v>3317</v>
      </c>
      <c r="F1446" s="23" t="s">
        <v>3729</v>
      </c>
      <c r="G1446" s="93">
        <v>3</v>
      </c>
      <c r="H1446" s="93">
        <v>0</v>
      </c>
      <c r="I1446" s="23"/>
      <c r="J1446" s="23"/>
      <c r="K1446" s="23"/>
      <c r="L1446" s="23" t="s">
        <v>5796</v>
      </c>
      <c r="M1446" s="23"/>
    </row>
    <row r="1447" spans="2:13" ht="15" customHeight="1" x14ac:dyDescent="0.25">
      <c r="B1447" s="35" t="s">
        <v>5873</v>
      </c>
      <c r="C1447" s="23" t="s">
        <v>5874</v>
      </c>
      <c r="D1447" s="23" t="s">
        <v>3303</v>
      </c>
      <c r="E1447" s="23" t="s">
        <v>3317</v>
      </c>
      <c r="F1447" s="23" t="s">
        <v>3729</v>
      </c>
      <c r="G1447" s="93">
        <v>3</v>
      </c>
      <c r="H1447" s="93">
        <v>0</v>
      </c>
      <c r="I1447" s="23"/>
      <c r="J1447" s="23"/>
      <c r="K1447" s="23"/>
      <c r="L1447" s="23" t="s">
        <v>5796</v>
      </c>
      <c r="M1447" s="23"/>
    </row>
    <row r="1448" spans="2:13" ht="15" customHeight="1" x14ac:dyDescent="0.25">
      <c r="B1448" s="35" t="s">
        <v>5875</v>
      </c>
      <c r="C1448" s="23" t="s">
        <v>5876</v>
      </c>
      <c r="D1448" s="23" t="s">
        <v>3303</v>
      </c>
      <c r="E1448" s="23" t="s">
        <v>3317</v>
      </c>
      <c r="F1448" s="23" t="s">
        <v>3729</v>
      </c>
      <c r="G1448" s="93">
        <v>3</v>
      </c>
      <c r="H1448" s="93">
        <v>0</v>
      </c>
      <c r="I1448" s="23"/>
      <c r="J1448" s="23"/>
      <c r="K1448" s="23"/>
      <c r="L1448" s="23" t="s">
        <v>5796</v>
      </c>
      <c r="M1448" s="23"/>
    </row>
    <row r="1449" spans="2:13" ht="15" customHeight="1" x14ac:dyDescent="0.25">
      <c r="B1449" s="35" t="s">
        <v>5877</v>
      </c>
      <c r="C1449" s="23" t="s">
        <v>5878</v>
      </c>
      <c r="D1449" s="23" t="s">
        <v>3303</v>
      </c>
      <c r="E1449" s="23" t="s">
        <v>3317</v>
      </c>
      <c r="F1449" s="23" t="s">
        <v>3729</v>
      </c>
      <c r="G1449" s="93">
        <v>3</v>
      </c>
      <c r="H1449" s="93">
        <v>0</v>
      </c>
      <c r="I1449" s="23"/>
      <c r="J1449" s="23"/>
      <c r="K1449" s="23"/>
      <c r="L1449" s="23" t="s">
        <v>5796</v>
      </c>
      <c r="M1449" s="23"/>
    </row>
    <row r="1450" spans="2:13" ht="15" customHeight="1" x14ac:dyDescent="0.25">
      <c r="B1450" s="35" t="s">
        <v>5879</v>
      </c>
      <c r="C1450" s="23" t="s">
        <v>5880</v>
      </c>
      <c r="D1450" s="23" t="s">
        <v>3303</v>
      </c>
      <c r="E1450" s="23" t="s">
        <v>3317</v>
      </c>
      <c r="F1450" s="23" t="s">
        <v>3729</v>
      </c>
      <c r="G1450" s="93">
        <v>3</v>
      </c>
      <c r="H1450" s="93">
        <v>0</v>
      </c>
      <c r="I1450" s="23"/>
      <c r="J1450" s="23"/>
      <c r="K1450" s="23"/>
      <c r="L1450" s="23" t="s">
        <v>5796</v>
      </c>
      <c r="M1450" s="23"/>
    </row>
    <row r="1451" spans="2:13" ht="15" customHeight="1" x14ac:dyDescent="0.25">
      <c r="B1451" s="35" t="s">
        <v>5881</v>
      </c>
      <c r="C1451" s="23" t="s">
        <v>5882</v>
      </c>
      <c r="D1451" s="23" t="s">
        <v>3303</v>
      </c>
      <c r="E1451" s="23" t="s">
        <v>3317</v>
      </c>
      <c r="F1451" s="23" t="s">
        <v>3729</v>
      </c>
      <c r="G1451" s="93">
        <v>3</v>
      </c>
      <c r="H1451" s="93">
        <v>0</v>
      </c>
      <c r="I1451" s="23"/>
      <c r="J1451" s="23"/>
      <c r="K1451" s="23"/>
      <c r="L1451" s="23" t="s">
        <v>5796</v>
      </c>
      <c r="M1451" s="23"/>
    </row>
    <row r="1452" spans="2:13" ht="15" customHeight="1" x14ac:dyDescent="0.25">
      <c r="B1452" s="35" t="s">
        <v>5883</v>
      </c>
      <c r="C1452" s="23" t="s">
        <v>5884</v>
      </c>
      <c r="D1452" s="23" t="s">
        <v>3303</v>
      </c>
      <c r="E1452" s="23" t="s">
        <v>3317</v>
      </c>
      <c r="F1452" s="23" t="s">
        <v>3729</v>
      </c>
      <c r="G1452" s="93">
        <v>3</v>
      </c>
      <c r="H1452" s="93">
        <v>0</v>
      </c>
      <c r="I1452" s="23"/>
      <c r="J1452" s="23"/>
      <c r="K1452" s="23"/>
      <c r="L1452" s="23" t="s">
        <v>5796</v>
      </c>
      <c r="M1452" s="23"/>
    </row>
    <row r="1453" spans="2:13" ht="15" customHeight="1" x14ac:dyDescent="0.25">
      <c r="B1453" s="35" t="s">
        <v>5885</v>
      </c>
      <c r="C1453" s="23" t="s">
        <v>5886</v>
      </c>
      <c r="D1453" s="23" t="s">
        <v>3303</v>
      </c>
      <c r="E1453" s="23" t="s">
        <v>3317</v>
      </c>
      <c r="F1453" s="23" t="s">
        <v>3729</v>
      </c>
      <c r="G1453" s="93">
        <v>3</v>
      </c>
      <c r="H1453" s="93">
        <v>0</v>
      </c>
      <c r="I1453" s="23"/>
      <c r="J1453" s="23"/>
      <c r="K1453" s="23"/>
      <c r="L1453" s="23" t="s">
        <v>5796</v>
      </c>
      <c r="M1453" s="23"/>
    </row>
    <row r="1454" spans="2:13" ht="15" customHeight="1" x14ac:dyDescent="0.25">
      <c r="B1454" s="35" t="s">
        <v>5887</v>
      </c>
      <c r="C1454" s="23" t="s">
        <v>5888</v>
      </c>
      <c r="D1454" s="23" t="s">
        <v>3303</v>
      </c>
      <c r="E1454" s="23" t="s">
        <v>3317</v>
      </c>
      <c r="F1454" s="23" t="s">
        <v>3729</v>
      </c>
      <c r="G1454" s="93">
        <v>3</v>
      </c>
      <c r="H1454" s="93">
        <v>1</v>
      </c>
      <c r="I1454" s="23"/>
      <c r="J1454" s="23"/>
      <c r="K1454" s="23"/>
      <c r="L1454" s="23" t="s">
        <v>5796</v>
      </c>
      <c r="M1454" s="23"/>
    </row>
    <row r="1455" spans="2:13" ht="15" customHeight="1" x14ac:dyDescent="0.25">
      <c r="B1455" s="35" t="s">
        <v>5889</v>
      </c>
      <c r="C1455" s="23" t="s">
        <v>5890</v>
      </c>
      <c r="D1455" s="23" t="s">
        <v>3303</v>
      </c>
      <c r="E1455" s="23" t="s">
        <v>3317</v>
      </c>
      <c r="F1455" s="23" t="s">
        <v>3729</v>
      </c>
      <c r="G1455" s="93">
        <v>3</v>
      </c>
      <c r="H1455" s="93">
        <v>1</v>
      </c>
      <c r="I1455" s="23"/>
      <c r="J1455" s="23"/>
      <c r="K1455" s="23"/>
      <c r="L1455" s="23" t="s">
        <v>5796</v>
      </c>
      <c r="M1455" s="23"/>
    </row>
    <row r="1456" spans="2:13" ht="15" customHeight="1" x14ac:dyDescent="0.25">
      <c r="B1456" s="35" t="s">
        <v>5891</v>
      </c>
      <c r="C1456" s="23" t="s">
        <v>5892</v>
      </c>
      <c r="D1456" s="23" t="s">
        <v>3303</v>
      </c>
      <c r="E1456" s="23" t="s">
        <v>3317</v>
      </c>
      <c r="F1456" s="23" t="s">
        <v>3729</v>
      </c>
      <c r="G1456" s="93">
        <v>3</v>
      </c>
      <c r="H1456" s="93">
        <v>0</v>
      </c>
      <c r="I1456" s="23"/>
      <c r="J1456" s="23"/>
      <c r="K1456" s="23"/>
      <c r="L1456" s="23" t="s">
        <v>5796</v>
      </c>
      <c r="M1456" s="23"/>
    </row>
    <row r="1457" spans="2:13" ht="15" customHeight="1" x14ac:dyDescent="0.25">
      <c r="B1457" s="35" t="s">
        <v>5893</v>
      </c>
      <c r="C1457" s="23" t="s">
        <v>5894</v>
      </c>
      <c r="D1457" s="23" t="s">
        <v>3303</v>
      </c>
      <c r="E1457" s="23" t="s">
        <v>3317</v>
      </c>
      <c r="F1457" s="23" t="s">
        <v>3729</v>
      </c>
      <c r="G1457" s="93">
        <v>3</v>
      </c>
      <c r="H1457" s="93">
        <v>0</v>
      </c>
      <c r="I1457" s="23"/>
      <c r="J1457" s="23"/>
      <c r="K1457" s="23"/>
      <c r="L1457" s="23" t="s">
        <v>5796</v>
      </c>
      <c r="M1457" s="23"/>
    </row>
    <row r="1458" spans="2:13" ht="15" customHeight="1" x14ac:dyDescent="0.25">
      <c r="B1458" s="35" t="s">
        <v>5895</v>
      </c>
      <c r="C1458" s="23" t="s">
        <v>5896</v>
      </c>
      <c r="D1458" s="23" t="s">
        <v>3303</v>
      </c>
      <c r="E1458" s="23" t="s">
        <v>3317</v>
      </c>
      <c r="F1458" s="23" t="s">
        <v>3729</v>
      </c>
      <c r="G1458" s="93">
        <v>3</v>
      </c>
      <c r="H1458" s="93">
        <v>0</v>
      </c>
      <c r="I1458" s="23"/>
      <c r="J1458" s="23"/>
      <c r="K1458" s="23"/>
      <c r="L1458" s="23" t="s">
        <v>5796</v>
      </c>
      <c r="M1458" s="23"/>
    </row>
    <row r="1459" spans="2:13" ht="15" customHeight="1" x14ac:dyDescent="0.25">
      <c r="B1459" s="35" t="s">
        <v>5897</v>
      </c>
      <c r="C1459" s="23" t="s">
        <v>5898</v>
      </c>
      <c r="D1459" s="23" t="s">
        <v>3303</v>
      </c>
      <c r="E1459" s="23" t="s">
        <v>3317</v>
      </c>
      <c r="F1459" s="23" t="s">
        <v>3729</v>
      </c>
      <c r="G1459" s="93">
        <v>3</v>
      </c>
      <c r="H1459" s="93">
        <v>0</v>
      </c>
      <c r="I1459" s="23"/>
      <c r="J1459" s="23"/>
      <c r="K1459" s="23"/>
      <c r="L1459" s="23" t="s">
        <v>5796</v>
      </c>
      <c r="M1459" s="23"/>
    </row>
    <row r="1460" spans="2:13" ht="15" customHeight="1" x14ac:dyDescent="0.25">
      <c r="B1460" s="35" t="s">
        <v>5899</v>
      </c>
      <c r="C1460" s="23" t="s">
        <v>5900</v>
      </c>
      <c r="D1460" s="23" t="s">
        <v>3303</v>
      </c>
      <c r="E1460" s="23" t="s">
        <v>3317</v>
      </c>
      <c r="F1460" s="23" t="s">
        <v>3729</v>
      </c>
      <c r="G1460" s="93">
        <v>0</v>
      </c>
      <c r="H1460" s="93">
        <v>0</v>
      </c>
      <c r="I1460" s="23"/>
      <c r="J1460" s="23"/>
      <c r="K1460" s="23"/>
      <c r="L1460" s="23" t="s">
        <v>5796</v>
      </c>
      <c r="M1460" s="23"/>
    </row>
    <row r="1461" spans="2:13" ht="15" customHeight="1" x14ac:dyDescent="0.25">
      <c r="B1461" s="35" t="s">
        <v>5901</v>
      </c>
      <c r="C1461" s="23" t="s">
        <v>5902</v>
      </c>
      <c r="D1461" s="23" t="s">
        <v>3303</v>
      </c>
      <c r="E1461" s="23" t="s">
        <v>3317</v>
      </c>
      <c r="F1461" s="23" t="s">
        <v>3729</v>
      </c>
      <c r="G1461" s="93">
        <v>3</v>
      </c>
      <c r="H1461" s="93">
        <v>0</v>
      </c>
      <c r="I1461" s="23"/>
      <c r="J1461" s="23"/>
      <c r="K1461" s="23"/>
      <c r="L1461" s="23" t="s">
        <v>5796</v>
      </c>
      <c r="M1461" s="23"/>
    </row>
    <row r="1462" spans="2:13" ht="15" customHeight="1" x14ac:dyDescent="0.25">
      <c r="B1462" s="35" t="s">
        <v>5903</v>
      </c>
      <c r="C1462" s="23" t="s">
        <v>5904</v>
      </c>
      <c r="D1462" s="23" t="s">
        <v>3303</v>
      </c>
      <c r="E1462" s="23" t="s">
        <v>3317</v>
      </c>
      <c r="F1462" s="23" t="s">
        <v>3729</v>
      </c>
      <c r="G1462" s="93">
        <v>3</v>
      </c>
      <c r="H1462" s="93">
        <v>0</v>
      </c>
      <c r="I1462" s="23"/>
      <c r="J1462" s="23"/>
      <c r="K1462" s="23"/>
      <c r="L1462" s="23" t="s">
        <v>5796</v>
      </c>
      <c r="M1462" s="23"/>
    </row>
    <row r="1463" spans="2:13" ht="15" customHeight="1" x14ac:dyDescent="0.25">
      <c r="B1463" s="35" t="s">
        <v>5905</v>
      </c>
      <c r="C1463" s="23" t="s">
        <v>5906</v>
      </c>
      <c r="D1463" s="23" t="s">
        <v>3303</v>
      </c>
      <c r="E1463" s="23" t="s">
        <v>3317</v>
      </c>
      <c r="F1463" s="23" t="s">
        <v>3729</v>
      </c>
      <c r="G1463" s="93">
        <v>3</v>
      </c>
      <c r="H1463" s="93">
        <v>0</v>
      </c>
      <c r="I1463" s="23"/>
      <c r="J1463" s="23"/>
      <c r="K1463" s="23"/>
      <c r="L1463" s="23" t="s">
        <v>5796</v>
      </c>
      <c r="M1463" s="23"/>
    </row>
    <row r="1464" spans="2:13" ht="15" customHeight="1" x14ac:dyDescent="0.25">
      <c r="B1464" s="35" t="s">
        <v>5907</v>
      </c>
      <c r="C1464" s="23" t="s">
        <v>5908</v>
      </c>
      <c r="D1464" s="23" t="s">
        <v>3303</v>
      </c>
      <c r="E1464" s="23" t="s">
        <v>3317</v>
      </c>
      <c r="F1464" s="23" t="s">
        <v>3729</v>
      </c>
      <c r="G1464" s="93">
        <v>3</v>
      </c>
      <c r="H1464" s="93">
        <v>1</v>
      </c>
      <c r="I1464" s="23"/>
      <c r="J1464" s="23"/>
      <c r="K1464" s="23"/>
      <c r="L1464" s="23" t="s">
        <v>5796</v>
      </c>
      <c r="M1464" s="23" t="s">
        <v>4716</v>
      </c>
    </row>
    <row r="1465" spans="2:13" ht="15" customHeight="1" x14ac:dyDescent="0.25">
      <c r="B1465" s="35" t="s">
        <v>5909</v>
      </c>
      <c r="C1465" s="23" t="s">
        <v>5910</v>
      </c>
      <c r="D1465" s="23" t="s">
        <v>3303</v>
      </c>
      <c r="E1465" s="23" t="s">
        <v>3317</v>
      </c>
      <c r="F1465" s="23" t="s">
        <v>3729</v>
      </c>
      <c r="G1465" s="93">
        <v>3</v>
      </c>
      <c r="H1465" s="93">
        <v>0</v>
      </c>
      <c r="I1465" s="23"/>
      <c r="J1465" s="23"/>
      <c r="K1465" s="23"/>
      <c r="L1465" s="23" t="s">
        <v>5796</v>
      </c>
      <c r="M1465" s="23"/>
    </row>
    <row r="1466" spans="2:13" ht="15" customHeight="1" x14ac:dyDescent="0.25">
      <c r="B1466" s="35" t="s">
        <v>5911</v>
      </c>
      <c r="C1466" s="23" t="s">
        <v>5912</v>
      </c>
      <c r="D1466" s="23" t="s">
        <v>3303</v>
      </c>
      <c r="E1466" s="23" t="s">
        <v>3317</v>
      </c>
      <c r="F1466" s="23" t="s">
        <v>3729</v>
      </c>
      <c r="G1466" s="93">
        <v>3</v>
      </c>
      <c r="H1466" s="93">
        <v>0</v>
      </c>
      <c r="I1466" s="23"/>
      <c r="J1466" s="23"/>
      <c r="K1466" s="23"/>
      <c r="L1466" s="23" t="s">
        <v>5796</v>
      </c>
      <c r="M1466" s="23"/>
    </row>
    <row r="1467" spans="2:13" ht="15" customHeight="1" x14ac:dyDescent="0.25">
      <c r="B1467" s="35" t="s">
        <v>5913</v>
      </c>
      <c r="C1467" s="23" t="s">
        <v>5914</v>
      </c>
      <c r="D1467" s="23" t="s">
        <v>3303</v>
      </c>
      <c r="E1467" s="23" t="s">
        <v>3317</v>
      </c>
      <c r="F1467" s="23" t="s">
        <v>3729</v>
      </c>
      <c r="G1467" s="93">
        <v>3</v>
      </c>
      <c r="H1467" s="93">
        <v>0</v>
      </c>
      <c r="I1467" s="23"/>
      <c r="J1467" s="23"/>
      <c r="K1467" s="23"/>
      <c r="L1467" s="23" t="s">
        <v>5796</v>
      </c>
      <c r="M1467" s="23"/>
    </row>
    <row r="1468" spans="2:13" ht="15" customHeight="1" x14ac:dyDescent="0.25">
      <c r="B1468" s="35" t="s">
        <v>5915</v>
      </c>
      <c r="C1468" s="23" t="s">
        <v>5916</v>
      </c>
      <c r="D1468" s="23" t="s">
        <v>3303</v>
      </c>
      <c r="E1468" s="23" t="s">
        <v>3317</v>
      </c>
      <c r="F1468" s="23" t="s">
        <v>3729</v>
      </c>
      <c r="G1468" s="93">
        <v>3</v>
      </c>
      <c r="H1468" s="93">
        <v>0</v>
      </c>
      <c r="I1468" s="23"/>
      <c r="J1468" s="23"/>
      <c r="K1468" s="23"/>
      <c r="L1468" s="23" t="s">
        <v>5796</v>
      </c>
      <c r="M1468" s="23"/>
    </row>
    <row r="1469" spans="2:13" ht="15" customHeight="1" x14ac:dyDescent="0.25">
      <c r="B1469" s="35" t="s">
        <v>5917</v>
      </c>
      <c r="C1469" s="23" t="s">
        <v>5918</v>
      </c>
      <c r="D1469" s="23" t="s">
        <v>3303</v>
      </c>
      <c r="E1469" s="23" t="s">
        <v>3317</v>
      </c>
      <c r="F1469" s="23" t="s">
        <v>3729</v>
      </c>
      <c r="G1469" s="93">
        <v>3</v>
      </c>
      <c r="H1469" s="93">
        <v>1</v>
      </c>
      <c r="I1469" s="23"/>
      <c r="J1469" s="23"/>
      <c r="K1469" s="23"/>
      <c r="L1469" s="23" t="s">
        <v>5796</v>
      </c>
      <c r="M1469" s="23" t="s">
        <v>3694</v>
      </c>
    </row>
    <row r="1470" spans="2:13" ht="15" customHeight="1" x14ac:dyDescent="0.25">
      <c r="B1470" s="35" t="s">
        <v>5919</v>
      </c>
      <c r="C1470" s="23" t="s">
        <v>5920</v>
      </c>
      <c r="D1470" s="23" t="s">
        <v>3303</v>
      </c>
      <c r="E1470" s="23" t="s">
        <v>3317</v>
      </c>
      <c r="F1470" s="23" t="s">
        <v>3729</v>
      </c>
      <c r="G1470" s="93">
        <v>3</v>
      </c>
      <c r="H1470" s="93">
        <v>0</v>
      </c>
      <c r="I1470" s="23"/>
      <c r="J1470" s="23"/>
      <c r="K1470" s="23"/>
      <c r="L1470" s="23" t="s">
        <v>5796</v>
      </c>
      <c r="M1470" s="23"/>
    </row>
    <row r="1471" spans="2:13" ht="15" customHeight="1" x14ac:dyDescent="0.25">
      <c r="B1471" s="35" t="s">
        <v>5921</v>
      </c>
      <c r="C1471" s="23" t="s">
        <v>5922</v>
      </c>
      <c r="D1471" s="23" t="s">
        <v>3303</v>
      </c>
      <c r="E1471" s="23" t="s">
        <v>3317</v>
      </c>
      <c r="F1471" s="23" t="s">
        <v>3729</v>
      </c>
      <c r="G1471" s="93">
        <v>3</v>
      </c>
      <c r="H1471" s="93">
        <v>0</v>
      </c>
      <c r="I1471" s="23"/>
      <c r="J1471" s="23"/>
      <c r="K1471" s="23"/>
      <c r="L1471" s="23" t="s">
        <v>5796</v>
      </c>
      <c r="M1471" s="23"/>
    </row>
    <row r="1472" spans="2:13" ht="15" customHeight="1" x14ac:dyDescent="0.25">
      <c r="B1472" s="35" t="s">
        <v>5923</v>
      </c>
      <c r="C1472" s="23" t="s">
        <v>5924</v>
      </c>
      <c r="D1472" s="23" t="s">
        <v>3303</v>
      </c>
      <c r="E1472" s="23" t="s">
        <v>3317</v>
      </c>
      <c r="F1472" s="23" t="s">
        <v>3729</v>
      </c>
      <c r="G1472" s="93">
        <v>3</v>
      </c>
      <c r="H1472" s="93">
        <v>0</v>
      </c>
      <c r="I1472" s="23"/>
      <c r="J1472" s="23"/>
      <c r="K1472" s="23"/>
      <c r="L1472" s="23" t="s">
        <v>5796</v>
      </c>
      <c r="M1472" s="23"/>
    </row>
    <row r="1473" spans="2:13" ht="15" customHeight="1" x14ac:dyDescent="0.25">
      <c r="B1473" s="35" t="s">
        <v>5925</v>
      </c>
      <c r="C1473" s="23" t="s">
        <v>5926</v>
      </c>
      <c r="D1473" s="23" t="s">
        <v>3303</v>
      </c>
      <c r="E1473" s="23" t="s">
        <v>3317</v>
      </c>
      <c r="F1473" s="23" t="s">
        <v>3729</v>
      </c>
      <c r="G1473" s="93">
        <v>3</v>
      </c>
      <c r="H1473" s="93">
        <v>1</v>
      </c>
      <c r="I1473" s="23"/>
      <c r="J1473" s="23"/>
      <c r="K1473" s="23"/>
      <c r="L1473" s="23" t="s">
        <v>5796</v>
      </c>
      <c r="M1473" s="23"/>
    </row>
    <row r="1474" spans="2:13" ht="15" customHeight="1" x14ac:dyDescent="0.25">
      <c r="B1474" s="35" t="s">
        <v>5927</v>
      </c>
      <c r="C1474" s="23" t="s">
        <v>5928</v>
      </c>
      <c r="D1474" s="23" t="s">
        <v>3303</v>
      </c>
      <c r="E1474" s="23" t="s">
        <v>3317</v>
      </c>
      <c r="F1474" s="23" t="s">
        <v>3729</v>
      </c>
      <c r="G1474" s="93">
        <v>3</v>
      </c>
      <c r="H1474" s="93">
        <v>1</v>
      </c>
      <c r="I1474" s="23"/>
      <c r="J1474" s="23"/>
      <c r="K1474" s="23"/>
      <c r="L1474" s="23" t="s">
        <v>5796</v>
      </c>
      <c r="M1474" s="23"/>
    </row>
    <row r="1475" spans="2:13" ht="15" customHeight="1" x14ac:dyDescent="0.25">
      <c r="B1475" s="35" t="s">
        <v>5929</v>
      </c>
      <c r="C1475" s="23" t="s">
        <v>5930</v>
      </c>
      <c r="D1475" s="23" t="s">
        <v>3303</v>
      </c>
      <c r="E1475" s="23" t="s">
        <v>3317</v>
      </c>
      <c r="F1475" s="23" t="s">
        <v>3729</v>
      </c>
      <c r="G1475" s="93">
        <v>3</v>
      </c>
      <c r="H1475" s="93">
        <v>0</v>
      </c>
      <c r="I1475" s="23"/>
      <c r="J1475" s="23"/>
      <c r="K1475" s="23"/>
      <c r="L1475" s="23" t="s">
        <v>5796</v>
      </c>
      <c r="M1475" s="23"/>
    </row>
    <row r="1476" spans="2:13" ht="15" customHeight="1" x14ac:dyDescent="0.25">
      <c r="B1476" s="35" t="s">
        <v>5931</v>
      </c>
      <c r="C1476" s="23" t="s">
        <v>5932</v>
      </c>
      <c r="D1476" s="23" t="s">
        <v>3303</v>
      </c>
      <c r="E1476" s="23" t="s">
        <v>3317</v>
      </c>
      <c r="F1476" s="23" t="s">
        <v>3729</v>
      </c>
      <c r="G1476" s="93">
        <v>3</v>
      </c>
      <c r="H1476" s="93">
        <v>0</v>
      </c>
      <c r="I1476" s="23"/>
      <c r="J1476" s="23"/>
      <c r="K1476" s="23"/>
      <c r="L1476" s="23" t="s">
        <v>5796</v>
      </c>
      <c r="M1476" s="23"/>
    </row>
    <row r="1477" spans="2:13" ht="15" customHeight="1" x14ac:dyDescent="0.25">
      <c r="B1477" s="35" t="s">
        <v>5933</v>
      </c>
      <c r="C1477" s="23" t="s">
        <v>58</v>
      </c>
      <c r="D1477" s="23" t="s">
        <v>3303</v>
      </c>
      <c r="E1477" s="23" t="s">
        <v>3317</v>
      </c>
      <c r="F1477" s="23" t="s">
        <v>3729</v>
      </c>
      <c r="G1477" s="93">
        <v>3</v>
      </c>
      <c r="H1477" s="93">
        <v>0</v>
      </c>
      <c r="I1477" s="23"/>
      <c r="J1477" s="23"/>
      <c r="K1477" s="23"/>
      <c r="L1477" s="23" t="s">
        <v>5796</v>
      </c>
      <c r="M1477" s="23"/>
    </row>
    <row r="1478" spans="2:13" ht="15" customHeight="1" x14ac:dyDescent="0.25">
      <c r="B1478" s="35" t="s">
        <v>5934</v>
      </c>
      <c r="C1478" s="23" t="s">
        <v>5935</v>
      </c>
      <c r="D1478" s="23" t="s">
        <v>3303</v>
      </c>
      <c r="E1478" s="23" t="s">
        <v>3317</v>
      </c>
      <c r="F1478" s="23" t="s">
        <v>3729</v>
      </c>
      <c r="G1478" s="93">
        <v>3</v>
      </c>
      <c r="H1478" s="93">
        <v>0</v>
      </c>
      <c r="I1478" s="23"/>
      <c r="J1478" s="23"/>
      <c r="K1478" s="23"/>
      <c r="L1478" s="23" t="s">
        <v>5796</v>
      </c>
      <c r="M1478" s="23"/>
    </row>
    <row r="1479" spans="2:13" ht="15" customHeight="1" x14ac:dyDescent="0.25">
      <c r="B1479" s="35" t="s">
        <v>5936</v>
      </c>
      <c r="C1479" s="23" t="s">
        <v>5937</v>
      </c>
      <c r="D1479" s="23" t="s">
        <v>3303</v>
      </c>
      <c r="E1479" s="23" t="s">
        <v>3317</v>
      </c>
      <c r="F1479" s="23" t="s">
        <v>3729</v>
      </c>
      <c r="G1479" s="93">
        <v>3</v>
      </c>
      <c r="H1479" s="93">
        <v>0</v>
      </c>
      <c r="I1479" s="23"/>
      <c r="J1479" s="23"/>
      <c r="K1479" s="23"/>
      <c r="L1479" s="23" t="s">
        <v>5796</v>
      </c>
      <c r="M1479" s="23"/>
    </row>
    <row r="1480" spans="2:13" ht="15" customHeight="1" x14ac:dyDescent="0.25">
      <c r="B1480" s="35" t="s">
        <v>5938</v>
      </c>
      <c r="C1480" s="23" t="s">
        <v>5939</v>
      </c>
      <c r="D1480" s="23" t="s">
        <v>3303</v>
      </c>
      <c r="E1480" s="23" t="s">
        <v>3317</v>
      </c>
      <c r="F1480" s="23" t="s">
        <v>3729</v>
      </c>
      <c r="G1480" s="93">
        <v>3</v>
      </c>
      <c r="H1480" s="93">
        <v>0</v>
      </c>
      <c r="I1480" s="23"/>
      <c r="J1480" s="23"/>
      <c r="K1480" s="23"/>
      <c r="L1480" s="23" t="s">
        <v>5796</v>
      </c>
      <c r="M1480" s="23"/>
    </row>
    <row r="1481" spans="2:13" ht="15" customHeight="1" x14ac:dyDescent="0.25">
      <c r="B1481" s="35" t="s">
        <v>5940</v>
      </c>
      <c r="C1481" s="23" t="s">
        <v>5941</v>
      </c>
      <c r="D1481" s="23" t="s">
        <v>3303</v>
      </c>
      <c r="E1481" s="23" t="s">
        <v>3317</v>
      </c>
      <c r="F1481" s="23" t="s">
        <v>3729</v>
      </c>
      <c r="G1481" s="93">
        <v>3</v>
      </c>
      <c r="H1481" s="93">
        <v>0</v>
      </c>
      <c r="I1481" s="23"/>
      <c r="J1481" s="23"/>
      <c r="K1481" s="23"/>
      <c r="L1481" s="23" t="s">
        <v>5796</v>
      </c>
      <c r="M1481" s="23"/>
    </row>
    <row r="1482" spans="2:13" ht="15" customHeight="1" x14ac:dyDescent="0.25">
      <c r="B1482" s="35" t="s">
        <v>5942</v>
      </c>
      <c r="C1482" s="23" t="s">
        <v>5943</v>
      </c>
      <c r="D1482" s="23" t="s">
        <v>3303</v>
      </c>
      <c r="E1482" s="23" t="s">
        <v>3317</v>
      </c>
      <c r="F1482" s="23" t="s">
        <v>3729</v>
      </c>
      <c r="G1482" s="93">
        <v>3</v>
      </c>
      <c r="H1482" s="93">
        <v>0</v>
      </c>
      <c r="I1482" s="23"/>
      <c r="J1482" s="23"/>
      <c r="K1482" s="23"/>
      <c r="L1482" s="23" t="s">
        <v>5796</v>
      </c>
      <c r="M1482" s="23"/>
    </row>
    <row r="1483" spans="2:13" ht="15" customHeight="1" x14ac:dyDescent="0.25">
      <c r="B1483" s="35" t="s">
        <v>5944</v>
      </c>
      <c r="C1483" s="23" t="s">
        <v>5945</v>
      </c>
      <c r="D1483" s="23" t="s">
        <v>3303</v>
      </c>
      <c r="E1483" s="23" t="s">
        <v>3317</v>
      </c>
      <c r="F1483" s="23" t="s">
        <v>3729</v>
      </c>
      <c r="G1483" s="93">
        <v>3</v>
      </c>
      <c r="H1483" s="93">
        <v>0</v>
      </c>
      <c r="I1483" s="23"/>
      <c r="J1483" s="23"/>
      <c r="K1483" s="23"/>
      <c r="L1483" s="23" t="s">
        <v>5796</v>
      </c>
      <c r="M1483" s="23"/>
    </row>
    <row r="1484" spans="2:13" ht="15" customHeight="1" x14ac:dyDescent="0.25">
      <c r="B1484" s="35" t="s">
        <v>5946</v>
      </c>
      <c r="C1484" s="23" t="s">
        <v>5947</v>
      </c>
      <c r="D1484" s="23" t="s">
        <v>3303</v>
      </c>
      <c r="E1484" s="23" t="s">
        <v>3317</v>
      </c>
      <c r="F1484" s="23" t="s">
        <v>3729</v>
      </c>
      <c r="G1484" s="93">
        <v>3</v>
      </c>
      <c r="H1484" s="93">
        <v>0</v>
      </c>
      <c r="I1484" s="23"/>
      <c r="J1484" s="23"/>
      <c r="K1484" s="23"/>
      <c r="L1484" s="23" t="s">
        <v>5796</v>
      </c>
      <c r="M1484" s="23"/>
    </row>
    <row r="1485" spans="2:13" ht="15" customHeight="1" x14ac:dyDescent="0.25">
      <c r="B1485" s="35" t="s">
        <v>5948</v>
      </c>
      <c r="C1485" s="23" t="s">
        <v>5949</v>
      </c>
      <c r="D1485" s="23" t="s">
        <v>3303</v>
      </c>
      <c r="E1485" s="23" t="s">
        <v>3317</v>
      </c>
      <c r="F1485" s="23" t="s">
        <v>3729</v>
      </c>
      <c r="G1485" s="93">
        <v>3</v>
      </c>
      <c r="H1485" s="93">
        <v>0</v>
      </c>
      <c r="I1485" s="23"/>
      <c r="J1485" s="23"/>
      <c r="K1485" s="23"/>
      <c r="L1485" s="23" t="s">
        <v>5796</v>
      </c>
      <c r="M1485" s="23"/>
    </row>
    <row r="1486" spans="2:13" ht="15" customHeight="1" x14ac:dyDescent="0.25">
      <c r="B1486" s="35" t="s">
        <v>5950</v>
      </c>
      <c r="C1486" s="23" t="s">
        <v>5951</v>
      </c>
      <c r="D1486" s="23" t="s">
        <v>3303</v>
      </c>
      <c r="E1486" s="23" t="s">
        <v>3317</v>
      </c>
      <c r="F1486" s="23" t="s">
        <v>3729</v>
      </c>
      <c r="G1486" s="93">
        <v>3</v>
      </c>
      <c r="H1486" s="93">
        <v>0</v>
      </c>
      <c r="I1486" s="23"/>
      <c r="J1486" s="23"/>
      <c r="K1486" s="23"/>
      <c r="L1486" s="23" t="s">
        <v>5796</v>
      </c>
      <c r="M1486" s="23"/>
    </row>
    <row r="1487" spans="2:13" ht="15" customHeight="1" x14ac:dyDescent="0.25">
      <c r="B1487" s="35" t="s">
        <v>5952</v>
      </c>
      <c r="C1487" s="23" t="s">
        <v>5953</v>
      </c>
      <c r="D1487" s="23" t="s">
        <v>3303</v>
      </c>
      <c r="E1487" s="23" t="s">
        <v>3317</v>
      </c>
      <c r="F1487" s="23" t="s">
        <v>3729</v>
      </c>
      <c r="G1487" s="93">
        <v>3</v>
      </c>
      <c r="H1487" s="93">
        <v>0</v>
      </c>
      <c r="I1487" s="23"/>
      <c r="J1487" s="23"/>
      <c r="K1487" s="23"/>
      <c r="L1487" s="23" t="s">
        <v>5796</v>
      </c>
      <c r="M1487" s="23"/>
    </row>
    <row r="1488" spans="2:13" ht="15" customHeight="1" x14ac:dyDescent="0.25">
      <c r="B1488" s="35" t="s">
        <v>5954</v>
      </c>
      <c r="C1488" s="23" t="s">
        <v>5955</v>
      </c>
      <c r="D1488" s="23" t="s">
        <v>3303</v>
      </c>
      <c r="E1488" s="23" t="s">
        <v>3317</v>
      </c>
      <c r="F1488" s="23" t="s">
        <v>3729</v>
      </c>
      <c r="G1488" s="93">
        <v>3</v>
      </c>
      <c r="H1488" s="93">
        <v>0</v>
      </c>
      <c r="I1488" s="23"/>
      <c r="J1488" s="23"/>
      <c r="K1488" s="23"/>
      <c r="L1488" s="23" t="s">
        <v>5796</v>
      </c>
      <c r="M1488" s="23"/>
    </row>
    <row r="1489" spans="2:13" ht="15" customHeight="1" x14ac:dyDescent="0.25">
      <c r="B1489" s="35" t="s">
        <v>5956</v>
      </c>
      <c r="C1489" s="23" t="s">
        <v>5957</v>
      </c>
      <c r="D1489" s="23" t="s">
        <v>3303</v>
      </c>
      <c r="E1489" s="23" t="s">
        <v>3317</v>
      </c>
      <c r="F1489" s="23" t="s">
        <v>3729</v>
      </c>
      <c r="G1489" s="93">
        <v>3</v>
      </c>
      <c r="H1489" s="93">
        <v>0</v>
      </c>
      <c r="I1489" s="23"/>
      <c r="J1489" s="23"/>
      <c r="K1489" s="23"/>
      <c r="L1489" s="23" t="s">
        <v>5796</v>
      </c>
      <c r="M1489" s="23"/>
    </row>
    <row r="1490" spans="2:13" ht="15" customHeight="1" x14ac:dyDescent="0.25">
      <c r="B1490" s="35" t="s">
        <v>5958</v>
      </c>
      <c r="C1490" s="23" t="s">
        <v>5959</v>
      </c>
      <c r="D1490" s="23" t="s">
        <v>3303</v>
      </c>
      <c r="E1490" s="23" t="s">
        <v>3317</v>
      </c>
      <c r="F1490" s="23" t="s">
        <v>3729</v>
      </c>
      <c r="G1490" s="93">
        <v>3</v>
      </c>
      <c r="H1490" s="93">
        <v>0</v>
      </c>
      <c r="I1490" s="23"/>
      <c r="J1490" s="23"/>
      <c r="K1490" s="23"/>
      <c r="L1490" s="23" t="s">
        <v>5796</v>
      </c>
      <c r="M1490" s="23"/>
    </row>
    <row r="1491" spans="2:13" ht="15" customHeight="1" x14ac:dyDescent="0.25">
      <c r="B1491" s="35" t="s">
        <v>5960</v>
      </c>
      <c r="C1491" s="23" t="s">
        <v>5961</v>
      </c>
      <c r="D1491" s="23" t="s">
        <v>3303</v>
      </c>
      <c r="E1491" s="23" t="s">
        <v>3317</v>
      </c>
      <c r="F1491" s="23" t="s">
        <v>3729</v>
      </c>
      <c r="G1491" s="93">
        <v>3</v>
      </c>
      <c r="H1491" s="93">
        <v>0</v>
      </c>
      <c r="I1491" s="23"/>
      <c r="J1491" s="23"/>
      <c r="K1491" s="23"/>
      <c r="L1491" s="23" t="s">
        <v>5796</v>
      </c>
      <c r="M1491" s="23"/>
    </row>
    <row r="1492" spans="2:13" ht="15" customHeight="1" x14ac:dyDescent="0.25">
      <c r="B1492" s="35" t="s">
        <v>5962</v>
      </c>
      <c r="C1492" s="23" t="s">
        <v>5963</v>
      </c>
      <c r="D1492" s="23" t="s">
        <v>3303</v>
      </c>
      <c r="E1492" s="23" t="s">
        <v>3317</v>
      </c>
      <c r="F1492" s="23" t="s">
        <v>3729</v>
      </c>
      <c r="G1492" s="93">
        <v>3</v>
      </c>
      <c r="H1492" s="93">
        <v>0</v>
      </c>
      <c r="I1492" s="23"/>
      <c r="J1492" s="23"/>
      <c r="K1492" s="23"/>
      <c r="L1492" s="23" t="s">
        <v>5796</v>
      </c>
      <c r="M1492" s="23"/>
    </row>
    <row r="1493" spans="2:13" ht="15" customHeight="1" x14ac:dyDescent="0.25">
      <c r="B1493" s="35" t="s">
        <v>5964</v>
      </c>
      <c r="C1493" s="23" t="s">
        <v>5965</v>
      </c>
      <c r="D1493" s="23" t="s">
        <v>3303</v>
      </c>
      <c r="E1493" s="23" t="s">
        <v>3317</v>
      </c>
      <c r="F1493" s="23" t="s">
        <v>3729</v>
      </c>
      <c r="G1493" s="93">
        <v>3</v>
      </c>
      <c r="H1493" s="93">
        <v>0</v>
      </c>
      <c r="I1493" s="23"/>
      <c r="J1493" s="23"/>
      <c r="K1493" s="23"/>
      <c r="L1493" s="23" t="s">
        <v>5796</v>
      </c>
      <c r="M1493" s="23"/>
    </row>
    <row r="1494" spans="2:13" ht="15" customHeight="1" x14ac:dyDescent="0.25">
      <c r="B1494" s="35" t="s">
        <v>5966</v>
      </c>
      <c r="C1494" s="23" t="s">
        <v>5967</v>
      </c>
      <c r="D1494" s="23" t="s">
        <v>3303</v>
      </c>
      <c r="E1494" s="23" t="s">
        <v>3317</v>
      </c>
      <c r="F1494" s="23" t="s">
        <v>3729</v>
      </c>
      <c r="G1494" s="93">
        <v>3</v>
      </c>
      <c r="H1494" s="93">
        <v>0</v>
      </c>
      <c r="I1494" s="23"/>
      <c r="J1494" s="23"/>
      <c r="K1494" s="23"/>
      <c r="L1494" s="23" t="s">
        <v>5796</v>
      </c>
      <c r="M1494" s="23"/>
    </row>
    <row r="1495" spans="2:13" ht="15" customHeight="1" x14ac:dyDescent="0.25">
      <c r="B1495" s="35" t="s">
        <v>5968</v>
      </c>
      <c r="C1495" s="23" t="s">
        <v>5969</v>
      </c>
      <c r="D1495" s="23" t="s">
        <v>3303</v>
      </c>
      <c r="E1495" s="23" t="s">
        <v>3317</v>
      </c>
      <c r="F1495" s="23" t="s">
        <v>3729</v>
      </c>
      <c r="G1495" s="93">
        <v>3</v>
      </c>
      <c r="H1495" s="93">
        <v>0</v>
      </c>
      <c r="I1495" s="23"/>
      <c r="J1495" s="23"/>
      <c r="K1495" s="23"/>
      <c r="L1495" s="23" t="s">
        <v>5796</v>
      </c>
      <c r="M1495" s="23"/>
    </row>
    <row r="1496" spans="2:13" ht="15" customHeight="1" x14ac:dyDescent="0.25">
      <c r="B1496" s="35" t="s">
        <v>5970</v>
      </c>
      <c r="C1496" s="23" t="s">
        <v>5971</v>
      </c>
      <c r="D1496" s="23" t="s">
        <v>3303</v>
      </c>
      <c r="E1496" s="23" t="s">
        <v>3317</v>
      </c>
      <c r="F1496" s="23" t="s">
        <v>3729</v>
      </c>
      <c r="G1496" s="93">
        <v>3</v>
      </c>
      <c r="H1496" s="93">
        <v>0</v>
      </c>
      <c r="I1496" s="23"/>
      <c r="J1496" s="23"/>
      <c r="K1496" s="23"/>
      <c r="L1496" s="23" t="s">
        <v>5796</v>
      </c>
      <c r="M1496" s="23"/>
    </row>
    <row r="1497" spans="2:13" ht="15" customHeight="1" x14ac:dyDescent="0.25">
      <c r="B1497" s="35" t="s">
        <v>5972</v>
      </c>
      <c r="C1497" s="23" t="s">
        <v>5973</v>
      </c>
      <c r="D1497" s="23" t="s">
        <v>3303</v>
      </c>
      <c r="E1497" s="23" t="s">
        <v>3317</v>
      </c>
      <c r="F1497" s="23" t="s">
        <v>3729</v>
      </c>
      <c r="G1497" s="93">
        <v>3</v>
      </c>
      <c r="H1497" s="93">
        <v>0</v>
      </c>
      <c r="I1497" s="23"/>
      <c r="J1497" s="23"/>
      <c r="K1497" s="23"/>
      <c r="L1497" s="23" t="s">
        <v>5796</v>
      </c>
      <c r="M1497" s="23"/>
    </row>
    <row r="1498" spans="2:13" ht="15" customHeight="1" x14ac:dyDescent="0.25">
      <c r="B1498" s="35" t="s">
        <v>5974</v>
      </c>
      <c r="C1498" s="23" t="s">
        <v>5975</v>
      </c>
      <c r="D1498" s="23" t="s">
        <v>3303</v>
      </c>
      <c r="E1498" s="23" t="s">
        <v>3317</v>
      </c>
      <c r="F1498" s="23" t="s">
        <v>3729</v>
      </c>
      <c r="G1498" s="93">
        <v>3</v>
      </c>
      <c r="H1498" s="93">
        <v>0</v>
      </c>
      <c r="I1498" s="23"/>
      <c r="J1498" s="23"/>
      <c r="K1498" s="23"/>
      <c r="L1498" s="23" t="s">
        <v>5796</v>
      </c>
      <c r="M1498" s="23"/>
    </row>
    <row r="1499" spans="2:13" ht="15" customHeight="1" x14ac:dyDescent="0.25">
      <c r="B1499" s="35" t="s">
        <v>5976</v>
      </c>
      <c r="C1499" s="23" t="s">
        <v>5977</v>
      </c>
      <c r="D1499" s="23" t="s">
        <v>3303</v>
      </c>
      <c r="E1499" s="23" t="s">
        <v>3317</v>
      </c>
      <c r="F1499" s="23" t="s">
        <v>3729</v>
      </c>
      <c r="G1499" s="93">
        <v>3</v>
      </c>
      <c r="H1499" s="93">
        <v>0</v>
      </c>
      <c r="I1499" s="23"/>
      <c r="J1499" s="23"/>
      <c r="K1499" s="23"/>
      <c r="L1499" s="23" t="s">
        <v>5796</v>
      </c>
      <c r="M1499" s="23"/>
    </row>
    <row r="1500" spans="2:13" ht="15" customHeight="1" x14ac:dyDescent="0.25">
      <c r="B1500" s="35" t="s">
        <v>5978</v>
      </c>
      <c r="C1500" s="23" t="s">
        <v>5979</v>
      </c>
      <c r="D1500" s="23" t="s">
        <v>3303</v>
      </c>
      <c r="E1500" s="23" t="s">
        <v>3317</v>
      </c>
      <c r="F1500" s="23" t="s">
        <v>3729</v>
      </c>
      <c r="G1500" s="93">
        <v>3</v>
      </c>
      <c r="H1500" s="93">
        <v>0</v>
      </c>
      <c r="I1500" s="23"/>
      <c r="J1500" s="23"/>
      <c r="K1500" s="23"/>
      <c r="L1500" s="23" t="s">
        <v>5796</v>
      </c>
      <c r="M1500" s="23"/>
    </row>
    <row r="1501" spans="2:13" ht="15" customHeight="1" x14ac:dyDescent="0.25">
      <c r="B1501" s="35" t="s">
        <v>5980</v>
      </c>
      <c r="C1501" s="23" t="s">
        <v>5981</v>
      </c>
      <c r="D1501" s="23" t="s">
        <v>3303</v>
      </c>
      <c r="E1501" s="23" t="s">
        <v>3317</v>
      </c>
      <c r="F1501" s="23" t="s">
        <v>3729</v>
      </c>
      <c r="G1501" s="93">
        <v>3</v>
      </c>
      <c r="H1501" s="93">
        <v>0</v>
      </c>
      <c r="I1501" s="23"/>
      <c r="J1501" s="23"/>
      <c r="K1501" s="23"/>
      <c r="L1501" s="23" t="s">
        <v>5796</v>
      </c>
      <c r="M1501" s="23"/>
    </row>
    <row r="1502" spans="2:13" ht="15" customHeight="1" x14ac:dyDescent="0.25">
      <c r="B1502" s="35" t="s">
        <v>5982</v>
      </c>
      <c r="C1502" s="23" t="s">
        <v>5983</v>
      </c>
      <c r="D1502" s="23" t="s">
        <v>3303</v>
      </c>
      <c r="E1502" s="23" t="s">
        <v>3317</v>
      </c>
      <c r="F1502" s="23" t="s">
        <v>3729</v>
      </c>
      <c r="G1502" s="93">
        <v>3</v>
      </c>
      <c r="H1502" s="93">
        <v>0</v>
      </c>
      <c r="I1502" s="23"/>
      <c r="J1502" s="23"/>
      <c r="K1502" s="23"/>
      <c r="L1502" s="23" t="s">
        <v>5796</v>
      </c>
      <c r="M1502" s="23"/>
    </row>
    <row r="1503" spans="2:13" ht="15" customHeight="1" x14ac:dyDescent="0.25">
      <c r="B1503" s="35" t="s">
        <v>5984</v>
      </c>
      <c r="C1503" s="23" t="s">
        <v>5985</v>
      </c>
      <c r="D1503" s="23" t="s">
        <v>3303</v>
      </c>
      <c r="E1503" s="23" t="s">
        <v>3317</v>
      </c>
      <c r="F1503" s="23" t="s">
        <v>3729</v>
      </c>
      <c r="G1503" s="93">
        <v>3</v>
      </c>
      <c r="H1503" s="93">
        <v>0</v>
      </c>
      <c r="I1503" s="23"/>
      <c r="J1503" s="23"/>
      <c r="K1503" s="23"/>
      <c r="L1503" s="23" t="s">
        <v>5796</v>
      </c>
      <c r="M1503" s="23"/>
    </row>
    <row r="1504" spans="2:13" ht="15" customHeight="1" x14ac:dyDescent="0.25">
      <c r="B1504" s="35" t="s">
        <v>5986</v>
      </c>
      <c r="C1504" s="23" t="s">
        <v>5987</v>
      </c>
      <c r="D1504" s="23" t="s">
        <v>3303</v>
      </c>
      <c r="E1504" s="23" t="s">
        <v>3317</v>
      </c>
      <c r="F1504" s="23" t="s">
        <v>3729</v>
      </c>
      <c r="G1504" s="93">
        <v>3</v>
      </c>
      <c r="H1504" s="93">
        <v>0</v>
      </c>
      <c r="I1504" s="23"/>
      <c r="J1504" s="23"/>
      <c r="K1504" s="23"/>
      <c r="L1504" s="23" t="s">
        <v>5796</v>
      </c>
      <c r="M1504" s="23"/>
    </row>
    <row r="1505" spans="2:13" ht="15" customHeight="1" x14ac:dyDescent="0.25">
      <c r="B1505" s="35" t="s">
        <v>5988</v>
      </c>
      <c r="C1505" s="23" t="s">
        <v>5989</v>
      </c>
      <c r="D1505" s="23" t="s">
        <v>3303</v>
      </c>
      <c r="E1505" s="23" t="s">
        <v>3317</v>
      </c>
      <c r="F1505" s="23" t="s">
        <v>3729</v>
      </c>
      <c r="G1505" s="93">
        <v>3</v>
      </c>
      <c r="H1505" s="93">
        <v>0</v>
      </c>
      <c r="I1505" s="23"/>
      <c r="J1505" s="23"/>
      <c r="K1505" s="23"/>
      <c r="L1505" s="23" t="s">
        <v>5796</v>
      </c>
      <c r="M1505" s="23"/>
    </row>
    <row r="1506" spans="2:13" ht="15" customHeight="1" x14ac:dyDescent="0.25">
      <c r="B1506" s="35" t="s">
        <v>5990</v>
      </c>
      <c r="C1506" s="23" t="s">
        <v>5834</v>
      </c>
      <c r="D1506" s="23" t="s">
        <v>3303</v>
      </c>
      <c r="E1506" s="23" t="s">
        <v>3317</v>
      </c>
      <c r="F1506" s="23" t="s">
        <v>3729</v>
      </c>
      <c r="G1506" s="93">
        <v>3</v>
      </c>
      <c r="H1506" s="93">
        <v>0</v>
      </c>
      <c r="I1506" s="23"/>
      <c r="J1506" s="23"/>
      <c r="K1506" s="23"/>
      <c r="L1506" s="23" t="s">
        <v>5796</v>
      </c>
      <c r="M1506" s="23"/>
    </row>
    <row r="1507" spans="2:13" ht="15" customHeight="1" x14ac:dyDescent="0.25">
      <c r="B1507" s="35" t="s">
        <v>5991</v>
      </c>
      <c r="C1507" s="23" t="s">
        <v>5992</v>
      </c>
      <c r="D1507" s="23" t="s">
        <v>3303</v>
      </c>
      <c r="E1507" s="23" t="s">
        <v>3317</v>
      </c>
      <c r="F1507" s="23" t="s">
        <v>3729</v>
      </c>
      <c r="G1507" s="93">
        <v>3</v>
      </c>
      <c r="H1507" s="93">
        <v>0</v>
      </c>
      <c r="I1507" s="23"/>
      <c r="J1507" s="23"/>
      <c r="K1507" s="23"/>
      <c r="L1507" s="23" t="s">
        <v>5796</v>
      </c>
      <c r="M1507" s="23"/>
    </row>
    <row r="1508" spans="2:13" ht="15" customHeight="1" x14ac:dyDescent="0.25">
      <c r="B1508" s="35" t="s">
        <v>5993</v>
      </c>
      <c r="C1508" s="23" t="s">
        <v>5994</v>
      </c>
      <c r="D1508" s="23" t="s">
        <v>3303</v>
      </c>
      <c r="E1508" s="23" t="s">
        <v>3317</v>
      </c>
      <c r="F1508" s="23" t="s">
        <v>3729</v>
      </c>
      <c r="G1508" s="93">
        <v>3</v>
      </c>
      <c r="H1508" s="93">
        <v>0</v>
      </c>
      <c r="I1508" s="23"/>
      <c r="J1508" s="23"/>
      <c r="K1508" s="23"/>
      <c r="L1508" s="23" t="s">
        <v>5796</v>
      </c>
      <c r="M1508" s="23"/>
    </row>
    <row r="1509" spans="2:13" ht="15" customHeight="1" x14ac:dyDescent="0.25">
      <c r="B1509" s="35" t="s">
        <v>5995</v>
      </c>
      <c r="C1509" s="23" t="s">
        <v>5996</v>
      </c>
      <c r="D1509" s="23" t="s">
        <v>3303</v>
      </c>
      <c r="E1509" s="23" t="s">
        <v>3317</v>
      </c>
      <c r="F1509" s="23" t="s">
        <v>3729</v>
      </c>
      <c r="G1509" s="93">
        <v>3</v>
      </c>
      <c r="H1509" s="93">
        <v>0</v>
      </c>
      <c r="I1509" s="23"/>
      <c r="J1509" s="23"/>
      <c r="K1509" s="23"/>
      <c r="L1509" s="23" t="s">
        <v>5796</v>
      </c>
      <c r="M1509" s="23"/>
    </row>
    <row r="1510" spans="2:13" ht="15" customHeight="1" x14ac:dyDescent="0.25">
      <c r="B1510" s="35" t="s">
        <v>5997</v>
      </c>
      <c r="C1510" s="23" t="s">
        <v>5998</v>
      </c>
      <c r="D1510" s="23" t="s">
        <v>3303</v>
      </c>
      <c r="E1510" s="23" t="s">
        <v>3317</v>
      </c>
      <c r="F1510" s="23" t="s">
        <v>3729</v>
      </c>
      <c r="G1510" s="93">
        <v>3</v>
      </c>
      <c r="H1510" s="93">
        <v>0</v>
      </c>
      <c r="I1510" s="23"/>
      <c r="J1510" s="23"/>
      <c r="K1510" s="23"/>
      <c r="L1510" s="23" t="s">
        <v>5796</v>
      </c>
      <c r="M1510" s="23"/>
    </row>
    <row r="1511" spans="2:13" ht="15" customHeight="1" x14ac:dyDescent="0.25">
      <c r="B1511" s="35" t="s">
        <v>5999</v>
      </c>
      <c r="C1511" s="23" t="s">
        <v>6000</v>
      </c>
      <c r="D1511" s="23" t="s">
        <v>3303</v>
      </c>
      <c r="E1511" s="23" t="s">
        <v>3317</v>
      </c>
      <c r="F1511" s="23" t="s">
        <v>3729</v>
      </c>
      <c r="G1511" s="93">
        <v>3</v>
      </c>
      <c r="H1511" s="93">
        <v>0</v>
      </c>
      <c r="I1511" s="23"/>
      <c r="J1511" s="23"/>
      <c r="K1511" s="23"/>
      <c r="L1511" s="23" t="s">
        <v>5796</v>
      </c>
      <c r="M1511" s="23"/>
    </row>
    <row r="1512" spans="2:13" ht="15" customHeight="1" x14ac:dyDescent="0.25">
      <c r="B1512" s="35" t="s">
        <v>6001</v>
      </c>
      <c r="C1512" s="23" t="s">
        <v>6002</v>
      </c>
      <c r="D1512" s="23" t="s">
        <v>3303</v>
      </c>
      <c r="E1512" s="23" t="s">
        <v>3317</v>
      </c>
      <c r="F1512" s="23" t="s">
        <v>3729</v>
      </c>
      <c r="G1512" s="93">
        <v>3</v>
      </c>
      <c r="H1512" s="93">
        <v>1</v>
      </c>
      <c r="I1512" s="23"/>
      <c r="J1512" s="23"/>
      <c r="K1512" s="23"/>
      <c r="L1512" s="23" t="s">
        <v>5796</v>
      </c>
      <c r="M1512" s="23" t="s">
        <v>4716</v>
      </c>
    </row>
    <row r="1513" spans="2:13" ht="15" customHeight="1" x14ac:dyDescent="0.25">
      <c r="B1513" s="35" t="s">
        <v>6003</v>
      </c>
      <c r="C1513" s="23" t="s">
        <v>6004</v>
      </c>
      <c r="D1513" s="23" t="s">
        <v>3303</v>
      </c>
      <c r="E1513" s="23" t="s">
        <v>3317</v>
      </c>
      <c r="F1513" s="23" t="s">
        <v>3729</v>
      </c>
      <c r="G1513" s="93">
        <v>3</v>
      </c>
      <c r="H1513" s="93">
        <v>0</v>
      </c>
      <c r="I1513" s="23"/>
      <c r="J1513" s="23"/>
      <c r="K1513" s="23"/>
      <c r="L1513" s="23" t="s">
        <v>5796</v>
      </c>
      <c r="M1513" s="23"/>
    </row>
    <row r="1514" spans="2:13" ht="15" customHeight="1" x14ac:dyDescent="0.25">
      <c r="B1514" s="35" t="s">
        <v>6005</v>
      </c>
      <c r="C1514" s="23" t="s">
        <v>6006</v>
      </c>
      <c r="D1514" s="23" t="s">
        <v>3303</v>
      </c>
      <c r="E1514" s="23" t="s">
        <v>3317</v>
      </c>
      <c r="F1514" s="23" t="s">
        <v>3729</v>
      </c>
      <c r="G1514" s="93">
        <v>3</v>
      </c>
      <c r="H1514" s="93">
        <v>0</v>
      </c>
      <c r="I1514" s="23"/>
      <c r="J1514" s="23"/>
      <c r="K1514" s="23"/>
      <c r="L1514" s="23" t="s">
        <v>5796</v>
      </c>
      <c r="M1514" s="23"/>
    </row>
    <row r="1515" spans="2:13" ht="15" customHeight="1" x14ac:dyDescent="0.25">
      <c r="B1515" s="35" t="s">
        <v>6007</v>
      </c>
      <c r="C1515" s="23" t="s">
        <v>6008</v>
      </c>
      <c r="D1515" s="23" t="s">
        <v>3303</v>
      </c>
      <c r="E1515" s="23" t="s">
        <v>3317</v>
      </c>
      <c r="F1515" s="23" t="s">
        <v>3729</v>
      </c>
      <c r="G1515" s="93">
        <v>3</v>
      </c>
      <c r="H1515" s="93">
        <v>0</v>
      </c>
      <c r="I1515" s="23"/>
      <c r="J1515" s="23"/>
      <c r="K1515" s="23"/>
      <c r="L1515" s="23" t="s">
        <v>5796</v>
      </c>
      <c r="M1515" s="23"/>
    </row>
    <row r="1516" spans="2:13" ht="15" customHeight="1" x14ac:dyDescent="0.25">
      <c r="B1516" s="35" t="s">
        <v>6009</v>
      </c>
      <c r="C1516" s="23" t="s">
        <v>6010</v>
      </c>
      <c r="D1516" s="23" t="s">
        <v>3303</v>
      </c>
      <c r="E1516" s="23" t="s">
        <v>3317</v>
      </c>
      <c r="F1516" s="23" t="s">
        <v>3729</v>
      </c>
      <c r="G1516" s="93">
        <v>3</v>
      </c>
      <c r="H1516" s="93">
        <v>0</v>
      </c>
      <c r="I1516" s="23"/>
      <c r="J1516" s="23"/>
      <c r="K1516" s="23"/>
      <c r="L1516" s="23" t="s">
        <v>5796</v>
      </c>
      <c r="M1516" s="23"/>
    </row>
    <row r="1517" spans="2:13" ht="15" customHeight="1" x14ac:dyDescent="0.25">
      <c r="B1517" s="35" t="s">
        <v>6011</v>
      </c>
      <c r="C1517" s="23" t="s">
        <v>6012</v>
      </c>
      <c r="D1517" s="23" t="s">
        <v>3303</v>
      </c>
      <c r="E1517" s="23" t="s">
        <v>3317</v>
      </c>
      <c r="F1517" s="23" t="s">
        <v>3729</v>
      </c>
      <c r="G1517" s="93">
        <v>3</v>
      </c>
      <c r="H1517" s="93">
        <v>0</v>
      </c>
      <c r="I1517" s="23"/>
      <c r="J1517" s="23"/>
      <c r="K1517" s="23"/>
      <c r="L1517" s="23" t="s">
        <v>5796</v>
      </c>
      <c r="M1517" s="23"/>
    </row>
    <row r="1518" spans="2:13" ht="15" customHeight="1" x14ac:dyDescent="0.25">
      <c r="B1518" s="35" t="s">
        <v>6013</v>
      </c>
      <c r="C1518" s="23" t="s">
        <v>6014</v>
      </c>
      <c r="D1518" s="23" t="s">
        <v>3303</v>
      </c>
      <c r="E1518" s="23" t="s">
        <v>3317</v>
      </c>
      <c r="F1518" s="23" t="s">
        <v>3729</v>
      </c>
      <c r="G1518" s="93">
        <v>3</v>
      </c>
      <c r="H1518" s="93">
        <v>0</v>
      </c>
      <c r="I1518" s="23"/>
      <c r="J1518" s="23"/>
      <c r="K1518" s="23"/>
      <c r="L1518" s="23" t="s">
        <v>5796</v>
      </c>
      <c r="M1518" s="23"/>
    </row>
    <row r="1519" spans="2:13" ht="15" customHeight="1" x14ac:dyDescent="0.25">
      <c r="B1519" s="35" t="s">
        <v>6015</v>
      </c>
      <c r="C1519" s="23" t="s">
        <v>6016</v>
      </c>
      <c r="D1519" s="23" t="s">
        <v>3303</v>
      </c>
      <c r="E1519" s="23" t="s">
        <v>3317</v>
      </c>
      <c r="F1519" s="23" t="s">
        <v>3729</v>
      </c>
      <c r="G1519" s="93">
        <v>3</v>
      </c>
      <c r="H1519" s="93">
        <v>0</v>
      </c>
      <c r="I1519" s="23"/>
      <c r="J1519" s="23"/>
      <c r="K1519" s="23"/>
      <c r="L1519" s="23" t="s">
        <v>5796</v>
      </c>
      <c r="M1519" s="23"/>
    </row>
    <row r="1520" spans="2:13" ht="15" customHeight="1" x14ac:dyDescent="0.25">
      <c r="B1520" s="35" t="s">
        <v>6017</v>
      </c>
      <c r="C1520" s="23" t="s">
        <v>6018</v>
      </c>
      <c r="D1520" s="23" t="s">
        <v>3303</v>
      </c>
      <c r="E1520" s="23" t="s">
        <v>3317</v>
      </c>
      <c r="F1520" s="23" t="s">
        <v>3729</v>
      </c>
      <c r="G1520" s="93">
        <v>3</v>
      </c>
      <c r="H1520" s="93">
        <v>0</v>
      </c>
      <c r="I1520" s="23"/>
      <c r="J1520" s="23"/>
      <c r="K1520" s="23"/>
      <c r="L1520" s="23" t="s">
        <v>5796</v>
      </c>
      <c r="M1520" s="23"/>
    </row>
    <row r="1521" spans="2:13" ht="15" customHeight="1" x14ac:dyDescent="0.25">
      <c r="B1521" s="35" t="s">
        <v>6019</v>
      </c>
      <c r="C1521" s="23" t="s">
        <v>6020</v>
      </c>
      <c r="D1521" s="23" t="s">
        <v>3303</v>
      </c>
      <c r="E1521" s="23" t="s">
        <v>3317</v>
      </c>
      <c r="F1521" s="23" t="s">
        <v>3729</v>
      </c>
      <c r="G1521" s="93">
        <v>3</v>
      </c>
      <c r="H1521" s="93">
        <v>0</v>
      </c>
      <c r="I1521" s="23"/>
      <c r="J1521" s="23"/>
      <c r="K1521" s="23"/>
      <c r="L1521" s="23" t="s">
        <v>5796</v>
      </c>
      <c r="M1521" s="23"/>
    </row>
    <row r="1522" spans="2:13" ht="15" customHeight="1" x14ac:dyDescent="0.25">
      <c r="B1522" s="35" t="s">
        <v>6021</v>
      </c>
      <c r="C1522" s="23" t="s">
        <v>6022</v>
      </c>
      <c r="D1522" s="23" t="s">
        <v>3303</v>
      </c>
      <c r="E1522" s="23" t="s">
        <v>3317</v>
      </c>
      <c r="F1522" s="23" t="s">
        <v>3729</v>
      </c>
      <c r="G1522" s="93">
        <v>3</v>
      </c>
      <c r="H1522" s="93">
        <v>0</v>
      </c>
      <c r="I1522" s="23"/>
      <c r="J1522" s="23"/>
      <c r="K1522" s="23"/>
      <c r="L1522" s="23" t="s">
        <v>5796</v>
      </c>
      <c r="M1522" s="23"/>
    </row>
    <row r="1523" spans="2:13" ht="15" customHeight="1" x14ac:dyDescent="0.25">
      <c r="B1523" s="35" t="s">
        <v>6023</v>
      </c>
      <c r="C1523" s="23" t="s">
        <v>6024</v>
      </c>
      <c r="D1523" s="23" t="s">
        <v>3303</v>
      </c>
      <c r="E1523" s="23" t="s">
        <v>3317</v>
      </c>
      <c r="F1523" s="23" t="s">
        <v>3729</v>
      </c>
      <c r="G1523" s="93">
        <v>3</v>
      </c>
      <c r="H1523" s="93">
        <v>0</v>
      </c>
      <c r="I1523" s="23"/>
      <c r="J1523" s="23"/>
      <c r="K1523" s="23"/>
      <c r="L1523" s="23" t="s">
        <v>5796</v>
      </c>
      <c r="M1523" s="23"/>
    </row>
    <row r="1524" spans="2:13" ht="15" customHeight="1" x14ac:dyDescent="0.25">
      <c r="B1524" s="35" t="s">
        <v>6025</v>
      </c>
      <c r="C1524" s="23" t="s">
        <v>6026</v>
      </c>
      <c r="D1524" s="23" t="s">
        <v>3303</v>
      </c>
      <c r="E1524" s="23" t="s">
        <v>3317</v>
      </c>
      <c r="F1524" s="23" t="s">
        <v>3729</v>
      </c>
      <c r="G1524" s="93">
        <v>3</v>
      </c>
      <c r="H1524" s="93">
        <v>0</v>
      </c>
      <c r="I1524" s="23"/>
      <c r="J1524" s="23"/>
      <c r="K1524" s="23"/>
      <c r="L1524" s="23" t="s">
        <v>5796</v>
      </c>
      <c r="M1524" s="23"/>
    </row>
    <row r="1525" spans="2:13" ht="15" customHeight="1" x14ac:dyDescent="0.25">
      <c r="B1525" s="35" t="s">
        <v>6027</v>
      </c>
      <c r="C1525" s="23" t="s">
        <v>6028</v>
      </c>
      <c r="D1525" s="23" t="s">
        <v>3303</v>
      </c>
      <c r="E1525" s="23" t="s">
        <v>3317</v>
      </c>
      <c r="F1525" s="23" t="s">
        <v>3729</v>
      </c>
      <c r="G1525" s="93">
        <v>3</v>
      </c>
      <c r="H1525" s="93">
        <v>0</v>
      </c>
      <c r="I1525" s="23"/>
      <c r="J1525" s="23"/>
      <c r="K1525" s="23"/>
      <c r="L1525" s="23" t="s">
        <v>5796</v>
      </c>
      <c r="M1525" s="23"/>
    </row>
    <row r="1526" spans="2:13" ht="15" customHeight="1" x14ac:dyDescent="0.25">
      <c r="B1526" s="35" t="s">
        <v>6029</v>
      </c>
      <c r="C1526" s="23" t="s">
        <v>6030</v>
      </c>
      <c r="D1526" s="23" t="s">
        <v>3303</v>
      </c>
      <c r="E1526" s="23" t="s">
        <v>3317</v>
      </c>
      <c r="F1526" s="23" t="s">
        <v>3729</v>
      </c>
      <c r="G1526" s="93">
        <v>3</v>
      </c>
      <c r="H1526" s="93">
        <v>0</v>
      </c>
      <c r="I1526" s="23"/>
      <c r="J1526" s="23"/>
      <c r="K1526" s="23"/>
      <c r="L1526" s="23" t="s">
        <v>5796</v>
      </c>
      <c r="M1526" s="23"/>
    </row>
    <row r="1527" spans="2:13" ht="15" customHeight="1" x14ac:dyDescent="0.25">
      <c r="B1527" s="35" t="s">
        <v>6031</v>
      </c>
      <c r="C1527" s="23" t="s">
        <v>6032</v>
      </c>
      <c r="D1527" s="23" t="s">
        <v>3303</v>
      </c>
      <c r="E1527" s="23" t="s">
        <v>3317</v>
      </c>
      <c r="F1527" s="23" t="s">
        <v>3729</v>
      </c>
      <c r="G1527" s="93">
        <v>3</v>
      </c>
      <c r="H1527" s="93">
        <v>0</v>
      </c>
      <c r="I1527" s="23"/>
      <c r="J1527" s="23"/>
      <c r="K1527" s="23"/>
      <c r="L1527" s="23" t="s">
        <v>5796</v>
      </c>
      <c r="M1527" s="23"/>
    </row>
    <row r="1528" spans="2:13" ht="15" customHeight="1" x14ac:dyDescent="0.25">
      <c r="B1528" s="35" t="s">
        <v>6033</v>
      </c>
      <c r="C1528" s="23" t="s">
        <v>6034</v>
      </c>
      <c r="D1528" s="23" t="s">
        <v>3303</v>
      </c>
      <c r="E1528" s="23" t="s">
        <v>3317</v>
      </c>
      <c r="F1528" s="23" t="s">
        <v>3729</v>
      </c>
      <c r="G1528" s="93">
        <v>3</v>
      </c>
      <c r="H1528" s="93">
        <v>0</v>
      </c>
      <c r="I1528" s="23"/>
      <c r="J1528" s="23"/>
      <c r="K1528" s="23"/>
      <c r="L1528" s="23" t="s">
        <v>5796</v>
      </c>
      <c r="M1528" s="23"/>
    </row>
    <row r="1529" spans="2:13" ht="15" customHeight="1" x14ac:dyDescent="0.25">
      <c r="B1529" s="35" t="s">
        <v>6035</v>
      </c>
      <c r="C1529" s="23" t="s">
        <v>6036</v>
      </c>
      <c r="D1529" s="23" t="s">
        <v>3303</v>
      </c>
      <c r="E1529" s="23" t="s">
        <v>3317</v>
      </c>
      <c r="F1529" s="23" t="s">
        <v>3729</v>
      </c>
      <c r="G1529" s="93">
        <v>3</v>
      </c>
      <c r="H1529" s="93">
        <v>0</v>
      </c>
      <c r="I1529" s="23"/>
      <c r="J1529" s="23"/>
      <c r="K1529" s="23"/>
      <c r="L1529" s="23" t="s">
        <v>5796</v>
      </c>
      <c r="M1529" s="23"/>
    </row>
    <row r="1530" spans="2:13" ht="15" customHeight="1" x14ac:dyDescent="0.25">
      <c r="B1530" s="35" t="s">
        <v>6037</v>
      </c>
      <c r="C1530" s="23" t="s">
        <v>6038</v>
      </c>
      <c r="D1530" s="23" t="s">
        <v>3303</v>
      </c>
      <c r="E1530" s="23" t="s">
        <v>3317</v>
      </c>
      <c r="F1530" s="23" t="s">
        <v>3729</v>
      </c>
      <c r="G1530" s="93">
        <v>3</v>
      </c>
      <c r="H1530" s="93">
        <v>0</v>
      </c>
      <c r="I1530" s="23"/>
      <c r="J1530" s="23"/>
      <c r="K1530" s="23"/>
      <c r="L1530" s="23" t="s">
        <v>5796</v>
      </c>
      <c r="M1530" s="23" t="s">
        <v>4716</v>
      </c>
    </row>
    <row r="1531" spans="2:13" ht="15" customHeight="1" x14ac:dyDescent="0.25">
      <c r="B1531" s="35" t="s">
        <v>6039</v>
      </c>
      <c r="C1531" s="23" t="s">
        <v>6040</v>
      </c>
      <c r="D1531" s="23" t="s">
        <v>3303</v>
      </c>
      <c r="E1531" s="23" t="s">
        <v>3317</v>
      </c>
      <c r="F1531" s="23" t="s">
        <v>3729</v>
      </c>
      <c r="G1531" s="93">
        <v>3</v>
      </c>
      <c r="H1531" s="93">
        <v>1</v>
      </c>
      <c r="I1531" s="23"/>
      <c r="J1531" s="23"/>
      <c r="K1531" s="23"/>
      <c r="L1531" s="23" t="s">
        <v>5796</v>
      </c>
      <c r="M1531" s="23"/>
    </row>
    <row r="1532" spans="2:13" ht="15" customHeight="1" x14ac:dyDescent="0.25">
      <c r="B1532" s="35" t="s">
        <v>6041</v>
      </c>
      <c r="C1532" s="23" t="s">
        <v>6042</v>
      </c>
      <c r="D1532" s="23" t="s">
        <v>3303</v>
      </c>
      <c r="E1532" s="23" t="s">
        <v>3317</v>
      </c>
      <c r="F1532" s="23" t="s">
        <v>3729</v>
      </c>
      <c r="G1532" s="93">
        <v>3</v>
      </c>
      <c r="H1532" s="93">
        <v>0</v>
      </c>
      <c r="I1532" s="23"/>
      <c r="J1532" s="23"/>
      <c r="K1532" s="23"/>
      <c r="L1532" s="23" t="s">
        <v>5796</v>
      </c>
      <c r="M1532" s="23"/>
    </row>
    <row r="1533" spans="2:13" ht="15" customHeight="1" x14ac:dyDescent="0.25">
      <c r="B1533" s="35" t="s">
        <v>6043</v>
      </c>
      <c r="C1533" s="23" t="s">
        <v>6044</v>
      </c>
      <c r="D1533" s="23" t="s">
        <v>3303</v>
      </c>
      <c r="E1533" s="23" t="s">
        <v>3317</v>
      </c>
      <c r="F1533" s="23" t="s">
        <v>3729</v>
      </c>
      <c r="G1533" s="93">
        <v>3</v>
      </c>
      <c r="H1533" s="93">
        <v>0</v>
      </c>
      <c r="I1533" s="23"/>
      <c r="J1533" s="23"/>
      <c r="K1533" s="23"/>
      <c r="L1533" s="23" t="s">
        <v>5796</v>
      </c>
      <c r="M1533" s="23"/>
    </row>
    <row r="1534" spans="2:13" ht="15" customHeight="1" x14ac:dyDescent="0.25">
      <c r="B1534" s="35" t="s">
        <v>6045</v>
      </c>
      <c r="C1534" s="23" t="s">
        <v>6046</v>
      </c>
      <c r="D1534" s="23" t="s">
        <v>3303</v>
      </c>
      <c r="E1534" s="23" t="s">
        <v>3317</v>
      </c>
      <c r="F1534" s="23" t="s">
        <v>3729</v>
      </c>
      <c r="G1534" s="93">
        <v>3</v>
      </c>
      <c r="H1534" s="93">
        <v>1</v>
      </c>
      <c r="I1534" s="23"/>
      <c r="J1534" s="23"/>
      <c r="K1534" s="23"/>
      <c r="L1534" s="23" t="s">
        <v>5796</v>
      </c>
      <c r="M1534" s="23"/>
    </row>
    <row r="1535" spans="2:13" ht="15" customHeight="1" x14ac:dyDescent="0.25">
      <c r="B1535" s="35" t="s">
        <v>6047</v>
      </c>
      <c r="C1535" s="23" t="s">
        <v>6048</v>
      </c>
      <c r="D1535" s="23" t="s">
        <v>3303</v>
      </c>
      <c r="E1535" s="23" t="s">
        <v>3317</v>
      </c>
      <c r="F1535" s="23" t="s">
        <v>3729</v>
      </c>
      <c r="G1535" s="93">
        <v>3</v>
      </c>
      <c r="H1535" s="93">
        <v>1</v>
      </c>
      <c r="I1535" s="23"/>
      <c r="J1535" s="23"/>
      <c r="K1535" s="23"/>
      <c r="L1535" s="23" t="s">
        <v>5796</v>
      </c>
      <c r="M1535" s="23"/>
    </row>
    <row r="1536" spans="2:13" ht="15" customHeight="1" x14ac:dyDescent="0.25">
      <c r="B1536" s="35" t="s">
        <v>6049</v>
      </c>
      <c r="C1536" s="23" t="s">
        <v>6050</v>
      </c>
      <c r="D1536" s="23" t="s">
        <v>3303</v>
      </c>
      <c r="E1536" s="23" t="s">
        <v>3317</v>
      </c>
      <c r="F1536" s="23" t="s">
        <v>3729</v>
      </c>
      <c r="G1536" s="93">
        <v>3</v>
      </c>
      <c r="H1536" s="93">
        <v>1</v>
      </c>
      <c r="I1536" s="23"/>
      <c r="J1536" s="23"/>
      <c r="K1536" s="23"/>
      <c r="L1536" s="23" t="s">
        <v>5796</v>
      </c>
      <c r="M1536" s="23"/>
    </row>
    <row r="1537" spans="2:13" ht="15" customHeight="1" x14ac:dyDescent="0.25">
      <c r="B1537" s="35" t="s">
        <v>6051</v>
      </c>
      <c r="C1537" s="23" t="s">
        <v>6052</v>
      </c>
      <c r="D1537" s="23" t="s">
        <v>3303</v>
      </c>
      <c r="E1537" s="23" t="s">
        <v>3317</v>
      </c>
      <c r="F1537" s="23" t="s">
        <v>3729</v>
      </c>
      <c r="G1537" s="93">
        <v>3</v>
      </c>
      <c r="H1537" s="93">
        <v>1</v>
      </c>
      <c r="I1537" s="23"/>
      <c r="J1537" s="23"/>
      <c r="K1537" s="23"/>
      <c r="L1537" s="23" t="s">
        <v>5796</v>
      </c>
      <c r="M1537" s="23"/>
    </row>
    <row r="1538" spans="2:13" ht="15" customHeight="1" x14ac:dyDescent="0.25">
      <c r="B1538" s="35" t="s">
        <v>6053</v>
      </c>
      <c r="C1538" s="23" t="s">
        <v>6054</v>
      </c>
      <c r="D1538" s="23" t="s">
        <v>3303</v>
      </c>
      <c r="E1538" s="23" t="s">
        <v>3317</v>
      </c>
      <c r="F1538" s="23" t="s">
        <v>3729</v>
      </c>
      <c r="G1538" s="93">
        <v>3</v>
      </c>
      <c r="H1538" s="93">
        <v>1</v>
      </c>
      <c r="I1538" s="23"/>
      <c r="J1538" s="23"/>
      <c r="K1538" s="23"/>
      <c r="L1538" s="23" t="s">
        <v>5796</v>
      </c>
      <c r="M1538" s="23"/>
    </row>
    <row r="1539" spans="2:13" ht="15" customHeight="1" x14ac:dyDescent="0.25">
      <c r="B1539" s="35" t="s">
        <v>6055</v>
      </c>
      <c r="C1539" s="23" t="s">
        <v>6056</v>
      </c>
      <c r="D1539" s="23" t="s">
        <v>3303</v>
      </c>
      <c r="E1539" s="23" t="s">
        <v>3317</v>
      </c>
      <c r="F1539" s="23" t="s">
        <v>3729</v>
      </c>
      <c r="G1539" s="93">
        <v>3</v>
      </c>
      <c r="H1539" s="93">
        <v>0</v>
      </c>
      <c r="I1539" s="23"/>
      <c r="J1539" s="23"/>
      <c r="K1539" s="23"/>
      <c r="L1539" s="23" t="s">
        <v>5796</v>
      </c>
      <c r="M1539" s="23"/>
    </row>
    <row r="1540" spans="2:13" ht="15" customHeight="1" x14ac:dyDescent="0.25">
      <c r="B1540" s="35" t="s">
        <v>6057</v>
      </c>
      <c r="C1540" s="23" t="s">
        <v>6058</v>
      </c>
      <c r="D1540" s="23" t="s">
        <v>3303</v>
      </c>
      <c r="E1540" s="23" t="s">
        <v>3317</v>
      </c>
      <c r="F1540" s="23" t="s">
        <v>3729</v>
      </c>
      <c r="G1540" s="93">
        <v>3</v>
      </c>
      <c r="H1540" s="93">
        <v>0</v>
      </c>
      <c r="I1540" s="23"/>
      <c r="J1540" s="23"/>
      <c r="K1540" s="23"/>
      <c r="L1540" s="23" t="s">
        <v>5796</v>
      </c>
      <c r="M1540" s="23"/>
    </row>
    <row r="1541" spans="2:13" ht="15" customHeight="1" x14ac:dyDescent="0.25">
      <c r="B1541" s="35" t="s">
        <v>6059</v>
      </c>
      <c r="C1541" s="23" t="s">
        <v>6060</v>
      </c>
      <c r="D1541" s="23" t="s">
        <v>3303</v>
      </c>
      <c r="E1541" s="23" t="s">
        <v>3317</v>
      </c>
      <c r="F1541" s="23" t="s">
        <v>3729</v>
      </c>
      <c r="G1541" s="93">
        <v>3</v>
      </c>
      <c r="H1541" s="93">
        <v>0</v>
      </c>
      <c r="I1541" s="23"/>
      <c r="J1541" s="23"/>
      <c r="K1541" s="23"/>
      <c r="L1541" s="23" t="s">
        <v>5796</v>
      </c>
      <c r="M1541" s="23"/>
    </row>
    <row r="1542" spans="2:13" ht="15" customHeight="1" x14ac:dyDescent="0.25">
      <c r="B1542" s="35" t="s">
        <v>6061</v>
      </c>
      <c r="C1542" s="23" t="s">
        <v>6062</v>
      </c>
      <c r="D1542" s="23" t="s">
        <v>3303</v>
      </c>
      <c r="E1542" s="23" t="s">
        <v>3317</v>
      </c>
      <c r="F1542" s="23" t="s">
        <v>3729</v>
      </c>
      <c r="G1542" s="93">
        <v>3</v>
      </c>
      <c r="H1542" s="93">
        <v>0</v>
      </c>
      <c r="I1542" s="23"/>
      <c r="J1542" s="23"/>
      <c r="K1542" s="23"/>
      <c r="L1542" s="23" t="s">
        <v>5796</v>
      </c>
      <c r="M1542" s="23"/>
    </row>
    <row r="1543" spans="2:13" ht="15" customHeight="1" x14ac:dyDescent="0.25">
      <c r="B1543" s="35" t="s">
        <v>6063</v>
      </c>
      <c r="C1543" s="23" t="s">
        <v>6064</v>
      </c>
      <c r="D1543" s="23" t="s">
        <v>3303</v>
      </c>
      <c r="E1543" s="23" t="s">
        <v>3317</v>
      </c>
      <c r="F1543" s="23" t="s">
        <v>3729</v>
      </c>
      <c r="G1543" s="93">
        <v>3</v>
      </c>
      <c r="H1543" s="93">
        <v>0</v>
      </c>
      <c r="I1543" s="23"/>
      <c r="J1543" s="23"/>
      <c r="K1543" s="23"/>
      <c r="L1543" s="23" t="s">
        <v>5796</v>
      </c>
      <c r="M1543" s="23"/>
    </row>
    <row r="1544" spans="2:13" ht="15" customHeight="1" x14ac:dyDescent="0.25">
      <c r="B1544" s="35" t="s">
        <v>6065</v>
      </c>
      <c r="C1544" s="23" t="s">
        <v>6066</v>
      </c>
      <c r="D1544" s="23" t="s">
        <v>3303</v>
      </c>
      <c r="E1544" s="23" t="s">
        <v>3317</v>
      </c>
      <c r="F1544" s="23" t="s">
        <v>3729</v>
      </c>
      <c r="G1544" s="93">
        <v>3</v>
      </c>
      <c r="H1544" s="93">
        <v>1</v>
      </c>
      <c r="I1544" s="23"/>
      <c r="J1544" s="23"/>
      <c r="K1544" s="23"/>
      <c r="L1544" s="23" t="s">
        <v>5796</v>
      </c>
      <c r="M1544" s="23" t="s">
        <v>4716</v>
      </c>
    </row>
    <row r="1545" spans="2:13" ht="15" customHeight="1" x14ac:dyDescent="0.25">
      <c r="B1545" s="35" t="s">
        <v>6067</v>
      </c>
      <c r="C1545" s="23" t="s">
        <v>6068</v>
      </c>
      <c r="D1545" s="23" t="s">
        <v>3303</v>
      </c>
      <c r="E1545" s="23" t="s">
        <v>3317</v>
      </c>
      <c r="F1545" s="23" t="s">
        <v>3729</v>
      </c>
      <c r="G1545" s="93">
        <v>3</v>
      </c>
      <c r="H1545" s="93">
        <v>0</v>
      </c>
      <c r="I1545" s="23"/>
      <c r="J1545" s="23"/>
      <c r="K1545" s="23"/>
      <c r="L1545" s="23" t="s">
        <v>5796</v>
      </c>
      <c r="M1545" s="23" t="s">
        <v>4716</v>
      </c>
    </row>
    <row r="1546" spans="2:13" ht="15" customHeight="1" x14ac:dyDescent="0.25">
      <c r="B1546" s="35" t="s">
        <v>6069</v>
      </c>
      <c r="C1546" s="23" t="s">
        <v>6070</v>
      </c>
      <c r="D1546" s="23" t="s">
        <v>3303</v>
      </c>
      <c r="E1546" s="23" t="s">
        <v>3317</v>
      </c>
      <c r="F1546" s="23" t="s">
        <v>3729</v>
      </c>
      <c r="G1546" s="93">
        <v>3</v>
      </c>
      <c r="H1546" s="93">
        <v>0</v>
      </c>
      <c r="I1546" s="23"/>
      <c r="J1546" s="23"/>
      <c r="K1546" s="23"/>
      <c r="L1546" s="23" t="s">
        <v>5796</v>
      </c>
      <c r="M1546" s="23"/>
    </row>
    <row r="1547" spans="2:13" ht="15" customHeight="1" x14ac:dyDescent="0.25">
      <c r="B1547" s="35" t="s">
        <v>6071</v>
      </c>
      <c r="C1547" s="23" t="s">
        <v>6072</v>
      </c>
      <c r="D1547" s="23" t="s">
        <v>3303</v>
      </c>
      <c r="E1547" s="23" t="s">
        <v>3317</v>
      </c>
      <c r="F1547" s="23" t="s">
        <v>3729</v>
      </c>
      <c r="G1547" s="93">
        <v>3</v>
      </c>
      <c r="H1547" s="93">
        <v>0</v>
      </c>
      <c r="I1547" s="23"/>
      <c r="J1547" s="23"/>
      <c r="K1547" s="23"/>
      <c r="L1547" s="23" t="s">
        <v>5796</v>
      </c>
      <c r="M1547" s="23" t="s">
        <v>4716</v>
      </c>
    </row>
    <row r="1548" spans="2:13" ht="15" customHeight="1" x14ac:dyDescent="0.25">
      <c r="B1548" s="35" t="s">
        <v>6073</v>
      </c>
      <c r="C1548" s="23" t="s">
        <v>6074</v>
      </c>
      <c r="D1548" s="23" t="s">
        <v>3303</v>
      </c>
      <c r="E1548" s="23" t="s">
        <v>3317</v>
      </c>
      <c r="F1548" s="23" t="s">
        <v>3729</v>
      </c>
      <c r="G1548" s="93">
        <v>3</v>
      </c>
      <c r="H1548" s="93">
        <v>0</v>
      </c>
      <c r="I1548" s="23"/>
      <c r="J1548" s="23"/>
      <c r="K1548" s="23"/>
      <c r="L1548" s="23" t="s">
        <v>5796</v>
      </c>
      <c r="M1548" s="23"/>
    </row>
    <row r="1549" spans="2:13" ht="15" customHeight="1" x14ac:dyDescent="0.25">
      <c r="B1549" s="35" t="s">
        <v>6075</v>
      </c>
      <c r="C1549" s="23" t="s">
        <v>6076</v>
      </c>
      <c r="D1549" s="23" t="s">
        <v>3303</v>
      </c>
      <c r="E1549" s="23" t="s">
        <v>3317</v>
      </c>
      <c r="F1549" s="23" t="s">
        <v>3729</v>
      </c>
      <c r="G1549" s="93">
        <v>3</v>
      </c>
      <c r="H1549" s="93">
        <v>1</v>
      </c>
      <c r="I1549" s="23"/>
      <c r="J1549" s="23"/>
      <c r="K1549" s="23"/>
      <c r="L1549" s="23" t="s">
        <v>5796</v>
      </c>
      <c r="M1549" s="23" t="s">
        <v>4716</v>
      </c>
    </row>
    <row r="1550" spans="2:13" ht="15" customHeight="1" x14ac:dyDescent="0.25">
      <c r="B1550" s="35" t="s">
        <v>6077</v>
      </c>
      <c r="C1550" s="23" t="s">
        <v>6078</v>
      </c>
      <c r="D1550" s="23" t="s">
        <v>3303</v>
      </c>
      <c r="E1550" s="23" t="s">
        <v>3317</v>
      </c>
      <c r="F1550" s="23" t="s">
        <v>3729</v>
      </c>
      <c r="G1550" s="93">
        <v>3</v>
      </c>
      <c r="H1550" s="93">
        <v>1</v>
      </c>
      <c r="I1550" s="23"/>
      <c r="J1550" s="23"/>
      <c r="K1550" s="23"/>
      <c r="L1550" s="23" t="s">
        <v>5796</v>
      </c>
      <c r="M1550" s="23"/>
    </row>
    <row r="1551" spans="2:13" ht="15" customHeight="1" x14ac:dyDescent="0.25">
      <c r="B1551" s="35" t="s">
        <v>6079</v>
      </c>
      <c r="C1551" s="23" t="s">
        <v>6080</v>
      </c>
      <c r="D1551" s="23" t="s">
        <v>3303</v>
      </c>
      <c r="E1551" s="23" t="s">
        <v>3317</v>
      </c>
      <c r="F1551" s="23" t="s">
        <v>3729</v>
      </c>
      <c r="G1551" s="93">
        <v>3</v>
      </c>
      <c r="H1551" s="93">
        <v>0</v>
      </c>
      <c r="I1551" s="23"/>
      <c r="J1551" s="23"/>
      <c r="K1551" s="23"/>
      <c r="L1551" s="23" t="s">
        <v>5796</v>
      </c>
      <c r="M1551" s="23"/>
    </row>
    <row r="1552" spans="2:13" ht="15" customHeight="1" x14ac:dyDescent="0.25">
      <c r="B1552" s="35" t="s">
        <v>6081</v>
      </c>
      <c r="C1552" s="23" t="s">
        <v>6082</v>
      </c>
      <c r="D1552" s="23" t="s">
        <v>3303</v>
      </c>
      <c r="E1552" s="23" t="s">
        <v>3317</v>
      </c>
      <c r="F1552" s="23" t="s">
        <v>3729</v>
      </c>
      <c r="G1552" s="93">
        <v>3</v>
      </c>
      <c r="H1552" s="93">
        <v>0</v>
      </c>
      <c r="I1552" s="23"/>
      <c r="J1552" s="23"/>
      <c r="K1552" s="23"/>
      <c r="L1552" s="23" t="s">
        <v>5796</v>
      </c>
      <c r="M1552" s="23" t="s">
        <v>4716</v>
      </c>
    </row>
    <row r="1553" spans="2:13" ht="15" customHeight="1" x14ac:dyDescent="0.25">
      <c r="B1553" s="35" t="s">
        <v>6083</v>
      </c>
      <c r="C1553" s="23" t="s">
        <v>6084</v>
      </c>
      <c r="D1553" s="23" t="s">
        <v>3303</v>
      </c>
      <c r="E1553" s="23" t="s">
        <v>3317</v>
      </c>
      <c r="F1553" s="23" t="s">
        <v>3729</v>
      </c>
      <c r="G1553" s="93">
        <v>3</v>
      </c>
      <c r="H1553" s="93">
        <v>0</v>
      </c>
      <c r="I1553" s="23"/>
      <c r="J1553" s="23"/>
      <c r="K1553" s="23"/>
      <c r="L1553" s="23" t="s">
        <v>5796</v>
      </c>
      <c r="M1553" s="23"/>
    </row>
    <row r="1554" spans="2:13" ht="15" customHeight="1" x14ac:dyDescent="0.25">
      <c r="B1554" s="35" t="s">
        <v>6085</v>
      </c>
      <c r="C1554" s="23" t="s">
        <v>6086</v>
      </c>
      <c r="D1554" s="23" t="s">
        <v>3303</v>
      </c>
      <c r="E1554" s="23" t="s">
        <v>3317</v>
      </c>
      <c r="F1554" s="23" t="s">
        <v>3729</v>
      </c>
      <c r="G1554" s="93">
        <v>3</v>
      </c>
      <c r="H1554" s="93">
        <v>0</v>
      </c>
      <c r="I1554" s="23"/>
      <c r="J1554" s="23"/>
      <c r="K1554" s="23"/>
      <c r="L1554" s="23" t="s">
        <v>5796</v>
      </c>
      <c r="M1554" s="23"/>
    </row>
    <row r="1555" spans="2:13" ht="15" customHeight="1" x14ac:dyDescent="0.25">
      <c r="B1555" s="35" t="s">
        <v>6087</v>
      </c>
      <c r="C1555" s="23" t="s">
        <v>6088</v>
      </c>
      <c r="D1555" s="23" t="s">
        <v>3303</v>
      </c>
      <c r="E1555" s="23" t="s">
        <v>3317</v>
      </c>
      <c r="F1555" s="23" t="s">
        <v>3729</v>
      </c>
      <c r="G1555" s="93">
        <v>3</v>
      </c>
      <c r="H1555" s="93">
        <v>0</v>
      </c>
      <c r="I1555" s="23"/>
      <c r="J1555" s="23"/>
      <c r="K1555" s="23"/>
      <c r="L1555" s="23" t="s">
        <v>5796</v>
      </c>
      <c r="M1555" s="23"/>
    </row>
    <row r="1556" spans="2:13" ht="15" customHeight="1" x14ac:dyDescent="0.25">
      <c r="B1556" s="35" t="s">
        <v>6089</v>
      </c>
      <c r="C1556" s="23" t="s">
        <v>6090</v>
      </c>
      <c r="D1556" s="23" t="s">
        <v>3303</v>
      </c>
      <c r="E1556" s="23" t="s">
        <v>3317</v>
      </c>
      <c r="F1556" s="23" t="s">
        <v>3729</v>
      </c>
      <c r="G1556" s="93">
        <v>3</v>
      </c>
      <c r="H1556" s="93">
        <v>0</v>
      </c>
      <c r="I1556" s="23"/>
      <c r="J1556" s="23"/>
      <c r="K1556" s="23"/>
      <c r="L1556" s="23" t="s">
        <v>5796</v>
      </c>
      <c r="M1556" s="23"/>
    </row>
    <row r="1557" spans="2:13" ht="15" customHeight="1" x14ac:dyDescent="0.25">
      <c r="B1557" s="35" t="s">
        <v>6091</v>
      </c>
      <c r="C1557" s="23" t="s">
        <v>6092</v>
      </c>
      <c r="D1557" s="23" t="s">
        <v>3303</v>
      </c>
      <c r="E1557" s="23" t="s">
        <v>3317</v>
      </c>
      <c r="F1557" s="23" t="s">
        <v>3729</v>
      </c>
      <c r="G1557" s="93">
        <v>3</v>
      </c>
      <c r="H1557" s="93">
        <v>0</v>
      </c>
      <c r="I1557" s="23"/>
      <c r="J1557" s="23"/>
      <c r="K1557" s="23"/>
      <c r="L1557" s="23" t="s">
        <v>5796</v>
      </c>
      <c r="M1557" s="23"/>
    </row>
    <row r="1558" spans="2:13" ht="15" customHeight="1" x14ac:dyDescent="0.25">
      <c r="B1558" s="35" t="s">
        <v>6093</v>
      </c>
      <c r="C1558" s="23" t="s">
        <v>6094</v>
      </c>
      <c r="D1558" s="23" t="s">
        <v>3303</v>
      </c>
      <c r="E1558" s="23" t="s">
        <v>3317</v>
      </c>
      <c r="F1558" s="23" t="s">
        <v>3729</v>
      </c>
      <c r="G1558" s="93">
        <v>3</v>
      </c>
      <c r="H1558" s="93">
        <v>0</v>
      </c>
      <c r="I1558" s="23"/>
      <c r="J1558" s="23"/>
      <c r="K1558" s="23"/>
      <c r="L1558" s="23" t="s">
        <v>5796</v>
      </c>
      <c r="M1558" s="23"/>
    </row>
    <row r="1559" spans="2:13" ht="15" customHeight="1" x14ac:dyDescent="0.25">
      <c r="B1559" s="35" t="s">
        <v>6095</v>
      </c>
      <c r="C1559" s="23" t="s">
        <v>6096</v>
      </c>
      <c r="D1559" s="23" t="s">
        <v>3303</v>
      </c>
      <c r="E1559" s="23" t="s">
        <v>3317</v>
      </c>
      <c r="F1559" s="23" t="s">
        <v>3729</v>
      </c>
      <c r="G1559" s="93">
        <v>3</v>
      </c>
      <c r="H1559" s="93">
        <v>0</v>
      </c>
      <c r="I1559" s="23"/>
      <c r="J1559" s="23"/>
      <c r="K1559" s="23"/>
      <c r="L1559" s="23" t="s">
        <v>5796</v>
      </c>
      <c r="M1559" s="23"/>
    </row>
    <row r="1560" spans="2:13" ht="15" customHeight="1" x14ac:dyDescent="0.25">
      <c r="B1560" s="35" t="s">
        <v>6097</v>
      </c>
      <c r="C1560" s="23" t="s">
        <v>6098</v>
      </c>
      <c r="D1560" s="23" t="s">
        <v>3303</v>
      </c>
      <c r="E1560" s="23" t="s">
        <v>3317</v>
      </c>
      <c r="F1560" s="23" t="s">
        <v>3729</v>
      </c>
      <c r="G1560" s="93">
        <v>3</v>
      </c>
      <c r="H1560" s="93">
        <v>1</v>
      </c>
      <c r="I1560" s="23"/>
      <c r="J1560" s="23"/>
      <c r="K1560" s="23"/>
      <c r="L1560" s="23" t="s">
        <v>5796</v>
      </c>
      <c r="M1560" s="23" t="s">
        <v>4716</v>
      </c>
    </row>
    <row r="1561" spans="2:13" ht="15" customHeight="1" x14ac:dyDescent="0.25">
      <c r="B1561" s="35" t="s">
        <v>6099</v>
      </c>
      <c r="C1561" s="23" t="s">
        <v>6100</v>
      </c>
      <c r="D1561" s="23" t="s">
        <v>3303</v>
      </c>
      <c r="E1561" s="23" t="s">
        <v>3317</v>
      </c>
      <c r="F1561" s="23" t="s">
        <v>3729</v>
      </c>
      <c r="G1561" s="93">
        <v>3</v>
      </c>
      <c r="H1561" s="93">
        <v>0</v>
      </c>
      <c r="I1561" s="23"/>
      <c r="J1561" s="23"/>
      <c r="K1561" s="23"/>
      <c r="L1561" s="23" t="s">
        <v>5796</v>
      </c>
      <c r="M1561" s="23"/>
    </row>
    <row r="1562" spans="2:13" ht="15" customHeight="1" x14ac:dyDescent="0.25">
      <c r="B1562" s="35" t="s">
        <v>6101</v>
      </c>
      <c r="C1562" s="23" t="s">
        <v>6102</v>
      </c>
      <c r="D1562" s="23" t="s">
        <v>3303</v>
      </c>
      <c r="E1562" s="23" t="s">
        <v>3317</v>
      </c>
      <c r="F1562" s="23" t="s">
        <v>3729</v>
      </c>
      <c r="G1562" s="93">
        <v>3</v>
      </c>
      <c r="H1562" s="93">
        <v>0</v>
      </c>
      <c r="I1562" s="23"/>
      <c r="J1562" s="23"/>
      <c r="K1562" s="23"/>
      <c r="L1562" s="23" t="s">
        <v>5796</v>
      </c>
      <c r="M1562" s="23"/>
    </row>
    <row r="1563" spans="2:13" ht="15" customHeight="1" x14ac:dyDescent="0.25">
      <c r="B1563" s="35" t="s">
        <v>6103</v>
      </c>
      <c r="C1563" s="23" t="s">
        <v>6104</v>
      </c>
      <c r="D1563" s="23" t="s">
        <v>3303</v>
      </c>
      <c r="E1563" s="23" t="s">
        <v>3317</v>
      </c>
      <c r="F1563" s="23" t="s">
        <v>3729</v>
      </c>
      <c r="G1563" s="93">
        <v>3</v>
      </c>
      <c r="H1563" s="93">
        <v>0</v>
      </c>
      <c r="I1563" s="23"/>
      <c r="J1563" s="23"/>
      <c r="K1563" s="23"/>
      <c r="L1563" s="23" t="s">
        <v>5796</v>
      </c>
      <c r="M1563" s="23"/>
    </row>
    <row r="1564" spans="2:13" ht="15" customHeight="1" x14ac:dyDescent="0.25">
      <c r="B1564" s="35" t="s">
        <v>6105</v>
      </c>
      <c r="C1564" s="23" t="s">
        <v>6106</v>
      </c>
      <c r="D1564" s="23" t="s">
        <v>3303</v>
      </c>
      <c r="E1564" s="23" t="s">
        <v>3317</v>
      </c>
      <c r="F1564" s="23" t="s">
        <v>3729</v>
      </c>
      <c r="G1564" s="93">
        <v>3</v>
      </c>
      <c r="H1564" s="93">
        <v>0</v>
      </c>
      <c r="I1564" s="23"/>
      <c r="J1564" s="23"/>
      <c r="K1564" s="23"/>
      <c r="L1564" s="23" t="s">
        <v>5796</v>
      </c>
      <c r="M1564" s="23"/>
    </row>
    <row r="1565" spans="2:13" ht="15" customHeight="1" x14ac:dyDescent="0.25">
      <c r="B1565" s="35" t="s">
        <v>6107</v>
      </c>
      <c r="C1565" s="23" t="s">
        <v>6108</v>
      </c>
      <c r="D1565" s="23" t="s">
        <v>3303</v>
      </c>
      <c r="E1565" s="23" t="s">
        <v>3317</v>
      </c>
      <c r="F1565" s="23" t="s">
        <v>3729</v>
      </c>
      <c r="G1565" s="93">
        <v>3</v>
      </c>
      <c r="H1565" s="93">
        <v>0</v>
      </c>
      <c r="I1565" s="23"/>
      <c r="J1565" s="23"/>
      <c r="K1565" s="23"/>
      <c r="L1565" s="23" t="s">
        <v>5796</v>
      </c>
      <c r="M1565" s="23"/>
    </row>
    <row r="1566" spans="2:13" ht="15" customHeight="1" x14ac:dyDescent="0.25">
      <c r="B1566" s="35" t="s">
        <v>6109</v>
      </c>
      <c r="C1566" s="23" t="s">
        <v>6110</v>
      </c>
      <c r="D1566" s="23" t="s">
        <v>3303</v>
      </c>
      <c r="E1566" s="23" t="s">
        <v>3317</v>
      </c>
      <c r="F1566" s="23" t="s">
        <v>3729</v>
      </c>
      <c r="G1566" s="93">
        <v>3</v>
      </c>
      <c r="H1566" s="93">
        <v>0</v>
      </c>
      <c r="I1566" s="23"/>
      <c r="J1566" s="23"/>
      <c r="K1566" s="23"/>
      <c r="L1566" s="23" t="s">
        <v>5796</v>
      </c>
      <c r="M1566" s="23"/>
    </row>
    <row r="1567" spans="2:13" ht="15" customHeight="1" x14ac:dyDescent="0.25">
      <c r="B1567" s="35" t="s">
        <v>6111</v>
      </c>
      <c r="C1567" s="23" t="s">
        <v>6112</v>
      </c>
      <c r="D1567" s="23" t="s">
        <v>3303</v>
      </c>
      <c r="E1567" s="23" t="s">
        <v>3317</v>
      </c>
      <c r="F1567" s="23" t="s">
        <v>3729</v>
      </c>
      <c r="G1567" s="93">
        <v>3</v>
      </c>
      <c r="H1567" s="93">
        <v>0</v>
      </c>
      <c r="I1567" s="23"/>
      <c r="J1567" s="23"/>
      <c r="K1567" s="23"/>
      <c r="L1567" s="23" t="s">
        <v>5796</v>
      </c>
      <c r="M1567" s="23"/>
    </row>
    <row r="1568" spans="2:13" ht="15" customHeight="1" x14ac:dyDescent="0.25">
      <c r="B1568" s="35" t="s">
        <v>6113</v>
      </c>
      <c r="C1568" s="23" t="s">
        <v>6114</v>
      </c>
      <c r="D1568" s="23" t="s">
        <v>3303</v>
      </c>
      <c r="E1568" s="23" t="s">
        <v>3317</v>
      </c>
      <c r="F1568" s="23" t="s">
        <v>3729</v>
      </c>
      <c r="G1568" s="93">
        <v>3</v>
      </c>
      <c r="H1568" s="93">
        <v>1</v>
      </c>
      <c r="I1568" s="23"/>
      <c r="J1568" s="23"/>
      <c r="K1568" s="23"/>
      <c r="L1568" s="23" t="s">
        <v>5796</v>
      </c>
      <c r="M1568" s="23"/>
    </row>
    <row r="1569" spans="2:13" ht="15" customHeight="1" x14ac:dyDescent="0.25">
      <c r="B1569" s="35" t="s">
        <v>6115</v>
      </c>
      <c r="C1569" s="23" t="s">
        <v>6116</v>
      </c>
      <c r="D1569" s="23" t="s">
        <v>3303</v>
      </c>
      <c r="E1569" s="23" t="s">
        <v>3317</v>
      </c>
      <c r="F1569" s="23" t="s">
        <v>3729</v>
      </c>
      <c r="G1569" s="93">
        <v>3</v>
      </c>
      <c r="H1569" s="93">
        <v>0</v>
      </c>
      <c r="I1569" s="23"/>
      <c r="J1569" s="23"/>
      <c r="K1569" s="23"/>
      <c r="L1569" s="23" t="s">
        <v>5796</v>
      </c>
      <c r="M1569" s="23"/>
    </row>
    <row r="1570" spans="2:13" ht="15" customHeight="1" x14ac:dyDescent="0.25">
      <c r="B1570" s="35" t="s">
        <v>6117</v>
      </c>
      <c r="C1570" s="23" t="s">
        <v>6118</v>
      </c>
      <c r="D1570" s="23" t="s">
        <v>3303</v>
      </c>
      <c r="E1570" s="23" t="s">
        <v>3317</v>
      </c>
      <c r="F1570" s="23" t="s">
        <v>3729</v>
      </c>
      <c r="G1570" s="93">
        <v>3</v>
      </c>
      <c r="H1570" s="93">
        <v>0</v>
      </c>
      <c r="I1570" s="23"/>
      <c r="J1570" s="23"/>
      <c r="K1570" s="23"/>
      <c r="L1570" s="23" t="s">
        <v>5796</v>
      </c>
      <c r="M1570" s="23"/>
    </row>
    <row r="1571" spans="2:13" ht="15" customHeight="1" x14ac:dyDescent="0.25">
      <c r="B1571" s="35" t="s">
        <v>6119</v>
      </c>
      <c r="C1571" s="23" t="s">
        <v>6120</v>
      </c>
      <c r="D1571" s="23" t="s">
        <v>3303</v>
      </c>
      <c r="E1571" s="23" t="s">
        <v>3317</v>
      </c>
      <c r="F1571" s="23" t="s">
        <v>3729</v>
      </c>
      <c r="G1571" s="93">
        <v>3</v>
      </c>
      <c r="H1571" s="93">
        <v>1</v>
      </c>
      <c r="I1571" s="23"/>
      <c r="J1571" s="23"/>
      <c r="K1571" s="23"/>
      <c r="L1571" s="23" t="s">
        <v>5796</v>
      </c>
      <c r="M1571" s="23"/>
    </row>
    <row r="1572" spans="2:13" ht="15" customHeight="1" x14ac:dyDescent="0.25">
      <c r="B1572" s="35" t="s">
        <v>6121</v>
      </c>
      <c r="C1572" s="23" t="s">
        <v>6122</v>
      </c>
      <c r="D1572" s="23" t="s">
        <v>3303</v>
      </c>
      <c r="E1572" s="23" t="s">
        <v>3317</v>
      </c>
      <c r="F1572" s="23" t="s">
        <v>3729</v>
      </c>
      <c r="G1572" s="93">
        <v>3</v>
      </c>
      <c r="H1572" s="93">
        <v>0</v>
      </c>
      <c r="I1572" s="23"/>
      <c r="J1572" s="23"/>
      <c r="K1572" s="23"/>
      <c r="L1572" s="23" t="s">
        <v>5796</v>
      </c>
      <c r="M1572" s="23"/>
    </row>
    <row r="1573" spans="2:13" ht="15" customHeight="1" x14ac:dyDescent="0.25">
      <c r="B1573" s="35" t="s">
        <v>6123</v>
      </c>
      <c r="C1573" s="23" t="s">
        <v>6124</v>
      </c>
      <c r="D1573" s="23" t="s">
        <v>3303</v>
      </c>
      <c r="E1573" s="23" t="s">
        <v>3317</v>
      </c>
      <c r="F1573" s="23" t="s">
        <v>3729</v>
      </c>
      <c r="G1573" s="93">
        <v>3</v>
      </c>
      <c r="H1573" s="93">
        <v>0</v>
      </c>
      <c r="I1573" s="23"/>
      <c r="J1573" s="23"/>
      <c r="K1573" s="23"/>
      <c r="L1573" s="23" t="s">
        <v>5796</v>
      </c>
      <c r="M1573" s="23"/>
    </row>
    <row r="1574" spans="2:13" ht="15" customHeight="1" x14ac:dyDescent="0.25">
      <c r="B1574" s="35" t="s">
        <v>6125</v>
      </c>
      <c r="C1574" s="23" t="s">
        <v>6126</v>
      </c>
      <c r="D1574" s="23" t="s">
        <v>3303</v>
      </c>
      <c r="E1574" s="23" t="s">
        <v>3317</v>
      </c>
      <c r="F1574" s="23" t="s">
        <v>3729</v>
      </c>
      <c r="G1574" s="93">
        <v>3</v>
      </c>
      <c r="H1574" s="93">
        <v>0</v>
      </c>
      <c r="I1574" s="23"/>
      <c r="J1574" s="23"/>
      <c r="K1574" s="23"/>
      <c r="L1574" s="23" t="s">
        <v>5796</v>
      </c>
      <c r="M1574" s="23"/>
    </row>
    <row r="1575" spans="2:13" ht="15" customHeight="1" x14ac:dyDescent="0.25">
      <c r="B1575" s="35" t="s">
        <v>6127</v>
      </c>
      <c r="C1575" s="23" t="s">
        <v>6128</v>
      </c>
      <c r="D1575" s="23" t="s">
        <v>3303</v>
      </c>
      <c r="E1575" s="23" t="s">
        <v>3317</v>
      </c>
      <c r="F1575" s="23" t="s">
        <v>3729</v>
      </c>
      <c r="G1575" s="93">
        <v>3</v>
      </c>
      <c r="H1575" s="93">
        <v>0</v>
      </c>
      <c r="I1575" s="23"/>
      <c r="J1575" s="23"/>
      <c r="K1575" s="23"/>
      <c r="L1575" s="23" t="s">
        <v>5796</v>
      </c>
      <c r="M1575" s="23"/>
    </row>
    <row r="1576" spans="2:13" ht="15" customHeight="1" x14ac:dyDescent="0.25">
      <c r="B1576" s="35" t="s">
        <v>6129</v>
      </c>
      <c r="C1576" s="23" t="s">
        <v>6130</v>
      </c>
      <c r="D1576" s="23" t="s">
        <v>3303</v>
      </c>
      <c r="E1576" s="23" t="s">
        <v>3317</v>
      </c>
      <c r="F1576" s="23" t="s">
        <v>3729</v>
      </c>
      <c r="G1576" s="93">
        <v>3</v>
      </c>
      <c r="H1576" s="93">
        <v>0</v>
      </c>
      <c r="I1576" s="23"/>
      <c r="J1576" s="23"/>
      <c r="K1576" s="23"/>
      <c r="L1576" s="23" t="s">
        <v>5796</v>
      </c>
      <c r="M1576" s="23"/>
    </row>
    <row r="1577" spans="2:13" ht="15" customHeight="1" x14ac:dyDescent="0.25">
      <c r="B1577" s="35" t="s">
        <v>6131</v>
      </c>
      <c r="C1577" s="23" t="s">
        <v>6132</v>
      </c>
      <c r="D1577" s="23" t="s">
        <v>3303</v>
      </c>
      <c r="E1577" s="23" t="s">
        <v>3317</v>
      </c>
      <c r="F1577" s="23" t="s">
        <v>3729</v>
      </c>
      <c r="G1577" s="93">
        <v>3</v>
      </c>
      <c r="H1577" s="93">
        <v>0</v>
      </c>
      <c r="I1577" s="23"/>
      <c r="J1577" s="23"/>
      <c r="K1577" s="23"/>
      <c r="L1577" s="23" t="s">
        <v>5796</v>
      </c>
      <c r="M1577" s="23"/>
    </row>
    <row r="1578" spans="2:13" ht="15" customHeight="1" x14ac:dyDescent="0.25">
      <c r="B1578" s="35" t="s">
        <v>6133</v>
      </c>
      <c r="C1578" s="23" t="s">
        <v>6134</v>
      </c>
      <c r="D1578" s="23" t="s">
        <v>3303</v>
      </c>
      <c r="E1578" s="23" t="s">
        <v>3317</v>
      </c>
      <c r="F1578" s="23" t="s">
        <v>3729</v>
      </c>
      <c r="G1578" s="93">
        <v>3</v>
      </c>
      <c r="H1578" s="93">
        <v>0</v>
      </c>
      <c r="I1578" s="23"/>
      <c r="J1578" s="23"/>
      <c r="K1578" s="23"/>
      <c r="L1578" s="23" t="s">
        <v>5796</v>
      </c>
      <c r="M1578" s="23"/>
    </row>
    <row r="1579" spans="2:13" ht="15" customHeight="1" x14ac:dyDescent="0.25">
      <c r="B1579" s="35" t="s">
        <v>6135</v>
      </c>
      <c r="C1579" s="23" t="s">
        <v>6136</v>
      </c>
      <c r="D1579" s="23" t="s">
        <v>3303</v>
      </c>
      <c r="E1579" s="23" t="s">
        <v>3317</v>
      </c>
      <c r="F1579" s="23" t="s">
        <v>3729</v>
      </c>
      <c r="G1579" s="93">
        <v>3</v>
      </c>
      <c r="H1579" s="93">
        <v>0</v>
      </c>
      <c r="I1579" s="23"/>
      <c r="J1579" s="23"/>
      <c r="K1579" s="23"/>
      <c r="L1579" s="23" t="s">
        <v>5796</v>
      </c>
      <c r="M1579" s="23"/>
    </row>
    <row r="1580" spans="2:13" ht="15" customHeight="1" x14ac:dyDescent="0.25">
      <c r="B1580" s="35" t="s">
        <v>6137</v>
      </c>
      <c r="C1580" s="23" t="s">
        <v>6138</v>
      </c>
      <c r="D1580" s="23" t="s">
        <v>3303</v>
      </c>
      <c r="E1580" s="23" t="s">
        <v>3317</v>
      </c>
      <c r="F1580" s="23" t="s">
        <v>3729</v>
      </c>
      <c r="G1580" s="93">
        <v>3</v>
      </c>
      <c r="H1580" s="93">
        <v>0</v>
      </c>
      <c r="I1580" s="23"/>
      <c r="J1580" s="23"/>
      <c r="K1580" s="23"/>
      <c r="L1580" s="23" t="s">
        <v>5796</v>
      </c>
      <c r="M1580" s="23"/>
    </row>
    <row r="1581" spans="2:13" ht="15" customHeight="1" x14ac:dyDescent="0.25">
      <c r="B1581" s="35" t="s">
        <v>6139</v>
      </c>
      <c r="C1581" s="23" t="s">
        <v>6140</v>
      </c>
      <c r="D1581" s="23" t="s">
        <v>3303</v>
      </c>
      <c r="E1581" s="23" t="s">
        <v>3317</v>
      </c>
      <c r="F1581" s="23" t="s">
        <v>3729</v>
      </c>
      <c r="G1581" s="93">
        <v>3</v>
      </c>
      <c r="H1581" s="93">
        <v>0</v>
      </c>
      <c r="I1581" s="23"/>
      <c r="J1581" s="23"/>
      <c r="K1581" s="23"/>
      <c r="L1581" s="23" t="s">
        <v>5796</v>
      </c>
      <c r="M1581" s="23"/>
    </row>
    <row r="1582" spans="2:13" ht="15" customHeight="1" x14ac:dyDescent="0.25">
      <c r="B1582" s="35" t="s">
        <v>6141</v>
      </c>
      <c r="C1582" s="23" t="s">
        <v>6142</v>
      </c>
      <c r="D1582" s="23" t="s">
        <v>3303</v>
      </c>
      <c r="E1582" s="23" t="s">
        <v>3317</v>
      </c>
      <c r="F1582" s="23" t="s">
        <v>3729</v>
      </c>
      <c r="G1582" s="93">
        <v>3</v>
      </c>
      <c r="H1582" s="93">
        <v>0</v>
      </c>
      <c r="I1582" s="23"/>
      <c r="J1582" s="23"/>
      <c r="K1582" s="23"/>
      <c r="L1582" s="23" t="s">
        <v>5796</v>
      </c>
      <c r="M1582" s="23"/>
    </row>
    <row r="1583" spans="2:13" ht="15" customHeight="1" x14ac:dyDescent="0.25">
      <c r="B1583" s="35" t="s">
        <v>6143</v>
      </c>
      <c r="C1583" s="23" t="s">
        <v>6144</v>
      </c>
      <c r="D1583" s="23" t="s">
        <v>3303</v>
      </c>
      <c r="E1583" s="23" t="s">
        <v>3317</v>
      </c>
      <c r="F1583" s="23" t="s">
        <v>3729</v>
      </c>
      <c r="G1583" s="93">
        <v>3</v>
      </c>
      <c r="H1583" s="93">
        <v>0</v>
      </c>
      <c r="I1583" s="23"/>
      <c r="J1583" s="23"/>
      <c r="K1583" s="23"/>
      <c r="L1583" s="23" t="s">
        <v>5796</v>
      </c>
      <c r="M1583" s="23"/>
    </row>
    <row r="1584" spans="2:13" ht="15" customHeight="1" x14ac:dyDescent="0.25">
      <c r="B1584" s="35" t="s">
        <v>6145</v>
      </c>
      <c r="C1584" s="23" t="s">
        <v>6146</v>
      </c>
      <c r="D1584" s="23" t="s">
        <v>3303</v>
      </c>
      <c r="E1584" s="23" t="s">
        <v>3317</v>
      </c>
      <c r="F1584" s="23" t="s">
        <v>3729</v>
      </c>
      <c r="G1584" s="93">
        <v>3</v>
      </c>
      <c r="H1584" s="93">
        <v>0</v>
      </c>
      <c r="I1584" s="23"/>
      <c r="J1584" s="23"/>
      <c r="K1584" s="23"/>
      <c r="L1584" s="23" t="s">
        <v>5796</v>
      </c>
      <c r="M1584" s="23"/>
    </row>
    <row r="1585" spans="2:13" ht="15" customHeight="1" x14ac:dyDescent="0.25">
      <c r="B1585" s="35" t="s">
        <v>6147</v>
      </c>
      <c r="C1585" s="23" t="s">
        <v>6148</v>
      </c>
      <c r="D1585" s="23" t="s">
        <v>3303</v>
      </c>
      <c r="E1585" s="23" t="s">
        <v>3317</v>
      </c>
      <c r="F1585" s="23" t="s">
        <v>3729</v>
      </c>
      <c r="G1585" s="93">
        <v>3</v>
      </c>
      <c r="H1585" s="93">
        <v>0</v>
      </c>
      <c r="I1585" s="23"/>
      <c r="J1585" s="23"/>
      <c r="K1585" s="23"/>
      <c r="L1585" s="23" t="s">
        <v>5796</v>
      </c>
      <c r="M1585" s="23"/>
    </row>
    <row r="1586" spans="2:13" ht="15" customHeight="1" x14ac:dyDescent="0.25">
      <c r="B1586" s="35" t="s">
        <v>6149</v>
      </c>
      <c r="C1586" s="23" t="s">
        <v>6150</v>
      </c>
      <c r="D1586" s="23" t="s">
        <v>3303</v>
      </c>
      <c r="E1586" s="23" t="s">
        <v>3317</v>
      </c>
      <c r="F1586" s="23" t="s">
        <v>3729</v>
      </c>
      <c r="G1586" s="93">
        <v>3</v>
      </c>
      <c r="H1586" s="93">
        <v>0</v>
      </c>
      <c r="I1586" s="23"/>
      <c r="J1586" s="23"/>
      <c r="K1586" s="23"/>
      <c r="L1586" s="23" t="s">
        <v>5796</v>
      </c>
      <c r="M1586" s="23"/>
    </row>
    <row r="1587" spans="2:13" ht="15" customHeight="1" x14ac:dyDescent="0.25">
      <c r="B1587" s="35" t="s">
        <v>6151</v>
      </c>
      <c r="C1587" s="23" t="s">
        <v>6152</v>
      </c>
      <c r="D1587" s="23" t="s">
        <v>3303</v>
      </c>
      <c r="E1587" s="23" t="s">
        <v>3317</v>
      </c>
      <c r="F1587" s="23" t="s">
        <v>3729</v>
      </c>
      <c r="G1587" s="93">
        <v>3</v>
      </c>
      <c r="H1587" s="93">
        <v>0</v>
      </c>
      <c r="I1587" s="23"/>
      <c r="J1587" s="23"/>
      <c r="K1587" s="23"/>
      <c r="L1587" s="23" t="s">
        <v>5796</v>
      </c>
      <c r="M1587" s="23"/>
    </row>
    <row r="1588" spans="2:13" ht="15" customHeight="1" x14ac:dyDescent="0.25">
      <c r="B1588" s="35" t="s">
        <v>6153</v>
      </c>
      <c r="C1588" s="23" t="s">
        <v>2982</v>
      </c>
      <c r="D1588" s="23" t="s">
        <v>3303</v>
      </c>
      <c r="E1588" s="23" t="s">
        <v>3317</v>
      </c>
      <c r="F1588" s="23" t="s">
        <v>3729</v>
      </c>
      <c r="G1588" s="93">
        <v>3</v>
      </c>
      <c r="H1588" s="93">
        <v>0</v>
      </c>
      <c r="I1588" s="23"/>
      <c r="J1588" s="23"/>
      <c r="K1588" s="23"/>
      <c r="L1588" s="23" t="s">
        <v>5796</v>
      </c>
      <c r="M1588" s="23"/>
    </row>
    <row r="1589" spans="2:13" ht="15" customHeight="1" x14ac:dyDescent="0.25">
      <c r="B1589" s="35" t="s">
        <v>6154</v>
      </c>
      <c r="C1589" s="23" t="s">
        <v>6155</v>
      </c>
      <c r="D1589" s="23" t="s">
        <v>3303</v>
      </c>
      <c r="E1589" s="23" t="s">
        <v>3317</v>
      </c>
      <c r="F1589" s="23" t="s">
        <v>3729</v>
      </c>
      <c r="G1589" s="93">
        <v>3</v>
      </c>
      <c r="H1589" s="93">
        <v>0</v>
      </c>
      <c r="I1589" s="23"/>
      <c r="J1589" s="23"/>
      <c r="K1589" s="23"/>
      <c r="L1589" s="23" t="s">
        <v>5796</v>
      </c>
      <c r="M1589" s="23"/>
    </row>
    <row r="1590" spans="2:13" ht="15" customHeight="1" x14ac:dyDescent="0.25">
      <c r="B1590" s="35" t="s">
        <v>6156</v>
      </c>
      <c r="C1590" s="23" t="s">
        <v>6157</v>
      </c>
      <c r="D1590" s="23" t="s">
        <v>3303</v>
      </c>
      <c r="E1590" s="23" t="s">
        <v>3317</v>
      </c>
      <c r="F1590" s="23" t="s">
        <v>3729</v>
      </c>
      <c r="G1590" s="93">
        <v>3</v>
      </c>
      <c r="H1590" s="93">
        <v>0</v>
      </c>
      <c r="I1590" s="23"/>
      <c r="J1590" s="23"/>
      <c r="K1590" s="23"/>
      <c r="L1590" s="23" t="s">
        <v>5796</v>
      </c>
      <c r="M1590" s="23"/>
    </row>
    <row r="1591" spans="2:13" ht="15" customHeight="1" x14ac:dyDescent="0.25">
      <c r="B1591" s="35" t="s">
        <v>6158</v>
      </c>
      <c r="C1591" s="23" t="s">
        <v>6159</v>
      </c>
      <c r="D1591" s="23" t="s">
        <v>3303</v>
      </c>
      <c r="E1591" s="23" t="s">
        <v>3317</v>
      </c>
      <c r="F1591" s="23" t="s">
        <v>3729</v>
      </c>
      <c r="G1591" s="93">
        <v>3</v>
      </c>
      <c r="H1591" s="93">
        <v>0</v>
      </c>
      <c r="I1591" s="23"/>
      <c r="J1591" s="23"/>
      <c r="K1591" s="23"/>
      <c r="L1591" s="23" t="s">
        <v>5796</v>
      </c>
      <c r="M1591" s="23"/>
    </row>
    <row r="1592" spans="2:13" ht="15" customHeight="1" x14ac:dyDescent="0.25">
      <c r="B1592" s="35" t="s">
        <v>6160</v>
      </c>
      <c r="C1592" s="23" t="s">
        <v>6161</v>
      </c>
      <c r="D1592" s="23" t="s">
        <v>3303</v>
      </c>
      <c r="E1592" s="23" t="s">
        <v>3317</v>
      </c>
      <c r="F1592" s="23" t="s">
        <v>3729</v>
      </c>
      <c r="G1592" s="93">
        <v>3</v>
      </c>
      <c r="H1592" s="93">
        <v>0</v>
      </c>
      <c r="I1592" s="23"/>
      <c r="J1592" s="23"/>
      <c r="K1592" s="23"/>
      <c r="L1592" s="23" t="s">
        <v>5796</v>
      </c>
      <c r="M1592" s="23"/>
    </row>
    <row r="1593" spans="2:13" ht="15" customHeight="1" x14ac:dyDescent="0.25">
      <c r="B1593" s="35" t="s">
        <v>6162</v>
      </c>
      <c r="C1593" s="23" t="s">
        <v>6163</v>
      </c>
      <c r="D1593" s="23" t="s">
        <v>3303</v>
      </c>
      <c r="E1593" s="23" t="s">
        <v>3317</v>
      </c>
      <c r="F1593" s="23" t="s">
        <v>3729</v>
      </c>
      <c r="G1593" s="93">
        <v>3</v>
      </c>
      <c r="H1593" s="93">
        <v>0</v>
      </c>
      <c r="I1593" s="23"/>
      <c r="J1593" s="23"/>
      <c r="K1593" s="23"/>
      <c r="L1593" s="23" t="s">
        <v>5796</v>
      </c>
      <c r="M1593" s="23"/>
    </row>
    <row r="1594" spans="2:13" ht="15" customHeight="1" x14ac:dyDescent="0.25">
      <c r="B1594" s="35" t="s">
        <v>6164</v>
      </c>
      <c r="C1594" s="23" t="s">
        <v>6165</v>
      </c>
      <c r="D1594" s="23" t="s">
        <v>3303</v>
      </c>
      <c r="E1594" s="23" t="s">
        <v>3317</v>
      </c>
      <c r="F1594" s="23" t="s">
        <v>3729</v>
      </c>
      <c r="G1594" s="93">
        <v>3</v>
      </c>
      <c r="H1594" s="93">
        <v>0</v>
      </c>
      <c r="I1594" s="23"/>
      <c r="J1594" s="23"/>
      <c r="K1594" s="23"/>
      <c r="L1594" s="23" t="s">
        <v>5796</v>
      </c>
      <c r="M1594" s="23"/>
    </row>
    <row r="1595" spans="2:13" ht="15" customHeight="1" x14ac:dyDescent="0.25">
      <c r="B1595" s="35" t="s">
        <v>6166</v>
      </c>
      <c r="C1595" s="23" t="s">
        <v>6167</v>
      </c>
      <c r="D1595" s="23" t="s">
        <v>3303</v>
      </c>
      <c r="E1595" s="23" t="s">
        <v>3317</v>
      </c>
      <c r="F1595" s="23" t="s">
        <v>3729</v>
      </c>
      <c r="G1595" s="93">
        <v>3</v>
      </c>
      <c r="H1595" s="93">
        <v>0</v>
      </c>
      <c r="I1595" s="23"/>
      <c r="J1595" s="23"/>
      <c r="K1595" s="23"/>
      <c r="L1595" s="23" t="s">
        <v>5796</v>
      </c>
      <c r="M1595" s="23"/>
    </row>
    <row r="1596" spans="2:13" ht="15" customHeight="1" x14ac:dyDescent="0.25">
      <c r="B1596" s="35" t="s">
        <v>6168</v>
      </c>
      <c r="C1596" s="23" t="s">
        <v>6169</v>
      </c>
      <c r="D1596" s="23" t="s">
        <v>3303</v>
      </c>
      <c r="E1596" s="23" t="s">
        <v>3317</v>
      </c>
      <c r="F1596" s="23" t="s">
        <v>3729</v>
      </c>
      <c r="G1596" s="93">
        <v>3</v>
      </c>
      <c r="H1596" s="93">
        <v>0</v>
      </c>
      <c r="I1596" s="23"/>
      <c r="J1596" s="23"/>
      <c r="K1596" s="23"/>
      <c r="L1596" s="23" t="s">
        <v>5796</v>
      </c>
      <c r="M1596" s="23"/>
    </row>
    <row r="1597" spans="2:13" ht="15" customHeight="1" x14ac:dyDescent="0.25">
      <c r="B1597" s="35" t="s">
        <v>6170</v>
      </c>
      <c r="C1597" s="23" t="s">
        <v>6171</v>
      </c>
      <c r="D1597" s="23" t="s">
        <v>3303</v>
      </c>
      <c r="E1597" s="23" t="s">
        <v>3317</v>
      </c>
      <c r="F1597" s="23" t="s">
        <v>3729</v>
      </c>
      <c r="G1597" s="93">
        <v>3</v>
      </c>
      <c r="H1597" s="93">
        <v>0</v>
      </c>
      <c r="I1597" s="23"/>
      <c r="J1597" s="23"/>
      <c r="K1597" s="23"/>
      <c r="L1597" s="23" t="s">
        <v>5796</v>
      </c>
      <c r="M1597" s="23"/>
    </row>
    <row r="1598" spans="2:13" ht="15" customHeight="1" x14ac:dyDescent="0.25">
      <c r="B1598" s="35" t="s">
        <v>6172</v>
      </c>
      <c r="C1598" s="23" t="s">
        <v>6173</v>
      </c>
      <c r="D1598" s="23" t="s">
        <v>3303</v>
      </c>
      <c r="E1598" s="23" t="s">
        <v>3317</v>
      </c>
      <c r="F1598" s="23" t="s">
        <v>3729</v>
      </c>
      <c r="G1598" s="93">
        <v>3</v>
      </c>
      <c r="H1598" s="93">
        <v>1</v>
      </c>
      <c r="I1598" s="23"/>
      <c r="J1598" s="23"/>
      <c r="K1598" s="23"/>
      <c r="L1598" s="23" t="s">
        <v>5796</v>
      </c>
      <c r="M1598" s="23"/>
    </row>
    <row r="1599" spans="2:13" ht="15" customHeight="1" x14ac:dyDescent="0.25">
      <c r="B1599" s="35" t="s">
        <v>6174</v>
      </c>
      <c r="C1599" s="23" t="s">
        <v>6175</v>
      </c>
      <c r="D1599" s="23" t="s">
        <v>3303</v>
      </c>
      <c r="E1599" s="23" t="s">
        <v>3317</v>
      </c>
      <c r="F1599" s="23" t="s">
        <v>3729</v>
      </c>
      <c r="G1599" s="93">
        <v>3</v>
      </c>
      <c r="H1599" s="93">
        <v>0</v>
      </c>
      <c r="I1599" s="23"/>
      <c r="J1599" s="23"/>
      <c r="K1599" s="23"/>
      <c r="L1599" s="23" t="s">
        <v>5796</v>
      </c>
      <c r="M1599" s="23"/>
    </row>
    <row r="1600" spans="2:13" ht="15" customHeight="1" x14ac:dyDescent="0.25">
      <c r="B1600" s="35" t="s">
        <v>6176</v>
      </c>
      <c r="C1600" s="23" t="s">
        <v>6177</v>
      </c>
      <c r="D1600" s="23" t="s">
        <v>3303</v>
      </c>
      <c r="E1600" s="23" t="s">
        <v>3317</v>
      </c>
      <c r="F1600" s="23" t="s">
        <v>3729</v>
      </c>
      <c r="G1600" s="93">
        <v>3</v>
      </c>
      <c r="H1600" s="93">
        <v>0</v>
      </c>
      <c r="I1600" s="23"/>
      <c r="J1600" s="23"/>
      <c r="K1600" s="23"/>
      <c r="L1600" s="23" t="s">
        <v>5796</v>
      </c>
      <c r="M1600" s="23"/>
    </row>
    <row r="1601" spans="2:13" ht="15" customHeight="1" x14ac:dyDescent="0.25">
      <c r="B1601" s="35" t="s">
        <v>6178</v>
      </c>
      <c r="C1601" s="23" t="s">
        <v>6179</v>
      </c>
      <c r="D1601" s="23" t="s">
        <v>3303</v>
      </c>
      <c r="E1601" s="23" t="s">
        <v>3317</v>
      </c>
      <c r="F1601" s="23" t="s">
        <v>3729</v>
      </c>
      <c r="G1601" s="93">
        <v>3</v>
      </c>
      <c r="H1601" s="93">
        <v>0</v>
      </c>
      <c r="I1601" s="23"/>
      <c r="J1601" s="23"/>
      <c r="K1601" s="23"/>
      <c r="L1601" s="23" t="s">
        <v>5796</v>
      </c>
      <c r="M1601" s="23"/>
    </row>
    <row r="1602" spans="2:13" ht="15" customHeight="1" x14ac:dyDescent="0.25">
      <c r="B1602" s="35" t="s">
        <v>6180</v>
      </c>
      <c r="C1602" s="23" t="s">
        <v>6181</v>
      </c>
      <c r="D1602" s="23" t="s">
        <v>3303</v>
      </c>
      <c r="E1602" s="23" t="s">
        <v>3317</v>
      </c>
      <c r="F1602" s="23" t="s">
        <v>3729</v>
      </c>
      <c r="G1602" s="93">
        <v>3</v>
      </c>
      <c r="H1602" s="93">
        <v>0</v>
      </c>
      <c r="I1602" s="23"/>
      <c r="J1602" s="23"/>
      <c r="K1602" s="23"/>
      <c r="L1602" s="23" t="s">
        <v>5796</v>
      </c>
      <c r="M1602" s="23"/>
    </row>
    <row r="1603" spans="2:13" ht="15" customHeight="1" x14ac:dyDescent="0.25">
      <c r="B1603" s="35" t="s">
        <v>6182</v>
      </c>
      <c r="C1603" s="23" t="s">
        <v>6183</v>
      </c>
      <c r="D1603" s="23" t="s">
        <v>3303</v>
      </c>
      <c r="E1603" s="23" t="s">
        <v>3317</v>
      </c>
      <c r="F1603" s="23" t="s">
        <v>3729</v>
      </c>
      <c r="G1603" s="93">
        <v>3</v>
      </c>
      <c r="H1603" s="93">
        <v>0</v>
      </c>
      <c r="I1603" s="23"/>
      <c r="J1603" s="23"/>
      <c r="K1603" s="23"/>
      <c r="L1603" s="23" t="s">
        <v>5796</v>
      </c>
      <c r="M1603" s="23"/>
    </row>
    <row r="1604" spans="2:13" ht="15" customHeight="1" x14ac:dyDescent="0.25">
      <c r="B1604" s="35" t="s">
        <v>6184</v>
      </c>
      <c r="C1604" s="23" t="s">
        <v>6185</v>
      </c>
      <c r="D1604" s="23" t="s">
        <v>3303</v>
      </c>
      <c r="E1604" s="23" t="s">
        <v>3317</v>
      </c>
      <c r="F1604" s="23" t="s">
        <v>3729</v>
      </c>
      <c r="G1604" s="93">
        <v>3</v>
      </c>
      <c r="H1604" s="93">
        <v>0</v>
      </c>
      <c r="I1604" s="23"/>
      <c r="J1604" s="23"/>
      <c r="K1604" s="23"/>
      <c r="L1604" s="23" t="s">
        <v>5796</v>
      </c>
      <c r="M1604" s="23"/>
    </row>
    <row r="1605" spans="2:13" ht="15" customHeight="1" x14ac:dyDescent="0.25">
      <c r="B1605" s="35" t="s">
        <v>6186</v>
      </c>
      <c r="C1605" s="23" t="s">
        <v>6187</v>
      </c>
      <c r="D1605" s="23" t="s">
        <v>3303</v>
      </c>
      <c r="E1605" s="23" t="s">
        <v>3317</v>
      </c>
      <c r="F1605" s="23" t="s">
        <v>3729</v>
      </c>
      <c r="G1605" s="93">
        <v>3</v>
      </c>
      <c r="H1605" s="93">
        <v>0</v>
      </c>
      <c r="I1605" s="23"/>
      <c r="J1605" s="23"/>
      <c r="K1605" s="23"/>
      <c r="L1605" s="23" t="s">
        <v>5796</v>
      </c>
      <c r="M1605" s="23"/>
    </row>
    <row r="1606" spans="2:13" ht="15" customHeight="1" x14ac:dyDescent="0.25">
      <c r="B1606" s="35" t="s">
        <v>6188</v>
      </c>
      <c r="C1606" s="23" t="s">
        <v>6189</v>
      </c>
      <c r="D1606" s="23" t="s">
        <v>3303</v>
      </c>
      <c r="E1606" s="23" t="s">
        <v>3317</v>
      </c>
      <c r="F1606" s="23" t="s">
        <v>3729</v>
      </c>
      <c r="G1606" s="93">
        <v>3</v>
      </c>
      <c r="H1606" s="93">
        <v>0</v>
      </c>
      <c r="I1606" s="23"/>
      <c r="J1606" s="23"/>
      <c r="K1606" s="23"/>
      <c r="L1606" s="23" t="s">
        <v>5796</v>
      </c>
      <c r="M1606" s="23"/>
    </row>
    <row r="1607" spans="2:13" ht="15" customHeight="1" x14ac:dyDescent="0.25">
      <c r="B1607" s="35" t="s">
        <v>332</v>
      </c>
      <c r="C1607" s="23" t="s">
        <v>6190</v>
      </c>
      <c r="D1607" s="23" t="s">
        <v>3303</v>
      </c>
      <c r="E1607" s="23" t="s">
        <v>3317</v>
      </c>
      <c r="F1607" s="23" t="s">
        <v>3729</v>
      </c>
      <c r="G1607" s="93">
        <v>3</v>
      </c>
      <c r="H1607" s="93">
        <v>1</v>
      </c>
      <c r="I1607" s="23"/>
      <c r="J1607" s="23"/>
      <c r="K1607" s="23"/>
      <c r="L1607" s="23" t="s">
        <v>5796</v>
      </c>
      <c r="M1607" s="23" t="s">
        <v>4716</v>
      </c>
    </row>
    <row r="1608" spans="2:13" ht="15" customHeight="1" x14ac:dyDescent="0.25">
      <c r="B1608" s="35" t="s">
        <v>6191</v>
      </c>
      <c r="C1608" s="23" t="s">
        <v>6192</v>
      </c>
      <c r="D1608" s="23" t="s">
        <v>3303</v>
      </c>
      <c r="E1608" s="23" t="s">
        <v>3317</v>
      </c>
      <c r="F1608" s="23" t="s">
        <v>3729</v>
      </c>
      <c r="G1608" s="93">
        <v>3</v>
      </c>
      <c r="H1608" s="93">
        <v>0</v>
      </c>
      <c r="I1608" s="23"/>
      <c r="J1608" s="23"/>
      <c r="K1608" s="23"/>
      <c r="L1608" s="23" t="s">
        <v>5796</v>
      </c>
      <c r="M1608" s="23"/>
    </row>
    <row r="1609" spans="2:13" ht="15" customHeight="1" x14ac:dyDescent="0.25">
      <c r="B1609" s="35" t="s">
        <v>6193</v>
      </c>
      <c r="C1609" s="23" t="s">
        <v>6194</v>
      </c>
      <c r="D1609" s="23" t="s">
        <v>3303</v>
      </c>
      <c r="E1609" s="23" t="s">
        <v>3317</v>
      </c>
      <c r="F1609" s="23" t="s">
        <v>3729</v>
      </c>
      <c r="G1609" s="93">
        <v>3</v>
      </c>
      <c r="H1609" s="93">
        <v>0</v>
      </c>
      <c r="I1609" s="23"/>
      <c r="J1609" s="23"/>
      <c r="K1609" s="23"/>
      <c r="L1609" s="23" t="s">
        <v>5796</v>
      </c>
      <c r="M1609" s="23"/>
    </row>
    <row r="1610" spans="2:13" ht="15" customHeight="1" x14ac:dyDescent="0.25">
      <c r="B1610" s="35" t="s">
        <v>6195</v>
      </c>
      <c r="C1610" s="23" t="s">
        <v>6196</v>
      </c>
      <c r="D1610" s="23" t="s">
        <v>3303</v>
      </c>
      <c r="E1610" s="23" t="s">
        <v>3317</v>
      </c>
      <c r="F1610" s="23" t="s">
        <v>3729</v>
      </c>
      <c r="G1610" s="93">
        <v>3</v>
      </c>
      <c r="H1610" s="93">
        <v>0</v>
      </c>
      <c r="I1610" s="23"/>
      <c r="J1610" s="23"/>
      <c r="K1610" s="23"/>
      <c r="L1610" s="23" t="s">
        <v>5796</v>
      </c>
      <c r="M1610" s="23"/>
    </row>
    <row r="1611" spans="2:13" ht="15" customHeight="1" x14ac:dyDescent="0.25">
      <c r="B1611" s="35" t="s">
        <v>6197</v>
      </c>
      <c r="C1611" s="23" t="s">
        <v>6198</v>
      </c>
      <c r="D1611" s="23" t="s">
        <v>3303</v>
      </c>
      <c r="E1611" s="23" t="s">
        <v>3317</v>
      </c>
      <c r="F1611" s="23" t="s">
        <v>3729</v>
      </c>
      <c r="G1611" s="93">
        <v>3</v>
      </c>
      <c r="H1611" s="93">
        <v>0</v>
      </c>
      <c r="I1611" s="23"/>
      <c r="J1611" s="23"/>
      <c r="K1611" s="23"/>
      <c r="L1611" s="23" t="s">
        <v>5796</v>
      </c>
      <c r="M1611" s="23"/>
    </row>
    <row r="1612" spans="2:13" ht="15" customHeight="1" x14ac:dyDescent="0.25">
      <c r="B1612" s="35" t="s">
        <v>6199</v>
      </c>
      <c r="C1612" s="23" t="s">
        <v>6200</v>
      </c>
      <c r="D1612" s="23" t="s">
        <v>3303</v>
      </c>
      <c r="E1612" s="23" t="s">
        <v>3317</v>
      </c>
      <c r="F1612" s="23" t="s">
        <v>3729</v>
      </c>
      <c r="G1612" s="93">
        <v>3</v>
      </c>
      <c r="H1612" s="93">
        <v>0</v>
      </c>
      <c r="I1612" s="23"/>
      <c r="J1612" s="23"/>
      <c r="K1612" s="23"/>
      <c r="L1612" s="23" t="s">
        <v>5796</v>
      </c>
      <c r="M1612" s="23"/>
    </row>
    <row r="1613" spans="2:13" ht="15" customHeight="1" x14ac:dyDescent="0.25">
      <c r="B1613" s="35" t="s">
        <v>6201</v>
      </c>
      <c r="C1613" s="23" t="s">
        <v>6202</v>
      </c>
      <c r="D1613" s="23" t="s">
        <v>3303</v>
      </c>
      <c r="E1613" s="23" t="s">
        <v>3317</v>
      </c>
      <c r="F1613" s="23" t="s">
        <v>3729</v>
      </c>
      <c r="G1613" s="93">
        <v>3</v>
      </c>
      <c r="H1613" s="93">
        <v>0</v>
      </c>
      <c r="I1613" s="23"/>
      <c r="J1613" s="23"/>
      <c r="K1613" s="23"/>
      <c r="L1613" s="23" t="s">
        <v>5796</v>
      </c>
      <c r="M1613" s="23"/>
    </row>
    <row r="1614" spans="2:13" ht="15" customHeight="1" x14ac:dyDescent="0.25">
      <c r="B1614" s="35" t="s">
        <v>6203</v>
      </c>
      <c r="C1614" s="23" t="s">
        <v>6204</v>
      </c>
      <c r="D1614" s="23" t="s">
        <v>3303</v>
      </c>
      <c r="E1614" s="23" t="s">
        <v>3317</v>
      </c>
      <c r="F1614" s="23" t="s">
        <v>3729</v>
      </c>
      <c r="G1614" s="93">
        <v>3</v>
      </c>
      <c r="H1614" s="93">
        <v>0</v>
      </c>
      <c r="I1614" s="23"/>
      <c r="J1614" s="23"/>
      <c r="K1614" s="23"/>
      <c r="L1614" s="23" t="s">
        <v>5796</v>
      </c>
      <c r="M1614" s="23"/>
    </row>
    <row r="1615" spans="2:13" ht="15" customHeight="1" x14ac:dyDescent="0.25">
      <c r="B1615" s="35" t="s">
        <v>6205</v>
      </c>
      <c r="C1615" s="23" t="s">
        <v>6206</v>
      </c>
      <c r="D1615" s="23" t="s">
        <v>3303</v>
      </c>
      <c r="E1615" s="23" t="s">
        <v>3317</v>
      </c>
      <c r="F1615" s="23" t="s">
        <v>3729</v>
      </c>
      <c r="G1615" s="93">
        <v>3</v>
      </c>
      <c r="H1615" s="93">
        <v>0</v>
      </c>
      <c r="I1615" s="23"/>
      <c r="J1615" s="23"/>
      <c r="K1615" s="23"/>
      <c r="L1615" s="23" t="s">
        <v>5796</v>
      </c>
      <c r="M1615" s="23"/>
    </row>
    <row r="1616" spans="2:13" ht="15" customHeight="1" x14ac:dyDescent="0.25">
      <c r="B1616" s="35" t="s">
        <v>6207</v>
      </c>
      <c r="C1616" s="23" t="s">
        <v>6208</v>
      </c>
      <c r="D1616" s="23" t="s">
        <v>3303</v>
      </c>
      <c r="E1616" s="23" t="s">
        <v>3317</v>
      </c>
      <c r="F1616" s="23" t="s">
        <v>3729</v>
      </c>
      <c r="G1616" s="93">
        <v>3</v>
      </c>
      <c r="H1616" s="93">
        <v>0</v>
      </c>
      <c r="I1616" s="23"/>
      <c r="J1616" s="23"/>
      <c r="K1616" s="23"/>
      <c r="L1616" s="23" t="s">
        <v>5796</v>
      </c>
      <c r="M1616" s="23"/>
    </row>
    <row r="1617" spans="2:13" ht="15" customHeight="1" x14ac:dyDescent="0.25">
      <c r="B1617" s="35" t="s">
        <v>6209</v>
      </c>
      <c r="C1617" s="23" t="s">
        <v>6210</v>
      </c>
      <c r="D1617" s="23" t="s">
        <v>3303</v>
      </c>
      <c r="E1617" s="23" t="s">
        <v>3317</v>
      </c>
      <c r="F1617" s="23" t="s">
        <v>3729</v>
      </c>
      <c r="G1617" s="93">
        <v>3</v>
      </c>
      <c r="H1617" s="93">
        <v>0</v>
      </c>
      <c r="I1617" s="23"/>
      <c r="J1617" s="23"/>
      <c r="K1617" s="23"/>
      <c r="L1617" s="23" t="s">
        <v>5796</v>
      </c>
      <c r="M1617" s="23"/>
    </row>
    <row r="1618" spans="2:13" ht="15" customHeight="1" x14ac:dyDescent="0.25">
      <c r="B1618" s="35" t="s">
        <v>6211</v>
      </c>
      <c r="C1618" s="23" t="s">
        <v>6212</v>
      </c>
      <c r="D1618" s="23" t="s">
        <v>3303</v>
      </c>
      <c r="E1618" s="23" t="s">
        <v>3317</v>
      </c>
      <c r="F1618" s="23" t="s">
        <v>3729</v>
      </c>
      <c r="G1618" s="93">
        <v>3</v>
      </c>
      <c r="H1618" s="93">
        <v>0</v>
      </c>
      <c r="I1618" s="23"/>
      <c r="J1618" s="23"/>
      <c r="K1618" s="23"/>
      <c r="L1618" s="23" t="s">
        <v>5796</v>
      </c>
      <c r="M1618" s="23"/>
    </row>
    <row r="1619" spans="2:13" ht="15" customHeight="1" x14ac:dyDescent="0.25">
      <c r="B1619" s="35" t="s">
        <v>6213</v>
      </c>
      <c r="C1619" s="23" t="s">
        <v>6214</v>
      </c>
      <c r="D1619" s="23" t="s">
        <v>3303</v>
      </c>
      <c r="E1619" s="23" t="s">
        <v>3317</v>
      </c>
      <c r="F1619" s="23" t="s">
        <v>3729</v>
      </c>
      <c r="G1619" s="93">
        <v>3</v>
      </c>
      <c r="H1619" s="93">
        <v>0</v>
      </c>
      <c r="I1619" s="23"/>
      <c r="J1619" s="23"/>
      <c r="K1619" s="23"/>
      <c r="L1619" s="23" t="s">
        <v>5796</v>
      </c>
      <c r="M1619" s="23"/>
    </row>
    <row r="1620" spans="2:13" ht="15" customHeight="1" x14ac:dyDescent="0.25">
      <c r="B1620" s="35" t="s">
        <v>6215</v>
      </c>
      <c r="C1620" s="23" t="s">
        <v>6216</v>
      </c>
      <c r="D1620" s="23" t="s">
        <v>3303</v>
      </c>
      <c r="E1620" s="23" t="s">
        <v>3317</v>
      </c>
      <c r="F1620" s="23" t="s">
        <v>3729</v>
      </c>
      <c r="G1620" s="93">
        <v>3</v>
      </c>
      <c r="H1620" s="93">
        <v>0</v>
      </c>
      <c r="I1620" s="23"/>
      <c r="J1620" s="23"/>
      <c r="K1620" s="23"/>
      <c r="L1620" s="23" t="s">
        <v>5796</v>
      </c>
      <c r="M1620" s="23"/>
    </row>
    <row r="1621" spans="2:13" ht="15" customHeight="1" x14ac:dyDescent="0.25">
      <c r="B1621" s="35" t="s">
        <v>6217</v>
      </c>
      <c r="C1621" s="23" t="s">
        <v>6218</v>
      </c>
      <c r="D1621" s="23" t="s">
        <v>3303</v>
      </c>
      <c r="E1621" s="23" t="s">
        <v>3317</v>
      </c>
      <c r="F1621" s="23" t="s">
        <v>3729</v>
      </c>
      <c r="G1621" s="93">
        <v>3</v>
      </c>
      <c r="H1621" s="93">
        <v>0</v>
      </c>
      <c r="I1621" s="23"/>
      <c r="J1621" s="23"/>
      <c r="K1621" s="23"/>
      <c r="L1621" s="23" t="s">
        <v>5796</v>
      </c>
      <c r="M1621" s="23"/>
    </row>
    <row r="1622" spans="2:13" ht="15" customHeight="1" x14ac:dyDescent="0.25">
      <c r="B1622" s="35" t="s">
        <v>6219</v>
      </c>
      <c r="C1622" s="23" t="s">
        <v>6220</v>
      </c>
      <c r="D1622" s="23" t="s">
        <v>3303</v>
      </c>
      <c r="E1622" s="23" t="s">
        <v>3317</v>
      </c>
      <c r="F1622" s="23" t="s">
        <v>3729</v>
      </c>
      <c r="G1622" s="93">
        <v>3</v>
      </c>
      <c r="H1622" s="93">
        <v>0</v>
      </c>
      <c r="I1622" s="23"/>
      <c r="J1622" s="23"/>
      <c r="K1622" s="23"/>
      <c r="L1622" s="23" t="s">
        <v>5796</v>
      </c>
      <c r="M1622" s="23"/>
    </row>
    <row r="1623" spans="2:13" ht="15" customHeight="1" x14ac:dyDescent="0.25">
      <c r="B1623" s="35" t="s">
        <v>6221</v>
      </c>
      <c r="C1623" s="23" t="s">
        <v>6222</v>
      </c>
      <c r="D1623" s="23" t="s">
        <v>3303</v>
      </c>
      <c r="E1623" s="23" t="s">
        <v>3317</v>
      </c>
      <c r="F1623" s="23" t="s">
        <v>3729</v>
      </c>
      <c r="G1623" s="93">
        <v>3</v>
      </c>
      <c r="H1623" s="93">
        <v>1</v>
      </c>
      <c r="I1623" s="23"/>
      <c r="J1623" s="23"/>
      <c r="K1623" s="23"/>
      <c r="L1623" s="23" t="s">
        <v>5796</v>
      </c>
      <c r="M1623" s="23" t="s">
        <v>4716</v>
      </c>
    </row>
    <row r="1624" spans="2:13" ht="15" customHeight="1" x14ac:dyDescent="0.25">
      <c r="B1624" s="35" t="s">
        <v>6223</v>
      </c>
      <c r="C1624" s="23" t="s">
        <v>6224</v>
      </c>
      <c r="D1624" s="23" t="s">
        <v>3303</v>
      </c>
      <c r="E1624" s="23" t="s">
        <v>3317</v>
      </c>
      <c r="F1624" s="23" t="s">
        <v>3729</v>
      </c>
      <c r="G1624" s="93">
        <v>3</v>
      </c>
      <c r="H1624" s="93">
        <v>0</v>
      </c>
      <c r="I1624" s="23"/>
      <c r="J1624" s="23"/>
      <c r="K1624" s="23"/>
      <c r="L1624" s="23" t="s">
        <v>5796</v>
      </c>
      <c r="M1624" s="23"/>
    </row>
    <row r="1625" spans="2:13" ht="15" customHeight="1" x14ac:dyDescent="0.25">
      <c r="B1625" s="35" t="s">
        <v>6225</v>
      </c>
      <c r="C1625" s="23" t="s">
        <v>6226</v>
      </c>
      <c r="D1625" s="23" t="s">
        <v>3303</v>
      </c>
      <c r="E1625" s="23" t="s">
        <v>3317</v>
      </c>
      <c r="F1625" s="23" t="s">
        <v>3729</v>
      </c>
      <c r="G1625" s="93">
        <v>3</v>
      </c>
      <c r="H1625" s="93">
        <v>0</v>
      </c>
      <c r="I1625" s="23"/>
      <c r="J1625" s="23"/>
      <c r="K1625" s="23"/>
      <c r="L1625" s="23" t="s">
        <v>5796</v>
      </c>
      <c r="M1625" s="23"/>
    </row>
    <row r="1626" spans="2:13" ht="15" customHeight="1" x14ac:dyDescent="0.25">
      <c r="B1626" s="35" t="s">
        <v>6227</v>
      </c>
      <c r="C1626" s="23" t="s">
        <v>6228</v>
      </c>
      <c r="D1626" s="23" t="s">
        <v>3303</v>
      </c>
      <c r="E1626" s="23" t="s">
        <v>3317</v>
      </c>
      <c r="F1626" s="23" t="s">
        <v>3729</v>
      </c>
      <c r="G1626" s="93">
        <v>3</v>
      </c>
      <c r="H1626" s="93">
        <v>0</v>
      </c>
      <c r="I1626" s="23"/>
      <c r="J1626" s="23"/>
      <c r="K1626" s="23"/>
      <c r="L1626" s="23" t="s">
        <v>5796</v>
      </c>
      <c r="M1626" s="23"/>
    </row>
    <row r="1627" spans="2:13" ht="15" customHeight="1" x14ac:dyDescent="0.25">
      <c r="B1627" s="35" t="s">
        <v>6229</v>
      </c>
      <c r="C1627" s="23" t="s">
        <v>6230</v>
      </c>
      <c r="D1627" s="23" t="s">
        <v>3303</v>
      </c>
      <c r="E1627" s="23" t="s">
        <v>3317</v>
      </c>
      <c r="F1627" s="23" t="s">
        <v>3729</v>
      </c>
      <c r="G1627" s="93">
        <v>3</v>
      </c>
      <c r="H1627" s="93">
        <v>0</v>
      </c>
      <c r="I1627" s="23"/>
      <c r="J1627" s="23"/>
      <c r="K1627" s="23"/>
      <c r="L1627" s="23" t="s">
        <v>5796</v>
      </c>
      <c r="M1627" s="23"/>
    </row>
    <row r="1628" spans="2:13" ht="15" customHeight="1" x14ac:dyDescent="0.25">
      <c r="B1628" s="35" t="s">
        <v>6231</v>
      </c>
      <c r="C1628" s="23" t="s">
        <v>6232</v>
      </c>
      <c r="D1628" s="23" t="s">
        <v>3303</v>
      </c>
      <c r="E1628" s="23" t="s">
        <v>3317</v>
      </c>
      <c r="F1628" s="23" t="s">
        <v>3729</v>
      </c>
      <c r="G1628" s="93">
        <v>3</v>
      </c>
      <c r="H1628" s="93">
        <v>1</v>
      </c>
      <c r="I1628" s="23"/>
      <c r="J1628" s="23"/>
      <c r="K1628" s="23"/>
      <c r="L1628" s="23" t="s">
        <v>5796</v>
      </c>
      <c r="M1628" s="23" t="s">
        <v>4716</v>
      </c>
    </row>
    <row r="1629" spans="2:13" ht="15" customHeight="1" x14ac:dyDescent="0.25">
      <c r="B1629" s="35" t="s">
        <v>6233</v>
      </c>
      <c r="C1629" s="23" t="s">
        <v>388</v>
      </c>
      <c r="D1629" s="23" t="s">
        <v>3303</v>
      </c>
      <c r="E1629" s="23" t="s">
        <v>3317</v>
      </c>
      <c r="F1629" s="23" t="s">
        <v>3729</v>
      </c>
      <c r="G1629" s="93">
        <v>3</v>
      </c>
      <c r="H1629" s="93">
        <v>0</v>
      </c>
      <c r="I1629" s="23"/>
      <c r="J1629" s="23"/>
      <c r="K1629" s="23"/>
      <c r="L1629" s="23" t="s">
        <v>5796</v>
      </c>
      <c r="M1629" s="23"/>
    </row>
    <row r="1630" spans="2:13" ht="15" customHeight="1" x14ac:dyDescent="0.25">
      <c r="B1630" s="35" t="s">
        <v>6234</v>
      </c>
      <c r="C1630" s="23" t="s">
        <v>6235</v>
      </c>
      <c r="D1630" s="23" t="s">
        <v>3303</v>
      </c>
      <c r="E1630" s="23" t="s">
        <v>3317</v>
      </c>
      <c r="F1630" s="23" t="s">
        <v>3729</v>
      </c>
      <c r="G1630" s="93">
        <v>3</v>
      </c>
      <c r="H1630" s="93">
        <v>0</v>
      </c>
      <c r="I1630" s="23"/>
      <c r="J1630" s="23"/>
      <c r="K1630" s="23"/>
      <c r="L1630" s="23" t="s">
        <v>5796</v>
      </c>
      <c r="M1630" s="23"/>
    </row>
    <row r="1631" spans="2:13" ht="15" customHeight="1" x14ac:dyDescent="0.25">
      <c r="B1631" s="35" t="s">
        <v>6236</v>
      </c>
      <c r="C1631" s="23" t="s">
        <v>6237</v>
      </c>
      <c r="D1631" s="23" t="s">
        <v>3303</v>
      </c>
      <c r="E1631" s="23" t="s">
        <v>3317</v>
      </c>
      <c r="F1631" s="23" t="s">
        <v>3729</v>
      </c>
      <c r="G1631" s="93">
        <v>3</v>
      </c>
      <c r="H1631" s="93">
        <v>0</v>
      </c>
      <c r="I1631" s="23"/>
      <c r="J1631" s="23"/>
      <c r="K1631" s="23"/>
      <c r="L1631" s="23" t="s">
        <v>5796</v>
      </c>
      <c r="M1631" s="23"/>
    </row>
    <row r="1632" spans="2:13" ht="15" customHeight="1" x14ac:dyDescent="0.25">
      <c r="B1632" s="35" t="s">
        <v>6238</v>
      </c>
      <c r="C1632" s="23" t="s">
        <v>6239</v>
      </c>
      <c r="D1632" s="23" t="s">
        <v>3303</v>
      </c>
      <c r="E1632" s="23" t="s">
        <v>3317</v>
      </c>
      <c r="F1632" s="23" t="s">
        <v>3729</v>
      </c>
      <c r="G1632" s="93">
        <v>3</v>
      </c>
      <c r="H1632" s="93">
        <v>1</v>
      </c>
      <c r="I1632" s="23"/>
      <c r="J1632" s="23"/>
      <c r="K1632" s="23"/>
      <c r="L1632" s="23" t="s">
        <v>5796</v>
      </c>
      <c r="M1632" s="23"/>
    </row>
    <row r="1633" spans="2:13" ht="15" customHeight="1" x14ac:dyDescent="0.25">
      <c r="B1633" s="35" t="s">
        <v>6240</v>
      </c>
      <c r="C1633" s="23" t="s">
        <v>6241</v>
      </c>
      <c r="D1633" s="23" t="s">
        <v>3303</v>
      </c>
      <c r="E1633" s="23" t="s">
        <v>3317</v>
      </c>
      <c r="F1633" s="23" t="s">
        <v>3729</v>
      </c>
      <c r="G1633" s="93">
        <v>3</v>
      </c>
      <c r="H1633" s="93">
        <v>1</v>
      </c>
      <c r="I1633" s="23"/>
      <c r="J1633" s="23"/>
      <c r="K1633" s="23"/>
      <c r="L1633" s="23" t="s">
        <v>5796</v>
      </c>
      <c r="M1633" s="23"/>
    </row>
    <row r="1634" spans="2:13" ht="15" customHeight="1" x14ac:dyDescent="0.25">
      <c r="B1634" s="35" t="s">
        <v>6242</v>
      </c>
      <c r="C1634" s="23" t="s">
        <v>6243</v>
      </c>
      <c r="D1634" s="23" t="s">
        <v>3303</v>
      </c>
      <c r="E1634" s="23" t="s">
        <v>3317</v>
      </c>
      <c r="F1634" s="23" t="s">
        <v>3729</v>
      </c>
      <c r="G1634" s="93">
        <v>3</v>
      </c>
      <c r="H1634" s="93">
        <v>1</v>
      </c>
      <c r="I1634" s="23"/>
      <c r="J1634" s="23"/>
      <c r="K1634" s="23"/>
      <c r="L1634" s="23" t="s">
        <v>5796</v>
      </c>
      <c r="M1634" s="23" t="s">
        <v>4716</v>
      </c>
    </row>
    <row r="1635" spans="2:13" ht="15" customHeight="1" x14ac:dyDescent="0.25">
      <c r="B1635" s="35" t="s">
        <v>6244</v>
      </c>
      <c r="C1635" s="23" t="s">
        <v>6245</v>
      </c>
      <c r="D1635" s="23" t="s">
        <v>3303</v>
      </c>
      <c r="E1635" s="23" t="s">
        <v>3317</v>
      </c>
      <c r="F1635" s="23" t="s">
        <v>3729</v>
      </c>
      <c r="G1635" s="93">
        <v>3</v>
      </c>
      <c r="H1635" s="93">
        <v>0</v>
      </c>
      <c r="I1635" s="23"/>
      <c r="J1635" s="23"/>
      <c r="K1635" s="23"/>
      <c r="L1635" s="23" t="s">
        <v>5796</v>
      </c>
      <c r="M1635" s="23"/>
    </row>
    <row r="1636" spans="2:13" ht="15" customHeight="1" x14ac:dyDescent="0.25">
      <c r="B1636" s="35" t="s">
        <v>6246</v>
      </c>
      <c r="C1636" s="23" t="s">
        <v>6247</v>
      </c>
      <c r="D1636" s="23" t="s">
        <v>3303</v>
      </c>
      <c r="E1636" s="23" t="s">
        <v>3317</v>
      </c>
      <c r="F1636" s="23" t="s">
        <v>3729</v>
      </c>
      <c r="G1636" s="93">
        <v>3</v>
      </c>
      <c r="H1636" s="93">
        <v>0</v>
      </c>
      <c r="I1636" s="23"/>
      <c r="J1636" s="23"/>
      <c r="K1636" s="23"/>
      <c r="L1636" s="23" t="s">
        <v>5796</v>
      </c>
      <c r="M1636" s="23"/>
    </row>
    <row r="1637" spans="2:13" ht="15" customHeight="1" x14ac:dyDescent="0.25">
      <c r="B1637" s="35" t="s">
        <v>6248</v>
      </c>
      <c r="C1637" s="23" t="s">
        <v>6249</v>
      </c>
      <c r="D1637" s="23" t="s">
        <v>3303</v>
      </c>
      <c r="E1637" s="23" t="s">
        <v>3317</v>
      </c>
      <c r="F1637" s="23" t="s">
        <v>3729</v>
      </c>
      <c r="G1637" s="93">
        <v>3</v>
      </c>
      <c r="H1637" s="93">
        <v>0</v>
      </c>
      <c r="I1637" s="23"/>
      <c r="J1637" s="23"/>
      <c r="K1637" s="23"/>
      <c r="L1637" s="23" t="s">
        <v>5796</v>
      </c>
      <c r="M1637" s="23"/>
    </row>
    <row r="1638" spans="2:13" ht="15" customHeight="1" x14ac:dyDescent="0.25">
      <c r="B1638" s="35" t="s">
        <v>6250</v>
      </c>
      <c r="C1638" s="23" t="s">
        <v>6251</v>
      </c>
      <c r="D1638" s="23" t="s">
        <v>3303</v>
      </c>
      <c r="E1638" s="23" t="s">
        <v>3317</v>
      </c>
      <c r="F1638" s="23" t="s">
        <v>3729</v>
      </c>
      <c r="G1638" s="93">
        <v>3</v>
      </c>
      <c r="H1638" s="93">
        <v>0</v>
      </c>
      <c r="I1638" s="23"/>
      <c r="J1638" s="23"/>
      <c r="K1638" s="23"/>
      <c r="L1638" s="23" t="s">
        <v>5796</v>
      </c>
      <c r="M1638" s="23"/>
    </row>
    <row r="1639" spans="2:13" ht="15" customHeight="1" x14ac:dyDescent="0.25">
      <c r="B1639" s="35" t="s">
        <v>6252</v>
      </c>
      <c r="C1639" s="23" t="s">
        <v>6253</v>
      </c>
      <c r="D1639" s="23" t="s">
        <v>3303</v>
      </c>
      <c r="E1639" s="23" t="s">
        <v>3317</v>
      </c>
      <c r="F1639" s="23" t="s">
        <v>3729</v>
      </c>
      <c r="G1639" s="93">
        <v>3</v>
      </c>
      <c r="H1639" s="93">
        <v>0</v>
      </c>
      <c r="I1639" s="23"/>
      <c r="J1639" s="23"/>
      <c r="K1639" s="23"/>
      <c r="L1639" s="23" t="s">
        <v>5796</v>
      </c>
      <c r="M1639" s="23"/>
    </row>
    <row r="1640" spans="2:13" ht="15" customHeight="1" x14ac:dyDescent="0.25">
      <c r="B1640" s="35" t="s">
        <v>6254</v>
      </c>
      <c r="C1640" s="23" t="s">
        <v>6255</v>
      </c>
      <c r="D1640" s="23" t="s">
        <v>3303</v>
      </c>
      <c r="E1640" s="23" t="s">
        <v>3317</v>
      </c>
      <c r="F1640" s="23" t="s">
        <v>3729</v>
      </c>
      <c r="G1640" s="93">
        <v>3</v>
      </c>
      <c r="H1640" s="93">
        <v>1</v>
      </c>
      <c r="I1640" s="23"/>
      <c r="J1640" s="23"/>
      <c r="K1640" s="23"/>
      <c r="L1640" s="23" t="s">
        <v>5796</v>
      </c>
      <c r="M1640" s="23"/>
    </row>
    <row r="1641" spans="2:13" ht="15" customHeight="1" x14ac:dyDescent="0.25">
      <c r="B1641" s="35" t="s">
        <v>6256</v>
      </c>
      <c r="C1641" s="23" t="s">
        <v>6257</v>
      </c>
      <c r="D1641" s="23" t="s">
        <v>3303</v>
      </c>
      <c r="E1641" s="23" t="s">
        <v>3317</v>
      </c>
      <c r="F1641" s="23" t="s">
        <v>3729</v>
      </c>
      <c r="G1641" s="93">
        <v>3</v>
      </c>
      <c r="H1641" s="93">
        <v>0</v>
      </c>
      <c r="I1641" s="23"/>
      <c r="J1641" s="23"/>
      <c r="K1641" s="23"/>
      <c r="L1641" s="23" t="s">
        <v>5796</v>
      </c>
      <c r="M1641" s="23"/>
    </row>
    <row r="1642" spans="2:13" ht="15" customHeight="1" x14ac:dyDescent="0.25">
      <c r="B1642" s="35" t="s">
        <v>6258</v>
      </c>
      <c r="C1642" s="23" t="s">
        <v>6259</v>
      </c>
      <c r="D1642" s="23" t="s">
        <v>3303</v>
      </c>
      <c r="E1642" s="23" t="s">
        <v>3317</v>
      </c>
      <c r="F1642" s="23" t="s">
        <v>3729</v>
      </c>
      <c r="G1642" s="93">
        <v>3</v>
      </c>
      <c r="H1642" s="93">
        <v>0</v>
      </c>
      <c r="I1642" s="23"/>
      <c r="J1642" s="23"/>
      <c r="K1642" s="23"/>
      <c r="L1642" s="23" t="s">
        <v>5796</v>
      </c>
      <c r="M1642" s="23"/>
    </row>
    <row r="1643" spans="2:13" ht="15" customHeight="1" x14ac:dyDescent="0.25">
      <c r="B1643" s="35" t="s">
        <v>6260</v>
      </c>
      <c r="C1643" s="23" t="s">
        <v>6261</v>
      </c>
      <c r="D1643" s="23" t="s">
        <v>3303</v>
      </c>
      <c r="E1643" s="23" t="s">
        <v>3317</v>
      </c>
      <c r="F1643" s="23" t="s">
        <v>3729</v>
      </c>
      <c r="G1643" s="93">
        <v>3</v>
      </c>
      <c r="H1643" s="93">
        <v>0</v>
      </c>
      <c r="I1643" s="23"/>
      <c r="J1643" s="23"/>
      <c r="K1643" s="23"/>
      <c r="L1643" s="23" t="s">
        <v>5796</v>
      </c>
      <c r="M1643" s="23"/>
    </row>
    <row r="1644" spans="2:13" ht="15" customHeight="1" x14ac:dyDescent="0.25">
      <c r="B1644" s="35" t="s">
        <v>6262</v>
      </c>
      <c r="C1644" s="23" t="s">
        <v>6263</v>
      </c>
      <c r="D1644" s="23" t="s">
        <v>3303</v>
      </c>
      <c r="E1644" s="23" t="s">
        <v>3317</v>
      </c>
      <c r="F1644" s="23" t="s">
        <v>3729</v>
      </c>
      <c r="G1644" s="93">
        <v>3</v>
      </c>
      <c r="H1644" s="93">
        <v>0</v>
      </c>
      <c r="I1644" s="23"/>
      <c r="J1644" s="23"/>
      <c r="K1644" s="23"/>
      <c r="L1644" s="23" t="s">
        <v>5796</v>
      </c>
      <c r="M1644" s="23"/>
    </row>
    <row r="1645" spans="2:13" ht="15" customHeight="1" x14ac:dyDescent="0.25">
      <c r="B1645" s="35" t="s">
        <v>6264</v>
      </c>
      <c r="C1645" s="23" t="s">
        <v>6265</v>
      </c>
      <c r="D1645" s="23" t="s">
        <v>3303</v>
      </c>
      <c r="E1645" s="23" t="s">
        <v>3317</v>
      </c>
      <c r="F1645" s="23" t="s">
        <v>3729</v>
      </c>
      <c r="G1645" s="93">
        <v>3</v>
      </c>
      <c r="H1645" s="93">
        <v>0</v>
      </c>
      <c r="I1645" s="23"/>
      <c r="J1645" s="23"/>
      <c r="K1645" s="23"/>
      <c r="L1645" s="23" t="s">
        <v>5796</v>
      </c>
      <c r="M1645" s="23"/>
    </row>
    <row r="1646" spans="2:13" ht="15" customHeight="1" x14ac:dyDescent="0.25">
      <c r="B1646" s="35" t="s">
        <v>6266</v>
      </c>
      <c r="C1646" s="23" t="s">
        <v>6267</v>
      </c>
      <c r="D1646" s="23" t="s">
        <v>3303</v>
      </c>
      <c r="E1646" s="23" t="s">
        <v>3317</v>
      </c>
      <c r="F1646" s="23" t="s">
        <v>3729</v>
      </c>
      <c r="G1646" s="93">
        <v>3</v>
      </c>
      <c r="H1646" s="93">
        <v>0</v>
      </c>
      <c r="I1646" s="23"/>
      <c r="J1646" s="23"/>
      <c r="K1646" s="23"/>
      <c r="L1646" s="23" t="s">
        <v>5796</v>
      </c>
      <c r="M1646" s="23"/>
    </row>
    <row r="1647" spans="2:13" ht="15" customHeight="1" x14ac:dyDescent="0.25">
      <c r="B1647" s="35" t="s">
        <v>6268</v>
      </c>
      <c r="C1647" s="23" t="s">
        <v>6269</v>
      </c>
      <c r="D1647" s="23" t="s">
        <v>3303</v>
      </c>
      <c r="E1647" s="23" t="s">
        <v>3317</v>
      </c>
      <c r="F1647" s="23" t="s">
        <v>3729</v>
      </c>
      <c r="G1647" s="93">
        <v>3</v>
      </c>
      <c r="H1647" s="93">
        <v>0</v>
      </c>
      <c r="I1647" s="23"/>
      <c r="J1647" s="23"/>
      <c r="K1647" s="23"/>
      <c r="L1647" s="23" t="s">
        <v>5796</v>
      </c>
      <c r="M1647" s="23"/>
    </row>
    <row r="1648" spans="2:13" ht="15" customHeight="1" x14ac:dyDescent="0.25">
      <c r="B1648" s="35" t="s">
        <v>6270</v>
      </c>
      <c r="C1648" s="23" t="s">
        <v>6271</v>
      </c>
      <c r="D1648" s="23" t="s">
        <v>3303</v>
      </c>
      <c r="E1648" s="23" t="s">
        <v>3317</v>
      </c>
      <c r="F1648" s="23" t="s">
        <v>3729</v>
      </c>
      <c r="G1648" s="93">
        <v>3</v>
      </c>
      <c r="H1648" s="93">
        <v>0</v>
      </c>
      <c r="I1648" s="23"/>
      <c r="J1648" s="23"/>
      <c r="K1648" s="23"/>
      <c r="L1648" s="23" t="s">
        <v>5796</v>
      </c>
      <c r="M1648" s="23"/>
    </row>
    <row r="1649" spans="2:13" ht="15" customHeight="1" x14ac:dyDescent="0.25">
      <c r="B1649" s="35" t="s">
        <v>6272</v>
      </c>
      <c r="C1649" s="23" t="s">
        <v>5834</v>
      </c>
      <c r="D1649" s="23" t="s">
        <v>3303</v>
      </c>
      <c r="E1649" s="23" t="s">
        <v>3317</v>
      </c>
      <c r="F1649" s="23" t="s">
        <v>3729</v>
      </c>
      <c r="G1649" s="93">
        <v>3</v>
      </c>
      <c r="H1649" s="93">
        <v>0</v>
      </c>
      <c r="I1649" s="23"/>
      <c r="J1649" s="23"/>
      <c r="K1649" s="23"/>
      <c r="L1649" s="23" t="s">
        <v>5796</v>
      </c>
      <c r="M1649" s="23"/>
    </row>
    <row r="1650" spans="2:13" ht="15" customHeight="1" x14ac:dyDescent="0.25">
      <c r="B1650" s="35" t="s">
        <v>6273</v>
      </c>
      <c r="C1650" s="23" t="s">
        <v>6274</v>
      </c>
      <c r="D1650" s="23" t="s">
        <v>3303</v>
      </c>
      <c r="E1650" s="23" t="s">
        <v>3317</v>
      </c>
      <c r="F1650" s="23" t="s">
        <v>3729</v>
      </c>
      <c r="G1650" s="93">
        <v>3</v>
      </c>
      <c r="H1650" s="93">
        <v>0</v>
      </c>
      <c r="I1650" s="23"/>
      <c r="J1650" s="23"/>
      <c r="K1650" s="23"/>
      <c r="L1650" s="23" t="s">
        <v>5796</v>
      </c>
      <c r="M1650" s="23"/>
    </row>
    <row r="1651" spans="2:13" ht="15" customHeight="1" x14ac:dyDescent="0.25">
      <c r="B1651" s="35" t="s">
        <v>6275</v>
      </c>
      <c r="C1651" s="23" t="s">
        <v>6276</v>
      </c>
      <c r="D1651" s="23" t="s">
        <v>3303</v>
      </c>
      <c r="E1651" s="23" t="s">
        <v>3317</v>
      </c>
      <c r="F1651" s="23" t="s">
        <v>3729</v>
      </c>
      <c r="G1651" s="93">
        <v>3</v>
      </c>
      <c r="H1651" s="93">
        <v>0</v>
      </c>
      <c r="I1651" s="23"/>
      <c r="J1651" s="23"/>
      <c r="K1651" s="23"/>
      <c r="L1651" s="23" t="s">
        <v>5796</v>
      </c>
      <c r="M1651" s="23"/>
    </row>
    <row r="1652" spans="2:13" ht="15" customHeight="1" x14ac:dyDescent="0.25">
      <c r="B1652" s="35" t="s">
        <v>6277</v>
      </c>
      <c r="C1652" s="23" t="s">
        <v>6278</v>
      </c>
      <c r="D1652" s="23" t="s">
        <v>3303</v>
      </c>
      <c r="E1652" s="23" t="s">
        <v>3317</v>
      </c>
      <c r="F1652" s="23" t="s">
        <v>3729</v>
      </c>
      <c r="G1652" s="93">
        <v>3</v>
      </c>
      <c r="H1652" s="93">
        <v>0</v>
      </c>
      <c r="I1652" s="23"/>
      <c r="J1652" s="23"/>
      <c r="K1652" s="23"/>
      <c r="L1652" s="23" t="s">
        <v>5796</v>
      </c>
      <c r="M1652" s="23"/>
    </row>
    <row r="1653" spans="2:13" ht="15" customHeight="1" x14ac:dyDescent="0.25">
      <c r="B1653" s="35" t="s">
        <v>6279</v>
      </c>
      <c r="C1653" s="23" t="s">
        <v>6280</v>
      </c>
      <c r="D1653" s="23" t="s">
        <v>3303</v>
      </c>
      <c r="E1653" s="23" t="s">
        <v>3317</v>
      </c>
      <c r="F1653" s="23" t="s">
        <v>3729</v>
      </c>
      <c r="G1653" s="93">
        <v>3</v>
      </c>
      <c r="H1653" s="93">
        <v>0</v>
      </c>
      <c r="I1653" s="23"/>
      <c r="J1653" s="23"/>
      <c r="K1653" s="23"/>
      <c r="L1653" s="23" t="s">
        <v>5796</v>
      </c>
      <c r="M1653" s="23"/>
    </row>
    <row r="1654" spans="2:13" ht="15" customHeight="1" x14ac:dyDescent="0.25">
      <c r="B1654" s="35" t="s">
        <v>6281</v>
      </c>
      <c r="C1654" s="23" t="s">
        <v>6282</v>
      </c>
      <c r="D1654" s="23" t="s">
        <v>3303</v>
      </c>
      <c r="E1654" s="23" t="s">
        <v>3317</v>
      </c>
      <c r="F1654" s="23" t="s">
        <v>3729</v>
      </c>
      <c r="G1654" s="93">
        <v>3</v>
      </c>
      <c r="H1654" s="93">
        <v>1</v>
      </c>
      <c r="I1654" s="23"/>
      <c r="J1654" s="23"/>
      <c r="K1654" s="23"/>
      <c r="L1654" s="23" t="s">
        <v>5796</v>
      </c>
      <c r="M1654" s="23" t="s">
        <v>4716</v>
      </c>
    </row>
    <row r="1655" spans="2:13" ht="15" customHeight="1" x14ac:dyDescent="0.25">
      <c r="B1655" s="35" t="s">
        <v>6283</v>
      </c>
      <c r="C1655" s="23" t="s">
        <v>6284</v>
      </c>
      <c r="D1655" s="23" t="s">
        <v>3303</v>
      </c>
      <c r="E1655" s="23" t="s">
        <v>3317</v>
      </c>
      <c r="F1655" s="23" t="s">
        <v>3729</v>
      </c>
      <c r="G1655" s="93">
        <v>3</v>
      </c>
      <c r="H1655" s="93">
        <v>0</v>
      </c>
      <c r="I1655" s="23"/>
      <c r="J1655" s="23"/>
      <c r="K1655" s="23"/>
      <c r="L1655" s="23" t="s">
        <v>5796</v>
      </c>
      <c r="M1655" s="23"/>
    </row>
    <row r="1656" spans="2:13" ht="15" customHeight="1" x14ac:dyDescent="0.25">
      <c r="B1656" s="35" t="s">
        <v>6285</v>
      </c>
      <c r="C1656" s="23" t="s">
        <v>6286</v>
      </c>
      <c r="D1656" s="23" t="s">
        <v>3303</v>
      </c>
      <c r="E1656" s="23" t="s">
        <v>3317</v>
      </c>
      <c r="F1656" s="23" t="s">
        <v>3729</v>
      </c>
      <c r="G1656" s="93">
        <v>3</v>
      </c>
      <c r="H1656" s="93">
        <v>0</v>
      </c>
      <c r="I1656" s="23"/>
      <c r="J1656" s="23"/>
      <c r="K1656" s="23"/>
      <c r="L1656" s="23" t="s">
        <v>5796</v>
      </c>
      <c r="M1656" s="23"/>
    </row>
    <row r="1657" spans="2:13" ht="15" customHeight="1" x14ac:dyDescent="0.25">
      <c r="B1657" s="35" t="s">
        <v>6287</v>
      </c>
      <c r="C1657" s="23" t="s">
        <v>6288</v>
      </c>
      <c r="D1657" s="23" t="s">
        <v>3303</v>
      </c>
      <c r="E1657" s="23" t="s">
        <v>3317</v>
      </c>
      <c r="F1657" s="23" t="s">
        <v>3729</v>
      </c>
      <c r="G1657" s="93">
        <v>3</v>
      </c>
      <c r="H1657" s="93">
        <v>0</v>
      </c>
      <c r="I1657" s="23"/>
      <c r="J1657" s="23"/>
      <c r="K1657" s="23"/>
      <c r="L1657" s="23" t="s">
        <v>5796</v>
      </c>
      <c r="M1657" s="23"/>
    </row>
    <row r="1658" spans="2:13" ht="15" customHeight="1" x14ac:dyDescent="0.25">
      <c r="B1658" s="35" t="s">
        <v>6289</v>
      </c>
      <c r="C1658" s="23" t="s">
        <v>6290</v>
      </c>
      <c r="D1658" s="23" t="s">
        <v>3303</v>
      </c>
      <c r="E1658" s="23" t="s">
        <v>3317</v>
      </c>
      <c r="F1658" s="23" t="s">
        <v>3729</v>
      </c>
      <c r="G1658" s="93">
        <v>3</v>
      </c>
      <c r="H1658" s="93">
        <v>0</v>
      </c>
      <c r="I1658" s="23"/>
      <c r="J1658" s="23"/>
      <c r="K1658" s="23"/>
      <c r="L1658" s="23" t="s">
        <v>5796</v>
      </c>
      <c r="M1658" s="23"/>
    </row>
    <row r="1659" spans="2:13" ht="15" customHeight="1" x14ac:dyDescent="0.25">
      <c r="B1659" s="35" t="s">
        <v>6291</v>
      </c>
      <c r="C1659" s="23" t="s">
        <v>6292</v>
      </c>
      <c r="D1659" s="23" t="s">
        <v>3303</v>
      </c>
      <c r="E1659" s="23" t="s">
        <v>3317</v>
      </c>
      <c r="F1659" s="23" t="s">
        <v>3729</v>
      </c>
      <c r="G1659" s="93">
        <v>3</v>
      </c>
      <c r="H1659" s="93">
        <v>0</v>
      </c>
      <c r="I1659" s="23"/>
      <c r="J1659" s="23"/>
      <c r="K1659" s="23"/>
      <c r="L1659" s="23" t="s">
        <v>5796</v>
      </c>
      <c r="M1659" s="23"/>
    </row>
    <row r="1660" spans="2:13" ht="15" customHeight="1" x14ac:dyDescent="0.25">
      <c r="B1660" s="35" t="s">
        <v>6293</v>
      </c>
      <c r="C1660" s="23" t="s">
        <v>6294</v>
      </c>
      <c r="D1660" s="23" t="s">
        <v>3303</v>
      </c>
      <c r="E1660" s="23" t="s">
        <v>3317</v>
      </c>
      <c r="F1660" s="23" t="s">
        <v>3729</v>
      </c>
      <c r="G1660" s="93">
        <v>3</v>
      </c>
      <c r="H1660" s="93">
        <v>0</v>
      </c>
      <c r="I1660" s="23"/>
      <c r="J1660" s="23"/>
      <c r="K1660" s="23"/>
      <c r="L1660" s="23" t="s">
        <v>5796</v>
      </c>
      <c r="M1660" s="23"/>
    </row>
    <row r="1661" spans="2:13" ht="15" customHeight="1" x14ac:dyDescent="0.25">
      <c r="B1661" s="35" t="s">
        <v>6295</v>
      </c>
      <c r="C1661" s="23" t="s">
        <v>6296</v>
      </c>
      <c r="D1661" s="23" t="s">
        <v>3303</v>
      </c>
      <c r="E1661" s="23" t="s">
        <v>3317</v>
      </c>
      <c r="F1661" s="23" t="s">
        <v>3729</v>
      </c>
      <c r="G1661" s="93">
        <v>3</v>
      </c>
      <c r="H1661" s="93">
        <v>0</v>
      </c>
      <c r="I1661" s="23"/>
      <c r="J1661" s="23"/>
      <c r="K1661" s="23"/>
      <c r="L1661" s="23" t="s">
        <v>5796</v>
      </c>
      <c r="M1661" s="23"/>
    </row>
    <row r="1662" spans="2:13" ht="15" customHeight="1" x14ac:dyDescent="0.25">
      <c r="B1662" s="35" t="s">
        <v>6297</v>
      </c>
      <c r="C1662" s="23" t="s">
        <v>6298</v>
      </c>
      <c r="D1662" s="23" t="s">
        <v>3303</v>
      </c>
      <c r="E1662" s="23" t="s">
        <v>3317</v>
      </c>
      <c r="F1662" s="23" t="s">
        <v>3729</v>
      </c>
      <c r="G1662" s="93">
        <v>3</v>
      </c>
      <c r="H1662" s="93">
        <v>0</v>
      </c>
      <c r="I1662" s="23"/>
      <c r="J1662" s="23"/>
      <c r="K1662" s="23"/>
      <c r="L1662" s="23" t="s">
        <v>5796</v>
      </c>
      <c r="M1662" s="23"/>
    </row>
    <row r="1663" spans="2:13" ht="15" customHeight="1" x14ac:dyDescent="0.25">
      <c r="B1663" s="35" t="s">
        <v>6299</v>
      </c>
      <c r="C1663" s="23" t="s">
        <v>6300</v>
      </c>
      <c r="D1663" s="23" t="s">
        <v>3303</v>
      </c>
      <c r="E1663" s="23" t="s">
        <v>3317</v>
      </c>
      <c r="F1663" s="23" t="s">
        <v>3729</v>
      </c>
      <c r="G1663" s="93">
        <v>3</v>
      </c>
      <c r="H1663" s="93">
        <v>0</v>
      </c>
      <c r="I1663" s="23"/>
      <c r="J1663" s="23"/>
      <c r="K1663" s="23"/>
      <c r="L1663" s="23" t="s">
        <v>5796</v>
      </c>
      <c r="M1663" s="23"/>
    </row>
    <row r="1664" spans="2:13" ht="15" customHeight="1" x14ac:dyDescent="0.25">
      <c r="B1664" s="35" t="s">
        <v>6301</v>
      </c>
      <c r="C1664" s="23" t="s">
        <v>6302</v>
      </c>
      <c r="D1664" s="23" t="s">
        <v>3303</v>
      </c>
      <c r="E1664" s="23" t="s">
        <v>3317</v>
      </c>
      <c r="F1664" s="23" t="s">
        <v>3729</v>
      </c>
      <c r="G1664" s="93">
        <v>3</v>
      </c>
      <c r="H1664" s="93">
        <v>0</v>
      </c>
      <c r="I1664" s="23"/>
      <c r="J1664" s="23"/>
      <c r="K1664" s="23"/>
      <c r="L1664" s="23" t="s">
        <v>5796</v>
      </c>
      <c r="M1664" s="23"/>
    </row>
    <row r="1665" spans="2:13" ht="15" customHeight="1" x14ac:dyDescent="0.25">
      <c r="B1665" s="35" t="s">
        <v>6303</v>
      </c>
      <c r="C1665" s="23" t="s">
        <v>6304</v>
      </c>
      <c r="D1665" s="23" t="s">
        <v>3303</v>
      </c>
      <c r="E1665" s="23" t="s">
        <v>3317</v>
      </c>
      <c r="F1665" s="23" t="s">
        <v>3729</v>
      </c>
      <c r="G1665" s="93">
        <v>3</v>
      </c>
      <c r="H1665" s="93">
        <v>0</v>
      </c>
      <c r="I1665" s="23"/>
      <c r="J1665" s="23"/>
      <c r="K1665" s="23"/>
      <c r="L1665" s="23" t="s">
        <v>5796</v>
      </c>
      <c r="M1665" s="23"/>
    </row>
    <row r="1666" spans="2:13" ht="15" customHeight="1" x14ac:dyDescent="0.25">
      <c r="B1666" s="35" t="s">
        <v>6305</v>
      </c>
      <c r="C1666" s="23" t="s">
        <v>6306</v>
      </c>
      <c r="D1666" s="23" t="s">
        <v>3303</v>
      </c>
      <c r="E1666" s="23" t="s">
        <v>3317</v>
      </c>
      <c r="F1666" s="23" t="s">
        <v>3729</v>
      </c>
      <c r="G1666" s="93">
        <v>3</v>
      </c>
      <c r="H1666" s="93">
        <v>0</v>
      </c>
      <c r="I1666" s="23"/>
      <c r="J1666" s="23"/>
      <c r="K1666" s="23"/>
      <c r="L1666" s="23" t="s">
        <v>5796</v>
      </c>
      <c r="M1666" s="23"/>
    </row>
    <row r="1667" spans="2:13" ht="15" customHeight="1" x14ac:dyDescent="0.25">
      <c r="B1667" s="35" t="s">
        <v>6307</v>
      </c>
      <c r="C1667" s="23" t="s">
        <v>6308</v>
      </c>
      <c r="D1667" s="23" t="s">
        <v>3303</v>
      </c>
      <c r="E1667" s="23" t="s">
        <v>3317</v>
      </c>
      <c r="F1667" s="23" t="s">
        <v>3729</v>
      </c>
      <c r="G1667" s="93">
        <v>3</v>
      </c>
      <c r="H1667" s="93">
        <v>0</v>
      </c>
      <c r="I1667" s="23"/>
      <c r="J1667" s="23"/>
      <c r="K1667" s="23"/>
      <c r="L1667" s="23" t="s">
        <v>5796</v>
      </c>
      <c r="M1667" s="23"/>
    </row>
    <row r="1668" spans="2:13" ht="15" customHeight="1" x14ac:dyDescent="0.25">
      <c r="B1668" s="35" t="s">
        <v>6309</v>
      </c>
      <c r="C1668" s="23" t="s">
        <v>6310</v>
      </c>
      <c r="D1668" s="23" t="s">
        <v>3303</v>
      </c>
      <c r="E1668" s="23" t="s">
        <v>3317</v>
      </c>
      <c r="F1668" s="23" t="s">
        <v>3729</v>
      </c>
      <c r="G1668" s="93">
        <v>3</v>
      </c>
      <c r="H1668" s="93">
        <v>0</v>
      </c>
      <c r="I1668" s="23"/>
      <c r="J1668" s="23"/>
      <c r="K1668" s="23"/>
      <c r="L1668" s="23" t="s">
        <v>5796</v>
      </c>
      <c r="M1668" s="23"/>
    </row>
    <row r="1669" spans="2:13" ht="15" customHeight="1" x14ac:dyDescent="0.25">
      <c r="B1669" s="35" t="s">
        <v>6311</v>
      </c>
      <c r="C1669" s="23" t="s">
        <v>6312</v>
      </c>
      <c r="D1669" s="23" t="s">
        <v>3303</v>
      </c>
      <c r="E1669" s="23" t="s">
        <v>3317</v>
      </c>
      <c r="F1669" s="23" t="s">
        <v>3729</v>
      </c>
      <c r="G1669" s="93">
        <v>3</v>
      </c>
      <c r="H1669" s="93">
        <v>1</v>
      </c>
      <c r="I1669" s="23"/>
      <c r="J1669" s="23"/>
      <c r="K1669" s="23"/>
      <c r="L1669" s="23" t="s">
        <v>5796</v>
      </c>
      <c r="M1669" s="23"/>
    </row>
    <row r="1670" spans="2:13" ht="15" customHeight="1" x14ac:dyDescent="0.25">
      <c r="B1670" s="35" t="s">
        <v>6313</v>
      </c>
      <c r="C1670" s="23" t="s">
        <v>6314</v>
      </c>
      <c r="D1670" s="23" t="s">
        <v>3303</v>
      </c>
      <c r="E1670" s="23" t="s">
        <v>3317</v>
      </c>
      <c r="F1670" s="23" t="s">
        <v>3729</v>
      </c>
      <c r="G1670" s="93">
        <v>3</v>
      </c>
      <c r="H1670" s="93">
        <v>0</v>
      </c>
      <c r="I1670" s="23"/>
      <c r="J1670" s="23"/>
      <c r="K1670" s="23"/>
      <c r="L1670" s="23" t="s">
        <v>5796</v>
      </c>
      <c r="M1670" s="23"/>
    </row>
    <row r="1671" spans="2:13" ht="15" customHeight="1" x14ac:dyDescent="0.25">
      <c r="B1671" s="35" t="s">
        <v>6315</v>
      </c>
      <c r="C1671" s="23" t="s">
        <v>6316</v>
      </c>
      <c r="D1671" s="23" t="s">
        <v>3303</v>
      </c>
      <c r="E1671" s="23" t="s">
        <v>3317</v>
      </c>
      <c r="F1671" s="23" t="s">
        <v>3729</v>
      </c>
      <c r="G1671" s="93">
        <v>3</v>
      </c>
      <c r="H1671" s="93">
        <v>0</v>
      </c>
      <c r="I1671" s="23"/>
      <c r="J1671" s="23"/>
      <c r="K1671" s="23"/>
      <c r="L1671" s="23" t="s">
        <v>5796</v>
      </c>
      <c r="M1671" s="23"/>
    </row>
    <row r="1672" spans="2:13" ht="15" customHeight="1" x14ac:dyDescent="0.25">
      <c r="B1672" s="35" t="s">
        <v>6317</v>
      </c>
      <c r="C1672" s="23" t="s">
        <v>6318</v>
      </c>
      <c r="D1672" s="23" t="s">
        <v>3303</v>
      </c>
      <c r="E1672" s="23" t="s">
        <v>3317</v>
      </c>
      <c r="F1672" s="23" t="s">
        <v>3729</v>
      </c>
      <c r="G1672" s="93">
        <v>3</v>
      </c>
      <c r="H1672" s="93">
        <v>0</v>
      </c>
      <c r="I1672" s="23"/>
      <c r="J1672" s="23"/>
      <c r="K1672" s="23"/>
      <c r="L1672" s="23" t="s">
        <v>5796</v>
      </c>
      <c r="M1672" s="23"/>
    </row>
    <row r="1673" spans="2:13" ht="15" customHeight="1" x14ac:dyDescent="0.25">
      <c r="B1673" s="35" t="s">
        <v>6319</v>
      </c>
      <c r="C1673" s="23" t="s">
        <v>6320</v>
      </c>
      <c r="D1673" s="23" t="s">
        <v>3303</v>
      </c>
      <c r="E1673" s="23" t="s">
        <v>3317</v>
      </c>
      <c r="F1673" s="23" t="s">
        <v>3729</v>
      </c>
      <c r="G1673" s="93">
        <v>3</v>
      </c>
      <c r="H1673" s="93">
        <v>1</v>
      </c>
      <c r="I1673" s="23"/>
      <c r="J1673" s="23"/>
      <c r="K1673" s="23"/>
      <c r="L1673" s="23" t="s">
        <v>5796</v>
      </c>
      <c r="M1673" s="23"/>
    </row>
    <row r="1674" spans="2:13" ht="15" customHeight="1" x14ac:dyDescent="0.25">
      <c r="B1674" s="35" t="s">
        <v>6321</v>
      </c>
      <c r="C1674" s="23" t="s">
        <v>6322</v>
      </c>
      <c r="D1674" s="23" t="s">
        <v>3303</v>
      </c>
      <c r="E1674" s="23" t="s">
        <v>3317</v>
      </c>
      <c r="F1674" s="23" t="s">
        <v>3729</v>
      </c>
      <c r="G1674" s="93">
        <v>3</v>
      </c>
      <c r="H1674" s="93">
        <v>0</v>
      </c>
      <c r="I1674" s="23"/>
      <c r="J1674" s="23"/>
      <c r="K1674" s="23"/>
      <c r="L1674" s="23" t="s">
        <v>5796</v>
      </c>
      <c r="M1674" s="23"/>
    </row>
    <row r="1675" spans="2:13" ht="15" customHeight="1" x14ac:dyDescent="0.25">
      <c r="B1675" s="35" t="s">
        <v>6323</v>
      </c>
      <c r="C1675" s="23" t="s">
        <v>6324</v>
      </c>
      <c r="D1675" s="23" t="s">
        <v>3303</v>
      </c>
      <c r="E1675" s="23" t="s">
        <v>3317</v>
      </c>
      <c r="F1675" s="23" t="s">
        <v>3729</v>
      </c>
      <c r="G1675" s="93">
        <v>3</v>
      </c>
      <c r="H1675" s="93">
        <v>0</v>
      </c>
      <c r="I1675" s="23"/>
      <c r="J1675" s="23"/>
      <c r="K1675" s="23"/>
      <c r="L1675" s="23" t="s">
        <v>5796</v>
      </c>
      <c r="M1675" s="23"/>
    </row>
    <row r="1676" spans="2:13" ht="15" customHeight="1" x14ac:dyDescent="0.25">
      <c r="B1676" s="35" t="s">
        <v>6325</v>
      </c>
      <c r="C1676" s="23" t="s">
        <v>6326</v>
      </c>
      <c r="D1676" s="23" t="s">
        <v>3303</v>
      </c>
      <c r="E1676" s="23" t="s">
        <v>3317</v>
      </c>
      <c r="F1676" s="23" t="s">
        <v>3729</v>
      </c>
      <c r="G1676" s="93">
        <v>3</v>
      </c>
      <c r="H1676" s="93">
        <v>0</v>
      </c>
      <c r="I1676" s="23"/>
      <c r="J1676" s="23"/>
      <c r="K1676" s="23"/>
      <c r="L1676" s="23" t="s">
        <v>5796</v>
      </c>
      <c r="M1676" s="23"/>
    </row>
    <row r="1677" spans="2:13" ht="15" customHeight="1" x14ac:dyDescent="0.25">
      <c r="B1677" s="35" t="s">
        <v>6327</v>
      </c>
      <c r="C1677" s="23" t="s">
        <v>6328</v>
      </c>
      <c r="D1677" s="23" t="s">
        <v>3303</v>
      </c>
      <c r="E1677" s="23" t="s">
        <v>3317</v>
      </c>
      <c r="F1677" s="23" t="s">
        <v>3729</v>
      </c>
      <c r="G1677" s="93">
        <v>3</v>
      </c>
      <c r="H1677" s="93">
        <v>1</v>
      </c>
      <c r="I1677" s="23"/>
      <c r="J1677" s="23"/>
      <c r="K1677" s="23"/>
      <c r="L1677" s="23" t="s">
        <v>5796</v>
      </c>
      <c r="M1677" s="23"/>
    </row>
    <row r="1678" spans="2:13" ht="15" customHeight="1" x14ac:dyDescent="0.25">
      <c r="B1678" s="35" t="s">
        <v>6329</v>
      </c>
      <c r="C1678" s="23" t="s">
        <v>6330</v>
      </c>
      <c r="D1678" s="23" t="s">
        <v>3303</v>
      </c>
      <c r="E1678" s="23" t="s">
        <v>3317</v>
      </c>
      <c r="F1678" s="23" t="s">
        <v>3729</v>
      </c>
      <c r="G1678" s="93">
        <v>3</v>
      </c>
      <c r="H1678" s="93">
        <v>0</v>
      </c>
      <c r="I1678" s="23"/>
      <c r="J1678" s="23"/>
      <c r="K1678" s="23"/>
      <c r="L1678" s="23" t="s">
        <v>5796</v>
      </c>
      <c r="M1678" s="23"/>
    </row>
    <row r="1679" spans="2:13" ht="15" customHeight="1" x14ac:dyDescent="0.25">
      <c r="B1679" s="35" t="s">
        <v>6331</v>
      </c>
      <c r="C1679" s="23" t="s">
        <v>6332</v>
      </c>
      <c r="D1679" s="23" t="s">
        <v>3303</v>
      </c>
      <c r="E1679" s="23" t="s">
        <v>3317</v>
      </c>
      <c r="F1679" s="23" t="s">
        <v>3729</v>
      </c>
      <c r="G1679" s="93">
        <v>3</v>
      </c>
      <c r="H1679" s="93">
        <v>0</v>
      </c>
      <c r="I1679" s="23"/>
      <c r="J1679" s="23"/>
      <c r="K1679" s="23"/>
      <c r="L1679" s="23" t="s">
        <v>5796</v>
      </c>
      <c r="M1679" s="23"/>
    </row>
    <row r="1680" spans="2:13" ht="15" customHeight="1" x14ac:dyDescent="0.25">
      <c r="B1680" s="35" t="s">
        <v>6333</v>
      </c>
      <c r="C1680" s="23" t="s">
        <v>6334</v>
      </c>
      <c r="D1680" s="23" t="s">
        <v>3303</v>
      </c>
      <c r="E1680" s="23" t="s">
        <v>3317</v>
      </c>
      <c r="F1680" s="23" t="s">
        <v>3729</v>
      </c>
      <c r="G1680" s="93">
        <v>3</v>
      </c>
      <c r="H1680" s="93">
        <v>0</v>
      </c>
      <c r="I1680" s="23"/>
      <c r="J1680" s="23"/>
      <c r="K1680" s="23"/>
      <c r="L1680" s="23" t="s">
        <v>5796</v>
      </c>
      <c r="M1680" s="23"/>
    </row>
    <row r="1681" spans="2:13" ht="15" customHeight="1" x14ac:dyDescent="0.25">
      <c r="B1681" s="35" t="s">
        <v>6335</v>
      </c>
      <c r="C1681" s="23" t="s">
        <v>6336</v>
      </c>
      <c r="D1681" s="23" t="s">
        <v>3303</v>
      </c>
      <c r="E1681" s="23" t="s">
        <v>3317</v>
      </c>
      <c r="F1681" s="23" t="s">
        <v>3729</v>
      </c>
      <c r="G1681" s="93">
        <v>3</v>
      </c>
      <c r="H1681" s="93">
        <v>0</v>
      </c>
      <c r="I1681" s="23"/>
      <c r="J1681" s="23"/>
      <c r="K1681" s="23"/>
      <c r="L1681" s="23" t="s">
        <v>5796</v>
      </c>
      <c r="M1681" s="23"/>
    </row>
    <row r="1682" spans="2:13" ht="15" customHeight="1" x14ac:dyDescent="0.25">
      <c r="B1682" s="35" t="s">
        <v>6337</v>
      </c>
      <c r="C1682" s="23" t="s">
        <v>6338</v>
      </c>
      <c r="D1682" s="23" t="s">
        <v>3303</v>
      </c>
      <c r="E1682" s="23" t="s">
        <v>3317</v>
      </c>
      <c r="F1682" s="23" t="s">
        <v>3729</v>
      </c>
      <c r="G1682" s="93">
        <v>3</v>
      </c>
      <c r="H1682" s="93">
        <v>0</v>
      </c>
      <c r="I1682" s="23"/>
      <c r="J1682" s="23"/>
      <c r="K1682" s="23"/>
      <c r="L1682" s="23" t="s">
        <v>5796</v>
      </c>
      <c r="M1682" s="23"/>
    </row>
    <row r="1683" spans="2:13" ht="15" customHeight="1" x14ac:dyDescent="0.25">
      <c r="B1683" s="35" t="s">
        <v>6339</v>
      </c>
      <c r="C1683" s="23" t="s">
        <v>6340</v>
      </c>
      <c r="D1683" s="23" t="s">
        <v>3303</v>
      </c>
      <c r="E1683" s="23" t="s">
        <v>3317</v>
      </c>
      <c r="F1683" s="23" t="s">
        <v>3729</v>
      </c>
      <c r="G1683" s="93">
        <v>3</v>
      </c>
      <c r="H1683" s="93">
        <v>0</v>
      </c>
      <c r="I1683" s="23"/>
      <c r="J1683" s="23"/>
      <c r="K1683" s="23"/>
      <c r="L1683" s="23" t="s">
        <v>5796</v>
      </c>
      <c r="M1683" s="23"/>
    </row>
    <row r="1684" spans="2:13" ht="15" customHeight="1" x14ac:dyDescent="0.25">
      <c r="B1684" s="35" t="s">
        <v>6341</v>
      </c>
      <c r="C1684" s="23" t="s">
        <v>6342</v>
      </c>
      <c r="D1684" s="23" t="s">
        <v>3303</v>
      </c>
      <c r="E1684" s="23" t="s">
        <v>3317</v>
      </c>
      <c r="F1684" s="23" t="s">
        <v>3729</v>
      </c>
      <c r="G1684" s="93">
        <v>3</v>
      </c>
      <c r="H1684" s="93">
        <v>0</v>
      </c>
      <c r="I1684" s="23"/>
      <c r="J1684" s="23"/>
      <c r="K1684" s="23"/>
      <c r="L1684" s="23" t="s">
        <v>5796</v>
      </c>
      <c r="M1684" s="23"/>
    </row>
    <row r="1685" spans="2:13" ht="15" customHeight="1" x14ac:dyDescent="0.25">
      <c r="B1685" s="35" t="s">
        <v>6343</v>
      </c>
      <c r="C1685" s="23" t="s">
        <v>6344</v>
      </c>
      <c r="D1685" s="23" t="s">
        <v>3303</v>
      </c>
      <c r="E1685" s="23" t="s">
        <v>3317</v>
      </c>
      <c r="F1685" s="23" t="s">
        <v>3729</v>
      </c>
      <c r="G1685" s="93">
        <v>3</v>
      </c>
      <c r="H1685" s="93">
        <v>0</v>
      </c>
      <c r="I1685" s="23"/>
      <c r="J1685" s="23"/>
      <c r="K1685" s="23"/>
      <c r="L1685" s="23" t="s">
        <v>5796</v>
      </c>
      <c r="M1685" s="23"/>
    </row>
    <row r="1686" spans="2:13" ht="15" customHeight="1" x14ac:dyDescent="0.25">
      <c r="B1686" s="35" t="s">
        <v>6345</v>
      </c>
      <c r="C1686" s="23" t="s">
        <v>6346</v>
      </c>
      <c r="D1686" s="23" t="s">
        <v>3303</v>
      </c>
      <c r="E1686" s="23" t="s">
        <v>3317</v>
      </c>
      <c r="F1686" s="23" t="s">
        <v>3729</v>
      </c>
      <c r="G1686" s="93">
        <v>3</v>
      </c>
      <c r="H1686" s="93">
        <v>0</v>
      </c>
      <c r="I1686" s="23"/>
      <c r="J1686" s="23"/>
      <c r="K1686" s="23"/>
      <c r="L1686" s="23" t="s">
        <v>5796</v>
      </c>
      <c r="M1686" s="23"/>
    </row>
    <row r="1687" spans="2:13" ht="15" customHeight="1" x14ac:dyDescent="0.25">
      <c r="B1687" s="35" t="s">
        <v>6347</v>
      </c>
      <c r="C1687" s="23" t="s">
        <v>6348</v>
      </c>
      <c r="D1687" s="23" t="s">
        <v>3303</v>
      </c>
      <c r="E1687" s="23" t="s">
        <v>3317</v>
      </c>
      <c r="F1687" s="23" t="s">
        <v>3729</v>
      </c>
      <c r="G1687" s="93">
        <v>3</v>
      </c>
      <c r="H1687" s="93">
        <v>0</v>
      </c>
      <c r="I1687" s="23"/>
      <c r="J1687" s="23"/>
      <c r="K1687" s="23"/>
      <c r="L1687" s="23" t="s">
        <v>5796</v>
      </c>
      <c r="M1687" s="23"/>
    </row>
    <row r="1688" spans="2:13" ht="15" customHeight="1" x14ac:dyDescent="0.25">
      <c r="B1688" s="35" t="s">
        <v>6349</v>
      </c>
      <c r="C1688" s="23" t="s">
        <v>6350</v>
      </c>
      <c r="D1688" s="23" t="s">
        <v>3303</v>
      </c>
      <c r="E1688" s="23" t="s">
        <v>3317</v>
      </c>
      <c r="F1688" s="23" t="s">
        <v>3729</v>
      </c>
      <c r="G1688" s="93">
        <v>3</v>
      </c>
      <c r="H1688" s="93">
        <v>0</v>
      </c>
      <c r="I1688" s="23"/>
      <c r="J1688" s="23"/>
      <c r="K1688" s="23"/>
      <c r="L1688" s="23" t="s">
        <v>5796</v>
      </c>
      <c r="M1688" s="23"/>
    </row>
    <row r="1689" spans="2:13" ht="15" customHeight="1" x14ac:dyDescent="0.25">
      <c r="B1689" s="35" t="s">
        <v>6351</v>
      </c>
      <c r="C1689" s="23" t="s">
        <v>6352</v>
      </c>
      <c r="D1689" s="23" t="s">
        <v>3303</v>
      </c>
      <c r="E1689" s="23" t="s">
        <v>3317</v>
      </c>
      <c r="F1689" s="23" t="s">
        <v>3729</v>
      </c>
      <c r="G1689" s="93">
        <v>3</v>
      </c>
      <c r="H1689" s="93">
        <v>0</v>
      </c>
      <c r="I1689" s="23"/>
      <c r="J1689" s="23"/>
      <c r="K1689" s="23"/>
      <c r="L1689" s="23" t="s">
        <v>5796</v>
      </c>
      <c r="M1689" s="23"/>
    </row>
    <row r="1690" spans="2:13" ht="15" customHeight="1" x14ac:dyDescent="0.25">
      <c r="B1690" s="35" t="s">
        <v>6353</v>
      </c>
      <c r="C1690" s="23" t="s">
        <v>6354</v>
      </c>
      <c r="D1690" s="23" t="s">
        <v>3303</v>
      </c>
      <c r="E1690" s="23" t="s">
        <v>3317</v>
      </c>
      <c r="F1690" s="23" t="s">
        <v>3729</v>
      </c>
      <c r="G1690" s="93">
        <v>3</v>
      </c>
      <c r="H1690" s="93">
        <v>0</v>
      </c>
      <c r="I1690" s="23"/>
      <c r="J1690" s="23"/>
      <c r="K1690" s="23"/>
      <c r="L1690" s="23" t="s">
        <v>5796</v>
      </c>
      <c r="M1690" s="23"/>
    </row>
    <row r="1691" spans="2:13" ht="15" customHeight="1" x14ac:dyDescent="0.25">
      <c r="B1691" s="35" t="s">
        <v>6355</v>
      </c>
      <c r="C1691" s="23" t="s">
        <v>6356</v>
      </c>
      <c r="D1691" s="23" t="s">
        <v>3303</v>
      </c>
      <c r="E1691" s="23" t="s">
        <v>3317</v>
      </c>
      <c r="F1691" s="23" t="s">
        <v>3729</v>
      </c>
      <c r="G1691" s="93">
        <v>3</v>
      </c>
      <c r="H1691" s="93">
        <v>0</v>
      </c>
      <c r="I1691" s="23"/>
      <c r="J1691" s="23"/>
      <c r="K1691" s="23"/>
      <c r="L1691" s="23" t="s">
        <v>5796</v>
      </c>
      <c r="M1691" s="23"/>
    </row>
    <row r="1692" spans="2:13" ht="15" customHeight="1" x14ac:dyDescent="0.25">
      <c r="B1692" s="35" t="s">
        <v>6357</v>
      </c>
      <c r="C1692" s="23" t="s">
        <v>6358</v>
      </c>
      <c r="D1692" s="23" t="s">
        <v>3303</v>
      </c>
      <c r="E1692" s="23" t="s">
        <v>3317</v>
      </c>
      <c r="F1692" s="23" t="s">
        <v>3729</v>
      </c>
      <c r="G1692" s="93">
        <v>3</v>
      </c>
      <c r="H1692" s="93">
        <v>0</v>
      </c>
      <c r="I1692" s="23"/>
      <c r="J1692" s="23"/>
      <c r="K1692" s="23"/>
      <c r="L1692" s="23" t="s">
        <v>5796</v>
      </c>
      <c r="M1692" s="23"/>
    </row>
    <row r="1693" spans="2:13" ht="15" customHeight="1" x14ac:dyDescent="0.25">
      <c r="B1693" s="35" t="s">
        <v>6359</v>
      </c>
      <c r="C1693" s="23" t="s">
        <v>6360</v>
      </c>
      <c r="D1693" s="23" t="s">
        <v>3303</v>
      </c>
      <c r="E1693" s="23" t="s">
        <v>3317</v>
      </c>
      <c r="F1693" s="23" t="s">
        <v>3729</v>
      </c>
      <c r="G1693" s="93">
        <v>3</v>
      </c>
      <c r="H1693" s="93">
        <v>0</v>
      </c>
      <c r="I1693" s="23"/>
      <c r="J1693" s="23"/>
      <c r="K1693" s="23"/>
      <c r="L1693" s="23" t="s">
        <v>5796</v>
      </c>
      <c r="M1693" s="23"/>
    </row>
    <row r="1694" spans="2:13" ht="15" customHeight="1" x14ac:dyDescent="0.25">
      <c r="B1694" s="35" t="s">
        <v>6361</v>
      </c>
      <c r="C1694" s="23" t="s">
        <v>6362</v>
      </c>
      <c r="D1694" s="23" t="s">
        <v>3303</v>
      </c>
      <c r="E1694" s="23" t="s">
        <v>3317</v>
      </c>
      <c r="F1694" s="23" t="s">
        <v>3729</v>
      </c>
      <c r="G1694" s="93">
        <v>3</v>
      </c>
      <c r="H1694" s="93">
        <v>0</v>
      </c>
      <c r="I1694" s="23"/>
      <c r="J1694" s="23"/>
      <c r="K1694" s="23"/>
      <c r="L1694" s="23" t="s">
        <v>5796</v>
      </c>
      <c r="M1694" s="23"/>
    </row>
    <row r="1695" spans="2:13" ht="15" customHeight="1" x14ac:dyDescent="0.25">
      <c r="B1695" s="35" t="s">
        <v>6363</v>
      </c>
      <c r="C1695" s="23" t="s">
        <v>6364</v>
      </c>
      <c r="D1695" s="23" t="s">
        <v>3303</v>
      </c>
      <c r="E1695" s="23" t="s">
        <v>3317</v>
      </c>
      <c r="F1695" s="23" t="s">
        <v>3729</v>
      </c>
      <c r="G1695" s="93">
        <v>3</v>
      </c>
      <c r="H1695" s="93">
        <v>0</v>
      </c>
      <c r="I1695" s="23"/>
      <c r="J1695" s="23"/>
      <c r="K1695" s="23"/>
      <c r="L1695" s="23" t="s">
        <v>5796</v>
      </c>
      <c r="M1695" s="23"/>
    </row>
    <row r="1696" spans="2:13" ht="15" customHeight="1" x14ac:dyDescent="0.25">
      <c r="B1696" s="35" t="s">
        <v>6365</v>
      </c>
      <c r="C1696" s="23" t="s">
        <v>6366</v>
      </c>
      <c r="D1696" s="23" t="s">
        <v>3303</v>
      </c>
      <c r="E1696" s="23" t="s">
        <v>3317</v>
      </c>
      <c r="F1696" s="23" t="s">
        <v>3729</v>
      </c>
      <c r="G1696" s="93">
        <v>3</v>
      </c>
      <c r="H1696" s="93">
        <v>0</v>
      </c>
      <c r="I1696" s="23"/>
      <c r="J1696" s="23"/>
      <c r="K1696" s="23"/>
      <c r="L1696" s="23" t="s">
        <v>5796</v>
      </c>
      <c r="M1696" s="23"/>
    </row>
    <row r="1697" spans="2:13" ht="15" customHeight="1" x14ac:dyDescent="0.25">
      <c r="B1697" s="35" t="s">
        <v>6367</v>
      </c>
      <c r="C1697" s="23" t="s">
        <v>6368</v>
      </c>
      <c r="D1697" s="23" t="s">
        <v>3303</v>
      </c>
      <c r="E1697" s="23" t="s">
        <v>3317</v>
      </c>
      <c r="F1697" s="23" t="s">
        <v>3729</v>
      </c>
      <c r="G1697" s="93">
        <v>3</v>
      </c>
      <c r="H1697" s="93">
        <v>0</v>
      </c>
      <c r="I1697" s="23"/>
      <c r="J1697" s="23"/>
      <c r="K1697" s="23"/>
      <c r="L1697" s="23" t="s">
        <v>5796</v>
      </c>
      <c r="M1697" s="23"/>
    </row>
    <row r="1698" spans="2:13" ht="15" customHeight="1" x14ac:dyDescent="0.25">
      <c r="B1698" s="35" t="s">
        <v>6369</v>
      </c>
      <c r="C1698" s="23" t="s">
        <v>6370</v>
      </c>
      <c r="D1698" s="23" t="s">
        <v>3303</v>
      </c>
      <c r="E1698" s="23" t="s">
        <v>3317</v>
      </c>
      <c r="F1698" s="23" t="s">
        <v>3729</v>
      </c>
      <c r="G1698" s="93">
        <v>3</v>
      </c>
      <c r="H1698" s="93">
        <v>1</v>
      </c>
      <c r="I1698" s="23"/>
      <c r="J1698" s="23"/>
      <c r="K1698" s="23"/>
      <c r="L1698" s="23" t="s">
        <v>5796</v>
      </c>
      <c r="M1698" s="23"/>
    </row>
    <row r="1699" spans="2:13" ht="15" customHeight="1" x14ac:dyDescent="0.25">
      <c r="B1699" s="35" t="s">
        <v>6371</v>
      </c>
      <c r="C1699" s="23" t="s">
        <v>6372</v>
      </c>
      <c r="D1699" s="23" t="s">
        <v>3303</v>
      </c>
      <c r="E1699" s="23" t="s">
        <v>3317</v>
      </c>
      <c r="F1699" s="23" t="s">
        <v>3729</v>
      </c>
      <c r="G1699" s="93">
        <v>3</v>
      </c>
      <c r="H1699" s="93">
        <v>0</v>
      </c>
      <c r="I1699" s="23"/>
      <c r="J1699" s="23"/>
      <c r="K1699" s="23"/>
      <c r="L1699" s="23" t="s">
        <v>5796</v>
      </c>
      <c r="M1699" s="23"/>
    </row>
    <row r="1700" spans="2:13" ht="15" customHeight="1" x14ac:dyDescent="0.25">
      <c r="B1700" s="35" t="s">
        <v>6373</v>
      </c>
      <c r="C1700" s="23" t="s">
        <v>6374</v>
      </c>
      <c r="D1700" s="23" t="s">
        <v>3303</v>
      </c>
      <c r="E1700" s="23" t="s">
        <v>3317</v>
      </c>
      <c r="F1700" s="23" t="s">
        <v>3729</v>
      </c>
      <c r="G1700" s="93">
        <v>3</v>
      </c>
      <c r="H1700" s="93">
        <v>0</v>
      </c>
      <c r="I1700" s="23"/>
      <c r="J1700" s="23"/>
      <c r="K1700" s="23"/>
      <c r="L1700" s="23" t="s">
        <v>5796</v>
      </c>
      <c r="M1700" s="23"/>
    </row>
    <row r="1701" spans="2:13" ht="15" customHeight="1" x14ac:dyDescent="0.25">
      <c r="B1701" s="35" t="s">
        <v>6375</v>
      </c>
      <c r="C1701" s="23" t="s">
        <v>6376</v>
      </c>
      <c r="D1701" s="23" t="s">
        <v>3303</v>
      </c>
      <c r="E1701" s="23" t="s">
        <v>3317</v>
      </c>
      <c r="F1701" s="23" t="s">
        <v>3729</v>
      </c>
      <c r="G1701" s="93">
        <v>3</v>
      </c>
      <c r="H1701" s="93">
        <v>0</v>
      </c>
      <c r="I1701" s="23"/>
      <c r="J1701" s="23"/>
      <c r="K1701" s="23"/>
      <c r="L1701" s="23" t="s">
        <v>5796</v>
      </c>
      <c r="M1701" s="23"/>
    </row>
    <row r="1702" spans="2:13" ht="15" customHeight="1" x14ac:dyDescent="0.25">
      <c r="B1702" s="35" t="s">
        <v>6377</v>
      </c>
      <c r="C1702" s="23" t="s">
        <v>387</v>
      </c>
      <c r="D1702" s="23" t="s">
        <v>3303</v>
      </c>
      <c r="E1702" s="23" t="s">
        <v>3317</v>
      </c>
      <c r="F1702" s="23" t="s">
        <v>3729</v>
      </c>
      <c r="G1702" s="93">
        <v>3</v>
      </c>
      <c r="H1702" s="93">
        <v>0</v>
      </c>
      <c r="I1702" s="23"/>
      <c r="J1702" s="23"/>
      <c r="K1702" s="23"/>
      <c r="L1702" s="23" t="s">
        <v>5796</v>
      </c>
      <c r="M1702" s="23"/>
    </row>
    <row r="1703" spans="2:13" ht="15" customHeight="1" x14ac:dyDescent="0.25">
      <c r="B1703" s="35" t="s">
        <v>6378</v>
      </c>
      <c r="C1703" s="23" t="s">
        <v>6379</v>
      </c>
      <c r="D1703" s="23" t="s">
        <v>3303</v>
      </c>
      <c r="E1703" s="23" t="s">
        <v>3317</v>
      </c>
      <c r="F1703" s="23" t="s">
        <v>3729</v>
      </c>
      <c r="G1703" s="93">
        <v>3</v>
      </c>
      <c r="H1703" s="93">
        <v>0</v>
      </c>
      <c r="I1703" s="23"/>
      <c r="J1703" s="23"/>
      <c r="K1703" s="23"/>
      <c r="L1703" s="23" t="s">
        <v>5796</v>
      </c>
      <c r="M1703" s="23"/>
    </row>
    <row r="1704" spans="2:13" ht="15" customHeight="1" x14ac:dyDescent="0.25">
      <c r="B1704" s="35" t="s">
        <v>6380</v>
      </c>
      <c r="C1704" s="23" t="s">
        <v>6381</v>
      </c>
      <c r="D1704" s="23" t="s">
        <v>3303</v>
      </c>
      <c r="E1704" s="23" t="s">
        <v>3317</v>
      </c>
      <c r="F1704" s="23" t="s">
        <v>3729</v>
      </c>
      <c r="G1704" s="93">
        <v>3</v>
      </c>
      <c r="H1704" s="93">
        <v>0</v>
      </c>
      <c r="I1704" s="23"/>
      <c r="J1704" s="23"/>
      <c r="K1704" s="23"/>
      <c r="L1704" s="23" t="s">
        <v>5796</v>
      </c>
      <c r="M1704" s="23"/>
    </row>
    <row r="1705" spans="2:13" ht="15" customHeight="1" x14ac:dyDescent="0.25">
      <c r="B1705" s="35" t="s">
        <v>6382</v>
      </c>
      <c r="C1705" s="23" t="s">
        <v>6383</v>
      </c>
      <c r="D1705" s="23" t="s">
        <v>3303</v>
      </c>
      <c r="E1705" s="23" t="s">
        <v>3317</v>
      </c>
      <c r="F1705" s="23" t="s">
        <v>3729</v>
      </c>
      <c r="G1705" s="93">
        <v>3</v>
      </c>
      <c r="H1705" s="93">
        <v>0</v>
      </c>
      <c r="I1705" s="23"/>
      <c r="J1705" s="23"/>
      <c r="K1705" s="23"/>
      <c r="L1705" s="23" t="s">
        <v>5796</v>
      </c>
      <c r="M1705" s="23"/>
    </row>
    <row r="1706" spans="2:13" ht="15" customHeight="1" x14ac:dyDescent="0.25">
      <c r="B1706" s="35" t="s">
        <v>6384</v>
      </c>
      <c r="C1706" s="23" t="s">
        <v>6385</v>
      </c>
      <c r="D1706" s="23" t="s">
        <v>3303</v>
      </c>
      <c r="E1706" s="23" t="s">
        <v>3317</v>
      </c>
      <c r="F1706" s="23" t="s">
        <v>3729</v>
      </c>
      <c r="G1706" s="93">
        <v>3</v>
      </c>
      <c r="H1706" s="93">
        <v>0</v>
      </c>
      <c r="I1706" s="23"/>
      <c r="J1706" s="23"/>
      <c r="K1706" s="23"/>
      <c r="L1706" s="23" t="s">
        <v>5796</v>
      </c>
      <c r="M1706" s="23"/>
    </row>
    <row r="1707" spans="2:13" ht="15" customHeight="1" x14ac:dyDescent="0.25">
      <c r="B1707" s="35" t="s">
        <v>6386</v>
      </c>
      <c r="C1707" s="23" t="s">
        <v>6387</v>
      </c>
      <c r="D1707" s="23" t="s">
        <v>3303</v>
      </c>
      <c r="E1707" s="23" t="s">
        <v>3317</v>
      </c>
      <c r="F1707" s="23" t="s">
        <v>3729</v>
      </c>
      <c r="G1707" s="93">
        <v>3</v>
      </c>
      <c r="H1707" s="93">
        <v>0</v>
      </c>
      <c r="I1707" s="23"/>
      <c r="J1707" s="23"/>
      <c r="K1707" s="23"/>
      <c r="L1707" s="23" t="s">
        <v>5796</v>
      </c>
      <c r="M1707" s="23"/>
    </row>
    <row r="1708" spans="2:13" ht="15" customHeight="1" x14ac:dyDescent="0.25">
      <c r="B1708" s="35" t="s">
        <v>6388</v>
      </c>
      <c r="C1708" s="23" t="s">
        <v>6389</v>
      </c>
      <c r="D1708" s="23" t="s">
        <v>3303</v>
      </c>
      <c r="E1708" s="23" t="s">
        <v>3317</v>
      </c>
      <c r="F1708" s="23" t="s">
        <v>3729</v>
      </c>
      <c r="G1708" s="93">
        <v>3</v>
      </c>
      <c r="H1708" s="93">
        <v>0</v>
      </c>
      <c r="I1708" s="23"/>
      <c r="J1708" s="23"/>
      <c r="K1708" s="23"/>
      <c r="L1708" s="23" t="s">
        <v>5796</v>
      </c>
      <c r="M1708" s="23"/>
    </row>
    <row r="1709" spans="2:13" ht="15" customHeight="1" x14ac:dyDescent="0.25">
      <c r="B1709" s="35" t="s">
        <v>6390</v>
      </c>
      <c r="C1709" s="23" t="s">
        <v>6391</v>
      </c>
      <c r="D1709" s="23" t="s">
        <v>3303</v>
      </c>
      <c r="E1709" s="23" t="s">
        <v>3317</v>
      </c>
      <c r="F1709" s="23" t="s">
        <v>3729</v>
      </c>
      <c r="G1709" s="93">
        <v>3</v>
      </c>
      <c r="H1709" s="93">
        <v>1</v>
      </c>
      <c r="I1709" s="23"/>
      <c r="J1709" s="23"/>
      <c r="K1709" s="23"/>
      <c r="L1709" s="23" t="s">
        <v>5796</v>
      </c>
      <c r="M1709" s="23"/>
    </row>
    <row r="1710" spans="2:13" ht="15" customHeight="1" x14ac:dyDescent="0.25">
      <c r="B1710" s="35" t="s">
        <v>6392</v>
      </c>
      <c r="C1710" s="23" t="s">
        <v>6393</v>
      </c>
      <c r="D1710" s="23" t="s">
        <v>3303</v>
      </c>
      <c r="E1710" s="23" t="s">
        <v>3317</v>
      </c>
      <c r="F1710" s="23" t="s">
        <v>3729</v>
      </c>
      <c r="G1710" s="93">
        <v>3</v>
      </c>
      <c r="H1710" s="93">
        <v>1</v>
      </c>
      <c r="I1710" s="23"/>
      <c r="J1710" s="23"/>
      <c r="K1710" s="23"/>
      <c r="L1710" s="23" t="s">
        <v>5796</v>
      </c>
      <c r="M1710" s="23"/>
    </row>
    <row r="1711" spans="2:13" ht="15" customHeight="1" x14ac:dyDescent="0.25">
      <c r="B1711" s="35" t="s">
        <v>6394</v>
      </c>
      <c r="C1711" s="23" t="s">
        <v>6395</v>
      </c>
      <c r="D1711" s="23" t="s">
        <v>3303</v>
      </c>
      <c r="E1711" s="23" t="s">
        <v>3317</v>
      </c>
      <c r="F1711" s="23" t="s">
        <v>3729</v>
      </c>
      <c r="G1711" s="93">
        <v>3</v>
      </c>
      <c r="H1711" s="93">
        <v>1</v>
      </c>
      <c r="I1711" s="23"/>
      <c r="J1711" s="23"/>
      <c r="K1711" s="23"/>
      <c r="L1711" s="23" t="s">
        <v>5796</v>
      </c>
      <c r="M1711" s="23"/>
    </row>
    <row r="1712" spans="2:13" ht="15" customHeight="1" x14ac:dyDescent="0.25">
      <c r="B1712" s="35" t="s">
        <v>6396</v>
      </c>
      <c r="C1712" s="23" t="s">
        <v>6397</v>
      </c>
      <c r="D1712" s="23" t="s">
        <v>3303</v>
      </c>
      <c r="E1712" s="23" t="s">
        <v>3317</v>
      </c>
      <c r="F1712" s="23" t="s">
        <v>3729</v>
      </c>
      <c r="G1712" s="93">
        <v>3</v>
      </c>
      <c r="H1712" s="93">
        <v>1</v>
      </c>
      <c r="I1712" s="23"/>
      <c r="J1712" s="23"/>
      <c r="K1712" s="23"/>
      <c r="L1712" s="23" t="s">
        <v>5796</v>
      </c>
      <c r="M1712" s="23"/>
    </row>
    <row r="1713" spans="2:13" ht="15" customHeight="1" x14ac:dyDescent="0.25">
      <c r="B1713" s="35" t="s">
        <v>6398</v>
      </c>
      <c r="C1713" s="23" t="s">
        <v>6399</v>
      </c>
      <c r="D1713" s="23" t="s">
        <v>3303</v>
      </c>
      <c r="E1713" s="23" t="s">
        <v>3317</v>
      </c>
      <c r="F1713" s="23" t="s">
        <v>3729</v>
      </c>
      <c r="G1713" s="93">
        <v>3</v>
      </c>
      <c r="H1713" s="93">
        <v>1</v>
      </c>
      <c r="I1713" s="23"/>
      <c r="J1713" s="23"/>
      <c r="K1713" s="23"/>
      <c r="L1713" s="23" t="s">
        <v>5796</v>
      </c>
      <c r="M1713" s="23"/>
    </row>
    <row r="1714" spans="2:13" ht="15" customHeight="1" x14ac:dyDescent="0.25">
      <c r="B1714" s="35" t="s">
        <v>6400</v>
      </c>
      <c r="C1714" s="23" t="s">
        <v>6401</v>
      </c>
      <c r="D1714" s="23" t="s">
        <v>3303</v>
      </c>
      <c r="E1714" s="23" t="s">
        <v>3317</v>
      </c>
      <c r="F1714" s="23" t="s">
        <v>3729</v>
      </c>
      <c r="G1714" s="93">
        <v>3</v>
      </c>
      <c r="H1714" s="93">
        <v>1</v>
      </c>
      <c r="I1714" s="23"/>
      <c r="J1714" s="23"/>
      <c r="K1714" s="23"/>
      <c r="L1714" s="23" t="s">
        <v>5796</v>
      </c>
      <c r="M1714" s="23"/>
    </row>
    <row r="1715" spans="2:13" ht="15" customHeight="1" x14ac:dyDescent="0.25">
      <c r="B1715" s="35" t="s">
        <v>6402</v>
      </c>
      <c r="C1715" s="23" t="s">
        <v>6403</v>
      </c>
      <c r="D1715" s="23" t="s">
        <v>3303</v>
      </c>
      <c r="E1715" s="23" t="s">
        <v>3317</v>
      </c>
      <c r="F1715" s="23" t="s">
        <v>3729</v>
      </c>
      <c r="G1715" s="93">
        <v>3</v>
      </c>
      <c r="H1715" s="93">
        <v>1</v>
      </c>
      <c r="I1715" s="23"/>
      <c r="J1715" s="23"/>
      <c r="K1715" s="23"/>
      <c r="L1715" s="23" t="s">
        <v>5796</v>
      </c>
      <c r="M1715" s="23"/>
    </row>
    <row r="1716" spans="2:13" ht="15" customHeight="1" x14ac:dyDescent="0.25">
      <c r="B1716" s="35" t="s">
        <v>6404</v>
      </c>
      <c r="C1716" s="23" t="s">
        <v>6405</v>
      </c>
      <c r="D1716" s="23" t="s">
        <v>3303</v>
      </c>
      <c r="E1716" s="23" t="s">
        <v>3317</v>
      </c>
      <c r="F1716" s="23" t="s">
        <v>3729</v>
      </c>
      <c r="G1716" s="93">
        <v>3</v>
      </c>
      <c r="H1716" s="93">
        <v>1</v>
      </c>
      <c r="I1716" s="23"/>
      <c r="J1716" s="23"/>
      <c r="K1716" s="23"/>
      <c r="L1716" s="23" t="s">
        <v>5796</v>
      </c>
      <c r="M1716" s="23"/>
    </row>
    <row r="1717" spans="2:13" ht="15" customHeight="1" x14ac:dyDescent="0.25">
      <c r="B1717" s="35" t="s">
        <v>6406</v>
      </c>
      <c r="C1717" s="23" t="s">
        <v>6407</v>
      </c>
      <c r="D1717" s="23" t="s">
        <v>3303</v>
      </c>
      <c r="E1717" s="23" t="s">
        <v>3317</v>
      </c>
      <c r="F1717" s="23" t="s">
        <v>3729</v>
      </c>
      <c r="G1717" s="93">
        <v>3</v>
      </c>
      <c r="H1717" s="93">
        <v>1</v>
      </c>
      <c r="I1717" s="23"/>
      <c r="J1717" s="23"/>
      <c r="K1717" s="23"/>
      <c r="L1717" s="23" t="s">
        <v>5796</v>
      </c>
      <c r="M1717" s="23"/>
    </row>
    <row r="1718" spans="2:13" ht="15" customHeight="1" x14ac:dyDescent="0.25">
      <c r="B1718" s="35" t="s">
        <v>6408</v>
      </c>
      <c r="C1718" s="23" t="s">
        <v>6409</v>
      </c>
      <c r="D1718" s="23" t="s">
        <v>3303</v>
      </c>
      <c r="E1718" s="23" t="s">
        <v>3317</v>
      </c>
      <c r="F1718" s="23" t="s">
        <v>3729</v>
      </c>
      <c r="G1718" s="93">
        <v>3</v>
      </c>
      <c r="H1718" s="93">
        <v>1</v>
      </c>
      <c r="I1718" s="23"/>
      <c r="J1718" s="23"/>
      <c r="K1718" s="23"/>
      <c r="L1718" s="23" t="s">
        <v>5796</v>
      </c>
      <c r="M1718" s="23"/>
    </row>
    <row r="1719" spans="2:13" ht="15" customHeight="1" x14ac:dyDescent="0.25">
      <c r="B1719" s="35" t="s">
        <v>6410</v>
      </c>
      <c r="C1719" s="23" t="s">
        <v>6411</v>
      </c>
      <c r="D1719" s="23" t="s">
        <v>3303</v>
      </c>
      <c r="E1719" s="23" t="s">
        <v>3317</v>
      </c>
      <c r="F1719" s="23" t="s">
        <v>3729</v>
      </c>
      <c r="G1719" s="93">
        <v>3</v>
      </c>
      <c r="H1719" s="93">
        <v>1</v>
      </c>
      <c r="I1719" s="23"/>
      <c r="J1719" s="23"/>
      <c r="K1719" s="23"/>
      <c r="L1719" s="23" t="s">
        <v>5796</v>
      </c>
      <c r="M1719" s="23"/>
    </row>
    <row r="1720" spans="2:13" ht="15" customHeight="1" x14ac:dyDescent="0.25">
      <c r="B1720" s="35" t="s">
        <v>6412</v>
      </c>
      <c r="C1720" s="23" t="s">
        <v>6413</v>
      </c>
      <c r="D1720" s="23" t="s">
        <v>3303</v>
      </c>
      <c r="E1720" s="23" t="s">
        <v>3317</v>
      </c>
      <c r="F1720" s="23" t="s">
        <v>3729</v>
      </c>
      <c r="G1720" s="93">
        <v>3</v>
      </c>
      <c r="H1720" s="93">
        <v>1</v>
      </c>
      <c r="I1720" s="23"/>
      <c r="J1720" s="23"/>
      <c r="K1720" s="23"/>
      <c r="L1720" s="23" t="s">
        <v>5796</v>
      </c>
      <c r="M1720" s="23"/>
    </row>
    <row r="1721" spans="2:13" ht="15" customHeight="1" x14ac:dyDescent="0.25">
      <c r="B1721" s="35" t="s">
        <v>6414</v>
      </c>
      <c r="C1721" s="23" t="s">
        <v>6415</v>
      </c>
      <c r="D1721" s="23" t="s">
        <v>3303</v>
      </c>
      <c r="E1721" s="23" t="s">
        <v>3317</v>
      </c>
      <c r="F1721" s="23" t="s">
        <v>3729</v>
      </c>
      <c r="G1721" s="93">
        <v>3</v>
      </c>
      <c r="H1721" s="93">
        <v>1</v>
      </c>
      <c r="I1721" s="23"/>
      <c r="J1721" s="23"/>
      <c r="K1721" s="23"/>
      <c r="L1721" s="23" t="s">
        <v>5796</v>
      </c>
      <c r="M1721" s="23"/>
    </row>
    <row r="1722" spans="2:13" ht="15" customHeight="1" x14ac:dyDescent="0.25">
      <c r="B1722" s="35" t="s">
        <v>6416</v>
      </c>
      <c r="C1722" s="23" t="s">
        <v>6417</v>
      </c>
      <c r="D1722" s="23" t="s">
        <v>3303</v>
      </c>
      <c r="E1722" s="23" t="s">
        <v>3317</v>
      </c>
      <c r="F1722" s="23" t="s">
        <v>3729</v>
      </c>
      <c r="G1722" s="93">
        <v>3</v>
      </c>
      <c r="H1722" s="93">
        <v>1</v>
      </c>
      <c r="I1722" s="23"/>
      <c r="J1722" s="23"/>
      <c r="K1722" s="23"/>
      <c r="L1722" s="23" t="s">
        <v>5796</v>
      </c>
      <c r="M1722" s="23"/>
    </row>
    <row r="1723" spans="2:13" ht="15" customHeight="1" x14ac:dyDescent="0.25">
      <c r="B1723" s="35" t="s">
        <v>6418</v>
      </c>
      <c r="C1723" s="23" t="s">
        <v>6419</v>
      </c>
      <c r="D1723" s="23" t="s">
        <v>3303</v>
      </c>
      <c r="E1723" s="23" t="s">
        <v>3317</v>
      </c>
      <c r="F1723" s="23" t="s">
        <v>3729</v>
      </c>
      <c r="G1723" s="93">
        <v>3</v>
      </c>
      <c r="H1723" s="93">
        <v>0</v>
      </c>
      <c r="I1723" s="23"/>
      <c r="J1723" s="23"/>
      <c r="K1723" s="23"/>
      <c r="L1723" s="23" t="s">
        <v>5796</v>
      </c>
      <c r="M1723" s="23"/>
    </row>
    <row r="1724" spans="2:13" ht="15" customHeight="1" x14ac:dyDescent="0.25">
      <c r="B1724" s="35" t="s">
        <v>6420</v>
      </c>
      <c r="C1724" s="23" t="s">
        <v>6421</v>
      </c>
      <c r="D1724" s="23" t="s">
        <v>3303</v>
      </c>
      <c r="E1724" s="23" t="s">
        <v>3317</v>
      </c>
      <c r="F1724" s="23" t="s">
        <v>3729</v>
      </c>
      <c r="G1724" s="93">
        <v>3</v>
      </c>
      <c r="H1724" s="93">
        <v>0</v>
      </c>
      <c r="I1724" s="23"/>
      <c r="J1724" s="23"/>
      <c r="K1724" s="23"/>
      <c r="L1724" s="23" t="s">
        <v>5796</v>
      </c>
      <c r="M1724" s="23"/>
    </row>
    <row r="1725" spans="2:13" ht="15" customHeight="1" x14ac:dyDescent="0.25">
      <c r="B1725" s="35" t="s">
        <v>6422</v>
      </c>
      <c r="C1725" s="23" t="s">
        <v>6423</v>
      </c>
      <c r="D1725" s="23" t="s">
        <v>3303</v>
      </c>
      <c r="E1725" s="23" t="s">
        <v>3317</v>
      </c>
      <c r="F1725" s="23" t="s">
        <v>3729</v>
      </c>
      <c r="G1725" s="93">
        <v>3</v>
      </c>
      <c r="H1725" s="93">
        <v>1</v>
      </c>
      <c r="I1725" s="23"/>
      <c r="J1725" s="23"/>
      <c r="K1725" s="23"/>
      <c r="L1725" s="23" t="s">
        <v>5796</v>
      </c>
      <c r="M1725" s="23"/>
    </row>
    <row r="1726" spans="2:13" ht="15" customHeight="1" x14ac:dyDescent="0.25">
      <c r="B1726" s="35" t="s">
        <v>6424</v>
      </c>
      <c r="C1726" s="23" t="s">
        <v>6425</v>
      </c>
      <c r="D1726" s="23" t="s">
        <v>3303</v>
      </c>
      <c r="E1726" s="23" t="s">
        <v>3317</v>
      </c>
      <c r="F1726" s="23" t="s">
        <v>3729</v>
      </c>
      <c r="G1726" s="93">
        <v>3</v>
      </c>
      <c r="H1726" s="93">
        <v>0</v>
      </c>
      <c r="I1726" s="23"/>
      <c r="J1726" s="23"/>
      <c r="K1726" s="23"/>
      <c r="L1726" s="23" t="s">
        <v>5796</v>
      </c>
      <c r="M1726" s="23"/>
    </row>
    <row r="1727" spans="2:13" ht="15" customHeight="1" x14ac:dyDescent="0.25">
      <c r="B1727" s="35" t="s">
        <v>6426</v>
      </c>
      <c r="C1727" s="23" t="s">
        <v>6427</v>
      </c>
      <c r="D1727" s="23" t="s">
        <v>3303</v>
      </c>
      <c r="E1727" s="23" t="s">
        <v>3317</v>
      </c>
      <c r="F1727" s="23" t="s">
        <v>3729</v>
      </c>
      <c r="G1727" s="93">
        <v>3</v>
      </c>
      <c r="H1727" s="93">
        <v>0</v>
      </c>
      <c r="I1727" s="23"/>
      <c r="J1727" s="23"/>
      <c r="K1727" s="23"/>
      <c r="L1727" s="23" t="s">
        <v>5796</v>
      </c>
      <c r="M1727" s="23"/>
    </row>
    <row r="1728" spans="2:13" ht="15" customHeight="1" x14ac:dyDescent="0.25">
      <c r="B1728" s="35" t="s">
        <v>6428</v>
      </c>
      <c r="C1728" s="23" t="s">
        <v>6429</v>
      </c>
      <c r="D1728" s="23" t="s">
        <v>3303</v>
      </c>
      <c r="E1728" s="23" t="s">
        <v>3317</v>
      </c>
      <c r="F1728" s="23" t="s">
        <v>3729</v>
      </c>
      <c r="G1728" s="93">
        <v>3</v>
      </c>
      <c r="H1728" s="93">
        <v>0</v>
      </c>
      <c r="I1728" s="23"/>
      <c r="J1728" s="23"/>
      <c r="K1728" s="23"/>
      <c r="L1728" s="23" t="s">
        <v>5796</v>
      </c>
      <c r="M1728" s="23"/>
    </row>
    <row r="1729" spans="2:13" ht="15" customHeight="1" x14ac:dyDescent="0.25">
      <c r="B1729" s="35" t="s">
        <v>6430</v>
      </c>
      <c r="C1729" s="23" t="s">
        <v>6431</v>
      </c>
      <c r="D1729" s="23" t="s">
        <v>3303</v>
      </c>
      <c r="E1729" s="23" t="s">
        <v>3317</v>
      </c>
      <c r="F1729" s="23" t="s">
        <v>3729</v>
      </c>
      <c r="G1729" s="93">
        <v>3</v>
      </c>
      <c r="H1729" s="93">
        <v>0</v>
      </c>
      <c r="I1729" s="23"/>
      <c r="J1729" s="23"/>
      <c r="K1729" s="23"/>
      <c r="L1729" s="23" t="s">
        <v>5796</v>
      </c>
      <c r="M1729" s="23"/>
    </row>
    <row r="1730" spans="2:13" ht="15" customHeight="1" x14ac:dyDescent="0.25">
      <c r="B1730" s="35" t="s">
        <v>6432</v>
      </c>
      <c r="C1730" s="23" t="s">
        <v>6433</v>
      </c>
      <c r="D1730" s="23" t="s">
        <v>3303</v>
      </c>
      <c r="E1730" s="23" t="s">
        <v>3317</v>
      </c>
      <c r="F1730" s="23" t="s">
        <v>3729</v>
      </c>
      <c r="G1730" s="93">
        <v>3</v>
      </c>
      <c r="H1730" s="93">
        <v>0</v>
      </c>
      <c r="I1730" s="23"/>
      <c r="J1730" s="23"/>
      <c r="K1730" s="23"/>
      <c r="L1730" s="23" t="s">
        <v>5796</v>
      </c>
      <c r="M1730" s="23"/>
    </row>
    <row r="1731" spans="2:13" ht="15" customHeight="1" x14ac:dyDescent="0.25">
      <c r="B1731" s="35" t="s">
        <v>6434</v>
      </c>
      <c r="C1731" s="23" t="s">
        <v>6435</v>
      </c>
      <c r="D1731" s="23" t="s">
        <v>3303</v>
      </c>
      <c r="E1731" s="23" t="s">
        <v>3317</v>
      </c>
      <c r="F1731" s="23" t="s">
        <v>3729</v>
      </c>
      <c r="G1731" s="93">
        <v>3</v>
      </c>
      <c r="H1731" s="93">
        <v>1</v>
      </c>
      <c r="I1731" s="23"/>
      <c r="J1731" s="23"/>
      <c r="K1731" s="23"/>
      <c r="L1731" s="23" t="s">
        <v>5796</v>
      </c>
      <c r="M1731" s="23" t="s">
        <v>4716</v>
      </c>
    </row>
    <row r="1732" spans="2:13" ht="15" customHeight="1" x14ac:dyDescent="0.25">
      <c r="B1732" s="35" t="s">
        <v>6436</v>
      </c>
      <c r="C1732" s="23" t="s">
        <v>6437</v>
      </c>
      <c r="D1732" s="23" t="s">
        <v>3303</v>
      </c>
      <c r="E1732" s="23" t="s">
        <v>3317</v>
      </c>
      <c r="F1732" s="23" t="s">
        <v>3729</v>
      </c>
      <c r="G1732" s="93">
        <v>3</v>
      </c>
      <c r="H1732" s="93">
        <v>0</v>
      </c>
      <c r="I1732" s="23"/>
      <c r="J1732" s="23"/>
      <c r="K1732" s="23"/>
      <c r="L1732" s="23" t="s">
        <v>5796</v>
      </c>
      <c r="M1732" s="23"/>
    </row>
    <row r="1733" spans="2:13" ht="15" customHeight="1" x14ac:dyDescent="0.25">
      <c r="B1733" s="35" t="s">
        <v>6438</v>
      </c>
      <c r="C1733" s="23" t="s">
        <v>6439</v>
      </c>
      <c r="D1733" s="23" t="s">
        <v>3303</v>
      </c>
      <c r="E1733" s="23" t="s">
        <v>3317</v>
      </c>
      <c r="F1733" s="23" t="s">
        <v>3729</v>
      </c>
      <c r="G1733" s="93">
        <v>3</v>
      </c>
      <c r="H1733" s="93">
        <v>0</v>
      </c>
      <c r="I1733" s="23"/>
      <c r="J1733" s="23"/>
      <c r="K1733" s="23"/>
      <c r="L1733" s="23" t="s">
        <v>5796</v>
      </c>
      <c r="M1733" s="23"/>
    </row>
    <row r="1734" spans="2:13" ht="15" customHeight="1" x14ac:dyDescent="0.25">
      <c r="B1734" s="35" t="s">
        <v>6440</v>
      </c>
      <c r="C1734" s="23" t="s">
        <v>6441</v>
      </c>
      <c r="D1734" s="23" t="s">
        <v>3303</v>
      </c>
      <c r="E1734" s="23" t="s">
        <v>3317</v>
      </c>
      <c r="F1734" s="23" t="s">
        <v>3729</v>
      </c>
      <c r="G1734" s="93">
        <v>3</v>
      </c>
      <c r="H1734" s="93">
        <v>0</v>
      </c>
      <c r="I1734" s="23"/>
      <c r="J1734" s="23"/>
      <c r="K1734" s="23"/>
      <c r="L1734" s="23" t="s">
        <v>5796</v>
      </c>
      <c r="M1734" s="23"/>
    </row>
    <row r="1735" spans="2:13" ht="15" customHeight="1" x14ac:dyDescent="0.25">
      <c r="B1735" s="35" t="s">
        <v>6442</v>
      </c>
      <c r="C1735" s="23" t="s">
        <v>6443</v>
      </c>
      <c r="D1735" s="23" t="s">
        <v>3303</v>
      </c>
      <c r="E1735" s="23" t="s">
        <v>3317</v>
      </c>
      <c r="F1735" s="23" t="s">
        <v>3729</v>
      </c>
      <c r="G1735" s="93">
        <v>3</v>
      </c>
      <c r="H1735" s="93">
        <v>0</v>
      </c>
      <c r="I1735" s="23"/>
      <c r="J1735" s="23"/>
      <c r="K1735" s="23"/>
      <c r="L1735" s="23" t="s">
        <v>5796</v>
      </c>
      <c r="M1735" s="23"/>
    </row>
    <row r="1736" spans="2:13" ht="15" customHeight="1" x14ac:dyDescent="0.25">
      <c r="B1736" s="35" t="s">
        <v>6444</v>
      </c>
      <c r="C1736" s="23" t="s">
        <v>6445</v>
      </c>
      <c r="D1736" s="23" t="s">
        <v>3303</v>
      </c>
      <c r="E1736" s="23" t="s">
        <v>3317</v>
      </c>
      <c r="F1736" s="23" t="s">
        <v>3729</v>
      </c>
      <c r="G1736" s="93">
        <v>3</v>
      </c>
      <c r="H1736" s="93">
        <v>0</v>
      </c>
      <c r="I1736" s="23"/>
      <c r="J1736" s="23"/>
      <c r="K1736" s="23"/>
      <c r="L1736" s="23" t="s">
        <v>5796</v>
      </c>
      <c r="M1736" s="23"/>
    </row>
    <row r="1737" spans="2:13" ht="15" customHeight="1" x14ac:dyDescent="0.25">
      <c r="B1737" s="35" t="s">
        <v>6446</v>
      </c>
      <c r="C1737" s="23" t="s">
        <v>6447</v>
      </c>
      <c r="D1737" s="23" t="s">
        <v>3303</v>
      </c>
      <c r="E1737" s="23" t="s">
        <v>3317</v>
      </c>
      <c r="F1737" s="23" t="s">
        <v>3729</v>
      </c>
      <c r="G1737" s="93">
        <v>3</v>
      </c>
      <c r="H1737" s="93">
        <v>0</v>
      </c>
      <c r="I1737" s="23"/>
      <c r="J1737" s="23"/>
      <c r="K1737" s="23"/>
      <c r="L1737" s="23" t="s">
        <v>5796</v>
      </c>
      <c r="M1737" s="23"/>
    </row>
    <row r="1738" spans="2:13" ht="15" customHeight="1" x14ac:dyDescent="0.25">
      <c r="B1738" s="35" t="s">
        <v>6448</v>
      </c>
      <c r="C1738" s="23" t="s">
        <v>6449</v>
      </c>
      <c r="D1738" s="23" t="s">
        <v>3303</v>
      </c>
      <c r="E1738" s="23" t="s">
        <v>3317</v>
      </c>
      <c r="F1738" s="23" t="s">
        <v>3729</v>
      </c>
      <c r="G1738" s="93">
        <v>3</v>
      </c>
      <c r="H1738" s="93">
        <v>0</v>
      </c>
      <c r="I1738" s="23"/>
      <c r="J1738" s="23"/>
      <c r="K1738" s="23"/>
      <c r="L1738" s="23" t="s">
        <v>5796</v>
      </c>
      <c r="M1738" s="23"/>
    </row>
    <row r="1739" spans="2:13" ht="15" customHeight="1" x14ac:dyDescent="0.25">
      <c r="B1739" s="35" t="s">
        <v>6450</v>
      </c>
      <c r="C1739" s="23" t="s">
        <v>6451</v>
      </c>
      <c r="D1739" s="23" t="s">
        <v>3303</v>
      </c>
      <c r="E1739" s="23" t="s">
        <v>3317</v>
      </c>
      <c r="F1739" s="23" t="s">
        <v>3729</v>
      </c>
      <c r="G1739" s="93">
        <v>3</v>
      </c>
      <c r="H1739" s="93">
        <v>0</v>
      </c>
      <c r="I1739" s="23"/>
      <c r="J1739" s="23"/>
      <c r="K1739" s="23"/>
      <c r="L1739" s="23" t="s">
        <v>5796</v>
      </c>
      <c r="M1739" s="23"/>
    </row>
    <row r="1740" spans="2:13" ht="15" customHeight="1" x14ac:dyDescent="0.25">
      <c r="B1740" s="35" t="s">
        <v>6452</v>
      </c>
      <c r="C1740" s="23" t="s">
        <v>6453</v>
      </c>
      <c r="D1740" s="23" t="s">
        <v>3303</v>
      </c>
      <c r="E1740" s="23" t="s">
        <v>3317</v>
      </c>
      <c r="F1740" s="23" t="s">
        <v>3729</v>
      </c>
      <c r="G1740" s="93">
        <v>3</v>
      </c>
      <c r="H1740" s="93">
        <v>1</v>
      </c>
      <c r="I1740" s="23"/>
      <c r="J1740" s="23"/>
      <c r="K1740" s="23"/>
      <c r="L1740" s="23" t="s">
        <v>5796</v>
      </c>
      <c r="M1740" s="23"/>
    </row>
    <row r="1741" spans="2:13" ht="15" customHeight="1" x14ac:dyDescent="0.25">
      <c r="B1741" s="35" t="s">
        <v>6454</v>
      </c>
      <c r="C1741" s="23" t="s">
        <v>6455</v>
      </c>
      <c r="D1741" s="23" t="s">
        <v>3303</v>
      </c>
      <c r="E1741" s="23" t="s">
        <v>3317</v>
      </c>
      <c r="F1741" s="23" t="s">
        <v>3729</v>
      </c>
      <c r="G1741" s="93">
        <v>3</v>
      </c>
      <c r="H1741" s="93">
        <v>0</v>
      </c>
      <c r="I1741" s="23"/>
      <c r="J1741" s="23"/>
      <c r="K1741" s="23"/>
      <c r="L1741" s="23" t="s">
        <v>5796</v>
      </c>
      <c r="M1741" s="23"/>
    </row>
    <row r="1742" spans="2:13" ht="15" customHeight="1" x14ac:dyDescent="0.25">
      <c r="B1742" s="35" t="s">
        <v>6456</v>
      </c>
      <c r="C1742" s="23" t="s">
        <v>6457</v>
      </c>
      <c r="D1742" s="23" t="s">
        <v>3303</v>
      </c>
      <c r="E1742" s="23" t="s">
        <v>3317</v>
      </c>
      <c r="F1742" s="23" t="s">
        <v>3729</v>
      </c>
      <c r="G1742" s="93">
        <v>3</v>
      </c>
      <c r="H1742" s="93">
        <v>1</v>
      </c>
      <c r="I1742" s="23"/>
      <c r="J1742" s="23"/>
      <c r="K1742" s="23"/>
      <c r="L1742" s="23" t="s">
        <v>5796</v>
      </c>
      <c r="M1742" s="23" t="s">
        <v>4716</v>
      </c>
    </row>
    <row r="1743" spans="2:13" ht="15" customHeight="1" x14ac:dyDescent="0.25">
      <c r="B1743" s="35" t="s">
        <v>6458</v>
      </c>
      <c r="C1743" s="23" t="s">
        <v>6459</v>
      </c>
      <c r="D1743" s="23" t="s">
        <v>3303</v>
      </c>
      <c r="E1743" s="23" t="s">
        <v>3317</v>
      </c>
      <c r="F1743" s="23" t="s">
        <v>3729</v>
      </c>
      <c r="G1743" s="93">
        <v>3</v>
      </c>
      <c r="H1743" s="93">
        <v>0</v>
      </c>
      <c r="I1743" s="23"/>
      <c r="J1743" s="23"/>
      <c r="K1743" s="23"/>
      <c r="L1743" s="23" t="s">
        <v>5796</v>
      </c>
      <c r="M1743" s="23"/>
    </row>
    <row r="1744" spans="2:13" ht="15" customHeight="1" x14ac:dyDescent="0.25">
      <c r="B1744" s="35" t="s">
        <v>6460</v>
      </c>
      <c r="C1744" s="23" t="s">
        <v>6461</v>
      </c>
      <c r="D1744" s="23" t="s">
        <v>3303</v>
      </c>
      <c r="E1744" s="23" t="s">
        <v>3317</v>
      </c>
      <c r="F1744" s="23" t="s">
        <v>3729</v>
      </c>
      <c r="G1744" s="93">
        <v>3</v>
      </c>
      <c r="H1744" s="93">
        <v>0</v>
      </c>
      <c r="I1744" s="23"/>
      <c r="J1744" s="23"/>
      <c r="K1744" s="23"/>
      <c r="L1744" s="23" t="s">
        <v>5796</v>
      </c>
      <c r="M1744" s="23"/>
    </row>
    <row r="1745" spans="2:13" ht="15" customHeight="1" x14ac:dyDescent="0.25">
      <c r="B1745" s="35" t="s">
        <v>6462</v>
      </c>
      <c r="C1745" s="23" t="s">
        <v>6463</v>
      </c>
      <c r="D1745" s="23" t="s">
        <v>3303</v>
      </c>
      <c r="E1745" s="23" t="s">
        <v>3317</v>
      </c>
      <c r="F1745" s="23" t="s">
        <v>3729</v>
      </c>
      <c r="G1745" s="93">
        <v>3</v>
      </c>
      <c r="H1745" s="93">
        <v>0</v>
      </c>
      <c r="I1745" s="23"/>
      <c r="J1745" s="23"/>
      <c r="K1745" s="23"/>
      <c r="L1745" s="23" t="s">
        <v>5796</v>
      </c>
      <c r="M1745" s="23"/>
    </row>
    <row r="1746" spans="2:13" ht="15" customHeight="1" x14ac:dyDescent="0.25">
      <c r="B1746" s="35" t="s">
        <v>6464</v>
      </c>
      <c r="C1746" s="23" t="s">
        <v>6465</v>
      </c>
      <c r="D1746" s="23" t="s">
        <v>3303</v>
      </c>
      <c r="E1746" s="23" t="s">
        <v>3317</v>
      </c>
      <c r="F1746" s="23" t="s">
        <v>3729</v>
      </c>
      <c r="G1746" s="93">
        <v>3</v>
      </c>
      <c r="H1746" s="93">
        <v>0</v>
      </c>
      <c r="I1746" s="23"/>
      <c r="J1746" s="23"/>
      <c r="K1746" s="23"/>
      <c r="L1746" s="23" t="s">
        <v>5796</v>
      </c>
      <c r="M1746" s="23"/>
    </row>
    <row r="1747" spans="2:13" ht="15" customHeight="1" x14ac:dyDescent="0.25">
      <c r="B1747" s="35" t="s">
        <v>6466</v>
      </c>
      <c r="C1747" s="23" t="s">
        <v>6467</v>
      </c>
      <c r="D1747" s="23" t="s">
        <v>3303</v>
      </c>
      <c r="E1747" s="23" t="s">
        <v>3317</v>
      </c>
      <c r="F1747" s="23" t="s">
        <v>3729</v>
      </c>
      <c r="G1747" s="93">
        <v>3</v>
      </c>
      <c r="H1747" s="93">
        <v>0</v>
      </c>
      <c r="I1747" s="23"/>
      <c r="J1747" s="23"/>
      <c r="K1747" s="23"/>
      <c r="L1747" s="23" t="s">
        <v>5796</v>
      </c>
      <c r="M1747" s="23"/>
    </row>
    <row r="1748" spans="2:13" ht="15" customHeight="1" x14ac:dyDescent="0.25">
      <c r="B1748" s="35" t="s">
        <v>6468</v>
      </c>
      <c r="C1748" s="23" t="s">
        <v>6469</v>
      </c>
      <c r="D1748" s="23" t="s">
        <v>3303</v>
      </c>
      <c r="E1748" s="23" t="s">
        <v>3317</v>
      </c>
      <c r="F1748" s="23" t="s">
        <v>3729</v>
      </c>
      <c r="G1748" s="93">
        <v>3</v>
      </c>
      <c r="H1748" s="93">
        <v>0</v>
      </c>
      <c r="I1748" s="23"/>
      <c r="J1748" s="23"/>
      <c r="K1748" s="23"/>
      <c r="L1748" s="23" t="s">
        <v>5796</v>
      </c>
      <c r="M1748" s="23"/>
    </row>
    <row r="1749" spans="2:13" ht="15" customHeight="1" x14ac:dyDescent="0.25">
      <c r="B1749" s="35" t="s">
        <v>6470</v>
      </c>
      <c r="C1749" s="23" t="s">
        <v>6471</v>
      </c>
      <c r="D1749" s="23" t="s">
        <v>3303</v>
      </c>
      <c r="E1749" s="23" t="s">
        <v>3317</v>
      </c>
      <c r="F1749" s="23" t="s">
        <v>3729</v>
      </c>
      <c r="G1749" s="93">
        <v>3</v>
      </c>
      <c r="H1749" s="93">
        <v>0</v>
      </c>
      <c r="I1749" s="23"/>
      <c r="J1749" s="23"/>
      <c r="K1749" s="23"/>
      <c r="L1749" s="23" t="s">
        <v>5796</v>
      </c>
      <c r="M1749" s="23"/>
    </row>
    <row r="1750" spans="2:13" ht="15" customHeight="1" x14ac:dyDescent="0.25">
      <c r="B1750" s="35" t="s">
        <v>6472</v>
      </c>
      <c r="C1750" s="23" t="s">
        <v>6473</v>
      </c>
      <c r="D1750" s="23" t="s">
        <v>3303</v>
      </c>
      <c r="E1750" s="23" t="s">
        <v>3317</v>
      </c>
      <c r="F1750" s="23" t="s">
        <v>3729</v>
      </c>
      <c r="G1750" s="93">
        <v>0</v>
      </c>
      <c r="H1750" s="93">
        <v>0</v>
      </c>
      <c r="I1750" s="23"/>
      <c r="J1750" s="23"/>
      <c r="K1750" s="23"/>
      <c r="L1750" s="23" t="s">
        <v>5796</v>
      </c>
      <c r="M1750" s="23"/>
    </row>
    <row r="1751" spans="2:13" ht="15" customHeight="1" x14ac:dyDescent="0.25">
      <c r="B1751" s="35" t="s">
        <v>6474</v>
      </c>
      <c r="C1751" s="23" t="s">
        <v>6475</v>
      </c>
      <c r="D1751" s="23" t="s">
        <v>3303</v>
      </c>
      <c r="E1751" s="23" t="s">
        <v>3317</v>
      </c>
      <c r="F1751" s="23" t="s">
        <v>3729</v>
      </c>
      <c r="G1751" s="93">
        <v>3</v>
      </c>
      <c r="H1751" s="93">
        <v>0</v>
      </c>
      <c r="I1751" s="23"/>
      <c r="J1751" s="23"/>
      <c r="K1751" s="23"/>
      <c r="L1751" s="23" t="s">
        <v>5796</v>
      </c>
      <c r="M1751" s="23"/>
    </row>
    <row r="1752" spans="2:13" ht="15" customHeight="1" x14ac:dyDescent="0.25">
      <c r="B1752" s="35" t="s">
        <v>6476</v>
      </c>
      <c r="C1752" s="23" t="s">
        <v>6477</v>
      </c>
      <c r="D1752" s="23" t="s">
        <v>3303</v>
      </c>
      <c r="E1752" s="23" t="s">
        <v>3317</v>
      </c>
      <c r="F1752" s="23" t="s">
        <v>3729</v>
      </c>
      <c r="G1752" s="93">
        <v>3</v>
      </c>
      <c r="H1752" s="93">
        <v>0</v>
      </c>
      <c r="I1752" s="23"/>
      <c r="J1752" s="23"/>
      <c r="K1752" s="23"/>
      <c r="L1752" s="23" t="s">
        <v>5796</v>
      </c>
      <c r="M1752" s="23"/>
    </row>
    <row r="1753" spans="2:13" ht="15" customHeight="1" x14ac:dyDescent="0.25">
      <c r="B1753" s="35" t="s">
        <v>6478</v>
      </c>
      <c r="C1753" s="23" t="s">
        <v>6479</v>
      </c>
      <c r="D1753" s="23" t="s">
        <v>3303</v>
      </c>
      <c r="E1753" s="23" t="s">
        <v>3317</v>
      </c>
      <c r="F1753" s="23" t="s">
        <v>3729</v>
      </c>
      <c r="G1753" s="93">
        <v>3</v>
      </c>
      <c r="H1753" s="93">
        <v>0</v>
      </c>
      <c r="I1753" s="23"/>
      <c r="J1753" s="23"/>
      <c r="K1753" s="23"/>
      <c r="L1753" s="23" t="s">
        <v>5796</v>
      </c>
      <c r="M1753" s="23"/>
    </row>
    <row r="1754" spans="2:13" ht="15" customHeight="1" x14ac:dyDescent="0.25">
      <c r="B1754" s="35" t="s">
        <v>6480</v>
      </c>
      <c r="C1754" s="23" t="s">
        <v>6481</v>
      </c>
      <c r="D1754" s="23" t="s">
        <v>3303</v>
      </c>
      <c r="E1754" s="23" t="s">
        <v>3317</v>
      </c>
      <c r="F1754" s="23" t="s">
        <v>3729</v>
      </c>
      <c r="G1754" s="93">
        <v>3</v>
      </c>
      <c r="H1754" s="93">
        <v>0</v>
      </c>
      <c r="I1754" s="23"/>
      <c r="J1754" s="23"/>
      <c r="K1754" s="23"/>
      <c r="L1754" s="23" t="s">
        <v>5796</v>
      </c>
      <c r="M1754" s="23"/>
    </row>
    <row r="1755" spans="2:13" ht="15" customHeight="1" x14ac:dyDescent="0.25">
      <c r="B1755" s="35" t="s">
        <v>6482</v>
      </c>
      <c r="C1755" s="23" t="s">
        <v>6483</v>
      </c>
      <c r="D1755" s="23" t="s">
        <v>3303</v>
      </c>
      <c r="E1755" s="23" t="s">
        <v>3317</v>
      </c>
      <c r="F1755" s="23" t="s">
        <v>3729</v>
      </c>
      <c r="G1755" s="93">
        <v>0</v>
      </c>
      <c r="H1755" s="93">
        <v>0</v>
      </c>
      <c r="I1755" s="23"/>
      <c r="J1755" s="23"/>
      <c r="K1755" s="23"/>
      <c r="L1755" s="23" t="s">
        <v>5796</v>
      </c>
      <c r="M1755" s="23"/>
    </row>
    <row r="1756" spans="2:13" ht="15" customHeight="1" x14ac:dyDescent="0.25">
      <c r="B1756" s="35" t="s">
        <v>6484</v>
      </c>
      <c r="C1756" s="23" t="s">
        <v>6485</v>
      </c>
      <c r="D1756" s="23" t="s">
        <v>3303</v>
      </c>
      <c r="E1756" s="23" t="s">
        <v>3317</v>
      </c>
      <c r="F1756" s="23" t="s">
        <v>3729</v>
      </c>
      <c r="G1756" s="93">
        <v>3</v>
      </c>
      <c r="H1756" s="93">
        <v>0</v>
      </c>
      <c r="I1756" s="23"/>
      <c r="J1756" s="23"/>
      <c r="K1756" s="23"/>
      <c r="L1756" s="23" t="s">
        <v>5796</v>
      </c>
      <c r="M1756" s="23"/>
    </row>
    <row r="1757" spans="2:13" ht="15" customHeight="1" x14ac:dyDescent="0.25">
      <c r="B1757" s="35" t="s">
        <v>6486</v>
      </c>
      <c r="C1757" s="23" t="s">
        <v>6487</v>
      </c>
      <c r="D1757" s="23" t="s">
        <v>3303</v>
      </c>
      <c r="E1757" s="23" t="s">
        <v>3317</v>
      </c>
      <c r="F1757" s="23" t="s">
        <v>3729</v>
      </c>
      <c r="G1757" s="93">
        <v>2</v>
      </c>
      <c r="H1757" s="93">
        <v>1</v>
      </c>
      <c r="I1757" s="23"/>
      <c r="J1757" s="23"/>
      <c r="K1757" s="23"/>
      <c r="L1757" s="23" t="s">
        <v>5796</v>
      </c>
      <c r="M1757" s="23"/>
    </row>
    <row r="1758" spans="2:13" ht="15" customHeight="1" x14ac:dyDescent="0.25">
      <c r="B1758" s="35" t="s">
        <v>6488</v>
      </c>
      <c r="C1758" s="23" t="s">
        <v>6489</v>
      </c>
      <c r="D1758" s="23" t="s">
        <v>3303</v>
      </c>
      <c r="E1758" s="23" t="s">
        <v>3317</v>
      </c>
      <c r="F1758" s="23" t="s">
        <v>3729</v>
      </c>
      <c r="G1758" s="93">
        <v>3</v>
      </c>
      <c r="H1758" s="93">
        <v>0</v>
      </c>
      <c r="I1758" s="23"/>
      <c r="J1758" s="23"/>
      <c r="K1758" s="23"/>
      <c r="L1758" s="23" t="s">
        <v>5796</v>
      </c>
      <c r="M1758" s="23"/>
    </row>
    <row r="1759" spans="2:13" ht="15" customHeight="1" x14ac:dyDescent="0.25">
      <c r="B1759" s="35" t="s">
        <v>6490</v>
      </c>
      <c r="C1759" s="23" t="s">
        <v>6491</v>
      </c>
      <c r="D1759" s="23" t="s">
        <v>3303</v>
      </c>
      <c r="E1759" s="23" t="s">
        <v>3317</v>
      </c>
      <c r="F1759" s="23" t="s">
        <v>3729</v>
      </c>
      <c r="G1759" s="93">
        <v>3</v>
      </c>
      <c r="H1759" s="93">
        <v>0</v>
      </c>
      <c r="I1759" s="23"/>
      <c r="J1759" s="23"/>
      <c r="K1759" s="23"/>
      <c r="L1759" s="23" t="s">
        <v>5796</v>
      </c>
      <c r="M1759" s="23"/>
    </row>
    <row r="1760" spans="2:13" ht="15" customHeight="1" x14ac:dyDescent="0.25">
      <c r="B1760" s="35" t="s">
        <v>6492</v>
      </c>
      <c r="C1760" s="23" t="s">
        <v>6493</v>
      </c>
      <c r="D1760" s="23" t="s">
        <v>3303</v>
      </c>
      <c r="E1760" s="23" t="s">
        <v>3317</v>
      </c>
      <c r="F1760" s="23" t="s">
        <v>3729</v>
      </c>
      <c r="G1760" s="93">
        <v>3</v>
      </c>
      <c r="H1760" s="93">
        <v>0</v>
      </c>
      <c r="I1760" s="23"/>
      <c r="J1760" s="23"/>
      <c r="K1760" s="23"/>
      <c r="L1760" s="23" t="s">
        <v>5796</v>
      </c>
      <c r="M1760" s="23"/>
    </row>
    <row r="1761" spans="2:13" ht="15" customHeight="1" x14ac:dyDescent="0.25">
      <c r="B1761" s="35" t="s">
        <v>6494</v>
      </c>
      <c r="C1761" s="23" t="s">
        <v>6495</v>
      </c>
      <c r="D1761" s="23" t="s">
        <v>3303</v>
      </c>
      <c r="E1761" s="23" t="s">
        <v>3317</v>
      </c>
      <c r="F1761" s="23" t="s">
        <v>3729</v>
      </c>
      <c r="G1761" s="93">
        <v>3</v>
      </c>
      <c r="H1761" s="93">
        <v>0</v>
      </c>
      <c r="I1761" s="23"/>
      <c r="J1761" s="23"/>
      <c r="K1761" s="23"/>
      <c r="L1761" s="23" t="s">
        <v>5796</v>
      </c>
      <c r="M1761" s="23"/>
    </row>
    <row r="1762" spans="2:13" ht="15" customHeight="1" x14ac:dyDescent="0.25">
      <c r="B1762" s="35" t="s">
        <v>6496</v>
      </c>
      <c r="C1762" s="23" t="s">
        <v>6497</v>
      </c>
      <c r="D1762" s="23" t="s">
        <v>3303</v>
      </c>
      <c r="E1762" s="23" t="s">
        <v>3317</v>
      </c>
      <c r="F1762" s="23" t="s">
        <v>3729</v>
      </c>
      <c r="G1762" s="93">
        <v>3</v>
      </c>
      <c r="H1762" s="93">
        <v>0</v>
      </c>
      <c r="I1762" s="23"/>
      <c r="J1762" s="23"/>
      <c r="K1762" s="23"/>
      <c r="L1762" s="23" t="s">
        <v>5796</v>
      </c>
      <c r="M1762" s="23"/>
    </row>
    <row r="1763" spans="2:13" ht="15" customHeight="1" x14ac:dyDescent="0.25">
      <c r="B1763" s="35" t="s">
        <v>6498</v>
      </c>
      <c r="C1763" s="23" t="s">
        <v>6499</v>
      </c>
      <c r="D1763" s="23" t="s">
        <v>3303</v>
      </c>
      <c r="E1763" s="23" t="s">
        <v>3317</v>
      </c>
      <c r="F1763" s="23" t="s">
        <v>3729</v>
      </c>
      <c r="G1763" s="93">
        <v>0</v>
      </c>
      <c r="H1763" s="93">
        <v>1</v>
      </c>
      <c r="I1763" s="23"/>
      <c r="J1763" s="23"/>
      <c r="K1763" s="23"/>
      <c r="L1763" s="23" t="s">
        <v>5796</v>
      </c>
      <c r="M1763" s="23"/>
    </row>
    <row r="1764" spans="2:13" ht="15" customHeight="1" x14ac:dyDescent="0.25">
      <c r="B1764" s="35" t="s">
        <v>6500</v>
      </c>
      <c r="C1764" s="23" t="s">
        <v>6501</v>
      </c>
      <c r="D1764" s="23" t="s">
        <v>3303</v>
      </c>
      <c r="E1764" s="23" t="s">
        <v>3317</v>
      </c>
      <c r="F1764" s="23" t="s">
        <v>3729</v>
      </c>
      <c r="G1764" s="93">
        <v>0</v>
      </c>
      <c r="H1764" s="93">
        <v>0</v>
      </c>
      <c r="I1764" s="23"/>
      <c r="J1764" s="23"/>
      <c r="K1764" s="23"/>
      <c r="L1764" s="23" t="s">
        <v>5796</v>
      </c>
      <c r="M1764" s="23"/>
    </row>
    <row r="1765" spans="2:13" ht="15" customHeight="1" x14ac:dyDescent="0.25">
      <c r="B1765" s="35" t="s">
        <v>6502</v>
      </c>
      <c r="C1765" s="23" t="s">
        <v>6503</v>
      </c>
      <c r="D1765" s="23" t="s">
        <v>3303</v>
      </c>
      <c r="E1765" s="23" t="s">
        <v>3317</v>
      </c>
      <c r="F1765" s="23" t="s">
        <v>3729</v>
      </c>
      <c r="G1765" s="93">
        <v>3</v>
      </c>
      <c r="H1765" s="93">
        <v>0</v>
      </c>
      <c r="I1765" s="23"/>
      <c r="J1765" s="23"/>
      <c r="K1765" s="23"/>
      <c r="L1765" s="23" t="s">
        <v>5796</v>
      </c>
      <c r="M1765" s="23"/>
    </row>
    <row r="1766" spans="2:13" ht="15" customHeight="1" x14ac:dyDescent="0.25">
      <c r="B1766" s="35" t="s">
        <v>6504</v>
      </c>
      <c r="C1766" s="23" t="s">
        <v>6505</v>
      </c>
      <c r="D1766" s="23" t="s">
        <v>3303</v>
      </c>
      <c r="E1766" s="23" t="s">
        <v>3317</v>
      </c>
      <c r="F1766" s="23" t="s">
        <v>3729</v>
      </c>
      <c r="G1766" s="93">
        <v>3</v>
      </c>
      <c r="H1766" s="93">
        <v>0</v>
      </c>
      <c r="I1766" s="23"/>
      <c r="J1766" s="23"/>
      <c r="K1766" s="23"/>
      <c r="L1766" s="23" t="s">
        <v>5796</v>
      </c>
      <c r="M1766" s="23"/>
    </row>
    <row r="1767" spans="2:13" ht="15" customHeight="1" x14ac:dyDescent="0.25">
      <c r="B1767" s="35" t="s">
        <v>6506</v>
      </c>
      <c r="C1767" s="23" t="s">
        <v>6507</v>
      </c>
      <c r="D1767" s="23" t="s">
        <v>3303</v>
      </c>
      <c r="E1767" s="23" t="s">
        <v>3317</v>
      </c>
      <c r="F1767" s="23" t="s">
        <v>3729</v>
      </c>
      <c r="G1767" s="93">
        <v>3</v>
      </c>
      <c r="H1767" s="93">
        <v>1</v>
      </c>
      <c r="I1767" s="23"/>
      <c r="J1767" s="23"/>
      <c r="K1767" s="23"/>
      <c r="L1767" s="23" t="s">
        <v>5796</v>
      </c>
      <c r="M1767" s="23"/>
    </row>
    <row r="1768" spans="2:13" ht="15" customHeight="1" x14ac:dyDescent="0.25">
      <c r="B1768" s="35" t="s">
        <v>6508</v>
      </c>
      <c r="C1768" s="23" t="s">
        <v>6509</v>
      </c>
      <c r="D1768" s="23" t="s">
        <v>3303</v>
      </c>
      <c r="E1768" s="23" t="s">
        <v>3317</v>
      </c>
      <c r="F1768" s="23" t="s">
        <v>3729</v>
      </c>
      <c r="G1768" s="93">
        <v>3</v>
      </c>
      <c r="H1768" s="93">
        <v>1</v>
      </c>
      <c r="I1768" s="23"/>
      <c r="J1768" s="23"/>
      <c r="K1768" s="23"/>
      <c r="L1768" s="23" t="s">
        <v>5796</v>
      </c>
      <c r="M1768" s="23"/>
    </row>
    <row r="1769" spans="2:13" ht="15" customHeight="1" x14ac:dyDescent="0.25">
      <c r="B1769" s="35" t="s">
        <v>6510</v>
      </c>
      <c r="C1769" s="23" t="s">
        <v>6511</v>
      </c>
      <c r="D1769" s="23" t="s">
        <v>3303</v>
      </c>
      <c r="E1769" s="23" t="s">
        <v>3317</v>
      </c>
      <c r="F1769" s="23" t="s">
        <v>3729</v>
      </c>
      <c r="G1769" s="93">
        <v>3</v>
      </c>
      <c r="H1769" s="93">
        <v>1</v>
      </c>
      <c r="I1769" s="23"/>
      <c r="J1769" s="23"/>
      <c r="K1769" s="23"/>
      <c r="L1769" s="23" t="s">
        <v>5796</v>
      </c>
      <c r="M1769" s="23"/>
    </row>
    <row r="1770" spans="2:13" ht="15" customHeight="1" x14ac:dyDescent="0.25">
      <c r="B1770" s="35" t="s">
        <v>6512</v>
      </c>
      <c r="C1770" s="23" t="s">
        <v>6513</v>
      </c>
      <c r="D1770" s="23" t="s">
        <v>3303</v>
      </c>
      <c r="E1770" s="23" t="s">
        <v>3317</v>
      </c>
      <c r="F1770" s="23" t="s">
        <v>3729</v>
      </c>
      <c r="G1770" s="93">
        <v>3</v>
      </c>
      <c r="H1770" s="93">
        <v>1</v>
      </c>
      <c r="I1770" s="23"/>
      <c r="J1770" s="23"/>
      <c r="K1770" s="23"/>
      <c r="L1770" s="23" t="s">
        <v>5796</v>
      </c>
      <c r="M1770" s="23"/>
    </row>
    <row r="1771" spans="2:13" ht="15" customHeight="1" x14ac:dyDescent="0.25">
      <c r="B1771" s="35" t="s">
        <v>6514</v>
      </c>
      <c r="C1771" s="23" t="s">
        <v>6515</v>
      </c>
      <c r="D1771" s="23" t="s">
        <v>3303</v>
      </c>
      <c r="E1771" s="23" t="s">
        <v>3317</v>
      </c>
      <c r="F1771" s="23" t="s">
        <v>3729</v>
      </c>
      <c r="G1771" s="93">
        <v>3</v>
      </c>
      <c r="H1771" s="93">
        <v>1</v>
      </c>
      <c r="I1771" s="23"/>
      <c r="J1771" s="23"/>
      <c r="K1771" s="23"/>
      <c r="L1771" s="23" t="s">
        <v>5796</v>
      </c>
      <c r="M1771" s="23"/>
    </row>
    <row r="1772" spans="2:13" ht="15" customHeight="1" x14ac:dyDescent="0.25">
      <c r="B1772" s="35" t="s">
        <v>6516</v>
      </c>
      <c r="C1772" s="23" t="s">
        <v>6517</v>
      </c>
      <c r="D1772" s="23" t="s">
        <v>3303</v>
      </c>
      <c r="E1772" s="23" t="s">
        <v>3317</v>
      </c>
      <c r="F1772" s="23" t="s">
        <v>3729</v>
      </c>
      <c r="G1772" s="93">
        <v>3</v>
      </c>
      <c r="H1772" s="93">
        <v>1</v>
      </c>
      <c r="I1772" s="23"/>
      <c r="J1772" s="23"/>
      <c r="K1772" s="23"/>
      <c r="L1772" s="23" t="s">
        <v>5796</v>
      </c>
      <c r="M1772" s="23"/>
    </row>
    <row r="1773" spans="2:13" ht="15" customHeight="1" x14ac:dyDescent="0.25">
      <c r="B1773" s="35" t="s">
        <v>6518</v>
      </c>
      <c r="C1773" s="23" t="s">
        <v>6519</v>
      </c>
      <c r="D1773" s="23" t="s">
        <v>3303</v>
      </c>
      <c r="E1773" s="23" t="s">
        <v>3317</v>
      </c>
      <c r="F1773" s="23" t="s">
        <v>3729</v>
      </c>
      <c r="G1773" s="93">
        <v>3</v>
      </c>
      <c r="H1773" s="93">
        <v>0</v>
      </c>
      <c r="I1773" s="23"/>
      <c r="J1773" s="23"/>
      <c r="K1773" s="23"/>
      <c r="L1773" s="23" t="s">
        <v>5796</v>
      </c>
      <c r="M1773" s="23"/>
    </row>
    <row r="1774" spans="2:13" ht="15" customHeight="1" x14ac:dyDescent="0.25">
      <c r="B1774" s="35" t="s">
        <v>6520</v>
      </c>
      <c r="C1774" s="23" t="s">
        <v>6521</v>
      </c>
      <c r="D1774" s="23" t="s">
        <v>3303</v>
      </c>
      <c r="E1774" s="23" t="s">
        <v>3317</v>
      </c>
      <c r="F1774" s="23" t="s">
        <v>3729</v>
      </c>
      <c r="G1774" s="93">
        <v>3</v>
      </c>
      <c r="H1774" s="93">
        <v>0</v>
      </c>
      <c r="I1774" s="23"/>
      <c r="J1774" s="23"/>
      <c r="K1774" s="23"/>
      <c r="L1774" s="23" t="s">
        <v>5796</v>
      </c>
      <c r="M1774" s="23"/>
    </row>
    <row r="1775" spans="2:13" ht="15" customHeight="1" x14ac:dyDescent="0.25">
      <c r="B1775" s="35" t="s">
        <v>6522</v>
      </c>
      <c r="C1775" s="23" t="s">
        <v>6523</v>
      </c>
      <c r="D1775" s="23" t="s">
        <v>3303</v>
      </c>
      <c r="E1775" s="23" t="s">
        <v>3317</v>
      </c>
      <c r="F1775" s="23" t="s">
        <v>3729</v>
      </c>
      <c r="G1775" s="93">
        <v>3</v>
      </c>
      <c r="H1775" s="93">
        <v>1</v>
      </c>
      <c r="I1775" s="23"/>
      <c r="J1775" s="23"/>
      <c r="K1775" s="23"/>
      <c r="L1775" s="23" t="s">
        <v>5796</v>
      </c>
      <c r="M1775" s="23"/>
    </row>
    <row r="1776" spans="2:13" ht="15" customHeight="1" x14ac:dyDescent="0.25">
      <c r="B1776" s="35" t="s">
        <v>6524</v>
      </c>
      <c r="C1776" s="23" t="s">
        <v>6525</v>
      </c>
      <c r="D1776" s="23" t="s">
        <v>3303</v>
      </c>
      <c r="E1776" s="23" t="s">
        <v>3317</v>
      </c>
      <c r="F1776" s="23" t="s">
        <v>3729</v>
      </c>
      <c r="G1776" s="93">
        <v>3</v>
      </c>
      <c r="H1776" s="93">
        <v>0</v>
      </c>
      <c r="I1776" s="23"/>
      <c r="J1776" s="23"/>
      <c r="K1776" s="23"/>
      <c r="L1776" s="23" t="s">
        <v>5796</v>
      </c>
      <c r="M1776" s="23"/>
    </row>
    <row r="1777" spans="2:13" ht="15" customHeight="1" x14ac:dyDescent="0.25">
      <c r="B1777" s="35" t="s">
        <v>6526</v>
      </c>
      <c r="C1777" s="23" t="s">
        <v>6527</v>
      </c>
      <c r="D1777" s="23" t="s">
        <v>3303</v>
      </c>
      <c r="E1777" s="23" t="s">
        <v>3317</v>
      </c>
      <c r="F1777" s="23" t="s">
        <v>3729</v>
      </c>
      <c r="G1777" s="93">
        <v>3</v>
      </c>
      <c r="H1777" s="93">
        <v>0</v>
      </c>
      <c r="I1777" s="23"/>
      <c r="J1777" s="23"/>
      <c r="K1777" s="23"/>
      <c r="L1777" s="23" t="s">
        <v>5796</v>
      </c>
      <c r="M1777" s="23"/>
    </row>
    <row r="1778" spans="2:13" ht="15" customHeight="1" x14ac:dyDescent="0.25">
      <c r="B1778" s="35" t="s">
        <v>6528</v>
      </c>
      <c r="C1778" s="23" t="s">
        <v>6529</v>
      </c>
      <c r="D1778" s="23" t="s">
        <v>3303</v>
      </c>
      <c r="E1778" s="23" t="s">
        <v>3317</v>
      </c>
      <c r="F1778" s="23" t="s">
        <v>3729</v>
      </c>
      <c r="G1778" s="93">
        <v>3</v>
      </c>
      <c r="H1778" s="93">
        <v>0</v>
      </c>
      <c r="I1778" s="23"/>
      <c r="J1778" s="23"/>
      <c r="K1778" s="23"/>
      <c r="L1778" s="23" t="s">
        <v>5796</v>
      </c>
      <c r="M1778" s="23"/>
    </row>
    <row r="1779" spans="2:13" ht="15" customHeight="1" x14ac:dyDescent="0.25">
      <c r="B1779" s="35" t="s">
        <v>6530</v>
      </c>
      <c r="C1779" s="23" t="s">
        <v>6531</v>
      </c>
      <c r="D1779" s="23" t="s">
        <v>3303</v>
      </c>
      <c r="E1779" s="23" t="s">
        <v>3317</v>
      </c>
      <c r="F1779" s="23" t="s">
        <v>3729</v>
      </c>
      <c r="G1779" s="93">
        <v>3</v>
      </c>
      <c r="H1779" s="93">
        <v>0</v>
      </c>
      <c r="I1779" s="23"/>
      <c r="J1779" s="23"/>
      <c r="K1779" s="23"/>
      <c r="L1779" s="23" t="s">
        <v>5796</v>
      </c>
      <c r="M1779" s="23"/>
    </row>
    <row r="1780" spans="2:13" ht="15" customHeight="1" x14ac:dyDescent="0.25">
      <c r="B1780" s="35" t="s">
        <v>6532</v>
      </c>
      <c r="C1780" s="23" t="s">
        <v>6533</v>
      </c>
      <c r="D1780" s="23" t="s">
        <v>3303</v>
      </c>
      <c r="E1780" s="23" t="s">
        <v>3317</v>
      </c>
      <c r="F1780" s="23" t="s">
        <v>3729</v>
      </c>
      <c r="G1780" s="93">
        <v>3</v>
      </c>
      <c r="H1780" s="93">
        <v>0</v>
      </c>
      <c r="I1780" s="23"/>
      <c r="J1780" s="23"/>
      <c r="K1780" s="23"/>
      <c r="L1780" s="23" t="s">
        <v>5796</v>
      </c>
      <c r="M1780" s="23"/>
    </row>
    <row r="1781" spans="2:13" ht="15" customHeight="1" x14ac:dyDescent="0.25">
      <c r="B1781" s="35" t="s">
        <v>6534</v>
      </c>
      <c r="C1781" s="23" t="s">
        <v>6535</v>
      </c>
      <c r="D1781" s="23" t="s">
        <v>3303</v>
      </c>
      <c r="E1781" s="23" t="s">
        <v>3317</v>
      </c>
      <c r="F1781" s="23" t="s">
        <v>3729</v>
      </c>
      <c r="G1781" s="93">
        <v>3</v>
      </c>
      <c r="H1781" s="93">
        <v>0</v>
      </c>
      <c r="I1781" s="23"/>
      <c r="J1781" s="23"/>
      <c r="K1781" s="23"/>
      <c r="L1781" s="23" t="s">
        <v>5796</v>
      </c>
      <c r="M1781" s="23"/>
    </row>
    <row r="1782" spans="2:13" ht="15" customHeight="1" x14ac:dyDescent="0.25">
      <c r="B1782" s="35" t="s">
        <v>6536</v>
      </c>
      <c r="C1782" s="23" t="s">
        <v>6537</v>
      </c>
      <c r="D1782" s="23" t="s">
        <v>3303</v>
      </c>
      <c r="E1782" s="23" t="s">
        <v>3317</v>
      </c>
      <c r="F1782" s="23" t="s">
        <v>3729</v>
      </c>
      <c r="G1782" s="93">
        <v>3</v>
      </c>
      <c r="H1782" s="93">
        <v>0</v>
      </c>
      <c r="I1782" s="23"/>
      <c r="J1782" s="23"/>
      <c r="K1782" s="23"/>
      <c r="L1782" s="23" t="s">
        <v>5796</v>
      </c>
      <c r="M1782" s="23" t="s">
        <v>4716</v>
      </c>
    </row>
    <row r="1783" spans="2:13" ht="15" customHeight="1" x14ac:dyDescent="0.25">
      <c r="B1783" s="35" t="s">
        <v>6538</v>
      </c>
      <c r="C1783" s="23" t="s">
        <v>6539</v>
      </c>
      <c r="D1783" s="23" t="s">
        <v>3303</v>
      </c>
      <c r="E1783" s="23" t="s">
        <v>3317</v>
      </c>
      <c r="F1783" s="23" t="s">
        <v>3729</v>
      </c>
      <c r="G1783" s="93">
        <v>3</v>
      </c>
      <c r="H1783" s="93">
        <v>0</v>
      </c>
      <c r="I1783" s="23"/>
      <c r="J1783" s="23"/>
      <c r="K1783" s="23"/>
      <c r="L1783" s="23" t="s">
        <v>5796</v>
      </c>
      <c r="M1783" s="23"/>
    </row>
    <row r="1784" spans="2:13" ht="15" customHeight="1" x14ac:dyDescent="0.25">
      <c r="B1784" s="35" t="s">
        <v>6540</v>
      </c>
      <c r="C1784" s="23" t="s">
        <v>6541</v>
      </c>
      <c r="D1784" s="23" t="s">
        <v>3303</v>
      </c>
      <c r="E1784" s="23" t="s">
        <v>3317</v>
      </c>
      <c r="F1784" s="23" t="s">
        <v>3729</v>
      </c>
      <c r="G1784" s="93">
        <v>3</v>
      </c>
      <c r="H1784" s="93">
        <v>0</v>
      </c>
      <c r="I1784" s="23"/>
      <c r="J1784" s="23"/>
      <c r="K1784" s="23"/>
      <c r="L1784" s="23" t="s">
        <v>5796</v>
      </c>
      <c r="M1784" s="23"/>
    </row>
    <row r="1785" spans="2:13" ht="15" customHeight="1" x14ac:dyDescent="0.25">
      <c r="B1785" s="35" t="s">
        <v>6542</v>
      </c>
      <c r="C1785" s="23" t="s">
        <v>6543</v>
      </c>
      <c r="D1785" s="23" t="s">
        <v>3303</v>
      </c>
      <c r="E1785" s="23" t="s">
        <v>3317</v>
      </c>
      <c r="F1785" s="23" t="s">
        <v>3729</v>
      </c>
      <c r="G1785" s="93">
        <v>3</v>
      </c>
      <c r="H1785" s="93">
        <v>0</v>
      </c>
      <c r="I1785" s="23"/>
      <c r="J1785" s="23"/>
      <c r="K1785" s="23"/>
      <c r="L1785" s="23" t="s">
        <v>5796</v>
      </c>
      <c r="M1785" s="23"/>
    </row>
    <row r="1786" spans="2:13" ht="15" customHeight="1" x14ac:dyDescent="0.25">
      <c r="B1786" s="35" t="s">
        <v>6544</v>
      </c>
      <c r="C1786" s="23" t="s">
        <v>6545</v>
      </c>
      <c r="D1786" s="23" t="s">
        <v>3303</v>
      </c>
      <c r="E1786" s="23" t="s">
        <v>3317</v>
      </c>
      <c r="F1786" s="23" t="s">
        <v>3729</v>
      </c>
      <c r="G1786" s="93">
        <v>3</v>
      </c>
      <c r="H1786" s="93">
        <v>0</v>
      </c>
      <c r="I1786" s="23"/>
      <c r="J1786" s="23"/>
      <c r="K1786" s="23"/>
      <c r="L1786" s="23" t="s">
        <v>5796</v>
      </c>
      <c r="M1786" s="23" t="s">
        <v>4716</v>
      </c>
    </row>
    <row r="1787" spans="2:13" ht="15" customHeight="1" x14ac:dyDescent="0.25">
      <c r="B1787" s="35" t="s">
        <v>6546</v>
      </c>
      <c r="C1787" s="23" t="s">
        <v>6547</v>
      </c>
      <c r="D1787" s="23" t="s">
        <v>3303</v>
      </c>
      <c r="E1787" s="23" t="s">
        <v>3317</v>
      </c>
      <c r="F1787" s="23" t="s">
        <v>3729</v>
      </c>
      <c r="G1787" s="93">
        <v>3</v>
      </c>
      <c r="H1787" s="93">
        <v>0</v>
      </c>
      <c r="I1787" s="23"/>
      <c r="J1787" s="23"/>
      <c r="K1787" s="23"/>
      <c r="L1787" s="23" t="s">
        <v>5796</v>
      </c>
      <c r="M1787" s="23"/>
    </row>
    <row r="1788" spans="2:13" ht="15" customHeight="1" x14ac:dyDescent="0.25">
      <c r="B1788" s="35" t="s">
        <v>6548</v>
      </c>
      <c r="C1788" s="23" t="s">
        <v>6549</v>
      </c>
      <c r="D1788" s="23" t="s">
        <v>3303</v>
      </c>
      <c r="E1788" s="23" t="s">
        <v>3317</v>
      </c>
      <c r="F1788" s="23" t="s">
        <v>3729</v>
      </c>
      <c r="G1788" s="93">
        <v>3</v>
      </c>
      <c r="H1788" s="93">
        <v>0</v>
      </c>
      <c r="I1788" s="23"/>
      <c r="J1788" s="23"/>
      <c r="K1788" s="23"/>
      <c r="L1788" s="23" t="s">
        <v>5796</v>
      </c>
      <c r="M1788" s="23"/>
    </row>
    <row r="1789" spans="2:13" ht="15" customHeight="1" x14ac:dyDescent="0.25">
      <c r="B1789" s="35" t="s">
        <v>6550</v>
      </c>
      <c r="C1789" s="23" t="s">
        <v>6551</v>
      </c>
      <c r="D1789" s="23" t="s">
        <v>3303</v>
      </c>
      <c r="E1789" s="23" t="s">
        <v>3317</v>
      </c>
      <c r="F1789" s="23" t="s">
        <v>3729</v>
      </c>
      <c r="G1789" s="93">
        <v>3</v>
      </c>
      <c r="H1789" s="93">
        <v>0</v>
      </c>
      <c r="I1789" s="23"/>
      <c r="J1789" s="23"/>
      <c r="K1789" s="23"/>
      <c r="L1789" s="23" t="s">
        <v>5796</v>
      </c>
      <c r="M1789" s="23" t="s">
        <v>4716</v>
      </c>
    </row>
    <row r="1790" spans="2:13" ht="15" customHeight="1" x14ac:dyDescent="0.25">
      <c r="B1790" s="35" t="s">
        <v>6552</v>
      </c>
      <c r="C1790" s="23" t="s">
        <v>6553</v>
      </c>
      <c r="D1790" s="23" t="s">
        <v>3303</v>
      </c>
      <c r="E1790" s="23" t="s">
        <v>3317</v>
      </c>
      <c r="F1790" s="23" t="s">
        <v>3729</v>
      </c>
      <c r="G1790" s="93">
        <v>3</v>
      </c>
      <c r="H1790" s="93">
        <v>1</v>
      </c>
      <c r="I1790" s="23"/>
      <c r="J1790" s="23"/>
      <c r="K1790" s="23"/>
      <c r="L1790" s="23" t="s">
        <v>5796</v>
      </c>
      <c r="M1790" s="23"/>
    </row>
    <row r="1791" spans="2:13" ht="15" customHeight="1" x14ac:dyDescent="0.25">
      <c r="B1791" s="35" t="s">
        <v>6554</v>
      </c>
      <c r="C1791" s="23" t="s">
        <v>6555</v>
      </c>
      <c r="D1791" s="23" t="s">
        <v>3303</v>
      </c>
      <c r="E1791" s="23" t="s">
        <v>3317</v>
      </c>
      <c r="F1791" s="23" t="s">
        <v>3729</v>
      </c>
      <c r="G1791" s="93">
        <v>3</v>
      </c>
      <c r="H1791" s="93">
        <v>0</v>
      </c>
      <c r="I1791" s="23"/>
      <c r="J1791" s="23"/>
      <c r="K1791" s="23"/>
      <c r="L1791" s="23" t="s">
        <v>5796</v>
      </c>
      <c r="M1791" s="23"/>
    </row>
    <row r="1792" spans="2:13" ht="15" customHeight="1" x14ac:dyDescent="0.25">
      <c r="B1792" s="35" t="s">
        <v>6556</v>
      </c>
      <c r="C1792" s="23" t="s">
        <v>6557</v>
      </c>
      <c r="D1792" s="23" t="s">
        <v>3303</v>
      </c>
      <c r="E1792" s="23" t="s">
        <v>3317</v>
      </c>
      <c r="F1792" s="23" t="s">
        <v>3729</v>
      </c>
      <c r="G1792" s="93">
        <v>3</v>
      </c>
      <c r="H1792" s="93">
        <v>1</v>
      </c>
      <c r="I1792" s="23"/>
      <c r="J1792" s="23"/>
      <c r="K1792" s="23"/>
      <c r="L1792" s="23" t="s">
        <v>5796</v>
      </c>
      <c r="M1792" s="23"/>
    </row>
    <row r="1793" spans="2:13" ht="15" customHeight="1" x14ac:dyDescent="0.25">
      <c r="B1793" s="35" t="s">
        <v>6558</v>
      </c>
      <c r="C1793" s="23" t="s">
        <v>6559</v>
      </c>
      <c r="D1793" s="23" t="s">
        <v>3303</v>
      </c>
      <c r="E1793" s="23" t="s">
        <v>3317</v>
      </c>
      <c r="F1793" s="23" t="s">
        <v>3729</v>
      </c>
      <c r="G1793" s="93">
        <v>3</v>
      </c>
      <c r="H1793" s="93">
        <v>0</v>
      </c>
      <c r="I1793" s="23"/>
      <c r="J1793" s="23"/>
      <c r="K1793" s="23"/>
      <c r="L1793" s="23" t="s">
        <v>5796</v>
      </c>
      <c r="M1793" s="23"/>
    </row>
    <row r="1794" spans="2:13" ht="15" customHeight="1" x14ac:dyDescent="0.25">
      <c r="B1794" s="35" t="s">
        <v>6560</v>
      </c>
      <c r="C1794" s="23" t="s">
        <v>6561</v>
      </c>
      <c r="D1794" s="23" t="s">
        <v>3303</v>
      </c>
      <c r="E1794" s="23" t="s">
        <v>3317</v>
      </c>
      <c r="F1794" s="23" t="s">
        <v>3729</v>
      </c>
      <c r="G1794" s="93">
        <v>3</v>
      </c>
      <c r="H1794" s="93">
        <v>1</v>
      </c>
      <c r="I1794" s="23"/>
      <c r="J1794" s="23"/>
      <c r="K1794" s="23"/>
      <c r="L1794" s="23" t="s">
        <v>5796</v>
      </c>
      <c r="M1794" s="23"/>
    </row>
    <row r="1795" spans="2:13" ht="15" customHeight="1" x14ac:dyDescent="0.25">
      <c r="B1795" s="35" t="s">
        <v>6562</v>
      </c>
      <c r="C1795" s="23" t="s">
        <v>6563</v>
      </c>
      <c r="D1795" s="23" t="s">
        <v>3303</v>
      </c>
      <c r="E1795" s="23" t="s">
        <v>3317</v>
      </c>
      <c r="F1795" s="23" t="s">
        <v>3729</v>
      </c>
      <c r="G1795" s="93">
        <v>3</v>
      </c>
      <c r="H1795" s="93">
        <v>0</v>
      </c>
      <c r="I1795" s="23"/>
      <c r="J1795" s="23"/>
      <c r="K1795" s="23"/>
      <c r="L1795" s="23" t="s">
        <v>5796</v>
      </c>
      <c r="M1795" s="23"/>
    </row>
    <row r="1796" spans="2:13" ht="15" customHeight="1" x14ac:dyDescent="0.25">
      <c r="B1796" s="35" t="s">
        <v>6564</v>
      </c>
      <c r="C1796" s="23" t="s">
        <v>6565</v>
      </c>
      <c r="D1796" s="23" t="s">
        <v>3303</v>
      </c>
      <c r="E1796" s="23" t="s">
        <v>3317</v>
      </c>
      <c r="F1796" s="23" t="s">
        <v>3729</v>
      </c>
      <c r="G1796" s="93">
        <v>3</v>
      </c>
      <c r="H1796" s="93">
        <v>1</v>
      </c>
      <c r="I1796" s="23"/>
      <c r="J1796" s="23"/>
      <c r="K1796" s="23"/>
      <c r="L1796" s="23" t="s">
        <v>5796</v>
      </c>
      <c r="M1796" s="23" t="s">
        <v>4716</v>
      </c>
    </row>
    <row r="1797" spans="2:13" ht="15" customHeight="1" x14ac:dyDescent="0.25">
      <c r="B1797" s="35" t="s">
        <v>6566</v>
      </c>
      <c r="C1797" s="23" t="s">
        <v>6567</v>
      </c>
      <c r="D1797" s="23" t="s">
        <v>3303</v>
      </c>
      <c r="E1797" s="23" t="s">
        <v>3317</v>
      </c>
      <c r="F1797" s="23" t="s">
        <v>3729</v>
      </c>
      <c r="G1797" s="93">
        <v>3</v>
      </c>
      <c r="H1797" s="93">
        <v>1</v>
      </c>
      <c r="I1797" s="23"/>
      <c r="J1797" s="23"/>
      <c r="K1797" s="23"/>
      <c r="L1797" s="23" t="s">
        <v>5796</v>
      </c>
      <c r="M1797" s="23"/>
    </row>
    <row r="1798" spans="2:13" ht="15" customHeight="1" x14ac:dyDescent="0.25">
      <c r="B1798" s="35" t="s">
        <v>5796</v>
      </c>
      <c r="C1798" s="23" t="s">
        <v>6568</v>
      </c>
      <c r="D1798" s="23" t="s">
        <v>3303</v>
      </c>
      <c r="E1798" s="23" t="s">
        <v>3367</v>
      </c>
      <c r="F1798" s="23" t="s">
        <v>3729</v>
      </c>
      <c r="G1798" s="93">
        <v>0</v>
      </c>
      <c r="H1798" s="93">
        <v>0</v>
      </c>
      <c r="I1798" s="23"/>
      <c r="J1798" s="23"/>
      <c r="K1798" s="23"/>
      <c r="L1798" s="23" t="s">
        <v>5793</v>
      </c>
      <c r="M1798" s="23"/>
    </row>
    <row r="1799" spans="2:13" ht="15" customHeight="1" x14ac:dyDescent="0.25">
      <c r="B1799" s="35" t="s">
        <v>6569</v>
      </c>
      <c r="C1799" s="23" t="s">
        <v>6570</v>
      </c>
      <c r="D1799" s="23" t="s">
        <v>3303</v>
      </c>
      <c r="E1799" s="23" t="s">
        <v>3304</v>
      </c>
      <c r="F1799" s="23" t="s">
        <v>3729</v>
      </c>
      <c r="G1799" s="93">
        <v>0</v>
      </c>
      <c r="H1799" s="93">
        <v>0</v>
      </c>
      <c r="I1799" s="23"/>
      <c r="J1799" s="23"/>
      <c r="K1799" s="23"/>
      <c r="L1799" s="23" t="s">
        <v>6571</v>
      </c>
      <c r="M1799" s="23"/>
    </row>
    <row r="1800" spans="2:13" ht="15" customHeight="1" x14ac:dyDescent="0.25">
      <c r="B1800" s="35" t="s">
        <v>3127</v>
      </c>
      <c r="C1800" s="23" t="s">
        <v>3128</v>
      </c>
      <c r="D1800" s="23" t="s">
        <v>3303</v>
      </c>
      <c r="E1800" s="23" t="s">
        <v>3317</v>
      </c>
      <c r="F1800" s="23" t="s">
        <v>3729</v>
      </c>
      <c r="G1800" s="93">
        <v>3</v>
      </c>
      <c r="H1800" s="93">
        <v>1</v>
      </c>
      <c r="I1800" s="23"/>
      <c r="J1800" s="23"/>
      <c r="K1800" s="23"/>
      <c r="L1800" s="23" t="s">
        <v>6571</v>
      </c>
      <c r="M1800" s="23"/>
    </row>
    <row r="1801" spans="2:13" ht="15" customHeight="1" x14ac:dyDescent="0.25">
      <c r="B1801" s="35" t="s">
        <v>3130</v>
      </c>
      <c r="C1801" s="23" t="s">
        <v>3131</v>
      </c>
      <c r="D1801" s="23" t="s">
        <v>3303</v>
      </c>
      <c r="E1801" s="23" t="s">
        <v>3317</v>
      </c>
      <c r="F1801" s="23" t="s">
        <v>3729</v>
      </c>
      <c r="G1801" s="93">
        <v>3</v>
      </c>
      <c r="H1801" s="93">
        <v>1</v>
      </c>
      <c r="I1801" s="23"/>
      <c r="J1801" s="23"/>
      <c r="K1801" s="23"/>
      <c r="L1801" s="23" t="s">
        <v>6571</v>
      </c>
      <c r="M1801" s="23"/>
    </row>
    <row r="1802" spans="2:13" ht="15" customHeight="1" x14ac:dyDescent="0.25">
      <c r="B1802" s="35" t="s">
        <v>3133</v>
      </c>
      <c r="C1802" s="23" t="s">
        <v>3134</v>
      </c>
      <c r="D1802" s="23" t="s">
        <v>3303</v>
      </c>
      <c r="E1802" s="23" t="s">
        <v>3317</v>
      </c>
      <c r="F1802" s="23" t="s">
        <v>3729</v>
      </c>
      <c r="G1802" s="93">
        <v>3</v>
      </c>
      <c r="H1802" s="93">
        <v>1</v>
      </c>
      <c r="I1802" s="23"/>
      <c r="J1802" s="23"/>
      <c r="K1802" s="23"/>
      <c r="L1802" s="23" t="s">
        <v>6571</v>
      </c>
      <c r="M1802" s="23"/>
    </row>
    <row r="1803" spans="2:13" ht="15" customHeight="1" x14ac:dyDescent="0.25">
      <c r="B1803" s="35" t="s">
        <v>3136</v>
      </c>
      <c r="C1803" s="23" t="s">
        <v>3137</v>
      </c>
      <c r="D1803" s="23" t="s">
        <v>3303</v>
      </c>
      <c r="E1803" s="23" t="s">
        <v>3317</v>
      </c>
      <c r="F1803" s="23" t="s">
        <v>3729</v>
      </c>
      <c r="G1803" s="93">
        <v>3</v>
      </c>
      <c r="H1803" s="93">
        <v>1</v>
      </c>
      <c r="I1803" s="23"/>
      <c r="J1803" s="23"/>
      <c r="K1803" s="23"/>
      <c r="L1803" s="23" t="s">
        <v>6571</v>
      </c>
      <c r="M1803" s="23"/>
    </row>
    <row r="1804" spans="2:13" ht="15" customHeight="1" x14ac:dyDescent="0.25">
      <c r="B1804" s="35" t="s">
        <v>6572</v>
      </c>
      <c r="C1804" s="23" t="s">
        <v>6573</v>
      </c>
      <c r="D1804" s="23" t="s">
        <v>3303</v>
      </c>
      <c r="E1804" s="23" t="s">
        <v>3317</v>
      </c>
      <c r="F1804" s="23" t="s">
        <v>3729</v>
      </c>
      <c r="G1804" s="93">
        <v>3</v>
      </c>
      <c r="H1804" s="93">
        <v>1</v>
      </c>
      <c r="I1804" s="23"/>
      <c r="J1804" s="23"/>
      <c r="K1804" s="23"/>
      <c r="L1804" s="23" t="s">
        <v>6571</v>
      </c>
      <c r="M1804" s="23"/>
    </row>
    <row r="1805" spans="2:13" ht="15" customHeight="1" x14ac:dyDescent="0.25">
      <c r="B1805" s="35" t="s">
        <v>3139</v>
      </c>
      <c r="C1805" s="23" t="s">
        <v>3140</v>
      </c>
      <c r="D1805" s="23" t="s">
        <v>3303</v>
      </c>
      <c r="E1805" s="23" t="s">
        <v>3317</v>
      </c>
      <c r="F1805" s="23" t="s">
        <v>3729</v>
      </c>
      <c r="G1805" s="93">
        <v>3</v>
      </c>
      <c r="H1805" s="93">
        <v>1</v>
      </c>
      <c r="I1805" s="23"/>
      <c r="J1805" s="23"/>
      <c r="K1805" s="23"/>
      <c r="L1805" s="23" t="s">
        <v>6571</v>
      </c>
      <c r="M1805" s="23"/>
    </row>
    <row r="1806" spans="2:13" ht="15" customHeight="1" x14ac:dyDescent="0.25">
      <c r="B1806" s="35" t="s">
        <v>6574</v>
      </c>
      <c r="C1806" s="23" t="s">
        <v>6575</v>
      </c>
      <c r="D1806" s="23" t="s">
        <v>3303</v>
      </c>
      <c r="E1806" s="23" t="s">
        <v>3317</v>
      </c>
      <c r="F1806" s="23" t="s">
        <v>3729</v>
      </c>
      <c r="G1806" s="93">
        <v>3</v>
      </c>
      <c r="H1806" s="93">
        <v>1</v>
      </c>
      <c r="I1806" s="23"/>
      <c r="J1806" s="23"/>
      <c r="K1806" s="23"/>
      <c r="L1806" s="23" t="s">
        <v>6571</v>
      </c>
      <c r="M1806" s="23"/>
    </row>
    <row r="1807" spans="2:13" ht="15" customHeight="1" x14ac:dyDescent="0.25">
      <c r="B1807" s="35" t="s">
        <v>6576</v>
      </c>
      <c r="C1807" s="23" t="s">
        <v>6577</v>
      </c>
      <c r="D1807" s="23" t="s">
        <v>3303</v>
      </c>
      <c r="E1807" s="23" t="s">
        <v>3317</v>
      </c>
      <c r="F1807" s="23" t="s">
        <v>3729</v>
      </c>
      <c r="G1807" s="93">
        <v>3</v>
      </c>
      <c r="H1807" s="93">
        <v>1</v>
      </c>
      <c r="I1807" s="23"/>
      <c r="J1807" s="23"/>
      <c r="K1807" s="23"/>
      <c r="L1807" s="23" t="s">
        <v>6571</v>
      </c>
      <c r="M1807" s="23"/>
    </row>
    <row r="1808" spans="2:13" ht="15" customHeight="1" x14ac:dyDescent="0.25">
      <c r="B1808" s="35" t="s">
        <v>6578</v>
      </c>
      <c r="C1808" s="23" t="s">
        <v>6579</v>
      </c>
      <c r="D1808" s="23" t="s">
        <v>3303</v>
      </c>
      <c r="E1808" s="23" t="s">
        <v>3317</v>
      </c>
      <c r="F1808" s="23" t="s">
        <v>3729</v>
      </c>
      <c r="G1808" s="93">
        <v>3</v>
      </c>
      <c r="H1808" s="93">
        <v>1</v>
      </c>
      <c r="I1808" s="23"/>
      <c r="J1808" s="23"/>
      <c r="K1808" s="23"/>
      <c r="L1808" s="23" t="s">
        <v>6571</v>
      </c>
      <c r="M1808" s="23"/>
    </row>
    <row r="1809" spans="2:13" ht="15" customHeight="1" x14ac:dyDescent="0.25">
      <c r="B1809" s="35" t="s">
        <v>6580</v>
      </c>
      <c r="C1809" s="23" t="s">
        <v>6581</v>
      </c>
      <c r="D1809" s="23" t="s">
        <v>3303</v>
      </c>
      <c r="E1809" s="23" t="s">
        <v>3317</v>
      </c>
      <c r="F1809" s="23" t="s">
        <v>3729</v>
      </c>
      <c r="G1809" s="93">
        <v>3</v>
      </c>
      <c r="H1809" s="93">
        <v>1</v>
      </c>
      <c r="I1809" s="23"/>
      <c r="J1809" s="23"/>
      <c r="K1809" s="23"/>
      <c r="L1809" s="23" t="s">
        <v>6571</v>
      </c>
      <c r="M1809" s="23" t="s">
        <v>3694</v>
      </c>
    </row>
    <row r="1810" spans="2:13" ht="15" customHeight="1" x14ac:dyDescent="0.25">
      <c r="B1810" s="35" t="s">
        <v>6582</v>
      </c>
      <c r="C1810" s="23" t="s">
        <v>6583</v>
      </c>
      <c r="D1810" s="23" t="s">
        <v>3303</v>
      </c>
      <c r="E1810" s="23" t="s">
        <v>3317</v>
      </c>
      <c r="F1810" s="23" t="s">
        <v>3729</v>
      </c>
      <c r="G1810" s="93">
        <v>3</v>
      </c>
      <c r="H1810" s="93">
        <v>1</v>
      </c>
      <c r="I1810" s="23"/>
      <c r="J1810" s="23"/>
      <c r="K1810" s="23"/>
      <c r="L1810" s="23" t="s">
        <v>6571</v>
      </c>
      <c r="M1810" s="23"/>
    </row>
    <row r="1811" spans="2:13" ht="15" customHeight="1" x14ac:dyDescent="0.25">
      <c r="B1811" s="35" t="s">
        <v>6584</v>
      </c>
      <c r="C1811" s="23" t="s">
        <v>6086</v>
      </c>
      <c r="D1811" s="23" t="s">
        <v>3303</v>
      </c>
      <c r="E1811" s="23" t="s">
        <v>3317</v>
      </c>
      <c r="F1811" s="23" t="s">
        <v>3729</v>
      </c>
      <c r="G1811" s="93">
        <v>3</v>
      </c>
      <c r="H1811" s="93">
        <v>1</v>
      </c>
      <c r="I1811" s="23"/>
      <c r="J1811" s="23"/>
      <c r="K1811" s="23"/>
      <c r="L1811" s="23" t="s">
        <v>6571</v>
      </c>
      <c r="M1811" s="23"/>
    </row>
    <row r="1812" spans="2:13" ht="15" customHeight="1" x14ac:dyDescent="0.25">
      <c r="B1812" s="35" t="s">
        <v>6585</v>
      </c>
      <c r="C1812" s="23" t="s">
        <v>6586</v>
      </c>
      <c r="D1812" s="23" t="s">
        <v>3303</v>
      </c>
      <c r="E1812" s="23" t="s">
        <v>3317</v>
      </c>
      <c r="F1812" s="23" t="s">
        <v>3729</v>
      </c>
      <c r="G1812" s="93">
        <v>3</v>
      </c>
      <c r="H1812" s="93">
        <v>0</v>
      </c>
      <c r="I1812" s="23"/>
      <c r="J1812" s="23"/>
      <c r="K1812" s="23"/>
      <c r="L1812" s="23" t="s">
        <v>6571</v>
      </c>
      <c r="M1812" s="23"/>
    </row>
    <row r="1813" spans="2:13" ht="15" customHeight="1" x14ac:dyDescent="0.25">
      <c r="B1813" s="35" t="s">
        <v>6571</v>
      </c>
      <c r="C1813" s="23" t="s">
        <v>6587</v>
      </c>
      <c r="D1813" s="23" t="s">
        <v>3303</v>
      </c>
      <c r="E1813" s="23" t="s">
        <v>3367</v>
      </c>
      <c r="F1813" s="23" t="s">
        <v>3729</v>
      </c>
      <c r="G1813" s="93">
        <v>0</v>
      </c>
      <c r="H1813" s="93">
        <v>1</v>
      </c>
      <c r="I1813" s="23"/>
      <c r="J1813" s="23"/>
      <c r="K1813" s="23"/>
      <c r="L1813" s="23" t="s">
        <v>5793</v>
      </c>
      <c r="M1813" s="23"/>
    </row>
    <row r="1814" spans="2:13" ht="15" customHeight="1" x14ac:dyDescent="0.25">
      <c r="B1814" s="35" t="s">
        <v>6588</v>
      </c>
      <c r="C1814" s="23" t="s">
        <v>6589</v>
      </c>
      <c r="D1814" s="23" t="s">
        <v>3303</v>
      </c>
      <c r="E1814" s="23" t="s">
        <v>3304</v>
      </c>
      <c r="F1814" s="23" t="s">
        <v>3729</v>
      </c>
      <c r="G1814" s="93">
        <v>0</v>
      </c>
      <c r="H1814" s="93">
        <v>1</v>
      </c>
      <c r="I1814" s="23"/>
      <c r="J1814" s="23"/>
      <c r="K1814" s="23"/>
      <c r="L1814" s="23" t="s">
        <v>6590</v>
      </c>
      <c r="M1814" s="23"/>
    </row>
    <row r="1815" spans="2:13" ht="15" customHeight="1" x14ac:dyDescent="0.25">
      <c r="B1815" s="35" t="s">
        <v>6591</v>
      </c>
      <c r="C1815" s="23" t="s">
        <v>6592</v>
      </c>
      <c r="D1815" s="23" t="s">
        <v>3303</v>
      </c>
      <c r="E1815" s="23" t="s">
        <v>3317</v>
      </c>
      <c r="F1815" s="23" t="s">
        <v>3729</v>
      </c>
      <c r="G1815" s="93">
        <v>3</v>
      </c>
      <c r="H1815" s="93">
        <v>1</v>
      </c>
      <c r="I1815" s="23"/>
      <c r="J1815" s="23"/>
      <c r="K1815" s="23"/>
      <c r="L1815" s="23" t="s">
        <v>6590</v>
      </c>
      <c r="M1815" s="23"/>
    </row>
    <row r="1816" spans="2:13" ht="15" customHeight="1" x14ac:dyDescent="0.25">
      <c r="B1816" s="35" t="s">
        <v>6593</v>
      </c>
      <c r="C1816" s="23" t="s">
        <v>6594</v>
      </c>
      <c r="D1816" s="23" t="s">
        <v>3303</v>
      </c>
      <c r="E1816" s="23" t="s">
        <v>3317</v>
      </c>
      <c r="F1816" s="23" t="s">
        <v>3729</v>
      </c>
      <c r="G1816" s="93">
        <v>3</v>
      </c>
      <c r="H1816" s="93">
        <v>1</v>
      </c>
      <c r="I1816" s="23"/>
      <c r="J1816" s="23"/>
      <c r="K1816" s="23"/>
      <c r="L1816" s="23" t="s">
        <v>6590</v>
      </c>
      <c r="M1816" s="23"/>
    </row>
    <row r="1817" spans="2:13" ht="15" customHeight="1" x14ac:dyDescent="0.25">
      <c r="B1817" s="35" t="s">
        <v>6595</v>
      </c>
      <c r="C1817" s="23" t="s">
        <v>6596</v>
      </c>
      <c r="D1817" s="23" t="s">
        <v>3303</v>
      </c>
      <c r="E1817" s="23" t="s">
        <v>3317</v>
      </c>
      <c r="F1817" s="23" t="s">
        <v>3729</v>
      </c>
      <c r="G1817" s="93">
        <v>3</v>
      </c>
      <c r="H1817" s="93">
        <v>1</v>
      </c>
      <c r="I1817" s="23"/>
      <c r="J1817" s="23"/>
      <c r="K1817" s="23"/>
      <c r="L1817" s="23" t="s">
        <v>6590</v>
      </c>
      <c r="M1817" s="23"/>
    </row>
    <row r="1818" spans="2:13" ht="15" customHeight="1" x14ac:dyDescent="0.25">
      <c r="B1818" s="35" t="s">
        <v>6597</v>
      </c>
      <c r="C1818" s="23" t="s">
        <v>6598</v>
      </c>
      <c r="D1818" s="23" t="s">
        <v>3303</v>
      </c>
      <c r="E1818" s="23" t="s">
        <v>3317</v>
      </c>
      <c r="F1818" s="23" t="s">
        <v>3729</v>
      </c>
      <c r="G1818" s="93">
        <v>3</v>
      </c>
      <c r="H1818" s="93">
        <v>1</v>
      </c>
      <c r="I1818" s="23"/>
      <c r="J1818" s="23"/>
      <c r="K1818" s="23"/>
      <c r="L1818" s="23" t="s">
        <v>6590</v>
      </c>
      <c r="M1818" s="23"/>
    </row>
    <row r="1819" spans="2:13" ht="15" customHeight="1" x14ac:dyDescent="0.25">
      <c r="B1819" s="35" t="s">
        <v>6599</v>
      </c>
      <c r="C1819" s="23" t="s">
        <v>6600</v>
      </c>
      <c r="D1819" s="23" t="s">
        <v>3303</v>
      </c>
      <c r="E1819" s="23" t="s">
        <v>3317</v>
      </c>
      <c r="F1819" s="23" t="s">
        <v>3729</v>
      </c>
      <c r="G1819" s="93">
        <v>3</v>
      </c>
      <c r="H1819" s="93">
        <v>1</v>
      </c>
      <c r="I1819" s="23"/>
      <c r="J1819" s="23"/>
      <c r="K1819" s="23"/>
      <c r="L1819" s="23" t="s">
        <v>6590</v>
      </c>
      <c r="M1819" s="23"/>
    </row>
    <row r="1820" spans="2:13" ht="15" customHeight="1" x14ac:dyDescent="0.25">
      <c r="B1820" s="35" t="s">
        <v>6601</v>
      </c>
      <c r="C1820" s="23" t="s">
        <v>6602</v>
      </c>
      <c r="D1820" s="23" t="s">
        <v>3303</v>
      </c>
      <c r="E1820" s="23" t="s">
        <v>3317</v>
      </c>
      <c r="F1820" s="23" t="s">
        <v>3729</v>
      </c>
      <c r="G1820" s="93">
        <v>3</v>
      </c>
      <c r="H1820" s="93">
        <v>1</v>
      </c>
      <c r="I1820" s="23"/>
      <c r="J1820" s="23"/>
      <c r="K1820" s="23"/>
      <c r="L1820" s="23" t="s">
        <v>6590</v>
      </c>
      <c r="M1820" s="23"/>
    </row>
    <row r="1821" spans="2:13" ht="15" customHeight="1" x14ac:dyDescent="0.25">
      <c r="B1821" s="35" t="s">
        <v>6603</v>
      </c>
      <c r="C1821" s="23" t="s">
        <v>6604</v>
      </c>
      <c r="D1821" s="23" t="s">
        <v>3303</v>
      </c>
      <c r="E1821" s="23" t="s">
        <v>3317</v>
      </c>
      <c r="F1821" s="23" t="s">
        <v>3729</v>
      </c>
      <c r="G1821" s="93">
        <v>3</v>
      </c>
      <c r="H1821" s="93">
        <v>1</v>
      </c>
      <c r="I1821" s="23"/>
      <c r="J1821" s="23"/>
      <c r="K1821" s="23"/>
      <c r="L1821" s="23" t="s">
        <v>6590</v>
      </c>
      <c r="M1821" s="23" t="s">
        <v>3694</v>
      </c>
    </row>
    <row r="1822" spans="2:13" ht="15" customHeight="1" x14ac:dyDescent="0.25">
      <c r="B1822" s="35" t="s">
        <v>6605</v>
      </c>
      <c r="C1822" s="23" t="s">
        <v>6606</v>
      </c>
      <c r="D1822" s="23" t="s">
        <v>3303</v>
      </c>
      <c r="E1822" s="23" t="s">
        <v>3317</v>
      </c>
      <c r="F1822" s="23" t="s">
        <v>3729</v>
      </c>
      <c r="G1822" s="93">
        <v>3</v>
      </c>
      <c r="H1822" s="93">
        <v>1</v>
      </c>
      <c r="I1822" s="23"/>
      <c r="J1822" s="23"/>
      <c r="K1822" s="23"/>
      <c r="L1822" s="23" t="s">
        <v>6590</v>
      </c>
      <c r="M1822" s="23"/>
    </row>
    <row r="1823" spans="2:13" ht="15" customHeight="1" x14ac:dyDescent="0.25">
      <c r="B1823" s="35" t="s">
        <v>6607</v>
      </c>
      <c r="C1823" s="23" t="s">
        <v>6608</v>
      </c>
      <c r="D1823" s="23" t="s">
        <v>3303</v>
      </c>
      <c r="E1823" s="23" t="s">
        <v>3317</v>
      </c>
      <c r="F1823" s="23" t="s">
        <v>3729</v>
      </c>
      <c r="G1823" s="93">
        <v>0</v>
      </c>
      <c r="H1823" s="93">
        <v>1</v>
      </c>
      <c r="I1823" s="23"/>
      <c r="J1823" s="23"/>
      <c r="K1823" s="23"/>
      <c r="L1823" s="23" t="s">
        <v>6590</v>
      </c>
      <c r="M1823" s="23"/>
    </row>
    <row r="1824" spans="2:13" ht="15" customHeight="1" x14ac:dyDescent="0.25">
      <c r="B1824" s="35" t="s">
        <v>6609</v>
      </c>
      <c r="C1824" s="23" t="s">
        <v>6610</v>
      </c>
      <c r="D1824" s="23" t="s">
        <v>3303</v>
      </c>
      <c r="E1824" s="23" t="s">
        <v>3317</v>
      </c>
      <c r="F1824" s="23" t="s">
        <v>3729</v>
      </c>
      <c r="G1824" s="93">
        <v>3</v>
      </c>
      <c r="H1824" s="93">
        <v>1</v>
      </c>
      <c r="I1824" s="23"/>
      <c r="J1824" s="23"/>
      <c r="K1824" s="23"/>
      <c r="L1824" s="23" t="s">
        <v>6590</v>
      </c>
      <c r="M1824" s="23"/>
    </row>
    <row r="1825" spans="2:13" ht="15" customHeight="1" x14ac:dyDescent="0.25">
      <c r="B1825" s="35" t="s">
        <v>6590</v>
      </c>
      <c r="C1825" s="23" t="s">
        <v>6611</v>
      </c>
      <c r="D1825" s="23" t="s">
        <v>3303</v>
      </c>
      <c r="E1825" s="23" t="s">
        <v>3367</v>
      </c>
      <c r="F1825" s="23" t="s">
        <v>3729</v>
      </c>
      <c r="G1825" s="93">
        <v>0</v>
      </c>
      <c r="H1825" s="93">
        <v>1</v>
      </c>
      <c r="I1825" s="23"/>
      <c r="J1825" s="23"/>
      <c r="K1825" s="23"/>
      <c r="L1825" s="23" t="s">
        <v>5793</v>
      </c>
      <c r="M1825" s="23"/>
    </row>
    <row r="1826" spans="2:13" ht="15" customHeight="1" x14ac:dyDescent="0.25">
      <c r="B1826" s="35" t="s">
        <v>6612</v>
      </c>
      <c r="C1826" s="23" t="s">
        <v>6613</v>
      </c>
      <c r="D1826" s="23" t="s">
        <v>3303</v>
      </c>
      <c r="E1826" s="23" t="s">
        <v>3317</v>
      </c>
      <c r="F1826" s="23" t="s">
        <v>3729</v>
      </c>
      <c r="G1826" s="93">
        <v>3</v>
      </c>
      <c r="H1826" s="93">
        <v>1</v>
      </c>
      <c r="I1826" s="23"/>
      <c r="J1826" s="23"/>
      <c r="K1826" s="23"/>
      <c r="L1826" s="23" t="s">
        <v>5793</v>
      </c>
      <c r="M1826" s="23"/>
    </row>
    <row r="1827" spans="2:13" ht="15" customHeight="1" x14ac:dyDescent="0.25">
      <c r="B1827" s="35" t="s">
        <v>6614</v>
      </c>
      <c r="C1827" s="23" t="s">
        <v>6615</v>
      </c>
      <c r="D1827" s="23" t="s">
        <v>3303</v>
      </c>
      <c r="E1827" s="23" t="s">
        <v>3304</v>
      </c>
      <c r="F1827" s="23" t="s">
        <v>3729</v>
      </c>
      <c r="G1827" s="93">
        <v>0</v>
      </c>
      <c r="H1827" s="93">
        <v>0</v>
      </c>
      <c r="I1827" s="23"/>
      <c r="J1827" s="23"/>
      <c r="K1827" s="23"/>
      <c r="L1827" s="23" t="s">
        <v>6616</v>
      </c>
      <c r="M1827" s="23"/>
    </row>
    <row r="1828" spans="2:13" ht="15" customHeight="1" x14ac:dyDescent="0.25">
      <c r="B1828" s="35" t="s">
        <v>6617</v>
      </c>
      <c r="C1828" s="23" t="s">
        <v>6618</v>
      </c>
      <c r="D1828" s="23" t="s">
        <v>3303</v>
      </c>
      <c r="E1828" s="23" t="s">
        <v>3317</v>
      </c>
      <c r="F1828" s="23" t="s">
        <v>3729</v>
      </c>
      <c r="G1828" s="93">
        <v>3</v>
      </c>
      <c r="H1828" s="93">
        <v>1</v>
      </c>
      <c r="I1828" s="23"/>
      <c r="J1828" s="23"/>
      <c r="K1828" s="23"/>
      <c r="L1828" s="23" t="s">
        <v>6619</v>
      </c>
      <c r="M1828" s="23"/>
    </row>
    <row r="1829" spans="2:13" ht="15" customHeight="1" x14ac:dyDescent="0.25">
      <c r="B1829" s="35" t="s">
        <v>6620</v>
      </c>
      <c r="C1829" s="23" t="s">
        <v>6621</v>
      </c>
      <c r="D1829" s="23" t="s">
        <v>3303</v>
      </c>
      <c r="E1829" s="23" t="s">
        <v>3317</v>
      </c>
      <c r="F1829" s="23" t="s">
        <v>3729</v>
      </c>
      <c r="G1829" s="93">
        <v>0</v>
      </c>
      <c r="H1829" s="93">
        <v>1</v>
      </c>
      <c r="I1829" s="23"/>
      <c r="J1829" s="23"/>
      <c r="K1829" s="23"/>
      <c r="L1829" s="23" t="s">
        <v>6619</v>
      </c>
      <c r="M1829" s="23" t="s">
        <v>3694</v>
      </c>
    </row>
    <row r="1830" spans="2:13" ht="15" customHeight="1" x14ac:dyDescent="0.25">
      <c r="B1830" s="35" t="s">
        <v>6619</v>
      </c>
      <c r="C1830" s="23" t="s">
        <v>6622</v>
      </c>
      <c r="D1830" s="23" t="s">
        <v>3303</v>
      </c>
      <c r="E1830" s="23" t="s">
        <v>3367</v>
      </c>
      <c r="F1830" s="23" t="s">
        <v>3729</v>
      </c>
      <c r="G1830" s="93">
        <v>0</v>
      </c>
      <c r="H1830" s="93">
        <v>0</v>
      </c>
      <c r="I1830" s="23"/>
      <c r="J1830" s="23"/>
      <c r="K1830" s="23"/>
      <c r="L1830" s="23" t="s">
        <v>5793</v>
      </c>
      <c r="M1830" s="23"/>
    </row>
    <row r="1831" spans="2:13" ht="15" customHeight="1" x14ac:dyDescent="0.25">
      <c r="B1831" s="35" t="s">
        <v>6623</v>
      </c>
      <c r="C1831" s="23" t="s">
        <v>6624</v>
      </c>
      <c r="D1831" s="23" t="s">
        <v>3303</v>
      </c>
      <c r="E1831" s="23" t="s">
        <v>3304</v>
      </c>
      <c r="F1831" s="23" t="s">
        <v>3729</v>
      </c>
      <c r="G1831" s="93">
        <v>0</v>
      </c>
      <c r="H1831" s="93">
        <v>0</v>
      </c>
      <c r="I1831" s="23"/>
      <c r="J1831" s="23"/>
      <c r="K1831" s="23"/>
      <c r="L1831" s="23" t="s">
        <v>6616</v>
      </c>
      <c r="M1831" s="23"/>
    </row>
    <row r="1832" spans="2:13" ht="15" customHeight="1" x14ac:dyDescent="0.25">
      <c r="B1832" s="35" t="s">
        <v>3141</v>
      </c>
      <c r="C1832" s="23" t="s">
        <v>3142</v>
      </c>
      <c r="D1832" s="23" t="s">
        <v>3303</v>
      </c>
      <c r="E1832" s="23" t="s">
        <v>3317</v>
      </c>
      <c r="F1832" s="23" t="s">
        <v>3729</v>
      </c>
      <c r="G1832" s="93">
        <v>3</v>
      </c>
      <c r="H1832" s="93">
        <v>0</v>
      </c>
      <c r="I1832" s="23"/>
      <c r="J1832" s="23"/>
      <c r="K1832" s="23"/>
      <c r="L1832" s="23" t="s">
        <v>6616</v>
      </c>
      <c r="M1832" s="23"/>
    </row>
    <row r="1833" spans="2:13" ht="15" customHeight="1" x14ac:dyDescent="0.25">
      <c r="B1833" s="35" t="s">
        <v>6625</v>
      </c>
      <c r="C1833" s="23" t="s">
        <v>6626</v>
      </c>
      <c r="D1833" s="23" t="s">
        <v>3303</v>
      </c>
      <c r="E1833" s="23" t="s">
        <v>3317</v>
      </c>
      <c r="F1833" s="23" t="s">
        <v>3729</v>
      </c>
      <c r="G1833" s="93">
        <v>3</v>
      </c>
      <c r="H1833" s="93">
        <v>0</v>
      </c>
      <c r="I1833" s="23"/>
      <c r="J1833" s="23"/>
      <c r="K1833" s="23"/>
      <c r="L1833" s="23" t="s">
        <v>6616</v>
      </c>
      <c r="M1833" s="23"/>
    </row>
    <row r="1834" spans="2:13" ht="15" customHeight="1" x14ac:dyDescent="0.25">
      <c r="B1834" s="35" t="s">
        <v>6627</v>
      </c>
      <c r="C1834" s="23" t="s">
        <v>6628</v>
      </c>
      <c r="D1834" s="23" t="s">
        <v>3303</v>
      </c>
      <c r="E1834" s="23" t="s">
        <v>3317</v>
      </c>
      <c r="F1834" s="23" t="s">
        <v>3729</v>
      </c>
      <c r="G1834" s="93">
        <v>3</v>
      </c>
      <c r="H1834" s="93">
        <v>0</v>
      </c>
      <c r="I1834" s="23"/>
      <c r="J1834" s="23"/>
      <c r="K1834" s="23"/>
      <c r="L1834" s="23" t="s">
        <v>6616</v>
      </c>
      <c r="M1834" s="23"/>
    </row>
    <row r="1835" spans="2:13" ht="15" customHeight="1" x14ac:dyDescent="0.25">
      <c r="B1835" s="35" t="s">
        <v>6629</v>
      </c>
      <c r="C1835" s="23" t="s">
        <v>6630</v>
      </c>
      <c r="D1835" s="23" t="s">
        <v>3303</v>
      </c>
      <c r="E1835" s="23" t="s">
        <v>3317</v>
      </c>
      <c r="F1835" s="23" t="s">
        <v>3729</v>
      </c>
      <c r="G1835" s="93">
        <v>3</v>
      </c>
      <c r="H1835" s="93">
        <v>0</v>
      </c>
      <c r="I1835" s="23"/>
      <c r="J1835" s="23"/>
      <c r="K1835" s="23"/>
      <c r="L1835" s="23" t="s">
        <v>6616</v>
      </c>
      <c r="M1835" s="23"/>
    </row>
    <row r="1836" spans="2:13" ht="15" customHeight="1" x14ac:dyDescent="0.25">
      <c r="B1836" s="35" t="s">
        <v>6616</v>
      </c>
      <c r="C1836" s="23" t="s">
        <v>6631</v>
      </c>
      <c r="D1836" s="23" t="s">
        <v>3303</v>
      </c>
      <c r="E1836" s="23" t="s">
        <v>3367</v>
      </c>
      <c r="F1836" s="23" t="s">
        <v>3729</v>
      </c>
      <c r="G1836" s="93">
        <v>0</v>
      </c>
      <c r="H1836" s="93">
        <v>0</v>
      </c>
      <c r="I1836" s="23"/>
      <c r="J1836" s="23"/>
      <c r="K1836" s="23"/>
      <c r="L1836" s="23" t="s">
        <v>5793</v>
      </c>
      <c r="M1836" s="23"/>
    </row>
    <row r="1837" spans="2:13" ht="15" customHeight="1" x14ac:dyDescent="0.25">
      <c r="B1837" s="35" t="s">
        <v>6632</v>
      </c>
      <c r="C1837" s="23" t="s">
        <v>6633</v>
      </c>
      <c r="D1837" s="23" t="s">
        <v>3303</v>
      </c>
      <c r="E1837" s="23" t="s">
        <v>3304</v>
      </c>
      <c r="F1837" s="23" t="s">
        <v>3729</v>
      </c>
      <c r="G1837" s="93">
        <v>0</v>
      </c>
      <c r="H1837" s="93">
        <v>0</v>
      </c>
      <c r="I1837" s="23"/>
      <c r="J1837" s="23"/>
      <c r="K1837" s="23"/>
      <c r="L1837" s="23" t="s">
        <v>6634</v>
      </c>
      <c r="M1837" s="23"/>
    </row>
    <row r="1838" spans="2:13" ht="15" customHeight="1" x14ac:dyDescent="0.25">
      <c r="B1838" s="35" t="s">
        <v>6635</v>
      </c>
      <c r="C1838" s="23" t="s">
        <v>6636</v>
      </c>
      <c r="D1838" s="23" t="s">
        <v>3303</v>
      </c>
      <c r="E1838" s="23" t="s">
        <v>3317</v>
      </c>
      <c r="F1838" s="23" t="s">
        <v>3729</v>
      </c>
      <c r="G1838" s="93">
        <v>3</v>
      </c>
      <c r="H1838" s="93">
        <v>1</v>
      </c>
      <c r="I1838" s="23"/>
      <c r="J1838" s="23"/>
      <c r="K1838" s="23"/>
      <c r="L1838" s="23" t="s">
        <v>6634</v>
      </c>
      <c r="M1838" s="23"/>
    </row>
    <row r="1839" spans="2:13" ht="15" customHeight="1" x14ac:dyDescent="0.25">
      <c r="B1839" s="35" t="s">
        <v>3144</v>
      </c>
      <c r="C1839" s="23" t="s">
        <v>3145</v>
      </c>
      <c r="D1839" s="23" t="s">
        <v>3303</v>
      </c>
      <c r="E1839" s="23" t="s">
        <v>3317</v>
      </c>
      <c r="F1839" s="23" t="s">
        <v>3729</v>
      </c>
      <c r="G1839" s="93">
        <v>3</v>
      </c>
      <c r="H1839" s="93">
        <v>1</v>
      </c>
      <c r="I1839" s="23"/>
      <c r="J1839" s="23"/>
      <c r="K1839" s="23"/>
      <c r="L1839" s="23" t="s">
        <v>6634</v>
      </c>
      <c r="M1839" s="23"/>
    </row>
    <row r="1840" spans="2:13" ht="15" customHeight="1" x14ac:dyDescent="0.25">
      <c r="B1840" s="35" t="s">
        <v>3147</v>
      </c>
      <c r="C1840" s="23" t="s">
        <v>3148</v>
      </c>
      <c r="D1840" s="23" t="s">
        <v>3303</v>
      </c>
      <c r="E1840" s="23" t="s">
        <v>3317</v>
      </c>
      <c r="F1840" s="23" t="s">
        <v>3729</v>
      </c>
      <c r="G1840" s="93">
        <v>3</v>
      </c>
      <c r="H1840" s="93">
        <v>1</v>
      </c>
      <c r="I1840" s="23"/>
      <c r="J1840" s="23"/>
      <c r="K1840" s="23"/>
      <c r="L1840" s="23" t="s">
        <v>6634</v>
      </c>
      <c r="M1840" s="23"/>
    </row>
    <row r="1841" spans="2:13" ht="15" customHeight="1" x14ac:dyDescent="0.25">
      <c r="B1841" s="35" t="s">
        <v>6637</v>
      </c>
      <c r="C1841" s="23" t="s">
        <v>6638</v>
      </c>
      <c r="D1841" s="23" t="s">
        <v>3303</v>
      </c>
      <c r="E1841" s="23" t="s">
        <v>3317</v>
      </c>
      <c r="F1841" s="23" t="s">
        <v>3729</v>
      </c>
      <c r="G1841" s="93">
        <v>3</v>
      </c>
      <c r="H1841" s="93">
        <v>1</v>
      </c>
      <c r="I1841" s="23"/>
      <c r="J1841" s="23"/>
      <c r="K1841" s="23"/>
      <c r="L1841" s="23" t="s">
        <v>6634</v>
      </c>
      <c r="M1841" s="23"/>
    </row>
    <row r="1842" spans="2:13" ht="15" customHeight="1" x14ac:dyDescent="0.25">
      <c r="B1842" s="35" t="s">
        <v>6639</v>
      </c>
      <c r="C1842" s="23" t="s">
        <v>6640</v>
      </c>
      <c r="D1842" s="23" t="s">
        <v>3303</v>
      </c>
      <c r="E1842" s="23" t="s">
        <v>3317</v>
      </c>
      <c r="F1842" s="23" t="s">
        <v>3729</v>
      </c>
      <c r="G1842" s="93">
        <v>3</v>
      </c>
      <c r="H1842" s="93">
        <v>1</v>
      </c>
      <c r="I1842" s="23"/>
      <c r="J1842" s="23"/>
      <c r="K1842" s="23"/>
      <c r="L1842" s="23" t="s">
        <v>6634</v>
      </c>
      <c r="M1842" s="23"/>
    </row>
    <row r="1843" spans="2:13" ht="15" customHeight="1" x14ac:dyDescent="0.25">
      <c r="B1843" s="35" t="s">
        <v>6641</v>
      </c>
      <c r="C1843" s="23" t="s">
        <v>6642</v>
      </c>
      <c r="D1843" s="23" t="s">
        <v>3303</v>
      </c>
      <c r="E1843" s="23" t="s">
        <v>3317</v>
      </c>
      <c r="F1843" s="23" t="s">
        <v>3729</v>
      </c>
      <c r="G1843" s="93">
        <v>3</v>
      </c>
      <c r="H1843" s="93">
        <v>1</v>
      </c>
      <c r="I1843" s="23"/>
      <c r="J1843" s="23"/>
      <c r="K1843" s="23"/>
      <c r="L1843" s="23" t="s">
        <v>6634</v>
      </c>
      <c r="M1843" s="23"/>
    </row>
    <row r="1844" spans="2:13" ht="15" customHeight="1" x14ac:dyDescent="0.25">
      <c r="B1844" s="35" t="s">
        <v>6643</v>
      </c>
      <c r="C1844" s="23" t="s">
        <v>6644</v>
      </c>
      <c r="D1844" s="23" t="s">
        <v>3303</v>
      </c>
      <c r="E1844" s="23" t="s">
        <v>3317</v>
      </c>
      <c r="F1844" s="23" t="s">
        <v>3729</v>
      </c>
      <c r="G1844" s="93">
        <v>3</v>
      </c>
      <c r="H1844" s="93">
        <v>1</v>
      </c>
      <c r="I1844" s="23"/>
      <c r="J1844" s="23"/>
      <c r="K1844" s="23"/>
      <c r="L1844" s="23" t="s">
        <v>6634</v>
      </c>
      <c r="M1844" s="23"/>
    </row>
    <row r="1845" spans="2:13" ht="15" customHeight="1" x14ac:dyDescent="0.25">
      <c r="B1845" s="35" t="s">
        <v>6645</v>
      </c>
      <c r="C1845" s="23" t="s">
        <v>6646</v>
      </c>
      <c r="D1845" s="23" t="s">
        <v>3303</v>
      </c>
      <c r="E1845" s="23" t="s">
        <v>3317</v>
      </c>
      <c r="F1845" s="23" t="s">
        <v>3729</v>
      </c>
      <c r="G1845" s="93">
        <v>3</v>
      </c>
      <c r="H1845" s="93">
        <v>1</v>
      </c>
      <c r="I1845" s="23"/>
      <c r="J1845" s="23"/>
      <c r="K1845" s="23"/>
      <c r="L1845" s="23" t="s">
        <v>6634</v>
      </c>
      <c r="M1845" s="23"/>
    </row>
    <row r="1846" spans="2:13" ht="15" customHeight="1" x14ac:dyDescent="0.25">
      <c r="B1846" s="35" t="s">
        <v>6647</v>
      </c>
      <c r="C1846" s="23" t="s">
        <v>6636</v>
      </c>
      <c r="D1846" s="23" t="s">
        <v>3303</v>
      </c>
      <c r="E1846" s="23" t="s">
        <v>3317</v>
      </c>
      <c r="F1846" s="23" t="s">
        <v>3729</v>
      </c>
      <c r="G1846" s="93">
        <v>3</v>
      </c>
      <c r="H1846" s="93">
        <v>1</v>
      </c>
      <c r="I1846" s="23"/>
      <c r="J1846" s="23"/>
      <c r="K1846" s="23"/>
      <c r="L1846" s="23" t="s">
        <v>6634</v>
      </c>
      <c r="M1846" s="23"/>
    </row>
    <row r="1847" spans="2:13" ht="15" customHeight="1" x14ac:dyDescent="0.25">
      <c r="B1847" s="35" t="s">
        <v>6648</v>
      </c>
      <c r="C1847" s="23" t="s">
        <v>6649</v>
      </c>
      <c r="D1847" s="23" t="s">
        <v>3303</v>
      </c>
      <c r="E1847" s="23" t="s">
        <v>3317</v>
      </c>
      <c r="F1847" s="23" t="s">
        <v>3729</v>
      </c>
      <c r="G1847" s="93">
        <v>3</v>
      </c>
      <c r="H1847" s="93">
        <v>1</v>
      </c>
      <c r="I1847" s="23"/>
      <c r="J1847" s="23"/>
      <c r="K1847" s="23"/>
      <c r="L1847" s="23" t="s">
        <v>6634</v>
      </c>
      <c r="M1847" s="23"/>
    </row>
    <row r="1848" spans="2:13" ht="15" customHeight="1" x14ac:dyDescent="0.25">
      <c r="B1848" s="35" t="s">
        <v>6650</v>
      </c>
      <c r="C1848" s="23" t="s">
        <v>6651</v>
      </c>
      <c r="D1848" s="23" t="s">
        <v>3303</v>
      </c>
      <c r="E1848" s="23" t="s">
        <v>3317</v>
      </c>
      <c r="F1848" s="23" t="s">
        <v>3729</v>
      </c>
      <c r="G1848" s="93">
        <v>3</v>
      </c>
      <c r="H1848" s="93">
        <v>1</v>
      </c>
      <c r="I1848" s="23"/>
      <c r="J1848" s="23"/>
      <c r="K1848" s="23"/>
      <c r="L1848" s="23" t="s">
        <v>6634</v>
      </c>
      <c r="M1848" s="23"/>
    </row>
    <row r="1849" spans="2:13" ht="15" customHeight="1" x14ac:dyDescent="0.25">
      <c r="B1849" s="35" t="s">
        <v>6652</v>
      </c>
      <c r="C1849" s="23" t="s">
        <v>6653</v>
      </c>
      <c r="D1849" s="23" t="s">
        <v>3303</v>
      </c>
      <c r="E1849" s="23" t="s">
        <v>3317</v>
      </c>
      <c r="F1849" s="23" t="s">
        <v>3729</v>
      </c>
      <c r="G1849" s="93">
        <v>3</v>
      </c>
      <c r="H1849" s="93">
        <v>0</v>
      </c>
      <c r="I1849" s="23"/>
      <c r="J1849" s="23"/>
      <c r="K1849" s="23"/>
      <c r="L1849" s="23" t="s">
        <v>6634</v>
      </c>
      <c r="M1849" s="23"/>
    </row>
    <row r="1850" spans="2:13" ht="15" customHeight="1" x14ac:dyDescent="0.25">
      <c r="B1850" s="35" t="s">
        <v>6654</v>
      </c>
      <c r="C1850" s="23" t="s">
        <v>6655</v>
      </c>
      <c r="D1850" s="23" t="s">
        <v>3303</v>
      </c>
      <c r="E1850" s="23" t="s">
        <v>3317</v>
      </c>
      <c r="F1850" s="23" t="s">
        <v>3729</v>
      </c>
      <c r="G1850" s="93">
        <v>3</v>
      </c>
      <c r="H1850" s="93">
        <v>0</v>
      </c>
      <c r="I1850" s="23"/>
      <c r="J1850" s="23"/>
      <c r="K1850" s="23"/>
      <c r="L1850" s="23" t="s">
        <v>6634</v>
      </c>
      <c r="M1850" s="23"/>
    </row>
    <row r="1851" spans="2:13" ht="15" customHeight="1" x14ac:dyDescent="0.25">
      <c r="B1851" s="35" t="s">
        <v>6656</v>
      </c>
      <c r="C1851" s="23" t="s">
        <v>6657</v>
      </c>
      <c r="D1851" s="23" t="s">
        <v>3303</v>
      </c>
      <c r="E1851" s="23" t="s">
        <v>3317</v>
      </c>
      <c r="F1851" s="23" t="s">
        <v>3729</v>
      </c>
      <c r="G1851" s="93">
        <v>3</v>
      </c>
      <c r="H1851" s="93">
        <v>0</v>
      </c>
      <c r="I1851" s="23"/>
      <c r="J1851" s="23"/>
      <c r="K1851" s="23"/>
      <c r="L1851" s="23" t="s">
        <v>6634</v>
      </c>
      <c r="M1851" s="23"/>
    </row>
    <row r="1852" spans="2:13" ht="15" customHeight="1" x14ac:dyDescent="0.25">
      <c r="B1852" s="35" t="s">
        <v>6658</v>
      </c>
      <c r="C1852" s="23" t="s">
        <v>6659</v>
      </c>
      <c r="D1852" s="23" t="s">
        <v>3303</v>
      </c>
      <c r="E1852" s="23" t="s">
        <v>3317</v>
      </c>
      <c r="F1852" s="23" t="s">
        <v>3729</v>
      </c>
      <c r="G1852" s="93">
        <v>3</v>
      </c>
      <c r="H1852" s="93">
        <v>1</v>
      </c>
      <c r="I1852" s="23"/>
      <c r="J1852" s="23"/>
      <c r="K1852" s="23"/>
      <c r="L1852" s="23" t="s">
        <v>6634</v>
      </c>
      <c r="M1852" s="23"/>
    </row>
    <row r="1853" spans="2:13" ht="15" customHeight="1" x14ac:dyDescent="0.25">
      <c r="B1853" s="35" t="s">
        <v>6660</v>
      </c>
      <c r="C1853" s="23" t="s">
        <v>6661</v>
      </c>
      <c r="D1853" s="23" t="s">
        <v>3303</v>
      </c>
      <c r="E1853" s="23" t="s">
        <v>3317</v>
      </c>
      <c r="F1853" s="23" t="s">
        <v>3729</v>
      </c>
      <c r="G1853" s="93">
        <v>3</v>
      </c>
      <c r="H1853" s="93">
        <v>1</v>
      </c>
      <c r="I1853" s="23"/>
      <c r="J1853" s="23"/>
      <c r="K1853" s="23"/>
      <c r="L1853" s="23" t="s">
        <v>6634</v>
      </c>
      <c r="M1853" s="23"/>
    </row>
    <row r="1854" spans="2:13" ht="15" customHeight="1" x14ac:dyDescent="0.25">
      <c r="B1854" s="35" t="s">
        <v>6662</v>
      </c>
      <c r="C1854" s="23" t="s">
        <v>6663</v>
      </c>
      <c r="D1854" s="23" t="s">
        <v>3303</v>
      </c>
      <c r="E1854" s="23" t="s">
        <v>3317</v>
      </c>
      <c r="F1854" s="23" t="s">
        <v>3729</v>
      </c>
      <c r="G1854" s="93">
        <v>3</v>
      </c>
      <c r="H1854" s="93">
        <v>1</v>
      </c>
      <c r="I1854" s="23"/>
      <c r="J1854" s="23"/>
      <c r="K1854" s="23"/>
      <c r="L1854" s="23" t="s">
        <v>6634</v>
      </c>
      <c r="M1854" s="23"/>
    </row>
    <row r="1855" spans="2:13" ht="15" customHeight="1" x14ac:dyDescent="0.25">
      <c r="B1855" s="35" t="s">
        <v>6664</v>
      </c>
      <c r="C1855" s="23" t="s">
        <v>6665</v>
      </c>
      <c r="D1855" s="23" t="s">
        <v>3303</v>
      </c>
      <c r="E1855" s="23" t="s">
        <v>3317</v>
      </c>
      <c r="F1855" s="23" t="s">
        <v>3729</v>
      </c>
      <c r="G1855" s="93">
        <v>3</v>
      </c>
      <c r="H1855" s="93">
        <v>1</v>
      </c>
      <c r="I1855" s="23"/>
      <c r="J1855" s="23"/>
      <c r="K1855" s="23"/>
      <c r="L1855" s="23" t="s">
        <v>6634</v>
      </c>
      <c r="M1855" s="23"/>
    </row>
    <row r="1856" spans="2:13" ht="15" customHeight="1" x14ac:dyDescent="0.25">
      <c r="B1856" s="35" t="s">
        <v>6666</v>
      </c>
      <c r="C1856" s="23" t="s">
        <v>6667</v>
      </c>
      <c r="D1856" s="23" t="s">
        <v>3303</v>
      </c>
      <c r="E1856" s="23" t="s">
        <v>3317</v>
      </c>
      <c r="F1856" s="23" t="s">
        <v>3729</v>
      </c>
      <c r="G1856" s="93">
        <v>3</v>
      </c>
      <c r="H1856" s="93">
        <v>1</v>
      </c>
      <c r="I1856" s="23"/>
      <c r="J1856" s="23"/>
      <c r="K1856" s="23"/>
      <c r="L1856" s="23" t="s">
        <v>6634</v>
      </c>
      <c r="M1856" s="23"/>
    </row>
    <row r="1857" spans="2:13" ht="15" customHeight="1" x14ac:dyDescent="0.25">
      <c r="B1857" s="35" t="s">
        <v>6668</v>
      </c>
      <c r="C1857" s="23" t="s">
        <v>6669</v>
      </c>
      <c r="D1857" s="23" t="s">
        <v>3303</v>
      </c>
      <c r="E1857" s="23" t="s">
        <v>3317</v>
      </c>
      <c r="F1857" s="23" t="s">
        <v>3729</v>
      </c>
      <c r="G1857" s="93">
        <v>3</v>
      </c>
      <c r="H1857" s="93">
        <v>1</v>
      </c>
      <c r="I1857" s="23"/>
      <c r="J1857" s="23"/>
      <c r="K1857" s="23"/>
      <c r="L1857" s="23" t="s">
        <v>6634</v>
      </c>
      <c r="M1857" s="23"/>
    </row>
    <row r="1858" spans="2:13" ht="15" customHeight="1" x14ac:dyDescent="0.25">
      <c r="B1858" s="35" t="s">
        <v>6670</v>
      </c>
      <c r="C1858" s="23" t="s">
        <v>6671</v>
      </c>
      <c r="D1858" s="23" t="s">
        <v>3303</v>
      </c>
      <c r="E1858" s="23" t="s">
        <v>3317</v>
      </c>
      <c r="F1858" s="23" t="s">
        <v>3729</v>
      </c>
      <c r="G1858" s="93">
        <v>3</v>
      </c>
      <c r="H1858" s="93">
        <v>1</v>
      </c>
      <c r="I1858" s="23"/>
      <c r="J1858" s="23"/>
      <c r="K1858" s="23"/>
      <c r="L1858" s="23" t="s">
        <v>6634</v>
      </c>
      <c r="M1858" s="23"/>
    </row>
    <row r="1859" spans="2:13" ht="15" customHeight="1" x14ac:dyDescent="0.25">
      <c r="B1859" s="35" t="s">
        <v>6672</v>
      </c>
      <c r="C1859" s="23" t="s">
        <v>6673</v>
      </c>
      <c r="D1859" s="23" t="s">
        <v>3303</v>
      </c>
      <c r="E1859" s="23" t="s">
        <v>3317</v>
      </c>
      <c r="F1859" s="23" t="s">
        <v>3729</v>
      </c>
      <c r="G1859" s="93">
        <v>3</v>
      </c>
      <c r="H1859" s="93">
        <v>1</v>
      </c>
      <c r="I1859" s="23"/>
      <c r="J1859" s="23"/>
      <c r="K1859" s="23"/>
      <c r="L1859" s="23" t="s">
        <v>6634</v>
      </c>
      <c r="M1859" s="23"/>
    </row>
    <row r="1860" spans="2:13" ht="15" customHeight="1" x14ac:dyDescent="0.25">
      <c r="B1860" s="35" t="s">
        <v>6674</v>
      </c>
      <c r="C1860" s="23" t="s">
        <v>6675</v>
      </c>
      <c r="D1860" s="23" t="s">
        <v>3303</v>
      </c>
      <c r="E1860" s="23" t="s">
        <v>3317</v>
      </c>
      <c r="F1860" s="23" t="s">
        <v>3729</v>
      </c>
      <c r="G1860" s="93">
        <v>3</v>
      </c>
      <c r="H1860" s="93">
        <v>1</v>
      </c>
      <c r="I1860" s="23"/>
      <c r="J1860" s="23"/>
      <c r="K1860" s="23"/>
      <c r="L1860" s="23" t="s">
        <v>6634</v>
      </c>
      <c r="M1860" s="23"/>
    </row>
    <row r="1861" spans="2:13" ht="15" customHeight="1" x14ac:dyDescent="0.25">
      <c r="B1861" s="35" t="s">
        <v>6676</v>
      </c>
      <c r="C1861" s="23" t="s">
        <v>6677</v>
      </c>
      <c r="D1861" s="23" t="s">
        <v>3303</v>
      </c>
      <c r="E1861" s="23" t="s">
        <v>3317</v>
      </c>
      <c r="F1861" s="23" t="s">
        <v>3729</v>
      </c>
      <c r="G1861" s="93">
        <v>3</v>
      </c>
      <c r="H1861" s="93">
        <v>1</v>
      </c>
      <c r="I1861" s="23"/>
      <c r="J1861" s="23"/>
      <c r="K1861" s="23"/>
      <c r="L1861" s="23" t="s">
        <v>6634</v>
      </c>
      <c r="M1861" s="23"/>
    </row>
    <row r="1862" spans="2:13" ht="15" customHeight="1" x14ac:dyDescent="0.25">
      <c r="B1862" s="35" t="s">
        <v>6678</v>
      </c>
      <c r="C1862" s="23" t="s">
        <v>6679</v>
      </c>
      <c r="D1862" s="23" t="s">
        <v>3303</v>
      </c>
      <c r="E1862" s="23" t="s">
        <v>3317</v>
      </c>
      <c r="F1862" s="23" t="s">
        <v>3729</v>
      </c>
      <c r="G1862" s="93">
        <v>3</v>
      </c>
      <c r="H1862" s="93">
        <v>1</v>
      </c>
      <c r="I1862" s="23"/>
      <c r="J1862" s="23"/>
      <c r="K1862" s="23"/>
      <c r="L1862" s="23" t="s">
        <v>6634</v>
      </c>
      <c r="M1862" s="23"/>
    </row>
    <row r="1863" spans="2:13" ht="15" customHeight="1" x14ac:dyDescent="0.25">
      <c r="B1863" s="35" t="s">
        <v>6680</v>
      </c>
      <c r="C1863" s="23" t="s">
        <v>6681</v>
      </c>
      <c r="D1863" s="23" t="s">
        <v>3303</v>
      </c>
      <c r="E1863" s="23" t="s">
        <v>3317</v>
      </c>
      <c r="F1863" s="23" t="s">
        <v>3729</v>
      </c>
      <c r="G1863" s="93">
        <v>3</v>
      </c>
      <c r="H1863" s="93">
        <v>1</v>
      </c>
      <c r="I1863" s="23"/>
      <c r="J1863" s="23"/>
      <c r="K1863" s="23"/>
      <c r="L1863" s="23" t="s">
        <v>6634</v>
      </c>
      <c r="M1863" s="23"/>
    </row>
    <row r="1864" spans="2:13" ht="15" customHeight="1" x14ac:dyDescent="0.25">
      <c r="B1864" s="35" t="s">
        <v>6682</v>
      </c>
      <c r="C1864" s="23" t="s">
        <v>6683</v>
      </c>
      <c r="D1864" s="23" t="s">
        <v>3303</v>
      </c>
      <c r="E1864" s="23" t="s">
        <v>3317</v>
      </c>
      <c r="F1864" s="23" t="s">
        <v>3729</v>
      </c>
      <c r="G1864" s="93">
        <v>3</v>
      </c>
      <c r="H1864" s="93">
        <v>1</v>
      </c>
      <c r="I1864" s="23"/>
      <c r="J1864" s="23"/>
      <c r="K1864" s="23"/>
      <c r="L1864" s="23" t="s">
        <v>6634</v>
      </c>
      <c r="M1864" s="23"/>
    </row>
    <row r="1865" spans="2:13" ht="15" customHeight="1" x14ac:dyDescent="0.25">
      <c r="B1865" s="35" t="s">
        <v>6684</v>
      </c>
      <c r="C1865" s="23" t="s">
        <v>6685</v>
      </c>
      <c r="D1865" s="23" t="s">
        <v>3303</v>
      </c>
      <c r="E1865" s="23" t="s">
        <v>3317</v>
      </c>
      <c r="F1865" s="23" t="s">
        <v>3729</v>
      </c>
      <c r="G1865" s="93">
        <v>3</v>
      </c>
      <c r="H1865" s="93">
        <v>1</v>
      </c>
      <c r="I1865" s="23"/>
      <c r="J1865" s="23"/>
      <c r="K1865" s="23"/>
      <c r="L1865" s="23" t="s">
        <v>6634</v>
      </c>
      <c r="M1865" s="23"/>
    </row>
    <row r="1866" spans="2:13" ht="15" customHeight="1" x14ac:dyDescent="0.25">
      <c r="B1866" s="35" t="s">
        <v>6686</v>
      </c>
      <c r="C1866" s="23" t="s">
        <v>6687</v>
      </c>
      <c r="D1866" s="23" t="s">
        <v>3303</v>
      </c>
      <c r="E1866" s="23" t="s">
        <v>3317</v>
      </c>
      <c r="F1866" s="23" t="s">
        <v>3729</v>
      </c>
      <c r="G1866" s="93">
        <v>3</v>
      </c>
      <c r="H1866" s="93">
        <v>1</v>
      </c>
      <c r="I1866" s="23"/>
      <c r="J1866" s="23"/>
      <c r="K1866" s="23"/>
      <c r="L1866" s="23" t="s">
        <v>6634</v>
      </c>
      <c r="M1866" s="23"/>
    </row>
    <row r="1867" spans="2:13" ht="15" customHeight="1" x14ac:dyDescent="0.25">
      <c r="B1867" s="35" t="s">
        <v>6688</v>
      </c>
      <c r="C1867" s="23" t="s">
        <v>6689</v>
      </c>
      <c r="D1867" s="23" t="s">
        <v>3303</v>
      </c>
      <c r="E1867" s="23" t="s">
        <v>3317</v>
      </c>
      <c r="F1867" s="23" t="s">
        <v>3729</v>
      </c>
      <c r="G1867" s="93">
        <v>3</v>
      </c>
      <c r="H1867" s="93">
        <v>0</v>
      </c>
      <c r="I1867" s="23"/>
      <c r="J1867" s="23"/>
      <c r="K1867" s="23"/>
      <c r="L1867" s="23" t="s">
        <v>6634</v>
      </c>
      <c r="M1867" s="23"/>
    </row>
    <row r="1868" spans="2:13" ht="15" customHeight="1" x14ac:dyDescent="0.25">
      <c r="B1868" s="35" t="s">
        <v>6690</v>
      </c>
      <c r="C1868" s="23" t="s">
        <v>380</v>
      </c>
      <c r="D1868" s="23" t="s">
        <v>3303</v>
      </c>
      <c r="E1868" s="23" t="s">
        <v>3317</v>
      </c>
      <c r="F1868" s="23" t="s">
        <v>3729</v>
      </c>
      <c r="G1868" s="93">
        <v>3</v>
      </c>
      <c r="H1868" s="93">
        <v>0</v>
      </c>
      <c r="I1868" s="23"/>
      <c r="J1868" s="23"/>
      <c r="K1868" s="23"/>
      <c r="L1868" s="23" t="s">
        <v>6634</v>
      </c>
      <c r="M1868" s="23"/>
    </row>
    <row r="1869" spans="2:13" ht="15" customHeight="1" x14ac:dyDescent="0.25">
      <c r="B1869" s="35" t="s">
        <v>6691</v>
      </c>
      <c r="C1869" s="23" t="s">
        <v>6692</v>
      </c>
      <c r="D1869" s="23" t="s">
        <v>3303</v>
      </c>
      <c r="E1869" s="23" t="s">
        <v>3317</v>
      </c>
      <c r="F1869" s="23" t="s">
        <v>3729</v>
      </c>
      <c r="G1869" s="93">
        <v>0</v>
      </c>
      <c r="H1869" s="93">
        <v>1</v>
      </c>
      <c r="I1869" s="23"/>
      <c r="J1869" s="23"/>
      <c r="K1869" s="23"/>
      <c r="L1869" s="23" t="s">
        <v>6634</v>
      </c>
      <c r="M1869" s="23"/>
    </row>
    <row r="1870" spans="2:13" ht="15" customHeight="1" x14ac:dyDescent="0.25">
      <c r="B1870" s="35" t="s">
        <v>6693</v>
      </c>
      <c r="C1870" s="23" t="s">
        <v>6694</v>
      </c>
      <c r="D1870" s="23" t="s">
        <v>3303</v>
      </c>
      <c r="E1870" s="23" t="s">
        <v>3317</v>
      </c>
      <c r="F1870" s="23" t="s">
        <v>3729</v>
      </c>
      <c r="G1870" s="93">
        <v>3</v>
      </c>
      <c r="H1870" s="93">
        <v>0</v>
      </c>
      <c r="I1870" s="23"/>
      <c r="J1870" s="23"/>
      <c r="K1870" s="23"/>
      <c r="L1870" s="23" t="s">
        <v>6634</v>
      </c>
      <c r="M1870" s="23"/>
    </row>
    <row r="1871" spans="2:13" ht="15" customHeight="1" x14ac:dyDescent="0.25">
      <c r="B1871" s="35" t="s">
        <v>6695</v>
      </c>
      <c r="C1871" s="23" t="s">
        <v>6696</v>
      </c>
      <c r="D1871" s="23" t="s">
        <v>3303</v>
      </c>
      <c r="E1871" s="23" t="s">
        <v>3317</v>
      </c>
      <c r="F1871" s="23" t="s">
        <v>3729</v>
      </c>
      <c r="G1871" s="93">
        <v>3</v>
      </c>
      <c r="H1871" s="93">
        <v>0</v>
      </c>
      <c r="I1871" s="23"/>
      <c r="J1871" s="23"/>
      <c r="K1871" s="23"/>
      <c r="L1871" s="23" t="s">
        <v>6634</v>
      </c>
      <c r="M1871" s="23"/>
    </row>
    <row r="1872" spans="2:13" ht="15" customHeight="1" x14ac:dyDescent="0.25">
      <c r="B1872" s="35" t="s">
        <v>6697</v>
      </c>
      <c r="C1872" s="23" t="s">
        <v>6698</v>
      </c>
      <c r="D1872" s="23" t="s">
        <v>3303</v>
      </c>
      <c r="E1872" s="23" t="s">
        <v>3317</v>
      </c>
      <c r="F1872" s="23" t="s">
        <v>3729</v>
      </c>
      <c r="G1872" s="93">
        <v>3</v>
      </c>
      <c r="H1872" s="93">
        <v>1</v>
      </c>
      <c r="I1872" s="23"/>
      <c r="J1872" s="23"/>
      <c r="K1872" s="23"/>
      <c r="L1872" s="23" t="s">
        <v>6634</v>
      </c>
      <c r="M1872" s="23"/>
    </row>
    <row r="1873" spans="2:13" ht="15" customHeight="1" x14ac:dyDescent="0.25">
      <c r="B1873" s="35" t="s">
        <v>6699</v>
      </c>
      <c r="C1873" s="23" t="s">
        <v>6084</v>
      </c>
      <c r="D1873" s="23" t="s">
        <v>3303</v>
      </c>
      <c r="E1873" s="23" t="s">
        <v>3317</v>
      </c>
      <c r="F1873" s="23" t="s">
        <v>3729</v>
      </c>
      <c r="G1873" s="93">
        <v>3</v>
      </c>
      <c r="H1873" s="93">
        <v>1</v>
      </c>
      <c r="I1873" s="23"/>
      <c r="J1873" s="23"/>
      <c r="K1873" s="23"/>
      <c r="L1873" s="23" t="s">
        <v>6634</v>
      </c>
      <c r="M1873" s="23"/>
    </row>
    <row r="1874" spans="2:13" ht="15" customHeight="1" x14ac:dyDescent="0.25">
      <c r="B1874" s="35" t="s">
        <v>6700</v>
      </c>
      <c r="C1874" s="23" t="s">
        <v>6701</v>
      </c>
      <c r="D1874" s="23" t="s">
        <v>3303</v>
      </c>
      <c r="E1874" s="23" t="s">
        <v>3317</v>
      </c>
      <c r="F1874" s="23" t="s">
        <v>3729</v>
      </c>
      <c r="G1874" s="93">
        <v>3</v>
      </c>
      <c r="H1874" s="93">
        <v>1</v>
      </c>
      <c r="I1874" s="23"/>
      <c r="J1874" s="23"/>
      <c r="K1874" s="23"/>
      <c r="L1874" s="23" t="s">
        <v>6634</v>
      </c>
      <c r="M1874" s="23"/>
    </row>
    <row r="1875" spans="2:13" ht="15" customHeight="1" x14ac:dyDescent="0.25">
      <c r="B1875" s="35" t="s">
        <v>6702</v>
      </c>
      <c r="C1875" s="23" t="s">
        <v>6703</v>
      </c>
      <c r="D1875" s="23" t="s">
        <v>3303</v>
      </c>
      <c r="E1875" s="23" t="s">
        <v>3317</v>
      </c>
      <c r="F1875" s="23" t="s">
        <v>3729</v>
      </c>
      <c r="G1875" s="93">
        <v>3</v>
      </c>
      <c r="H1875" s="93">
        <v>0</v>
      </c>
      <c r="I1875" s="23"/>
      <c r="J1875" s="23"/>
      <c r="K1875" s="23"/>
      <c r="L1875" s="23" t="s">
        <v>6634</v>
      </c>
      <c r="M1875" s="23"/>
    </row>
    <row r="1876" spans="2:13" ht="15" customHeight="1" x14ac:dyDescent="0.25">
      <c r="B1876" s="35" t="s">
        <v>6704</v>
      </c>
      <c r="C1876" s="23" t="s">
        <v>6705</v>
      </c>
      <c r="D1876" s="23" t="s">
        <v>3303</v>
      </c>
      <c r="E1876" s="23" t="s">
        <v>3317</v>
      </c>
      <c r="F1876" s="23" t="s">
        <v>3729</v>
      </c>
      <c r="G1876" s="93">
        <v>3</v>
      </c>
      <c r="H1876" s="93">
        <v>1</v>
      </c>
      <c r="I1876" s="23"/>
      <c r="J1876" s="23"/>
      <c r="K1876" s="23"/>
      <c r="L1876" s="23" t="s">
        <v>6634</v>
      </c>
      <c r="M1876" s="23"/>
    </row>
    <row r="1877" spans="2:13" ht="15" customHeight="1" x14ac:dyDescent="0.25">
      <c r="B1877" s="35" t="s">
        <v>6706</v>
      </c>
      <c r="C1877" s="23" t="s">
        <v>6707</v>
      </c>
      <c r="D1877" s="23" t="s">
        <v>3303</v>
      </c>
      <c r="E1877" s="23" t="s">
        <v>3317</v>
      </c>
      <c r="F1877" s="23" t="s">
        <v>3729</v>
      </c>
      <c r="G1877" s="93">
        <v>3</v>
      </c>
      <c r="H1877" s="93">
        <v>0</v>
      </c>
      <c r="I1877" s="23"/>
      <c r="J1877" s="23"/>
      <c r="K1877" s="23"/>
      <c r="L1877" s="23" t="s">
        <v>6634</v>
      </c>
      <c r="M1877" s="23"/>
    </row>
    <row r="1878" spans="2:13" ht="15" customHeight="1" x14ac:dyDescent="0.25">
      <c r="B1878" s="35" t="s">
        <v>6708</v>
      </c>
      <c r="C1878" s="23" t="s">
        <v>6709</v>
      </c>
      <c r="D1878" s="23" t="s">
        <v>3303</v>
      </c>
      <c r="E1878" s="23" t="s">
        <v>3317</v>
      </c>
      <c r="F1878" s="23" t="s">
        <v>3729</v>
      </c>
      <c r="G1878" s="93">
        <v>3</v>
      </c>
      <c r="H1878" s="93">
        <v>0</v>
      </c>
      <c r="I1878" s="23"/>
      <c r="J1878" s="23"/>
      <c r="K1878" s="23"/>
      <c r="L1878" s="23" t="s">
        <v>6634</v>
      </c>
      <c r="M1878" s="23" t="s">
        <v>4716</v>
      </c>
    </row>
    <row r="1879" spans="2:13" ht="15" customHeight="1" x14ac:dyDescent="0.25">
      <c r="B1879" s="35" t="s">
        <v>6710</v>
      </c>
      <c r="C1879" s="23" t="s">
        <v>6711</v>
      </c>
      <c r="D1879" s="23" t="s">
        <v>3303</v>
      </c>
      <c r="E1879" s="23" t="s">
        <v>3317</v>
      </c>
      <c r="F1879" s="23" t="s">
        <v>3729</v>
      </c>
      <c r="G1879" s="93">
        <v>3</v>
      </c>
      <c r="H1879" s="93">
        <v>0</v>
      </c>
      <c r="I1879" s="23"/>
      <c r="J1879" s="23"/>
      <c r="K1879" s="23"/>
      <c r="L1879" s="23" t="s">
        <v>6634</v>
      </c>
      <c r="M1879" s="23" t="s">
        <v>4716</v>
      </c>
    </row>
    <row r="1880" spans="2:13" ht="15" customHeight="1" x14ac:dyDescent="0.25">
      <c r="B1880" s="35" t="s">
        <v>6712</v>
      </c>
      <c r="C1880" s="23" t="s">
        <v>6713</v>
      </c>
      <c r="D1880" s="23" t="s">
        <v>3303</v>
      </c>
      <c r="E1880" s="23" t="s">
        <v>3317</v>
      </c>
      <c r="F1880" s="23" t="s">
        <v>3729</v>
      </c>
      <c r="G1880" s="93">
        <v>3</v>
      </c>
      <c r="H1880" s="93">
        <v>0</v>
      </c>
      <c r="I1880" s="23"/>
      <c r="J1880" s="23"/>
      <c r="K1880" s="23"/>
      <c r="L1880" s="23" t="s">
        <v>6634</v>
      </c>
      <c r="M1880" s="23" t="s">
        <v>4716</v>
      </c>
    </row>
    <row r="1881" spans="2:13" ht="15" customHeight="1" x14ac:dyDescent="0.25">
      <c r="B1881" s="35" t="s">
        <v>6714</v>
      </c>
      <c r="C1881" s="23" t="s">
        <v>6715</v>
      </c>
      <c r="D1881" s="23" t="s">
        <v>3303</v>
      </c>
      <c r="E1881" s="23" t="s">
        <v>3317</v>
      </c>
      <c r="F1881" s="23" t="s">
        <v>3729</v>
      </c>
      <c r="G1881" s="93">
        <v>3</v>
      </c>
      <c r="H1881" s="93">
        <v>0</v>
      </c>
      <c r="I1881" s="23"/>
      <c r="J1881" s="23"/>
      <c r="K1881" s="23"/>
      <c r="L1881" s="23" t="s">
        <v>6634</v>
      </c>
      <c r="M1881" s="23"/>
    </row>
    <row r="1882" spans="2:13" ht="15" customHeight="1" x14ac:dyDescent="0.25">
      <c r="B1882" s="35" t="s">
        <v>6716</v>
      </c>
      <c r="C1882" s="23" t="s">
        <v>6717</v>
      </c>
      <c r="D1882" s="23" t="s">
        <v>3303</v>
      </c>
      <c r="E1882" s="23" t="s">
        <v>3317</v>
      </c>
      <c r="F1882" s="23" t="s">
        <v>3729</v>
      </c>
      <c r="G1882" s="93">
        <v>3</v>
      </c>
      <c r="H1882" s="93">
        <v>0</v>
      </c>
      <c r="I1882" s="23"/>
      <c r="J1882" s="23"/>
      <c r="K1882" s="23"/>
      <c r="L1882" s="23" t="s">
        <v>6634</v>
      </c>
      <c r="M1882" s="23"/>
    </row>
    <row r="1883" spans="2:13" ht="15" customHeight="1" x14ac:dyDescent="0.25">
      <c r="B1883" s="35" t="s">
        <v>6718</v>
      </c>
      <c r="C1883" s="23" t="s">
        <v>6719</v>
      </c>
      <c r="D1883" s="23" t="s">
        <v>3303</v>
      </c>
      <c r="E1883" s="23" t="s">
        <v>3317</v>
      </c>
      <c r="F1883" s="23" t="s">
        <v>3729</v>
      </c>
      <c r="G1883" s="93">
        <v>3</v>
      </c>
      <c r="H1883" s="93">
        <v>0</v>
      </c>
      <c r="I1883" s="23"/>
      <c r="J1883" s="23"/>
      <c r="K1883" s="23"/>
      <c r="L1883" s="23" t="s">
        <v>6634</v>
      </c>
      <c r="M1883" s="23"/>
    </row>
    <row r="1884" spans="2:13" ht="15" customHeight="1" x14ac:dyDescent="0.25">
      <c r="B1884" s="35" t="s">
        <v>6720</v>
      </c>
      <c r="C1884" s="23" t="s">
        <v>6721</v>
      </c>
      <c r="D1884" s="23" t="s">
        <v>3303</v>
      </c>
      <c r="E1884" s="23" t="s">
        <v>3317</v>
      </c>
      <c r="F1884" s="23" t="s">
        <v>3729</v>
      </c>
      <c r="G1884" s="93">
        <v>3</v>
      </c>
      <c r="H1884" s="93">
        <v>0</v>
      </c>
      <c r="I1884" s="23"/>
      <c r="J1884" s="23"/>
      <c r="K1884" s="23"/>
      <c r="L1884" s="23" t="s">
        <v>6634</v>
      </c>
      <c r="M1884" s="23"/>
    </row>
    <row r="1885" spans="2:13" ht="15" customHeight="1" x14ac:dyDescent="0.25">
      <c r="B1885" s="35" t="s">
        <v>6722</v>
      </c>
      <c r="C1885" s="23" t="s">
        <v>6723</v>
      </c>
      <c r="D1885" s="23" t="s">
        <v>3303</v>
      </c>
      <c r="E1885" s="23" t="s">
        <v>3317</v>
      </c>
      <c r="F1885" s="23" t="s">
        <v>3729</v>
      </c>
      <c r="G1885" s="93">
        <v>3</v>
      </c>
      <c r="H1885" s="93">
        <v>0</v>
      </c>
      <c r="I1885" s="23"/>
      <c r="J1885" s="23"/>
      <c r="K1885" s="23"/>
      <c r="L1885" s="23" t="s">
        <v>6634</v>
      </c>
      <c r="M1885" s="23"/>
    </row>
    <row r="1886" spans="2:13" ht="15" customHeight="1" x14ac:dyDescent="0.25">
      <c r="B1886" s="35" t="s">
        <v>6724</v>
      </c>
      <c r="C1886" s="23" t="s">
        <v>6725</v>
      </c>
      <c r="D1886" s="23" t="s">
        <v>3303</v>
      </c>
      <c r="E1886" s="23" t="s">
        <v>3317</v>
      </c>
      <c r="F1886" s="23" t="s">
        <v>3729</v>
      </c>
      <c r="G1886" s="93">
        <v>3</v>
      </c>
      <c r="H1886" s="93">
        <v>1</v>
      </c>
      <c r="I1886" s="23"/>
      <c r="J1886" s="23"/>
      <c r="K1886" s="23"/>
      <c r="L1886" s="23" t="s">
        <v>6634</v>
      </c>
      <c r="M1886" s="23"/>
    </row>
    <row r="1887" spans="2:13" ht="15" customHeight="1" x14ac:dyDescent="0.25">
      <c r="B1887" s="35" t="s">
        <v>6726</v>
      </c>
      <c r="C1887" s="23" t="s">
        <v>6727</v>
      </c>
      <c r="D1887" s="23" t="s">
        <v>3303</v>
      </c>
      <c r="E1887" s="23" t="s">
        <v>3317</v>
      </c>
      <c r="F1887" s="23" t="s">
        <v>3729</v>
      </c>
      <c r="G1887" s="93">
        <v>3</v>
      </c>
      <c r="H1887" s="93">
        <v>1</v>
      </c>
      <c r="I1887" s="23"/>
      <c r="J1887" s="23"/>
      <c r="K1887" s="23"/>
      <c r="L1887" s="23" t="s">
        <v>6634</v>
      </c>
      <c r="M1887" s="23"/>
    </row>
    <row r="1888" spans="2:13" ht="15" customHeight="1" x14ac:dyDescent="0.25">
      <c r="B1888" s="35" t="s">
        <v>6728</v>
      </c>
      <c r="C1888" s="23" t="s">
        <v>6729</v>
      </c>
      <c r="D1888" s="23" t="s">
        <v>3303</v>
      </c>
      <c r="E1888" s="23" t="s">
        <v>3317</v>
      </c>
      <c r="F1888" s="23" t="s">
        <v>3729</v>
      </c>
      <c r="G1888" s="93">
        <v>3</v>
      </c>
      <c r="H1888" s="93">
        <v>1</v>
      </c>
      <c r="I1888" s="23"/>
      <c r="J1888" s="23"/>
      <c r="K1888" s="23"/>
      <c r="L1888" s="23" t="s">
        <v>6634</v>
      </c>
      <c r="M1888" s="23"/>
    </row>
    <row r="1889" spans="2:13" ht="15" customHeight="1" x14ac:dyDescent="0.25">
      <c r="B1889" s="35" t="s">
        <v>6730</v>
      </c>
      <c r="C1889" s="23" t="s">
        <v>6731</v>
      </c>
      <c r="D1889" s="23" t="s">
        <v>3303</v>
      </c>
      <c r="E1889" s="23" t="s">
        <v>3317</v>
      </c>
      <c r="F1889" s="23" t="s">
        <v>3729</v>
      </c>
      <c r="G1889" s="93">
        <v>3</v>
      </c>
      <c r="H1889" s="93">
        <v>1</v>
      </c>
      <c r="I1889" s="23"/>
      <c r="J1889" s="23"/>
      <c r="K1889" s="23"/>
      <c r="L1889" s="23" t="s">
        <v>6634</v>
      </c>
      <c r="M1889" s="23"/>
    </row>
    <row r="1890" spans="2:13" ht="15" customHeight="1" x14ac:dyDescent="0.25">
      <c r="B1890" s="35" t="s">
        <v>6732</v>
      </c>
      <c r="C1890" s="23" t="s">
        <v>6733</v>
      </c>
      <c r="D1890" s="23" t="s">
        <v>3303</v>
      </c>
      <c r="E1890" s="23" t="s">
        <v>3317</v>
      </c>
      <c r="F1890" s="23" t="s">
        <v>3729</v>
      </c>
      <c r="G1890" s="93">
        <v>3</v>
      </c>
      <c r="H1890" s="93">
        <v>1</v>
      </c>
      <c r="I1890" s="23"/>
      <c r="J1890" s="23"/>
      <c r="K1890" s="23"/>
      <c r="L1890" s="23" t="s">
        <v>6634</v>
      </c>
      <c r="M1890" s="23"/>
    </row>
    <row r="1891" spans="2:13" ht="15" customHeight="1" x14ac:dyDescent="0.25">
      <c r="B1891" s="35" t="s">
        <v>6734</v>
      </c>
      <c r="C1891" s="23" t="s">
        <v>6735</v>
      </c>
      <c r="D1891" s="23" t="s">
        <v>3303</v>
      </c>
      <c r="E1891" s="23" t="s">
        <v>3317</v>
      </c>
      <c r="F1891" s="23" t="s">
        <v>3729</v>
      </c>
      <c r="G1891" s="93">
        <v>3</v>
      </c>
      <c r="H1891" s="93">
        <v>1</v>
      </c>
      <c r="I1891" s="23"/>
      <c r="J1891" s="23"/>
      <c r="K1891" s="23"/>
      <c r="L1891" s="23" t="s">
        <v>6634</v>
      </c>
      <c r="M1891" s="23" t="s">
        <v>3503</v>
      </c>
    </row>
    <row r="1892" spans="2:13" ht="15" customHeight="1" x14ac:dyDescent="0.25">
      <c r="B1892" s="35" t="s">
        <v>6736</v>
      </c>
      <c r="C1892" s="23" t="s">
        <v>3635</v>
      </c>
      <c r="D1892" s="23" t="s">
        <v>3303</v>
      </c>
      <c r="E1892" s="23" t="s">
        <v>3317</v>
      </c>
      <c r="F1892" s="23" t="s">
        <v>3729</v>
      </c>
      <c r="G1892" s="93">
        <v>3</v>
      </c>
      <c r="H1892" s="93">
        <v>0</v>
      </c>
      <c r="I1892" s="23"/>
      <c r="J1892" s="23"/>
      <c r="K1892" s="23"/>
      <c r="L1892" s="23" t="s">
        <v>6634</v>
      </c>
      <c r="M1892" s="23"/>
    </row>
    <row r="1893" spans="2:13" ht="15" customHeight="1" x14ac:dyDescent="0.25">
      <c r="B1893" s="35" t="s">
        <v>6737</v>
      </c>
      <c r="C1893" s="23" t="s">
        <v>6738</v>
      </c>
      <c r="D1893" s="23" t="s">
        <v>3303</v>
      </c>
      <c r="E1893" s="23" t="s">
        <v>3317</v>
      </c>
      <c r="F1893" s="23" t="s">
        <v>3729</v>
      </c>
      <c r="G1893" s="93">
        <v>3</v>
      </c>
      <c r="H1893" s="93">
        <v>0</v>
      </c>
      <c r="I1893" s="23"/>
      <c r="J1893" s="23"/>
      <c r="K1893" s="23"/>
      <c r="L1893" s="23" t="s">
        <v>6634</v>
      </c>
      <c r="M1893" s="23"/>
    </row>
    <row r="1894" spans="2:13" ht="15" customHeight="1" x14ac:dyDescent="0.25">
      <c r="B1894" s="35" t="s">
        <v>6739</v>
      </c>
      <c r="C1894" s="23" t="s">
        <v>6740</v>
      </c>
      <c r="D1894" s="23" t="s">
        <v>3303</v>
      </c>
      <c r="E1894" s="23" t="s">
        <v>3317</v>
      </c>
      <c r="F1894" s="23" t="s">
        <v>3729</v>
      </c>
      <c r="G1894" s="93">
        <v>0</v>
      </c>
      <c r="H1894" s="93">
        <v>0</v>
      </c>
      <c r="I1894" s="23"/>
      <c r="J1894" s="23"/>
      <c r="K1894" s="23"/>
      <c r="L1894" s="23" t="s">
        <v>6634</v>
      </c>
      <c r="M1894" s="23"/>
    </row>
    <row r="1895" spans="2:13" ht="15" customHeight="1" x14ac:dyDescent="0.25">
      <c r="B1895" s="35" t="s">
        <v>6741</v>
      </c>
      <c r="C1895" s="23" t="s">
        <v>6742</v>
      </c>
      <c r="D1895" s="23" t="s">
        <v>3303</v>
      </c>
      <c r="E1895" s="23" t="s">
        <v>3317</v>
      </c>
      <c r="F1895" s="23" t="s">
        <v>3729</v>
      </c>
      <c r="G1895" s="93">
        <v>3</v>
      </c>
      <c r="H1895" s="93">
        <v>1</v>
      </c>
      <c r="I1895" s="23"/>
      <c r="J1895" s="23"/>
      <c r="K1895" s="23"/>
      <c r="L1895" s="23" t="s">
        <v>6634</v>
      </c>
      <c r="M1895" s="23"/>
    </row>
    <row r="1896" spans="2:13" ht="15" customHeight="1" x14ac:dyDescent="0.25">
      <c r="B1896" s="35" t="s">
        <v>3150</v>
      </c>
      <c r="C1896" s="23" t="s">
        <v>3151</v>
      </c>
      <c r="D1896" s="23" t="s">
        <v>3303</v>
      </c>
      <c r="E1896" s="23" t="s">
        <v>3317</v>
      </c>
      <c r="F1896" s="23" t="s">
        <v>3729</v>
      </c>
      <c r="G1896" s="93">
        <v>3</v>
      </c>
      <c r="H1896" s="93">
        <v>0</v>
      </c>
      <c r="I1896" s="23"/>
      <c r="J1896" s="23"/>
      <c r="K1896" s="23"/>
      <c r="L1896" s="23" t="s">
        <v>6634</v>
      </c>
      <c r="M1896" s="23"/>
    </row>
    <row r="1897" spans="2:13" ht="15" customHeight="1" x14ac:dyDescent="0.25">
      <c r="B1897" s="35" t="s">
        <v>6743</v>
      </c>
      <c r="C1897" s="23" t="s">
        <v>6744</v>
      </c>
      <c r="D1897" s="23" t="s">
        <v>3303</v>
      </c>
      <c r="E1897" s="23" t="s">
        <v>3317</v>
      </c>
      <c r="F1897" s="23" t="s">
        <v>3729</v>
      </c>
      <c r="G1897" s="93">
        <v>3</v>
      </c>
      <c r="H1897" s="93">
        <v>1</v>
      </c>
      <c r="I1897" s="23"/>
      <c r="J1897" s="23"/>
      <c r="K1897" s="23"/>
      <c r="L1897" s="23" t="s">
        <v>6634</v>
      </c>
      <c r="M1897" s="23"/>
    </row>
    <row r="1898" spans="2:13" ht="15" customHeight="1" x14ac:dyDescent="0.25">
      <c r="B1898" s="35" t="s">
        <v>6745</v>
      </c>
      <c r="C1898" s="23" t="s">
        <v>6746</v>
      </c>
      <c r="D1898" s="23" t="s">
        <v>3303</v>
      </c>
      <c r="E1898" s="23" t="s">
        <v>3317</v>
      </c>
      <c r="F1898" s="23" t="s">
        <v>3729</v>
      </c>
      <c r="G1898" s="93">
        <v>0</v>
      </c>
      <c r="H1898" s="93">
        <v>0</v>
      </c>
      <c r="I1898" s="23"/>
      <c r="J1898" s="23"/>
      <c r="K1898" s="23"/>
      <c r="L1898" s="23" t="s">
        <v>6634</v>
      </c>
      <c r="M1898" s="23"/>
    </row>
    <row r="1899" spans="2:13" ht="15" customHeight="1" x14ac:dyDescent="0.25">
      <c r="B1899" s="35" t="s">
        <v>3153</v>
      </c>
      <c r="C1899" s="23" t="s">
        <v>3154</v>
      </c>
      <c r="D1899" s="23" t="s">
        <v>3303</v>
      </c>
      <c r="E1899" s="23" t="s">
        <v>3317</v>
      </c>
      <c r="F1899" s="23" t="s">
        <v>3729</v>
      </c>
      <c r="G1899" s="93">
        <v>3</v>
      </c>
      <c r="H1899" s="93">
        <v>1</v>
      </c>
      <c r="I1899" s="23"/>
      <c r="J1899" s="23"/>
      <c r="K1899" s="23"/>
      <c r="L1899" s="23" t="s">
        <v>6634</v>
      </c>
      <c r="M1899" s="23"/>
    </row>
    <row r="1900" spans="2:13" ht="15" customHeight="1" x14ac:dyDescent="0.25">
      <c r="B1900" s="35" t="s">
        <v>6747</v>
      </c>
      <c r="C1900" s="23" t="s">
        <v>6748</v>
      </c>
      <c r="D1900" s="23" t="s">
        <v>3303</v>
      </c>
      <c r="E1900" s="23" t="s">
        <v>3317</v>
      </c>
      <c r="F1900" s="23" t="s">
        <v>3729</v>
      </c>
      <c r="G1900" s="93">
        <v>3</v>
      </c>
      <c r="H1900" s="93">
        <v>0</v>
      </c>
      <c r="I1900" s="23"/>
      <c r="J1900" s="23"/>
      <c r="K1900" s="23"/>
      <c r="L1900" s="23" t="s">
        <v>6634</v>
      </c>
      <c r="M1900" s="23"/>
    </row>
    <row r="1901" spans="2:13" ht="15" customHeight="1" x14ac:dyDescent="0.25">
      <c r="B1901" s="35" t="s">
        <v>6749</v>
      </c>
      <c r="C1901" s="23" t="s">
        <v>6750</v>
      </c>
      <c r="D1901" s="23" t="s">
        <v>3303</v>
      </c>
      <c r="E1901" s="23" t="s">
        <v>3317</v>
      </c>
      <c r="F1901" s="23" t="s">
        <v>3729</v>
      </c>
      <c r="G1901" s="93">
        <v>3</v>
      </c>
      <c r="H1901" s="93">
        <v>0</v>
      </c>
      <c r="I1901" s="23"/>
      <c r="J1901" s="23"/>
      <c r="K1901" s="23"/>
      <c r="L1901" s="23" t="s">
        <v>6634</v>
      </c>
      <c r="M1901" s="23"/>
    </row>
    <row r="1902" spans="2:13" ht="15" customHeight="1" x14ac:dyDescent="0.25">
      <c r="B1902" s="35" t="s">
        <v>6751</v>
      </c>
      <c r="C1902" s="23" t="s">
        <v>6752</v>
      </c>
      <c r="D1902" s="23" t="s">
        <v>3303</v>
      </c>
      <c r="E1902" s="23" t="s">
        <v>3317</v>
      </c>
      <c r="F1902" s="23" t="s">
        <v>3729</v>
      </c>
      <c r="G1902" s="93">
        <v>3</v>
      </c>
      <c r="H1902" s="93">
        <v>1</v>
      </c>
      <c r="I1902" s="23"/>
      <c r="J1902" s="23"/>
      <c r="K1902" s="23"/>
      <c r="L1902" s="23" t="s">
        <v>6634</v>
      </c>
      <c r="M1902" s="23"/>
    </row>
    <row r="1903" spans="2:13" ht="15" customHeight="1" x14ac:dyDescent="0.25">
      <c r="B1903" s="35" t="s">
        <v>6753</v>
      </c>
      <c r="C1903" s="23" t="s">
        <v>6754</v>
      </c>
      <c r="D1903" s="23" t="s">
        <v>3303</v>
      </c>
      <c r="E1903" s="23" t="s">
        <v>3317</v>
      </c>
      <c r="F1903" s="23" t="s">
        <v>3729</v>
      </c>
      <c r="G1903" s="93">
        <v>3</v>
      </c>
      <c r="H1903" s="93">
        <v>1</v>
      </c>
      <c r="I1903" s="23"/>
      <c r="J1903" s="23"/>
      <c r="K1903" s="23"/>
      <c r="L1903" s="23" t="s">
        <v>6634</v>
      </c>
      <c r="M1903" s="23"/>
    </row>
    <row r="1904" spans="2:13" ht="15" customHeight="1" x14ac:dyDescent="0.25">
      <c r="B1904" s="35" t="s">
        <v>6755</v>
      </c>
      <c r="C1904" s="23" t="s">
        <v>6756</v>
      </c>
      <c r="D1904" s="23" t="s">
        <v>3303</v>
      </c>
      <c r="E1904" s="23" t="s">
        <v>3317</v>
      </c>
      <c r="F1904" s="23" t="s">
        <v>3729</v>
      </c>
      <c r="G1904" s="93">
        <v>3</v>
      </c>
      <c r="H1904" s="93">
        <v>1</v>
      </c>
      <c r="I1904" s="23"/>
      <c r="J1904" s="23"/>
      <c r="K1904" s="23"/>
      <c r="L1904" s="23" t="s">
        <v>6634</v>
      </c>
      <c r="M1904" s="23"/>
    </row>
    <row r="1905" spans="2:13" ht="15" customHeight="1" x14ac:dyDescent="0.25">
      <c r="B1905" s="35" t="s">
        <v>6757</v>
      </c>
      <c r="C1905" s="23" t="s">
        <v>6758</v>
      </c>
      <c r="D1905" s="23" t="s">
        <v>3303</v>
      </c>
      <c r="E1905" s="23" t="s">
        <v>3317</v>
      </c>
      <c r="F1905" s="23" t="s">
        <v>3729</v>
      </c>
      <c r="G1905" s="93">
        <v>3</v>
      </c>
      <c r="H1905" s="93">
        <v>0</v>
      </c>
      <c r="I1905" s="23"/>
      <c r="J1905" s="23"/>
      <c r="K1905" s="23"/>
      <c r="L1905" s="23" t="s">
        <v>6634</v>
      </c>
      <c r="M1905" s="23"/>
    </row>
    <row r="1906" spans="2:13" ht="15" customHeight="1" x14ac:dyDescent="0.25">
      <c r="B1906" s="35" t="s">
        <v>6759</v>
      </c>
      <c r="C1906" s="23" t="s">
        <v>6760</v>
      </c>
      <c r="D1906" s="23" t="s">
        <v>3303</v>
      </c>
      <c r="E1906" s="23" t="s">
        <v>3317</v>
      </c>
      <c r="F1906" s="23" t="s">
        <v>3729</v>
      </c>
      <c r="G1906" s="93">
        <v>3</v>
      </c>
      <c r="H1906" s="93">
        <v>1</v>
      </c>
      <c r="I1906" s="23"/>
      <c r="J1906" s="23"/>
      <c r="K1906" s="23"/>
      <c r="L1906" s="23" t="s">
        <v>6634</v>
      </c>
      <c r="M1906" s="23"/>
    </row>
    <row r="1907" spans="2:13" ht="15" customHeight="1" x14ac:dyDescent="0.25">
      <c r="B1907" s="35" t="s">
        <v>2872</v>
      </c>
      <c r="C1907" s="23" t="s">
        <v>2873</v>
      </c>
      <c r="D1907" s="23" t="s">
        <v>3303</v>
      </c>
      <c r="E1907" s="23" t="s">
        <v>3317</v>
      </c>
      <c r="F1907" s="23" t="s">
        <v>3729</v>
      </c>
      <c r="G1907" s="93">
        <v>3</v>
      </c>
      <c r="H1907" s="93">
        <v>1</v>
      </c>
      <c r="I1907" s="23"/>
      <c r="J1907" s="23"/>
      <c r="K1907" s="23"/>
      <c r="L1907" s="23" t="s">
        <v>6634</v>
      </c>
      <c r="M1907" s="23" t="s">
        <v>3503</v>
      </c>
    </row>
    <row r="1908" spans="2:13" ht="15" customHeight="1" x14ac:dyDescent="0.25">
      <c r="B1908" s="35" t="s">
        <v>2876</v>
      </c>
      <c r="C1908" s="23" t="s">
        <v>2877</v>
      </c>
      <c r="D1908" s="23" t="s">
        <v>3303</v>
      </c>
      <c r="E1908" s="23" t="s">
        <v>3317</v>
      </c>
      <c r="F1908" s="23" t="s">
        <v>3729</v>
      </c>
      <c r="G1908" s="93">
        <v>3</v>
      </c>
      <c r="H1908" s="93">
        <v>1</v>
      </c>
      <c r="I1908" s="23"/>
      <c r="J1908" s="23"/>
      <c r="K1908" s="23"/>
      <c r="L1908" s="23" t="s">
        <v>6634</v>
      </c>
      <c r="M1908" s="23"/>
    </row>
    <row r="1909" spans="2:13" ht="15" customHeight="1" x14ac:dyDescent="0.25">
      <c r="B1909" s="35" t="s">
        <v>6761</v>
      </c>
      <c r="C1909" s="23" t="s">
        <v>6762</v>
      </c>
      <c r="D1909" s="23" t="s">
        <v>3303</v>
      </c>
      <c r="E1909" s="23" t="s">
        <v>3317</v>
      </c>
      <c r="F1909" s="23" t="s">
        <v>3729</v>
      </c>
      <c r="G1909" s="93">
        <v>3</v>
      </c>
      <c r="H1909" s="93">
        <v>1</v>
      </c>
      <c r="I1909" s="23"/>
      <c r="J1909" s="23"/>
      <c r="K1909" s="23"/>
      <c r="L1909" s="23" t="s">
        <v>6634</v>
      </c>
      <c r="M1909" s="23" t="s">
        <v>3510</v>
      </c>
    </row>
    <row r="1910" spans="2:13" ht="15" customHeight="1" x14ac:dyDescent="0.25">
      <c r="B1910" s="35" t="s">
        <v>6763</v>
      </c>
      <c r="C1910" s="23" t="s">
        <v>6764</v>
      </c>
      <c r="D1910" s="23" t="s">
        <v>3303</v>
      </c>
      <c r="E1910" s="23" t="s">
        <v>3317</v>
      </c>
      <c r="F1910" s="23" t="s">
        <v>3729</v>
      </c>
      <c r="G1910" s="93">
        <v>3</v>
      </c>
      <c r="H1910" s="93">
        <v>1</v>
      </c>
      <c r="I1910" s="23"/>
      <c r="J1910" s="23"/>
      <c r="K1910" s="23"/>
      <c r="L1910" s="23" t="s">
        <v>6634</v>
      </c>
      <c r="M1910" s="23"/>
    </row>
    <row r="1911" spans="2:13" ht="15" customHeight="1" x14ac:dyDescent="0.25">
      <c r="B1911" s="35" t="s">
        <v>6765</v>
      </c>
      <c r="C1911" s="23" t="s">
        <v>6766</v>
      </c>
      <c r="D1911" s="23" t="s">
        <v>3303</v>
      </c>
      <c r="E1911" s="23" t="s">
        <v>3317</v>
      </c>
      <c r="F1911" s="23" t="s">
        <v>3729</v>
      </c>
      <c r="G1911" s="93">
        <v>3</v>
      </c>
      <c r="H1911" s="93">
        <v>0</v>
      </c>
      <c r="I1911" s="23"/>
      <c r="J1911" s="23"/>
      <c r="K1911" s="23"/>
      <c r="L1911" s="23" t="s">
        <v>6634</v>
      </c>
      <c r="M1911" s="23"/>
    </row>
    <row r="1912" spans="2:13" ht="15" customHeight="1" x14ac:dyDescent="0.25">
      <c r="B1912" s="35" t="s">
        <v>6767</v>
      </c>
      <c r="C1912" s="23" t="s">
        <v>6768</v>
      </c>
      <c r="D1912" s="23" t="s">
        <v>3303</v>
      </c>
      <c r="E1912" s="23" t="s">
        <v>3317</v>
      </c>
      <c r="F1912" s="23" t="s">
        <v>3729</v>
      </c>
      <c r="G1912" s="93">
        <v>3</v>
      </c>
      <c r="H1912" s="93">
        <v>1</v>
      </c>
      <c r="I1912" s="23"/>
      <c r="J1912" s="23"/>
      <c r="K1912" s="23"/>
      <c r="L1912" s="23" t="s">
        <v>6634</v>
      </c>
      <c r="M1912" s="23"/>
    </row>
    <row r="1913" spans="2:13" ht="15" customHeight="1" x14ac:dyDescent="0.25">
      <c r="B1913" s="35" t="s">
        <v>6769</v>
      </c>
      <c r="C1913" s="23" t="s">
        <v>6770</v>
      </c>
      <c r="D1913" s="23" t="s">
        <v>3303</v>
      </c>
      <c r="E1913" s="23" t="s">
        <v>3317</v>
      </c>
      <c r="F1913" s="23" t="s">
        <v>3729</v>
      </c>
      <c r="G1913" s="93">
        <v>3</v>
      </c>
      <c r="H1913" s="93">
        <v>1</v>
      </c>
      <c r="I1913" s="23"/>
      <c r="J1913" s="23"/>
      <c r="K1913" s="23"/>
      <c r="L1913" s="23" t="s">
        <v>6634</v>
      </c>
      <c r="M1913" s="23"/>
    </row>
    <row r="1914" spans="2:13" ht="15" customHeight="1" x14ac:dyDescent="0.25">
      <c r="B1914" s="35" t="s">
        <v>6771</v>
      </c>
      <c r="C1914" s="23" t="s">
        <v>6772</v>
      </c>
      <c r="D1914" s="23" t="s">
        <v>3303</v>
      </c>
      <c r="E1914" s="23" t="s">
        <v>3317</v>
      </c>
      <c r="F1914" s="23" t="s">
        <v>3729</v>
      </c>
      <c r="G1914" s="93">
        <v>3</v>
      </c>
      <c r="H1914" s="93">
        <v>1</v>
      </c>
      <c r="I1914" s="23"/>
      <c r="J1914" s="23"/>
      <c r="K1914" s="23"/>
      <c r="L1914" s="23" t="s">
        <v>6634</v>
      </c>
      <c r="M1914" s="23"/>
    </row>
    <row r="1915" spans="2:13" ht="15" customHeight="1" x14ac:dyDescent="0.25">
      <c r="B1915" s="35" t="s">
        <v>6773</v>
      </c>
      <c r="C1915" s="23" t="s">
        <v>6774</v>
      </c>
      <c r="D1915" s="23" t="s">
        <v>3303</v>
      </c>
      <c r="E1915" s="23" t="s">
        <v>3317</v>
      </c>
      <c r="F1915" s="23" t="s">
        <v>3729</v>
      </c>
      <c r="G1915" s="93">
        <v>3</v>
      </c>
      <c r="H1915" s="93">
        <v>0</v>
      </c>
      <c r="I1915" s="23"/>
      <c r="J1915" s="23"/>
      <c r="K1915" s="23"/>
      <c r="L1915" s="23" t="s">
        <v>6634</v>
      </c>
      <c r="M1915" s="23"/>
    </row>
    <row r="1916" spans="2:13" ht="15" customHeight="1" x14ac:dyDescent="0.25">
      <c r="B1916" s="35" t="s">
        <v>6775</v>
      </c>
      <c r="C1916" s="23" t="s">
        <v>6776</v>
      </c>
      <c r="D1916" s="23" t="s">
        <v>3303</v>
      </c>
      <c r="E1916" s="23" t="s">
        <v>3317</v>
      </c>
      <c r="F1916" s="23" t="s">
        <v>3729</v>
      </c>
      <c r="G1916" s="93">
        <v>3</v>
      </c>
      <c r="H1916" s="93">
        <v>0</v>
      </c>
      <c r="I1916" s="23"/>
      <c r="J1916" s="23"/>
      <c r="K1916" s="23"/>
      <c r="L1916" s="23" t="s">
        <v>6634</v>
      </c>
      <c r="M1916" s="23"/>
    </row>
    <row r="1917" spans="2:13" ht="15" customHeight="1" x14ac:dyDescent="0.25">
      <c r="B1917" s="35" t="s">
        <v>6777</v>
      </c>
      <c r="C1917" s="23" t="s">
        <v>6778</v>
      </c>
      <c r="D1917" s="23" t="s">
        <v>3303</v>
      </c>
      <c r="E1917" s="23" t="s">
        <v>3317</v>
      </c>
      <c r="F1917" s="23" t="s">
        <v>3729</v>
      </c>
      <c r="G1917" s="93">
        <v>3</v>
      </c>
      <c r="H1917" s="93">
        <v>0</v>
      </c>
      <c r="I1917" s="23"/>
      <c r="J1917" s="23"/>
      <c r="K1917" s="23"/>
      <c r="L1917" s="23" t="s">
        <v>6634</v>
      </c>
      <c r="M1917" s="23"/>
    </row>
    <row r="1918" spans="2:13" ht="15" customHeight="1" x14ac:dyDescent="0.25">
      <c r="B1918" s="35" t="s">
        <v>6779</v>
      </c>
      <c r="C1918" s="23" t="s">
        <v>6780</v>
      </c>
      <c r="D1918" s="23" t="s">
        <v>3303</v>
      </c>
      <c r="E1918" s="23" t="s">
        <v>3317</v>
      </c>
      <c r="F1918" s="23" t="s">
        <v>3729</v>
      </c>
      <c r="G1918" s="93">
        <v>3</v>
      </c>
      <c r="H1918" s="93">
        <v>0</v>
      </c>
      <c r="I1918" s="23"/>
      <c r="J1918" s="23"/>
      <c r="K1918" s="23"/>
      <c r="L1918" s="23" t="s">
        <v>6634</v>
      </c>
      <c r="M1918" s="23"/>
    </row>
    <row r="1919" spans="2:13" ht="15" customHeight="1" x14ac:dyDescent="0.25">
      <c r="B1919" s="35" t="s">
        <v>3155</v>
      </c>
      <c r="C1919" s="23" t="s">
        <v>3156</v>
      </c>
      <c r="D1919" s="23" t="s">
        <v>3303</v>
      </c>
      <c r="E1919" s="23" t="s">
        <v>3317</v>
      </c>
      <c r="F1919" s="23" t="s">
        <v>3729</v>
      </c>
      <c r="G1919" s="93">
        <v>3</v>
      </c>
      <c r="H1919" s="93">
        <v>0</v>
      </c>
      <c r="I1919" s="23"/>
      <c r="J1919" s="23"/>
      <c r="K1919" s="23"/>
      <c r="L1919" s="23" t="s">
        <v>6634</v>
      </c>
      <c r="M1919" s="23"/>
    </row>
    <row r="1920" spans="2:13" ht="15" customHeight="1" x14ac:dyDescent="0.25">
      <c r="B1920" s="35" t="s">
        <v>6781</v>
      </c>
      <c r="C1920" s="23" t="s">
        <v>6782</v>
      </c>
      <c r="D1920" s="23" t="s">
        <v>3303</v>
      </c>
      <c r="E1920" s="23" t="s">
        <v>3317</v>
      </c>
      <c r="F1920" s="23" t="s">
        <v>3729</v>
      </c>
      <c r="G1920" s="93">
        <v>3</v>
      </c>
      <c r="H1920" s="93">
        <v>0</v>
      </c>
      <c r="I1920" s="23"/>
      <c r="J1920" s="23"/>
      <c r="K1920" s="23"/>
      <c r="L1920" s="23" t="s">
        <v>6634</v>
      </c>
      <c r="M1920" s="23"/>
    </row>
    <row r="1921" spans="2:13" ht="15" customHeight="1" x14ac:dyDescent="0.25">
      <c r="B1921" s="35" t="s">
        <v>6783</v>
      </c>
      <c r="C1921" s="23" t="s">
        <v>6784</v>
      </c>
      <c r="D1921" s="23" t="s">
        <v>3303</v>
      </c>
      <c r="E1921" s="23" t="s">
        <v>3317</v>
      </c>
      <c r="F1921" s="23" t="s">
        <v>3729</v>
      </c>
      <c r="G1921" s="93">
        <v>3</v>
      </c>
      <c r="H1921" s="93">
        <v>1</v>
      </c>
      <c r="I1921" s="23"/>
      <c r="J1921" s="23"/>
      <c r="K1921" s="23"/>
      <c r="L1921" s="23" t="s">
        <v>6634</v>
      </c>
      <c r="M1921" s="23"/>
    </row>
    <row r="1922" spans="2:13" ht="15" customHeight="1" x14ac:dyDescent="0.25">
      <c r="B1922" s="35" t="s">
        <v>6785</v>
      </c>
      <c r="C1922" s="23" t="s">
        <v>6786</v>
      </c>
      <c r="D1922" s="23" t="s">
        <v>3303</v>
      </c>
      <c r="E1922" s="23" t="s">
        <v>3317</v>
      </c>
      <c r="F1922" s="23" t="s">
        <v>3729</v>
      </c>
      <c r="G1922" s="93">
        <v>3</v>
      </c>
      <c r="H1922" s="93">
        <v>1</v>
      </c>
      <c r="I1922" s="23"/>
      <c r="J1922" s="23"/>
      <c r="K1922" s="23"/>
      <c r="L1922" s="23" t="s">
        <v>6634</v>
      </c>
      <c r="M1922" s="23"/>
    </row>
    <row r="1923" spans="2:13" ht="15" customHeight="1" x14ac:dyDescent="0.25">
      <c r="B1923" s="35" t="s">
        <v>6787</v>
      </c>
      <c r="C1923" s="23" t="s">
        <v>6788</v>
      </c>
      <c r="D1923" s="23" t="s">
        <v>3303</v>
      </c>
      <c r="E1923" s="23" t="s">
        <v>3317</v>
      </c>
      <c r="F1923" s="23" t="s">
        <v>3729</v>
      </c>
      <c r="G1923" s="93">
        <v>3</v>
      </c>
      <c r="H1923" s="93">
        <v>1</v>
      </c>
      <c r="I1923" s="23"/>
      <c r="J1923" s="23"/>
      <c r="K1923" s="23"/>
      <c r="L1923" s="23" t="s">
        <v>6634</v>
      </c>
      <c r="M1923" s="23"/>
    </row>
    <row r="1924" spans="2:13" ht="15" customHeight="1" x14ac:dyDescent="0.25">
      <c r="B1924" s="35" t="s">
        <v>3158</v>
      </c>
      <c r="C1924" s="23" t="s">
        <v>3159</v>
      </c>
      <c r="D1924" s="23" t="s">
        <v>3303</v>
      </c>
      <c r="E1924" s="23" t="s">
        <v>3317</v>
      </c>
      <c r="F1924" s="23" t="s">
        <v>3729</v>
      </c>
      <c r="G1924" s="93">
        <v>3</v>
      </c>
      <c r="H1924" s="93">
        <v>0</v>
      </c>
      <c r="I1924" s="23"/>
      <c r="J1924" s="23"/>
      <c r="K1924" s="23"/>
      <c r="L1924" s="23" t="s">
        <v>6634</v>
      </c>
      <c r="M1924" s="23"/>
    </row>
    <row r="1925" spans="2:13" ht="15" customHeight="1" x14ac:dyDescent="0.25">
      <c r="B1925" s="35" t="s">
        <v>2884</v>
      </c>
      <c r="C1925" s="23" t="s">
        <v>2885</v>
      </c>
      <c r="D1925" s="23" t="s">
        <v>3303</v>
      </c>
      <c r="E1925" s="23" t="s">
        <v>3317</v>
      </c>
      <c r="F1925" s="23" t="s">
        <v>3729</v>
      </c>
      <c r="G1925" s="93">
        <v>3</v>
      </c>
      <c r="H1925" s="93">
        <v>1</v>
      </c>
      <c r="I1925" s="23"/>
      <c r="J1925" s="23"/>
      <c r="K1925" s="23"/>
      <c r="L1925" s="23" t="s">
        <v>6634</v>
      </c>
      <c r="M1925" s="23"/>
    </row>
    <row r="1926" spans="2:13" ht="15" customHeight="1" x14ac:dyDescent="0.25">
      <c r="B1926" s="35" t="s">
        <v>6789</v>
      </c>
      <c r="C1926" s="23" t="s">
        <v>6790</v>
      </c>
      <c r="D1926" s="23" t="s">
        <v>3303</v>
      </c>
      <c r="E1926" s="23" t="s">
        <v>3317</v>
      </c>
      <c r="F1926" s="23" t="s">
        <v>3729</v>
      </c>
      <c r="G1926" s="93">
        <v>3</v>
      </c>
      <c r="H1926" s="93">
        <v>0</v>
      </c>
      <c r="I1926" s="23"/>
      <c r="J1926" s="23"/>
      <c r="K1926" s="23"/>
      <c r="L1926" s="23" t="s">
        <v>6634</v>
      </c>
      <c r="M1926" s="23"/>
    </row>
    <row r="1927" spans="2:13" ht="15" customHeight="1" x14ac:dyDescent="0.25">
      <c r="B1927" s="35" t="s">
        <v>6791</v>
      </c>
      <c r="C1927" s="23" t="s">
        <v>6792</v>
      </c>
      <c r="D1927" s="23" t="s">
        <v>3303</v>
      </c>
      <c r="E1927" s="23" t="s">
        <v>3317</v>
      </c>
      <c r="F1927" s="23" t="s">
        <v>3729</v>
      </c>
      <c r="G1927" s="93">
        <v>3</v>
      </c>
      <c r="H1927" s="93">
        <v>1</v>
      </c>
      <c r="I1927" s="23"/>
      <c r="J1927" s="23"/>
      <c r="K1927" s="23"/>
      <c r="L1927" s="23" t="s">
        <v>6634</v>
      </c>
      <c r="M1927" s="23"/>
    </row>
    <row r="1928" spans="2:13" ht="15" customHeight="1" x14ac:dyDescent="0.25">
      <c r="B1928" s="35" t="s">
        <v>6793</v>
      </c>
      <c r="C1928" s="23" t="s">
        <v>6794</v>
      </c>
      <c r="D1928" s="23" t="s">
        <v>3303</v>
      </c>
      <c r="E1928" s="23" t="s">
        <v>3317</v>
      </c>
      <c r="F1928" s="23" t="s">
        <v>3729</v>
      </c>
      <c r="G1928" s="93">
        <v>3</v>
      </c>
      <c r="H1928" s="93">
        <v>1</v>
      </c>
      <c r="I1928" s="23"/>
      <c r="J1928" s="23"/>
      <c r="K1928" s="23"/>
      <c r="L1928" s="23" t="s">
        <v>6634</v>
      </c>
      <c r="M1928" s="23"/>
    </row>
    <row r="1929" spans="2:13" ht="15" customHeight="1" x14ac:dyDescent="0.25">
      <c r="B1929" s="35" t="s">
        <v>6795</v>
      </c>
      <c r="C1929" s="23" t="s">
        <v>6796</v>
      </c>
      <c r="D1929" s="23" t="s">
        <v>3303</v>
      </c>
      <c r="E1929" s="23" t="s">
        <v>3317</v>
      </c>
      <c r="F1929" s="23" t="s">
        <v>3729</v>
      </c>
      <c r="G1929" s="93">
        <v>3</v>
      </c>
      <c r="H1929" s="93">
        <v>1</v>
      </c>
      <c r="I1929" s="23"/>
      <c r="J1929" s="23"/>
      <c r="K1929" s="23"/>
      <c r="L1929" s="23" t="s">
        <v>6634</v>
      </c>
      <c r="M1929" s="23"/>
    </row>
    <row r="1930" spans="2:13" ht="15" customHeight="1" x14ac:dyDescent="0.25">
      <c r="B1930" s="35" t="s">
        <v>6797</v>
      </c>
      <c r="C1930" s="23" t="s">
        <v>6798</v>
      </c>
      <c r="D1930" s="23" t="s">
        <v>3303</v>
      </c>
      <c r="E1930" s="23" t="s">
        <v>3317</v>
      </c>
      <c r="F1930" s="23" t="s">
        <v>3729</v>
      </c>
      <c r="G1930" s="93">
        <v>3</v>
      </c>
      <c r="H1930" s="93">
        <v>0</v>
      </c>
      <c r="I1930" s="23"/>
      <c r="J1930" s="23"/>
      <c r="K1930" s="23"/>
      <c r="L1930" s="23" t="s">
        <v>6634</v>
      </c>
      <c r="M1930" s="23"/>
    </row>
    <row r="1931" spans="2:13" ht="15" customHeight="1" x14ac:dyDescent="0.25">
      <c r="B1931" s="35" t="s">
        <v>6799</v>
      </c>
      <c r="C1931" s="23" t="s">
        <v>6800</v>
      </c>
      <c r="D1931" s="23" t="s">
        <v>3303</v>
      </c>
      <c r="E1931" s="23" t="s">
        <v>3317</v>
      </c>
      <c r="F1931" s="23" t="s">
        <v>3729</v>
      </c>
      <c r="G1931" s="93">
        <v>3</v>
      </c>
      <c r="H1931" s="93">
        <v>0</v>
      </c>
      <c r="I1931" s="23"/>
      <c r="J1931" s="23"/>
      <c r="K1931" s="23"/>
      <c r="L1931" s="23" t="s">
        <v>6634</v>
      </c>
      <c r="M1931" s="23"/>
    </row>
    <row r="1932" spans="2:13" ht="15" customHeight="1" x14ac:dyDescent="0.25">
      <c r="B1932" s="35" t="s">
        <v>6801</v>
      </c>
      <c r="C1932" s="23" t="s">
        <v>6802</v>
      </c>
      <c r="D1932" s="23" t="s">
        <v>3303</v>
      </c>
      <c r="E1932" s="23" t="s">
        <v>3317</v>
      </c>
      <c r="F1932" s="23" t="s">
        <v>3729</v>
      </c>
      <c r="G1932" s="93">
        <v>3</v>
      </c>
      <c r="H1932" s="93">
        <v>0</v>
      </c>
      <c r="I1932" s="23"/>
      <c r="J1932" s="23"/>
      <c r="K1932" s="23"/>
      <c r="L1932" s="23" t="s">
        <v>6634</v>
      </c>
      <c r="M1932" s="23"/>
    </row>
    <row r="1933" spans="2:13" ht="15" customHeight="1" x14ac:dyDescent="0.25">
      <c r="B1933" s="35" t="s">
        <v>6803</v>
      </c>
      <c r="C1933" s="23" t="s">
        <v>6804</v>
      </c>
      <c r="D1933" s="23" t="s">
        <v>3303</v>
      </c>
      <c r="E1933" s="23" t="s">
        <v>3317</v>
      </c>
      <c r="F1933" s="23" t="s">
        <v>3729</v>
      </c>
      <c r="G1933" s="93">
        <v>3</v>
      </c>
      <c r="H1933" s="93">
        <v>0</v>
      </c>
      <c r="I1933" s="23"/>
      <c r="J1933" s="23"/>
      <c r="K1933" s="23"/>
      <c r="L1933" s="23" t="s">
        <v>6634</v>
      </c>
      <c r="M1933" s="23"/>
    </row>
    <row r="1934" spans="2:13" ht="15" customHeight="1" x14ac:dyDescent="0.25">
      <c r="B1934" s="35" t="s">
        <v>6805</v>
      </c>
      <c r="C1934" s="23" t="s">
        <v>6806</v>
      </c>
      <c r="D1934" s="23" t="s">
        <v>3303</v>
      </c>
      <c r="E1934" s="23" t="s">
        <v>3317</v>
      </c>
      <c r="F1934" s="23" t="s">
        <v>3729</v>
      </c>
      <c r="G1934" s="93">
        <v>3</v>
      </c>
      <c r="H1934" s="93">
        <v>0</v>
      </c>
      <c r="I1934" s="23"/>
      <c r="J1934" s="23"/>
      <c r="K1934" s="23"/>
      <c r="L1934" s="23" t="s">
        <v>6634</v>
      </c>
      <c r="M1934" s="23"/>
    </row>
    <row r="1935" spans="2:13" ht="15" customHeight="1" x14ac:dyDescent="0.25">
      <c r="B1935" s="35" t="s">
        <v>6807</v>
      </c>
      <c r="C1935" s="23" t="s">
        <v>6808</v>
      </c>
      <c r="D1935" s="23" t="s">
        <v>3303</v>
      </c>
      <c r="E1935" s="23" t="s">
        <v>3317</v>
      </c>
      <c r="F1935" s="23" t="s">
        <v>3729</v>
      </c>
      <c r="G1935" s="93">
        <v>3</v>
      </c>
      <c r="H1935" s="93">
        <v>0</v>
      </c>
      <c r="I1935" s="23"/>
      <c r="J1935" s="23"/>
      <c r="K1935" s="23"/>
      <c r="L1935" s="23" t="s">
        <v>6634</v>
      </c>
      <c r="M1935" s="23"/>
    </row>
    <row r="1936" spans="2:13" ht="15" customHeight="1" x14ac:dyDescent="0.25">
      <c r="B1936" s="35" t="s">
        <v>6809</v>
      </c>
      <c r="C1936" s="23" t="s">
        <v>6810</v>
      </c>
      <c r="D1936" s="23" t="s">
        <v>3303</v>
      </c>
      <c r="E1936" s="23" t="s">
        <v>3317</v>
      </c>
      <c r="F1936" s="23" t="s">
        <v>3729</v>
      </c>
      <c r="G1936" s="93">
        <v>3</v>
      </c>
      <c r="H1936" s="93">
        <v>0</v>
      </c>
      <c r="I1936" s="23"/>
      <c r="J1936" s="23"/>
      <c r="K1936" s="23"/>
      <c r="L1936" s="23" t="s">
        <v>6634</v>
      </c>
      <c r="M1936" s="23"/>
    </row>
    <row r="1937" spans="2:13" ht="15" customHeight="1" x14ac:dyDescent="0.25">
      <c r="B1937" s="35" t="s">
        <v>6811</v>
      </c>
      <c r="C1937" s="23" t="s">
        <v>6812</v>
      </c>
      <c r="D1937" s="23" t="s">
        <v>3303</v>
      </c>
      <c r="E1937" s="23" t="s">
        <v>3317</v>
      </c>
      <c r="F1937" s="23" t="s">
        <v>3729</v>
      </c>
      <c r="G1937" s="93">
        <v>3</v>
      </c>
      <c r="H1937" s="93">
        <v>0</v>
      </c>
      <c r="I1937" s="23"/>
      <c r="J1937" s="23"/>
      <c r="K1937" s="23"/>
      <c r="L1937" s="23" t="s">
        <v>6634</v>
      </c>
      <c r="M1937" s="23"/>
    </row>
    <row r="1938" spans="2:13" ht="15" customHeight="1" x14ac:dyDescent="0.25">
      <c r="B1938" s="35" t="s">
        <v>6813</v>
      </c>
      <c r="C1938" s="23" t="s">
        <v>6814</v>
      </c>
      <c r="D1938" s="23" t="s">
        <v>3303</v>
      </c>
      <c r="E1938" s="23" t="s">
        <v>3317</v>
      </c>
      <c r="F1938" s="23" t="s">
        <v>3729</v>
      </c>
      <c r="G1938" s="93">
        <v>3</v>
      </c>
      <c r="H1938" s="93">
        <v>1</v>
      </c>
      <c r="I1938" s="23"/>
      <c r="J1938" s="23"/>
      <c r="K1938" s="23"/>
      <c r="L1938" s="23" t="s">
        <v>6634</v>
      </c>
      <c r="M1938" s="23"/>
    </row>
    <row r="1939" spans="2:13" ht="15" customHeight="1" x14ac:dyDescent="0.25">
      <c r="B1939" s="35" t="s">
        <v>6815</v>
      </c>
      <c r="C1939" s="23" t="s">
        <v>6816</v>
      </c>
      <c r="D1939" s="23" t="s">
        <v>3303</v>
      </c>
      <c r="E1939" s="23" t="s">
        <v>3317</v>
      </c>
      <c r="F1939" s="23" t="s">
        <v>3729</v>
      </c>
      <c r="G1939" s="93">
        <v>0</v>
      </c>
      <c r="H1939" s="93">
        <v>0</v>
      </c>
      <c r="I1939" s="23"/>
      <c r="J1939" s="23"/>
      <c r="K1939" s="23"/>
      <c r="L1939" s="23" t="s">
        <v>6634</v>
      </c>
      <c r="M1939" s="23"/>
    </row>
    <row r="1940" spans="2:13" ht="15" customHeight="1" x14ac:dyDescent="0.25">
      <c r="B1940" s="35" t="s">
        <v>6817</v>
      </c>
      <c r="C1940" s="23" t="s">
        <v>6818</v>
      </c>
      <c r="D1940" s="23" t="s">
        <v>3303</v>
      </c>
      <c r="E1940" s="23" t="s">
        <v>3317</v>
      </c>
      <c r="F1940" s="23" t="s">
        <v>3729</v>
      </c>
      <c r="G1940" s="93">
        <v>3</v>
      </c>
      <c r="H1940" s="93">
        <v>1</v>
      </c>
      <c r="I1940" s="23"/>
      <c r="J1940" s="23"/>
      <c r="K1940" s="23"/>
      <c r="L1940" s="23" t="s">
        <v>6634</v>
      </c>
      <c r="M1940" s="23"/>
    </row>
    <row r="1941" spans="2:13" ht="15" customHeight="1" x14ac:dyDescent="0.25">
      <c r="B1941" s="35" t="s">
        <v>6819</v>
      </c>
      <c r="C1941" s="23" t="s">
        <v>6820</v>
      </c>
      <c r="D1941" s="23" t="s">
        <v>3303</v>
      </c>
      <c r="E1941" s="23" t="s">
        <v>3317</v>
      </c>
      <c r="F1941" s="23" t="s">
        <v>3729</v>
      </c>
      <c r="G1941" s="93">
        <v>3</v>
      </c>
      <c r="H1941" s="93">
        <v>1</v>
      </c>
      <c r="I1941" s="23"/>
      <c r="J1941" s="23"/>
      <c r="K1941" s="23"/>
      <c r="L1941" s="23" t="s">
        <v>6634</v>
      </c>
      <c r="M1941" s="23"/>
    </row>
    <row r="1942" spans="2:13" ht="15" customHeight="1" x14ac:dyDescent="0.25">
      <c r="B1942" s="35" t="s">
        <v>6821</v>
      </c>
      <c r="C1942" s="23" t="s">
        <v>6822</v>
      </c>
      <c r="D1942" s="23" t="s">
        <v>3303</v>
      </c>
      <c r="E1942" s="23" t="s">
        <v>3317</v>
      </c>
      <c r="F1942" s="23" t="s">
        <v>3729</v>
      </c>
      <c r="G1942" s="93">
        <v>3</v>
      </c>
      <c r="H1942" s="93">
        <v>1</v>
      </c>
      <c r="I1942" s="23"/>
      <c r="J1942" s="23"/>
      <c r="K1942" s="23"/>
      <c r="L1942" s="23" t="s">
        <v>6634</v>
      </c>
      <c r="M1942" s="23"/>
    </row>
    <row r="1943" spans="2:13" ht="15" customHeight="1" x14ac:dyDescent="0.25">
      <c r="B1943" s="35" t="s">
        <v>6823</v>
      </c>
      <c r="C1943" s="23" t="s">
        <v>6824</v>
      </c>
      <c r="D1943" s="23" t="s">
        <v>3303</v>
      </c>
      <c r="E1943" s="23" t="s">
        <v>3317</v>
      </c>
      <c r="F1943" s="23" t="s">
        <v>3729</v>
      </c>
      <c r="G1943" s="93">
        <v>3</v>
      </c>
      <c r="H1943" s="93">
        <v>1</v>
      </c>
      <c r="I1943" s="23"/>
      <c r="J1943" s="23"/>
      <c r="K1943" s="23"/>
      <c r="L1943" s="23" t="s">
        <v>6634</v>
      </c>
      <c r="M1943" s="23"/>
    </row>
    <row r="1944" spans="2:13" ht="15" customHeight="1" x14ac:dyDescent="0.25">
      <c r="B1944" s="35" t="s">
        <v>6634</v>
      </c>
      <c r="C1944" s="23" t="s">
        <v>6825</v>
      </c>
      <c r="D1944" s="23" t="s">
        <v>3303</v>
      </c>
      <c r="E1944" s="23" t="s">
        <v>3367</v>
      </c>
      <c r="F1944" s="23" t="s">
        <v>3729</v>
      </c>
      <c r="G1944" s="93">
        <v>0</v>
      </c>
      <c r="H1944" s="93">
        <v>0</v>
      </c>
      <c r="I1944" s="23"/>
      <c r="J1944" s="23"/>
      <c r="K1944" s="23"/>
      <c r="L1944" s="23" t="s">
        <v>5793</v>
      </c>
      <c r="M1944" s="23"/>
    </row>
    <row r="1945" spans="2:13" ht="15" customHeight="1" x14ac:dyDescent="0.25">
      <c r="B1945" s="35" t="s">
        <v>6826</v>
      </c>
      <c r="C1945" s="23" t="s">
        <v>6827</v>
      </c>
      <c r="D1945" s="23" t="s">
        <v>3303</v>
      </c>
      <c r="E1945" s="23" t="s">
        <v>3304</v>
      </c>
      <c r="F1945" s="23" t="s">
        <v>3729</v>
      </c>
      <c r="G1945" s="93">
        <v>0</v>
      </c>
      <c r="H1945" s="93">
        <v>0</v>
      </c>
      <c r="I1945" s="23"/>
      <c r="J1945" s="23"/>
      <c r="K1945" s="23"/>
      <c r="L1945" s="23" t="s">
        <v>6828</v>
      </c>
      <c r="M1945" s="23"/>
    </row>
    <row r="1946" spans="2:13" ht="15" customHeight="1" x14ac:dyDescent="0.25">
      <c r="B1946" s="35" t="s">
        <v>6829</v>
      </c>
      <c r="C1946" s="23" t="s">
        <v>6830</v>
      </c>
      <c r="D1946" s="23" t="s">
        <v>3303</v>
      </c>
      <c r="E1946" s="23" t="s">
        <v>3317</v>
      </c>
      <c r="F1946" s="23" t="s">
        <v>3729</v>
      </c>
      <c r="G1946" s="93">
        <v>3</v>
      </c>
      <c r="H1946" s="93">
        <v>0</v>
      </c>
      <c r="I1946" s="23"/>
      <c r="J1946" s="23"/>
      <c r="K1946" s="23"/>
      <c r="L1946" s="23" t="s">
        <v>6828</v>
      </c>
      <c r="M1946" s="23"/>
    </row>
    <row r="1947" spans="2:13" ht="15" customHeight="1" x14ac:dyDescent="0.25">
      <c r="B1947" s="35" t="s">
        <v>6831</v>
      </c>
      <c r="C1947" s="23" t="s">
        <v>6832</v>
      </c>
      <c r="D1947" s="23" t="s">
        <v>3303</v>
      </c>
      <c r="E1947" s="23" t="s">
        <v>3317</v>
      </c>
      <c r="F1947" s="23" t="s">
        <v>3729</v>
      </c>
      <c r="G1947" s="93">
        <v>3</v>
      </c>
      <c r="H1947" s="93">
        <v>0</v>
      </c>
      <c r="I1947" s="23"/>
      <c r="J1947" s="23"/>
      <c r="K1947" s="23"/>
      <c r="L1947" s="23" t="s">
        <v>6828</v>
      </c>
      <c r="M1947" s="23"/>
    </row>
    <row r="1948" spans="2:13" ht="15" customHeight="1" x14ac:dyDescent="0.25">
      <c r="B1948" s="35" t="s">
        <v>6833</v>
      </c>
      <c r="C1948" s="23" t="s">
        <v>6834</v>
      </c>
      <c r="D1948" s="23" t="s">
        <v>3303</v>
      </c>
      <c r="E1948" s="23" t="s">
        <v>3317</v>
      </c>
      <c r="F1948" s="23" t="s">
        <v>3729</v>
      </c>
      <c r="G1948" s="93">
        <v>0</v>
      </c>
      <c r="H1948" s="93">
        <v>1</v>
      </c>
      <c r="I1948" s="23"/>
      <c r="J1948" s="23"/>
      <c r="K1948" s="23"/>
      <c r="L1948" s="23" t="s">
        <v>6828</v>
      </c>
      <c r="M1948" s="23"/>
    </row>
    <row r="1949" spans="2:13" ht="15" customHeight="1" x14ac:dyDescent="0.25">
      <c r="B1949" s="35" t="s">
        <v>6835</v>
      </c>
      <c r="C1949" s="23" t="s">
        <v>6836</v>
      </c>
      <c r="D1949" s="23" t="s">
        <v>3303</v>
      </c>
      <c r="E1949" s="23" t="s">
        <v>3317</v>
      </c>
      <c r="F1949" s="23" t="s">
        <v>3729</v>
      </c>
      <c r="G1949" s="93">
        <v>0</v>
      </c>
      <c r="H1949" s="93">
        <v>1</v>
      </c>
      <c r="I1949" s="23"/>
      <c r="J1949" s="23"/>
      <c r="K1949" s="23"/>
      <c r="L1949" s="23" t="s">
        <v>6828</v>
      </c>
      <c r="M1949" s="23"/>
    </row>
    <row r="1950" spans="2:13" ht="15" customHeight="1" x14ac:dyDescent="0.25">
      <c r="B1950" s="35" t="s">
        <v>6837</v>
      </c>
      <c r="C1950" s="23" t="s">
        <v>6838</v>
      </c>
      <c r="D1950" s="23" t="s">
        <v>3303</v>
      </c>
      <c r="E1950" s="23" t="s">
        <v>3317</v>
      </c>
      <c r="F1950" s="23" t="s">
        <v>3729</v>
      </c>
      <c r="G1950" s="93">
        <v>0</v>
      </c>
      <c r="H1950" s="93">
        <v>0</v>
      </c>
      <c r="I1950" s="23"/>
      <c r="J1950" s="23"/>
      <c r="K1950" s="23"/>
      <c r="L1950" s="23" t="s">
        <v>6828</v>
      </c>
      <c r="M1950" s="23"/>
    </row>
    <row r="1951" spans="2:13" ht="15" customHeight="1" x14ac:dyDescent="0.25">
      <c r="B1951" s="35" t="s">
        <v>6839</v>
      </c>
      <c r="C1951" s="23" t="s">
        <v>6840</v>
      </c>
      <c r="D1951" s="23" t="s">
        <v>3303</v>
      </c>
      <c r="E1951" s="23" t="s">
        <v>3317</v>
      </c>
      <c r="F1951" s="23" t="s">
        <v>3729</v>
      </c>
      <c r="G1951" s="93">
        <v>3</v>
      </c>
      <c r="H1951" s="93">
        <v>1</v>
      </c>
      <c r="I1951" s="23"/>
      <c r="J1951" s="23"/>
      <c r="K1951" s="23"/>
      <c r="L1951" s="23" t="s">
        <v>6828</v>
      </c>
      <c r="M1951" s="23"/>
    </row>
    <row r="1952" spans="2:13" ht="15" customHeight="1" x14ac:dyDescent="0.25">
      <c r="B1952" s="35" t="s">
        <v>6841</v>
      </c>
      <c r="C1952" s="23" t="s">
        <v>6842</v>
      </c>
      <c r="D1952" s="23" t="s">
        <v>3303</v>
      </c>
      <c r="E1952" s="23" t="s">
        <v>3317</v>
      </c>
      <c r="F1952" s="23" t="s">
        <v>3729</v>
      </c>
      <c r="G1952" s="93">
        <v>3</v>
      </c>
      <c r="H1952" s="93">
        <v>1</v>
      </c>
      <c r="I1952" s="23"/>
      <c r="J1952" s="23"/>
      <c r="K1952" s="23"/>
      <c r="L1952" s="23" t="s">
        <v>6828</v>
      </c>
      <c r="M1952" s="23"/>
    </row>
    <row r="1953" spans="2:13" ht="15" customHeight="1" x14ac:dyDescent="0.25">
      <c r="B1953" s="35" t="s">
        <v>6843</v>
      </c>
      <c r="C1953" s="23" t="s">
        <v>6844</v>
      </c>
      <c r="D1953" s="23" t="s">
        <v>3303</v>
      </c>
      <c r="E1953" s="23" t="s">
        <v>3317</v>
      </c>
      <c r="F1953" s="23" t="s">
        <v>3729</v>
      </c>
      <c r="G1953" s="93">
        <v>3</v>
      </c>
      <c r="H1953" s="93">
        <v>1</v>
      </c>
      <c r="I1953" s="23"/>
      <c r="J1953" s="23"/>
      <c r="K1953" s="23"/>
      <c r="L1953" s="23" t="s">
        <v>6828</v>
      </c>
      <c r="M1953" s="23"/>
    </row>
    <row r="1954" spans="2:13" ht="15" customHeight="1" x14ac:dyDescent="0.25">
      <c r="B1954" s="35" t="s">
        <v>6845</v>
      </c>
      <c r="C1954" s="23" t="s">
        <v>6846</v>
      </c>
      <c r="D1954" s="23" t="s">
        <v>3303</v>
      </c>
      <c r="E1954" s="23" t="s">
        <v>3317</v>
      </c>
      <c r="F1954" s="23" t="s">
        <v>3729</v>
      </c>
      <c r="G1954" s="93">
        <v>3</v>
      </c>
      <c r="H1954" s="93">
        <v>1</v>
      </c>
      <c r="I1954" s="23"/>
      <c r="J1954" s="23"/>
      <c r="K1954" s="23"/>
      <c r="L1954" s="23" t="s">
        <v>6828</v>
      </c>
      <c r="M1954" s="23"/>
    </row>
    <row r="1955" spans="2:13" ht="15" customHeight="1" x14ac:dyDescent="0.25">
      <c r="B1955" s="35" t="s">
        <v>6847</v>
      </c>
      <c r="C1955" s="23" t="s">
        <v>6848</v>
      </c>
      <c r="D1955" s="23" t="s">
        <v>3303</v>
      </c>
      <c r="E1955" s="23" t="s">
        <v>3317</v>
      </c>
      <c r="F1955" s="23" t="s">
        <v>3729</v>
      </c>
      <c r="G1955" s="93">
        <v>3</v>
      </c>
      <c r="H1955" s="93">
        <v>1</v>
      </c>
      <c r="I1955" s="23"/>
      <c r="J1955" s="23"/>
      <c r="K1955" s="23"/>
      <c r="L1955" s="23" t="s">
        <v>6828</v>
      </c>
      <c r="M1955" s="23"/>
    </row>
    <row r="1956" spans="2:13" ht="15" customHeight="1" x14ac:dyDescent="0.25">
      <c r="B1956" s="35" t="s">
        <v>6849</v>
      </c>
      <c r="C1956" s="23" t="s">
        <v>6850</v>
      </c>
      <c r="D1956" s="23" t="s">
        <v>3303</v>
      </c>
      <c r="E1956" s="23" t="s">
        <v>3317</v>
      </c>
      <c r="F1956" s="23" t="s">
        <v>3729</v>
      </c>
      <c r="G1956" s="93">
        <v>0</v>
      </c>
      <c r="H1956" s="93">
        <v>0</v>
      </c>
      <c r="I1956" s="23"/>
      <c r="J1956" s="23"/>
      <c r="K1956" s="23"/>
      <c r="L1956" s="23" t="s">
        <v>6828</v>
      </c>
      <c r="M1956" s="23"/>
    </row>
    <row r="1957" spans="2:13" ht="15" customHeight="1" x14ac:dyDescent="0.25">
      <c r="B1957" s="35" t="s">
        <v>6851</v>
      </c>
      <c r="C1957" s="23" t="s">
        <v>6852</v>
      </c>
      <c r="D1957" s="23" t="s">
        <v>3303</v>
      </c>
      <c r="E1957" s="23" t="s">
        <v>3317</v>
      </c>
      <c r="F1957" s="23" t="s">
        <v>3729</v>
      </c>
      <c r="G1957" s="93">
        <v>3</v>
      </c>
      <c r="H1957" s="93">
        <v>1</v>
      </c>
      <c r="I1957" s="23"/>
      <c r="J1957" s="23"/>
      <c r="K1957" s="23"/>
      <c r="L1957" s="23" t="s">
        <v>6828</v>
      </c>
      <c r="M1957" s="23"/>
    </row>
    <row r="1958" spans="2:13" ht="15" customHeight="1" x14ac:dyDescent="0.25">
      <c r="B1958" s="35" t="s">
        <v>6853</v>
      </c>
      <c r="C1958" s="23" t="s">
        <v>6854</v>
      </c>
      <c r="D1958" s="23" t="s">
        <v>3303</v>
      </c>
      <c r="E1958" s="23" t="s">
        <v>3317</v>
      </c>
      <c r="F1958" s="23" t="s">
        <v>3729</v>
      </c>
      <c r="G1958" s="93">
        <v>3</v>
      </c>
      <c r="H1958" s="93">
        <v>1</v>
      </c>
      <c r="I1958" s="23"/>
      <c r="J1958" s="23"/>
      <c r="K1958" s="23"/>
      <c r="L1958" s="23" t="s">
        <v>6828</v>
      </c>
      <c r="M1958" s="23"/>
    </row>
    <row r="1959" spans="2:13" ht="15" customHeight="1" x14ac:dyDescent="0.25">
      <c r="B1959" s="35" t="s">
        <v>6828</v>
      </c>
      <c r="C1959" s="23" t="s">
        <v>6855</v>
      </c>
      <c r="D1959" s="23" t="s">
        <v>3303</v>
      </c>
      <c r="E1959" s="23" t="s">
        <v>3367</v>
      </c>
      <c r="F1959" s="23" t="s">
        <v>3729</v>
      </c>
      <c r="G1959" s="93">
        <v>0</v>
      </c>
      <c r="H1959" s="93">
        <v>0</v>
      </c>
      <c r="I1959" s="23"/>
      <c r="J1959" s="23"/>
      <c r="K1959" s="23"/>
      <c r="L1959" s="23" t="s">
        <v>5793</v>
      </c>
      <c r="M1959" s="23"/>
    </row>
    <row r="1960" spans="2:13" ht="15" customHeight="1" x14ac:dyDescent="0.25">
      <c r="B1960" s="35" t="s">
        <v>5793</v>
      </c>
      <c r="C1960" s="23" t="s">
        <v>6856</v>
      </c>
      <c r="D1960" s="23" t="s">
        <v>3303</v>
      </c>
      <c r="E1960" s="23" t="s">
        <v>3367</v>
      </c>
      <c r="F1960" s="23" t="s">
        <v>3729</v>
      </c>
      <c r="G1960" s="93">
        <v>0</v>
      </c>
      <c r="H1960" s="93">
        <v>0</v>
      </c>
      <c r="I1960" s="23"/>
      <c r="J1960" s="23"/>
      <c r="K1960" s="23"/>
      <c r="L1960" s="23" t="s">
        <v>5744</v>
      </c>
      <c r="M1960" s="23"/>
    </row>
    <row r="1961" spans="2:13" ht="15" customHeight="1" x14ac:dyDescent="0.25">
      <c r="B1961" s="35" t="s">
        <v>5744</v>
      </c>
      <c r="C1961" s="23" t="s">
        <v>6857</v>
      </c>
      <c r="D1961" s="23" t="s">
        <v>3303</v>
      </c>
      <c r="E1961" s="23" t="s">
        <v>3367</v>
      </c>
      <c r="F1961" s="23" t="s">
        <v>3729</v>
      </c>
      <c r="G1961" s="93">
        <v>0</v>
      </c>
      <c r="H1961" s="93">
        <v>0</v>
      </c>
      <c r="I1961" s="23"/>
      <c r="J1961" s="23"/>
      <c r="K1961" s="23"/>
      <c r="L1961" s="23" t="s">
        <v>5741</v>
      </c>
      <c r="M1961" s="23"/>
    </row>
    <row r="1962" spans="2:13" ht="15" customHeight="1" x14ac:dyDescent="0.25">
      <c r="B1962" s="35" t="s">
        <v>6858</v>
      </c>
      <c r="C1962" s="23" t="s">
        <v>6859</v>
      </c>
      <c r="D1962" s="23" t="s">
        <v>3303</v>
      </c>
      <c r="E1962" s="23" t="s">
        <v>3304</v>
      </c>
      <c r="F1962" s="23" t="s">
        <v>3729</v>
      </c>
      <c r="G1962" s="93">
        <v>0</v>
      </c>
      <c r="H1962" s="93">
        <v>0</v>
      </c>
      <c r="I1962" s="23"/>
      <c r="J1962" s="23"/>
      <c r="K1962" s="23"/>
      <c r="L1962" s="23" t="s">
        <v>6860</v>
      </c>
      <c r="M1962" s="23"/>
    </row>
    <row r="1963" spans="2:13" ht="15" customHeight="1" x14ac:dyDescent="0.25">
      <c r="B1963" s="35" t="s">
        <v>6861</v>
      </c>
      <c r="C1963" s="23" t="s">
        <v>6862</v>
      </c>
      <c r="D1963" s="23" t="s">
        <v>3303</v>
      </c>
      <c r="E1963" s="23" t="s">
        <v>3304</v>
      </c>
      <c r="F1963" s="23" t="s">
        <v>3729</v>
      </c>
      <c r="G1963" s="93">
        <v>0</v>
      </c>
      <c r="H1963" s="93">
        <v>0</v>
      </c>
      <c r="I1963" s="23"/>
      <c r="J1963" s="23"/>
      <c r="K1963" s="23"/>
      <c r="L1963" s="23" t="s">
        <v>6863</v>
      </c>
      <c r="M1963" s="23"/>
    </row>
    <row r="1964" spans="2:13" ht="15" customHeight="1" x14ac:dyDescent="0.25">
      <c r="B1964" s="35" t="s">
        <v>6864</v>
      </c>
      <c r="C1964" s="23" t="s">
        <v>6865</v>
      </c>
      <c r="D1964" s="23" t="s">
        <v>3303</v>
      </c>
      <c r="E1964" s="23" t="s">
        <v>3304</v>
      </c>
      <c r="F1964" s="23" t="s">
        <v>3729</v>
      </c>
      <c r="G1964" s="93">
        <v>0</v>
      </c>
      <c r="H1964" s="93">
        <v>1</v>
      </c>
      <c r="I1964" s="23"/>
      <c r="J1964" s="23"/>
      <c r="K1964" s="23"/>
      <c r="L1964" s="23" t="s">
        <v>6866</v>
      </c>
      <c r="M1964" s="23"/>
    </row>
    <row r="1965" spans="2:13" ht="15" customHeight="1" x14ac:dyDescent="0.25">
      <c r="B1965" s="35" t="s">
        <v>2827</v>
      </c>
      <c r="C1965" s="23" t="s">
        <v>2826</v>
      </c>
      <c r="D1965" s="23" t="s">
        <v>3303</v>
      </c>
      <c r="E1965" s="23" t="s">
        <v>3317</v>
      </c>
      <c r="F1965" s="23" t="s">
        <v>3729</v>
      </c>
      <c r="G1965" s="93">
        <v>3</v>
      </c>
      <c r="H1965" s="93">
        <v>1</v>
      </c>
      <c r="I1965" s="23"/>
      <c r="J1965" s="23"/>
      <c r="K1965" s="23"/>
      <c r="L1965" s="23" t="s">
        <v>6866</v>
      </c>
      <c r="M1965" s="23"/>
    </row>
    <row r="1966" spans="2:13" ht="15" customHeight="1" x14ac:dyDescent="0.25">
      <c r="B1966" s="35" t="s">
        <v>6867</v>
      </c>
      <c r="C1966" s="23" t="s">
        <v>6868</v>
      </c>
      <c r="D1966" s="23" t="s">
        <v>3303</v>
      </c>
      <c r="E1966" s="23" t="s">
        <v>3317</v>
      </c>
      <c r="F1966" s="23" t="s">
        <v>3729</v>
      </c>
      <c r="G1966" s="93">
        <v>3</v>
      </c>
      <c r="H1966" s="93">
        <v>1</v>
      </c>
      <c r="I1966" s="23"/>
      <c r="J1966" s="23"/>
      <c r="K1966" s="23"/>
      <c r="L1966" s="23" t="s">
        <v>6866</v>
      </c>
      <c r="M1966" s="23" t="s">
        <v>3694</v>
      </c>
    </row>
    <row r="1967" spans="2:13" ht="15" customHeight="1" x14ac:dyDescent="0.25">
      <c r="B1967" s="35" t="s">
        <v>6869</v>
      </c>
      <c r="C1967" s="23" t="s">
        <v>6870</v>
      </c>
      <c r="D1967" s="23" t="s">
        <v>3303</v>
      </c>
      <c r="E1967" s="23" t="s">
        <v>3317</v>
      </c>
      <c r="F1967" s="23" t="s">
        <v>3729</v>
      </c>
      <c r="G1967" s="93">
        <v>3</v>
      </c>
      <c r="H1967" s="93">
        <v>1</v>
      </c>
      <c r="I1967" s="23"/>
      <c r="J1967" s="23"/>
      <c r="K1967" s="23"/>
      <c r="L1967" s="23" t="s">
        <v>6866</v>
      </c>
      <c r="M1967" s="23" t="s">
        <v>3694</v>
      </c>
    </row>
    <row r="1968" spans="2:13" ht="15" customHeight="1" x14ac:dyDescent="0.25">
      <c r="B1968" s="35" t="s">
        <v>2896</v>
      </c>
      <c r="C1968" s="23" t="s">
        <v>2897</v>
      </c>
      <c r="D1968" s="23" t="s">
        <v>3303</v>
      </c>
      <c r="E1968" s="23" t="s">
        <v>3317</v>
      </c>
      <c r="F1968" s="23" t="s">
        <v>3729</v>
      </c>
      <c r="G1968" s="93">
        <v>3</v>
      </c>
      <c r="H1968" s="93">
        <v>1</v>
      </c>
      <c r="I1968" s="23"/>
      <c r="J1968" s="23"/>
      <c r="K1968" s="23"/>
      <c r="L1968" s="23" t="s">
        <v>6866</v>
      </c>
      <c r="M1968" s="23"/>
    </row>
    <row r="1969" spans="2:13" ht="15" customHeight="1" x14ac:dyDescent="0.25">
      <c r="B1969" s="35" t="s">
        <v>6871</v>
      </c>
      <c r="C1969" s="23" t="s">
        <v>6872</v>
      </c>
      <c r="D1969" s="23" t="s">
        <v>3303</v>
      </c>
      <c r="E1969" s="23" t="s">
        <v>3317</v>
      </c>
      <c r="F1969" s="23" t="s">
        <v>3729</v>
      </c>
      <c r="G1969" s="93">
        <v>3</v>
      </c>
      <c r="H1969" s="93">
        <v>0</v>
      </c>
      <c r="I1969" s="23"/>
      <c r="J1969" s="23"/>
      <c r="K1969" s="23"/>
      <c r="L1969" s="23" t="s">
        <v>6866</v>
      </c>
      <c r="M1969" s="23"/>
    </row>
    <row r="1970" spans="2:13" ht="15" customHeight="1" x14ac:dyDescent="0.25">
      <c r="B1970" s="35" t="s">
        <v>6873</v>
      </c>
      <c r="C1970" s="23" t="s">
        <v>6874</v>
      </c>
      <c r="D1970" s="23" t="s">
        <v>3303</v>
      </c>
      <c r="E1970" s="23" t="s">
        <v>3317</v>
      </c>
      <c r="F1970" s="23" t="s">
        <v>3729</v>
      </c>
      <c r="G1970" s="93">
        <v>3</v>
      </c>
      <c r="H1970" s="93">
        <v>0</v>
      </c>
      <c r="I1970" s="23"/>
      <c r="J1970" s="23"/>
      <c r="K1970" s="23"/>
      <c r="L1970" s="23" t="s">
        <v>6866</v>
      </c>
      <c r="M1970" s="23"/>
    </row>
    <row r="1971" spans="2:13" ht="15" customHeight="1" x14ac:dyDescent="0.25">
      <c r="B1971" s="35" t="s">
        <v>6875</v>
      </c>
      <c r="C1971" s="23" t="s">
        <v>6876</v>
      </c>
      <c r="D1971" s="23" t="s">
        <v>3303</v>
      </c>
      <c r="E1971" s="23" t="s">
        <v>3317</v>
      </c>
      <c r="F1971" s="23" t="s">
        <v>3729</v>
      </c>
      <c r="G1971" s="93">
        <v>3</v>
      </c>
      <c r="H1971" s="93">
        <v>0</v>
      </c>
      <c r="I1971" s="23"/>
      <c r="J1971" s="23"/>
      <c r="K1971" s="23"/>
      <c r="L1971" s="23" t="s">
        <v>6866</v>
      </c>
      <c r="M1971" s="23"/>
    </row>
    <row r="1972" spans="2:13" ht="15" customHeight="1" x14ac:dyDescent="0.25">
      <c r="B1972" s="35" t="s">
        <v>6866</v>
      </c>
      <c r="C1972" s="23" t="s">
        <v>6877</v>
      </c>
      <c r="D1972" s="23" t="s">
        <v>3303</v>
      </c>
      <c r="E1972" s="23" t="s">
        <v>3367</v>
      </c>
      <c r="F1972" s="23" t="s">
        <v>3729</v>
      </c>
      <c r="G1972" s="93">
        <v>0</v>
      </c>
      <c r="H1972" s="93">
        <v>1</v>
      </c>
      <c r="I1972" s="23"/>
      <c r="J1972" s="23"/>
      <c r="K1972" s="23"/>
      <c r="L1972" s="23" t="s">
        <v>6863</v>
      </c>
      <c r="M1972" s="23"/>
    </row>
    <row r="1973" spans="2:13" ht="15" customHeight="1" x14ac:dyDescent="0.25">
      <c r="B1973" s="35" t="s">
        <v>6878</v>
      </c>
      <c r="C1973" s="23" t="s">
        <v>6879</v>
      </c>
      <c r="D1973" s="23" t="s">
        <v>3303</v>
      </c>
      <c r="E1973" s="23" t="s">
        <v>3304</v>
      </c>
      <c r="F1973" s="23" t="s">
        <v>3729</v>
      </c>
      <c r="G1973" s="93">
        <v>0</v>
      </c>
      <c r="H1973" s="93">
        <v>0</v>
      </c>
      <c r="I1973" s="23"/>
      <c r="J1973" s="23"/>
      <c r="K1973" s="23"/>
      <c r="L1973" s="23" t="s">
        <v>6880</v>
      </c>
      <c r="M1973" s="23"/>
    </row>
    <row r="1974" spans="2:13" ht="15" customHeight="1" x14ac:dyDescent="0.25">
      <c r="B1974" s="35" t="s">
        <v>6881</v>
      </c>
      <c r="C1974" s="23" t="s">
        <v>6882</v>
      </c>
      <c r="D1974" s="23" t="s">
        <v>3303</v>
      </c>
      <c r="E1974" s="23" t="s">
        <v>3317</v>
      </c>
      <c r="F1974" s="23" t="s">
        <v>3729</v>
      </c>
      <c r="G1974" s="93">
        <v>3</v>
      </c>
      <c r="H1974" s="93">
        <v>1</v>
      </c>
      <c r="I1974" s="23"/>
      <c r="J1974" s="23"/>
      <c r="K1974" s="23"/>
      <c r="L1974" s="23" t="s">
        <v>6880</v>
      </c>
      <c r="M1974" s="23" t="s">
        <v>3694</v>
      </c>
    </row>
    <row r="1975" spans="2:13" ht="15" customHeight="1" x14ac:dyDescent="0.25">
      <c r="B1975" s="35" t="s">
        <v>6883</v>
      </c>
      <c r="C1975" s="23" t="s">
        <v>6884</v>
      </c>
      <c r="D1975" s="23" t="s">
        <v>3303</v>
      </c>
      <c r="E1975" s="23" t="s">
        <v>3317</v>
      </c>
      <c r="F1975" s="23" t="s">
        <v>3729</v>
      </c>
      <c r="G1975" s="93">
        <v>3</v>
      </c>
      <c r="H1975" s="93">
        <v>1</v>
      </c>
      <c r="I1975" s="23"/>
      <c r="J1975" s="23"/>
      <c r="K1975" s="23"/>
      <c r="L1975" s="23" t="s">
        <v>6880</v>
      </c>
      <c r="M1975" s="23" t="s">
        <v>3694</v>
      </c>
    </row>
    <row r="1976" spans="2:13" ht="15" customHeight="1" x14ac:dyDescent="0.25">
      <c r="B1976" s="35" t="s">
        <v>6885</v>
      </c>
      <c r="C1976" s="23" t="s">
        <v>6886</v>
      </c>
      <c r="D1976" s="23" t="s">
        <v>3303</v>
      </c>
      <c r="E1976" s="23" t="s">
        <v>3317</v>
      </c>
      <c r="F1976" s="23" t="s">
        <v>3729</v>
      </c>
      <c r="G1976" s="93">
        <v>3</v>
      </c>
      <c r="H1976" s="93">
        <v>1</v>
      </c>
      <c r="I1976" s="23"/>
      <c r="J1976" s="23"/>
      <c r="K1976" s="23"/>
      <c r="L1976" s="23" t="s">
        <v>6880</v>
      </c>
      <c r="M1976" s="23" t="s">
        <v>3694</v>
      </c>
    </row>
    <row r="1977" spans="2:13" ht="15" customHeight="1" x14ac:dyDescent="0.25">
      <c r="B1977" s="35" t="s">
        <v>6887</v>
      </c>
      <c r="C1977" s="23" t="s">
        <v>6888</v>
      </c>
      <c r="D1977" s="23" t="s">
        <v>3303</v>
      </c>
      <c r="E1977" s="23" t="s">
        <v>3317</v>
      </c>
      <c r="F1977" s="23" t="s">
        <v>3729</v>
      </c>
      <c r="G1977" s="93">
        <v>3</v>
      </c>
      <c r="H1977" s="93">
        <v>1</v>
      </c>
      <c r="I1977" s="23"/>
      <c r="J1977" s="23"/>
      <c r="K1977" s="23"/>
      <c r="L1977" s="23" t="s">
        <v>6880</v>
      </c>
      <c r="M1977" s="23" t="s">
        <v>3694</v>
      </c>
    </row>
    <row r="1978" spans="2:13" ht="15" customHeight="1" x14ac:dyDescent="0.25">
      <c r="B1978" s="35" t="s">
        <v>6889</v>
      </c>
      <c r="C1978" s="23" t="s">
        <v>6890</v>
      </c>
      <c r="D1978" s="23" t="s">
        <v>3303</v>
      </c>
      <c r="E1978" s="23" t="s">
        <v>3317</v>
      </c>
      <c r="F1978" s="23" t="s">
        <v>3729</v>
      </c>
      <c r="G1978" s="93">
        <v>3</v>
      </c>
      <c r="H1978" s="93">
        <v>1</v>
      </c>
      <c r="I1978" s="23"/>
      <c r="J1978" s="23"/>
      <c r="K1978" s="23"/>
      <c r="L1978" s="23" t="s">
        <v>6880</v>
      </c>
      <c r="M1978" s="23" t="s">
        <v>3694</v>
      </c>
    </row>
    <row r="1979" spans="2:13" ht="15" customHeight="1" x14ac:dyDescent="0.25">
      <c r="B1979" s="35" t="s">
        <v>6891</v>
      </c>
      <c r="C1979" s="23" t="s">
        <v>6892</v>
      </c>
      <c r="D1979" s="23" t="s">
        <v>3303</v>
      </c>
      <c r="E1979" s="23" t="s">
        <v>3317</v>
      </c>
      <c r="F1979" s="23" t="s">
        <v>3729</v>
      </c>
      <c r="G1979" s="93">
        <v>3</v>
      </c>
      <c r="H1979" s="93">
        <v>1</v>
      </c>
      <c r="I1979" s="23"/>
      <c r="J1979" s="23"/>
      <c r="K1979" s="23"/>
      <c r="L1979" s="23" t="s">
        <v>6880</v>
      </c>
      <c r="M1979" s="23" t="s">
        <v>3694</v>
      </c>
    </row>
    <row r="1980" spans="2:13" ht="15" customHeight="1" x14ac:dyDescent="0.25">
      <c r="B1980" s="35" t="s">
        <v>6893</v>
      </c>
      <c r="C1980" s="23" t="s">
        <v>6894</v>
      </c>
      <c r="D1980" s="23" t="s">
        <v>3303</v>
      </c>
      <c r="E1980" s="23" t="s">
        <v>3317</v>
      </c>
      <c r="F1980" s="23" t="s">
        <v>3729</v>
      </c>
      <c r="G1980" s="93">
        <v>3</v>
      </c>
      <c r="H1980" s="93">
        <v>1</v>
      </c>
      <c r="I1980" s="23"/>
      <c r="J1980" s="23"/>
      <c r="K1980" s="23"/>
      <c r="L1980" s="23" t="s">
        <v>6880</v>
      </c>
      <c r="M1980" s="23" t="s">
        <v>3694</v>
      </c>
    </row>
    <row r="1981" spans="2:13" ht="15" customHeight="1" x14ac:dyDescent="0.25">
      <c r="B1981" s="35" t="s">
        <v>6895</v>
      </c>
      <c r="C1981" s="23" t="s">
        <v>6896</v>
      </c>
      <c r="D1981" s="23" t="s">
        <v>3303</v>
      </c>
      <c r="E1981" s="23" t="s">
        <v>3317</v>
      </c>
      <c r="F1981" s="23" t="s">
        <v>3729</v>
      </c>
      <c r="G1981" s="93">
        <v>3</v>
      </c>
      <c r="H1981" s="93">
        <v>1</v>
      </c>
      <c r="I1981" s="23"/>
      <c r="J1981" s="23"/>
      <c r="K1981" s="23"/>
      <c r="L1981" s="23" t="s">
        <v>6880</v>
      </c>
      <c r="M1981" s="23" t="s">
        <v>3694</v>
      </c>
    </row>
    <row r="1982" spans="2:13" ht="15" customHeight="1" x14ac:dyDescent="0.25">
      <c r="B1982" s="35" t="s">
        <v>6897</v>
      </c>
      <c r="C1982" s="23" t="s">
        <v>6898</v>
      </c>
      <c r="D1982" s="23" t="s">
        <v>3303</v>
      </c>
      <c r="E1982" s="23" t="s">
        <v>3317</v>
      </c>
      <c r="F1982" s="23" t="s">
        <v>3729</v>
      </c>
      <c r="G1982" s="93">
        <v>3</v>
      </c>
      <c r="H1982" s="93">
        <v>1</v>
      </c>
      <c r="I1982" s="23"/>
      <c r="J1982" s="23"/>
      <c r="K1982" s="23"/>
      <c r="L1982" s="23" t="s">
        <v>6880</v>
      </c>
      <c r="M1982" s="23" t="s">
        <v>3694</v>
      </c>
    </row>
    <row r="1983" spans="2:13" ht="15" customHeight="1" x14ac:dyDescent="0.25">
      <c r="B1983" s="35" t="s">
        <v>6899</v>
      </c>
      <c r="C1983" s="23" t="s">
        <v>6900</v>
      </c>
      <c r="D1983" s="23" t="s">
        <v>3303</v>
      </c>
      <c r="E1983" s="23" t="s">
        <v>3317</v>
      </c>
      <c r="F1983" s="23" t="s">
        <v>3729</v>
      </c>
      <c r="G1983" s="93">
        <v>3</v>
      </c>
      <c r="H1983" s="93">
        <v>1</v>
      </c>
      <c r="I1983" s="23"/>
      <c r="J1983" s="23"/>
      <c r="K1983" s="23"/>
      <c r="L1983" s="23" t="s">
        <v>6880</v>
      </c>
      <c r="M1983" s="23" t="s">
        <v>3694</v>
      </c>
    </row>
    <row r="1984" spans="2:13" ht="15" customHeight="1" x14ac:dyDescent="0.25">
      <c r="B1984" s="35" t="s">
        <v>6901</v>
      </c>
      <c r="C1984" s="23" t="s">
        <v>6902</v>
      </c>
      <c r="D1984" s="23" t="s">
        <v>3303</v>
      </c>
      <c r="E1984" s="23" t="s">
        <v>3317</v>
      </c>
      <c r="F1984" s="23" t="s">
        <v>3729</v>
      </c>
      <c r="G1984" s="93">
        <v>3</v>
      </c>
      <c r="H1984" s="93">
        <v>1</v>
      </c>
      <c r="I1984" s="23"/>
      <c r="J1984" s="23"/>
      <c r="K1984" s="23"/>
      <c r="L1984" s="23" t="s">
        <v>6880</v>
      </c>
      <c r="M1984" s="23" t="s">
        <v>3694</v>
      </c>
    </row>
    <row r="1985" spans="2:13" ht="15" customHeight="1" x14ac:dyDescent="0.25">
      <c r="B1985" s="35" t="s">
        <v>6903</v>
      </c>
      <c r="C1985" s="23" t="s">
        <v>6904</v>
      </c>
      <c r="D1985" s="23" t="s">
        <v>3303</v>
      </c>
      <c r="E1985" s="23" t="s">
        <v>3317</v>
      </c>
      <c r="F1985" s="23" t="s">
        <v>3729</v>
      </c>
      <c r="G1985" s="93">
        <v>3</v>
      </c>
      <c r="H1985" s="93">
        <v>1</v>
      </c>
      <c r="I1985" s="23"/>
      <c r="J1985" s="23"/>
      <c r="K1985" s="23"/>
      <c r="L1985" s="23" t="s">
        <v>6880</v>
      </c>
      <c r="M1985" s="23" t="s">
        <v>3694</v>
      </c>
    </row>
    <row r="1986" spans="2:13" ht="15" customHeight="1" x14ac:dyDescent="0.25">
      <c r="B1986" s="35" t="s">
        <v>6905</v>
      </c>
      <c r="C1986" s="23" t="s">
        <v>6906</v>
      </c>
      <c r="D1986" s="23" t="s">
        <v>3303</v>
      </c>
      <c r="E1986" s="23" t="s">
        <v>3317</v>
      </c>
      <c r="F1986" s="23" t="s">
        <v>3729</v>
      </c>
      <c r="G1986" s="93">
        <v>3</v>
      </c>
      <c r="H1986" s="93">
        <v>1</v>
      </c>
      <c r="I1986" s="23"/>
      <c r="J1986" s="23"/>
      <c r="K1986" s="23"/>
      <c r="L1986" s="23" t="s">
        <v>6880</v>
      </c>
      <c r="M1986" s="23" t="s">
        <v>3694</v>
      </c>
    </row>
    <row r="1987" spans="2:13" ht="15" customHeight="1" x14ac:dyDescent="0.25">
      <c r="B1987" s="35" t="s">
        <v>6907</v>
      </c>
      <c r="C1987" s="23" t="s">
        <v>6908</v>
      </c>
      <c r="D1987" s="23" t="s">
        <v>3303</v>
      </c>
      <c r="E1987" s="23" t="s">
        <v>3317</v>
      </c>
      <c r="F1987" s="23" t="s">
        <v>3729</v>
      </c>
      <c r="G1987" s="93">
        <v>3</v>
      </c>
      <c r="H1987" s="93">
        <v>1</v>
      </c>
      <c r="I1987" s="23"/>
      <c r="J1987" s="23"/>
      <c r="K1987" s="23"/>
      <c r="L1987" s="23" t="s">
        <v>6880</v>
      </c>
      <c r="M1987" s="23" t="s">
        <v>3694</v>
      </c>
    </row>
    <row r="1988" spans="2:13" ht="15" customHeight="1" x14ac:dyDescent="0.25">
      <c r="B1988" s="35" t="s">
        <v>6909</v>
      </c>
      <c r="C1988" s="23" t="s">
        <v>6910</v>
      </c>
      <c r="D1988" s="23" t="s">
        <v>3303</v>
      </c>
      <c r="E1988" s="23" t="s">
        <v>3317</v>
      </c>
      <c r="F1988" s="23" t="s">
        <v>3729</v>
      </c>
      <c r="G1988" s="93">
        <v>3</v>
      </c>
      <c r="H1988" s="93">
        <v>1</v>
      </c>
      <c r="I1988" s="23"/>
      <c r="J1988" s="23"/>
      <c r="K1988" s="23"/>
      <c r="L1988" s="23" t="s">
        <v>6880</v>
      </c>
      <c r="M1988" s="23" t="s">
        <v>3694</v>
      </c>
    </row>
    <row r="1989" spans="2:13" ht="15" customHeight="1" x14ac:dyDescent="0.25">
      <c r="B1989" s="35" t="s">
        <v>6911</v>
      </c>
      <c r="C1989" s="23" t="s">
        <v>6912</v>
      </c>
      <c r="D1989" s="23" t="s">
        <v>3303</v>
      </c>
      <c r="E1989" s="23" t="s">
        <v>3317</v>
      </c>
      <c r="F1989" s="23" t="s">
        <v>3729</v>
      </c>
      <c r="G1989" s="93">
        <v>3</v>
      </c>
      <c r="H1989" s="93">
        <v>1</v>
      </c>
      <c r="I1989" s="23"/>
      <c r="J1989" s="23"/>
      <c r="K1989" s="23"/>
      <c r="L1989" s="23" t="s">
        <v>6880</v>
      </c>
      <c r="M1989" s="23" t="s">
        <v>3694</v>
      </c>
    </row>
    <row r="1990" spans="2:13" ht="15" customHeight="1" x14ac:dyDescent="0.25">
      <c r="B1990" s="35" t="s">
        <v>6913</v>
      </c>
      <c r="C1990" s="23" t="s">
        <v>6914</v>
      </c>
      <c r="D1990" s="23" t="s">
        <v>3303</v>
      </c>
      <c r="E1990" s="23" t="s">
        <v>3317</v>
      </c>
      <c r="F1990" s="23" t="s">
        <v>3729</v>
      </c>
      <c r="G1990" s="93">
        <v>3</v>
      </c>
      <c r="H1990" s="93">
        <v>1</v>
      </c>
      <c r="I1990" s="23"/>
      <c r="J1990" s="23"/>
      <c r="K1990" s="23"/>
      <c r="L1990" s="23" t="s">
        <v>6880</v>
      </c>
      <c r="M1990" s="23" t="s">
        <v>3694</v>
      </c>
    </row>
    <row r="1991" spans="2:13" ht="15" customHeight="1" x14ac:dyDescent="0.25">
      <c r="B1991" s="35" t="s">
        <v>6915</v>
      </c>
      <c r="C1991" s="23" t="s">
        <v>6916</v>
      </c>
      <c r="D1991" s="23" t="s">
        <v>3303</v>
      </c>
      <c r="E1991" s="23" t="s">
        <v>3317</v>
      </c>
      <c r="F1991" s="23" t="s">
        <v>3729</v>
      </c>
      <c r="G1991" s="93">
        <v>3</v>
      </c>
      <c r="H1991" s="93">
        <v>1</v>
      </c>
      <c r="I1991" s="23"/>
      <c r="J1991" s="23"/>
      <c r="K1991" s="23"/>
      <c r="L1991" s="23" t="s">
        <v>6880</v>
      </c>
      <c r="M1991" s="23" t="s">
        <v>3694</v>
      </c>
    </row>
    <row r="1992" spans="2:13" ht="15" customHeight="1" x14ac:dyDescent="0.25">
      <c r="B1992" s="35" t="s">
        <v>6917</v>
      </c>
      <c r="C1992" s="23" t="s">
        <v>6918</v>
      </c>
      <c r="D1992" s="23" t="s">
        <v>3303</v>
      </c>
      <c r="E1992" s="23" t="s">
        <v>3317</v>
      </c>
      <c r="F1992" s="23" t="s">
        <v>3729</v>
      </c>
      <c r="G1992" s="93">
        <v>3</v>
      </c>
      <c r="H1992" s="93">
        <v>1</v>
      </c>
      <c r="I1992" s="23"/>
      <c r="J1992" s="23"/>
      <c r="K1992" s="23"/>
      <c r="L1992" s="23" t="s">
        <v>6880</v>
      </c>
      <c r="M1992" s="23" t="s">
        <v>3694</v>
      </c>
    </row>
    <row r="1993" spans="2:13" ht="15" customHeight="1" x14ac:dyDescent="0.25">
      <c r="B1993" s="35" t="s">
        <v>6919</v>
      </c>
      <c r="C1993" s="23" t="s">
        <v>6920</v>
      </c>
      <c r="D1993" s="23" t="s">
        <v>3303</v>
      </c>
      <c r="E1993" s="23" t="s">
        <v>3317</v>
      </c>
      <c r="F1993" s="23" t="s">
        <v>3729</v>
      </c>
      <c r="G1993" s="93">
        <v>3</v>
      </c>
      <c r="H1993" s="93">
        <v>1</v>
      </c>
      <c r="I1993" s="23"/>
      <c r="J1993" s="23"/>
      <c r="K1993" s="23"/>
      <c r="L1993" s="23" t="s">
        <v>6880</v>
      </c>
      <c r="M1993" s="23" t="s">
        <v>3694</v>
      </c>
    </row>
    <row r="1994" spans="2:13" ht="15" customHeight="1" x14ac:dyDescent="0.25">
      <c r="B1994" s="35" t="s">
        <v>6921</v>
      </c>
      <c r="C1994" s="23" t="s">
        <v>6922</v>
      </c>
      <c r="D1994" s="23" t="s">
        <v>3303</v>
      </c>
      <c r="E1994" s="23" t="s">
        <v>3317</v>
      </c>
      <c r="F1994" s="23" t="s">
        <v>3729</v>
      </c>
      <c r="G1994" s="93">
        <v>3</v>
      </c>
      <c r="H1994" s="93">
        <v>1</v>
      </c>
      <c r="I1994" s="23"/>
      <c r="J1994" s="23"/>
      <c r="K1994" s="23"/>
      <c r="L1994" s="23" t="s">
        <v>6880</v>
      </c>
      <c r="M1994" s="23" t="s">
        <v>3694</v>
      </c>
    </row>
    <row r="1995" spans="2:13" ht="15" customHeight="1" x14ac:dyDescent="0.25">
      <c r="B1995" s="35" t="s">
        <v>6923</v>
      </c>
      <c r="C1995" s="23" t="s">
        <v>6924</v>
      </c>
      <c r="D1995" s="23" t="s">
        <v>3303</v>
      </c>
      <c r="E1995" s="23" t="s">
        <v>3317</v>
      </c>
      <c r="F1995" s="23" t="s">
        <v>3729</v>
      </c>
      <c r="G1995" s="93">
        <v>3</v>
      </c>
      <c r="H1995" s="93">
        <v>1</v>
      </c>
      <c r="I1995" s="23"/>
      <c r="J1995" s="23"/>
      <c r="K1995" s="23"/>
      <c r="L1995" s="23" t="s">
        <v>6880</v>
      </c>
      <c r="M1995" s="23" t="s">
        <v>3694</v>
      </c>
    </row>
    <row r="1996" spans="2:13" ht="15" customHeight="1" x14ac:dyDescent="0.25">
      <c r="B1996" s="35" t="s">
        <v>6925</v>
      </c>
      <c r="C1996" s="23" t="s">
        <v>6926</v>
      </c>
      <c r="D1996" s="23" t="s">
        <v>3303</v>
      </c>
      <c r="E1996" s="23" t="s">
        <v>3317</v>
      </c>
      <c r="F1996" s="23" t="s">
        <v>3729</v>
      </c>
      <c r="G1996" s="93">
        <v>3</v>
      </c>
      <c r="H1996" s="93">
        <v>1</v>
      </c>
      <c r="I1996" s="23"/>
      <c r="J1996" s="23"/>
      <c r="K1996" s="23"/>
      <c r="L1996" s="23" t="s">
        <v>6880</v>
      </c>
      <c r="M1996" s="23" t="s">
        <v>3694</v>
      </c>
    </row>
    <row r="1997" spans="2:13" ht="15" customHeight="1" x14ac:dyDescent="0.25">
      <c r="B1997" s="35" t="s">
        <v>6927</v>
      </c>
      <c r="C1997" s="23" t="s">
        <v>6928</v>
      </c>
      <c r="D1997" s="23" t="s">
        <v>3303</v>
      </c>
      <c r="E1997" s="23" t="s">
        <v>3317</v>
      </c>
      <c r="F1997" s="23" t="s">
        <v>3729</v>
      </c>
      <c r="G1997" s="93">
        <v>3</v>
      </c>
      <c r="H1997" s="93">
        <v>1</v>
      </c>
      <c r="I1997" s="23"/>
      <c r="J1997" s="23"/>
      <c r="K1997" s="23"/>
      <c r="L1997" s="23" t="s">
        <v>6880</v>
      </c>
      <c r="M1997" s="23" t="s">
        <v>3694</v>
      </c>
    </row>
    <row r="1998" spans="2:13" ht="15" customHeight="1" x14ac:dyDescent="0.25">
      <c r="B1998" s="35" t="s">
        <v>6929</v>
      </c>
      <c r="C1998" s="23" t="s">
        <v>6930</v>
      </c>
      <c r="D1998" s="23" t="s">
        <v>3303</v>
      </c>
      <c r="E1998" s="23" t="s">
        <v>3317</v>
      </c>
      <c r="F1998" s="23" t="s">
        <v>3729</v>
      </c>
      <c r="G1998" s="93">
        <v>3</v>
      </c>
      <c r="H1998" s="93">
        <v>1</v>
      </c>
      <c r="I1998" s="23"/>
      <c r="J1998" s="23"/>
      <c r="K1998" s="23"/>
      <c r="L1998" s="23" t="s">
        <v>6880</v>
      </c>
      <c r="M1998" s="23" t="s">
        <v>3694</v>
      </c>
    </row>
    <row r="1999" spans="2:13" ht="15" customHeight="1" x14ac:dyDescent="0.25">
      <c r="B1999" s="35" t="s">
        <v>6931</v>
      </c>
      <c r="C1999" s="23" t="s">
        <v>6932</v>
      </c>
      <c r="D1999" s="23" t="s">
        <v>3303</v>
      </c>
      <c r="E1999" s="23" t="s">
        <v>3317</v>
      </c>
      <c r="F1999" s="23" t="s">
        <v>3729</v>
      </c>
      <c r="G1999" s="93">
        <v>3</v>
      </c>
      <c r="H1999" s="93">
        <v>1</v>
      </c>
      <c r="I1999" s="23"/>
      <c r="J1999" s="23"/>
      <c r="K1999" s="23"/>
      <c r="L1999" s="23" t="s">
        <v>6880</v>
      </c>
      <c r="M1999" s="23" t="s">
        <v>3694</v>
      </c>
    </row>
    <row r="2000" spans="2:13" ht="15" customHeight="1" x14ac:dyDescent="0.25">
      <c r="B2000" s="35" t="s">
        <v>6933</v>
      </c>
      <c r="C2000" s="23" t="s">
        <v>6934</v>
      </c>
      <c r="D2000" s="23" t="s">
        <v>3303</v>
      </c>
      <c r="E2000" s="23" t="s">
        <v>3317</v>
      </c>
      <c r="F2000" s="23" t="s">
        <v>3729</v>
      </c>
      <c r="G2000" s="93">
        <v>3</v>
      </c>
      <c r="H2000" s="93">
        <v>1</v>
      </c>
      <c r="I2000" s="23"/>
      <c r="J2000" s="23"/>
      <c r="K2000" s="23"/>
      <c r="L2000" s="23" t="s">
        <v>6880</v>
      </c>
      <c r="M2000" s="23" t="s">
        <v>3694</v>
      </c>
    </row>
    <row r="2001" spans="2:13" ht="15" customHeight="1" x14ac:dyDescent="0.25">
      <c r="B2001" s="35" t="s">
        <v>6935</v>
      </c>
      <c r="C2001" s="23" t="s">
        <v>6936</v>
      </c>
      <c r="D2001" s="23" t="s">
        <v>3303</v>
      </c>
      <c r="E2001" s="23" t="s">
        <v>3317</v>
      </c>
      <c r="F2001" s="23" t="s">
        <v>3729</v>
      </c>
      <c r="G2001" s="93">
        <v>3</v>
      </c>
      <c r="H2001" s="93">
        <v>1</v>
      </c>
      <c r="I2001" s="23"/>
      <c r="J2001" s="23"/>
      <c r="K2001" s="23"/>
      <c r="L2001" s="23" t="s">
        <v>6880</v>
      </c>
      <c r="M2001" s="23" t="s">
        <v>3694</v>
      </c>
    </row>
    <row r="2002" spans="2:13" ht="15" customHeight="1" x14ac:dyDescent="0.25">
      <c r="B2002" s="35" t="s">
        <v>6937</v>
      </c>
      <c r="C2002" s="23" t="s">
        <v>6938</v>
      </c>
      <c r="D2002" s="23" t="s">
        <v>3303</v>
      </c>
      <c r="E2002" s="23" t="s">
        <v>3317</v>
      </c>
      <c r="F2002" s="23" t="s">
        <v>3729</v>
      </c>
      <c r="G2002" s="93">
        <v>3</v>
      </c>
      <c r="H2002" s="93">
        <v>1</v>
      </c>
      <c r="I2002" s="23"/>
      <c r="J2002" s="23"/>
      <c r="K2002" s="23"/>
      <c r="L2002" s="23" t="s">
        <v>6880</v>
      </c>
      <c r="M2002" s="23" t="s">
        <v>3694</v>
      </c>
    </row>
    <row r="2003" spans="2:13" ht="15" customHeight="1" x14ac:dyDescent="0.25">
      <c r="B2003" s="35" t="s">
        <v>6939</v>
      </c>
      <c r="C2003" s="23" t="s">
        <v>6940</v>
      </c>
      <c r="D2003" s="23" t="s">
        <v>3303</v>
      </c>
      <c r="E2003" s="23" t="s">
        <v>3317</v>
      </c>
      <c r="F2003" s="23" t="s">
        <v>3729</v>
      </c>
      <c r="G2003" s="93">
        <v>3</v>
      </c>
      <c r="H2003" s="93">
        <v>1</v>
      </c>
      <c r="I2003" s="23"/>
      <c r="J2003" s="23"/>
      <c r="K2003" s="23"/>
      <c r="L2003" s="23" t="s">
        <v>6880</v>
      </c>
      <c r="M2003" s="23" t="s">
        <v>3694</v>
      </c>
    </row>
    <row r="2004" spans="2:13" ht="15" customHeight="1" x14ac:dyDescent="0.25">
      <c r="B2004" s="35" t="s">
        <v>6941</v>
      </c>
      <c r="C2004" s="23" t="s">
        <v>6942</v>
      </c>
      <c r="D2004" s="23" t="s">
        <v>3303</v>
      </c>
      <c r="E2004" s="23" t="s">
        <v>3317</v>
      </c>
      <c r="F2004" s="23" t="s">
        <v>3729</v>
      </c>
      <c r="G2004" s="93">
        <v>3</v>
      </c>
      <c r="H2004" s="93">
        <v>1</v>
      </c>
      <c r="I2004" s="23"/>
      <c r="J2004" s="23"/>
      <c r="K2004" s="23"/>
      <c r="L2004" s="23" t="s">
        <v>6880</v>
      </c>
      <c r="M2004" s="23" t="s">
        <v>3694</v>
      </c>
    </row>
    <row r="2005" spans="2:13" ht="15" customHeight="1" x14ac:dyDescent="0.25">
      <c r="B2005" s="35" t="s">
        <v>6943</v>
      </c>
      <c r="C2005" s="23" t="s">
        <v>6944</v>
      </c>
      <c r="D2005" s="23" t="s">
        <v>3303</v>
      </c>
      <c r="E2005" s="23" t="s">
        <v>3317</v>
      </c>
      <c r="F2005" s="23" t="s">
        <v>3729</v>
      </c>
      <c r="G2005" s="93">
        <v>3</v>
      </c>
      <c r="H2005" s="93">
        <v>1</v>
      </c>
      <c r="I2005" s="23"/>
      <c r="J2005" s="23"/>
      <c r="K2005" s="23"/>
      <c r="L2005" s="23" t="s">
        <v>6880</v>
      </c>
      <c r="M2005" s="23" t="s">
        <v>3694</v>
      </c>
    </row>
    <row r="2006" spans="2:13" ht="15" customHeight="1" x14ac:dyDescent="0.25">
      <c r="B2006" s="35" t="s">
        <v>6945</v>
      </c>
      <c r="C2006" s="23" t="s">
        <v>6946</v>
      </c>
      <c r="D2006" s="23" t="s">
        <v>3303</v>
      </c>
      <c r="E2006" s="23" t="s">
        <v>3317</v>
      </c>
      <c r="F2006" s="23" t="s">
        <v>3729</v>
      </c>
      <c r="G2006" s="93">
        <v>3</v>
      </c>
      <c r="H2006" s="93">
        <v>1</v>
      </c>
      <c r="I2006" s="23"/>
      <c r="J2006" s="23"/>
      <c r="K2006" s="23"/>
      <c r="L2006" s="23" t="s">
        <v>6880</v>
      </c>
      <c r="M2006" s="23" t="s">
        <v>3694</v>
      </c>
    </row>
    <row r="2007" spans="2:13" ht="15" customHeight="1" x14ac:dyDescent="0.25">
      <c r="B2007" s="35" t="s">
        <v>6947</v>
      </c>
      <c r="C2007" s="23" t="s">
        <v>6948</v>
      </c>
      <c r="D2007" s="23" t="s">
        <v>3303</v>
      </c>
      <c r="E2007" s="23" t="s">
        <v>3317</v>
      </c>
      <c r="F2007" s="23" t="s">
        <v>3729</v>
      </c>
      <c r="G2007" s="93">
        <v>3</v>
      </c>
      <c r="H2007" s="93">
        <v>1</v>
      </c>
      <c r="I2007" s="23"/>
      <c r="J2007" s="23"/>
      <c r="K2007" s="23"/>
      <c r="L2007" s="23" t="s">
        <v>6880</v>
      </c>
      <c r="M2007" s="23" t="s">
        <v>3694</v>
      </c>
    </row>
    <row r="2008" spans="2:13" ht="15" customHeight="1" x14ac:dyDescent="0.25">
      <c r="B2008" s="35" t="s">
        <v>6949</v>
      </c>
      <c r="C2008" s="23" t="s">
        <v>6950</v>
      </c>
      <c r="D2008" s="23" t="s">
        <v>3303</v>
      </c>
      <c r="E2008" s="23" t="s">
        <v>3317</v>
      </c>
      <c r="F2008" s="23" t="s">
        <v>3729</v>
      </c>
      <c r="G2008" s="93">
        <v>3</v>
      </c>
      <c r="H2008" s="93">
        <v>1</v>
      </c>
      <c r="I2008" s="23"/>
      <c r="J2008" s="23"/>
      <c r="K2008" s="23"/>
      <c r="L2008" s="23" t="s">
        <v>6880</v>
      </c>
      <c r="M2008" s="23" t="s">
        <v>3694</v>
      </c>
    </row>
    <row r="2009" spans="2:13" ht="15" customHeight="1" x14ac:dyDescent="0.25">
      <c r="B2009" s="35" t="s">
        <v>3160</v>
      </c>
      <c r="C2009" s="23" t="s">
        <v>3161</v>
      </c>
      <c r="D2009" s="23" t="s">
        <v>3303</v>
      </c>
      <c r="E2009" s="23" t="s">
        <v>3317</v>
      </c>
      <c r="F2009" s="23" t="s">
        <v>3729</v>
      </c>
      <c r="G2009" s="93">
        <v>3</v>
      </c>
      <c r="H2009" s="93">
        <v>1</v>
      </c>
      <c r="I2009" s="23"/>
      <c r="J2009" s="23"/>
      <c r="K2009" s="23"/>
      <c r="L2009" s="23" t="s">
        <v>6880</v>
      </c>
      <c r="M2009" s="23" t="s">
        <v>3694</v>
      </c>
    </row>
    <row r="2010" spans="2:13" ht="15" customHeight="1" x14ac:dyDescent="0.25">
      <c r="B2010" s="35" t="s">
        <v>6951</v>
      </c>
      <c r="C2010" s="23" t="s">
        <v>6952</v>
      </c>
      <c r="D2010" s="23" t="s">
        <v>3303</v>
      </c>
      <c r="E2010" s="23" t="s">
        <v>3317</v>
      </c>
      <c r="F2010" s="23" t="s">
        <v>3729</v>
      </c>
      <c r="G2010" s="93">
        <v>3</v>
      </c>
      <c r="H2010" s="93">
        <v>1</v>
      </c>
      <c r="I2010" s="23"/>
      <c r="J2010" s="23"/>
      <c r="K2010" s="23"/>
      <c r="L2010" s="23" t="s">
        <v>6880</v>
      </c>
      <c r="M2010" s="23" t="s">
        <v>3694</v>
      </c>
    </row>
    <row r="2011" spans="2:13" ht="15" customHeight="1" x14ac:dyDescent="0.25">
      <c r="B2011" s="35" t="s">
        <v>6953</v>
      </c>
      <c r="C2011" s="23" t="s">
        <v>6954</v>
      </c>
      <c r="D2011" s="23" t="s">
        <v>3303</v>
      </c>
      <c r="E2011" s="23" t="s">
        <v>3317</v>
      </c>
      <c r="F2011" s="23" t="s">
        <v>3729</v>
      </c>
      <c r="G2011" s="93">
        <v>3</v>
      </c>
      <c r="H2011" s="93">
        <v>1</v>
      </c>
      <c r="I2011" s="23"/>
      <c r="J2011" s="23"/>
      <c r="K2011" s="23"/>
      <c r="L2011" s="23" t="s">
        <v>6880</v>
      </c>
      <c r="M2011" s="23" t="s">
        <v>3694</v>
      </c>
    </row>
    <row r="2012" spans="2:13" ht="15" customHeight="1" x14ac:dyDescent="0.25">
      <c r="B2012" s="35" t="s">
        <v>6955</v>
      </c>
      <c r="C2012" s="23" t="s">
        <v>6956</v>
      </c>
      <c r="D2012" s="23" t="s">
        <v>3303</v>
      </c>
      <c r="E2012" s="23" t="s">
        <v>3317</v>
      </c>
      <c r="F2012" s="23" t="s">
        <v>3729</v>
      </c>
      <c r="G2012" s="93">
        <v>3</v>
      </c>
      <c r="H2012" s="93">
        <v>1</v>
      </c>
      <c r="I2012" s="23"/>
      <c r="J2012" s="23"/>
      <c r="K2012" s="23"/>
      <c r="L2012" s="23" t="s">
        <v>6880</v>
      </c>
      <c r="M2012" s="23" t="s">
        <v>3694</v>
      </c>
    </row>
    <row r="2013" spans="2:13" ht="15" customHeight="1" x14ac:dyDescent="0.25">
      <c r="B2013" s="35" t="s">
        <v>6957</v>
      </c>
      <c r="C2013" s="23" t="s">
        <v>6958</v>
      </c>
      <c r="D2013" s="23" t="s">
        <v>3303</v>
      </c>
      <c r="E2013" s="23" t="s">
        <v>3317</v>
      </c>
      <c r="F2013" s="23" t="s">
        <v>3729</v>
      </c>
      <c r="G2013" s="93">
        <v>3</v>
      </c>
      <c r="H2013" s="93">
        <v>1</v>
      </c>
      <c r="I2013" s="23"/>
      <c r="J2013" s="23"/>
      <c r="K2013" s="23"/>
      <c r="L2013" s="23" t="s">
        <v>6880</v>
      </c>
      <c r="M2013" s="23" t="s">
        <v>3694</v>
      </c>
    </row>
    <row r="2014" spans="2:13" ht="15" customHeight="1" x14ac:dyDescent="0.25">
      <c r="B2014" s="35" t="s">
        <v>3163</v>
      </c>
      <c r="C2014" s="23" t="s">
        <v>3164</v>
      </c>
      <c r="D2014" s="23" t="s">
        <v>3303</v>
      </c>
      <c r="E2014" s="23" t="s">
        <v>3317</v>
      </c>
      <c r="F2014" s="23" t="s">
        <v>3729</v>
      </c>
      <c r="G2014" s="93">
        <v>3</v>
      </c>
      <c r="H2014" s="93">
        <v>0</v>
      </c>
      <c r="I2014" s="23"/>
      <c r="J2014" s="23"/>
      <c r="K2014" s="23"/>
      <c r="L2014" s="23" t="s">
        <v>6880</v>
      </c>
      <c r="M2014" s="23"/>
    </row>
    <row r="2015" spans="2:13" ht="15" customHeight="1" x14ac:dyDescent="0.25">
      <c r="B2015" s="35" t="s">
        <v>6959</v>
      </c>
      <c r="C2015" s="23" t="s">
        <v>6960</v>
      </c>
      <c r="D2015" s="23" t="s">
        <v>3303</v>
      </c>
      <c r="E2015" s="23" t="s">
        <v>3317</v>
      </c>
      <c r="F2015" s="23" t="s">
        <v>3729</v>
      </c>
      <c r="G2015" s="93">
        <v>3</v>
      </c>
      <c r="H2015" s="93">
        <v>1</v>
      </c>
      <c r="I2015" s="23"/>
      <c r="J2015" s="23"/>
      <c r="K2015" s="23"/>
      <c r="L2015" s="23" t="s">
        <v>6880</v>
      </c>
      <c r="M2015" s="23" t="s">
        <v>3694</v>
      </c>
    </row>
    <row r="2016" spans="2:13" ht="15" customHeight="1" x14ac:dyDescent="0.25">
      <c r="B2016" s="35" t="s">
        <v>6961</v>
      </c>
      <c r="C2016" s="23" t="s">
        <v>6962</v>
      </c>
      <c r="D2016" s="23" t="s">
        <v>3303</v>
      </c>
      <c r="E2016" s="23" t="s">
        <v>3317</v>
      </c>
      <c r="F2016" s="23" t="s">
        <v>3729</v>
      </c>
      <c r="G2016" s="93">
        <v>3</v>
      </c>
      <c r="H2016" s="93">
        <v>1</v>
      </c>
      <c r="I2016" s="23"/>
      <c r="J2016" s="23"/>
      <c r="K2016" s="23"/>
      <c r="L2016" s="23" t="s">
        <v>6880</v>
      </c>
      <c r="M2016" s="23" t="s">
        <v>3694</v>
      </c>
    </row>
    <row r="2017" spans="2:13" ht="15" customHeight="1" x14ac:dyDescent="0.25">
      <c r="B2017" s="35" t="s">
        <v>6963</v>
      </c>
      <c r="C2017" s="23" t="s">
        <v>6964</v>
      </c>
      <c r="D2017" s="23" t="s">
        <v>3303</v>
      </c>
      <c r="E2017" s="23" t="s">
        <v>3317</v>
      </c>
      <c r="F2017" s="23" t="s">
        <v>3729</v>
      </c>
      <c r="G2017" s="93">
        <v>3</v>
      </c>
      <c r="H2017" s="93">
        <v>1</v>
      </c>
      <c r="I2017" s="23"/>
      <c r="J2017" s="23"/>
      <c r="K2017" s="23"/>
      <c r="L2017" s="23" t="s">
        <v>6880</v>
      </c>
      <c r="M2017" s="23" t="s">
        <v>3694</v>
      </c>
    </row>
    <row r="2018" spans="2:13" ht="15" customHeight="1" x14ac:dyDescent="0.25">
      <c r="B2018" s="35" t="s">
        <v>6965</v>
      </c>
      <c r="C2018" s="23" t="s">
        <v>6966</v>
      </c>
      <c r="D2018" s="23" t="s">
        <v>3303</v>
      </c>
      <c r="E2018" s="23" t="s">
        <v>3317</v>
      </c>
      <c r="F2018" s="23" t="s">
        <v>3729</v>
      </c>
      <c r="G2018" s="93">
        <v>3</v>
      </c>
      <c r="H2018" s="93">
        <v>1</v>
      </c>
      <c r="I2018" s="23"/>
      <c r="J2018" s="23"/>
      <c r="K2018" s="23"/>
      <c r="L2018" s="23" t="s">
        <v>6880</v>
      </c>
      <c r="M2018" s="23" t="s">
        <v>3694</v>
      </c>
    </row>
    <row r="2019" spans="2:13" ht="15" customHeight="1" x14ac:dyDescent="0.25">
      <c r="B2019" s="35" t="s">
        <v>6967</v>
      </c>
      <c r="C2019" s="23" t="s">
        <v>6968</v>
      </c>
      <c r="D2019" s="23" t="s">
        <v>3303</v>
      </c>
      <c r="E2019" s="23" t="s">
        <v>3317</v>
      </c>
      <c r="F2019" s="23" t="s">
        <v>3729</v>
      </c>
      <c r="G2019" s="93">
        <v>3</v>
      </c>
      <c r="H2019" s="93">
        <v>1</v>
      </c>
      <c r="I2019" s="23"/>
      <c r="J2019" s="23"/>
      <c r="K2019" s="23"/>
      <c r="L2019" s="23" t="s">
        <v>6880</v>
      </c>
      <c r="M2019" s="23" t="s">
        <v>3694</v>
      </c>
    </row>
    <row r="2020" spans="2:13" ht="15" customHeight="1" x14ac:dyDescent="0.25">
      <c r="B2020" s="35" t="s">
        <v>6969</v>
      </c>
      <c r="C2020" s="23" t="s">
        <v>6970</v>
      </c>
      <c r="D2020" s="23" t="s">
        <v>3303</v>
      </c>
      <c r="E2020" s="23" t="s">
        <v>3317</v>
      </c>
      <c r="F2020" s="23" t="s">
        <v>3729</v>
      </c>
      <c r="G2020" s="93">
        <v>3</v>
      </c>
      <c r="H2020" s="93">
        <v>1</v>
      </c>
      <c r="I2020" s="23"/>
      <c r="J2020" s="23"/>
      <c r="K2020" s="23"/>
      <c r="L2020" s="23" t="s">
        <v>6880</v>
      </c>
      <c r="M2020" s="23" t="s">
        <v>3694</v>
      </c>
    </row>
    <row r="2021" spans="2:13" ht="15" customHeight="1" x14ac:dyDescent="0.25">
      <c r="B2021" s="35" t="s">
        <v>6971</v>
      </c>
      <c r="C2021" s="23" t="s">
        <v>6972</v>
      </c>
      <c r="D2021" s="23" t="s">
        <v>3303</v>
      </c>
      <c r="E2021" s="23" t="s">
        <v>3317</v>
      </c>
      <c r="F2021" s="23" t="s">
        <v>3729</v>
      </c>
      <c r="G2021" s="93">
        <v>3</v>
      </c>
      <c r="H2021" s="93">
        <v>1</v>
      </c>
      <c r="I2021" s="23"/>
      <c r="J2021" s="23"/>
      <c r="K2021" s="23"/>
      <c r="L2021" s="23" t="s">
        <v>6880</v>
      </c>
      <c r="M2021" s="23" t="s">
        <v>3694</v>
      </c>
    </row>
    <row r="2022" spans="2:13" ht="15" customHeight="1" x14ac:dyDescent="0.25">
      <c r="B2022" s="35" t="s">
        <v>6973</v>
      </c>
      <c r="C2022" s="23" t="s">
        <v>6974</v>
      </c>
      <c r="D2022" s="23" t="s">
        <v>3303</v>
      </c>
      <c r="E2022" s="23" t="s">
        <v>3317</v>
      </c>
      <c r="F2022" s="23" t="s">
        <v>3729</v>
      </c>
      <c r="G2022" s="93">
        <v>3</v>
      </c>
      <c r="H2022" s="93">
        <v>1</v>
      </c>
      <c r="I2022" s="23"/>
      <c r="J2022" s="23"/>
      <c r="K2022" s="23"/>
      <c r="L2022" s="23" t="s">
        <v>6880</v>
      </c>
      <c r="M2022" s="23" t="s">
        <v>3694</v>
      </c>
    </row>
    <row r="2023" spans="2:13" ht="15" customHeight="1" x14ac:dyDescent="0.25">
      <c r="B2023" s="35" t="s">
        <v>6975</v>
      </c>
      <c r="C2023" s="23" t="s">
        <v>6976</v>
      </c>
      <c r="D2023" s="23" t="s">
        <v>3303</v>
      </c>
      <c r="E2023" s="23" t="s">
        <v>3317</v>
      </c>
      <c r="F2023" s="23" t="s">
        <v>3729</v>
      </c>
      <c r="G2023" s="93">
        <v>3</v>
      </c>
      <c r="H2023" s="93">
        <v>1</v>
      </c>
      <c r="I2023" s="23"/>
      <c r="J2023" s="23"/>
      <c r="K2023" s="23"/>
      <c r="L2023" s="23" t="s">
        <v>6880</v>
      </c>
      <c r="M2023" s="23" t="s">
        <v>3694</v>
      </c>
    </row>
    <row r="2024" spans="2:13" ht="15" customHeight="1" x14ac:dyDescent="0.25">
      <c r="B2024" s="35" t="s">
        <v>6977</v>
      </c>
      <c r="C2024" s="23" t="s">
        <v>6978</v>
      </c>
      <c r="D2024" s="23" t="s">
        <v>3303</v>
      </c>
      <c r="E2024" s="23" t="s">
        <v>3317</v>
      </c>
      <c r="F2024" s="23" t="s">
        <v>3729</v>
      </c>
      <c r="G2024" s="93">
        <v>3</v>
      </c>
      <c r="H2024" s="93">
        <v>1</v>
      </c>
      <c r="I2024" s="23"/>
      <c r="J2024" s="23"/>
      <c r="K2024" s="23"/>
      <c r="L2024" s="23" t="s">
        <v>6880</v>
      </c>
      <c r="M2024" s="23" t="s">
        <v>3694</v>
      </c>
    </row>
    <row r="2025" spans="2:13" ht="15" customHeight="1" x14ac:dyDescent="0.25">
      <c r="B2025" s="35" t="s">
        <v>6979</v>
      </c>
      <c r="C2025" s="23" t="s">
        <v>6980</v>
      </c>
      <c r="D2025" s="23" t="s">
        <v>3303</v>
      </c>
      <c r="E2025" s="23" t="s">
        <v>3317</v>
      </c>
      <c r="F2025" s="23" t="s">
        <v>3729</v>
      </c>
      <c r="G2025" s="93">
        <v>3</v>
      </c>
      <c r="H2025" s="93">
        <v>1</v>
      </c>
      <c r="I2025" s="23"/>
      <c r="J2025" s="23"/>
      <c r="K2025" s="23"/>
      <c r="L2025" s="23" t="s">
        <v>6880</v>
      </c>
      <c r="M2025" s="23" t="s">
        <v>3694</v>
      </c>
    </row>
    <row r="2026" spans="2:13" ht="15" customHeight="1" x14ac:dyDescent="0.25">
      <c r="B2026" s="35" t="s">
        <v>6981</v>
      </c>
      <c r="C2026" s="23" t="s">
        <v>6982</v>
      </c>
      <c r="D2026" s="23" t="s">
        <v>3303</v>
      </c>
      <c r="E2026" s="23" t="s">
        <v>3317</v>
      </c>
      <c r="F2026" s="23" t="s">
        <v>3729</v>
      </c>
      <c r="G2026" s="93">
        <v>3</v>
      </c>
      <c r="H2026" s="93">
        <v>1</v>
      </c>
      <c r="I2026" s="23"/>
      <c r="J2026" s="23"/>
      <c r="K2026" s="23"/>
      <c r="L2026" s="23" t="s">
        <v>6880</v>
      </c>
      <c r="M2026" s="23" t="s">
        <v>3694</v>
      </c>
    </row>
    <row r="2027" spans="2:13" ht="15" customHeight="1" x14ac:dyDescent="0.25">
      <c r="B2027" s="35" t="s">
        <v>6983</v>
      </c>
      <c r="C2027" s="23" t="s">
        <v>6984</v>
      </c>
      <c r="D2027" s="23" t="s">
        <v>3303</v>
      </c>
      <c r="E2027" s="23" t="s">
        <v>3317</v>
      </c>
      <c r="F2027" s="23" t="s">
        <v>3729</v>
      </c>
      <c r="G2027" s="93">
        <v>3</v>
      </c>
      <c r="H2027" s="93">
        <v>1</v>
      </c>
      <c r="I2027" s="23"/>
      <c r="J2027" s="23"/>
      <c r="K2027" s="23"/>
      <c r="L2027" s="23" t="s">
        <v>6880</v>
      </c>
      <c r="M2027" s="23" t="s">
        <v>3694</v>
      </c>
    </row>
    <row r="2028" spans="2:13" ht="15" customHeight="1" x14ac:dyDescent="0.25">
      <c r="B2028" s="35" t="s">
        <v>6985</v>
      </c>
      <c r="C2028" s="23" t="s">
        <v>6986</v>
      </c>
      <c r="D2028" s="23" t="s">
        <v>3303</v>
      </c>
      <c r="E2028" s="23" t="s">
        <v>3317</v>
      </c>
      <c r="F2028" s="23" t="s">
        <v>3729</v>
      </c>
      <c r="G2028" s="93">
        <v>3</v>
      </c>
      <c r="H2028" s="93">
        <v>1</v>
      </c>
      <c r="I2028" s="23"/>
      <c r="J2028" s="23"/>
      <c r="K2028" s="23"/>
      <c r="L2028" s="23" t="s">
        <v>6880</v>
      </c>
      <c r="M2028" s="23" t="s">
        <v>3694</v>
      </c>
    </row>
    <row r="2029" spans="2:13" ht="15" customHeight="1" x14ac:dyDescent="0.25">
      <c r="B2029" s="35" t="s">
        <v>6987</v>
      </c>
      <c r="C2029" s="23" t="s">
        <v>6988</v>
      </c>
      <c r="D2029" s="23" t="s">
        <v>3303</v>
      </c>
      <c r="E2029" s="23" t="s">
        <v>3317</v>
      </c>
      <c r="F2029" s="23" t="s">
        <v>3729</v>
      </c>
      <c r="G2029" s="93">
        <v>3</v>
      </c>
      <c r="H2029" s="93">
        <v>1</v>
      </c>
      <c r="I2029" s="23"/>
      <c r="J2029" s="23"/>
      <c r="K2029" s="23"/>
      <c r="L2029" s="23" t="s">
        <v>6880</v>
      </c>
      <c r="M2029" s="23" t="s">
        <v>3694</v>
      </c>
    </row>
    <row r="2030" spans="2:13" ht="15" customHeight="1" x14ac:dyDescent="0.25">
      <c r="B2030" s="35" t="s">
        <v>6989</v>
      </c>
      <c r="C2030" s="23" t="s">
        <v>6990</v>
      </c>
      <c r="D2030" s="23" t="s">
        <v>3303</v>
      </c>
      <c r="E2030" s="23" t="s">
        <v>3317</v>
      </c>
      <c r="F2030" s="23" t="s">
        <v>3729</v>
      </c>
      <c r="G2030" s="93">
        <v>3</v>
      </c>
      <c r="H2030" s="93">
        <v>1</v>
      </c>
      <c r="I2030" s="23"/>
      <c r="J2030" s="23"/>
      <c r="K2030" s="23"/>
      <c r="L2030" s="23" t="s">
        <v>6880</v>
      </c>
      <c r="M2030" s="23" t="s">
        <v>3694</v>
      </c>
    </row>
    <row r="2031" spans="2:13" ht="15" customHeight="1" x14ac:dyDescent="0.25">
      <c r="B2031" s="35" t="s">
        <v>6991</v>
      </c>
      <c r="C2031" s="23" t="s">
        <v>6992</v>
      </c>
      <c r="D2031" s="23" t="s">
        <v>3303</v>
      </c>
      <c r="E2031" s="23" t="s">
        <v>3317</v>
      </c>
      <c r="F2031" s="23" t="s">
        <v>3729</v>
      </c>
      <c r="G2031" s="93">
        <v>3</v>
      </c>
      <c r="H2031" s="93">
        <v>1</v>
      </c>
      <c r="I2031" s="23"/>
      <c r="J2031" s="23"/>
      <c r="K2031" s="23"/>
      <c r="L2031" s="23" t="s">
        <v>6880</v>
      </c>
      <c r="M2031" s="23" t="s">
        <v>3694</v>
      </c>
    </row>
    <row r="2032" spans="2:13" ht="15" customHeight="1" x14ac:dyDescent="0.25">
      <c r="B2032" s="35" t="s">
        <v>6993</v>
      </c>
      <c r="C2032" s="23" t="s">
        <v>6994</v>
      </c>
      <c r="D2032" s="23" t="s">
        <v>3303</v>
      </c>
      <c r="E2032" s="23" t="s">
        <v>3317</v>
      </c>
      <c r="F2032" s="23" t="s">
        <v>3729</v>
      </c>
      <c r="G2032" s="93">
        <v>3</v>
      </c>
      <c r="H2032" s="93">
        <v>1</v>
      </c>
      <c r="I2032" s="23"/>
      <c r="J2032" s="23"/>
      <c r="K2032" s="23"/>
      <c r="L2032" s="23" t="s">
        <v>6880</v>
      </c>
      <c r="M2032" s="23" t="s">
        <v>3694</v>
      </c>
    </row>
    <row r="2033" spans="2:13" ht="15" customHeight="1" x14ac:dyDescent="0.25">
      <c r="B2033" s="35" t="s">
        <v>6995</v>
      </c>
      <c r="C2033" s="23" t="s">
        <v>6996</v>
      </c>
      <c r="D2033" s="23" t="s">
        <v>3303</v>
      </c>
      <c r="E2033" s="23" t="s">
        <v>3317</v>
      </c>
      <c r="F2033" s="23" t="s">
        <v>3729</v>
      </c>
      <c r="G2033" s="93">
        <v>3</v>
      </c>
      <c r="H2033" s="93">
        <v>1</v>
      </c>
      <c r="I2033" s="23"/>
      <c r="J2033" s="23"/>
      <c r="K2033" s="23"/>
      <c r="L2033" s="23" t="s">
        <v>6880</v>
      </c>
      <c r="M2033" s="23" t="s">
        <v>3694</v>
      </c>
    </row>
    <row r="2034" spans="2:13" ht="15" customHeight="1" x14ac:dyDescent="0.25">
      <c r="B2034" s="35" t="s">
        <v>6997</v>
      </c>
      <c r="C2034" s="23" t="s">
        <v>6998</v>
      </c>
      <c r="D2034" s="23" t="s">
        <v>3303</v>
      </c>
      <c r="E2034" s="23" t="s">
        <v>3317</v>
      </c>
      <c r="F2034" s="23" t="s">
        <v>3729</v>
      </c>
      <c r="G2034" s="93">
        <v>3</v>
      </c>
      <c r="H2034" s="93">
        <v>1</v>
      </c>
      <c r="I2034" s="23"/>
      <c r="J2034" s="23"/>
      <c r="K2034" s="23"/>
      <c r="L2034" s="23" t="s">
        <v>6880</v>
      </c>
      <c r="M2034" s="23" t="s">
        <v>3694</v>
      </c>
    </row>
    <row r="2035" spans="2:13" ht="15" customHeight="1" x14ac:dyDescent="0.25">
      <c r="B2035" s="35" t="s">
        <v>6999</v>
      </c>
      <c r="C2035" s="23" t="s">
        <v>7000</v>
      </c>
      <c r="D2035" s="23" t="s">
        <v>3303</v>
      </c>
      <c r="E2035" s="23" t="s">
        <v>3317</v>
      </c>
      <c r="F2035" s="23" t="s">
        <v>3729</v>
      </c>
      <c r="G2035" s="93">
        <v>3</v>
      </c>
      <c r="H2035" s="93">
        <v>1</v>
      </c>
      <c r="I2035" s="23"/>
      <c r="J2035" s="23"/>
      <c r="K2035" s="23"/>
      <c r="L2035" s="23" t="s">
        <v>6880</v>
      </c>
      <c r="M2035" s="23" t="s">
        <v>3694</v>
      </c>
    </row>
    <row r="2036" spans="2:13" ht="15" customHeight="1" x14ac:dyDescent="0.25">
      <c r="B2036" s="35" t="s">
        <v>7001</v>
      </c>
      <c r="C2036" s="23" t="s">
        <v>7002</v>
      </c>
      <c r="D2036" s="23" t="s">
        <v>3303</v>
      </c>
      <c r="E2036" s="23" t="s">
        <v>3317</v>
      </c>
      <c r="F2036" s="23" t="s">
        <v>3729</v>
      </c>
      <c r="G2036" s="93">
        <v>3</v>
      </c>
      <c r="H2036" s="93">
        <v>1</v>
      </c>
      <c r="I2036" s="23"/>
      <c r="J2036" s="23"/>
      <c r="K2036" s="23"/>
      <c r="L2036" s="23" t="s">
        <v>6880</v>
      </c>
      <c r="M2036" s="23" t="s">
        <v>3694</v>
      </c>
    </row>
    <row r="2037" spans="2:13" ht="15" customHeight="1" x14ac:dyDescent="0.25">
      <c r="B2037" s="35" t="s">
        <v>7003</v>
      </c>
      <c r="C2037" s="23" t="s">
        <v>7004</v>
      </c>
      <c r="D2037" s="23" t="s">
        <v>3303</v>
      </c>
      <c r="E2037" s="23" t="s">
        <v>3317</v>
      </c>
      <c r="F2037" s="23" t="s">
        <v>3729</v>
      </c>
      <c r="G2037" s="93">
        <v>3</v>
      </c>
      <c r="H2037" s="93">
        <v>1</v>
      </c>
      <c r="I2037" s="23"/>
      <c r="J2037" s="23"/>
      <c r="K2037" s="23"/>
      <c r="L2037" s="23" t="s">
        <v>6880</v>
      </c>
      <c r="M2037" s="23" t="s">
        <v>3694</v>
      </c>
    </row>
    <row r="2038" spans="2:13" ht="15" customHeight="1" x14ac:dyDescent="0.25">
      <c r="B2038" s="35" t="s">
        <v>7005</v>
      </c>
      <c r="C2038" s="23" t="s">
        <v>7006</v>
      </c>
      <c r="D2038" s="23" t="s">
        <v>3303</v>
      </c>
      <c r="E2038" s="23" t="s">
        <v>3317</v>
      </c>
      <c r="F2038" s="23" t="s">
        <v>3729</v>
      </c>
      <c r="G2038" s="93">
        <v>3</v>
      </c>
      <c r="H2038" s="93">
        <v>1</v>
      </c>
      <c r="I2038" s="23"/>
      <c r="J2038" s="23"/>
      <c r="K2038" s="23"/>
      <c r="L2038" s="23" t="s">
        <v>6880</v>
      </c>
      <c r="M2038" s="23" t="s">
        <v>3694</v>
      </c>
    </row>
    <row r="2039" spans="2:13" ht="15" customHeight="1" x14ac:dyDescent="0.25">
      <c r="B2039" s="35" t="s">
        <v>7007</v>
      </c>
      <c r="C2039" s="23" t="s">
        <v>7008</v>
      </c>
      <c r="D2039" s="23" t="s">
        <v>3303</v>
      </c>
      <c r="E2039" s="23" t="s">
        <v>3317</v>
      </c>
      <c r="F2039" s="23" t="s">
        <v>3729</v>
      </c>
      <c r="G2039" s="93">
        <v>3</v>
      </c>
      <c r="H2039" s="93">
        <v>1</v>
      </c>
      <c r="I2039" s="23"/>
      <c r="J2039" s="23"/>
      <c r="K2039" s="23"/>
      <c r="L2039" s="23" t="s">
        <v>6880</v>
      </c>
      <c r="M2039" s="23" t="s">
        <v>3694</v>
      </c>
    </row>
    <row r="2040" spans="2:13" ht="15" customHeight="1" x14ac:dyDescent="0.25">
      <c r="B2040" s="35" t="s">
        <v>7009</v>
      </c>
      <c r="C2040" s="23" t="s">
        <v>7010</v>
      </c>
      <c r="D2040" s="23" t="s">
        <v>3303</v>
      </c>
      <c r="E2040" s="23" t="s">
        <v>3317</v>
      </c>
      <c r="F2040" s="23" t="s">
        <v>3729</v>
      </c>
      <c r="G2040" s="93">
        <v>3</v>
      </c>
      <c r="H2040" s="93">
        <v>1</v>
      </c>
      <c r="I2040" s="23"/>
      <c r="J2040" s="23"/>
      <c r="K2040" s="23"/>
      <c r="L2040" s="23" t="s">
        <v>6880</v>
      </c>
      <c r="M2040" s="23" t="s">
        <v>3694</v>
      </c>
    </row>
    <row r="2041" spans="2:13" ht="15" customHeight="1" x14ac:dyDescent="0.25">
      <c r="B2041" s="35" t="s">
        <v>7011</v>
      </c>
      <c r="C2041" s="23" t="s">
        <v>7012</v>
      </c>
      <c r="D2041" s="23" t="s">
        <v>3303</v>
      </c>
      <c r="E2041" s="23" t="s">
        <v>3317</v>
      </c>
      <c r="F2041" s="23" t="s">
        <v>3729</v>
      </c>
      <c r="G2041" s="93">
        <v>3</v>
      </c>
      <c r="H2041" s="93">
        <v>1</v>
      </c>
      <c r="I2041" s="23"/>
      <c r="J2041" s="23"/>
      <c r="K2041" s="23"/>
      <c r="L2041" s="23" t="s">
        <v>6880</v>
      </c>
      <c r="M2041" s="23" t="s">
        <v>3694</v>
      </c>
    </row>
    <row r="2042" spans="2:13" ht="15" customHeight="1" x14ac:dyDescent="0.25">
      <c r="B2042" s="35" t="s">
        <v>7013</v>
      </c>
      <c r="C2042" s="23" t="s">
        <v>7014</v>
      </c>
      <c r="D2042" s="23" t="s">
        <v>3303</v>
      </c>
      <c r="E2042" s="23" t="s">
        <v>3317</v>
      </c>
      <c r="F2042" s="23" t="s">
        <v>3729</v>
      </c>
      <c r="G2042" s="93">
        <v>3</v>
      </c>
      <c r="H2042" s="93">
        <v>1</v>
      </c>
      <c r="I2042" s="23"/>
      <c r="J2042" s="23"/>
      <c r="K2042" s="23"/>
      <c r="L2042" s="23" t="s">
        <v>6880</v>
      </c>
      <c r="M2042" s="23" t="s">
        <v>3694</v>
      </c>
    </row>
    <row r="2043" spans="2:13" ht="15" customHeight="1" x14ac:dyDescent="0.25">
      <c r="B2043" s="35" t="s">
        <v>7015</v>
      </c>
      <c r="C2043" s="23" t="s">
        <v>7016</v>
      </c>
      <c r="D2043" s="23" t="s">
        <v>3303</v>
      </c>
      <c r="E2043" s="23" t="s">
        <v>3317</v>
      </c>
      <c r="F2043" s="23" t="s">
        <v>3729</v>
      </c>
      <c r="G2043" s="93">
        <v>3</v>
      </c>
      <c r="H2043" s="93">
        <v>1</v>
      </c>
      <c r="I2043" s="23"/>
      <c r="J2043" s="23"/>
      <c r="K2043" s="23"/>
      <c r="L2043" s="23" t="s">
        <v>6880</v>
      </c>
      <c r="M2043" s="23" t="s">
        <v>3694</v>
      </c>
    </row>
    <row r="2044" spans="2:13" ht="15" customHeight="1" x14ac:dyDescent="0.25">
      <c r="B2044" s="35" t="s">
        <v>7017</v>
      </c>
      <c r="C2044" s="23" t="s">
        <v>7018</v>
      </c>
      <c r="D2044" s="23" t="s">
        <v>3303</v>
      </c>
      <c r="E2044" s="23" t="s">
        <v>3317</v>
      </c>
      <c r="F2044" s="23" t="s">
        <v>3729</v>
      </c>
      <c r="G2044" s="93">
        <v>3</v>
      </c>
      <c r="H2044" s="93">
        <v>1</v>
      </c>
      <c r="I2044" s="23"/>
      <c r="J2044" s="23"/>
      <c r="K2044" s="23"/>
      <c r="L2044" s="23" t="s">
        <v>6880</v>
      </c>
      <c r="M2044" s="23" t="s">
        <v>3694</v>
      </c>
    </row>
    <row r="2045" spans="2:13" ht="15" customHeight="1" x14ac:dyDescent="0.25">
      <c r="B2045" s="35" t="s">
        <v>7019</v>
      </c>
      <c r="C2045" s="23" t="s">
        <v>7020</v>
      </c>
      <c r="D2045" s="23" t="s">
        <v>3303</v>
      </c>
      <c r="E2045" s="23" t="s">
        <v>3317</v>
      </c>
      <c r="F2045" s="23" t="s">
        <v>3729</v>
      </c>
      <c r="G2045" s="93">
        <v>3</v>
      </c>
      <c r="H2045" s="93">
        <v>1</v>
      </c>
      <c r="I2045" s="23"/>
      <c r="J2045" s="23"/>
      <c r="K2045" s="23"/>
      <c r="L2045" s="23" t="s">
        <v>6880</v>
      </c>
      <c r="M2045" s="23" t="s">
        <v>3694</v>
      </c>
    </row>
    <row r="2046" spans="2:13" ht="15" customHeight="1" x14ac:dyDescent="0.25">
      <c r="B2046" s="35" t="s">
        <v>7021</v>
      </c>
      <c r="C2046" s="23" t="s">
        <v>7022</v>
      </c>
      <c r="D2046" s="23" t="s">
        <v>3303</v>
      </c>
      <c r="E2046" s="23" t="s">
        <v>3317</v>
      </c>
      <c r="F2046" s="23" t="s">
        <v>3729</v>
      </c>
      <c r="G2046" s="93">
        <v>3</v>
      </c>
      <c r="H2046" s="93">
        <v>1</v>
      </c>
      <c r="I2046" s="23"/>
      <c r="J2046" s="23"/>
      <c r="K2046" s="23"/>
      <c r="L2046" s="23" t="s">
        <v>6880</v>
      </c>
      <c r="M2046" s="23" t="s">
        <v>3694</v>
      </c>
    </row>
    <row r="2047" spans="2:13" ht="15" customHeight="1" x14ac:dyDescent="0.25">
      <c r="B2047" s="35" t="s">
        <v>7023</v>
      </c>
      <c r="C2047" s="23" t="s">
        <v>7024</v>
      </c>
      <c r="D2047" s="23" t="s">
        <v>3303</v>
      </c>
      <c r="E2047" s="23" t="s">
        <v>3317</v>
      </c>
      <c r="F2047" s="23" t="s">
        <v>3729</v>
      </c>
      <c r="G2047" s="93">
        <v>3</v>
      </c>
      <c r="H2047" s="93">
        <v>1</v>
      </c>
      <c r="I2047" s="23"/>
      <c r="J2047" s="23"/>
      <c r="K2047" s="23"/>
      <c r="L2047" s="23" t="s">
        <v>6880</v>
      </c>
      <c r="M2047" s="23" t="s">
        <v>3694</v>
      </c>
    </row>
    <row r="2048" spans="2:13" ht="15" customHeight="1" x14ac:dyDescent="0.25">
      <c r="B2048" s="35" t="s">
        <v>7025</v>
      </c>
      <c r="C2048" s="23" t="s">
        <v>7026</v>
      </c>
      <c r="D2048" s="23" t="s">
        <v>3303</v>
      </c>
      <c r="E2048" s="23" t="s">
        <v>3317</v>
      </c>
      <c r="F2048" s="23" t="s">
        <v>3729</v>
      </c>
      <c r="G2048" s="93">
        <v>3</v>
      </c>
      <c r="H2048" s="93">
        <v>1</v>
      </c>
      <c r="I2048" s="23"/>
      <c r="J2048" s="23"/>
      <c r="K2048" s="23"/>
      <c r="L2048" s="23" t="s">
        <v>6880</v>
      </c>
      <c r="M2048" s="23" t="s">
        <v>3694</v>
      </c>
    </row>
    <row r="2049" spans="2:13" ht="15" customHeight="1" x14ac:dyDescent="0.25">
      <c r="B2049" s="35" t="s">
        <v>7027</v>
      </c>
      <c r="C2049" s="23" t="s">
        <v>7028</v>
      </c>
      <c r="D2049" s="23" t="s">
        <v>3303</v>
      </c>
      <c r="E2049" s="23" t="s">
        <v>3317</v>
      </c>
      <c r="F2049" s="23" t="s">
        <v>3729</v>
      </c>
      <c r="G2049" s="93">
        <v>3</v>
      </c>
      <c r="H2049" s="93">
        <v>1</v>
      </c>
      <c r="I2049" s="23"/>
      <c r="J2049" s="23"/>
      <c r="K2049" s="23"/>
      <c r="L2049" s="23" t="s">
        <v>6880</v>
      </c>
      <c r="M2049" s="23" t="s">
        <v>3694</v>
      </c>
    </row>
    <row r="2050" spans="2:13" ht="15" customHeight="1" x14ac:dyDescent="0.25">
      <c r="B2050" s="35" t="s">
        <v>7029</v>
      </c>
      <c r="C2050" s="23" t="s">
        <v>7030</v>
      </c>
      <c r="D2050" s="23" t="s">
        <v>3303</v>
      </c>
      <c r="E2050" s="23" t="s">
        <v>3317</v>
      </c>
      <c r="F2050" s="23" t="s">
        <v>3729</v>
      </c>
      <c r="G2050" s="93">
        <v>3</v>
      </c>
      <c r="H2050" s="93">
        <v>1</v>
      </c>
      <c r="I2050" s="23"/>
      <c r="J2050" s="23"/>
      <c r="K2050" s="23"/>
      <c r="L2050" s="23" t="s">
        <v>6880</v>
      </c>
      <c r="M2050" s="23" t="s">
        <v>3694</v>
      </c>
    </row>
    <row r="2051" spans="2:13" ht="15" customHeight="1" x14ac:dyDescent="0.25">
      <c r="B2051" s="35" t="s">
        <v>7031</v>
      </c>
      <c r="C2051" s="23" t="s">
        <v>7032</v>
      </c>
      <c r="D2051" s="23" t="s">
        <v>3303</v>
      </c>
      <c r="E2051" s="23" t="s">
        <v>3317</v>
      </c>
      <c r="F2051" s="23" t="s">
        <v>3729</v>
      </c>
      <c r="G2051" s="93">
        <v>3</v>
      </c>
      <c r="H2051" s="93">
        <v>1</v>
      </c>
      <c r="I2051" s="23"/>
      <c r="J2051" s="23"/>
      <c r="K2051" s="23"/>
      <c r="L2051" s="23" t="s">
        <v>6880</v>
      </c>
      <c r="M2051" s="23" t="s">
        <v>3694</v>
      </c>
    </row>
    <row r="2052" spans="2:13" ht="15" customHeight="1" x14ac:dyDescent="0.25">
      <c r="B2052" s="35" t="s">
        <v>7033</v>
      </c>
      <c r="C2052" s="23" t="s">
        <v>7034</v>
      </c>
      <c r="D2052" s="23" t="s">
        <v>3303</v>
      </c>
      <c r="E2052" s="23" t="s">
        <v>3317</v>
      </c>
      <c r="F2052" s="23" t="s">
        <v>3729</v>
      </c>
      <c r="G2052" s="93">
        <v>3</v>
      </c>
      <c r="H2052" s="93">
        <v>1</v>
      </c>
      <c r="I2052" s="23"/>
      <c r="J2052" s="23"/>
      <c r="K2052" s="23"/>
      <c r="L2052" s="23" t="s">
        <v>6880</v>
      </c>
      <c r="M2052" s="23" t="s">
        <v>3694</v>
      </c>
    </row>
    <row r="2053" spans="2:13" ht="15" customHeight="1" x14ac:dyDescent="0.25">
      <c r="B2053" s="35" t="s">
        <v>7035</v>
      </c>
      <c r="C2053" s="23" t="s">
        <v>7036</v>
      </c>
      <c r="D2053" s="23" t="s">
        <v>3303</v>
      </c>
      <c r="E2053" s="23" t="s">
        <v>3317</v>
      </c>
      <c r="F2053" s="23" t="s">
        <v>3729</v>
      </c>
      <c r="G2053" s="93">
        <v>3</v>
      </c>
      <c r="H2053" s="93">
        <v>1</v>
      </c>
      <c r="I2053" s="23"/>
      <c r="J2053" s="23"/>
      <c r="K2053" s="23"/>
      <c r="L2053" s="23" t="s">
        <v>6880</v>
      </c>
      <c r="M2053" s="23" t="s">
        <v>3694</v>
      </c>
    </row>
    <row r="2054" spans="2:13" ht="15" customHeight="1" x14ac:dyDescent="0.25">
      <c r="B2054" s="35" t="s">
        <v>7037</v>
      </c>
      <c r="C2054" s="23" t="s">
        <v>7038</v>
      </c>
      <c r="D2054" s="23" t="s">
        <v>3303</v>
      </c>
      <c r="E2054" s="23" t="s">
        <v>3317</v>
      </c>
      <c r="F2054" s="23" t="s">
        <v>3729</v>
      </c>
      <c r="G2054" s="93">
        <v>3</v>
      </c>
      <c r="H2054" s="93">
        <v>1</v>
      </c>
      <c r="I2054" s="23"/>
      <c r="J2054" s="23"/>
      <c r="K2054" s="23"/>
      <c r="L2054" s="23" t="s">
        <v>6880</v>
      </c>
      <c r="M2054" s="23" t="s">
        <v>3694</v>
      </c>
    </row>
    <row r="2055" spans="2:13" ht="15" customHeight="1" x14ac:dyDescent="0.25">
      <c r="B2055" s="35" t="s">
        <v>7039</v>
      </c>
      <c r="C2055" s="23" t="s">
        <v>7040</v>
      </c>
      <c r="D2055" s="23" t="s">
        <v>3303</v>
      </c>
      <c r="E2055" s="23" t="s">
        <v>3317</v>
      </c>
      <c r="F2055" s="23" t="s">
        <v>3729</v>
      </c>
      <c r="G2055" s="93">
        <v>3</v>
      </c>
      <c r="H2055" s="93">
        <v>1</v>
      </c>
      <c r="I2055" s="23"/>
      <c r="J2055" s="23"/>
      <c r="K2055" s="23"/>
      <c r="L2055" s="23" t="s">
        <v>6880</v>
      </c>
      <c r="M2055" s="23" t="s">
        <v>3694</v>
      </c>
    </row>
    <row r="2056" spans="2:13" ht="15" customHeight="1" x14ac:dyDescent="0.25">
      <c r="B2056" s="35" t="s">
        <v>7041</v>
      </c>
      <c r="C2056" s="23" t="s">
        <v>7042</v>
      </c>
      <c r="D2056" s="23" t="s">
        <v>3303</v>
      </c>
      <c r="E2056" s="23" t="s">
        <v>3317</v>
      </c>
      <c r="F2056" s="23" t="s">
        <v>3729</v>
      </c>
      <c r="G2056" s="93">
        <v>3</v>
      </c>
      <c r="H2056" s="93">
        <v>1</v>
      </c>
      <c r="I2056" s="23"/>
      <c r="J2056" s="23"/>
      <c r="K2056" s="23"/>
      <c r="L2056" s="23" t="s">
        <v>6880</v>
      </c>
      <c r="M2056" s="23" t="s">
        <v>3694</v>
      </c>
    </row>
    <row r="2057" spans="2:13" ht="15" customHeight="1" x14ac:dyDescent="0.25">
      <c r="B2057" s="35" t="s">
        <v>7043</v>
      </c>
      <c r="C2057" s="23" t="s">
        <v>7044</v>
      </c>
      <c r="D2057" s="23" t="s">
        <v>3303</v>
      </c>
      <c r="E2057" s="23" t="s">
        <v>3317</v>
      </c>
      <c r="F2057" s="23" t="s">
        <v>3729</v>
      </c>
      <c r="G2057" s="93">
        <v>3</v>
      </c>
      <c r="H2057" s="93">
        <v>1</v>
      </c>
      <c r="I2057" s="23"/>
      <c r="J2057" s="23"/>
      <c r="K2057" s="23"/>
      <c r="L2057" s="23" t="s">
        <v>6880</v>
      </c>
      <c r="M2057" s="23" t="s">
        <v>3694</v>
      </c>
    </row>
    <row r="2058" spans="2:13" ht="15" customHeight="1" x14ac:dyDescent="0.25">
      <c r="B2058" s="35" t="s">
        <v>7045</v>
      </c>
      <c r="C2058" s="23" t="s">
        <v>7046</v>
      </c>
      <c r="D2058" s="23" t="s">
        <v>3303</v>
      </c>
      <c r="E2058" s="23" t="s">
        <v>3317</v>
      </c>
      <c r="F2058" s="23" t="s">
        <v>3729</v>
      </c>
      <c r="G2058" s="93">
        <v>3</v>
      </c>
      <c r="H2058" s="93">
        <v>1</v>
      </c>
      <c r="I2058" s="23"/>
      <c r="J2058" s="23"/>
      <c r="K2058" s="23"/>
      <c r="L2058" s="23" t="s">
        <v>6880</v>
      </c>
      <c r="M2058" s="23" t="s">
        <v>3694</v>
      </c>
    </row>
    <row r="2059" spans="2:13" ht="15" customHeight="1" x14ac:dyDescent="0.25">
      <c r="B2059" s="35" t="s">
        <v>7047</v>
      </c>
      <c r="C2059" s="23" t="s">
        <v>7048</v>
      </c>
      <c r="D2059" s="23" t="s">
        <v>3303</v>
      </c>
      <c r="E2059" s="23" t="s">
        <v>3317</v>
      </c>
      <c r="F2059" s="23" t="s">
        <v>3729</v>
      </c>
      <c r="G2059" s="93">
        <v>3</v>
      </c>
      <c r="H2059" s="93">
        <v>1</v>
      </c>
      <c r="I2059" s="23"/>
      <c r="J2059" s="23"/>
      <c r="K2059" s="23"/>
      <c r="L2059" s="23" t="s">
        <v>6880</v>
      </c>
      <c r="M2059" s="23" t="s">
        <v>3694</v>
      </c>
    </row>
    <row r="2060" spans="2:13" ht="15" customHeight="1" x14ac:dyDescent="0.25">
      <c r="B2060" s="35" t="s">
        <v>7049</v>
      </c>
      <c r="C2060" s="23" t="s">
        <v>7050</v>
      </c>
      <c r="D2060" s="23" t="s">
        <v>3303</v>
      </c>
      <c r="E2060" s="23" t="s">
        <v>3317</v>
      </c>
      <c r="F2060" s="23" t="s">
        <v>3729</v>
      </c>
      <c r="G2060" s="93">
        <v>3</v>
      </c>
      <c r="H2060" s="93">
        <v>1</v>
      </c>
      <c r="I2060" s="23"/>
      <c r="J2060" s="23"/>
      <c r="K2060" s="23"/>
      <c r="L2060" s="23" t="s">
        <v>6880</v>
      </c>
      <c r="M2060" s="23" t="s">
        <v>3694</v>
      </c>
    </row>
    <row r="2061" spans="2:13" ht="15" customHeight="1" x14ac:dyDescent="0.25">
      <c r="B2061" s="35" t="s">
        <v>7051</v>
      </c>
      <c r="C2061" s="23" t="s">
        <v>7052</v>
      </c>
      <c r="D2061" s="23" t="s">
        <v>3303</v>
      </c>
      <c r="E2061" s="23" t="s">
        <v>3317</v>
      </c>
      <c r="F2061" s="23" t="s">
        <v>3729</v>
      </c>
      <c r="G2061" s="93">
        <v>3</v>
      </c>
      <c r="H2061" s="93">
        <v>1</v>
      </c>
      <c r="I2061" s="23"/>
      <c r="J2061" s="23"/>
      <c r="K2061" s="23"/>
      <c r="L2061" s="23" t="s">
        <v>6880</v>
      </c>
      <c r="M2061" s="23" t="s">
        <v>3694</v>
      </c>
    </row>
    <row r="2062" spans="2:13" ht="15" customHeight="1" x14ac:dyDescent="0.25">
      <c r="B2062" s="35" t="s">
        <v>7053</v>
      </c>
      <c r="C2062" s="23" t="s">
        <v>7054</v>
      </c>
      <c r="D2062" s="23" t="s">
        <v>3303</v>
      </c>
      <c r="E2062" s="23" t="s">
        <v>3317</v>
      </c>
      <c r="F2062" s="23" t="s">
        <v>3729</v>
      </c>
      <c r="G2062" s="93">
        <v>3</v>
      </c>
      <c r="H2062" s="93">
        <v>1</v>
      </c>
      <c r="I2062" s="23"/>
      <c r="J2062" s="23"/>
      <c r="K2062" s="23"/>
      <c r="L2062" s="23" t="s">
        <v>6880</v>
      </c>
      <c r="M2062" s="23" t="s">
        <v>3694</v>
      </c>
    </row>
    <row r="2063" spans="2:13" ht="15" customHeight="1" x14ac:dyDescent="0.25">
      <c r="B2063" s="35" t="s">
        <v>7055</v>
      </c>
      <c r="C2063" s="23" t="s">
        <v>7056</v>
      </c>
      <c r="D2063" s="23" t="s">
        <v>3303</v>
      </c>
      <c r="E2063" s="23" t="s">
        <v>3317</v>
      </c>
      <c r="F2063" s="23" t="s">
        <v>3729</v>
      </c>
      <c r="G2063" s="93">
        <v>3</v>
      </c>
      <c r="H2063" s="93">
        <v>1</v>
      </c>
      <c r="I2063" s="23"/>
      <c r="J2063" s="23"/>
      <c r="K2063" s="23"/>
      <c r="L2063" s="23" t="s">
        <v>6880</v>
      </c>
      <c r="M2063" s="23" t="s">
        <v>3694</v>
      </c>
    </row>
    <row r="2064" spans="2:13" ht="15" customHeight="1" x14ac:dyDescent="0.25">
      <c r="B2064" s="35" t="s">
        <v>7057</v>
      </c>
      <c r="C2064" s="23" t="s">
        <v>7058</v>
      </c>
      <c r="D2064" s="23" t="s">
        <v>3303</v>
      </c>
      <c r="E2064" s="23" t="s">
        <v>3317</v>
      </c>
      <c r="F2064" s="23" t="s">
        <v>3729</v>
      </c>
      <c r="G2064" s="93">
        <v>3</v>
      </c>
      <c r="H2064" s="93">
        <v>1</v>
      </c>
      <c r="I2064" s="23"/>
      <c r="J2064" s="23"/>
      <c r="K2064" s="23"/>
      <c r="L2064" s="23" t="s">
        <v>6880</v>
      </c>
      <c r="M2064" s="23" t="s">
        <v>3694</v>
      </c>
    </row>
    <row r="2065" spans="2:13" ht="15" customHeight="1" x14ac:dyDescent="0.25">
      <c r="B2065" s="35" t="s">
        <v>7059</v>
      </c>
      <c r="C2065" s="23" t="s">
        <v>7060</v>
      </c>
      <c r="D2065" s="23" t="s">
        <v>3303</v>
      </c>
      <c r="E2065" s="23" t="s">
        <v>3317</v>
      </c>
      <c r="F2065" s="23" t="s">
        <v>3729</v>
      </c>
      <c r="G2065" s="93">
        <v>3</v>
      </c>
      <c r="H2065" s="93">
        <v>1</v>
      </c>
      <c r="I2065" s="23"/>
      <c r="J2065" s="23"/>
      <c r="K2065" s="23"/>
      <c r="L2065" s="23" t="s">
        <v>6880</v>
      </c>
      <c r="M2065" s="23" t="s">
        <v>3694</v>
      </c>
    </row>
    <row r="2066" spans="2:13" ht="15" customHeight="1" x14ac:dyDescent="0.25">
      <c r="B2066" s="35" t="s">
        <v>7061</v>
      </c>
      <c r="C2066" s="23" t="s">
        <v>7062</v>
      </c>
      <c r="D2066" s="23" t="s">
        <v>3303</v>
      </c>
      <c r="E2066" s="23" t="s">
        <v>3317</v>
      </c>
      <c r="F2066" s="23" t="s">
        <v>3729</v>
      </c>
      <c r="G2066" s="93">
        <v>3</v>
      </c>
      <c r="H2066" s="93">
        <v>1</v>
      </c>
      <c r="I2066" s="23"/>
      <c r="J2066" s="23"/>
      <c r="K2066" s="23"/>
      <c r="L2066" s="23" t="s">
        <v>6880</v>
      </c>
      <c r="M2066" s="23" t="s">
        <v>3694</v>
      </c>
    </row>
    <row r="2067" spans="2:13" ht="15" customHeight="1" x14ac:dyDescent="0.25">
      <c r="B2067" s="35" t="s">
        <v>7063</v>
      </c>
      <c r="C2067" s="23" t="s">
        <v>7064</v>
      </c>
      <c r="D2067" s="23" t="s">
        <v>3303</v>
      </c>
      <c r="E2067" s="23" t="s">
        <v>3317</v>
      </c>
      <c r="F2067" s="23" t="s">
        <v>3729</v>
      </c>
      <c r="G2067" s="93">
        <v>3</v>
      </c>
      <c r="H2067" s="93">
        <v>1</v>
      </c>
      <c r="I2067" s="23"/>
      <c r="J2067" s="23"/>
      <c r="K2067" s="23"/>
      <c r="L2067" s="23" t="s">
        <v>6880</v>
      </c>
      <c r="M2067" s="23" t="s">
        <v>3694</v>
      </c>
    </row>
    <row r="2068" spans="2:13" ht="15" customHeight="1" x14ac:dyDescent="0.25">
      <c r="B2068" s="35" t="s">
        <v>7065</v>
      </c>
      <c r="C2068" s="23" t="s">
        <v>7066</v>
      </c>
      <c r="D2068" s="23" t="s">
        <v>3303</v>
      </c>
      <c r="E2068" s="23" t="s">
        <v>3317</v>
      </c>
      <c r="F2068" s="23" t="s">
        <v>3729</v>
      </c>
      <c r="G2068" s="93">
        <v>3</v>
      </c>
      <c r="H2068" s="93">
        <v>1</v>
      </c>
      <c r="I2068" s="23"/>
      <c r="J2068" s="23"/>
      <c r="K2068" s="23"/>
      <c r="L2068" s="23" t="s">
        <v>6880</v>
      </c>
      <c r="M2068" s="23" t="s">
        <v>3694</v>
      </c>
    </row>
    <row r="2069" spans="2:13" ht="15" customHeight="1" x14ac:dyDescent="0.25">
      <c r="B2069" s="35" t="s">
        <v>7067</v>
      </c>
      <c r="C2069" s="23" t="s">
        <v>7068</v>
      </c>
      <c r="D2069" s="23" t="s">
        <v>3303</v>
      </c>
      <c r="E2069" s="23" t="s">
        <v>3317</v>
      </c>
      <c r="F2069" s="23" t="s">
        <v>3729</v>
      </c>
      <c r="G2069" s="93">
        <v>3</v>
      </c>
      <c r="H2069" s="93">
        <v>1</v>
      </c>
      <c r="I2069" s="23"/>
      <c r="J2069" s="23"/>
      <c r="K2069" s="23"/>
      <c r="L2069" s="23" t="s">
        <v>6880</v>
      </c>
      <c r="M2069" s="23" t="s">
        <v>3694</v>
      </c>
    </row>
    <row r="2070" spans="2:13" ht="15" customHeight="1" x14ac:dyDescent="0.25">
      <c r="B2070" s="35" t="s">
        <v>7069</v>
      </c>
      <c r="C2070" s="23" t="s">
        <v>7070</v>
      </c>
      <c r="D2070" s="23" t="s">
        <v>3303</v>
      </c>
      <c r="E2070" s="23" t="s">
        <v>3317</v>
      </c>
      <c r="F2070" s="23" t="s">
        <v>3729</v>
      </c>
      <c r="G2070" s="93">
        <v>3</v>
      </c>
      <c r="H2070" s="93">
        <v>1</v>
      </c>
      <c r="I2070" s="23"/>
      <c r="J2070" s="23"/>
      <c r="K2070" s="23"/>
      <c r="L2070" s="23" t="s">
        <v>6880</v>
      </c>
      <c r="M2070" s="23" t="s">
        <v>3694</v>
      </c>
    </row>
    <row r="2071" spans="2:13" ht="15" customHeight="1" x14ac:dyDescent="0.25">
      <c r="B2071" s="35" t="s">
        <v>7071</v>
      </c>
      <c r="C2071" s="23" t="s">
        <v>7072</v>
      </c>
      <c r="D2071" s="23" t="s">
        <v>3303</v>
      </c>
      <c r="E2071" s="23" t="s">
        <v>3317</v>
      </c>
      <c r="F2071" s="23" t="s">
        <v>3729</v>
      </c>
      <c r="G2071" s="93">
        <v>3</v>
      </c>
      <c r="H2071" s="93">
        <v>1</v>
      </c>
      <c r="I2071" s="23"/>
      <c r="J2071" s="23"/>
      <c r="K2071" s="23"/>
      <c r="L2071" s="23" t="s">
        <v>6880</v>
      </c>
      <c r="M2071" s="23" t="s">
        <v>3694</v>
      </c>
    </row>
    <row r="2072" spans="2:13" ht="15" customHeight="1" x14ac:dyDescent="0.25">
      <c r="B2072" s="35" t="s">
        <v>7073</v>
      </c>
      <c r="C2072" s="23" t="s">
        <v>7074</v>
      </c>
      <c r="D2072" s="23" t="s">
        <v>3303</v>
      </c>
      <c r="E2072" s="23" t="s">
        <v>3317</v>
      </c>
      <c r="F2072" s="23" t="s">
        <v>3729</v>
      </c>
      <c r="G2072" s="93">
        <v>3</v>
      </c>
      <c r="H2072" s="93">
        <v>1</v>
      </c>
      <c r="I2072" s="23"/>
      <c r="J2072" s="23"/>
      <c r="K2072" s="23"/>
      <c r="L2072" s="23" t="s">
        <v>6880</v>
      </c>
      <c r="M2072" s="23" t="s">
        <v>3694</v>
      </c>
    </row>
    <row r="2073" spans="2:13" ht="15" customHeight="1" x14ac:dyDescent="0.25">
      <c r="B2073" s="35" t="s">
        <v>7075</v>
      </c>
      <c r="C2073" s="23" t="s">
        <v>7076</v>
      </c>
      <c r="D2073" s="23" t="s">
        <v>3303</v>
      </c>
      <c r="E2073" s="23" t="s">
        <v>3317</v>
      </c>
      <c r="F2073" s="23" t="s">
        <v>3729</v>
      </c>
      <c r="G2073" s="93">
        <v>3</v>
      </c>
      <c r="H2073" s="93">
        <v>1</v>
      </c>
      <c r="I2073" s="23"/>
      <c r="J2073" s="23"/>
      <c r="K2073" s="23"/>
      <c r="L2073" s="23" t="s">
        <v>6880</v>
      </c>
      <c r="M2073" s="23" t="s">
        <v>3694</v>
      </c>
    </row>
    <row r="2074" spans="2:13" ht="15" customHeight="1" x14ac:dyDescent="0.25">
      <c r="B2074" s="35" t="s">
        <v>7077</v>
      </c>
      <c r="C2074" s="23" t="s">
        <v>7078</v>
      </c>
      <c r="D2074" s="23" t="s">
        <v>3303</v>
      </c>
      <c r="E2074" s="23" t="s">
        <v>3317</v>
      </c>
      <c r="F2074" s="23" t="s">
        <v>3729</v>
      </c>
      <c r="G2074" s="93">
        <v>3</v>
      </c>
      <c r="H2074" s="93">
        <v>1</v>
      </c>
      <c r="I2074" s="23"/>
      <c r="J2074" s="23"/>
      <c r="K2074" s="23"/>
      <c r="L2074" s="23" t="s">
        <v>6880</v>
      </c>
      <c r="M2074" s="23" t="s">
        <v>3694</v>
      </c>
    </row>
    <row r="2075" spans="2:13" ht="15" customHeight="1" x14ac:dyDescent="0.25">
      <c r="B2075" s="35" t="s">
        <v>7079</v>
      </c>
      <c r="C2075" s="23" t="s">
        <v>7080</v>
      </c>
      <c r="D2075" s="23" t="s">
        <v>3303</v>
      </c>
      <c r="E2075" s="23" t="s">
        <v>3317</v>
      </c>
      <c r="F2075" s="23" t="s">
        <v>3729</v>
      </c>
      <c r="G2075" s="93">
        <v>3</v>
      </c>
      <c r="H2075" s="93">
        <v>1</v>
      </c>
      <c r="I2075" s="23"/>
      <c r="J2075" s="23"/>
      <c r="K2075" s="23"/>
      <c r="L2075" s="23" t="s">
        <v>6880</v>
      </c>
      <c r="M2075" s="23" t="s">
        <v>3694</v>
      </c>
    </row>
    <row r="2076" spans="2:13" ht="15" customHeight="1" x14ac:dyDescent="0.25">
      <c r="B2076" s="35" t="s">
        <v>7081</v>
      </c>
      <c r="C2076" s="23" t="s">
        <v>7082</v>
      </c>
      <c r="D2076" s="23" t="s">
        <v>3303</v>
      </c>
      <c r="E2076" s="23" t="s">
        <v>3317</v>
      </c>
      <c r="F2076" s="23" t="s">
        <v>3729</v>
      </c>
      <c r="G2076" s="93">
        <v>3</v>
      </c>
      <c r="H2076" s="93">
        <v>1</v>
      </c>
      <c r="I2076" s="23"/>
      <c r="J2076" s="23"/>
      <c r="K2076" s="23"/>
      <c r="L2076" s="23" t="s">
        <v>6880</v>
      </c>
      <c r="M2076" s="23" t="s">
        <v>3694</v>
      </c>
    </row>
    <row r="2077" spans="2:13" ht="15" customHeight="1" x14ac:dyDescent="0.25">
      <c r="B2077" s="35" t="s">
        <v>7083</v>
      </c>
      <c r="C2077" s="23" t="s">
        <v>7084</v>
      </c>
      <c r="D2077" s="23" t="s">
        <v>3303</v>
      </c>
      <c r="E2077" s="23" t="s">
        <v>3317</v>
      </c>
      <c r="F2077" s="23" t="s">
        <v>3729</v>
      </c>
      <c r="G2077" s="93">
        <v>3</v>
      </c>
      <c r="H2077" s="93">
        <v>1</v>
      </c>
      <c r="I2077" s="23"/>
      <c r="J2077" s="23"/>
      <c r="K2077" s="23"/>
      <c r="L2077" s="23" t="s">
        <v>6880</v>
      </c>
      <c r="M2077" s="23" t="s">
        <v>3694</v>
      </c>
    </row>
    <row r="2078" spans="2:13" ht="15" customHeight="1" x14ac:dyDescent="0.25">
      <c r="B2078" s="35" t="s">
        <v>7085</v>
      </c>
      <c r="C2078" s="23" t="s">
        <v>7086</v>
      </c>
      <c r="D2078" s="23" t="s">
        <v>3303</v>
      </c>
      <c r="E2078" s="23" t="s">
        <v>3317</v>
      </c>
      <c r="F2078" s="23" t="s">
        <v>3729</v>
      </c>
      <c r="G2078" s="93">
        <v>3</v>
      </c>
      <c r="H2078" s="93">
        <v>1</v>
      </c>
      <c r="I2078" s="23"/>
      <c r="J2078" s="23"/>
      <c r="K2078" s="23"/>
      <c r="L2078" s="23" t="s">
        <v>6880</v>
      </c>
      <c r="M2078" s="23" t="s">
        <v>3694</v>
      </c>
    </row>
    <row r="2079" spans="2:13" ht="15" customHeight="1" x14ac:dyDescent="0.25">
      <c r="B2079" s="35" t="s">
        <v>7087</v>
      </c>
      <c r="C2079" s="23" t="s">
        <v>7088</v>
      </c>
      <c r="D2079" s="23" t="s">
        <v>3303</v>
      </c>
      <c r="E2079" s="23" t="s">
        <v>3317</v>
      </c>
      <c r="F2079" s="23" t="s">
        <v>3729</v>
      </c>
      <c r="G2079" s="93">
        <v>3</v>
      </c>
      <c r="H2079" s="93">
        <v>1</v>
      </c>
      <c r="I2079" s="23"/>
      <c r="J2079" s="23"/>
      <c r="K2079" s="23"/>
      <c r="L2079" s="23" t="s">
        <v>6880</v>
      </c>
      <c r="M2079" s="23" t="s">
        <v>3694</v>
      </c>
    </row>
    <row r="2080" spans="2:13" ht="15" customHeight="1" x14ac:dyDescent="0.25">
      <c r="B2080" s="35" t="s">
        <v>7089</v>
      </c>
      <c r="C2080" s="23" t="s">
        <v>7090</v>
      </c>
      <c r="D2080" s="23" t="s">
        <v>3303</v>
      </c>
      <c r="E2080" s="23" t="s">
        <v>3317</v>
      </c>
      <c r="F2080" s="23" t="s">
        <v>3729</v>
      </c>
      <c r="G2080" s="93">
        <v>3</v>
      </c>
      <c r="H2080" s="93">
        <v>1</v>
      </c>
      <c r="I2080" s="23"/>
      <c r="J2080" s="23"/>
      <c r="K2080" s="23"/>
      <c r="L2080" s="23" t="s">
        <v>6880</v>
      </c>
      <c r="M2080" s="23" t="s">
        <v>3694</v>
      </c>
    </row>
    <row r="2081" spans="2:13" ht="15" customHeight="1" x14ac:dyDescent="0.25">
      <c r="B2081" s="35" t="s">
        <v>7091</v>
      </c>
      <c r="C2081" s="23" t="s">
        <v>7092</v>
      </c>
      <c r="D2081" s="23" t="s">
        <v>3303</v>
      </c>
      <c r="E2081" s="23" t="s">
        <v>3317</v>
      </c>
      <c r="F2081" s="23" t="s">
        <v>3729</v>
      </c>
      <c r="G2081" s="93">
        <v>3</v>
      </c>
      <c r="H2081" s="93">
        <v>1</v>
      </c>
      <c r="I2081" s="23"/>
      <c r="J2081" s="23"/>
      <c r="K2081" s="23"/>
      <c r="L2081" s="23" t="s">
        <v>6880</v>
      </c>
      <c r="M2081" s="23" t="s">
        <v>3694</v>
      </c>
    </row>
    <row r="2082" spans="2:13" ht="15" customHeight="1" x14ac:dyDescent="0.25">
      <c r="B2082" s="35" t="s">
        <v>7093</v>
      </c>
      <c r="C2082" s="23" t="s">
        <v>7094</v>
      </c>
      <c r="D2082" s="23" t="s">
        <v>3303</v>
      </c>
      <c r="E2082" s="23" t="s">
        <v>3317</v>
      </c>
      <c r="F2082" s="23" t="s">
        <v>3729</v>
      </c>
      <c r="G2082" s="93">
        <v>3</v>
      </c>
      <c r="H2082" s="93">
        <v>1</v>
      </c>
      <c r="I2082" s="23"/>
      <c r="J2082" s="23"/>
      <c r="K2082" s="23"/>
      <c r="L2082" s="23" t="s">
        <v>6880</v>
      </c>
      <c r="M2082" s="23" t="s">
        <v>3694</v>
      </c>
    </row>
    <row r="2083" spans="2:13" ht="15" customHeight="1" x14ac:dyDescent="0.25">
      <c r="B2083" s="35" t="s">
        <v>7095</v>
      </c>
      <c r="C2083" s="23" t="s">
        <v>7096</v>
      </c>
      <c r="D2083" s="23" t="s">
        <v>3303</v>
      </c>
      <c r="E2083" s="23" t="s">
        <v>3317</v>
      </c>
      <c r="F2083" s="23" t="s">
        <v>3729</v>
      </c>
      <c r="G2083" s="93">
        <v>3</v>
      </c>
      <c r="H2083" s="93">
        <v>1</v>
      </c>
      <c r="I2083" s="23"/>
      <c r="J2083" s="23"/>
      <c r="K2083" s="23"/>
      <c r="L2083" s="23" t="s">
        <v>6880</v>
      </c>
      <c r="M2083" s="23" t="s">
        <v>3694</v>
      </c>
    </row>
    <row r="2084" spans="2:13" ht="15" customHeight="1" x14ac:dyDescent="0.25">
      <c r="B2084" s="35" t="s">
        <v>7097</v>
      </c>
      <c r="C2084" s="23" t="s">
        <v>7098</v>
      </c>
      <c r="D2084" s="23" t="s">
        <v>3303</v>
      </c>
      <c r="E2084" s="23" t="s">
        <v>3317</v>
      </c>
      <c r="F2084" s="23" t="s">
        <v>3729</v>
      </c>
      <c r="G2084" s="93">
        <v>3</v>
      </c>
      <c r="H2084" s="93">
        <v>1</v>
      </c>
      <c r="I2084" s="23"/>
      <c r="J2084" s="23"/>
      <c r="K2084" s="23"/>
      <c r="L2084" s="23" t="s">
        <v>6880</v>
      </c>
      <c r="M2084" s="23" t="s">
        <v>3694</v>
      </c>
    </row>
    <row r="2085" spans="2:13" ht="15" customHeight="1" x14ac:dyDescent="0.25">
      <c r="B2085" s="35" t="s">
        <v>7099</v>
      </c>
      <c r="C2085" s="23" t="s">
        <v>7100</v>
      </c>
      <c r="D2085" s="23" t="s">
        <v>3303</v>
      </c>
      <c r="E2085" s="23" t="s">
        <v>3317</v>
      </c>
      <c r="F2085" s="23" t="s">
        <v>3729</v>
      </c>
      <c r="G2085" s="93">
        <v>3</v>
      </c>
      <c r="H2085" s="93">
        <v>1</v>
      </c>
      <c r="I2085" s="23"/>
      <c r="J2085" s="23"/>
      <c r="K2085" s="23"/>
      <c r="L2085" s="23" t="s">
        <v>6880</v>
      </c>
      <c r="M2085" s="23" t="s">
        <v>3694</v>
      </c>
    </row>
    <row r="2086" spans="2:13" ht="15" customHeight="1" x14ac:dyDescent="0.25">
      <c r="B2086" s="35" t="s">
        <v>7101</v>
      </c>
      <c r="C2086" s="23" t="s">
        <v>7102</v>
      </c>
      <c r="D2086" s="23" t="s">
        <v>3303</v>
      </c>
      <c r="E2086" s="23" t="s">
        <v>3317</v>
      </c>
      <c r="F2086" s="23" t="s">
        <v>3729</v>
      </c>
      <c r="G2086" s="93">
        <v>3</v>
      </c>
      <c r="H2086" s="93">
        <v>1</v>
      </c>
      <c r="I2086" s="23"/>
      <c r="J2086" s="23"/>
      <c r="K2086" s="23"/>
      <c r="L2086" s="23" t="s">
        <v>6880</v>
      </c>
      <c r="M2086" s="23" t="s">
        <v>3694</v>
      </c>
    </row>
    <row r="2087" spans="2:13" ht="15" customHeight="1" x14ac:dyDescent="0.25">
      <c r="B2087" s="35" t="s">
        <v>7103</v>
      </c>
      <c r="C2087" s="23" t="s">
        <v>7104</v>
      </c>
      <c r="D2087" s="23" t="s">
        <v>3303</v>
      </c>
      <c r="E2087" s="23" t="s">
        <v>3317</v>
      </c>
      <c r="F2087" s="23" t="s">
        <v>3729</v>
      </c>
      <c r="G2087" s="93">
        <v>3</v>
      </c>
      <c r="H2087" s="93">
        <v>1</v>
      </c>
      <c r="I2087" s="23"/>
      <c r="J2087" s="23"/>
      <c r="K2087" s="23"/>
      <c r="L2087" s="23" t="s">
        <v>6880</v>
      </c>
      <c r="M2087" s="23" t="s">
        <v>3694</v>
      </c>
    </row>
    <row r="2088" spans="2:13" ht="15" customHeight="1" x14ac:dyDescent="0.25">
      <c r="B2088" s="35" t="s">
        <v>7105</v>
      </c>
      <c r="C2088" s="23" t="s">
        <v>7106</v>
      </c>
      <c r="D2088" s="23" t="s">
        <v>3303</v>
      </c>
      <c r="E2088" s="23" t="s">
        <v>3317</v>
      </c>
      <c r="F2088" s="23" t="s">
        <v>3729</v>
      </c>
      <c r="G2088" s="93">
        <v>3</v>
      </c>
      <c r="H2088" s="93">
        <v>1</v>
      </c>
      <c r="I2088" s="23"/>
      <c r="J2088" s="23"/>
      <c r="K2088" s="23"/>
      <c r="L2088" s="23" t="s">
        <v>6880</v>
      </c>
      <c r="M2088" s="23" t="s">
        <v>3694</v>
      </c>
    </row>
    <row r="2089" spans="2:13" ht="15" customHeight="1" x14ac:dyDescent="0.25">
      <c r="B2089" s="35" t="s">
        <v>7107</v>
      </c>
      <c r="C2089" s="23" t="s">
        <v>7108</v>
      </c>
      <c r="D2089" s="23" t="s">
        <v>3303</v>
      </c>
      <c r="E2089" s="23" t="s">
        <v>3317</v>
      </c>
      <c r="F2089" s="23" t="s">
        <v>3729</v>
      </c>
      <c r="G2089" s="93">
        <v>3</v>
      </c>
      <c r="H2089" s="93">
        <v>1</v>
      </c>
      <c r="I2089" s="23"/>
      <c r="J2089" s="23"/>
      <c r="K2089" s="23"/>
      <c r="L2089" s="23" t="s">
        <v>6880</v>
      </c>
      <c r="M2089" s="23" t="s">
        <v>3694</v>
      </c>
    </row>
    <row r="2090" spans="2:13" ht="15" customHeight="1" x14ac:dyDescent="0.25">
      <c r="B2090" s="35" t="s">
        <v>7109</v>
      </c>
      <c r="C2090" s="23" t="s">
        <v>7110</v>
      </c>
      <c r="D2090" s="23" t="s">
        <v>3303</v>
      </c>
      <c r="E2090" s="23" t="s">
        <v>3317</v>
      </c>
      <c r="F2090" s="23" t="s">
        <v>3729</v>
      </c>
      <c r="G2090" s="93">
        <v>3</v>
      </c>
      <c r="H2090" s="93">
        <v>1</v>
      </c>
      <c r="I2090" s="23"/>
      <c r="J2090" s="23"/>
      <c r="K2090" s="23"/>
      <c r="L2090" s="23" t="s">
        <v>6880</v>
      </c>
      <c r="M2090" s="23" t="s">
        <v>3694</v>
      </c>
    </row>
    <row r="2091" spans="2:13" ht="15" customHeight="1" x14ac:dyDescent="0.25">
      <c r="B2091" s="35" t="s">
        <v>7111</v>
      </c>
      <c r="C2091" s="23" t="s">
        <v>7112</v>
      </c>
      <c r="D2091" s="23" t="s">
        <v>3303</v>
      </c>
      <c r="E2091" s="23" t="s">
        <v>3317</v>
      </c>
      <c r="F2091" s="23" t="s">
        <v>3729</v>
      </c>
      <c r="G2091" s="93">
        <v>3</v>
      </c>
      <c r="H2091" s="93">
        <v>1</v>
      </c>
      <c r="I2091" s="23"/>
      <c r="J2091" s="23"/>
      <c r="K2091" s="23"/>
      <c r="L2091" s="23" t="s">
        <v>6880</v>
      </c>
      <c r="M2091" s="23" t="s">
        <v>3694</v>
      </c>
    </row>
    <row r="2092" spans="2:13" ht="15" customHeight="1" x14ac:dyDescent="0.25">
      <c r="B2092" s="35" t="s">
        <v>7113</v>
      </c>
      <c r="C2092" s="23" t="s">
        <v>7114</v>
      </c>
      <c r="D2092" s="23" t="s">
        <v>3303</v>
      </c>
      <c r="E2092" s="23" t="s">
        <v>3317</v>
      </c>
      <c r="F2092" s="23" t="s">
        <v>3729</v>
      </c>
      <c r="G2092" s="93">
        <v>3</v>
      </c>
      <c r="H2092" s="93">
        <v>1</v>
      </c>
      <c r="I2092" s="23"/>
      <c r="J2092" s="23"/>
      <c r="K2092" s="23"/>
      <c r="L2092" s="23" t="s">
        <v>6880</v>
      </c>
      <c r="M2092" s="23" t="s">
        <v>3694</v>
      </c>
    </row>
    <row r="2093" spans="2:13" ht="15" customHeight="1" x14ac:dyDescent="0.25">
      <c r="B2093" s="35" t="s">
        <v>7115</v>
      </c>
      <c r="C2093" s="23" t="s">
        <v>7116</v>
      </c>
      <c r="D2093" s="23" t="s">
        <v>3303</v>
      </c>
      <c r="E2093" s="23" t="s">
        <v>3317</v>
      </c>
      <c r="F2093" s="23" t="s">
        <v>3729</v>
      </c>
      <c r="G2093" s="93">
        <v>3</v>
      </c>
      <c r="H2093" s="93">
        <v>1</v>
      </c>
      <c r="I2093" s="23"/>
      <c r="J2093" s="23"/>
      <c r="K2093" s="23"/>
      <c r="L2093" s="23" t="s">
        <v>6880</v>
      </c>
      <c r="M2093" s="23" t="s">
        <v>3694</v>
      </c>
    </row>
    <row r="2094" spans="2:13" ht="15" customHeight="1" x14ac:dyDescent="0.25">
      <c r="B2094" s="35" t="s">
        <v>7117</v>
      </c>
      <c r="C2094" s="23" t="s">
        <v>7118</v>
      </c>
      <c r="D2094" s="23" t="s">
        <v>3303</v>
      </c>
      <c r="E2094" s="23" t="s">
        <v>3317</v>
      </c>
      <c r="F2094" s="23" t="s">
        <v>3729</v>
      </c>
      <c r="G2094" s="93">
        <v>3</v>
      </c>
      <c r="H2094" s="93">
        <v>1</v>
      </c>
      <c r="I2094" s="23"/>
      <c r="J2094" s="23"/>
      <c r="K2094" s="23"/>
      <c r="L2094" s="23" t="s">
        <v>6880</v>
      </c>
      <c r="M2094" s="23" t="s">
        <v>3694</v>
      </c>
    </row>
    <row r="2095" spans="2:13" ht="15" customHeight="1" x14ac:dyDescent="0.25">
      <c r="B2095" s="35" t="s">
        <v>7119</v>
      </c>
      <c r="C2095" s="23" t="s">
        <v>7120</v>
      </c>
      <c r="D2095" s="23" t="s">
        <v>3303</v>
      </c>
      <c r="E2095" s="23" t="s">
        <v>3317</v>
      </c>
      <c r="F2095" s="23" t="s">
        <v>3729</v>
      </c>
      <c r="G2095" s="93">
        <v>3</v>
      </c>
      <c r="H2095" s="93">
        <v>1</v>
      </c>
      <c r="I2095" s="23"/>
      <c r="J2095" s="23"/>
      <c r="K2095" s="23"/>
      <c r="L2095" s="23" t="s">
        <v>6880</v>
      </c>
      <c r="M2095" s="23" t="s">
        <v>3694</v>
      </c>
    </row>
    <row r="2096" spans="2:13" ht="15" customHeight="1" x14ac:dyDescent="0.25">
      <c r="B2096" s="35" t="s">
        <v>7121</v>
      </c>
      <c r="C2096" s="23" t="s">
        <v>7122</v>
      </c>
      <c r="D2096" s="23" t="s">
        <v>3303</v>
      </c>
      <c r="E2096" s="23" t="s">
        <v>3317</v>
      </c>
      <c r="F2096" s="23" t="s">
        <v>3729</v>
      </c>
      <c r="G2096" s="93">
        <v>3</v>
      </c>
      <c r="H2096" s="93">
        <v>1</v>
      </c>
      <c r="I2096" s="23"/>
      <c r="J2096" s="23"/>
      <c r="K2096" s="23"/>
      <c r="L2096" s="23" t="s">
        <v>6880</v>
      </c>
      <c r="M2096" s="23" t="s">
        <v>3694</v>
      </c>
    </row>
    <row r="2097" spans="2:13" ht="15" customHeight="1" x14ac:dyDescent="0.25">
      <c r="B2097" s="35" t="s">
        <v>7123</v>
      </c>
      <c r="C2097" s="23" t="s">
        <v>7124</v>
      </c>
      <c r="D2097" s="23" t="s">
        <v>3303</v>
      </c>
      <c r="E2097" s="23" t="s">
        <v>3317</v>
      </c>
      <c r="F2097" s="23" t="s">
        <v>3729</v>
      </c>
      <c r="G2097" s="93">
        <v>3</v>
      </c>
      <c r="H2097" s="93">
        <v>1</v>
      </c>
      <c r="I2097" s="23"/>
      <c r="J2097" s="23"/>
      <c r="K2097" s="23"/>
      <c r="L2097" s="23" t="s">
        <v>6880</v>
      </c>
      <c r="M2097" s="23" t="s">
        <v>3694</v>
      </c>
    </row>
    <row r="2098" spans="2:13" ht="15" customHeight="1" x14ac:dyDescent="0.25">
      <c r="B2098" s="35" t="s">
        <v>7125</v>
      </c>
      <c r="C2098" s="23" t="s">
        <v>7126</v>
      </c>
      <c r="D2098" s="23" t="s">
        <v>3303</v>
      </c>
      <c r="E2098" s="23" t="s">
        <v>3317</v>
      </c>
      <c r="F2098" s="23" t="s">
        <v>3729</v>
      </c>
      <c r="G2098" s="93">
        <v>3</v>
      </c>
      <c r="H2098" s="93">
        <v>1</v>
      </c>
      <c r="I2098" s="23"/>
      <c r="J2098" s="23"/>
      <c r="K2098" s="23"/>
      <c r="L2098" s="23" t="s">
        <v>6880</v>
      </c>
      <c r="M2098" s="23" t="s">
        <v>3694</v>
      </c>
    </row>
    <row r="2099" spans="2:13" ht="15" customHeight="1" x14ac:dyDescent="0.25">
      <c r="B2099" s="35" t="s">
        <v>7127</v>
      </c>
      <c r="C2099" s="23" t="s">
        <v>7128</v>
      </c>
      <c r="D2099" s="23" t="s">
        <v>3303</v>
      </c>
      <c r="E2099" s="23" t="s">
        <v>3317</v>
      </c>
      <c r="F2099" s="23" t="s">
        <v>3729</v>
      </c>
      <c r="G2099" s="93">
        <v>3</v>
      </c>
      <c r="H2099" s="93">
        <v>1</v>
      </c>
      <c r="I2099" s="23"/>
      <c r="J2099" s="23"/>
      <c r="K2099" s="23"/>
      <c r="L2099" s="23" t="s">
        <v>6880</v>
      </c>
      <c r="M2099" s="23" t="s">
        <v>3694</v>
      </c>
    </row>
    <row r="2100" spans="2:13" ht="15" customHeight="1" x14ac:dyDescent="0.25">
      <c r="B2100" s="35" t="s">
        <v>7129</v>
      </c>
      <c r="C2100" s="23" t="s">
        <v>7130</v>
      </c>
      <c r="D2100" s="23" t="s">
        <v>3303</v>
      </c>
      <c r="E2100" s="23" t="s">
        <v>3317</v>
      </c>
      <c r="F2100" s="23" t="s">
        <v>3729</v>
      </c>
      <c r="G2100" s="93">
        <v>3</v>
      </c>
      <c r="H2100" s="93">
        <v>1</v>
      </c>
      <c r="I2100" s="23"/>
      <c r="J2100" s="23"/>
      <c r="K2100" s="23"/>
      <c r="L2100" s="23" t="s">
        <v>6880</v>
      </c>
      <c r="M2100" s="23" t="s">
        <v>3694</v>
      </c>
    </row>
    <row r="2101" spans="2:13" ht="15" customHeight="1" x14ac:dyDescent="0.25">
      <c r="B2101" s="35" t="s">
        <v>7131</v>
      </c>
      <c r="C2101" s="23" t="s">
        <v>7132</v>
      </c>
      <c r="D2101" s="23" t="s">
        <v>3303</v>
      </c>
      <c r="E2101" s="23" t="s">
        <v>3317</v>
      </c>
      <c r="F2101" s="23" t="s">
        <v>3729</v>
      </c>
      <c r="G2101" s="93">
        <v>3</v>
      </c>
      <c r="H2101" s="93">
        <v>1</v>
      </c>
      <c r="I2101" s="23"/>
      <c r="J2101" s="23"/>
      <c r="K2101" s="23"/>
      <c r="L2101" s="23" t="s">
        <v>6880</v>
      </c>
      <c r="M2101" s="23" t="s">
        <v>3694</v>
      </c>
    </row>
    <row r="2102" spans="2:13" ht="15" customHeight="1" x14ac:dyDescent="0.25">
      <c r="B2102" s="35" t="s">
        <v>7133</v>
      </c>
      <c r="C2102" s="23" t="s">
        <v>7134</v>
      </c>
      <c r="D2102" s="23" t="s">
        <v>3303</v>
      </c>
      <c r="E2102" s="23" t="s">
        <v>3317</v>
      </c>
      <c r="F2102" s="23" t="s">
        <v>3729</v>
      </c>
      <c r="G2102" s="93">
        <v>3</v>
      </c>
      <c r="H2102" s="93">
        <v>1</v>
      </c>
      <c r="I2102" s="23"/>
      <c r="J2102" s="23"/>
      <c r="K2102" s="23"/>
      <c r="L2102" s="23" t="s">
        <v>6880</v>
      </c>
      <c r="M2102" s="23" t="s">
        <v>3694</v>
      </c>
    </row>
    <row r="2103" spans="2:13" ht="15" customHeight="1" x14ac:dyDescent="0.25">
      <c r="B2103" s="35" t="s">
        <v>7135</v>
      </c>
      <c r="C2103" s="23" t="s">
        <v>7136</v>
      </c>
      <c r="D2103" s="23" t="s">
        <v>3303</v>
      </c>
      <c r="E2103" s="23" t="s">
        <v>3317</v>
      </c>
      <c r="F2103" s="23" t="s">
        <v>3729</v>
      </c>
      <c r="G2103" s="93">
        <v>3</v>
      </c>
      <c r="H2103" s="93">
        <v>1</v>
      </c>
      <c r="I2103" s="23"/>
      <c r="J2103" s="23"/>
      <c r="K2103" s="23"/>
      <c r="L2103" s="23" t="s">
        <v>6880</v>
      </c>
      <c r="M2103" s="23" t="s">
        <v>3694</v>
      </c>
    </row>
    <row r="2104" spans="2:13" ht="15" customHeight="1" x14ac:dyDescent="0.25">
      <c r="B2104" s="35" t="s">
        <v>7137</v>
      </c>
      <c r="C2104" s="23" t="s">
        <v>7138</v>
      </c>
      <c r="D2104" s="23" t="s">
        <v>3303</v>
      </c>
      <c r="E2104" s="23" t="s">
        <v>3317</v>
      </c>
      <c r="F2104" s="23" t="s">
        <v>3729</v>
      </c>
      <c r="G2104" s="93">
        <v>3</v>
      </c>
      <c r="H2104" s="93">
        <v>1</v>
      </c>
      <c r="I2104" s="23"/>
      <c r="J2104" s="23"/>
      <c r="K2104" s="23"/>
      <c r="L2104" s="23" t="s">
        <v>6880</v>
      </c>
      <c r="M2104" s="23" t="s">
        <v>3694</v>
      </c>
    </row>
    <row r="2105" spans="2:13" ht="15" customHeight="1" x14ac:dyDescent="0.25">
      <c r="B2105" s="35" t="s">
        <v>7139</v>
      </c>
      <c r="C2105" s="23" t="s">
        <v>7140</v>
      </c>
      <c r="D2105" s="23" t="s">
        <v>3303</v>
      </c>
      <c r="E2105" s="23" t="s">
        <v>3317</v>
      </c>
      <c r="F2105" s="23" t="s">
        <v>3729</v>
      </c>
      <c r="G2105" s="93">
        <v>3</v>
      </c>
      <c r="H2105" s="93">
        <v>1</v>
      </c>
      <c r="I2105" s="23"/>
      <c r="J2105" s="23"/>
      <c r="K2105" s="23"/>
      <c r="L2105" s="23" t="s">
        <v>6880</v>
      </c>
      <c r="M2105" s="23" t="s">
        <v>3694</v>
      </c>
    </row>
    <row r="2106" spans="2:13" ht="15" customHeight="1" x14ac:dyDescent="0.25">
      <c r="B2106" s="35" t="s">
        <v>7141</v>
      </c>
      <c r="C2106" s="23" t="s">
        <v>7142</v>
      </c>
      <c r="D2106" s="23" t="s">
        <v>3303</v>
      </c>
      <c r="E2106" s="23" t="s">
        <v>3317</v>
      </c>
      <c r="F2106" s="23" t="s">
        <v>3729</v>
      </c>
      <c r="G2106" s="93">
        <v>3</v>
      </c>
      <c r="H2106" s="93">
        <v>1</v>
      </c>
      <c r="I2106" s="23"/>
      <c r="J2106" s="23"/>
      <c r="K2106" s="23"/>
      <c r="L2106" s="23" t="s">
        <v>6880</v>
      </c>
      <c r="M2106" s="23" t="s">
        <v>3694</v>
      </c>
    </row>
    <row r="2107" spans="2:13" ht="15" customHeight="1" x14ac:dyDescent="0.25">
      <c r="B2107" s="35" t="s">
        <v>7143</v>
      </c>
      <c r="C2107" s="23" t="s">
        <v>7144</v>
      </c>
      <c r="D2107" s="23" t="s">
        <v>3303</v>
      </c>
      <c r="E2107" s="23" t="s">
        <v>3317</v>
      </c>
      <c r="F2107" s="23" t="s">
        <v>3729</v>
      </c>
      <c r="G2107" s="93">
        <v>3</v>
      </c>
      <c r="H2107" s="93">
        <v>1</v>
      </c>
      <c r="I2107" s="23"/>
      <c r="J2107" s="23"/>
      <c r="K2107" s="23"/>
      <c r="L2107" s="23" t="s">
        <v>6880</v>
      </c>
      <c r="M2107" s="23" t="s">
        <v>3694</v>
      </c>
    </row>
    <row r="2108" spans="2:13" ht="15" customHeight="1" x14ac:dyDescent="0.25">
      <c r="B2108" s="35" t="s">
        <v>7145</v>
      </c>
      <c r="C2108" s="23" t="s">
        <v>7146</v>
      </c>
      <c r="D2108" s="23" t="s">
        <v>3303</v>
      </c>
      <c r="E2108" s="23" t="s">
        <v>3317</v>
      </c>
      <c r="F2108" s="23" t="s">
        <v>3729</v>
      </c>
      <c r="G2108" s="93">
        <v>3</v>
      </c>
      <c r="H2108" s="93">
        <v>1</v>
      </c>
      <c r="I2108" s="23"/>
      <c r="J2108" s="23"/>
      <c r="K2108" s="23"/>
      <c r="L2108" s="23" t="s">
        <v>6880</v>
      </c>
      <c r="M2108" s="23" t="s">
        <v>3694</v>
      </c>
    </row>
    <row r="2109" spans="2:13" ht="15" customHeight="1" x14ac:dyDescent="0.25">
      <c r="B2109" s="35" t="s">
        <v>7147</v>
      </c>
      <c r="C2109" s="23" t="s">
        <v>7148</v>
      </c>
      <c r="D2109" s="23" t="s">
        <v>3303</v>
      </c>
      <c r="E2109" s="23" t="s">
        <v>3317</v>
      </c>
      <c r="F2109" s="23" t="s">
        <v>3729</v>
      </c>
      <c r="G2109" s="93">
        <v>3</v>
      </c>
      <c r="H2109" s="93">
        <v>1</v>
      </c>
      <c r="I2109" s="23"/>
      <c r="J2109" s="23"/>
      <c r="K2109" s="23"/>
      <c r="L2109" s="23" t="s">
        <v>6880</v>
      </c>
      <c r="M2109" s="23" t="s">
        <v>3694</v>
      </c>
    </row>
    <row r="2110" spans="2:13" ht="15" customHeight="1" x14ac:dyDescent="0.25">
      <c r="B2110" s="35" t="s">
        <v>7149</v>
      </c>
      <c r="C2110" s="23" t="s">
        <v>7150</v>
      </c>
      <c r="D2110" s="23" t="s">
        <v>3303</v>
      </c>
      <c r="E2110" s="23" t="s">
        <v>3317</v>
      </c>
      <c r="F2110" s="23" t="s">
        <v>3729</v>
      </c>
      <c r="G2110" s="93">
        <v>3</v>
      </c>
      <c r="H2110" s="93">
        <v>1</v>
      </c>
      <c r="I2110" s="23"/>
      <c r="J2110" s="23"/>
      <c r="K2110" s="23"/>
      <c r="L2110" s="23" t="s">
        <v>6880</v>
      </c>
      <c r="M2110" s="23" t="s">
        <v>3694</v>
      </c>
    </row>
    <row r="2111" spans="2:13" ht="15" customHeight="1" x14ac:dyDescent="0.25">
      <c r="B2111" s="35" t="s">
        <v>7151</v>
      </c>
      <c r="C2111" s="23" t="s">
        <v>7152</v>
      </c>
      <c r="D2111" s="23" t="s">
        <v>3303</v>
      </c>
      <c r="E2111" s="23" t="s">
        <v>3317</v>
      </c>
      <c r="F2111" s="23" t="s">
        <v>3729</v>
      </c>
      <c r="G2111" s="93">
        <v>3</v>
      </c>
      <c r="H2111" s="93">
        <v>1</v>
      </c>
      <c r="I2111" s="23"/>
      <c r="J2111" s="23"/>
      <c r="K2111" s="23"/>
      <c r="L2111" s="23" t="s">
        <v>6880</v>
      </c>
      <c r="M2111" s="23" t="s">
        <v>3694</v>
      </c>
    </row>
    <row r="2112" spans="2:13" ht="15" customHeight="1" x14ac:dyDescent="0.25">
      <c r="B2112" s="35" t="s">
        <v>7153</v>
      </c>
      <c r="C2112" s="23" t="s">
        <v>7154</v>
      </c>
      <c r="D2112" s="23" t="s">
        <v>3303</v>
      </c>
      <c r="E2112" s="23" t="s">
        <v>3317</v>
      </c>
      <c r="F2112" s="23" t="s">
        <v>3729</v>
      </c>
      <c r="G2112" s="93">
        <v>3</v>
      </c>
      <c r="H2112" s="93">
        <v>1</v>
      </c>
      <c r="I2112" s="23"/>
      <c r="J2112" s="23"/>
      <c r="K2112" s="23"/>
      <c r="L2112" s="23" t="s">
        <v>6880</v>
      </c>
      <c r="M2112" s="23" t="s">
        <v>3694</v>
      </c>
    </row>
    <row r="2113" spans="2:13" ht="15" customHeight="1" x14ac:dyDescent="0.25">
      <c r="B2113" s="35" t="s">
        <v>7155</v>
      </c>
      <c r="C2113" s="23" t="s">
        <v>7156</v>
      </c>
      <c r="D2113" s="23" t="s">
        <v>3303</v>
      </c>
      <c r="E2113" s="23" t="s">
        <v>3317</v>
      </c>
      <c r="F2113" s="23" t="s">
        <v>3729</v>
      </c>
      <c r="G2113" s="93">
        <v>3</v>
      </c>
      <c r="H2113" s="93">
        <v>1</v>
      </c>
      <c r="I2113" s="23"/>
      <c r="J2113" s="23"/>
      <c r="K2113" s="23"/>
      <c r="L2113" s="23" t="s">
        <v>6880</v>
      </c>
      <c r="M2113" s="23" t="s">
        <v>3694</v>
      </c>
    </row>
    <row r="2114" spans="2:13" ht="15" customHeight="1" x14ac:dyDescent="0.25">
      <c r="B2114" s="35" t="s">
        <v>7157</v>
      </c>
      <c r="C2114" s="23" t="s">
        <v>7158</v>
      </c>
      <c r="D2114" s="23" t="s">
        <v>3303</v>
      </c>
      <c r="E2114" s="23" t="s">
        <v>3317</v>
      </c>
      <c r="F2114" s="23" t="s">
        <v>3729</v>
      </c>
      <c r="G2114" s="93">
        <v>3</v>
      </c>
      <c r="H2114" s="93">
        <v>1</v>
      </c>
      <c r="I2114" s="23"/>
      <c r="J2114" s="23"/>
      <c r="K2114" s="23"/>
      <c r="L2114" s="23" t="s">
        <v>6880</v>
      </c>
      <c r="M2114" s="23" t="s">
        <v>3694</v>
      </c>
    </row>
    <row r="2115" spans="2:13" ht="15" customHeight="1" x14ac:dyDescent="0.25">
      <c r="B2115" s="35" t="s">
        <v>7159</v>
      </c>
      <c r="C2115" s="23" t="s">
        <v>7160</v>
      </c>
      <c r="D2115" s="23" t="s">
        <v>3303</v>
      </c>
      <c r="E2115" s="23" t="s">
        <v>3317</v>
      </c>
      <c r="F2115" s="23" t="s">
        <v>3729</v>
      </c>
      <c r="G2115" s="93">
        <v>3</v>
      </c>
      <c r="H2115" s="93">
        <v>1</v>
      </c>
      <c r="I2115" s="23"/>
      <c r="J2115" s="23"/>
      <c r="K2115" s="23"/>
      <c r="L2115" s="23" t="s">
        <v>6880</v>
      </c>
      <c r="M2115" s="23" t="s">
        <v>3694</v>
      </c>
    </row>
    <row r="2116" spans="2:13" ht="15" customHeight="1" x14ac:dyDescent="0.25">
      <c r="B2116" s="35" t="s">
        <v>7161</v>
      </c>
      <c r="C2116" s="23" t="s">
        <v>7162</v>
      </c>
      <c r="D2116" s="23" t="s">
        <v>3303</v>
      </c>
      <c r="E2116" s="23" t="s">
        <v>3317</v>
      </c>
      <c r="F2116" s="23" t="s">
        <v>3729</v>
      </c>
      <c r="G2116" s="93">
        <v>3</v>
      </c>
      <c r="H2116" s="93">
        <v>1</v>
      </c>
      <c r="I2116" s="23"/>
      <c r="J2116" s="23"/>
      <c r="K2116" s="23"/>
      <c r="L2116" s="23" t="s">
        <v>6880</v>
      </c>
      <c r="M2116" s="23" t="s">
        <v>3694</v>
      </c>
    </row>
    <row r="2117" spans="2:13" ht="15" customHeight="1" x14ac:dyDescent="0.25">
      <c r="B2117" s="35" t="s">
        <v>7163</v>
      </c>
      <c r="C2117" s="23" t="s">
        <v>7164</v>
      </c>
      <c r="D2117" s="23" t="s">
        <v>3303</v>
      </c>
      <c r="E2117" s="23" t="s">
        <v>3317</v>
      </c>
      <c r="F2117" s="23" t="s">
        <v>3729</v>
      </c>
      <c r="G2117" s="93">
        <v>3</v>
      </c>
      <c r="H2117" s="93">
        <v>1</v>
      </c>
      <c r="I2117" s="23"/>
      <c r="J2117" s="23"/>
      <c r="K2117" s="23"/>
      <c r="L2117" s="23" t="s">
        <v>6880</v>
      </c>
      <c r="M2117" s="23" t="s">
        <v>3694</v>
      </c>
    </row>
    <row r="2118" spans="2:13" ht="15" customHeight="1" x14ac:dyDescent="0.25">
      <c r="B2118" s="35" t="s">
        <v>7165</v>
      </c>
      <c r="C2118" s="23" t="s">
        <v>7166</v>
      </c>
      <c r="D2118" s="23" t="s">
        <v>3303</v>
      </c>
      <c r="E2118" s="23" t="s">
        <v>3317</v>
      </c>
      <c r="F2118" s="23" t="s">
        <v>3729</v>
      </c>
      <c r="G2118" s="93">
        <v>3</v>
      </c>
      <c r="H2118" s="93">
        <v>1</v>
      </c>
      <c r="I2118" s="23"/>
      <c r="J2118" s="23"/>
      <c r="K2118" s="23"/>
      <c r="L2118" s="23" t="s">
        <v>6880</v>
      </c>
      <c r="M2118" s="23" t="s">
        <v>3694</v>
      </c>
    </row>
    <row r="2119" spans="2:13" ht="15" customHeight="1" x14ac:dyDescent="0.25">
      <c r="B2119" s="35" t="s">
        <v>7167</v>
      </c>
      <c r="C2119" s="23" t="s">
        <v>7168</v>
      </c>
      <c r="D2119" s="23" t="s">
        <v>3303</v>
      </c>
      <c r="E2119" s="23" t="s">
        <v>3317</v>
      </c>
      <c r="F2119" s="23" t="s">
        <v>3729</v>
      </c>
      <c r="G2119" s="93">
        <v>3</v>
      </c>
      <c r="H2119" s="93">
        <v>1</v>
      </c>
      <c r="I2119" s="23"/>
      <c r="J2119" s="23"/>
      <c r="K2119" s="23"/>
      <c r="L2119" s="23" t="s">
        <v>6880</v>
      </c>
      <c r="M2119" s="23" t="s">
        <v>3694</v>
      </c>
    </row>
    <row r="2120" spans="2:13" ht="15" customHeight="1" x14ac:dyDescent="0.25">
      <c r="B2120" s="35" t="s">
        <v>7169</v>
      </c>
      <c r="C2120" s="23" t="s">
        <v>7170</v>
      </c>
      <c r="D2120" s="23" t="s">
        <v>3303</v>
      </c>
      <c r="E2120" s="23" t="s">
        <v>3317</v>
      </c>
      <c r="F2120" s="23" t="s">
        <v>3729</v>
      </c>
      <c r="G2120" s="93">
        <v>3</v>
      </c>
      <c r="H2120" s="93">
        <v>1</v>
      </c>
      <c r="I2120" s="23"/>
      <c r="J2120" s="23"/>
      <c r="K2120" s="23"/>
      <c r="L2120" s="23" t="s">
        <v>6880</v>
      </c>
      <c r="M2120" s="23" t="s">
        <v>3694</v>
      </c>
    </row>
    <row r="2121" spans="2:13" ht="15" customHeight="1" x14ac:dyDescent="0.25">
      <c r="B2121" s="35" t="s">
        <v>7171</v>
      </c>
      <c r="C2121" s="23" t="s">
        <v>7172</v>
      </c>
      <c r="D2121" s="23" t="s">
        <v>3303</v>
      </c>
      <c r="E2121" s="23" t="s">
        <v>3317</v>
      </c>
      <c r="F2121" s="23" t="s">
        <v>3729</v>
      </c>
      <c r="G2121" s="93">
        <v>3</v>
      </c>
      <c r="H2121" s="93">
        <v>1</v>
      </c>
      <c r="I2121" s="23"/>
      <c r="J2121" s="23"/>
      <c r="K2121" s="23"/>
      <c r="L2121" s="23" t="s">
        <v>6880</v>
      </c>
      <c r="M2121" s="23" t="s">
        <v>3694</v>
      </c>
    </row>
    <row r="2122" spans="2:13" ht="15" customHeight="1" x14ac:dyDescent="0.25">
      <c r="B2122" s="35" t="s">
        <v>7173</v>
      </c>
      <c r="C2122" s="23" t="s">
        <v>7174</v>
      </c>
      <c r="D2122" s="23" t="s">
        <v>3303</v>
      </c>
      <c r="E2122" s="23" t="s">
        <v>3317</v>
      </c>
      <c r="F2122" s="23" t="s">
        <v>3729</v>
      </c>
      <c r="G2122" s="93">
        <v>3</v>
      </c>
      <c r="H2122" s="93">
        <v>1</v>
      </c>
      <c r="I2122" s="23"/>
      <c r="J2122" s="23"/>
      <c r="K2122" s="23"/>
      <c r="L2122" s="23" t="s">
        <v>6880</v>
      </c>
      <c r="M2122" s="23" t="s">
        <v>3694</v>
      </c>
    </row>
    <row r="2123" spans="2:13" ht="15" customHeight="1" x14ac:dyDescent="0.25">
      <c r="B2123" s="35" t="s">
        <v>7175</v>
      </c>
      <c r="C2123" s="23" t="s">
        <v>7176</v>
      </c>
      <c r="D2123" s="23" t="s">
        <v>3303</v>
      </c>
      <c r="E2123" s="23" t="s">
        <v>3317</v>
      </c>
      <c r="F2123" s="23" t="s">
        <v>3729</v>
      </c>
      <c r="G2123" s="93">
        <v>3</v>
      </c>
      <c r="H2123" s="93">
        <v>1</v>
      </c>
      <c r="I2123" s="23"/>
      <c r="J2123" s="23"/>
      <c r="K2123" s="23"/>
      <c r="L2123" s="23" t="s">
        <v>6880</v>
      </c>
      <c r="M2123" s="23" t="s">
        <v>3694</v>
      </c>
    </row>
    <row r="2124" spans="2:13" ht="15" customHeight="1" x14ac:dyDescent="0.25">
      <c r="B2124" s="35" t="s">
        <v>7177</v>
      </c>
      <c r="C2124" s="23" t="s">
        <v>7178</v>
      </c>
      <c r="D2124" s="23" t="s">
        <v>3303</v>
      </c>
      <c r="E2124" s="23" t="s">
        <v>3317</v>
      </c>
      <c r="F2124" s="23" t="s">
        <v>3729</v>
      </c>
      <c r="G2124" s="93">
        <v>3</v>
      </c>
      <c r="H2124" s="93">
        <v>1</v>
      </c>
      <c r="I2124" s="23"/>
      <c r="J2124" s="23"/>
      <c r="K2124" s="23"/>
      <c r="L2124" s="23" t="s">
        <v>6880</v>
      </c>
      <c r="M2124" s="23" t="s">
        <v>3694</v>
      </c>
    </row>
    <row r="2125" spans="2:13" ht="15" customHeight="1" x14ac:dyDescent="0.25">
      <c r="B2125" s="35" t="s">
        <v>7179</v>
      </c>
      <c r="C2125" s="23" t="s">
        <v>7180</v>
      </c>
      <c r="D2125" s="23" t="s">
        <v>3303</v>
      </c>
      <c r="E2125" s="23" t="s">
        <v>3317</v>
      </c>
      <c r="F2125" s="23" t="s">
        <v>3729</v>
      </c>
      <c r="G2125" s="93">
        <v>3</v>
      </c>
      <c r="H2125" s="93">
        <v>1</v>
      </c>
      <c r="I2125" s="23"/>
      <c r="J2125" s="23"/>
      <c r="K2125" s="23"/>
      <c r="L2125" s="23" t="s">
        <v>6880</v>
      </c>
      <c r="M2125" s="23" t="s">
        <v>3694</v>
      </c>
    </row>
    <row r="2126" spans="2:13" ht="15" customHeight="1" x14ac:dyDescent="0.25">
      <c r="B2126" s="35" t="s">
        <v>7181</v>
      </c>
      <c r="C2126" s="23" t="s">
        <v>7182</v>
      </c>
      <c r="D2126" s="23" t="s">
        <v>3303</v>
      </c>
      <c r="E2126" s="23" t="s">
        <v>3317</v>
      </c>
      <c r="F2126" s="23" t="s">
        <v>3729</v>
      </c>
      <c r="G2126" s="93">
        <v>3</v>
      </c>
      <c r="H2126" s="93">
        <v>1</v>
      </c>
      <c r="I2126" s="23"/>
      <c r="J2126" s="23"/>
      <c r="K2126" s="23"/>
      <c r="L2126" s="23" t="s">
        <v>6880</v>
      </c>
      <c r="M2126" s="23" t="s">
        <v>3694</v>
      </c>
    </row>
    <row r="2127" spans="2:13" ht="15" customHeight="1" x14ac:dyDescent="0.25">
      <c r="B2127" s="35" t="s">
        <v>7183</v>
      </c>
      <c r="C2127" s="23" t="s">
        <v>7184</v>
      </c>
      <c r="D2127" s="23" t="s">
        <v>3303</v>
      </c>
      <c r="E2127" s="23" t="s">
        <v>3317</v>
      </c>
      <c r="F2127" s="23" t="s">
        <v>3729</v>
      </c>
      <c r="G2127" s="93">
        <v>3</v>
      </c>
      <c r="H2127" s="93">
        <v>1</v>
      </c>
      <c r="I2127" s="23"/>
      <c r="J2127" s="23"/>
      <c r="K2127" s="23"/>
      <c r="L2127" s="23" t="s">
        <v>6880</v>
      </c>
      <c r="M2127" s="23" t="s">
        <v>3694</v>
      </c>
    </row>
    <row r="2128" spans="2:13" ht="15" customHeight="1" x14ac:dyDescent="0.25">
      <c r="B2128" s="35" t="s">
        <v>7185</v>
      </c>
      <c r="C2128" s="23" t="s">
        <v>7186</v>
      </c>
      <c r="D2128" s="23" t="s">
        <v>3303</v>
      </c>
      <c r="E2128" s="23" t="s">
        <v>3317</v>
      </c>
      <c r="F2128" s="23" t="s">
        <v>3729</v>
      </c>
      <c r="G2128" s="93">
        <v>3</v>
      </c>
      <c r="H2128" s="93">
        <v>1</v>
      </c>
      <c r="I2128" s="23"/>
      <c r="J2128" s="23"/>
      <c r="K2128" s="23"/>
      <c r="L2128" s="23" t="s">
        <v>6880</v>
      </c>
      <c r="M2128" s="23" t="s">
        <v>3694</v>
      </c>
    </row>
    <row r="2129" spans="2:13" ht="15" customHeight="1" x14ac:dyDescent="0.25">
      <c r="B2129" s="35" t="s">
        <v>7187</v>
      </c>
      <c r="C2129" s="23" t="s">
        <v>7188</v>
      </c>
      <c r="D2129" s="23" t="s">
        <v>3303</v>
      </c>
      <c r="E2129" s="23" t="s">
        <v>3317</v>
      </c>
      <c r="F2129" s="23" t="s">
        <v>3729</v>
      </c>
      <c r="G2129" s="93">
        <v>3</v>
      </c>
      <c r="H2129" s="93">
        <v>1</v>
      </c>
      <c r="I2129" s="23"/>
      <c r="J2129" s="23"/>
      <c r="K2129" s="23"/>
      <c r="L2129" s="23" t="s">
        <v>6880</v>
      </c>
      <c r="M2129" s="23" t="s">
        <v>3694</v>
      </c>
    </row>
    <row r="2130" spans="2:13" ht="15" customHeight="1" x14ac:dyDescent="0.25">
      <c r="B2130" s="35" t="s">
        <v>7189</v>
      </c>
      <c r="C2130" s="23" t="s">
        <v>7190</v>
      </c>
      <c r="D2130" s="23" t="s">
        <v>3303</v>
      </c>
      <c r="E2130" s="23" t="s">
        <v>3317</v>
      </c>
      <c r="F2130" s="23" t="s">
        <v>3729</v>
      </c>
      <c r="G2130" s="93">
        <v>3</v>
      </c>
      <c r="H2130" s="93">
        <v>1</v>
      </c>
      <c r="I2130" s="23"/>
      <c r="J2130" s="23"/>
      <c r="K2130" s="23"/>
      <c r="L2130" s="23" t="s">
        <v>6880</v>
      </c>
      <c r="M2130" s="23" t="s">
        <v>3694</v>
      </c>
    </row>
    <row r="2131" spans="2:13" ht="15" customHeight="1" x14ac:dyDescent="0.25">
      <c r="B2131" s="35" t="s">
        <v>7191</v>
      </c>
      <c r="C2131" s="23" t="s">
        <v>7192</v>
      </c>
      <c r="D2131" s="23" t="s">
        <v>3303</v>
      </c>
      <c r="E2131" s="23" t="s">
        <v>3317</v>
      </c>
      <c r="F2131" s="23" t="s">
        <v>3729</v>
      </c>
      <c r="G2131" s="93">
        <v>3</v>
      </c>
      <c r="H2131" s="93">
        <v>1</v>
      </c>
      <c r="I2131" s="23"/>
      <c r="J2131" s="23"/>
      <c r="K2131" s="23"/>
      <c r="L2131" s="23" t="s">
        <v>6880</v>
      </c>
      <c r="M2131" s="23" t="s">
        <v>3694</v>
      </c>
    </row>
    <row r="2132" spans="2:13" ht="15" customHeight="1" x14ac:dyDescent="0.25">
      <c r="B2132" s="35" t="s">
        <v>7193</v>
      </c>
      <c r="C2132" s="23" t="s">
        <v>7194</v>
      </c>
      <c r="D2132" s="23" t="s">
        <v>3303</v>
      </c>
      <c r="E2132" s="23" t="s">
        <v>3317</v>
      </c>
      <c r="F2132" s="23" t="s">
        <v>3729</v>
      </c>
      <c r="G2132" s="93">
        <v>3</v>
      </c>
      <c r="H2132" s="93">
        <v>1</v>
      </c>
      <c r="I2132" s="23"/>
      <c r="J2132" s="23"/>
      <c r="K2132" s="23"/>
      <c r="L2132" s="23" t="s">
        <v>6880</v>
      </c>
      <c r="M2132" s="23" t="s">
        <v>3694</v>
      </c>
    </row>
    <row r="2133" spans="2:13" ht="15" customHeight="1" x14ac:dyDescent="0.25">
      <c r="B2133" s="35" t="s">
        <v>7195</v>
      </c>
      <c r="C2133" s="23" t="s">
        <v>7196</v>
      </c>
      <c r="D2133" s="23" t="s">
        <v>3303</v>
      </c>
      <c r="E2133" s="23" t="s">
        <v>3317</v>
      </c>
      <c r="F2133" s="23" t="s">
        <v>3729</v>
      </c>
      <c r="G2133" s="93">
        <v>3</v>
      </c>
      <c r="H2133" s="93">
        <v>1</v>
      </c>
      <c r="I2133" s="23"/>
      <c r="J2133" s="23"/>
      <c r="K2133" s="23"/>
      <c r="L2133" s="23" t="s">
        <v>6880</v>
      </c>
      <c r="M2133" s="23" t="s">
        <v>3694</v>
      </c>
    </row>
    <row r="2134" spans="2:13" ht="15" customHeight="1" x14ac:dyDescent="0.25">
      <c r="B2134" s="35" t="s">
        <v>7197</v>
      </c>
      <c r="C2134" s="23" t="s">
        <v>7198</v>
      </c>
      <c r="D2134" s="23" t="s">
        <v>3303</v>
      </c>
      <c r="E2134" s="23" t="s">
        <v>3317</v>
      </c>
      <c r="F2134" s="23" t="s">
        <v>3729</v>
      </c>
      <c r="G2134" s="93">
        <v>3</v>
      </c>
      <c r="H2134" s="93">
        <v>1</v>
      </c>
      <c r="I2134" s="23"/>
      <c r="J2134" s="23"/>
      <c r="K2134" s="23"/>
      <c r="L2134" s="23" t="s">
        <v>6880</v>
      </c>
      <c r="M2134" s="23" t="s">
        <v>3694</v>
      </c>
    </row>
    <row r="2135" spans="2:13" ht="15" customHeight="1" x14ac:dyDescent="0.25">
      <c r="B2135" s="35" t="s">
        <v>7199</v>
      </c>
      <c r="C2135" s="23" t="s">
        <v>7200</v>
      </c>
      <c r="D2135" s="23" t="s">
        <v>3303</v>
      </c>
      <c r="E2135" s="23" t="s">
        <v>3317</v>
      </c>
      <c r="F2135" s="23" t="s">
        <v>3729</v>
      </c>
      <c r="G2135" s="93">
        <v>3</v>
      </c>
      <c r="H2135" s="93">
        <v>1</v>
      </c>
      <c r="I2135" s="23"/>
      <c r="J2135" s="23"/>
      <c r="K2135" s="23"/>
      <c r="L2135" s="23" t="s">
        <v>6880</v>
      </c>
      <c r="M2135" s="23" t="s">
        <v>3694</v>
      </c>
    </row>
    <row r="2136" spans="2:13" ht="15" customHeight="1" x14ac:dyDescent="0.25">
      <c r="B2136" s="35" t="s">
        <v>7201</v>
      </c>
      <c r="C2136" s="23" t="s">
        <v>7202</v>
      </c>
      <c r="D2136" s="23" t="s">
        <v>3303</v>
      </c>
      <c r="E2136" s="23" t="s">
        <v>3317</v>
      </c>
      <c r="F2136" s="23" t="s">
        <v>3729</v>
      </c>
      <c r="G2136" s="93">
        <v>3</v>
      </c>
      <c r="H2136" s="93">
        <v>1</v>
      </c>
      <c r="I2136" s="23"/>
      <c r="J2136" s="23"/>
      <c r="K2136" s="23"/>
      <c r="L2136" s="23" t="s">
        <v>6880</v>
      </c>
      <c r="M2136" s="23" t="s">
        <v>3694</v>
      </c>
    </row>
    <row r="2137" spans="2:13" ht="15" customHeight="1" x14ac:dyDescent="0.25">
      <c r="B2137" s="35" t="s">
        <v>7203</v>
      </c>
      <c r="C2137" s="23" t="s">
        <v>7204</v>
      </c>
      <c r="D2137" s="23" t="s">
        <v>3303</v>
      </c>
      <c r="E2137" s="23" t="s">
        <v>3317</v>
      </c>
      <c r="F2137" s="23" t="s">
        <v>3729</v>
      </c>
      <c r="G2137" s="93">
        <v>3</v>
      </c>
      <c r="H2137" s="93">
        <v>1</v>
      </c>
      <c r="I2137" s="23"/>
      <c r="J2137" s="23"/>
      <c r="K2137" s="23"/>
      <c r="L2137" s="23" t="s">
        <v>6880</v>
      </c>
      <c r="M2137" s="23" t="s">
        <v>3694</v>
      </c>
    </row>
    <row r="2138" spans="2:13" ht="15" customHeight="1" x14ac:dyDescent="0.25">
      <c r="B2138" s="35" t="s">
        <v>7205</v>
      </c>
      <c r="C2138" s="23" t="s">
        <v>7206</v>
      </c>
      <c r="D2138" s="23" t="s">
        <v>3303</v>
      </c>
      <c r="E2138" s="23" t="s">
        <v>3317</v>
      </c>
      <c r="F2138" s="23" t="s">
        <v>3729</v>
      </c>
      <c r="G2138" s="93">
        <v>3</v>
      </c>
      <c r="H2138" s="93">
        <v>1</v>
      </c>
      <c r="I2138" s="23"/>
      <c r="J2138" s="23"/>
      <c r="K2138" s="23"/>
      <c r="L2138" s="23" t="s">
        <v>6880</v>
      </c>
      <c r="M2138" s="23" t="s">
        <v>3694</v>
      </c>
    </row>
    <row r="2139" spans="2:13" ht="15" customHeight="1" x14ac:dyDescent="0.25">
      <c r="B2139" s="35" t="s">
        <v>7207</v>
      </c>
      <c r="C2139" s="23" t="s">
        <v>7208</v>
      </c>
      <c r="D2139" s="23" t="s">
        <v>3303</v>
      </c>
      <c r="E2139" s="23" t="s">
        <v>3317</v>
      </c>
      <c r="F2139" s="23" t="s">
        <v>3729</v>
      </c>
      <c r="G2139" s="93">
        <v>3</v>
      </c>
      <c r="H2139" s="93">
        <v>1</v>
      </c>
      <c r="I2139" s="23"/>
      <c r="J2139" s="23"/>
      <c r="K2139" s="23"/>
      <c r="L2139" s="23" t="s">
        <v>6880</v>
      </c>
      <c r="M2139" s="23" t="s">
        <v>3694</v>
      </c>
    </row>
    <row r="2140" spans="2:13" ht="15" customHeight="1" x14ac:dyDescent="0.25">
      <c r="B2140" s="35" t="s">
        <v>7209</v>
      </c>
      <c r="C2140" s="23" t="s">
        <v>7210</v>
      </c>
      <c r="D2140" s="23" t="s">
        <v>3303</v>
      </c>
      <c r="E2140" s="23" t="s">
        <v>3317</v>
      </c>
      <c r="F2140" s="23" t="s">
        <v>3729</v>
      </c>
      <c r="G2140" s="93">
        <v>3</v>
      </c>
      <c r="H2140" s="93">
        <v>1</v>
      </c>
      <c r="I2140" s="23"/>
      <c r="J2140" s="23"/>
      <c r="K2140" s="23"/>
      <c r="L2140" s="23" t="s">
        <v>6880</v>
      </c>
      <c r="M2140" s="23" t="s">
        <v>3694</v>
      </c>
    </row>
    <row r="2141" spans="2:13" ht="15" customHeight="1" x14ac:dyDescent="0.25">
      <c r="B2141" s="35" t="s">
        <v>7211</v>
      </c>
      <c r="C2141" s="23" t="s">
        <v>7212</v>
      </c>
      <c r="D2141" s="23" t="s">
        <v>3303</v>
      </c>
      <c r="E2141" s="23" t="s">
        <v>3317</v>
      </c>
      <c r="F2141" s="23" t="s">
        <v>3729</v>
      </c>
      <c r="G2141" s="93">
        <v>3</v>
      </c>
      <c r="H2141" s="93">
        <v>1</v>
      </c>
      <c r="I2141" s="23"/>
      <c r="J2141" s="23"/>
      <c r="K2141" s="23"/>
      <c r="L2141" s="23" t="s">
        <v>6880</v>
      </c>
      <c r="M2141" s="23" t="s">
        <v>3694</v>
      </c>
    </row>
    <row r="2142" spans="2:13" ht="15" customHeight="1" x14ac:dyDescent="0.25">
      <c r="B2142" s="35" t="s">
        <v>7213</v>
      </c>
      <c r="C2142" s="23" t="s">
        <v>7214</v>
      </c>
      <c r="D2142" s="23" t="s">
        <v>3303</v>
      </c>
      <c r="E2142" s="23" t="s">
        <v>3317</v>
      </c>
      <c r="F2142" s="23" t="s">
        <v>3729</v>
      </c>
      <c r="G2142" s="93">
        <v>3</v>
      </c>
      <c r="H2142" s="93">
        <v>1</v>
      </c>
      <c r="I2142" s="23"/>
      <c r="J2142" s="23"/>
      <c r="K2142" s="23"/>
      <c r="L2142" s="23" t="s">
        <v>6880</v>
      </c>
      <c r="M2142" s="23" t="s">
        <v>3694</v>
      </c>
    </row>
    <row r="2143" spans="2:13" ht="15" customHeight="1" x14ac:dyDescent="0.25">
      <c r="B2143" s="35" t="s">
        <v>7215</v>
      </c>
      <c r="C2143" s="23" t="s">
        <v>7216</v>
      </c>
      <c r="D2143" s="23" t="s">
        <v>3303</v>
      </c>
      <c r="E2143" s="23" t="s">
        <v>3317</v>
      </c>
      <c r="F2143" s="23" t="s">
        <v>3729</v>
      </c>
      <c r="G2143" s="93">
        <v>3</v>
      </c>
      <c r="H2143" s="93">
        <v>1</v>
      </c>
      <c r="I2143" s="23"/>
      <c r="J2143" s="23"/>
      <c r="K2143" s="23"/>
      <c r="L2143" s="23" t="s">
        <v>6880</v>
      </c>
      <c r="M2143" s="23" t="s">
        <v>3694</v>
      </c>
    </row>
    <row r="2144" spans="2:13" ht="15" customHeight="1" x14ac:dyDescent="0.25">
      <c r="B2144" s="35" t="s">
        <v>7217</v>
      </c>
      <c r="C2144" s="23" t="s">
        <v>7218</v>
      </c>
      <c r="D2144" s="23" t="s">
        <v>3303</v>
      </c>
      <c r="E2144" s="23" t="s">
        <v>3317</v>
      </c>
      <c r="F2144" s="23" t="s">
        <v>3729</v>
      </c>
      <c r="G2144" s="93">
        <v>3</v>
      </c>
      <c r="H2144" s="93">
        <v>1</v>
      </c>
      <c r="I2144" s="23"/>
      <c r="J2144" s="23"/>
      <c r="K2144" s="23"/>
      <c r="L2144" s="23" t="s">
        <v>6880</v>
      </c>
      <c r="M2144" s="23" t="s">
        <v>3694</v>
      </c>
    </row>
    <row r="2145" spans="2:13" ht="15" customHeight="1" x14ac:dyDescent="0.25">
      <c r="B2145" s="35" t="s">
        <v>7219</v>
      </c>
      <c r="C2145" s="23" t="s">
        <v>7220</v>
      </c>
      <c r="D2145" s="23" t="s">
        <v>3303</v>
      </c>
      <c r="E2145" s="23" t="s">
        <v>3317</v>
      </c>
      <c r="F2145" s="23" t="s">
        <v>3729</v>
      </c>
      <c r="G2145" s="93">
        <v>3</v>
      </c>
      <c r="H2145" s="93">
        <v>1</v>
      </c>
      <c r="I2145" s="23"/>
      <c r="J2145" s="23"/>
      <c r="K2145" s="23"/>
      <c r="L2145" s="23" t="s">
        <v>6880</v>
      </c>
      <c r="M2145" s="23" t="s">
        <v>3694</v>
      </c>
    </row>
    <row r="2146" spans="2:13" ht="15" customHeight="1" x14ac:dyDescent="0.25">
      <c r="B2146" s="35" t="s">
        <v>7221</v>
      </c>
      <c r="C2146" s="23" t="s">
        <v>7222</v>
      </c>
      <c r="D2146" s="23" t="s">
        <v>3303</v>
      </c>
      <c r="E2146" s="23" t="s">
        <v>3317</v>
      </c>
      <c r="F2146" s="23" t="s">
        <v>3729</v>
      </c>
      <c r="G2146" s="93">
        <v>3</v>
      </c>
      <c r="H2146" s="93">
        <v>1</v>
      </c>
      <c r="I2146" s="23"/>
      <c r="J2146" s="23"/>
      <c r="K2146" s="23"/>
      <c r="L2146" s="23" t="s">
        <v>6880</v>
      </c>
      <c r="M2146" s="23" t="s">
        <v>3694</v>
      </c>
    </row>
    <row r="2147" spans="2:13" ht="15" customHeight="1" x14ac:dyDescent="0.25">
      <c r="B2147" s="35" t="s">
        <v>7223</v>
      </c>
      <c r="C2147" s="23" t="s">
        <v>7224</v>
      </c>
      <c r="D2147" s="23" t="s">
        <v>3303</v>
      </c>
      <c r="E2147" s="23" t="s">
        <v>3317</v>
      </c>
      <c r="F2147" s="23" t="s">
        <v>3729</v>
      </c>
      <c r="G2147" s="93">
        <v>3</v>
      </c>
      <c r="H2147" s="93">
        <v>1</v>
      </c>
      <c r="I2147" s="23"/>
      <c r="J2147" s="23"/>
      <c r="K2147" s="23"/>
      <c r="L2147" s="23" t="s">
        <v>6880</v>
      </c>
      <c r="M2147" s="23" t="s">
        <v>3694</v>
      </c>
    </row>
    <row r="2148" spans="2:13" ht="15" customHeight="1" x14ac:dyDescent="0.25">
      <c r="B2148" s="35" t="s">
        <v>7225</v>
      </c>
      <c r="C2148" s="23" t="s">
        <v>7226</v>
      </c>
      <c r="D2148" s="23" t="s">
        <v>3303</v>
      </c>
      <c r="E2148" s="23" t="s">
        <v>3317</v>
      </c>
      <c r="F2148" s="23" t="s">
        <v>3729</v>
      </c>
      <c r="G2148" s="93">
        <v>3</v>
      </c>
      <c r="H2148" s="93">
        <v>1</v>
      </c>
      <c r="I2148" s="23"/>
      <c r="J2148" s="23"/>
      <c r="K2148" s="23"/>
      <c r="L2148" s="23" t="s">
        <v>6880</v>
      </c>
      <c r="M2148" s="23" t="s">
        <v>3694</v>
      </c>
    </row>
    <row r="2149" spans="2:13" ht="15" customHeight="1" x14ac:dyDescent="0.25">
      <c r="B2149" s="35" t="s">
        <v>7227</v>
      </c>
      <c r="C2149" s="23" t="s">
        <v>7228</v>
      </c>
      <c r="D2149" s="23" t="s">
        <v>3303</v>
      </c>
      <c r="E2149" s="23" t="s">
        <v>3317</v>
      </c>
      <c r="F2149" s="23" t="s">
        <v>3729</v>
      </c>
      <c r="G2149" s="93">
        <v>3</v>
      </c>
      <c r="H2149" s="93">
        <v>1</v>
      </c>
      <c r="I2149" s="23"/>
      <c r="J2149" s="23"/>
      <c r="K2149" s="23"/>
      <c r="L2149" s="23" t="s">
        <v>6880</v>
      </c>
      <c r="M2149" s="23"/>
    </row>
    <row r="2150" spans="2:13" ht="15" customHeight="1" x14ac:dyDescent="0.25">
      <c r="B2150" s="35" t="s">
        <v>7229</v>
      </c>
      <c r="C2150" s="23" t="s">
        <v>7230</v>
      </c>
      <c r="D2150" s="23" t="s">
        <v>3303</v>
      </c>
      <c r="E2150" s="23" t="s">
        <v>3317</v>
      </c>
      <c r="F2150" s="23" t="s">
        <v>3729</v>
      </c>
      <c r="G2150" s="93">
        <v>3</v>
      </c>
      <c r="H2150" s="93">
        <v>1</v>
      </c>
      <c r="I2150" s="23"/>
      <c r="J2150" s="23"/>
      <c r="K2150" s="23"/>
      <c r="L2150" s="23" t="s">
        <v>6880</v>
      </c>
      <c r="M2150" s="23"/>
    </row>
    <row r="2151" spans="2:13" ht="15" customHeight="1" x14ac:dyDescent="0.25">
      <c r="B2151" s="35" t="s">
        <v>7231</v>
      </c>
      <c r="C2151" s="23" t="s">
        <v>7232</v>
      </c>
      <c r="D2151" s="23" t="s">
        <v>3303</v>
      </c>
      <c r="E2151" s="23" t="s">
        <v>3317</v>
      </c>
      <c r="F2151" s="23" t="s">
        <v>3729</v>
      </c>
      <c r="G2151" s="93">
        <v>3</v>
      </c>
      <c r="H2151" s="93">
        <v>1</v>
      </c>
      <c r="I2151" s="23"/>
      <c r="J2151" s="23"/>
      <c r="K2151" s="23"/>
      <c r="L2151" s="23" t="s">
        <v>6880</v>
      </c>
      <c r="M2151" s="23"/>
    </row>
    <row r="2152" spans="2:13" ht="15" customHeight="1" x14ac:dyDescent="0.25">
      <c r="B2152" s="35" t="s">
        <v>7233</v>
      </c>
      <c r="C2152" s="23" t="s">
        <v>7234</v>
      </c>
      <c r="D2152" s="23" t="s">
        <v>3303</v>
      </c>
      <c r="E2152" s="23" t="s">
        <v>3317</v>
      </c>
      <c r="F2152" s="23" t="s">
        <v>3729</v>
      </c>
      <c r="G2152" s="93">
        <v>3</v>
      </c>
      <c r="H2152" s="93">
        <v>1</v>
      </c>
      <c r="I2152" s="23"/>
      <c r="J2152" s="23"/>
      <c r="K2152" s="23"/>
      <c r="L2152" s="23" t="s">
        <v>6880</v>
      </c>
      <c r="M2152" s="23"/>
    </row>
    <row r="2153" spans="2:13" ht="15" customHeight="1" x14ac:dyDescent="0.25">
      <c r="B2153" s="35" t="s">
        <v>7235</v>
      </c>
      <c r="C2153" s="23" t="s">
        <v>7236</v>
      </c>
      <c r="D2153" s="23" t="s">
        <v>3303</v>
      </c>
      <c r="E2153" s="23" t="s">
        <v>3317</v>
      </c>
      <c r="F2153" s="23" t="s">
        <v>3729</v>
      </c>
      <c r="G2153" s="93">
        <v>3</v>
      </c>
      <c r="H2153" s="93">
        <v>1</v>
      </c>
      <c r="I2153" s="23"/>
      <c r="J2153" s="23"/>
      <c r="K2153" s="23"/>
      <c r="L2153" s="23" t="s">
        <v>6880</v>
      </c>
      <c r="M2153" s="23"/>
    </row>
    <row r="2154" spans="2:13" ht="15" customHeight="1" x14ac:dyDescent="0.25">
      <c r="B2154" s="35" t="s">
        <v>7237</v>
      </c>
      <c r="C2154" s="23" t="s">
        <v>7238</v>
      </c>
      <c r="D2154" s="23" t="s">
        <v>3303</v>
      </c>
      <c r="E2154" s="23" t="s">
        <v>3317</v>
      </c>
      <c r="F2154" s="23" t="s">
        <v>3729</v>
      </c>
      <c r="G2154" s="93">
        <v>3</v>
      </c>
      <c r="H2154" s="93">
        <v>1</v>
      </c>
      <c r="I2154" s="23"/>
      <c r="J2154" s="23"/>
      <c r="K2154" s="23"/>
      <c r="L2154" s="23" t="s">
        <v>6880</v>
      </c>
      <c r="M2154" s="23"/>
    </row>
    <row r="2155" spans="2:13" ht="15" customHeight="1" x14ac:dyDescent="0.25">
      <c r="B2155" s="35" t="s">
        <v>7239</v>
      </c>
      <c r="C2155" s="23" t="s">
        <v>7240</v>
      </c>
      <c r="D2155" s="23" t="s">
        <v>3303</v>
      </c>
      <c r="E2155" s="23" t="s">
        <v>3317</v>
      </c>
      <c r="F2155" s="23" t="s">
        <v>3729</v>
      </c>
      <c r="G2155" s="93">
        <v>3</v>
      </c>
      <c r="H2155" s="93">
        <v>1</v>
      </c>
      <c r="I2155" s="23"/>
      <c r="J2155" s="23"/>
      <c r="K2155" s="23"/>
      <c r="L2155" s="23" t="s">
        <v>6880</v>
      </c>
      <c r="M2155" s="23"/>
    </row>
    <row r="2156" spans="2:13" ht="15" customHeight="1" x14ac:dyDescent="0.25">
      <c r="B2156" s="35" t="s">
        <v>7241</v>
      </c>
      <c r="C2156" s="23" t="s">
        <v>7242</v>
      </c>
      <c r="D2156" s="23" t="s">
        <v>3303</v>
      </c>
      <c r="E2156" s="23" t="s">
        <v>3317</v>
      </c>
      <c r="F2156" s="23" t="s">
        <v>3729</v>
      </c>
      <c r="G2156" s="93">
        <v>3</v>
      </c>
      <c r="H2156" s="93">
        <v>1</v>
      </c>
      <c r="I2156" s="23"/>
      <c r="J2156" s="23"/>
      <c r="K2156" s="23"/>
      <c r="L2156" s="23" t="s">
        <v>6880</v>
      </c>
      <c r="M2156" s="23"/>
    </row>
    <row r="2157" spans="2:13" ht="15" customHeight="1" x14ac:dyDescent="0.25">
      <c r="B2157" s="35" t="s">
        <v>7243</v>
      </c>
      <c r="C2157" s="23" t="s">
        <v>7244</v>
      </c>
      <c r="D2157" s="23" t="s">
        <v>3303</v>
      </c>
      <c r="E2157" s="23" t="s">
        <v>3317</v>
      </c>
      <c r="F2157" s="23" t="s">
        <v>3729</v>
      </c>
      <c r="G2157" s="93">
        <v>3</v>
      </c>
      <c r="H2157" s="93">
        <v>1</v>
      </c>
      <c r="I2157" s="23"/>
      <c r="J2157" s="23"/>
      <c r="K2157" s="23"/>
      <c r="L2157" s="23" t="s">
        <v>6880</v>
      </c>
      <c r="M2157" s="23"/>
    </row>
    <row r="2158" spans="2:13" ht="15" customHeight="1" x14ac:dyDescent="0.25">
      <c r="B2158" s="35" t="s">
        <v>7245</v>
      </c>
      <c r="C2158" s="23" t="s">
        <v>7246</v>
      </c>
      <c r="D2158" s="23" t="s">
        <v>3303</v>
      </c>
      <c r="E2158" s="23" t="s">
        <v>3317</v>
      </c>
      <c r="F2158" s="23" t="s">
        <v>3729</v>
      </c>
      <c r="G2158" s="93">
        <v>3</v>
      </c>
      <c r="H2158" s="93">
        <v>1</v>
      </c>
      <c r="I2158" s="23"/>
      <c r="J2158" s="23"/>
      <c r="K2158" s="23"/>
      <c r="L2158" s="23" t="s">
        <v>6880</v>
      </c>
      <c r="M2158" s="23"/>
    </row>
    <row r="2159" spans="2:13" ht="15" customHeight="1" x14ac:dyDescent="0.25">
      <c r="B2159" s="35" t="s">
        <v>7247</v>
      </c>
      <c r="C2159" s="23" t="s">
        <v>7248</v>
      </c>
      <c r="D2159" s="23" t="s">
        <v>3303</v>
      </c>
      <c r="E2159" s="23" t="s">
        <v>3317</v>
      </c>
      <c r="F2159" s="23" t="s">
        <v>3729</v>
      </c>
      <c r="G2159" s="93">
        <v>3</v>
      </c>
      <c r="H2159" s="93">
        <v>1</v>
      </c>
      <c r="I2159" s="23"/>
      <c r="J2159" s="23"/>
      <c r="K2159" s="23"/>
      <c r="L2159" s="23" t="s">
        <v>6880</v>
      </c>
      <c r="M2159" s="23"/>
    </row>
    <row r="2160" spans="2:13" ht="15" customHeight="1" x14ac:dyDescent="0.25">
      <c r="B2160" s="35" t="s">
        <v>7249</v>
      </c>
      <c r="C2160" s="23" t="s">
        <v>7250</v>
      </c>
      <c r="D2160" s="23" t="s">
        <v>3303</v>
      </c>
      <c r="E2160" s="23" t="s">
        <v>3317</v>
      </c>
      <c r="F2160" s="23" t="s">
        <v>3729</v>
      </c>
      <c r="G2160" s="93">
        <v>3</v>
      </c>
      <c r="H2160" s="93">
        <v>1</v>
      </c>
      <c r="I2160" s="23"/>
      <c r="J2160" s="23"/>
      <c r="K2160" s="23"/>
      <c r="L2160" s="23" t="s">
        <v>6880</v>
      </c>
      <c r="M2160" s="23"/>
    </row>
    <row r="2161" spans="2:13" ht="15" customHeight="1" x14ac:dyDescent="0.25">
      <c r="B2161" s="35" t="s">
        <v>7251</v>
      </c>
      <c r="C2161" s="23" t="s">
        <v>7252</v>
      </c>
      <c r="D2161" s="23" t="s">
        <v>3303</v>
      </c>
      <c r="E2161" s="23" t="s">
        <v>3317</v>
      </c>
      <c r="F2161" s="23" t="s">
        <v>3729</v>
      </c>
      <c r="G2161" s="93">
        <v>3</v>
      </c>
      <c r="H2161" s="93">
        <v>1</v>
      </c>
      <c r="I2161" s="23"/>
      <c r="J2161" s="23"/>
      <c r="K2161" s="23"/>
      <c r="L2161" s="23" t="s">
        <v>6880</v>
      </c>
      <c r="M2161" s="23"/>
    </row>
    <row r="2162" spans="2:13" ht="15" customHeight="1" x14ac:dyDescent="0.25">
      <c r="B2162" s="35" t="s">
        <v>7253</v>
      </c>
      <c r="C2162" s="23" t="s">
        <v>7254</v>
      </c>
      <c r="D2162" s="23" t="s">
        <v>3303</v>
      </c>
      <c r="E2162" s="23" t="s">
        <v>3317</v>
      </c>
      <c r="F2162" s="23" t="s">
        <v>3729</v>
      </c>
      <c r="G2162" s="93">
        <v>3</v>
      </c>
      <c r="H2162" s="93">
        <v>1</v>
      </c>
      <c r="I2162" s="23"/>
      <c r="J2162" s="23"/>
      <c r="K2162" s="23"/>
      <c r="L2162" s="23" t="s">
        <v>6880</v>
      </c>
      <c r="M2162" s="23"/>
    </row>
    <row r="2163" spans="2:13" ht="15" customHeight="1" x14ac:dyDescent="0.25">
      <c r="B2163" s="35" t="s">
        <v>7255</v>
      </c>
      <c r="C2163" s="23" t="s">
        <v>7256</v>
      </c>
      <c r="D2163" s="23" t="s">
        <v>3303</v>
      </c>
      <c r="E2163" s="23" t="s">
        <v>3317</v>
      </c>
      <c r="F2163" s="23" t="s">
        <v>3729</v>
      </c>
      <c r="G2163" s="93">
        <v>3</v>
      </c>
      <c r="H2163" s="93">
        <v>1</v>
      </c>
      <c r="I2163" s="23"/>
      <c r="J2163" s="23"/>
      <c r="K2163" s="23"/>
      <c r="L2163" s="23" t="s">
        <v>6880</v>
      </c>
      <c r="M2163" s="23"/>
    </row>
    <row r="2164" spans="2:13" ht="15" customHeight="1" x14ac:dyDescent="0.25">
      <c r="B2164" s="35" t="s">
        <v>7257</v>
      </c>
      <c r="C2164" s="23" t="s">
        <v>7258</v>
      </c>
      <c r="D2164" s="23" t="s">
        <v>3303</v>
      </c>
      <c r="E2164" s="23" t="s">
        <v>3317</v>
      </c>
      <c r="F2164" s="23" t="s">
        <v>3729</v>
      </c>
      <c r="G2164" s="93">
        <v>3</v>
      </c>
      <c r="H2164" s="93">
        <v>1</v>
      </c>
      <c r="I2164" s="23"/>
      <c r="J2164" s="23"/>
      <c r="K2164" s="23"/>
      <c r="L2164" s="23" t="s">
        <v>6880</v>
      </c>
      <c r="M2164" s="23"/>
    </row>
    <row r="2165" spans="2:13" ht="15" customHeight="1" x14ac:dyDescent="0.25">
      <c r="B2165" s="35" t="s">
        <v>7259</v>
      </c>
      <c r="C2165" s="23" t="s">
        <v>7260</v>
      </c>
      <c r="D2165" s="23" t="s">
        <v>3303</v>
      </c>
      <c r="E2165" s="23" t="s">
        <v>3317</v>
      </c>
      <c r="F2165" s="23" t="s">
        <v>3729</v>
      </c>
      <c r="G2165" s="93">
        <v>3</v>
      </c>
      <c r="H2165" s="93">
        <v>1</v>
      </c>
      <c r="I2165" s="23"/>
      <c r="J2165" s="23"/>
      <c r="K2165" s="23"/>
      <c r="L2165" s="23" t="s">
        <v>6880</v>
      </c>
      <c r="M2165" s="23"/>
    </row>
    <row r="2166" spans="2:13" ht="15" customHeight="1" x14ac:dyDescent="0.25">
      <c r="B2166" s="35" t="s">
        <v>7261</v>
      </c>
      <c r="C2166" s="23" t="s">
        <v>7262</v>
      </c>
      <c r="D2166" s="23" t="s">
        <v>3303</v>
      </c>
      <c r="E2166" s="23" t="s">
        <v>3317</v>
      </c>
      <c r="F2166" s="23" t="s">
        <v>3729</v>
      </c>
      <c r="G2166" s="93">
        <v>3</v>
      </c>
      <c r="H2166" s="93">
        <v>1</v>
      </c>
      <c r="I2166" s="23"/>
      <c r="J2166" s="23"/>
      <c r="K2166" s="23"/>
      <c r="L2166" s="23" t="s">
        <v>6880</v>
      </c>
      <c r="M2166" s="23"/>
    </row>
    <row r="2167" spans="2:13" ht="15" customHeight="1" x14ac:dyDescent="0.25">
      <c r="B2167" s="35" t="s">
        <v>7263</v>
      </c>
      <c r="C2167" s="23" t="s">
        <v>7264</v>
      </c>
      <c r="D2167" s="23" t="s">
        <v>3303</v>
      </c>
      <c r="E2167" s="23" t="s">
        <v>3317</v>
      </c>
      <c r="F2167" s="23" t="s">
        <v>3729</v>
      </c>
      <c r="G2167" s="93">
        <v>3</v>
      </c>
      <c r="H2167" s="93">
        <v>1</v>
      </c>
      <c r="I2167" s="23"/>
      <c r="J2167" s="23"/>
      <c r="K2167" s="23"/>
      <c r="L2167" s="23" t="s">
        <v>6880</v>
      </c>
      <c r="M2167" s="23"/>
    </row>
    <row r="2168" spans="2:13" ht="15" customHeight="1" x14ac:dyDescent="0.25">
      <c r="B2168" s="35" t="s">
        <v>7265</v>
      </c>
      <c r="C2168" s="23" t="s">
        <v>7266</v>
      </c>
      <c r="D2168" s="23" t="s">
        <v>3303</v>
      </c>
      <c r="E2168" s="23" t="s">
        <v>3317</v>
      </c>
      <c r="F2168" s="23" t="s">
        <v>3729</v>
      </c>
      <c r="G2168" s="93">
        <v>3</v>
      </c>
      <c r="H2168" s="93">
        <v>1</v>
      </c>
      <c r="I2168" s="23"/>
      <c r="J2168" s="23"/>
      <c r="K2168" s="23"/>
      <c r="L2168" s="23" t="s">
        <v>6880</v>
      </c>
      <c r="M2168" s="23"/>
    </row>
    <row r="2169" spans="2:13" ht="15" customHeight="1" x14ac:dyDescent="0.25">
      <c r="B2169" s="35" t="s">
        <v>7267</v>
      </c>
      <c r="C2169" s="23" t="s">
        <v>7268</v>
      </c>
      <c r="D2169" s="23" t="s">
        <v>3303</v>
      </c>
      <c r="E2169" s="23" t="s">
        <v>3317</v>
      </c>
      <c r="F2169" s="23" t="s">
        <v>3729</v>
      </c>
      <c r="G2169" s="93">
        <v>3</v>
      </c>
      <c r="H2169" s="93">
        <v>1</v>
      </c>
      <c r="I2169" s="23"/>
      <c r="J2169" s="23"/>
      <c r="K2169" s="23"/>
      <c r="L2169" s="23" t="s">
        <v>6880</v>
      </c>
      <c r="M2169" s="23"/>
    </row>
    <row r="2170" spans="2:13" ht="15" customHeight="1" x14ac:dyDescent="0.25">
      <c r="B2170" s="35" t="s">
        <v>7269</v>
      </c>
      <c r="C2170" s="23" t="s">
        <v>7270</v>
      </c>
      <c r="D2170" s="23" t="s">
        <v>3303</v>
      </c>
      <c r="E2170" s="23" t="s">
        <v>3317</v>
      </c>
      <c r="F2170" s="23" t="s">
        <v>3729</v>
      </c>
      <c r="G2170" s="93">
        <v>3</v>
      </c>
      <c r="H2170" s="93">
        <v>1</v>
      </c>
      <c r="I2170" s="23"/>
      <c r="J2170" s="23"/>
      <c r="K2170" s="23"/>
      <c r="L2170" s="23" t="s">
        <v>6880</v>
      </c>
      <c r="M2170" s="23"/>
    </row>
    <row r="2171" spans="2:13" ht="15" customHeight="1" x14ac:dyDescent="0.25">
      <c r="B2171" s="35" t="s">
        <v>7271</v>
      </c>
      <c r="C2171" s="23" t="s">
        <v>7272</v>
      </c>
      <c r="D2171" s="23" t="s">
        <v>3303</v>
      </c>
      <c r="E2171" s="23" t="s">
        <v>3317</v>
      </c>
      <c r="F2171" s="23" t="s">
        <v>3729</v>
      </c>
      <c r="G2171" s="93">
        <v>3</v>
      </c>
      <c r="H2171" s="93">
        <v>1</v>
      </c>
      <c r="I2171" s="23"/>
      <c r="J2171" s="23"/>
      <c r="K2171" s="23"/>
      <c r="L2171" s="23" t="s">
        <v>6880</v>
      </c>
      <c r="M2171" s="23"/>
    </row>
    <row r="2172" spans="2:13" ht="15" customHeight="1" x14ac:dyDescent="0.25">
      <c r="B2172" s="35" t="s">
        <v>7273</v>
      </c>
      <c r="C2172" s="23" t="s">
        <v>7274</v>
      </c>
      <c r="D2172" s="23" t="s">
        <v>3303</v>
      </c>
      <c r="E2172" s="23" t="s">
        <v>3317</v>
      </c>
      <c r="F2172" s="23" t="s">
        <v>3729</v>
      </c>
      <c r="G2172" s="93">
        <v>3</v>
      </c>
      <c r="H2172" s="93">
        <v>1</v>
      </c>
      <c r="I2172" s="23"/>
      <c r="J2172" s="23"/>
      <c r="K2172" s="23"/>
      <c r="L2172" s="23" t="s">
        <v>6880</v>
      </c>
      <c r="M2172" s="23"/>
    </row>
    <row r="2173" spans="2:13" ht="15" customHeight="1" x14ac:dyDescent="0.25">
      <c r="B2173" s="35" t="s">
        <v>7275</v>
      </c>
      <c r="C2173" s="23" t="s">
        <v>7276</v>
      </c>
      <c r="D2173" s="23" t="s">
        <v>3303</v>
      </c>
      <c r="E2173" s="23" t="s">
        <v>3317</v>
      </c>
      <c r="F2173" s="23" t="s">
        <v>3729</v>
      </c>
      <c r="G2173" s="93">
        <v>3</v>
      </c>
      <c r="H2173" s="93">
        <v>1</v>
      </c>
      <c r="I2173" s="23"/>
      <c r="J2173" s="23"/>
      <c r="K2173" s="23"/>
      <c r="L2173" s="23" t="s">
        <v>6880</v>
      </c>
      <c r="M2173" s="23"/>
    </row>
    <row r="2174" spans="2:13" ht="15" customHeight="1" x14ac:dyDescent="0.25">
      <c r="B2174" s="35" t="s">
        <v>7277</v>
      </c>
      <c r="C2174" s="23" t="s">
        <v>7278</v>
      </c>
      <c r="D2174" s="23" t="s">
        <v>3303</v>
      </c>
      <c r="E2174" s="23" t="s">
        <v>3317</v>
      </c>
      <c r="F2174" s="23" t="s">
        <v>3729</v>
      </c>
      <c r="G2174" s="93">
        <v>3</v>
      </c>
      <c r="H2174" s="93">
        <v>1</v>
      </c>
      <c r="I2174" s="23"/>
      <c r="J2174" s="23"/>
      <c r="K2174" s="23"/>
      <c r="L2174" s="23" t="s">
        <v>6880</v>
      </c>
      <c r="M2174" s="23"/>
    </row>
    <row r="2175" spans="2:13" ht="15" customHeight="1" x14ac:dyDescent="0.25">
      <c r="B2175" s="35" t="s">
        <v>7279</v>
      </c>
      <c r="C2175" s="23" t="s">
        <v>7280</v>
      </c>
      <c r="D2175" s="23" t="s">
        <v>3303</v>
      </c>
      <c r="E2175" s="23" t="s">
        <v>3317</v>
      </c>
      <c r="F2175" s="23" t="s">
        <v>3729</v>
      </c>
      <c r="G2175" s="93">
        <v>3</v>
      </c>
      <c r="H2175" s="93">
        <v>1</v>
      </c>
      <c r="I2175" s="23"/>
      <c r="J2175" s="23"/>
      <c r="K2175" s="23"/>
      <c r="L2175" s="23" t="s">
        <v>6880</v>
      </c>
      <c r="M2175" s="23"/>
    </row>
    <row r="2176" spans="2:13" ht="15" customHeight="1" x14ac:dyDescent="0.25">
      <c r="B2176" s="35" t="s">
        <v>7281</v>
      </c>
      <c r="C2176" s="23" t="s">
        <v>7282</v>
      </c>
      <c r="D2176" s="23" t="s">
        <v>3303</v>
      </c>
      <c r="E2176" s="23" t="s">
        <v>3317</v>
      </c>
      <c r="F2176" s="23" t="s">
        <v>3729</v>
      </c>
      <c r="G2176" s="93">
        <v>3</v>
      </c>
      <c r="H2176" s="93">
        <v>1</v>
      </c>
      <c r="I2176" s="23"/>
      <c r="J2176" s="23"/>
      <c r="K2176" s="23"/>
      <c r="L2176" s="23" t="s">
        <v>6880</v>
      </c>
      <c r="M2176" s="23" t="s">
        <v>3694</v>
      </c>
    </row>
    <row r="2177" spans="2:13" ht="15" customHeight="1" x14ac:dyDescent="0.25">
      <c r="B2177" s="35" t="s">
        <v>7283</v>
      </c>
      <c r="C2177" s="23" t="s">
        <v>7284</v>
      </c>
      <c r="D2177" s="23" t="s">
        <v>3303</v>
      </c>
      <c r="E2177" s="23" t="s">
        <v>3317</v>
      </c>
      <c r="F2177" s="23" t="s">
        <v>3729</v>
      </c>
      <c r="G2177" s="93">
        <v>3</v>
      </c>
      <c r="H2177" s="93">
        <v>1</v>
      </c>
      <c r="I2177" s="23"/>
      <c r="J2177" s="23"/>
      <c r="K2177" s="23"/>
      <c r="L2177" s="23" t="s">
        <v>6880</v>
      </c>
      <c r="M2177" s="23" t="s">
        <v>3694</v>
      </c>
    </row>
    <row r="2178" spans="2:13" ht="15" customHeight="1" x14ac:dyDescent="0.25">
      <c r="B2178" s="35" t="s">
        <v>3166</v>
      </c>
      <c r="C2178" s="23" t="s">
        <v>3167</v>
      </c>
      <c r="D2178" s="23" t="s">
        <v>3303</v>
      </c>
      <c r="E2178" s="23" t="s">
        <v>3317</v>
      </c>
      <c r="F2178" s="23" t="s">
        <v>3729</v>
      </c>
      <c r="G2178" s="93">
        <v>3</v>
      </c>
      <c r="H2178" s="93">
        <v>1</v>
      </c>
      <c r="I2178" s="23"/>
      <c r="J2178" s="23"/>
      <c r="K2178" s="23"/>
      <c r="L2178" s="23" t="s">
        <v>6880</v>
      </c>
      <c r="M2178" s="23"/>
    </row>
    <row r="2179" spans="2:13" ht="15" customHeight="1" x14ac:dyDescent="0.25">
      <c r="B2179" s="35" t="s">
        <v>7285</v>
      </c>
      <c r="C2179" s="23" t="s">
        <v>7286</v>
      </c>
      <c r="D2179" s="23" t="s">
        <v>3303</v>
      </c>
      <c r="E2179" s="23" t="s">
        <v>3317</v>
      </c>
      <c r="F2179" s="23" t="s">
        <v>3729</v>
      </c>
      <c r="G2179" s="93">
        <v>3</v>
      </c>
      <c r="H2179" s="93">
        <v>1</v>
      </c>
      <c r="I2179" s="23"/>
      <c r="J2179" s="23"/>
      <c r="K2179" s="23"/>
      <c r="L2179" s="23" t="s">
        <v>6880</v>
      </c>
      <c r="M2179" s="23" t="s">
        <v>3694</v>
      </c>
    </row>
    <row r="2180" spans="2:13" ht="15" customHeight="1" x14ac:dyDescent="0.25">
      <c r="B2180" s="35" t="s">
        <v>7287</v>
      </c>
      <c r="C2180" s="23" t="s">
        <v>7288</v>
      </c>
      <c r="D2180" s="23" t="s">
        <v>3303</v>
      </c>
      <c r="E2180" s="23" t="s">
        <v>3317</v>
      </c>
      <c r="F2180" s="23" t="s">
        <v>3729</v>
      </c>
      <c r="G2180" s="93">
        <v>3</v>
      </c>
      <c r="H2180" s="93">
        <v>1</v>
      </c>
      <c r="I2180" s="23"/>
      <c r="J2180" s="23"/>
      <c r="K2180" s="23"/>
      <c r="L2180" s="23" t="s">
        <v>6880</v>
      </c>
      <c r="M2180" s="23" t="s">
        <v>3694</v>
      </c>
    </row>
    <row r="2181" spans="2:13" ht="15" customHeight="1" x14ac:dyDescent="0.25">
      <c r="B2181" s="35" t="s">
        <v>7289</v>
      </c>
      <c r="C2181" s="23" t="s">
        <v>7290</v>
      </c>
      <c r="D2181" s="23" t="s">
        <v>3303</v>
      </c>
      <c r="E2181" s="23" t="s">
        <v>3317</v>
      </c>
      <c r="F2181" s="23" t="s">
        <v>3729</v>
      </c>
      <c r="G2181" s="93">
        <v>3</v>
      </c>
      <c r="H2181" s="93">
        <v>1</v>
      </c>
      <c r="I2181" s="23"/>
      <c r="J2181" s="23"/>
      <c r="K2181" s="23"/>
      <c r="L2181" s="23" t="s">
        <v>6880</v>
      </c>
      <c r="M2181" s="23" t="s">
        <v>3694</v>
      </c>
    </row>
    <row r="2182" spans="2:13" ht="15" customHeight="1" x14ac:dyDescent="0.25">
      <c r="B2182" s="35" t="s">
        <v>7291</v>
      </c>
      <c r="C2182" s="23" t="s">
        <v>7292</v>
      </c>
      <c r="D2182" s="23" t="s">
        <v>3303</v>
      </c>
      <c r="E2182" s="23" t="s">
        <v>3317</v>
      </c>
      <c r="F2182" s="23" t="s">
        <v>3729</v>
      </c>
      <c r="G2182" s="93">
        <v>3</v>
      </c>
      <c r="H2182" s="93">
        <v>1</v>
      </c>
      <c r="I2182" s="23"/>
      <c r="J2182" s="23"/>
      <c r="K2182" s="23"/>
      <c r="L2182" s="23" t="s">
        <v>6880</v>
      </c>
      <c r="M2182" s="23" t="s">
        <v>3694</v>
      </c>
    </row>
    <row r="2183" spans="2:13" ht="15" customHeight="1" x14ac:dyDescent="0.25">
      <c r="B2183" s="35" t="s">
        <v>7293</v>
      </c>
      <c r="C2183" s="23" t="s">
        <v>7294</v>
      </c>
      <c r="D2183" s="23" t="s">
        <v>3303</v>
      </c>
      <c r="E2183" s="23" t="s">
        <v>3317</v>
      </c>
      <c r="F2183" s="23" t="s">
        <v>3729</v>
      </c>
      <c r="G2183" s="93">
        <v>3</v>
      </c>
      <c r="H2183" s="93">
        <v>1</v>
      </c>
      <c r="I2183" s="23"/>
      <c r="J2183" s="23"/>
      <c r="K2183" s="23"/>
      <c r="L2183" s="23" t="s">
        <v>6880</v>
      </c>
      <c r="M2183" s="23" t="s">
        <v>3694</v>
      </c>
    </row>
    <row r="2184" spans="2:13" ht="15" customHeight="1" x14ac:dyDescent="0.25">
      <c r="B2184" s="35" t="s">
        <v>7295</v>
      </c>
      <c r="C2184" s="23" t="s">
        <v>7296</v>
      </c>
      <c r="D2184" s="23" t="s">
        <v>3303</v>
      </c>
      <c r="E2184" s="23" t="s">
        <v>3317</v>
      </c>
      <c r="F2184" s="23" t="s">
        <v>3729</v>
      </c>
      <c r="G2184" s="93">
        <v>3</v>
      </c>
      <c r="H2184" s="93">
        <v>1</v>
      </c>
      <c r="I2184" s="23"/>
      <c r="J2184" s="23"/>
      <c r="K2184" s="23"/>
      <c r="L2184" s="23" t="s">
        <v>6880</v>
      </c>
      <c r="M2184" s="23" t="s">
        <v>3694</v>
      </c>
    </row>
    <row r="2185" spans="2:13" ht="15" customHeight="1" x14ac:dyDescent="0.25">
      <c r="B2185" s="35" t="s">
        <v>7297</v>
      </c>
      <c r="C2185" s="23" t="s">
        <v>7298</v>
      </c>
      <c r="D2185" s="23" t="s">
        <v>3303</v>
      </c>
      <c r="E2185" s="23" t="s">
        <v>3317</v>
      </c>
      <c r="F2185" s="23" t="s">
        <v>3729</v>
      </c>
      <c r="G2185" s="93">
        <v>3</v>
      </c>
      <c r="H2185" s="93">
        <v>1</v>
      </c>
      <c r="I2185" s="23"/>
      <c r="J2185" s="23"/>
      <c r="K2185" s="23"/>
      <c r="L2185" s="23" t="s">
        <v>6880</v>
      </c>
      <c r="M2185" s="23" t="s">
        <v>3694</v>
      </c>
    </row>
    <row r="2186" spans="2:13" ht="15" customHeight="1" x14ac:dyDescent="0.25">
      <c r="B2186" s="35" t="s">
        <v>7299</v>
      </c>
      <c r="C2186" s="23" t="s">
        <v>7300</v>
      </c>
      <c r="D2186" s="23" t="s">
        <v>3303</v>
      </c>
      <c r="E2186" s="23" t="s">
        <v>3317</v>
      </c>
      <c r="F2186" s="23" t="s">
        <v>3729</v>
      </c>
      <c r="G2186" s="93">
        <v>3</v>
      </c>
      <c r="H2186" s="93">
        <v>1</v>
      </c>
      <c r="I2186" s="23"/>
      <c r="J2186" s="23"/>
      <c r="K2186" s="23"/>
      <c r="L2186" s="23" t="s">
        <v>6880</v>
      </c>
      <c r="M2186" s="23" t="s">
        <v>3694</v>
      </c>
    </row>
    <row r="2187" spans="2:13" ht="15" customHeight="1" x14ac:dyDescent="0.25">
      <c r="B2187" s="35" t="s">
        <v>7301</v>
      </c>
      <c r="C2187" s="23" t="s">
        <v>7302</v>
      </c>
      <c r="D2187" s="23" t="s">
        <v>3303</v>
      </c>
      <c r="E2187" s="23" t="s">
        <v>3317</v>
      </c>
      <c r="F2187" s="23" t="s">
        <v>3729</v>
      </c>
      <c r="G2187" s="93">
        <v>3</v>
      </c>
      <c r="H2187" s="93">
        <v>1</v>
      </c>
      <c r="I2187" s="23"/>
      <c r="J2187" s="23"/>
      <c r="K2187" s="23"/>
      <c r="L2187" s="23" t="s">
        <v>6880</v>
      </c>
      <c r="M2187" s="23" t="s">
        <v>3694</v>
      </c>
    </row>
    <row r="2188" spans="2:13" ht="15" customHeight="1" x14ac:dyDescent="0.25">
      <c r="B2188" s="35" t="s">
        <v>7303</v>
      </c>
      <c r="C2188" s="23" t="s">
        <v>7304</v>
      </c>
      <c r="D2188" s="23" t="s">
        <v>3303</v>
      </c>
      <c r="E2188" s="23" t="s">
        <v>3317</v>
      </c>
      <c r="F2188" s="23" t="s">
        <v>3729</v>
      </c>
      <c r="G2188" s="93">
        <v>3</v>
      </c>
      <c r="H2188" s="93">
        <v>1</v>
      </c>
      <c r="I2188" s="23"/>
      <c r="J2188" s="23"/>
      <c r="K2188" s="23"/>
      <c r="L2188" s="23" t="s">
        <v>6880</v>
      </c>
      <c r="M2188" s="23" t="s">
        <v>3694</v>
      </c>
    </row>
    <row r="2189" spans="2:13" ht="15" customHeight="1" x14ac:dyDescent="0.25">
      <c r="B2189" s="35" t="s">
        <v>7305</v>
      </c>
      <c r="C2189" s="23" t="s">
        <v>7306</v>
      </c>
      <c r="D2189" s="23" t="s">
        <v>3303</v>
      </c>
      <c r="E2189" s="23" t="s">
        <v>3317</v>
      </c>
      <c r="F2189" s="23" t="s">
        <v>3729</v>
      </c>
      <c r="G2189" s="93">
        <v>3</v>
      </c>
      <c r="H2189" s="93">
        <v>1</v>
      </c>
      <c r="I2189" s="23"/>
      <c r="J2189" s="23"/>
      <c r="K2189" s="23"/>
      <c r="L2189" s="23" t="s">
        <v>6880</v>
      </c>
      <c r="M2189" s="23" t="s">
        <v>3694</v>
      </c>
    </row>
    <row r="2190" spans="2:13" ht="15" customHeight="1" x14ac:dyDescent="0.25">
      <c r="B2190" s="35" t="s">
        <v>7307</v>
      </c>
      <c r="C2190" s="23" t="s">
        <v>7308</v>
      </c>
      <c r="D2190" s="23" t="s">
        <v>3303</v>
      </c>
      <c r="E2190" s="23" t="s">
        <v>3317</v>
      </c>
      <c r="F2190" s="23" t="s">
        <v>3729</v>
      </c>
      <c r="G2190" s="93">
        <v>3</v>
      </c>
      <c r="H2190" s="93">
        <v>1</v>
      </c>
      <c r="I2190" s="23"/>
      <c r="J2190" s="23"/>
      <c r="K2190" s="23"/>
      <c r="L2190" s="23" t="s">
        <v>6880</v>
      </c>
      <c r="M2190" s="23" t="s">
        <v>3694</v>
      </c>
    </row>
    <row r="2191" spans="2:13" ht="15" customHeight="1" x14ac:dyDescent="0.25">
      <c r="B2191" s="35" t="s">
        <v>7309</v>
      </c>
      <c r="C2191" s="23" t="s">
        <v>7310</v>
      </c>
      <c r="D2191" s="23" t="s">
        <v>3303</v>
      </c>
      <c r="E2191" s="23" t="s">
        <v>3317</v>
      </c>
      <c r="F2191" s="23" t="s">
        <v>3729</v>
      </c>
      <c r="G2191" s="93">
        <v>3</v>
      </c>
      <c r="H2191" s="93">
        <v>1</v>
      </c>
      <c r="I2191" s="23"/>
      <c r="J2191" s="23"/>
      <c r="K2191" s="23"/>
      <c r="L2191" s="23" t="s">
        <v>6880</v>
      </c>
      <c r="M2191" s="23" t="s">
        <v>3694</v>
      </c>
    </row>
    <row r="2192" spans="2:13" ht="15" customHeight="1" x14ac:dyDescent="0.25">
      <c r="B2192" s="35" t="s">
        <v>7311</v>
      </c>
      <c r="C2192" s="23" t="s">
        <v>7312</v>
      </c>
      <c r="D2192" s="23" t="s">
        <v>3303</v>
      </c>
      <c r="E2192" s="23" t="s">
        <v>3317</v>
      </c>
      <c r="F2192" s="23" t="s">
        <v>3729</v>
      </c>
      <c r="G2192" s="93">
        <v>3</v>
      </c>
      <c r="H2192" s="93">
        <v>1</v>
      </c>
      <c r="I2192" s="23"/>
      <c r="J2192" s="23"/>
      <c r="K2192" s="23"/>
      <c r="L2192" s="23" t="s">
        <v>6880</v>
      </c>
      <c r="M2192" s="23" t="s">
        <v>3694</v>
      </c>
    </row>
    <row r="2193" spans="2:13" ht="15" customHeight="1" x14ac:dyDescent="0.25">
      <c r="B2193" s="35" t="s">
        <v>7313</v>
      </c>
      <c r="C2193" s="23" t="s">
        <v>7314</v>
      </c>
      <c r="D2193" s="23" t="s">
        <v>3303</v>
      </c>
      <c r="E2193" s="23" t="s">
        <v>3317</v>
      </c>
      <c r="F2193" s="23" t="s">
        <v>3729</v>
      </c>
      <c r="G2193" s="93">
        <v>3</v>
      </c>
      <c r="H2193" s="93">
        <v>1</v>
      </c>
      <c r="I2193" s="23"/>
      <c r="J2193" s="23"/>
      <c r="K2193" s="23"/>
      <c r="L2193" s="23" t="s">
        <v>6880</v>
      </c>
      <c r="M2193" s="23" t="s">
        <v>3694</v>
      </c>
    </row>
    <row r="2194" spans="2:13" ht="15" customHeight="1" x14ac:dyDescent="0.25">
      <c r="B2194" s="35" t="s">
        <v>7315</v>
      </c>
      <c r="C2194" s="23" t="s">
        <v>7316</v>
      </c>
      <c r="D2194" s="23" t="s">
        <v>3303</v>
      </c>
      <c r="E2194" s="23" t="s">
        <v>3317</v>
      </c>
      <c r="F2194" s="23" t="s">
        <v>3729</v>
      </c>
      <c r="G2194" s="93">
        <v>3</v>
      </c>
      <c r="H2194" s="93">
        <v>1</v>
      </c>
      <c r="I2194" s="23"/>
      <c r="J2194" s="23"/>
      <c r="K2194" s="23"/>
      <c r="L2194" s="23" t="s">
        <v>6880</v>
      </c>
      <c r="M2194" s="23" t="s">
        <v>3694</v>
      </c>
    </row>
    <row r="2195" spans="2:13" ht="15" customHeight="1" x14ac:dyDescent="0.25">
      <c r="B2195" s="35" t="s">
        <v>7317</v>
      </c>
      <c r="C2195" s="23" t="s">
        <v>7318</v>
      </c>
      <c r="D2195" s="23" t="s">
        <v>3303</v>
      </c>
      <c r="E2195" s="23" t="s">
        <v>3317</v>
      </c>
      <c r="F2195" s="23" t="s">
        <v>3729</v>
      </c>
      <c r="G2195" s="93">
        <v>3</v>
      </c>
      <c r="H2195" s="93">
        <v>1</v>
      </c>
      <c r="I2195" s="23"/>
      <c r="J2195" s="23"/>
      <c r="K2195" s="23"/>
      <c r="L2195" s="23" t="s">
        <v>6880</v>
      </c>
      <c r="M2195" s="23" t="s">
        <v>3694</v>
      </c>
    </row>
    <row r="2196" spans="2:13" ht="15" customHeight="1" x14ac:dyDescent="0.25">
      <c r="B2196" s="35" t="s">
        <v>7319</v>
      </c>
      <c r="C2196" s="23" t="s">
        <v>7320</v>
      </c>
      <c r="D2196" s="23" t="s">
        <v>3303</v>
      </c>
      <c r="E2196" s="23" t="s">
        <v>3317</v>
      </c>
      <c r="F2196" s="23" t="s">
        <v>3729</v>
      </c>
      <c r="G2196" s="93">
        <v>3</v>
      </c>
      <c r="H2196" s="93">
        <v>1</v>
      </c>
      <c r="I2196" s="23"/>
      <c r="J2196" s="23"/>
      <c r="K2196" s="23"/>
      <c r="L2196" s="23" t="s">
        <v>6880</v>
      </c>
      <c r="M2196" s="23" t="s">
        <v>3694</v>
      </c>
    </row>
    <row r="2197" spans="2:13" ht="15" customHeight="1" x14ac:dyDescent="0.25">
      <c r="B2197" s="35" t="s">
        <v>7321</v>
      </c>
      <c r="C2197" s="23" t="s">
        <v>7322</v>
      </c>
      <c r="D2197" s="23" t="s">
        <v>3303</v>
      </c>
      <c r="E2197" s="23" t="s">
        <v>3317</v>
      </c>
      <c r="F2197" s="23" t="s">
        <v>3729</v>
      </c>
      <c r="G2197" s="93">
        <v>3</v>
      </c>
      <c r="H2197" s="93">
        <v>1</v>
      </c>
      <c r="I2197" s="23"/>
      <c r="J2197" s="23"/>
      <c r="K2197" s="23"/>
      <c r="L2197" s="23" t="s">
        <v>6880</v>
      </c>
      <c r="M2197" s="23" t="s">
        <v>3694</v>
      </c>
    </row>
    <row r="2198" spans="2:13" ht="15" customHeight="1" x14ac:dyDescent="0.25">
      <c r="B2198" s="35" t="s">
        <v>7323</v>
      </c>
      <c r="C2198" s="23" t="s">
        <v>7324</v>
      </c>
      <c r="D2198" s="23" t="s">
        <v>3303</v>
      </c>
      <c r="E2198" s="23" t="s">
        <v>3317</v>
      </c>
      <c r="F2198" s="23" t="s">
        <v>3729</v>
      </c>
      <c r="G2198" s="93">
        <v>3</v>
      </c>
      <c r="H2198" s="93">
        <v>1</v>
      </c>
      <c r="I2198" s="23"/>
      <c r="J2198" s="23"/>
      <c r="K2198" s="23"/>
      <c r="L2198" s="23" t="s">
        <v>6880</v>
      </c>
      <c r="M2198" s="23" t="s">
        <v>3694</v>
      </c>
    </row>
    <row r="2199" spans="2:13" ht="15" customHeight="1" x14ac:dyDescent="0.25">
      <c r="B2199" s="35" t="s">
        <v>7325</v>
      </c>
      <c r="C2199" s="23" t="s">
        <v>7326</v>
      </c>
      <c r="D2199" s="23" t="s">
        <v>3303</v>
      </c>
      <c r="E2199" s="23" t="s">
        <v>3317</v>
      </c>
      <c r="F2199" s="23" t="s">
        <v>3729</v>
      </c>
      <c r="G2199" s="93">
        <v>3</v>
      </c>
      <c r="H2199" s="93">
        <v>1</v>
      </c>
      <c r="I2199" s="23"/>
      <c r="J2199" s="23"/>
      <c r="K2199" s="23"/>
      <c r="L2199" s="23" t="s">
        <v>6880</v>
      </c>
      <c r="M2199" s="23" t="s">
        <v>3694</v>
      </c>
    </row>
    <row r="2200" spans="2:13" ht="15" customHeight="1" x14ac:dyDescent="0.25">
      <c r="B2200" s="35" t="s">
        <v>7327</v>
      </c>
      <c r="C2200" s="23" t="s">
        <v>7328</v>
      </c>
      <c r="D2200" s="23" t="s">
        <v>3303</v>
      </c>
      <c r="E2200" s="23" t="s">
        <v>3317</v>
      </c>
      <c r="F2200" s="23" t="s">
        <v>3729</v>
      </c>
      <c r="G2200" s="93">
        <v>3</v>
      </c>
      <c r="H2200" s="93">
        <v>1</v>
      </c>
      <c r="I2200" s="23"/>
      <c r="J2200" s="23"/>
      <c r="K2200" s="23"/>
      <c r="L2200" s="23" t="s">
        <v>6880</v>
      </c>
      <c r="M2200" s="23" t="s">
        <v>3694</v>
      </c>
    </row>
    <row r="2201" spans="2:13" ht="15" customHeight="1" x14ac:dyDescent="0.25">
      <c r="B2201" s="35" t="s">
        <v>7329</v>
      </c>
      <c r="C2201" s="23" t="s">
        <v>7330</v>
      </c>
      <c r="D2201" s="23" t="s">
        <v>3303</v>
      </c>
      <c r="E2201" s="23" t="s">
        <v>3317</v>
      </c>
      <c r="F2201" s="23" t="s">
        <v>3729</v>
      </c>
      <c r="G2201" s="93">
        <v>3</v>
      </c>
      <c r="H2201" s="93">
        <v>1</v>
      </c>
      <c r="I2201" s="23"/>
      <c r="J2201" s="23"/>
      <c r="K2201" s="23"/>
      <c r="L2201" s="23" t="s">
        <v>6880</v>
      </c>
      <c r="M2201" s="23" t="s">
        <v>3694</v>
      </c>
    </row>
    <row r="2202" spans="2:13" ht="15" customHeight="1" x14ac:dyDescent="0.25">
      <c r="B2202" s="35" t="s">
        <v>7331</v>
      </c>
      <c r="C2202" s="23" t="s">
        <v>7332</v>
      </c>
      <c r="D2202" s="23" t="s">
        <v>3303</v>
      </c>
      <c r="E2202" s="23" t="s">
        <v>3317</v>
      </c>
      <c r="F2202" s="23" t="s">
        <v>3729</v>
      </c>
      <c r="G2202" s="93">
        <v>3</v>
      </c>
      <c r="H2202" s="93">
        <v>1</v>
      </c>
      <c r="I2202" s="23"/>
      <c r="J2202" s="23"/>
      <c r="K2202" s="23"/>
      <c r="L2202" s="23" t="s">
        <v>6880</v>
      </c>
      <c r="M2202" s="23" t="s">
        <v>3694</v>
      </c>
    </row>
    <row r="2203" spans="2:13" ht="15" customHeight="1" x14ac:dyDescent="0.25">
      <c r="B2203" s="35" t="s">
        <v>7333</v>
      </c>
      <c r="C2203" s="23" t="s">
        <v>7334</v>
      </c>
      <c r="D2203" s="23" t="s">
        <v>3303</v>
      </c>
      <c r="E2203" s="23" t="s">
        <v>3317</v>
      </c>
      <c r="F2203" s="23" t="s">
        <v>3729</v>
      </c>
      <c r="G2203" s="93">
        <v>3</v>
      </c>
      <c r="H2203" s="93">
        <v>1</v>
      </c>
      <c r="I2203" s="23"/>
      <c r="J2203" s="23"/>
      <c r="K2203" s="23"/>
      <c r="L2203" s="23" t="s">
        <v>6880</v>
      </c>
      <c r="M2203" s="23" t="s">
        <v>3694</v>
      </c>
    </row>
    <row r="2204" spans="2:13" ht="15" customHeight="1" x14ac:dyDescent="0.25">
      <c r="B2204" s="35" t="s">
        <v>7335</v>
      </c>
      <c r="C2204" s="23" t="s">
        <v>7336</v>
      </c>
      <c r="D2204" s="23" t="s">
        <v>3303</v>
      </c>
      <c r="E2204" s="23" t="s">
        <v>3317</v>
      </c>
      <c r="F2204" s="23" t="s">
        <v>3729</v>
      </c>
      <c r="G2204" s="93">
        <v>3</v>
      </c>
      <c r="H2204" s="93">
        <v>1</v>
      </c>
      <c r="I2204" s="23"/>
      <c r="J2204" s="23"/>
      <c r="K2204" s="23"/>
      <c r="L2204" s="23" t="s">
        <v>6880</v>
      </c>
      <c r="M2204" s="23" t="s">
        <v>3694</v>
      </c>
    </row>
    <row r="2205" spans="2:13" ht="15" customHeight="1" x14ac:dyDescent="0.25">
      <c r="B2205" s="35" t="s">
        <v>7337</v>
      </c>
      <c r="C2205" s="23" t="s">
        <v>7338</v>
      </c>
      <c r="D2205" s="23" t="s">
        <v>3303</v>
      </c>
      <c r="E2205" s="23" t="s">
        <v>3317</v>
      </c>
      <c r="F2205" s="23" t="s">
        <v>3729</v>
      </c>
      <c r="G2205" s="93">
        <v>3</v>
      </c>
      <c r="H2205" s="93">
        <v>1</v>
      </c>
      <c r="I2205" s="23"/>
      <c r="J2205" s="23"/>
      <c r="K2205" s="23"/>
      <c r="L2205" s="23" t="s">
        <v>6880</v>
      </c>
      <c r="M2205" s="23" t="s">
        <v>3694</v>
      </c>
    </row>
    <row r="2206" spans="2:13" ht="15" customHeight="1" x14ac:dyDescent="0.25">
      <c r="B2206" s="35" t="s">
        <v>7339</v>
      </c>
      <c r="C2206" s="23" t="s">
        <v>7340</v>
      </c>
      <c r="D2206" s="23" t="s">
        <v>3303</v>
      </c>
      <c r="E2206" s="23" t="s">
        <v>3317</v>
      </c>
      <c r="F2206" s="23" t="s">
        <v>3729</v>
      </c>
      <c r="G2206" s="93">
        <v>3</v>
      </c>
      <c r="H2206" s="93">
        <v>1</v>
      </c>
      <c r="I2206" s="23"/>
      <c r="J2206" s="23"/>
      <c r="K2206" s="23"/>
      <c r="L2206" s="23" t="s">
        <v>6880</v>
      </c>
      <c r="M2206" s="23" t="s">
        <v>3694</v>
      </c>
    </row>
    <row r="2207" spans="2:13" ht="15" customHeight="1" x14ac:dyDescent="0.25">
      <c r="B2207" s="35" t="s">
        <v>7341</v>
      </c>
      <c r="C2207" s="23" t="s">
        <v>7342</v>
      </c>
      <c r="D2207" s="23" t="s">
        <v>3303</v>
      </c>
      <c r="E2207" s="23" t="s">
        <v>3317</v>
      </c>
      <c r="F2207" s="23" t="s">
        <v>3729</v>
      </c>
      <c r="G2207" s="93">
        <v>3</v>
      </c>
      <c r="H2207" s="93">
        <v>1</v>
      </c>
      <c r="I2207" s="23"/>
      <c r="J2207" s="23"/>
      <c r="K2207" s="23"/>
      <c r="L2207" s="23" t="s">
        <v>6880</v>
      </c>
      <c r="M2207" s="23" t="s">
        <v>3694</v>
      </c>
    </row>
    <row r="2208" spans="2:13" ht="15" customHeight="1" x14ac:dyDescent="0.25">
      <c r="B2208" s="35" t="s">
        <v>7343</v>
      </c>
      <c r="C2208" s="23" t="s">
        <v>7344</v>
      </c>
      <c r="D2208" s="23" t="s">
        <v>3303</v>
      </c>
      <c r="E2208" s="23" t="s">
        <v>3317</v>
      </c>
      <c r="F2208" s="23" t="s">
        <v>3729</v>
      </c>
      <c r="G2208" s="93">
        <v>3</v>
      </c>
      <c r="H2208" s="93">
        <v>1</v>
      </c>
      <c r="I2208" s="23"/>
      <c r="J2208" s="23"/>
      <c r="K2208" s="23"/>
      <c r="L2208" s="23" t="s">
        <v>6880</v>
      </c>
      <c r="M2208" s="23" t="s">
        <v>3694</v>
      </c>
    </row>
    <row r="2209" spans="2:13" ht="15" customHeight="1" x14ac:dyDescent="0.25">
      <c r="B2209" s="35" t="s">
        <v>7345</v>
      </c>
      <c r="C2209" s="23" t="s">
        <v>7346</v>
      </c>
      <c r="D2209" s="23" t="s">
        <v>3303</v>
      </c>
      <c r="E2209" s="23" t="s">
        <v>3317</v>
      </c>
      <c r="F2209" s="23" t="s">
        <v>3729</v>
      </c>
      <c r="G2209" s="93">
        <v>3</v>
      </c>
      <c r="H2209" s="93">
        <v>1</v>
      </c>
      <c r="I2209" s="23"/>
      <c r="J2209" s="23"/>
      <c r="K2209" s="23"/>
      <c r="L2209" s="23" t="s">
        <v>6880</v>
      </c>
      <c r="M2209" s="23" t="s">
        <v>3694</v>
      </c>
    </row>
    <row r="2210" spans="2:13" ht="15" customHeight="1" x14ac:dyDescent="0.25">
      <c r="B2210" s="35" t="s">
        <v>7347</v>
      </c>
      <c r="C2210" s="23" t="s">
        <v>7348</v>
      </c>
      <c r="D2210" s="23" t="s">
        <v>3303</v>
      </c>
      <c r="E2210" s="23" t="s">
        <v>3317</v>
      </c>
      <c r="F2210" s="23" t="s">
        <v>3729</v>
      </c>
      <c r="G2210" s="93">
        <v>3</v>
      </c>
      <c r="H2210" s="93">
        <v>1</v>
      </c>
      <c r="I2210" s="23"/>
      <c r="J2210" s="23"/>
      <c r="K2210" s="23"/>
      <c r="L2210" s="23" t="s">
        <v>6880</v>
      </c>
      <c r="M2210" s="23" t="s">
        <v>3694</v>
      </c>
    </row>
    <row r="2211" spans="2:13" ht="15" customHeight="1" x14ac:dyDescent="0.25">
      <c r="B2211" s="35" t="s">
        <v>7349</v>
      </c>
      <c r="C2211" s="23" t="s">
        <v>7350</v>
      </c>
      <c r="D2211" s="23" t="s">
        <v>3303</v>
      </c>
      <c r="E2211" s="23" t="s">
        <v>3317</v>
      </c>
      <c r="F2211" s="23" t="s">
        <v>3729</v>
      </c>
      <c r="G2211" s="93">
        <v>3</v>
      </c>
      <c r="H2211" s="93">
        <v>1</v>
      </c>
      <c r="I2211" s="23"/>
      <c r="J2211" s="23"/>
      <c r="K2211" s="23"/>
      <c r="L2211" s="23" t="s">
        <v>6880</v>
      </c>
      <c r="M2211" s="23" t="s">
        <v>3694</v>
      </c>
    </row>
    <row r="2212" spans="2:13" ht="15" customHeight="1" x14ac:dyDescent="0.25">
      <c r="B2212" s="35" t="s">
        <v>3169</v>
      </c>
      <c r="C2212" s="23" t="s">
        <v>3170</v>
      </c>
      <c r="D2212" s="23" t="s">
        <v>3303</v>
      </c>
      <c r="E2212" s="23" t="s">
        <v>3317</v>
      </c>
      <c r="F2212" s="23" t="s">
        <v>3729</v>
      </c>
      <c r="G2212" s="93">
        <v>3</v>
      </c>
      <c r="H2212" s="93">
        <v>1</v>
      </c>
      <c r="I2212" s="23"/>
      <c r="J2212" s="23"/>
      <c r="K2212" s="23"/>
      <c r="L2212" s="23" t="s">
        <v>6880</v>
      </c>
      <c r="M2212" s="23"/>
    </row>
    <row r="2213" spans="2:13" ht="15" customHeight="1" x14ac:dyDescent="0.25">
      <c r="B2213" s="35" t="s">
        <v>7351</v>
      </c>
      <c r="C2213" s="23" t="s">
        <v>7352</v>
      </c>
      <c r="D2213" s="23" t="s">
        <v>3303</v>
      </c>
      <c r="E2213" s="23" t="s">
        <v>3317</v>
      </c>
      <c r="F2213" s="23" t="s">
        <v>3729</v>
      </c>
      <c r="G2213" s="93">
        <v>3</v>
      </c>
      <c r="H2213" s="93">
        <v>1</v>
      </c>
      <c r="I2213" s="23"/>
      <c r="J2213" s="23"/>
      <c r="K2213" s="23"/>
      <c r="L2213" s="23" t="s">
        <v>6880</v>
      </c>
      <c r="M2213" s="23" t="s">
        <v>3694</v>
      </c>
    </row>
    <row r="2214" spans="2:13" ht="15" customHeight="1" x14ac:dyDescent="0.25">
      <c r="B2214" s="35" t="s">
        <v>7353</v>
      </c>
      <c r="C2214" s="23" t="s">
        <v>7354</v>
      </c>
      <c r="D2214" s="23" t="s">
        <v>3303</v>
      </c>
      <c r="E2214" s="23" t="s">
        <v>3317</v>
      </c>
      <c r="F2214" s="23" t="s">
        <v>3729</v>
      </c>
      <c r="G2214" s="93">
        <v>3</v>
      </c>
      <c r="H2214" s="93">
        <v>1</v>
      </c>
      <c r="I2214" s="23"/>
      <c r="J2214" s="23"/>
      <c r="K2214" s="23"/>
      <c r="L2214" s="23" t="s">
        <v>6880</v>
      </c>
      <c r="M2214" s="23" t="s">
        <v>3694</v>
      </c>
    </row>
    <row r="2215" spans="2:13" ht="15" customHeight="1" x14ac:dyDescent="0.25">
      <c r="B2215" s="35" t="s">
        <v>7355</v>
      </c>
      <c r="C2215" s="23" t="s">
        <v>7356</v>
      </c>
      <c r="D2215" s="23" t="s">
        <v>3303</v>
      </c>
      <c r="E2215" s="23" t="s">
        <v>3317</v>
      </c>
      <c r="F2215" s="23" t="s">
        <v>3729</v>
      </c>
      <c r="G2215" s="93">
        <v>3</v>
      </c>
      <c r="H2215" s="93">
        <v>1</v>
      </c>
      <c r="I2215" s="23"/>
      <c r="J2215" s="23"/>
      <c r="K2215" s="23"/>
      <c r="L2215" s="23" t="s">
        <v>6880</v>
      </c>
      <c r="M2215" s="23" t="s">
        <v>3694</v>
      </c>
    </row>
    <row r="2216" spans="2:13" ht="15" customHeight="1" x14ac:dyDescent="0.25">
      <c r="B2216" s="35" t="s">
        <v>7357</v>
      </c>
      <c r="C2216" s="23" t="s">
        <v>7358</v>
      </c>
      <c r="D2216" s="23" t="s">
        <v>3303</v>
      </c>
      <c r="E2216" s="23" t="s">
        <v>3317</v>
      </c>
      <c r="F2216" s="23" t="s">
        <v>3729</v>
      </c>
      <c r="G2216" s="93">
        <v>3</v>
      </c>
      <c r="H2216" s="93">
        <v>1</v>
      </c>
      <c r="I2216" s="23"/>
      <c r="J2216" s="23"/>
      <c r="K2216" s="23"/>
      <c r="L2216" s="23" t="s">
        <v>6880</v>
      </c>
      <c r="M2216" s="23" t="s">
        <v>3694</v>
      </c>
    </row>
    <row r="2217" spans="2:13" ht="15" customHeight="1" x14ac:dyDescent="0.25">
      <c r="B2217" s="35" t="s">
        <v>7359</v>
      </c>
      <c r="C2217" s="23" t="s">
        <v>7360</v>
      </c>
      <c r="D2217" s="23" t="s">
        <v>3303</v>
      </c>
      <c r="E2217" s="23" t="s">
        <v>3317</v>
      </c>
      <c r="F2217" s="23" t="s">
        <v>3729</v>
      </c>
      <c r="G2217" s="93">
        <v>3</v>
      </c>
      <c r="H2217" s="93">
        <v>1</v>
      </c>
      <c r="I2217" s="23"/>
      <c r="J2217" s="23"/>
      <c r="K2217" s="23"/>
      <c r="L2217" s="23" t="s">
        <v>6880</v>
      </c>
      <c r="M2217" s="23" t="s">
        <v>3694</v>
      </c>
    </row>
    <row r="2218" spans="2:13" ht="15" customHeight="1" x14ac:dyDescent="0.25">
      <c r="B2218" s="35" t="s">
        <v>7361</v>
      </c>
      <c r="C2218" s="23" t="s">
        <v>7362</v>
      </c>
      <c r="D2218" s="23" t="s">
        <v>3303</v>
      </c>
      <c r="E2218" s="23" t="s">
        <v>3317</v>
      </c>
      <c r="F2218" s="23" t="s">
        <v>3729</v>
      </c>
      <c r="G2218" s="93">
        <v>3</v>
      </c>
      <c r="H2218" s="93">
        <v>1</v>
      </c>
      <c r="I2218" s="23"/>
      <c r="J2218" s="23"/>
      <c r="K2218" s="23"/>
      <c r="L2218" s="23" t="s">
        <v>6880</v>
      </c>
      <c r="M2218" s="23" t="s">
        <v>3694</v>
      </c>
    </row>
    <row r="2219" spans="2:13" ht="15" customHeight="1" x14ac:dyDescent="0.25">
      <c r="B2219" s="35" t="s">
        <v>7363</v>
      </c>
      <c r="C2219" s="23" t="s">
        <v>7364</v>
      </c>
      <c r="D2219" s="23" t="s">
        <v>3303</v>
      </c>
      <c r="E2219" s="23" t="s">
        <v>3317</v>
      </c>
      <c r="F2219" s="23" t="s">
        <v>3729</v>
      </c>
      <c r="G2219" s="93">
        <v>3</v>
      </c>
      <c r="H2219" s="93">
        <v>1</v>
      </c>
      <c r="I2219" s="23"/>
      <c r="J2219" s="23"/>
      <c r="K2219" s="23"/>
      <c r="L2219" s="23" t="s">
        <v>6880</v>
      </c>
      <c r="M2219" s="23" t="s">
        <v>3694</v>
      </c>
    </row>
    <row r="2220" spans="2:13" ht="15" customHeight="1" x14ac:dyDescent="0.25">
      <c r="B2220" s="35" t="s">
        <v>7365</v>
      </c>
      <c r="C2220" s="23" t="s">
        <v>7366</v>
      </c>
      <c r="D2220" s="23" t="s">
        <v>3303</v>
      </c>
      <c r="E2220" s="23" t="s">
        <v>3317</v>
      </c>
      <c r="F2220" s="23" t="s">
        <v>3729</v>
      </c>
      <c r="G2220" s="93">
        <v>3</v>
      </c>
      <c r="H2220" s="93">
        <v>1</v>
      </c>
      <c r="I2220" s="23"/>
      <c r="J2220" s="23"/>
      <c r="K2220" s="23"/>
      <c r="L2220" s="23" t="s">
        <v>6880</v>
      </c>
      <c r="M2220" s="23" t="s">
        <v>3694</v>
      </c>
    </row>
    <row r="2221" spans="2:13" ht="15" customHeight="1" x14ac:dyDescent="0.25">
      <c r="B2221" s="35" t="s">
        <v>3172</v>
      </c>
      <c r="C2221" s="23" t="s">
        <v>3173</v>
      </c>
      <c r="D2221" s="23" t="s">
        <v>3303</v>
      </c>
      <c r="E2221" s="23" t="s">
        <v>3317</v>
      </c>
      <c r="F2221" s="23" t="s">
        <v>3729</v>
      </c>
      <c r="G2221" s="93">
        <v>3</v>
      </c>
      <c r="H2221" s="93">
        <v>1</v>
      </c>
      <c r="I2221" s="23"/>
      <c r="J2221" s="23"/>
      <c r="K2221" s="23"/>
      <c r="L2221" s="23" t="s">
        <v>6880</v>
      </c>
      <c r="M2221" s="23"/>
    </row>
    <row r="2222" spans="2:13" ht="15" customHeight="1" x14ac:dyDescent="0.25">
      <c r="B2222" s="35" t="s">
        <v>7367</v>
      </c>
      <c r="C2222" s="23" t="s">
        <v>7368</v>
      </c>
      <c r="D2222" s="23" t="s">
        <v>3303</v>
      </c>
      <c r="E2222" s="23" t="s">
        <v>3317</v>
      </c>
      <c r="F2222" s="23" t="s">
        <v>3729</v>
      </c>
      <c r="G2222" s="93">
        <v>3</v>
      </c>
      <c r="H2222" s="93">
        <v>1</v>
      </c>
      <c r="I2222" s="23"/>
      <c r="J2222" s="23"/>
      <c r="K2222" s="23"/>
      <c r="L2222" s="23" t="s">
        <v>6880</v>
      </c>
      <c r="M2222" s="23" t="s">
        <v>3694</v>
      </c>
    </row>
    <row r="2223" spans="2:13" ht="15" customHeight="1" x14ac:dyDescent="0.25">
      <c r="B2223" s="35" t="s">
        <v>7369</v>
      </c>
      <c r="C2223" s="23" t="s">
        <v>7370</v>
      </c>
      <c r="D2223" s="23" t="s">
        <v>3303</v>
      </c>
      <c r="E2223" s="23" t="s">
        <v>3317</v>
      </c>
      <c r="F2223" s="23" t="s">
        <v>3729</v>
      </c>
      <c r="G2223" s="93">
        <v>3</v>
      </c>
      <c r="H2223" s="93">
        <v>1</v>
      </c>
      <c r="I2223" s="23"/>
      <c r="J2223" s="23"/>
      <c r="K2223" s="23"/>
      <c r="L2223" s="23" t="s">
        <v>6880</v>
      </c>
      <c r="M2223" s="23" t="s">
        <v>3694</v>
      </c>
    </row>
    <row r="2224" spans="2:13" ht="15" customHeight="1" x14ac:dyDescent="0.25">
      <c r="B2224" s="35" t="s">
        <v>7371</v>
      </c>
      <c r="C2224" s="23" t="s">
        <v>7372</v>
      </c>
      <c r="D2224" s="23" t="s">
        <v>3303</v>
      </c>
      <c r="E2224" s="23" t="s">
        <v>3317</v>
      </c>
      <c r="F2224" s="23" t="s">
        <v>3729</v>
      </c>
      <c r="G2224" s="93">
        <v>3</v>
      </c>
      <c r="H2224" s="93">
        <v>1</v>
      </c>
      <c r="I2224" s="23"/>
      <c r="J2224" s="23"/>
      <c r="K2224" s="23"/>
      <c r="L2224" s="23" t="s">
        <v>6880</v>
      </c>
      <c r="M2224" s="23" t="s">
        <v>3694</v>
      </c>
    </row>
    <row r="2225" spans="2:13" ht="15" customHeight="1" x14ac:dyDescent="0.25">
      <c r="B2225" s="35" t="s">
        <v>7373</v>
      </c>
      <c r="C2225" s="23" t="s">
        <v>7374</v>
      </c>
      <c r="D2225" s="23" t="s">
        <v>3303</v>
      </c>
      <c r="E2225" s="23" t="s">
        <v>3317</v>
      </c>
      <c r="F2225" s="23" t="s">
        <v>3729</v>
      </c>
      <c r="G2225" s="93">
        <v>3</v>
      </c>
      <c r="H2225" s="93">
        <v>1</v>
      </c>
      <c r="I2225" s="23"/>
      <c r="J2225" s="23"/>
      <c r="K2225" s="23"/>
      <c r="L2225" s="23" t="s">
        <v>6880</v>
      </c>
      <c r="M2225" s="23" t="s">
        <v>3694</v>
      </c>
    </row>
    <row r="2226" spans="2:13" ht="15" customHeight="1" x14ac:dyDescent="0.25">
      <c r="B2226" s="35" t="s">
        <v>7375</v>
      </c>
      <c r="C2226" s="23" t="s">
        <v>7376</v>
      </c>
      <c r="D2226" s="23" t="s">
        <v>3303</v>
      </c>
      <c r="E2226" s="23" t="s">
        <v>3317</v>
      </c>
      <c r="F2226" s="23" t="s">
        <v>3729</v>
      </c>
      <c r="G2226" s="93">
        <v>3</v>
      </c>
      <c r="H2226" s="93">
        <v>1</v>
      </c>
      <c r="I2226" s="23"/>
      <c r="J2226" s="23"/>
      <c r="K2226" s="23"/>
      <c r="L2226" s="23" t="s">
        <v>6880</v>
      </c>
      <c r="M2226" s="23" t="s">
        <v>3694</v>
      </c>
    </row>
    <row r="2227" spans="2:13" ht="15" customHeight="1" x14ac:dyDescent="0.25">
      <c r="B2227" s="35" t="s">
        <v>7377</v>
      </c>
      <c r="C2227" s="23" t="s">
        <v>7378</v>
      </c>
      <c r="D2227" s="23" t="s">
        <v>3303</v>
      </c>
      <c r="E2227" s="23" t="s">
        <v>3317</v>
      </c>
      <c r="F2227" s="23" t="s">
        <v>3729</v>
      </c>
      <c r="G2227" s="93">
        <v>3</v>
      </c>
      <c r="H2227" s="93">
        <v>1</v>
      </c>
      <c r="I2227" s="23"/>
      <c r="J2227" s="23"/>
      <c r="K2227" s="23"/>
      <c r="L2227" s="23" t="s">
        <v>6880</v>
      </c>
      <c r="M2227" s="23"/>
    </row>
    <row r="2228" spans="2:13" ht="15" customHeight="1" x14ac:dyDescent="0.25">
      <c r="B2228" s="35" t="s">
        <v>7379</v>
      </c>
      <c r="C2228" s="23" t="s">
        <v>7380</v>
      </c>
      <c r="D2228" s="23" t="s">
        <v>3303</v>
      </c>
      <c r="E2228" s="23" t="s">
        <v>3317</v>
      </c>
      <c r="F2228" s="23" t="s">
        <v>3729</v>
      </c>
      <c r="G2228" s="93">
        <v>3</v>
      </c>
      <c r="H2228" s="93">
        <v>0</v>
      </c>
      <c r="I2228" s="23"/>
      <c r="J2228" s="23"/>
      <c r="K2228" s="23"/>
      <c r="L2228" s="23" t="s">
        <v>6880</v>
      </c>
      <c r="M2228" s="23"/>
    </row>
    <row r="2229" spans="2:13" ht="15" customHeight="1" x14ac:dyDescent="0.25">
      <c r="B2229" s="35" t="s">
        <v>7381</v>
      </c>
      <c r="C2229" s="23" t="s">
        <v>7382</v>
      </c>
      <c r="D2229" s="23" t="s">
        <v>3303</v>
      </c>
      <c r="E2229" s="23" t="s">
        <v>3317</v>
      </c>
      <c r="F2229" s="23" t="s">
        <v>3729</v>
      </c>
      <c r="G2229" s="93">
        <v>3</v>
      </c>
      <c r="H2229" s="93">
        <v>1</v>
      </c>
      <c r="I2229" s="23"/>
      <c r="J2229" s="23"/>
      <c r="K2229" s="23"/>
      <c r="L2229" s="23" t="s">
        <v>6880</v>
      </c>
      <c r="M2229" s="23"/>
    </row>
    <row r="2230" spans="2:13" ht="15" customHeight="1" x14ac:dyDescent="0.25">
      <c r="B2230" s="35" t="s">
        <v>7383</v>
      </c>
      <c r="C2230" s="23" t="s">
        <v>7384</v>
      </c>
      <c r="D2230" s="23" t="s">
        <v>3303</v>
      </c>
      <c r="E2230" s="23" t="s">
        <v>3317</v>
      </c>
      <c r="F2230" s="23" t="s">
        <v>3729</v>
      </c>
      <c r="G2230" s="93">
        <v>3</v>
      </c>
      <c r="H2230" s="93">
        <v>0</v>
      </c>
      <c r="I2230" s="23"/>
      <c r="J2230" s="23"/>
      <c r="K2230" s="23"/>
      <c r="L2230" s="23" t="s">
        <v>6880</v>
      </c>
      <c r="M2230" s="23"/>
    </row>
    <row r="2231" spans="2:13" ht="15" customHeight="1" x14ac:dyDescent="0.25">
      <c r="B2231" s="35" t="s">
        <v>7385</v>
      </c>
      <c r="C2231" s="23" t="s">
        <v>7386</v>
      </c>
      <c r="D2231" s="23" t="s">
        <v>3303</v>
      </c>
      <c r="E2231" s="23" t="s">
        <v>3317</v>
      </c>
      <c r="F2231" s="23" t="s">
        <v>3729</v>
      </c>
      <c r="G2231" s="93">
        <v>3</v>
      </c>
      <c r="H2231" s="93">
        <v>1</v>
      </c>
      <c r="I2231" s="23"/>
      <c r="J2231" s="23"/>
      <c r="K2231" s="23"/>
      <c r="L2231" s="23" t="s">
        <v>6880</v>
      </c>
      <c r="M2231" s="23"/>
    </row>
    <row r="2232" spans="2:13" ht="15" customHeight="1" x14ac:dyDescent="0.25">
      <c r="B2232" s="35" t="s">
        <v>7387</v>
      </c>
      <c r="C2232" s="23" t="s">
        <v>7388</v>
      </c>
      <c r="D2232" s="23" t="s">
        <v>3303</v>
      </c>
      <c r="E2232" s="23" t="s">
        <v>3317</v>
      </c>
      <c r="F2232" s="23" t="s">
        <v>3729</v>
      </c>
      <c r="G2232" s="93">
        <v>3</v>
      </c>
      <c r="H2232" s="93">
        <v>1</v>
      </c>
      <c r="I2232" s="23"/>
      <c r="J2232" s="23"/>
      <c r="K2232" s="23"/>
      <c r="L2232" s="23" t="s">
        <v>6880</v>
      </c>
      <c r="M2232" s="23"/>
    </row>
    <row r="2233" spans="2:13" ht="15" customHeight="1" x14ac:dyDescent="0.25">
      <c r="B2233" s="35" t="s">
        <v>7389</v>
      </c>
      <c r="C2233" s="23" t="s">
        <v>7390</v>
      </c>
      <c r="D2233" s="23" t="s">
        <v>3303</v>
      </c>
      <c r="E2233" s="23" t="s">
        <v>3317</v>
      </c>
      <c r="F2233" s="23" t="s">
        <v>3729</v>
      </c>
      <c r="G2233" s="93">
        <v>3</v>
      </c>
      <c r="H2233" s="93">
        <v>1</v>
      </c>
      <c r="I2233" s="23"/>
      <c r="J2233" s="23"/>
      <c r="K2233" s="23"/>
      <c r="L2233" s="23" t="s">
        <v>6880</v>
      </c>
      <c r="M2233" s="23"/>
    </row>
    <row r="2234" spans="2:13" ht="15" customHeight="1" x14ac:dyDescent="0.25">
      <c r="B2234" s="35" t="s">
        <v>7391</v>
      </c>
      <c r="C2234" s="23" t="s">
        <v>7392</v>
      </c>
      <c r="D2234" s="23" t="s">
        <v>3303</v>
      </c>
      <c r="E2234" s="23" t="s">
        <v>3317</v>
      </c>
      <c r="F2234" s="23" t="s">
        <v>3729</v>
      </c>
      <c r="G2234" s="93">
        <v>3</v>
      </c>
      <c r="H2234" s="93">
        <v>1</v>
      </c>
      <c r="I2234" s="23"/>
      <c r="J2234" s="23"/>
      <c r="K2234" s="23"/>
      <c r="L2234" s="23" t="s">
        <v>6880</v>
      </c>
      <c r="M2234" s="23"/>
    </row>
    <row r="2235" spans="2:13" ht="15" customHeight="1" x14ac:dyDescent="0.25">
      <c r="B2235" s="35" t="s">
        <v>7393</v>
      </c>
      <c r="C2235" s="23" t="s">
        <v>7394</v>
      </c>
      <c r="D2235" s="23" t="s">
        <v>3303</v>
      </c>
      <c r="E2235" s="23" t="s">
        <v>3317</v>
      </c>
      <c r="F2235" s="23" t="s">
        <v>3729</v>
      </c>
      <c r="G2235" s="93">
        <v>3</v>
      </c>
      <c r="H2235" s="93">
        <v>1</v>
      </c>
      <c r="I2235" s="23"/>
      <c r="J2235" s="23"/>
      <c r="K2235" s="23"/>
      <c r="L2235" s="23" t="s">
        <v>6880</v>
      </c>
      <c r="M2235" s="23"/>
    </row>
    <row r="2236" spans="2:13" ht="15" customHeight="1" x14ac:dyDescent="0.25">
      <c r="B2236" s="35" t="s">
        <v>7395</v>
      </c>
      <c r="C2236" s="23" t="s">
        <v>7396</v>
      </c>
      <c r="D2236" s="23" t="s">
        <v>3303</v>
      </c>
      <c r="E2236" s="23" t="s">
        <v>3317</v>
      </c>
      <c r="F2236" s="23" t="s">
        <v>3729</v>
      </c>
      <c r="G2236" s="93">
        <v>3</v>
      </c>
      <c r="H2236" s="93">
        <v>1</v>
      </c>
      <c r="I2236" s="23"/>
      <c r="J2236" s="23"/>
      <c r="K2236" s="23"/>
      <c r="L2236" s="23" t="s">
        <v>6880</v>
      </c>
      <c r="M2236" s="23"/>
    </row>
    <row r="2237" spans="2:13" ht="15" customHeight="1" x14ac:dyDescent="0.25">
      <c r="B2237" s="35" t="s">
        <v>7397</v>
      </c>
      <c r="C2237" s="23" t="s">
        <v>7398</v>
      </c>
      <c r="D2237" s="23" t="s">
        <v>3303</v>
      </c>
      <c r="E2237" s="23" t="s">
        <v>3317</v>
      </c>
      <c r="F2237" s="23" t="s">
        <v>3729</v>
      </c>
      <c r="G2237" s="93">
        <v>3</v>
      </c>
      <c r="H2237" s="93">
        <v>1</v>
      </c>
      <c r="I2237" s="23"/>
      <c r="J2237" s="23"/>
      <c r="K2237" s="23"/>
      <c r="L2237" s="23" t="s">
        <v>6880</v>
      </c>
      <c r="M2237" s="23"/>
    </row>
    <row r="2238" spans="2:13" ht="15" customHeight="1" x14ac:dyDescent="0.25">
      <c r="B2238" s="35" t="s">
        <v>7399</v>
      </c>
      <c r="C2238" s="23" t="s">
        <v>7400</v>
      </c>
      <c r="D2238" s="23" t="s">
        <v>3303</v>
      </c>
      <c r="E2238" s="23" t="s">
        <v>3317</v>
      </c>
      <c r="F2238" s="23" t="s">
        <v>3729</v>
      </c>
      <c r="G2238" s="93">
        <v>0</v>
      </c>
      <c r="H2238" s="93">
        <v>1</v>
      </c>
      <c r="I2238" s="23"/>
      <c r="J2238" s="23"/>
      <c r="K2238" s="23"/>
      <c r="L2238" s="23" t="s">
        <v>6880</v>
      </c>
      <c r="M2238" s="23"/>
    </row>
    <row r="2239" spans="2:13" ht="15" customHeight="1" x14ac:dyDescent="0.25">
      <c r="B2239" s="35" t="s">
        <v>7401</v>
      </c>
      <c r="C2239" s="23" t="s">
        <v>7402</v>
      </c>
      <c r="D2239" s="23" t="s">
        <v>3303</v>
      </c>
      <c r="E2239" s="23" t="s">
        <v>3317</v>
      </c>
      <c r="F2239" s="23" t="s">
        <v>3729</v>
      </c>
      <c r="G2239" s="93">
        <v>3</v>
      </c>
      <c r="H2239" s="93">
        <v>1</v>
      </c>
      <c r="I2239" s="23"/>
      <c r="J2239" s="23"/>
      <c r="K2239" s="23"/>
      <c r="L2239" s="23" t="s">
        <v>6880</v>
      </c>
      <c r="M2239" s="23"/>
    </row>
    <row r="2240" spans="2:13" ht="15" customHeight="1" x14ac:dyDescent="0.25">
      <c r="B2240" s="35" t="s">
        <v>7403</v>
      </c>
      <c r="C2240" s="23" t="s">
        <v>7404</v>
      </c>
      <c r="D2240" s="23" t="s">
        <v>3303</v>
      </c>
      <c r="E2240" s="23" t="s">
        <v>3317</v>
      </c>
      <c r="F2240" s="23" t="s">
        <v>3729</v>
      </c>
      <c r="G2240" s="93">
        <v>3</v>
      </c>
      <c r="H2240" s="93">
        <v>1</v>
      </c>
      <c r="I2240" s="23"/>
      <c r="J2240" s="23"/>
      <c r="K2240" s="23"/>
      <c r="L2240" s="23" t="s">
        <v>6880</v>
      </c>
      <c r="M2240" s="23"/>
    </row>
    <row r="2241" spans="2:13" ht="15" customHeight="1" x14ac:dyDescent="0.25">
      <c r="B2241" s="35" t="s">
        <v>7405</v>
      </c>
      <c r="C2241" s="23" t="s">
        <v>7398</v>
      </c>
      <c r="D2241" s="23" t="s">
        <v>3303</v>
      </c>
      <c r="E2241" s="23" t="s">
        <v>3317</v>
      </c>
      <c r="F2241" s="23" t="s">
        <v>3729</v>
      </c>
      <c r="G2241" s="93">
        <v>3</v>
      </c>
      <c r="H2241" s="93">
        <v>1</v>
      </c>
      <c r="I2241" s="23"/>
      <c r="J2241" s="23"/>
      <c r="K2241" s="23"/>
      <c r="L2241" s="23" t="s">
        <v>6880</v>
      </c>
      <c r="M2241" s="23"/>
    </row>
    <row r="2242" spans="2:13" ht="15" customHeight="1" x14ac:dyDescent="0.25">
      <c r="B2242" s="35" t="s">
        <v>7406</v>
      </c>
      <c r="C2242" s="23" t="s">
        <v>7407</v>
      </c>
      <c r="D2242" s="23" t="s">
        <v>3303</v>
      </c>
      <c r="E2242" s="23" t="s">
        <v>3317</v>
      </c>
      <c r="F2242" s="23" t="s">
        <v>3729</v>
      </c>
      <c r="G2242" s="93">
        <v>3</v>
      </c>
      <c r="H2242" s="93">
        <v>1</v>
      </c>
      <c r="I2242" s="23"/>
      <c r="J2242" s="23"/>
      <c r="K2242" s="23"/>
      <c r="L2242" s="23" t="s">
        <v>6880</v>
      </c>
      <c r="M2242" s="23"/>
    </row>
    <row r="2243" spans="2:13" ht="15" customHeight="1" x14ac:dyDescent="0.25">
      <c r="B2243" s="35" t="s">
        <v>7408</v>
      </c>
      <c r="C2243" s="23" t="s">
        <v>7409</v>
      </c>
      <c r="D2243" s="23" t="s">
        <v>3303</v>
      </c>
      <c r="E2243" s="23" t="s">
        <v>3317</v>
      </c>
      <c r="F2243" s="23" t="s">
        <v>3729</v>
      </c>
      <c r="G2243" s="93">
        <v>3</v>
      </c>
      <c r="H2243" s="93">
        <v>1</v>
      </c>
      <c r="I2243" s="23"/>
      <c r="J2243" s="23"/>
      <c r="K2243" s="23"/>
      <c r="L2243" s="23" t="s">
        <v>6880</v>
      </c>
      <c r="M2243" s="23"/>
    </row>
    <row r="2244" spans="2:13" ht="15" customHeight="1" x14ac:dyDescent="0.25">
      <c r="B2244" s="35" t="s">
        <v>7410</v>
      </c>
      <c r="C2244" s="23" t="s">
        <v>7411</v>
      </c>
      <c r="D2244" s="23" t="s">
        <v>3303</v>
      </c>
      <c r="E2244" s="23" t="s">
        <v>3317</v>
      </c>
      <c r="F2244" s="23" t="s">
        <v>3729</v>
      </c>
      <c r="G2244" s="93">
        <v>3</v>
      </c>
      <c r="H2244" s="93">
        <v>1</v>
      </c>
      <c r="I2244" s="23"/>
      <c r="J2244" s="23"/>
      <c r="K2244" s="23"/>
      <c r="L2244" s="23" t="s">
        <v>6880</v>
      </c>
      <c r="M2244" s="23"/>
    </row>
    <row r="2245" spans="2:13" ht="15" customHeight="1" x14ac:dyDescent="0.25">
      <c r="B2245" s="35" t="s">
        <v>7412</v>
      </c>
      <c r="C2245" s="23" t="s">
        <v>7413</v>
      </c>
      <c r="D2245" s="23" t="s">
        <v>3303</v>
      </c>
      <c r="E2245" s="23" t="s">
        <v>3317</v>
      </c>
      <c r="F2245" s="23" t="s">
        <v>3729</v>
      </c>
      <c r="G2245" s="93">
        <v>3</v>
      </c>
      <c r="H2245" s="93">
        <v>1</v>
      </c>
      <c r="I2245" s="23"/>
      <c r="J2245" s="23"/>
      <c r="K2245" s="23"/>
      <c r="L2245" s="23" t="s">
        <v>6880</v>
      </c>
      <c r="M2245" s="23"/>
    </row>
    <row r="2246" spans="2:13" ht="15" customHeight="1" x14ac:dyDescent="0.25">
      <c r="B2246" s="35" t="s">
        <v>7414</v>
      </c>
      <c r="C2246" s="23" t="s">
        <v>7415</v>
      </c>
      <c r="D2246" s="23" t="s">
        <v>3303</v>
      </c>
      <c r="E2246" s="23" t="s">
        <v>3317</v>
      </c>
      <c r="F2246" s="23" t="s">
        <v>3729</v>
      </c>
      <c r="G2246" s="93">
        <v>3</v>
      </c>
      <c r="H2246" s="93">
        <v>1</v>
      </c>
      <c r="I2246" s="23"/>
      <c r="J2246" s="23"/>
      <c r="K2246" s="23"/>
      <c r="L2246" s="23" t="s">
        <v>6880</v>
      </c>
      <c r="M2246" s="23" t="s">
        <v>3694</v>
      </c>
    </row>
    <row r="2247" spans="2:13" ht="15" customHeight="1" x14ac:dyDescent="0.25">
      <c r="B2247" s="35" t="s">
        <v>3174</v>
      </c>
      <c r="C2247" s="23" t="s">
        <v>3175</v>
      </c>
      <c r="D2247" s="23" t="s">
        <v>3303</v>
      </c>
      <c r="E2247" s="23" t="s">
        <v>3317</v>
      </c>
      <c r="F2247" s="23" t="s">
        <v>3729</v>
      </c>
      <c r="G2247" s="93">
        <v>3</v>
      </c>
      <c r="H2247" s="93">
        <v>1</v>
      </c>
      <c r="I2247" s="23"/>
      <c r="J2247" s="23"/>
      <c r="K2247" s="23"/>
      <c r="L2247" s="23" t="s">
        <v>6880</v>
      </c>
      <c r="M2247" s="23"/>
    </row>
    <row r="2248" spans="2:13" ht="15" customHeight="1" x14ac:dyDescent="0.25">
      <c r="B2248" s="35" t="s">
        <v>7416</v>
      </c>
      <c r="C2248" s="23" t="s">
        <v>7417</v>
      </c>
      <c r="D2248" s="23" t="s">
        <v>3303</v>
      </c>
      <c r="E2248" s="23" t="s">
        <v>3317</v>
      </c>
      <c r="F2248" s="23" t="s">
        <v>3729</v>
      </c>
      <c r="G2248" s="93">
        <v>3</v>
      </c>
      <c r="H2248" s="93">
        <v>1</v>
      </c>
      <c r="I2248" s="23"/>
      <c r="J2248" s="23"/>
      <c r="K2248" s="23"/>
      <c r="L2248" s="23" t="s">
        <v>6880</v>
      </c>
      <c r="M2248" s="23" t="s">
        <v>3694</v>
      </c>
    </row>
    <row r="2249" spans="2:13" ht="15" customHeight="1" x14ac:dyDescent="0.25">
      <c r="B2249" s="35" t="s">
        <v>7418</v>
      </c>
      <c r="C2249" s="23" t="s">
        <v>7419</v>
      </c>
      <c r="D2249" s="23" t="s">
        <v>3303</v>
      </c>
      <c r="E2249" s="23" t="s">
        <v>3317</v>
      </c>
      <c r="F2249" s="23" t="s">
        <v>3729</v>
      </c>
      <c r="G2249" s="93">
        <v>3</v>
      </c>
      <c r="H2249" s="93">
        <v>1</v>
      </c>
      <c r="I2249" s="23"/>
      <c r="J2249" s="23"/>
      <c r="K2249" s="23"/>
      <c r="L2249" s="23" t="s">
        <v>6880</v>
      </c>
      <c r="M2249" s="23" t="s">
        <v>3694</v>
      </c>
    </row>
    <row r="2250" spans="2:13" ht="15" customHeight="1" x14ac:dyDescent="0.25">
      <c r="B2250" s="35" t="s">
        <v>7420</v>
      </c>
      <c r="C2250" s="23" t="s">
        <v>7421</v>
      </c>
      <c r="D2250" s="23" t="s">
        <v>3303</v>
      </c>
      <c r="E2250" s="23" t="s">
        <v>3317</v>
      </c>
      <c r="F2250" s="23" t="s">
        <v>3729</v>
      </c>
      <c r="G2250" s="93">
        <v>3</v>
      </c>
      <c r="H2250" s="93">
        <v>1</v>
      </c>
      <c r="I2250" s="23"/>
      <c r="J2250" s="23"/>
      <c r="K2250" s="23"/>
      <c r="L2250" s="23" t="s">
        <v>6880</v>
      </c>
      <c r="M2250" s="23" t="s">
        <v>3694</v>
      </c>
    </row>
    <row r="2251" spans="2:13" ht="15" customHeight="1" x14ac:dyDescent="0.25">
      <c r="B2251" s="35" t="s">
        <v>7422</v>
      </c>
      <c r="C2251" s="23" t="s">
        <v>7423</v>
      </c>
      <c r="D2251" s="23" t="s">
        <v>3303</v>
      </c>
      <c r="E2251" s="23" t="s">
        <v>3317</v>
      </c>
      <c r="F2251" s="23" t="s">
        <v>3729</v>
      </c>
      <c r="G2251" s="93">
        <v>3</v>
      </c>
      <c r="H2251" s="93">
        <v>1</v>
      </c>
      <c r="I2251" s="23"/>
      <c r="J2251" s="23"/>
      <c r="K2251" s="23"/>
      <c r="L2251" s="23" t="s">
        <v>6880</v>
      </c>
      <c r="M2251" s="23" t="s">
        <v>3694</v>
      </c>
    </row>
    <row r="2252" spans="2:13" ht="15" customHeight="1" x14ac:dyDescent="0.25">
      <c r="B2252" s="35" t="s">
        <v>3176</v>
      </c>
      <c r="C2252" s="23" t="s">
        <v>3177</v>
      </c>
      <c r="D2252" s="23" t="s">
        <v>3303</v>
      </c>
      <c r="E2252" s="23" t="s">
        <v>3317</v>
      </c>
      <c r="F2252" s="23" t="s">
        <v>3729</v>
      </c>
      <c r="G2252" s="93">
        <v>3</v>
      </c>
      <c r="H2252" s="93">
        <v>0</v>
      </c>
      <c r="I2252" s="23"/>
      <c r="J2252" s="23"/>
      <c r="K2252" s="23"/>
      <c r="L2252" s="23" t="s">
        <v>6880</v>
      </c>
      <c r="M2252" s="23"/>
    </row>
    <row r="2253" spans="2:13" ht="15" customHeight="1" x14ac:dyDescent="0.25">
      <c r="B2253" s="35" t="s">
        <v>3179</v>
      </c>
      <c r="C2253" s="23" t="s">
        <v>3180</v>
      </c>
      <c r="D2253" s="23" t="s">
        <v>3303</v>
      </c>
      <c r="E2253" s="23" t="s">
        <v>3317</v>
      </c>
      <c r="F2253" s="23" t="s">
        <v>3729</v>
      </c>
      <c r="G2253" s="93">
        <v>3</v>
      </c>
      <c r="H2253" s="93">
        <v>0</v>
      </c>
      <c r="I2253" s="23"/>
      <c r="J2253" s="23"/>
      <c r="K2253" s="23"/>
      <c r="L2253" s="23" t="s">
        <v>6880</v>
      </c>
      <c r="M2253" s="23"/>
    </row>
    <row r="2254" spans="2:13" ht="15" customHeight="1" x14ac:dyDescent="0.25">
      <c r="B2254" s="35" t="s">
        <v>7424</v>
      </c>
      <c r="C2254" s="23" t="s">
        <v>7425</v>
      </c>
      <c r="D2254" s="23" t="s">
        <v>3303</v>
      </c>
      <c r="E2254" s="23" t="s">
        <v>3317</v>
      </c>
      <c r="F2254" s="23" t="s">
        <v>3729</v>
      </c>
      <c r="G2254" s="93">
        <v>3</v>
      </c>
      <c r="H2254" s="93">
        <v>1</v>
      </c>
      <c r="I2254" s="23"/>
      <c r="J2254" s="23"/>
      <c r="K2254" s="23"/>
      <c r="L2254" s="23" t="s">
        <v>6880</v>
      </c>
      <c r="M2254" s="23" t="s">
        <v>3694</v>
      </c>
    </row>
    <row r="2255" spans="2:13" ht="15" customHeight="1" x14ac:dyDescent="0.25">
      <c r="B2255" s="35" t="s">
        <v>3182</v>
      </c>
      <c r="C2255" s="23" t="s">
        <v>3183</v>
      </c>
      <c r="D2255" s="23" t="s">
        <v>3303</v>
      </c>
      <c r="E2255" s="23" t="s">
        <v>3317</v>
      </c>
      <c r="F2255" s="23" t="s">
        <v>3729</v>
      </c>
      <c r="G2255" s="93">
        <v>3</v>
      </c>
      <c r="H2255" s="93">
        <v>1</v>
      </c>
      <c r="I2255" s="23"/>
      <c r="J2255" s="23"/>
      <c r="K2255" s="23"/>
      <c r="L2255" s="23" t="s">
        <v>6880</v>
      </c>
      <c r="M2255" s="23"/>
    </row>
    <row r="2256" spans="2:13" ht="15" customHeight="1" x14ac:dyDescent="0.25">
      <c r="B2256" s="35" t="s">
        <v>7426</v>
      </c>
      <c r="C2256" s="23" t="s">
        <v>7427</v>
      </c>
      <c r="D2256" s="23" t="s">
        <v>3303</v>
      </c>
      <c r="E2256" s="23" t="s">
        <v>3317</v>
      </c>
      <c r="F2256" s="23" t="s">
        <v>3729</v>
      </c>
      <c r="G2256" s="93">
        <v>3</v>
      </c>
      <c r="H2256" s="93">
        <v>0</v>
      </c>
      <c r="I2256" s="23"/>
      <c r="J2256" s="23"/>
      <c r="K2256" s="23"/>
      <c r="L2256" s="23" t="s">
        <v>6880</v>
      </c>
      <c r="M2256" s="23"/>
    </row>
    <row r="2257" spans="2:13" ht="15" customHeight="1" x14ac:dyDescent="0.25">
      <c r="B2257" s="35" t="s">
        <v>7428</v>
      </c>
      <c r="C2257" s="23" t="s">
        <v>7429</v>
      </c>
      <c r="D2257" s="23" t="s">
        <v>3303</v>
      </c>
      <c r="E2257" s="23" t="s">
        <v>3317</v>
      </c>
      <c r="F2257" s="23" t="s">
        <v>3729</v>
      </c>
      <c r="G2257" s="93">
        <v>3</v>
      </c>
      <c r="H2257" s="93">
        <v>0</v>
      </c>
      <c r="I2257" s="23"/>
      <c r="J2257" s="23"/>
      <c r="K2257" s="23"/>
      <c r="L2257" s="23" t="s">
        <v>6880</v>
      </c>
      <c r="M2257" s="23"/>
    </row>
    <row r="2258" spans="2:13" ht="15" customHeight="1" x14ac:dyDescent="0.25">
      <c r="B2258" s="35" t="s">
        <v>7430</v>
      </c>
      <c r="C2258" s="23" t="s">
        <v>7431</v>
      </c>
      <c r="D2258" s="23" t="s">
        <v>3303</v>
      </c>
      <c r="E2258" s="23" t="s">
        <v>3317</v>
      </c>
      <c r="F2258" s="23" t="s">
        <v>3729</v>
      </c>
      <c r="G2258" s="93">
        <v>3</v>
      </c>
      <c r="H2258" s="93">
        <v>0</v>
      </c>
      <c r="I2258" s="23"/>
      <c r="J2258" s="23"/>
      <c r="K2258" s="23"/>
      <c r="L2258" s="23" t="s">
        <v>6880</v>
      </c>
      <c r="M2258" s="23"/>
    </row>
    <row r="2259" spans="2:13" ht="15" customHeight="1" x14ac:dyDescent="0.25">
      <c r="B2259" s="35" t="s">
        <v>7432</v>
      </c>
      <c r="C2259" s="23" t="s">
        <v>7433</v>
      </c>
      <c r="D2259" s="23" t="s">
        <v>3303</v>
      </c>
      <c r="E2259" s="23" t="s">
        <v>3317</v>
      </c>
      <c r="F2259" s="23" t="s">
        <v>3729</v>
      </c>
      <c r="G2259" s="93">
        <v>3</v>
      </c>
      <c r="H2259" s="93">
        <v>0</v>
      </c>
      <c r="I2259" s="23"/>
      <c r="J2259" s="23"/>
      <c r="K2259" s="23"/>
      <c r="L2259" s="23" t="s">
        <v>6880</v>
      </c>
      <c r="M2259" s="23"/>
    </row>
    <row r="2260" spans="2:13" ht="15" customHeight="1" x14ac:dyDescent="0.25">
      <c r="B2260" s="35" t="s">
        <v>7434</v>
      </c>
      <c r="C2260" s="23" t="s">
        <v>7435</v>
      </c>
      <c r="D2260" s="23" t="s">
        <v>3303</v>
      </c>
      <c r="E2260" s="23" t="s">
        <v>3317</v>
      </c>
      <c r="F2260" s="23" t="s">
        <v>3729</v>
      </c>
      <c r="G2260" s="93">
        <v>3</v>
      </c>
      <c r="H2260" s="93">
        <v>0</v>
      </c>
      <c r="I2260" s="23"/>
      <c r="J2260" s="23"/>
      <c r="K2260" s="23"/>
      <c r="L2260" s="23" t="s">
        <v>6880</v>
      </c>
      <c r="M2260" s="23"/>
    </row>
    <row r="2261" spans="2:13" ht="15" customHeight="1" x14ac:dyDescent="0.25">
      <c r="B2261" s="35" t="s">
        <v>7436</v>
      </c>
      <c r="C2261" s="23" t="s">
        <v>7437</v>
      </c>
      <c r="D2261" s="23" t="s">
        <v>3303</v>
      </c>
      <c r="E2261" s="23" t="s">
        <v>3317</v>
      </c>
      <c r="F2261" s="23" t="s">
        <v>3729</v>
      </c>
      <c r="G2261" s="93">
        <v>3</v>
      </c>
      <c r="H2261" s="93">
        <v>0</v>
      </c>
      <c r="I2261" s="23"/>
      <c r="J2261" s="23"/>
      <c r="K2261" s="23"/>
      <c r="L2261" s="23" t="s">
        <v>6880</v>
      </c>
      <c r="M2261" s="23"/>
    </row>
    <row r="2262" spans="2:13" ht="15" customHeight="1" x14ac:dyDescent="0.25">
      <c r="B2262" s="35" t="s">
        <v>7438</v>
      </c>
      <c r="C2262" s="23" t="s">
        <v>7439</v>
      </c>
      <c r="D2262" s="23" t="s">
        <v>3303</v>
      </c>
      <c r="E2262" s="23" t="s">
        <v>3317</v>
      </c>
      <c r="F2262" s="23" t="s">
        <v>3729</v>
      </c>
      <c r="G2262" s="93">
        <v>3</v>
      </c>
      <c r="H2262" s="93">
        <v>1</v>
      </c>
      <c r="I2262" s="23"/>
      <c r="J2262" s="23"/>
      <c r="K2262" s="23"/>
      <c r="L2262" s="23" t="s">
        <v>6880</v>
      </c>
      <c r="M2262" s="23" t="s">
        <v>3694</v>
      </c>
    </row>
    <row r="2263" spans="2:13" ht="15" customHeight="1" x14ac:dyDescent="0.25">
      <c r="B2263" s="35" t="s">
        <v>7440</v>
      </c>
      <c r="C2263" s="23" t="s">
        <v>7441</v>
      </c>
      <c r="D2263" s="23" t="s">
        <v>3303</v>
      </c>
      <c r="E2263" s="23" t="s">
        <v>3317</v>
      </c>
      <c r="F2263" s="23" t="s">
        <v>3729</v>
      </c>
      <c r="G2263" s="93">
        <v>3</v>
      </c>
      <c r="H2263" s="93">
        <v>1</v>
      </c>
      <c r="I2263" s="23"/>
      <c r="J2263" s="23"/>
      <c r="K2263" s="23"/>
      <c r="L2263" s="23" t="s">
        <v>6880</v>
      </c>
      <c r="M2263" s="23" t="s">
        <v>3694</v>
      </c>
    </row>
    <row r="2264" spans="2:13" ht="15" customHeight="1" x14ac:dyDescent="0.25">
      <c r="B2264" s="35" t="s">
        <v>7442</v>
      </c>
      <c r="C2264" s="23" t="s">
        <v>7443</v>
      </c>
      <c r="D2264" s="23" t="s">
        <v>3303</v>
      </c>
      <c r="E2264" s="23" t="s">
        <v>3317</v>
      </c>
      <c r="F2264" s="23" t="s">
        <v>3729</v>
      </c>
      <c r="G2264" s="93">
        <v>3</v>
      </c>
      <c r="H2264" s="93">
        <v>0</v>
      </c>
      <c r="I2264" s="23"/>
      <c r="J2264" s="23"/>
      <c r="K2264" s="23"/>
      <c r="L2264" s="23" t="s">
        <v>6880</v>
      </c>
      <c r="M2264" s="23"/>
    </row>
    <row r="2265" spans="2:13" ht="15" customHeight="1" x14ac:dyDescent="0.25">
      <c r="B2265" s="35" t="s">
        <v>7444</v>
      </c>
      <c r="C2265" s="23" t="s">
        <v>7445</v>
      </c>
      <c r="D2265" s="23" t="s">
        <v>3303</v>
      </c>
      <c r="E2265" s="23" t="s">
        <v>3317</v>
      </c>
      <c r="F2265" s="23" t="s">
        <v>3729</v>
      </c>
      <c r="G2265" s="93">
        <v>3</v>
      </c>
      <c r="H2265" s="93">
        <v>0</v>
      </c>
      <c r="I2265" s="23"/>
      <c r="J2265" s="23"/>
      <c r="K2265" s="23"/>
      <c r="L2265" s="23" t="s">
        <v>6880</v>
      </c>
      <c r="M2265" s="23"/>
    </row>
    <row r="2266" spans="2:13" ht="15" customHeight="1" x14ac:dyDescent="0.25">
      <c r="B2266" s="35" t="s">
        <v>7446</v>
      </c>
      <c r="C2266" s="23" t="s">
        <v>7447</v>
      </c>
      <c r="D2266" s="23" t="s">
        <v>3303</v>
      </c>
      <c r="E2266" s="23" t="s">
        <v>3317</v>
      </c>
      <c r="F2266" s="23" t="s">
        <v>3729</v>
      </c>
      <c r="G2266" s="93">
        <v>3</v>
      </c>
      <c r="H2266" s="93">
        <v>0</v>
      </c>
      <c r="I2266" s="23"/>
      <c r="J2266" s="23"/>
      <c r="K2266" s="23"/>
      <c r="L2266" s="23" t="s">
        <v>6880</v>
      </c>
      <c r="M2266" s="23"/>
    </row>
    <row r="2267" spans="2:13" ht="15" customHeight="1" x14ac:dyDescent="0.25">
      <c r="B2267" s="35" t="s">
        <v>7448</v>
      </c>
      <c r="C2267" s="23" t="s">
        <v>7449</v>
      </c>
      <c r="D2267" s="23" t="s">
        <v>3303</v>
      </c>
      <c r="E2267" s="23" t="s">
        <v>3317</v>
      </c>
      <c r="F2267" s="23" t="s">
        <v>3729</v>
      </c>
      <c r="G2267" s="93">
        <v>3</v>
      </c>
      <c r="H2267" s="93">
        <v>0</v>
      </c>
      <c r="I2267" s="23"/>
      <c r="J2267" s="23"/>
      <c r="K2267" s="23"/>
      <c r="L2267" s="23" t="s">
        <v>6880</v>
      </c>
      <c r="M2267" s="23"/>
    </row>
    <row r="2268" spans="2:13" ht="15" customHeight="1" x14ac:dyDescent="0.25">
      <c r="B2268" s="35" t="s">
        <v>7450</v>
      </c>
      <c r="C2268" s="23" t="s">
        <v>7451</v>
      </c>
      <c r="D2268" s="23" t="s">
        <v>3303</v>
      </c>
      <c r="E2268" s="23" t="s">
        <v>3317</v>
      </c>
      <c r="F2268" s="23" t="s">
        <v>3729</v>
      </c>
      <c r="G2268" s="93">
        <v>3</v>
      </c>
      <c r="H2268" s="93">
        <v>0</v>
      </c>
      <c r="I2268" s="23"/>
      <c r="J2268" s="23"/>
      <c r="K2268" s="23"/>
      <c r="L2268" s="23" t="s">
        <v>6880</v>
      </c>
      <c r="M2268" s="23"/>
    </row>
    <row r="2269" spans="2:13" ht="15" customHeight="1" x14ac:dyDescent="0.25">
      <c r="B2269" s="35" t="s">
        <v>7452</v>
      </c>
      <c r="C2269" s="23" t="s">
        <v>7453</v>
      </c>
      <c r="D2269" s="23" t="s">
        <v>3303</v>
      </c>
      <c r="E2269" s="23" t="s">
        <v>3317</v>
      </c>
      <c r="F2269" s="23" t="s">
        <v>3729</v>
      </c>
      <c r="G2269" s="93">
        <v>3</v>
      </c>
      <c r="H2269" s="93">
        <v>0</v>
      </c>
      <c r="I2269" s="23"/>
      <c r="J2269" s="23"/>
      <c r="K2269" s="23"/>
      <c r="L2269" s="23" t="s">
        <v>6880</v>
      </c>
      <c r="M2269" s="23"/>
    </row>
    <row r="2270" spans="2:13" ht="15" customHeight="1" x14ac:dyDescent="0.25">
      <c r="B2270" s="35" t="s">
        <v>7454</v>
      </c>
      <c r="C2270" s="23" t="s">
        <v>7455</v>
      </c>
      <c r="D2270" s="23" t="s">
        <v>3303</v>
      </c>
      <c r="E2270" s="23" t="s">
        <v>3317</v>
      </c>
      <c r="F2270" s="23" t="s">
        <v>3729</v>
      </c>
      <c r="G2270" s="93">
        <v>3</v>
      </c>
      <c r="H2270" s="93">
        <v>1</v>
      </c>
      <c r="I2270" s="23"/>
      <c r="J2270" s="23"/>
      <c r="K2270" s="23"/>
      <c r="L2270" s="23" t="s">
        <v>6880</v>
      </c>
      <c r="M2270" s="23" t="s">
        <v>3694</v>
      </c>
    </row>
    <row r="2271" spans="2:13" ht="15" customHeight="1" x14ac:dyDescent="0.25">
      <c r="B2271" s="35" t="s">
        <v>7456</v>
      </c>
      <c r="C2271" s="23" t="s">
        <v>7457</v>
      </c>
      <c r="D2271" s="23" t="s">
        <v>3303</v>
      </c>
      <c r="E2271" s="23" t="s">
        <v>3317</v>
      </c>
      <c r="F2271" s="23" t="s">
        <v>3729</v>
      </c>
      <c r="G2271" s="93">
        <v>3</v>
      </c>
      <c r="H2271" s="93">
        <v>1</v>
      </c>
      <c r="I2271" s="23"/>
      <c r="J2271" s="23"/>
      <c r="K2271" s="23"/>
      <c r="L2271" s="23" t="s">
        <v>6880</v>
      </c>
      <c r="M2271" s="23" t="s">
        <v>3694</v>
      </c>
    </row>
    <row r="2272" spans="2:13" ht="15" customHeight="1" x14ac:dyDescent="0.25">
      <c r="B2272" s="35" t="s">
        <v>7458</v>
      </c>
      <c r="C2272" s="23" t="s">
        <v>7459</v>
      </c>
      <c r="D2272" s="23" t="s">
        <v>3303</v>
      </c>
      <c r="E2272" s="23" t="s">
        <v>3317</v>
      </c>
      <c r="F2272" s="23" t="s">
        <v>3729</v>
      </c>
      <c r="G2272" s="93">
        <v>3</v>
      </c>
      <c r="H2272" s="93">
        <v>1</v>
      </c>
      <c r="I2272" s="23"/>
      <c r="J2272" s="23"/>
      <c r="K2272" s="23"/>
      <c r="L2272" s="23" t="s">
        <v>6880</v>
      </c>
      <c r="M2272" s="23" t="s">
        <v>3694</v>
      </c>
    </row>
    <row r="2273" spans="2:13" ht="15" customHeight="1" x14ac:dyDescent="0.25">
      <c r="B2273" s="35" t="s">
        <v>7460</v>
      </c>
      <c r="C2273" s="23" t="s">
        <v>7461</v>
      </c>
      <c r="D2273" s="23" t="s">
        <v>3303</v>
      </c>
      <c r="E2273" s="23" t="s">
        <v>3317</v>
      </c>
      <c r="F2273" s="23" t="s">
        <v>3729</v>
      </c>
      <c r="G2273" s="93">
        <v>3</v>
      </c>
      <c r="H2273" s="93">
        <v>1</v>
      </c>
      <c r="I2273" s="23"/>
      <c r="J2273" s="23"/>
      <c r="K2273" s="23"/>
      <c r="L2273" s="23" t="s">
        <v>6880</v>
      </c>
      <c r="M2273" s="23" t="s">
        <v>3694</v>
      </c>
    </row>
    <row r="2274" spans="2:13" ht="15" customHeight="1" x14ac:dyDescent="0.25">
      <c r="B2274" s="35" t="s">
        <v>7462</v>
      </c>
      <c r="C2274" s="23" t="s">
        <v>7463</v>
      </c>
      <c r="D2274" s="23" t="s">
        <v>3303</v>
      </c>
      <c r="E2274" s="23" t="s">
        <v>3317</v>
      </c>
      <c r="F2274" s="23" t="s">
        <v>3729</v>
      </c>
      <c r="G2274" s="93">
        <v>3</v>
      </c>
      <c r="H2274" s="93">
        <v>1</v>
      </c>
      <c r="I2274" s="23"/>
      <c r="J2274" s="23"/>
      <c r="K2274" s="23"/>
      <c r="L2274" s="23" t="s">
        <v>6880</v>
      </c>
      <c r="M2274" s="23" t="s">
        <v>3694</v>
      </c>
    </row>
    <row r="2275" spans="2:13" ht="15" customHeight="1" x14ac:dyDescent="0.25">
      <c r="B2275" s="35" t="s">
        <v>7464</v>
      </c>
      <c r="C2275" s="23" t="s">
        <v>7465</v>
      </c>
      <c r="D2275" s="23" t="s">
        <v>3303</v>
      </c>
      <c r="E2275" s="23" t="s">
        <v>3317</v>
      </c>
      <c r="F2275" s="23" t="s">
        <v>3729</v>
      </c>
      <c r="G2275" s="93">
        <v>3</v>
      </c>
      <c r="H2275" s="93">
        <v>1</v>
      </c>
      <c r="I2275" s="23"/>
      <c r="J2275" s="23"/>
      <c r="K2275" s="23"/>
      <c r="L2275" s="23" t="s">
        <v>6880</v>
      </c>
      <c r="M2275" s="23" t="s">
        <v>3694</v>
      </c>
    </row>
    <row r="2276" spans="2:13" ht="15" customHeight="1" x14ac:dyDescent="0.25">
      <c r="B2276" s="35" t="s">
        <v>7466</v>
      </c>
      <c r="C2276" s="23" t="s">
        <v>7467</v>
      </c>
      <c r="D2276" s="23" t="s">
        <v>3303</v>
      </c>
      <c r="E2276" s="23" t="s">
        <v>3317</v>
      </c>
      <c r="F2276" s="23" t="s">
        <v>3729</v>
      </c>
      <c r="G2276" s="93">
        <v>3</v>
      </c>
      <c r="H2276" s="93">
        <v>1</v>
      </c>
      <c r="I2276" s="23"/>
      <c r="J2276" s="23"/>
      <c r="K2276" s="23"/>
      <c r="L2276" s="23" t="s">
        <v>6880</v>
      </c>
      <c r="M2276" s="23" t="s">
        <v>3694</v>
      </c>
    </row>
    <row r="2277" spans="2:13" ht="15" customHeight="1" x14ac:dyDescent="0.25">
      <c r="B2277" s="35" t="s">
        <v>7468</v>
      </c>
      <c r="C2277" s="23" t="s">
        <v>7469</v>
      </c>
      <c r="D2277" s="23" t="s">
        <v>3303</v>
      </c>
      <c r="E2277" s="23" t="s">
        <v>3317</v>
      </c>
      <c r="F2277" s="23" t="s">
        <v>3729</v>
      </c>
      <c r="G2277" s="93">
        <v>3</v>
      </c>
      <c r="H2277" s="93">
        <v>1</v>
      </c>
      <c r="I2277" s="23"/>
      <c r="J2277" s="23"/>
      <c r="K2277" s="23"/>
      <c r="L2277" s="23" t="s">
        <v>6880</v>
      </c>
      <c r="M2277" s="23" t="s">
        <v>3694</v>
      </c>
    </row>
    <row r="2278" spans="2:13" ht="15" customHeight="1" x14ac:dyDescent="0.25">
      <c r="B2278" s="35" t="s">
        <v>7470</v>
      </c>
      <c r="C2278" s="23" t="s">
        <v>7471</v>
      </c>
      <c r="D2278" s="23" t="s">
        <v>3303</v>
      </c>
      <c r="E2278" s="23" t="s">
        <v>3317</v>
      </c>
      <c r="F2278" s="23" t="s">
        <v>3729</v>
      </c>
      <c r="G2278" s="93">
        <v>3</v>
      </c>
      <c r="H2278" s="93">
        <v>1</v>
      </c>
      <c r="I2278" s="23"/>
      <c r="J2278" s="23"/>
      <c r="K2278" s="23"/>
      <c r="L2278" s="23" t="s">
        <v>6880</v>
      </c>
      <c r="M2278" s="23" t="s">
        <v>3694</v>
      </c>
    </row>
    <row r="2279" spans="2:13" ht="15" customHeight="1" x14ac:dyDescent="0.25">
      <c r="B2279" s="35" t="s">
        <v>7472</v>
      </c>
      <c r="C2279" s="23" t="s">
        <v>7473</v>
      </c>
      <c r="D2279" s="23" t="s">
        <v>3303</v>
      </c>
      <c r="E2279" s="23" t="s">
        <v>3317</v>
      </c>
      <c r="F2279" s="23" t="s">
        <v>3729</v>
      </c>
      <c r="G2279" s="93">
        <v>3</v>
      </c>
      <c r="H2279" s="93">
        <v>1</v>
      </c>
      <c r="I2279" s="23"/>
      <c r="J2279" s="23"/>
      <c r="K2279" s="23"/>
      <c r="L2279" s="23" t="s">
        <v>6880</v>
      </c>
      <c r="M2279" s="23" t="s">
        <v>3694</v>
      </c>
    </row>
    <row r="2280" spans="2:13" ht="15" customHeight="1" x14ac:dyDescent="0.25">
      <c r="B2280" s="35" t="s">
        <v>7474</v>
      </c>
      <c r="C2280" s="23" t="s">
        <v>7475</v>
      </c>
      <c r="D2280" s="23" t="s">
        <v>3303</v>
      </c>
      <c r="E2280" s="23" t="s">
        <v>3317</v>
      </c>
      <c r="F2280" s="23" t="s">
        <v>3729</v>
      </c>
      <c r="G2280" s="93">
        <v>3</v>
      </c>
      <c r="H2280" s="93">
        <v>1</v>
      </c>
      <c r="I2280" s="23"/>
      <c r="J2280" s="23"/>
      <c r="K2280" s="23"/>
      <c r="L2280" s="23" t="s">
        <v>6880</v>
      </c>
      <c r="M2280" s="23" t="s">
        <v>3694</v>
      </c>
    </row>
    <row r="2281" spans="2:13" ht="15" customHeight="1" x14ac:dyDescent="0.25">
      <c r="B2281" s="35" t="s">
        <v>7476</v>
      </c>
      <c r="C2281" s="23" t="s">
        <v>7477</v>
      </c>
      <c r="D2281" s="23" t="s">
        <v>3303</v>
      </c>
      <c r="E2281" s="23" t="s">
        <v>3317</v>
      </c>
      <c r="F2281" s="23" t="s">
        <v>3729</v>
      </c>
      <c r="G2281" s="93">
        <v>3</v>
      </c>
      <c r="H2281" s="93">
        <v>1</v>
      </c>
      <c r="I2281" s="23"/>
      <c r="J2281" s="23"/>
      <c r="K2281" s="23"/>
      <c r="L2281" s="23" t="s">
        <v>6880</v>
      </c>
      <c r="M2281" s="23" t="s">
        <v>3694</v>
      </c>
    </row>
    <row r="2282" spans="2:13" ht="15" customHeight="1" x14ac:dyDescent="0.25">
      <c r="B2282" s="35" t="s">
        <v>7478</v>
      </c>
      <c r="C2282" s="23" t="s">
        <v>7479</v>
      </c>
      <c r="D2282" s="23" t="s">
        <v>3303</v>
      </c>
      <c r="E2282" s="23" t="s">
        <v>3317</v>
      </c>
      <c r="F2282" s="23" t="s">
        <v>3729</v>
      </c>
      <c r="G2282" s="93">
        <v>3</v>
      </c>
      <c r="H2282" s="93">
        <v>1</v>
      </c>
      <c r="I2282" s="23"/>
      <c r="J2282" s="23"/>
      <c r="K2282" s="23"/>
      <c r="L2282" s="23" t="s">
        <v>6880</v>
      </c>
      <c r="M2282" s="23" t="s">
        <v>3694</v>
      </c>
    </row>
    <row r="2283" spans="2:13" ht="15" customHeight="1" x14ac:dyDescent="0.25">
      <c r="B2283" s="35" t="s">
        <v>7480</v>
      </c>
      <c r="C2283" s="23" t="s">
        <v>7481</v>
      </c>
      <c r="D2283" s="23" t="s">
        <v>3303</v>
      </c>
      <c r="E2283" s="23" t="s">
        <v>3317</v>
      </c>
      <c r="F2283" s="23" t="s">
        <v>3729</v>
      </c>
      <c r="G2283" s="93">
        <v>3</v>
      </c>
      <c r="H2283" s="93">
        <v>1</v>
      </c>
      <c r="I2283" s="23"/>
      <c r="J2283" s="23"/>
      <c r="K2283" s="23"/>
      <c r="L2283" s="23" t="s">
        <v>6880</v>
      </c>
      <c r="M2283" s="23" t="s">
        <v>3694</v>
      </c>
    </row>
    <row r="2284" spans="2:13" ht="15" customHeight="1" x14ac:dyDescent="0.25">
      <c r="B2284" s="35" t="s">
        <v>7482</v>
      </c>
      <c r="C2284" s="23" t="s">
        <v>7483</v>
      </c>
      <c r="D2284" s="23" t="s">
        <v>3303</v>
      </c>
      <c r="E2284" s="23" t="s">
        <v>3317</v>
      </c>
      <c r="F2284" s="23" t="s">
        <v>3729</v>
      </c>
      <c r="G2284" s="93">
        <v>3</v>
      </c>
      <c r="H2284" s="93">
        <v>1</v>
      </c>
      <c r="I2284" s="23"/>
      <c r="J2284" s="23"/>
      <c r="K2284" s="23"/>
      <c r="L2284" s="23" t="s">
        <v>6880</v>
      </c>
      <c r="M2284" s="23" t="s">
        <v>3694</v>
      </c>
    </row>
    <row r="2285" spans="2:13" ht="15" customHeight="1" x14ac:dyDescent="0.25">
      <c r="B2285" s="35" t="s">
        <v>7484</v>
      </c>
      <c r="C2285" s="23" t="s">
        <v>7485</v>
      </c>
      <c r="D2285" s="23" t="s">
        <v>3303</v>
      </c>
      <c r="E2285" s="23" t="s">
        <v>3317</v>
      </c>
      <c r="F2285" s="23" t="s">
        <v>3729</v>
      </c>
      <c r="G2285" s="93">
        <v>3</v>
      </c>
      <c r="H2285" s="93">
        <v>1</v>
      </c>
      <c r="I2285" s="23"/>
      <c r="J2285" s="23"/>
      <c r="K2285" s="23"/>
      <c r="L2285" s="23" t="s">
        <v>6880</v>
      </c>
      <c r="M2285" s="23" t="s">
        <v>3694</v>
      </c>
    </row>
    <row r="2286" spans="2:13" ht="15" customHeight="1" x14ac:dyDescent="0.25">
      <c r="B2286" s="35" t="s">
        <v>7486</v>
      </c>
      <c r="C2286" s="23" t="s">
        <v>7487</v>
      </c>
      <c r="D2286" s="23" t="s">
        <v>3303</v>
      </c>
      <c r="E2286" s="23" t="s">
        <v>3317</v>
      </c>
      <c r="F2286" s="23" t="s">
        <v>3729</v>
      </c>
      <c r="G2286" s="93">
        <v>3</v>
      </c>
      <c r="H2286" s="93">
        <v>1</v>
      </c>
      <c r="I2286" s="23"/>
      <c r="J2286" s="23"/>
      <c r="K2286" s="23"/>
      <c r="L2286" s="23" t="s">
        <v>6880</v>
      </c>
      <c r="M2286" s="23" t="s">
        <v>3694</v>
      </c>
    </row>
    <row r="2287" spans="2:13" ht="15" customHeight="1" x14ac:dyDescent="0.25">
      <c r="B2287" s="35" t="s">
        <v>7488</v>
      </c>
      <c r="C2287" s="23" t="s">
        <v>7489</v>
      </c>
      <c r="D2287" s="23" t="s">
        <v>3303</v>
      </c>
      <c r="E2287" s="23" t="s">
        <v>3317</v>
      </c>
      <c r="F2287" s="23" t="s">
        <v>3729</v>
      </c>
      <c r="G2287" s="93">
        <v>3</v>
      </c>
      <c r="H2287" s="93">
        <v>1</v>
      </c>
      <c r="I2287" s="23"/>
      <c r="J2287" s="23"/>
      <c r="K2287" s="23"/>
      <c r="L2287" s="23" t="s">
        <v>6880</v>
      </c>
      <c r="M2287" s="23" t="s">
        <v>3694</v>
      </c>
    </row>
    <row r="2288" spans="2:13" ht="15" customHeight="1" x14ac:dyDescent="0.25">
      <c r="B2288" s="35" t="s">
        <v>7490</v>
      </c>
      <c r="C2288" s="23" t="s">
        <v>7491</v>
      </c>
      <c r="D2288" s="23" t="s">
        <v>3303</v>
      </c>
      <c r="E2288" s="23" t="s">
        <v>3317</v>
      </c>
      <c r="F2288" s="23" t="s">
        <v>3729</v>
      </c>
      <c r="G2288" s="93">
        <v>3</v>
      </c>
      <c r="H2288" s="93">
        <v>1</v>
      </c>
      <c r="I2288" s="23"/>
      <c r="J2288" s="23"/>
      <c r="K2288" s="23"/>
      <c r="L2288" s="23" t="s">
        <v>6880</v>
      </c>
      <c r="M2288" s="23" t="s">
        <v>3694</v>
      </c>
    </row>
    <row r="2289" spans="2:13" ht="15" customHeight="1" x14ac:dyDescent="0.25">
      <c r="B2289" s="35" t="s">
        <v>7492</v>
      </c>
      <c r="C2289" s="23" t="s">
        <v>7493</v>
      </c>
      <c r="D2289" s="23" t="s">
        <v>3303</v>
      </c>
      <c r="E2289" s="23" t="s">
        <v>3317</v>
      </c>
      <c r="F2289" s="23" t="s">
        <v>3729</v>
      </c>
      <c r="G2289" s="93">
        <v>3</v>
      </c>
      <c r="H2289" s="93">
        <v>1</v>
      </c>
      <c r="I2289" s="23"/>
      <c r="J2289" s="23"/>
      <c r="K2289" s="23"/>
      <c r="L2289" s="23" t="s">
        <v>6880</v>
      </c>
      <c r="M2289" s="23" t="s">
        <v>3694</v>
      </c>
    </row>
    <row r="2290" spans="2:13" ht="15" customHeight="1" x14ac:dyDescent="0.25">
      <c r="B2290" s="35" t="s">
        <v>7494</v>
      </c>
      <c r="C2290" s="23" t="s">
        <v>7495</v>
      </c>
      <c r="D2290" s="23" t="s">
        <v>3303</v>
      </c>
      <c r="E2290" s="23" t="s">
        <v>3317</v>
      </c>
      <c r="F2290" s="23" t="s">
        <v>3729</v>
      </c>
      <c r="G2290" s="93">
        <v>3</v>
      </c>
      <c r="H2290" s="93">
        <v>1</v>
      </c>
      <c r="I2290" s="23"/>
      <c r="J2290" s="23"/>
      <c r="K2290" s="23"/>
      <c r="L2290" s="23" t="s">
        <v>6880</v>
      </c>
      <c r="M2290" s="23" t="s">
        <v>3694</v>
      </c>
    </row>
    <row r="2291" spans="2:13" ht="15" customHeight="1" x14ac:dyDescent="0.25">
      <c r="B2291" s="35" t="s">
        <v>7496</v>
      </c>
      <c r="C2291" s="23" t="s">
        <v>7497</v>
      </c>
      <c r="D2291" s="23" t="s">
        <v>3303</v>
      </c>
      <c r="E2291" s="23" t="s">
        <v>3317</v>
      </c>
      <c r="F2291" s="23" t="s">
        <v>3729</v>
      </c>
      <c r="G2291" s="93">
        <v>3</v>
      </c>
      <c r="H2291" s="93">
        <v>1</v>
      </c>
      <c r="I2291" s="23"/>
      <c r="J2291" s="23"/>
      <c r="K2291" s="23"/>
      <c r="L2291" s="23" t="s">
        <v>6880</v>
      </c>
      <c r="M2291" s="23" t="s">
        <v>3694</v>
      </c>
    </row>
    <row r="2292" spans="2:13" ht="15" customHeight="1" x14ac:dyDescent="0.25">
      <c r="B2292" s="35" t="s">
        <v>3185</v>
      </c>
      <c r="C2292" s="23" t="s">
        <v>3186</v>
      </c>
      <c r="D2292" s="23" t="s">
        <v>3303</v>
      </c>
      <c r="E2292" s="23" t="s">
        <v>3317</v>
      </c>
      <c r="F2292" s="23" t="s">
        <v>3729</v>
      </c>
      <c r="G2292" s="93">
        <v>3</v>
      </c>
      <c r="H2292" s="93">
        <v>0</v>
      </c>
      <c r="I2292" s="23"/>
      <c r="J2292" s="23"/>
      <c r="K2292" s="23"/>
      <c r="L2292" s="23" t="s">
        <v>6880</v>
      </c>
      <c r="M2292" s="23"/>
    </row>
    <row r="2293" spans="2:13" ht="15" customHeight="1" x14ac:dyDescent="0.25">
      <c r="B2293" s="35" t="s">
        <v>7498</v>
      </c>
      <c r="C2293" s="23" t="s">
        <v>7499</v>
      </c>
      <c r="D2293" s="23" t="s">
        <v>3303</v>
      </c>
      <c r="E2293" s="23" t="s">
        <v>3317</v>
      </c>
      <c r="F2293" s="23" t="s">
        <v>3729</v>
      </c>
      <c r="G2293" s="93">
        <v>3</v>
      </c>
      <c r="H2293" s="93">
        <v>1</v>
      </c>
      <c r="I2293" s="23"/>
      <c r="J2293" s="23"/>
      <c r="K2293" s="23"/>
      <c r="L2293" s="23" t="s">
        <v>6880</v>
      </c>
      <c r="M2293" s="23" t="s">
        <v>3694</v>
      </c>
    </row>
    <row r="2294" spans="2:13" ht="15" customHeight="1" x14ac:dyDescent="0.25">
      <c r="B2294" s="35" t="s">
        <v>7500</v>
      </c>
      <c r="C2294" s="23" t="s">
        <v>7501</v>
      </c>
      <c r="D2294" s="23" t="s">
        <v>3303</v>
      </c>
      <c r="E2294" s="23" t="s">
        <v>3317</v>
      </c>
      <c r="F2294" s="23" t="s">
        <v>3729</v>
      </c>
      <c r="G2294" s="93">
        <v>3</v>
      </c>
      <c r="H2294" s="93">
        <v>1</v>
      </c>
      <c r="I2294" s="23"/>
      <c r="J2294" s="23"/>
      <c r="K2294" s="23"/>
      <c r="L2294" s="23" t="s">
        <v>6880</v>
      </c>
      <c r="M2294" s="23" t="s">
        <v>3694</v>
      </c>
    </row>
    <row r="2295" spans="2:13" ht="15" customHeight="1" x14ac:dyDescent="0.25">
      <c r="B2295" s="35" t="s">
        <v>7502</v>
      </c>
      <c r="C2295" s="23" t="s">
        <v>7503</v>
      </c>
      <c r="D2295" s="23" t="s">
        <v>3303</v>
      </c>
      <c r="E2295" s="23" t="s">
        <v>3317</v>
      </c>
      <c r="F2295" s="23" t="s">
        <v>3729</v>
      </c>
      <c r="G2295" s="93">
        <v>3</v>
      </c>
      <c r="H2295" s="93">
        <v>1</v>
      </c>
      <c r="I2295" s="23"/>
      <c r="J2295" s="23"/>
      <c r="K2295" s="23"/>
      <c r="L2295" s="23" t="s">
        <v>6880</v>
      </c>
      <c r="M2295" s="23" t="s">
        <v>3694</v>
      </c>
    </row>
    <row r="2296" spans="2:13" ht="15" customHeight="1" x14ac:dyDescent="0.25">
      <c r="B2296" s="35" t="s">
        <v>3188</v>
      </c>
      <c r="C2296" s="23" t="s">
        <v>3189</v>
      </c>
      <c r="D2296" s="23" t="s">
        <v>3303</v>
      </c>
      <c r="E2296" s="23" t="s">
        <v>3317</v>
      </c>
      <c r="F2296" s="23" t="s">
        <v>3729</v>
      </c>
      <c r="G2296" s="93">
        <v>3</v>
      </c>
      <c r="H2296" s="93">
        <v>0</v>
      </c>
      <c r="I2296" s="23"/>
      <c r="J2296" s="23"/>
      <c r="K2296" s="23"/>
      <c r="L2296" s="23" t="s">
        <v>6880</v>
      </c>
      <c r="M2296" s="23"/>
    </row>
    <row r="2297" spans="2:13" ht="15" customHeight="1" x14ac:dyDescent="0.25">
      <c r="B2297" s="35" t="s">
        <v>7504</v>
      </c>
      <c r="C2297" s="23" t="s">
        <v>7505</v>
      </c>
      <c r="D2297" s="23" t="s">
        <v>3303</v>
      </c>
      <c r="E2297" s="23" t="s">
        <v>3317</v>
      </c>
      <c r="F2297" s="23" t="s">
        <v>3729</v>
      </c>
      <c r="G2297" s="93">
        <v>3</v>
      </c>
      <c r="H2297" s="93">
        <v>1</v>
      </c>
      <c r="I2297" s="23"/>
      <c r="J2297" s="23"/>
      <c r="K2297" s="23"/>
      <c r="L2297" s="23" t="s">
        <v>6880</v>
      </c>
      <c r="M2297" s="23" t="s">
        <v>3694</v>
      </c>
    </row>
    <row r="2298" spans="2:13" ht="15" customHeight="1" x14ac:dyDescent="0.25">
      <c r="B2298" s="35" t="s">
        <v>7506</v>
      </c>
      <c r="C2298" s="23" t="s">
        <v>7507</v>
      </c>
      <c r="D2298" s="23" t="s">
        <v>3303</v>
      </c>
      <c r="E2298" s="23" t="s">
        <v>3317</v>
      </c>
      <c r="F2298" s="23" t="s">
        <v>3729</v>
      </c>
      <c r="G2298" s="93">
        <v>3</v>
      </c>
      <c r="H2298" s="93">
        <v>1</v>
      </c>
      <c r="I2298" s="23"/>
      <c r="J2298" s="23"/>
      <c r="K2298" s="23"/>
      <c r="L2298" s="23" t="s">
        <v>6880</v>
      </c>
      <c r="M2298" s="23" t="s">
        <v>3694</v>
      </c>
    </row>
    <row r="2299" spans="2:13" ht="15" customHeight="1" x14ac:dyDescent="0.25">
      <c r="B2299" s="35" t="s">
        <v>7508</v>
      </c>
      <c r="C2299" s="23" t="s">
        <v>7509</v>
      </c>
      <c r="D2299" s="23" t="s">
        <v>3303</v>
      </c>
      <c r="E2299" s="23" t="s">
        <v>3317</v>
      </c>
      <c r="F2299" s="23" t="s">
        <v>3729</v>
      </c>
      <c r="G2299" s="93">
        <v>3</v>
      </c>
      <c r="H2299" s="93">
        <v>1</v>
      </c>
      <c r="I2299" s="23"/>
      <c r="J2299" s="23"/>
      <c r="K2299" s="23"/>
      <c r="L2299" s="23" t="s">
        <v>6880</v>
      </c>
      <c r="M2299" s="23" t="s">
        <v>3694</v>
      </c>
    </row>
    <row r="2300" spans="2:13" ht="15" customHeight="1" x14ac:dyDescent="0.25">
      <c r="B2300" s="35" t="s">
        <v>3191</v>
      </c>
      <c r="C2300" s="23" t="s">
        <v>3192</v>
      </c>
      <c r="D2300" s="23" t="s">
        <v>3303</v>
      </c>
      <c r="E2300" s="23" t="s">
        <v>3317</v>
      </c>
      <c r="F2300" s="23" t="s">
        <v>3729</v>
      </c>
      <c r="G2300" s="93">
        <v>3</v>
      </c>
      <c r="H2300" s="93">
        <v>1</v>
      </c>
      <c r="I2300" s="23"/>
      <c r="J2300" s="23"/>
      <c r="K2300" s="23"/>
      <c r="L2300" s="23" t="s">
        <v>6880</v>
      </c>
      <c r="M2300" s="23"/>
    </row>
    <row r="2301" spans="2:13" ht="15" customHeight="1" x14ac:dyDescent="0.25">
      <c r="B2301" s="35" t="s">
        <v>7510</v>
      </c>
      <c r="C2301" s="23" t="s">
        <v>7511</v>
      </c>
      <c r="D2301" s="23" t="s">
        <v>3303</v>
      </c>
      <c r="E2301" s="23" t="s">
        <v>3317</v>
      </c>
      <c r="F2301" s="23" t="s">
        <v>3729</v>
      </c>
      <c r="G2301" s="93">
        <v>3</v>
      </c>
      <c r="H2301" s="93">
        <v>1</v>
      </c>
      <c r="I2301" s="23"/>
      <c r="J2301" s="23"/>
      <c r="K2301" s="23"/>
      <c r="L2301" s="23" t="s">
        <v>6880</v>
      </c>
      <c r="M2301" s="23" t="s">
        <v>3694</v>
      </c>
    </row>
    <row r="2302" spans="2:13" ht="15" customHeight="1" x14ac:dyDescent="0.25">
      <c r="B2302" s="35" t="s">
        <v>7512</v>
      </c>
      <c r="C2302" s="23" t="s">
        <v>7513</v>
      </c>
      <c r="D2302" s="23" t="s">
        <v>3303</v>
      </c>
      <c r="E2302" s="23" t="s">
        <v>3317</v>
      </c>
      <c r="F2302" s="23" t="s">
        <v>3729</v>
      </c>
      <c r="G2302" s="93">
        <v>3</v>
      </c>
      <c r="H2302" s="93">
        <v>1</v>
      </c>
      <c r="I2302" s="23"/>
      <c r="J2302" s="23"/>
      <c r="K2302" s="23"/>
      <c r="L2302" s="23" t="s">
        <v>6880</v>
      </c>
      <c r="M2302" s="23" t="s">
        <v>3694</v>
      </c>
    </row>
    <row r="2303" spans="2:13" ht="15" customHeight="1" x14ac:dyDescent="0.25">
      <c r="B2303" s="35" t="s">
        <v>7514</v>
      </c>
      <c r="C2303" s="23" t="s">
        <v>7515</v>
      </c>
      <c r="D2303" s="23" t="s">
        <v>3303</v>
      </c>
      <c r="E2303" s="23" t="s">
        <v>3317</v>
      </c>
      <c r="F2303" s="23" t="s">
        <v>3729</v>
      </c>
      <c r="G2303" s="93">
        <v>3</v>
      </c>
      <c r="H2303" s="93">
        <v>1</v>
      </c>
      <c r="I2303" s="23"/>
      <c r="J2303" s="23"/>
      <c r="K2303" s="23"/>
      <c r="L2303" s="23" t="s">
        <v>6880</v>
      </c>
      <c r="M2303" s="23" t="s">
        <v>3694</v>
      </c>
    </row>
    <row r="2304" spans="2:13" ht="15" customHeight="1" x14ac:dyDescent="0.25">
      <c r="B2304" s="35" t="s">
        <v>7516</v>
      </c>
      <c r="C2304" s="23" t="s">
        <v>7517</v>
      </c>
      <c r="D2304" s="23" t="s">
        <v>3303</v>
      </c>
      <c r="E2304" s="23" t="s">
        <v>3317</v>
      </c>
      <c r="F2304" s="23" t="s">
        <v>3729</v>
      </c>
      <c r="G2304" s="93">
        <v>3</v>
      </c>
      <c r="H2304" s="93">
        <v>1</v>
      </c>
      <c r="I2304" s="23"/>
      <c r="J2304" s="23"/>
      <c r="K2304" s="23"/>
      <c r="L2304" s="23" t="s">
        <v>6880</v>
      </c>
      <c r="M2304" s="23" t="s">
        <v>3694</v>
      </c>
    </row>
    <row r="2305" spans="2:13" ht="15" customHeight="1" x14ac:dyDescent="0.25">
      <c r="B2305" s="35" t="s">
        <v>7518</v>
      </c>
      <c r="C2305" s="23" t="s">
        <v>7519</v>
      </c>
      <c r="D2305" s="23" t="s">
        <v>3303</v>
      </c>
      <c r="E2305" s="23" t="s">
        <v>3317</v>
      </c>
      <c r="F2305" s="23" t="s">
        <v>3729</v>
      </c>
      <c r="G2305" s="93">
        <v>3</v>
      </c>
      <c r="H2305" s="93">
        <v>1</v>
      </c>
      <c r="I2305" s="23"/>
      <c r="J2305" s="23"/>
      <c r="K2305" s="23"/>
      <c r="L2305" s="23" t="s">
        <v>6880</v>
      </c>
      <c r="M2305" s="23" t="s">
        <v>3694</v>
      </c>
    </row>
    <row r="2306" spans="2:13" ht="15" customHeight="1" x14ac:dyDescent="0.25">
      <c r="B2306" s="35" t="s">
        <v>7520</v>
      </c>
      <c r="C2306" s="23" t="s">
        <v>7521</v>
      </c>
      <c r="D2306" s="23" t="s">
        <v>3303</v>
      </c>
      <c r="E2306" s="23" t="s">
        <v>3317</v>
      </c>
      <c r="F2306" s="23" t="s">
        <v>3729</v>
      </c>
      <c r="G2306" s="93">
        <v>3</v>
      </c>
      <c r="H2306" s="93">
        <v>1</v>
      </c>
      <c r="I2306" s="23"/>
      <c r="J2306" s="23"/>
      <c r="K2306" s="23"/>
      <c r="L2306" s="23" t="s">
        <v>6880</v>
      </c>
      <c r="M2306" s="23" t="s">
        <v>3694</v>
      </c>
    </row>
    <row r="2307" spans="2:13" ht="15" customHeight="1" x14ac:dyDescent="0.25">
      <c r="B2307" s="35" t="s">
        <v>7522</v>
      </c>
      <c r="C2307" s="23" t="s">
        <v>7523</v>
      </c>
      <c r="D2307" s="23" t="s">
        <v>3303</v>
      </c>
      <c r="E2307" s="23" t="s">
        <v>3317</v>
      </c>
      <c r="F2307" s="23" t="s">
        <v>3729</v>
      </c>
      <c r="G2307" s="93">
        <v>3</v>
      </c>
      <c r="H2307" s="93">
        <v>1</v>
      </c>
      <c r="I2307" s="23"/>
      <c r="J2307" s="23"/>
      <c r="K2307" s="23"/>
      <c r="L2307" s="23" t="s">
        <v>6880</v>
      </c>
      <c r="M2307" s="23" t="s">
        <v>3694</v>
      </c>
    </row>
    <row r="2308" spans="2:13" ht="15" customHeight="1" x14ac:dyDescent="0.25">
      <c r="B2308" s="35" t="s">
        <v>7524</v>
      </c>
      <c r="C2308" s="23" t="s">
        <v>7525</v>
      </c>
      <c r="D2308" s="23" t="s">
        <v>3303</v>
      </c>
      <c r="E2308" s="23" t="s">
        <v>3317</v>
      </c>
      <c r="F2308" s="23" t="s">
        <v>3729</v>
      </c>
      <c r="G2308" s="93">
        <v>3</v>
      </c>
      <c r="H2308" s="93">
        <v>1</v>
      </c>
      <c r="I2308" s="23"/>
      <c r="J2308" s="23"/>
      <c r="K2308" s="23"/>
      <c r="L2308" s="23" t="s">
        <v>6880</v>
      </c>
      <c r="M2308" s="23" t="s">
        <v>3694</v>
      </c>
    </row>
    <row r="2309" spans="2:13" ht="15" customHeight="1" x14ac:dyDescent="0.25">
      <c r="B2309" s="35" t="s">
        <v>7526</v>
      </c>
      <c r="C2309" s="23" t="s">
        <v>7527</v>
      </c>
      <c r="D2309" s="23" t="s">
        <v>3303</v>
      </c>
      <c r="E2309" s="23" t="s">
        <v>3317</v>
      </c>
      <c r="F2309" s="23" t="s">
        <v>3729</v>
      </c>
      <c r="G2309" s="93">
        <v>3</v>
      </c>
      <c r="H2309" s="93">
        <v>1</v>
      </c>
      <c r="I2309" s="23"/>
      <c r="J2309" s="23"/>
      <c r="K2309" s="23"/>
      <c r="L2309" s="23" t="s">
        <v>6880</v>
      </c>
      <c r="M2309" s="23" t="s">
        <v>3694</v>
      </c>
    </row>
    <row r="2310" spans="2:13" ht="15" customHeight="1" x14ac:dyDescent="0.25">
      <c r="B2310" s="35" t="s">
        <v>7528</v>
      </c>
      <c r="C2310" s="23" t="s">
        <v>7529</v>
      </c>
      <c r="D2310" s="23" t="s">
        <v>3303</v>
      </c>
      <c r="E2310" s="23" t="s">
        <v>3317</v>
      </c>
      <c r="F2310" s="23" t="s">
        <v>3729</v>
      </c>
      <c r="G2310" s="93">
        <v>3</v>
      </c>
      <c r="H2310" s="93">
        <v>1</v>
      </c>
      <c r="I2310" s="23"/>
      <c r="J2310" s="23"/>
      <c r="K2310" s="23"/>
      <c r="L2310" s="23" t="s">
        <v>6880</v>
      </c>
      <c r="M2310" s="23" t="s">
        <v>3694</v>
      </c>
    </row>
    <row r="2311" spans="2:13" ht="15" customHeight="1" x14ac:dyDescent="0.25">
      <c r="B2311" s="35" t="s">
        <v>7530</v>
      </c>
      <c r="C2311" s="23" t="s">
        <v>7531</v>
      </c>
      <c r="D2311" s="23" t="s">
        <v>3303</v>
      </c>
      <c r="E2311" s="23" t="s">
        <v>3317</v>
      </c>
      <c r="F2311" s="23" t="s">
        <v>3729</v>
      </c>
      <c r="G2311" s="93">
        <v>3</v>
      </c>
      <c r="H2311" s="93">
        <v>1</v>
      </c>
      <c r="I2311" s="23"/>
      <c r="J2311" s="23"/>
      <c r="K2311" s="23"/>
      <c r="L2311" s="23" t="s">
        <v>6880</v>
      </c>
      <c r="M2311" s="23" t="s">
        <v>3694</v>
      </c>
    </row>
    <row r="2312" spans="2:13" ht="15" customHeight="1" x14ac:dyDescent="0.25">
      <c r="B2312" s="35" t="s">
        <v>7532</v>
      </c>
      <c r="C2312" s="23" t="s">
        <v>7533</v>
      </c>
      <c r="D2312" s="23" t="s">
        <v>3303</v>
      </c>
      <c r="E2312" s="23" t="s">
        <v>3317</v>
      </c>
      <c r="F2312" s="23" t="s">
        <v>3729</v>
      </c>
      <c r="G2312" s="93">
        <v>3</v>
      </c>
      <c r="H2312" s="93">
        <v>1</v>
      </c>
      <c r="I2312" s="23"/>
      <c r="J2312" s="23"/>
      <c r="K2312" s="23"/>
      <c r="L2312" s="23" t="s">
        <v>6880</v>
      </c>
      <c r="M2312" s="23" t="s">
        <v>3694</v>
      </c>
    </row>
    <row r="2313" spans="2:13" ht="15" customHeight="1" x14ac:dyDescent="0.25">
      <c r="B2313" s="35" t="s">
        <v>7534</v>
      </c>
      <c r="C2313" s="23" t="s">
        <v>7535</v>
      </c>
      <c r="D2313" s="23" t="s">
        <v>3303</v>
      </c>
      <c r="E2313" s="23" t="s">
        <v>3317</v>
      </c>
      <c r="F2313" s="23" t="s">
        <v>3729</v>
      </c>
      <c r="G2313" s="93">
        <v>3</v>
      </c>
      <c r="H2313" s="93">
        <v>1</v>
      </c>
      <c r="I2313" s="23"/>
      <c r="J2313" s="23"/>
      <c r="K2313" s="23"/>
      <c r="L2313" s="23" t="s">
        <v>6880</v>
      </c>
      <c r="M2313" s="23" t="s">
        <v>3694</v>
      </c>
    </row>
    <row r="2314" spans="2:13" ht="15" customHeight="1" x14ac:dyDescent="0.25">
      <c r="B2314" s="35" t="s">
        <v>7536</v>
      </c>
      <c r="C2314" s="23" t="s">
        <v>7537</v>
      </c>
      <c r="D2314" s="23" t="s">
        <v>3303</v>
      </c>
      <c r="E2314" s="23" t="s">
        <v>3317</v>
      </c>
      <c r="F2314" s="23" t="s">
        <v>3729</v>
      </c>
      <c r="G2314" s="93">
        <v>3</v>
      </c>
      <c r="H2314" s="93">
        <v>1</v>
      </c>
      <c r="I2314" s="23"/>
      <c r="J2314" s="23"/>
      <c r="K2314" s="23"/>
      <c r="L2314" s="23" t="s">
        <v>6880</v>
      </c>
      <c r="M2314" s="23" t="s">
        <v>3694</v>
      </c>
    </row>
    <row r="2315" spans="2:13" ht="15" customHeight="1" x14ac:dyDescent="0.25">
      <c r="B2315" s="35" t="s">
        <v>3194</v>
      </c>
      <c r="C2315" s="23" t="s">
        <v>3195</v>
      </c>
      <c r="D2315" s="23" t="s">
        <v>3303</v>
      </c>
      <c r="E2315" s="23" t="s">
        <v>3317</v>
      </c>
      <c r="F2315" s="23" t="s">
        <v>3729</v>
      </c>
      <c r="G2315" s="93">
        <v>3</v>
      </c>
      <c r="H2315" s="93">
        <v>1</v>
      </c>
      <c r="I2315" s="23"/>
      <c r="J2315" s="23"/>
      <c r="K2315" s="23"/>
      <c r="L2315" s="23" t="s">
        <v>6880</v>
      </c>
      <c r="M2315" s="23"/>
    </row>
    <row r="2316" spans="2:13" ht="15" customHeight="1" x14ac:dyDescent="0.25">
      <c r="B2316" s="35" t="s">
        <v>7538</v>
      </c>
      <c r="C2316" s="23" t="s">
        <v>7539</v>
      </c>
      <c r="D2316" s="23" t="s">
        <v>3303</v>
      </c>
      <c r="E2316" s="23" t="s">
        <v>3317</v>
      </c>
      <c r="F2316" s="23" t="s">
        <v>3729</v>
      </c>
      <c r="G2316" s="93">
        <v>3</v>
      </c>
      <c r="H2316" s="93">
        <v>1</v>
      </c>
      <c r="I2316" s="23"/>
      <c r="J2316" s="23"/>
      <c r="K2316" s="23"/>
      <c r="L2316" s="23" t="s">
        <v>6880</v>
      </c>
      <c r="M2316" s="23" t="s">
        <v>3694</v>
      </c>
    </row>
    <row r="2317" spans="2:13" ht="15" customHeight="1" x14ac:dyDescent="0.25">
      <c r="B2317" s="35" t="s">
        <v>7540</v>
      </c>
      <c r="C2317" s="23" t="s">
        <v>7541</v>
      </c>
      <c r="D2317" s="23" t="s">
        <v>3303</v>
      </c>
      <c r="E2317" s="23" t="s">
        <v>3317</v>
      </c>
      <c r="F2317" s="23" t="s">
        <v>3729</v>
      </c>
      <c r="G2317" s="93">
        <v>3</v>
      </c>
      <c r="H2317" s="93">
        <v>1</v>
      </c>
      <c r="I2317" s="23"/>
      <c r="J2317" s="23"/>
      <c r="K2317" s="23"/>
      <c r="L2317" s="23" t="s">
        <v>6880</v>
      </c>
      <c r="M2317" s="23" t="s">
        <v>3694</v>
      </c>
    </row>
    <row r="2318" spans="2:13" ht="15" customHeight="1" x14ac:dyDescent="0.25">
      <c r="B2318" s="35" t="s">
        <v>7542</v>
      </c>
      <c r="C2318" s="23" t="s">
        <v>7543</v>
      </c>
      <c r="D2318" s="23" t="s">
        <v>3303</v>
      </c>
      <c r="E2318" s="23" t="s">
        <v>3317</v>
      </c>
      <c r="F2318" s="23" t="s">
        <v>3729</v>
      </c>
      <c r="G2318" s="93">
        <v>3</v>
      </c>
      <c r="H2318" s="93">
        <v>1</v>
      </c>
      <c r="I2318" s="23"/>
      <c r="J2318" s="23"/>
      <c r="K2318" s="23"/>
      <c r="L2318" s="23" t="s">
        <v>6880</v>
      </c>
      <c r="M2318" s="23" t="s">
        <v>3694</v>
      </c>
    </row>
    <row r="2319" spans="2:13" ht="15" customHeight="1" x14ac:dyDescent="0.25">
      <c r="B2319" s="35" t="s">
        <v>7544</v>
      </c>
      <c r="C2319" s="23" t="s">
        <v>7545</v>
      </c>
      <c r="D2319" s="23" t="s">
        <v>3303</v>
      </c>
      <c r="E2319" s="23" t="s">
        <v>3317</v>
      </c>
      <c r="F2319" s="23" t="s">
        <v>3729</v>
      </c>
      <c r="G2319" s="93">
        <v>3</v>
      </c>
      <c r="H2319" s="93">
        <v>1</v>
      </c>
      <c r="I2319" s="23"/>
      <c r="J2319" s="23"/>
      <c r="K2319" s="23"/>
      <c r="L2319" s="23" t="s">
        <v>6880</v>
      </c>
      <c r="M2319" s="23" t="s">
        <v>3694</v>
      </c>
    </row>
    <row r="2320" spans="2:13" ht="15" customHeight="1" x14ac:dyDescent="0.25">
      <c r="B2320" s="35" t="s">
        <v>3197</v>
      </c>
      <c r="C2320" s="23" t="s">
        <v>3198</v>
      </c>
      <c r="D2320" s="23" t="s">
        <v>3303</v>
      </c>
      <c r="E2320" s="23" t="s">
        <v>3317</v>
      </c>
      <c r="F2320" s="23" t="s">
        <v>3729</v>
      </c>
      <c r="G2320" s="93">
        <v>3</v>
      </c>
      <c r="H2320" s="93">
        <v>0</v>
      </c>
      <c r="I2320" s="23"/>
      <c r="J2320" s="23"/>
      <c r="K2320" s="23"/>
      <c r="L2320" s="23" t="s">
        <v>6880</v>
      </c>
      <c r="M2320" s="23"/>
    </row>
    <row r="2321" spans="2:13" ht="15" customHeight="1" x14ac:dyDescent="0.25">
      <c r="B2321" s="35" t="s">
        <v>7546</v>
      </c>
      <c r="C2321" s="23" t="s">
        <v>7547</v>
      </c>
      <c r="D2321" s="23" t="s">
        <v>3303</v>
      </c>
      <c r="E2321" s="23" t="s">
        <v>3317</v>
      </c>
      <c r="F2321" s="23" t="s">
        <v>3729</v>
      </c>
      <c r="G2321" s="93">
        <v>3</v>
      </c>
      <c r="H2321" s="93">
        <v>1</v>
      </c>
      <c r="I2321" s="23"/>
      <c r="J2321" s="23"/>
      <c r="K2321" s="23"/>
      <c r="L2321" s="23" t="s">
        <v>6880</v>
      </c>
      <c r="M2321" s="23" t="s">
        <v>3694</v>
      </c>
    </row>
    <row r="2322" spans="2:13" ht="15" customHeight="1" x14ac:dyDescent="0.25">
      <c r="B2322" s="35" t="s">
        <v>7548</v>
      </c>
      <c r="C2322" s="23" t="s">
        <v>7549</v>
      </c>
      <c r="D2322" s="23" t="s">
        <v>3303</v>
      </c>
      <c r="E2322" s="23" t="s">
        <v>3317</v>
      </c>
      <c r="F2322" s="23" t="s">
        <v>3729</v>
      </c>
      <c r="G2322" s="93">
        <v>3</v>
      </c>
      <c r="H2322" s="93">
        <v>1</v>
      </c>
      <c r="I2322" s="23"/>
      <c r="J2322" s="23"/>
      <c r="K2322" s="23"/>
      <c r="L2322" s="23" t="s">
        <v>6880</v>
      </c>
      <c r="M2322" s="23" t="s">
        <v>3694</v>
      </c>
    </row>
    <row r="2323" spans="2:13" ht="15" customHeight="1" x14ac:dyDescent="0.25">
      <c r="B2323" s="35" t="s">
        <v>7550</v>
      </c>
      <c r="C2323" s="23" t="s">
        <v>7551</v>
      </c>
      <c r="D2323" s="23" t="s">
        <v>3303</v>
      </c>
      <c r="E2323" s="23" t="s">
        <v>3317</v>
      </c>
      <c r="F2323" s="23" t="s">
        <v>3729</v>
      </c>
      <c r="G2323" s="93">
        <v>3</v>
      </c>
      <c r="H2323" s="93">
        <v>1</v>
      </c>
      <c r="I2323" s="23"/>
      <c r="J2323" s="23"/>
      <c r="K2323" s="23"/>
      <c r="L2323" s="23" t="s">
        <v>6880</v>
      </c>
      <c r="M2323" s="23" t="s">
        <v>3694</v>
      </c>
    </row>
    <row r="2324" spans="2:13" ht="15" customHeight="1" x14ac:dyDescent="0.25">
      <c r="B2324" s="35" t="s">
        <v>7552</v>
      </c>
      <c r="C2324" s="23" t="s">
        <v>7553</v>
      </c>
      <c r="D2324" s="23" t="s">
        <v>3303</v>
      </c>
      <c r="E2324" s="23" t="s">
        <v>3317</v>
      </c>
      <c r="F2324" s="23" t="s">
        <v>3729</v>
      </c>
      <c r="G2324" s="93">
        <v>3</v>
      </c>
      <c r="H2324" s="93">
        <v>1</v>
      </c>
      <c r="I2324" s="23"/>
      <c r="J2324" s="23"/>
      <c r="K2324" s="23"/>
      <c r="L2324" s="23" t="s">
        <v>6880</v>
      </c>
      <c r="M2324" s="23" t="s">
        <v>3694</v>
      </c>
    </row>
    <row r="2325" spans="2:13" ht="15" customHeight="1" x14ac:dyDescent="0.25">
      <c r="B2325" s="35" t="s">
        <v>7554</v>
      </c>
      <c r="C2325" s="23" t="s">
        <v>7555</v>
      </c>
      <c r="D2325" s="23" t="s">
        <v>3303</v>
      </c>
      <c r="E2325" s="23" t="s">
        <v>3317</v>
      </c>
      <c r="F2325" s="23" t="s">
        <v>3729</v>
      </c>
      <c r="G2325" s="93">
        <v>3</v>
      </c>
      <c r="H2325" s="93">
        <v>1</v>
      </c>
      <c r="I2325" s="23"/>
      <c r="J2325" s="23"/>
      <c r="K2325" s="23"/>
      <c r="L2325" s="23" t="s">
        <v>6880</v>
      </c>
      <c r="M2325" s="23" t="s">
        <v>3694</v>
      </c>
    </row>
    <row r="2326" spans="2:13" ht="15" customHeight="1" x14ac:dyDescent="0.25">
      <c r="B2326" s="35" t="s">
        <v>7556</v>
      </c>
      <c r="C2326" s="23" t="s">
        <v>7557</v>
      </c>
      <c r="D2326" s="23" t="s">
        <v>3303</v>
      </c>
      <c r="E2326" s="23" t="s">
        <v>3317</v>
      </c>
      <c r="F2326" s="23" t="s">
        <v>3729</v>
      </c>
      <c r="G2326" s="93">
        <v>3</v>
      </c>
      <c r="H2326" s="93">
        <v>1</v>
      </c>
      <c r="I2326" s="23"/>
      <c r="J2326" s="23"/>
      <c r="K2326" s="23"/>
      <c r="L2326" s="23" t="s">
        <v>6880</v>
      </c>
      <c r="M2326" s="23" t="s">
        <v>3694</v>
      </c>
    </row>
    <row r="2327" spans="2:13" ht="15" customHeight="1" x14ac:dyDescent="0.25">
      <c r="B2327" s="35" t="s">
        <v>7558</v>
      </c>
      <c r="C2327" s="23" t="s">
        <v>7559</v>
      </c>
      <c r="D2327" s="23" t="s">
        <v>3303</v>
      </c>
      <c r="E2327" s="23" t="s">
        <v>3317</v>
      </c>
      <c r="F2327" s="23" t="s">
        <v>3729</v>
      </c>
      <c r="G2327" s="93">
        <v>3</v>
      </c>
      <c r="H2327" s="93">
        <v>1</v>
      </c>
      <c r="I2327" s="23"/>
      <c r="J2327" s="23"/>
      <c r="K2327" s="23"/>
      <c r="L2327" s="23" t="s">
        <v>6880</v>
      </c>
      <c r="M2327" s="23" t="s">
        <v>3694</v>
      </c>
    </row>
    <row r="2328" spans="2:13" ht="15" customHeight="1" x14ac:dyDescent="0.25">
      <c r="B2328" s="35" t="s">
        <v>7560</v>
      </c>
      <c r="C2328" s="23" t="s">
        <v>7561</v>
      </c>
      <c r="D2328" s="23" t="s">
        <v>3303</v>
      </c>
      <c r="E2328" s="23" t="s">
        <v>3317</v>
      </c>
      <c r="F2328" s="23" t="s">
        <v>3729</v>
      </c>
      <c r="G2328" s="93">
        <v>3</v>
      </c>
      <c r="H2328" s="93">
        <v>1</v>
      </c>
      <c r="I2328" s="23"/>
      <c r="J2328" s="23"/>
      <c r="K2328" s="23"/>
      <c r="L2328" s="23" t="s">
        <v>6880</v>
      </c>
      <c r="M2328" s="23" t="s">
        <v>3694</v>
      </c>
    </row>
    <row r="2329" spans="2:13" ht="15" customHeight="1" x14ac:dyDescent="0.25">
      <c r="B2329" s="35" t="s">
        <v>7562</v>
      </c>
      <c r="C2329" s="23" t="s">
        <v>7563</v>
      </c>
      <c r="D2329" s="23" t="s">
        <v>3303</v>
      </c>
      <c r="E2329" s="23" t="s">
        <v>3317</v>
      </c>
      <c r="F2329" s="23" t="s">
        <v>3729</v>
      </c>
      <c r="G2329" s="93">
        <v>3</v>
      </c>
      <c r="H2329" s="93">
        <v>1</v>
      </c>
      <c r="I2329" s="23"/>
      <c r="J2329" s="23"/>
      <c r="K2329" s="23"/>
      <c r="L2329" s="23" t="s">
        <v>6880</v>
      </c>
      <c r="M2329" s="23" t="s">
        <v>3694</v>
      </c>
    </row>
    <row r="2330" spans="2:13" ht="15" customHeight="1" x14ac:dyDescent="0.25">
      <c r="B2330" s="35" t="s">
        <v>7564</v>
      </c>
      <c r="C2330" s="23" t="s">
        <v>7565</v>
      </c>
      <c r="D2330" s="23" t="s">
        <v>3303</v>
      </c>
      <c r="E2330" s="23" t="s">
        <v>3317</v>
      </c>
      <c r="F2330" s="23" t="s">
        <v>3729</v>
      </c>
      <c r="G2330" s="93">
        <v>3</v>
      </c>
      <c r="H2330" s="93">
        <v>1</v>
      </c>
      <c r="I2330" s="23"/>
      <c r="J2330" s="23"/>
      <c r="K2330" s="23"/>
      <c r="L2330" s="23" t="s">
        <v>6880</v>
      </c>
      <c r="M2330" s="23" t="s">
        <v>3694</v>
      </c>
    </row>
    <row r="2331" spans="2:13" ht="15" customHeight="1" x14ac:dyDescent="0.25">
      <c r="B2331" s="35" t="s">
        <v>7566</v>
      </c>
      <c r="C2331" s="23" t="s">
        <v>7567</v>
      </c>
      <c r="D2331" s="23" t="s">
        <v>3303</v>
      </c>
      <c r="E2331" s="23" t="s">
        <v>3317</v>
      </c>
      <c r="F2331" s="23" t="s">
        <v>3729</v>
      </c>
      <c r="G2331" s="93">
        <v>3</v>
      </c>
      <c r="H2331" s="93">
        <v>1</v>
      </c>
      <c r="I2331" s="23"/>
      <c r="J2331" s="23"/>
      <c r="K2331" s="23"/>
      <c r="L2331" s="23" t="s">
        <v>6880</v>
      </c>
      <c r="M2331" s="23" t="s">
        <v>3694</v>
      </c>
    </row>
    <row r="2332" spans="2:13" ht="15" customHeight="1" x14ac:dyDescent="0.25">
      <c r="B2332" s="35" t="s">
        <v>7568</v>
      </c>
      <c r="C2332" s="23" t="s">
        <v>7569</v>
      </c>
      <c r="D2332" s="23" t="s">
        <v>3303</v>
      </c>
      <c r="E2332" s="23" t="s">
        <v>3317</v>
      </c>
      <c r="F2332" s="23" t="s">
        <v>3729</v>
      </c>
      <c r="G2332" s="93">
        <v>3</v>
      </c>
      <c r="H2332" s="93">
        <v>1</v>
      </c>
      <c r="I2332" s="23"/>
      <c r="J2332" s="23"/>
      <c r="K2332" s="23"/>
      <c r="L2332" s="23" t="s">
        <v>6880</v>
      </c>
      <c r="M2332" s="23" t="s">
        <v>3694</v>
      </c>
    </row>
    <row r="2333" spans="2:13" ht="15" customHeight="1" x14ac:dyDescent="0.25">
      <c r="B2333" s="35" t="s">
        <v>7570</v>
      </c>
      <c r="C2333" s="23" t="s">
        <v>7571</v>
      </c>
      <c r="D2333" s="23" t="s">
        <v>3303</v>
      </c>
      <c r="E2333" s="23" t="s">
        <v>3317</v>
      </c>
      <c r="F2333" s="23" t="s">
        <v>3729</v>
      </c>
      <c r="G2333" s="93">
        <v>3</v>
      </c>
      <c r="H2333" s="93">
        <v>1</v>
      </c>
      <c r="I2333" s="23"/>
      <c r="J2333" s="23"/>
      <c r="K2333" s="23"/>
      <c r="L2333" s="23" t="s">
        <v>6880</v>
      </c>
      <c r="M2333" s="23" t="s">
        <v>3694</v>
      </c>
    </row>
    <row r="2334" spans="2:13" ht="15" customHeight="1" x14ac:dyDescent="0.25">
      <c r="B2334" s="35" t="s">
        <v>7572</v>
      </c>
      <c r="C2334" s="23" t="s">
        <v>7573</v>
      </c>
      <c r="D2334" s="23" t="s">
        <v>3303</v>
      </c>
      <c r="E2334" s="23" t="s">
        <v>3317</v>
      </c>
      <c r="F2334" s="23" t="s">
        <v>3729</v>
      </c>
      <c r="G2334" s="93">
        <v>3</v>
      </c>
      <c r="H2334" s="93">
        <v>1</v>
      </c>
      <c r="I2334" s="23"/>
      <c r="J2334" s="23"/>
      <c r="K2334" s="23"/>
      <c r="L2334" s="23" t="s">
        <v>6880</v>
      </c>
      <c r="M2334" s="23" t="s">
        <v>3694</v>
      </c>
    </row>
    <row r="2335" spans="2:13" ht="15" customHeight="1" x14ac:dyDescent="0.25">
      <c r="B2335" s="35" t="s">
        <v>7574</v>
      </c>
      <c r="C2335" s="23" t="s">
        <v>7575</v>
      </c>
      <c r="D2335" s="23" t="s">
        <v>3303</v>
      </c>
      <c r="E2335" s="23" t="s">
        <v>3317</v>
      </c>
      <c r="F2335" s="23" t="s">
        <v>3729</v>
      </c>
      <c r="G2335" s="93">
        <v>3</v>
      </c>
      <c r="H2335" s="93">
        <v>1</v>
      </c>
      <c r="I2335" s="23"/>
      <c r="J2335" s="23"/>
      <c r="K2335" s="23"/>
      <c r="L2335" s="23" t="s">
        <v>6880</v>
      </c>
      <c r="M2335" s="23" t="s">
        <v>3694</v>
      </c>
    </row>
    <row r="2336" spans="2:13" ht="15" customHeight="1" x14ac:dyDescent="0.25">
      <c r="B2336" s="35" t="s">
        <v>7576</v>
      </c>
      <c r="C2336" s="23" t="s">
        <v>7577</v>
      </c>
      <c r="D2336" s="23" t="s">
        <v>3303</v>
      </c>
      <c r="E2336" s="23" t="s">
        <v>3317</v>
      </c>
      <c r="F2336" s="23" t="s">
        <v>3729</v>
      </c>
      <c r="G2336" s="93">
        <v>3</v>
      </c>
      <c r="H2336" s="93">
        <v>1</v>
      </c>
      <c r="I2336" s="23"/>
      <c r="J2336" s="23"/>
      <c r="K2336" s="23"/>
      <c r="L2336" s="23" t="s">
        <v>6880</v>
      </c>
      <c r="M2336" s="23" t="s">
        <v>3694</v>
      </c>
    </row>
    <row r="2337" spans="2:13" ht="15" customHeight="1" x14ac:dyDescent="0.25">
      <c r="B2337" s="35" t="s">
        <v>7578</v>
      </c>
      <c r="C2337" s="23" t="s">
        <v>7579</v>
      </c>
      <c r="D2337" s="23" t="s">
        <v>3303</v>
      </c>
      <c r="E2337" s="23" t="s">
        <v>3317</v>
      </c>
      <c r="F2337" s="23" t="s">
        <v>3729</v>
      </c>
      <c r="G2337" s="93">
        <v>3</v>
      </c>
      <c r="H2337" s="93">
        <v>0</v>
      </c>
      <c r="I2337" s="23"/>
      <c r="J2337" s="23"/>
      <c r="K2337" s="23"/>
      <c r="L2337" s="23" t="s">
        <v>6880</v>
      </c>
      <c r="M2337" s="23"/>
    </row>
    <row r="2338" spans="2:13" ht="15" customHeight="1" x14ac:dyDescent="0.25">
      <c r="B2338" s="35" t="s">
        <v>3199</v>
      </c>
      <c r="C2338" s="23" t="s">
        <v>3200</v>
      </c>
      <c r="D2338" s="23" t="s">
        <v>3303</v>
      </c>
      <c r="E2338" s="23" t="s">
        <v>3317</v>
      </c>
      <c r="F2338" s="23" t="s">
        <v>3729</v>
      </c>
      <c r="G2338" s="93">
        <v>3</v>
      </c>
      <c r="H2338" s="93">
        <v>0</v>
      </c>
      <c r="I2338" s="23"/>
      <c r="J2338" s="23"/>
      <c r="K2338" s="23"/>
      <c r="L2338" s="23" t="s">
        <v>6880</v>
      </c>
      <c r="M2338" s="23"/>
    </row>
    <row r="2339" spans="2:13" ht="15" customHeight="1" x14ac:dyDescent="0.25">
      <c r="B2339" s="35" t="s">
        <v>7580</v>
      </c>
      <c r="C2339" s="23" t="s">
        <v>7581</v>
      </c>
      <c r="D2339" s="23" t="s">
        <v>3303</v>
      </c>
      <c r="E2339" s="23" t="s">
        <v>3317</v>
      </c>
      <c r="F2339" s="23" t="s">
        <v>3729</v>
      </c>
      <c r="G2339" s="93">
        <v>3</v>
      </c>
      <c r="H2339" s="93">
        <v>1</v>
      </c>
      <c r="I2339" s="23"/>
      <c r="J2339" s="23"/>
      <c r="K2339" s="23"/>
      <c r="L2339" s="23" t="s">
        <v>6880</v>
      </c>
      <c r="M2339" s="23" t="s">
        <v>3694</v>
      </c>
    </row>
    <row r="2340" spans="2:13" ht="15" customHeight="1" x14ac:dyDescent="0.25">
      <c r="B2340" s="35" t="s">
        <v>7582</v>
      </c>
      <c r="C2340" s="23" t="s">
        <v>7583</v>
      </c>
      <c r="D2340" s="23" t="s">
        <v>3303</v>
      </c>
      <c r="E2340" s="23" t="s">
        <v>3317</v>
      </c>
      <c r="F2340" s="23" t="s">
        <v>3729</v>
      </c>
      <c r="G2340" s="93">
        <v>3</v>
      </c>
      <c r="H2340" s="93">
        <v>1</v>
      </c>
      <c r="I2340" s="23"/>
      <c r="J2340" s="23"/>
      <c r="K2340" s="23"/>
      <c r="L2340" s="23" t="s">
        <v>6880</v>
      </c>
      <c r="M2340" s="23" t="s">
        <v>3694</v>
      </c>
    </row>
    <row r="2341" spans="2:13" ht="15" customHeight="1" x14ac:dyDescent="0.25">
      <c r="B2341" s="35" t="s">
        <v>7584</v>
      </c>
      <c r="C2341" s="23" t="s">
        <v>7585</v>
      </c>
      <c r="D2341" s="23" t="s">
        <v>3303</v>
      </c>
      <c r="E2341" s="23" t="s">
        <v>3317</v>
      </c>
      <c r="F2341" s="23" t="s">
        <v>3729</v>
      </c>
      <c r="G2341" s="93">
        <v>3</v>
      </c>
      <c r="H2341" s="93">
        <v>1</v>
      </c>
      <c r="I2341" s="23"/>
      <c r="J2341" s="23"/>
      <c r="K2341" s="23"/>
      <c r="L2341" s="23" t="s">
        <v>6880</v>
      </c>
      <c r="M2341" s="23" t="s">
        <v>3694</v>
      </c>
    </row>
    <row r="2342" spans="2:13" ht="15" customHeight="1" x14ac:dyDescent="0.25">
      <c r="B2342" s="35" t="s">
        <v>7586</v>
      </c>
      <c r="C2342" s="23" t="s">
        <v>7587</v>
      </c>
      <c r="D2342" s="23" t="s">
        <v>3303</v>
      </c>
      <c r="E2342" s="23" t="s">
        <v>3317</v>
      </c>
      <c r="F2342" s="23" t="s">
        <v>3729</v>
      </c>
      <c r="G2342" s="93">
        <v>3</v>
      </c>
      <c r="H2342" s="93">
        <v>1</v>
      </c>
      <c r="I2342" s="23"/>
      <c r="J2342" s="23"/>
      <c r="K2342" s="23"/>
      <c r="L2342" s="23" t="s">
        <v>6880</v>
      </c>
      <c r="M2342" s="23" t="s">
        <v>3694</v>
      </c>
    </row>
    <row r="2343" spans="2:13" ht="15" customHeight="1" x14ac:dyDescent="0.25">
      <c r="B2343" s="35" t="s">
        <v>7588</v>
      </c>
      <c r="C2343" s="23" t="s">
        <v>7589</v>
      </c>
      <c r="D2343" s="23" t="s">
        <v>3303</v>
      </c>
      <c r="E2343" s="23" t="s">
        <v>3317</v>
      </c>
      <c r="F2343" s="23" t="s">
        <v>3729</v>
      </c>
      <c r="G2343" s="93">
        <v>3</v>
      </c>
      <c r="H2343" s="93">
        <v>1</v>
      </c>
      <c r="I2343" s="23"/>
      <c r="J2343" s="23"/>
      <c r="K2343" s="23"/>
      <c r="L2343" s="23" t="s">
        <v>6880</v>
      </c>
      <c r="M2343" s="23" t="s">
        <v>3694</v>
      </c>
    </row>
    <row r="2344" spans="2:13" ht="15" customHeight="1" x14ac:dyDescent="0.25">
      <c r="B2344" s="35" t="s">
        <v>7590</v>
      </c>
      <c r="C2344" s="23" t="s">
        <v>7591</v>
      </c>
      <c r="D2344" s="23" t="s">
        <v>3303</v>
      </c>
      <c r="E2344" s="23" t="s">
        <v>3317</v>
      </c>
      <c r="F2344" s="23" t="s">
        <v>3729</v>
      </c>
      <c r="G2344" s="93">
        <v>3</v>
      </c>
      <c r="H2344" s="93">
        <v>1</v>
      </c>
      <c r="I2344" s="23"/>
      <c r="J2344" s="23"/>
      <c r="K2344" s="23"/>
      <c r="L2344" s="23" t="s">
        <v>6880</v>
      </c>
      <c r="M2344" s="23" t="s">
        <v>3694</v>
      </c>
    </row>
    <row r="2345" spans="2:13" ht="15" customHeight="1" x14ac:dyDescent="0.25">
      <c r="B2345" s="35" t="s">
        <v>7592</v>
      </c>
      <c r="C2345" s="23" t="s">
        <v>7593</v>
      </c>
      <c r="D2345" s="23" t="s">
        <v>3303</v>
      </c>
      <c r="E2345" s="23" t="s">
        <v>3317</v>
      </c>
      <c r="F2345" s="23" t="s">
        <v>3729</v>
      </c>
      <c r="G2345" s="93">
        <v>3</v>
      </c>
      <c r="H2345" s="93">
        <v>1</v>
      </c>
      <c r="I2345" s="23"/>
      <c r="J2345" s="23"/>
      <c r="K2345" s="23"/>
      <c r="L2345" s="23" t="s">
        <v>6880</v>
      </c>
      <c r="M2345" s="23" t="s">
        <v>3694</v>
      </c>
    </row>
    <row r="2346" spans="2:13" ht="15" customHeight="1" x14ac:dyDescent="0.25">
      <c r="B2346" s="35" t="s">
        <v>7594</v>
      </c>
      <c r="C2346" s="23" t="s">
        <v>7595</v>
      </c>
      <c r="D2346" s="23" t="s">
        <v>3303</v>
      </c>
      <c r="E2346" s="23" t="s">
        <v>3317</v>
      </c>
      <c r="F2346" s="23" t="s">
        <v>3729</v>
      </c>
      <c r="G2346" s="93">
        <v>3</v>
      </c>
      <c r="H2346" s="93">
        <v>1</v>
      </c>
      <c r="I2346" s="23"/>
      <c r="J2346" s="23"/>
      <c r="K2346" s="23"/>
      <c r="L2346" s="23" t="s">
        <v>6880</v>
      </c>
      <c r="M2346" s="23" t="s">
        <v>3694</v>
      </c>
    </row>
    <row r="2347" spans="2:13" ht="15" customHeight="1" x14ac:dyDescent="0.25">
      <c r="B2347" s="35" t="s">
        <v>7596</v>
      </c>
      <c r="C2347" s="23" t="s">
        <v>7597</v>
      </c>
      <c r="D2347" s="23" t="s">
        <v>3303</v>
      </c>
      <c r="E2347" s="23" t="s">
        <v>3317</v>
      </c>
      <c r="F2347" s="23" t="s">
        <v>3729</v>
      </c>
      <c r="G2347" s="93">
        <v>3</v>
      </c>
      <c r="H2347" s="93">
        <v>1</v>
      </c>
      <c r="I2347" s="23"/>
      <c r="J2347" s="23"/>
      <c r="K2347" s="23"/>
      <c r="L2347" s="23" t="s">
        <v>6880</v>
      </c>
      <c r="M2347" s="23" t="s">
        <v>3694</v>
      </c>
    </row>
    <row r="2348" spans="2:13" ht="15" customHeight="1" x14ac:dyDescent="0.25">
      <c r="B2348" s="35" t="s">
        <v>7598</v>
      </c>
      <c r="C2348" s="23" t="s">
        <v>7599</v>
      </c>
      <c r="D2348" s="23" t="s">
        <v>3303</v>
      </c>
      <c r="E2348" s="23" t="s">
        <v>3317</v>
      </c>
      <c r="F2348" s="23" t="s">
        <v>3729</v>
      </c>
      <c r="G2348" s="93">
        <v>3</v>
      </c>
      <c r="H2348" s="93">
        <v>1</v>
      </c>
      <c r="I2348" s="23"/>
      <c r="J2348" s="23"/>
      <c r="K2348" s="23"/>
      <c r="L2348" s="23" t="s">
        <v>6880</v>
      </c>
      <c r="M2348" s="23" t="s">
        <v>3694</v>
      </c>
    </row>
    <row r="2349" spans="2:13" ht="15" customHeight="1" x14ac:dyDescent="0.25">
      <c r="B2349" s="35" t="s">
        <v>7600</v>
      </c>
      <c r="C2349" s="23" t="s">
        <v>7601</v>
      </c>
      <c r="D2349" s="23" t="s">
        <v>3303</v>
      </c>
      <c r="E2349" s="23" t="s">
        <v>3317</v>
      </c>
      <c r="F2349" s="23" t="s">
        <v>3729</v>
      </c>
      <c r="G2349" s="93">
        <v>3</v>
      </c>
      <c r="H2349" s="93">
        <v>1</v>
      </c>
      <c r="I2349" s="23"/>
      <c r="J2349" s="23"/>
      <c r="K2349" s="23"/>
      <c r="L2349" s="23" t="s">
        <v>6880</v>
      </c>
      <c r="M2349" s="23" t="s">
        <v>3694</v>
      </c>
    </row>
    <row r="2350" spans="2:13" ht="15" customHeight="1" x14ac:dyDescent="0.25">
      <c r="B2350" s="35" t="s">
        <v>7602</v>
      </c>
      <c r="C2350" s="23" t="s">
        <v>7603</v>
      </c>
      <c r="D2350" s="23" t="s">
        <v>3303</v>
      </c>
      <c r="E2350" s="23" t="s">
        <v>3317</v>
      </c>
      <c r="F2350" s="23" t="s">
        <v>3729</v>
      </c>
      <c r="G2350" s="93">
        <v>3</v>
      </c>
      <c r="H2350" s="93">
        <v>1</v>
      </c>
      <c r="I2350" s="23"/>
      <c r="J2350" s="23"/>
      <c r="K2350" s="23"/>
      <c r="L2350" s="23" t="s">
        <v>6880</v>
      </c>
      <c r="M2350" s="23" t="s">
        <v>3694</v>
      </c>
    </row>
    <row r="2351" spans="2:13" ht="15" customHeight="1" x14ac:dyDescent="0.25">
      <c r="B2351" s="35" t="s">
        <v>7604</v>
      </c>
      <c r="C2351" s="23" t="s">
        <v>7605</v>
      </c>
      <c r="D2351" s="23" t="s">
        <v>3303</v>
      </c>
      <c r="E2351" s="23" t="s">
        <v>3317</v>
      </c>
      <c r="F2351" s="23" t="s">
        <v>3729</v>
      </c>
      <c r="G2351" s="93">
        <v>3</v>
      </c>
      <c r="H2351" s="93">
        <v>1</v>
      </c>
      <c r="I2351" s="23"/>
      <c r="J2351" s="23"/>
      <c r="K2351" s="23"/>
      <c r="L2351" s="23" t="s">
        <v>6880</v>
      </c>
      <c r="M2351" s="23" t="s">
        <v>3694</v>
      </c>
    </row>
    <row r="2352" spans="2:13" ht="15" customHeight="1" x14ac:dyDescent="0.25">
      <c r="B2352" s="35" t="s">
        <v>7606</v>
      </c>
      <c r="C2352" s="23" t="s">
        <v>7607</v>
      </c>
      <c r="D2352" s="23" t="s">
        <v>3303</v>
      </c>
      <c r="E2352" s="23" t="s">
        <v>3317</v>
      </c>
      <c r="F2352" s="23" t="s">
        <v>3729</v>
      </c>
      <c r="G2352" s="93">
        <v>3</v>
      </c>
      <c r="H2352" s="93">
        <v>1</v>
      </c>
      <c r="I2352" s="23"/>
      <c r="J2352" s="23"/>
      <c r="K2352" s="23"/>
      <c r="L2352" s="23" t="s">
        <v>6880</v>
      </c>
      <c r="M2352" s="23" t="s">
        <v>3694</v>
      </c>
    </row>
    <row r="2353" spans="2:13" ht="15" customHeight="1" x14ac:dyDescent="0.25">
      <c r="B2353" s="35" t="s">
        <v>7608</v>
      </c>
      <c r="C2353" s="23" t="s">
        <v>7609</v>
      </c>
      <c r="D2353" s="23" t="s">
        <v>3303</v>
      </c>
      <c r="E2353" s="23" t="s">
        <v>3317</v>
      </c>
      <c r="F2353" s="23" t="s">
        <v>3729</v>
      </c>
      <c r="G2353" s="93">
        <v>3</v>
      </c>
      <c r="H2353" s="93">
        <v>1</v>
      </c>
      <c r="I2353" s="23"/>
      <c r="J2353" s="23"/>
      <c r="K2353" s="23"/>
      <c r="L2353" s="23" t="s">
        <v>6880</v>
      </c>
      <c r="M2353" s="23" t="s">
        <v>3694</v>
      </c>
    </row>
    <row r="2354" spans="2:13" ht="15" customHeight="1" x14ac:dyDescent="0.25">
      <c r="B2354" s="35" t="s">
        <v>7610</v>
      </c>
      <c r="C2354" s="23" t="s">
        <v>7611</v>
      </c>
      <c r="D2354" s="23" t="s">
        <v>3303</v>
      </c>
      <c r="E2354" s="23" t="s">
        <v>3317</v>
      </c>
      <c r="F2354" s="23" t="s">
        <v>3729</v>
      </c>
      <c r="G2354" s="93">
        <v>3</v>
      </c>
      <c r="H2354" s="93">
        <v>1</v>
      </c>
      <c r="I2354" s="23"/>
      <c r="J2354" s="23"/>
      <c r="K2354" s="23"/>
      <c r="L2354" s="23" t="s">
        <v>6880</v>
      </c>
      <c r="M2354" s="23" t="s">
        <v>3694</v>
      </c>
    </row>
    <row r="2355" spans="2:13" ht="15" customHeight="1" x14ac:dyDescent="0.25">
      <c r="B2355" s="35" t="s">
        <v>7612</v>
      </c>
      <c r="C2355" s="23" t="s">
        <v>7613</v>
      </c>
      <c r="D2355" s="23" t="s">
        <v>3303</v>
      </c>
      <c r="E2355" s="23" t="s">
        <v>3317</v>
      </c>
      <c r="F2355" s="23" t="s">
        <v>3729</v>
      </c>
      <c r="G2355" s="93">
        <v>3</v>
      </c>
      <c r="H2355" s="93">
        <v>1</v>
      </c>
      <c r="I2355" s="23"/>
      <c r="J2355" s="23"/>
      <c r="K2355" s="23"/>
      <c r="L2355" s="23" t="s">
        <v>6880</v>
      </c>
      <c r="M2355" s="23" t="s">
        <v>3694</v>
      </c>
    </row>
    <row r="2356" spans="2:13" ht="15" customHeight="1" x14ac:dyDescent="0.25">
      <c r="B2356" s="35" t="s">
        <v>7614</v>
      </c>
      <c r="C2356" s="23" t="s">
        <v>7615</v>
      </c>
      <c r="D2356" s="23" t="s">
        <v>3303</v>
      </c>
      <c r="E2356" s="23" t="s">
        <v>3317</v>
      </c>
      <c r="F2356" s="23" t="s">
        <v>3729</v>
      </c>
      <c r="G2356" s="93">
        <v>3</v>
      </c>
      <c r="H2356" s="93">
        <v>1</v>
      </c>
      <c r="I2356" s="23"/>
      <c r="J2356" s="23"/>
      <c r="K2356" s="23"/>
      <c r="L2356" s="23" t="s">
        <v>6880</v>
      </c>
      <c r="M2356" s="23" t="s">
        <v>3694</v>
      </c>
    </row>
    <row r="2357" spans="2:13" ht="15" customHeight="1" x14ac:dyDescent="0.25">
      <c r="B2357" s="35" t="s">
        <v>7616</v>
      </c>
      <c r="C2357" s="23" t="s">
        <v>7617</v>
      </c>
      <c r="D2357" s="23" t="s">
        <v>3303</v>
      </c>
      <c r="E2357" s="23" t="s">
        <v>3317</v>
      </c>
      <c r="F2357" s="23" t="s">
        <v>3729</v>
      </c>
      <c r="G2357" s="93">
        <v>3</v>
      </c>
      <c r="H2357" s="93">
        <v>1</v>
      </c>
      <c r="I2357" s="23"/>
      <c r="J2357" s="23"/>
      <c r="K2357" s="23"/>
      <c r="L2357" s="23" t="s">
        <v>6880</v>
      </c>
      <c r="M2357" s="23" t="s">
        <v>3694</v>
      </c>
    </row>
    <row r="2358" spans="2:13" ht="15" customHeight="1" x14ac:dyDescent="0.25">
      <c r="B2358" s="35" t="s">
        <v>7618</v>
      </c>
      <c r="C2358" s="23" t="s">
        <v>7619</v>
      </c>
      <c r="D2358" s="23" t="s">
        <v>3303</v>
      </c>
      <c r="E2358" s="23" t="s">
        <v>3317</v>
      </c>
      <c r="F2358" s="23" t="s">
        <v>3729</v>
      </c>
      <c r="G2358" s="93">
        <v>3</v>
      </c>
      <c r="H2358" s="93">
        <v>1</v>
      </c>
      <c r="I2358" s="23"/>
      <c r="J2358" s="23"/>
      <c r="K2358" s="23"/>
      <c r="L2358" s="23" t="s">
        <v>6880</v>
      </c>
      <c r="M2358" s="23" t="s">
        <v>3694</v>
      </c>
    </row>
    <row r="2359" spans="2:13" ht="15" customHeight="1" x14ac:dyDescent="0.25">
      <c r="B2359" s="35" t="s">
        <v>7620</v>
      </c>
      <c r="C2359" s="23" t="s">
        <v>7621</v>
      </c>
      <c r="D2359" s="23" t="s">
        <v>3303</v>
      </c>
      <c r="E2359" s="23" t="s">
        <v>3317</v>
      </c>
      <c r="F2359" s="23" t="s">
        <v>3729</v>
      </c>
      <c r="G2359" s="93">
        <v>3</v>
      </c>
      <c r="H2359" s="93">
        <v>1</v>
      </c>
      <c r="I2359" s="23"/>
      <c r="J2359" s="23"/>
      <c r="K2359" s="23"/>
      <c r="L2359" s="23" t="s">
        <v>6880</v>
      </c>
      <c r="M2359" s="23" t="s">
        <v>3694</v>
      </c>
    </row>
    <row r="2360" spans="2:13" ht="15" customHeight="1" x14ac:dyDescent="0.25">
      <c r="B2360" s="35" t="s">
        <v>7622</v>
      </c>
      <c r="C2360" s="23" t="s">
        <v>7623</v>
      </c>
      <c r="D2360" s="23" t="s">
        <v>3303</v>
      </c>
      <c r="E2360" s="23" t="s">
        <v>3317</v>
      </c>
      <c r="F2360" s="23" t="s">
        <v>3729</v>
      </c>
      <c r="G2360" s="93">
        <v>3</v>
      </c>
      <c r="H2360" s="93">
        <v>1</v>
      </c>
      <c r="I2360" s="23"/>
      <c r="J2360" s="23"/>
      <c r="K2360" s="23"/>
      <c r="L2360" s="23" t="s">
        <v>6880</v>
      </c>
      <c r="M2360" s="23" t="s">
        <v>3694</v>
      </c>
    </row>
    <row r="2361" spans="2:13" ht="15" customHeight="1" x14ac:dyDescent="0.25">
      <c r="B2361" s="35" t="s">
        <v>7624</v>
      </c>
      <c r="C2361" s="23" t="s">
        <v>7625</v>
      </c>
      <c r="D2361" s="23" t="s">
        <v>3303</v>
      </c>
      <c r="E2361" s="23" t="s">
        <v>3317</v>
      </c>
      <c r="F2361" s="23" t="s">
        <v>3729</v>
      </c>
      <c r="G2361" s="93">
        <v>3</v>
      </c>
      <c r="H2361" s="93">
        <v>1</v>
      </c>
      <c r="I2361" s="23"/>
      <c r="J2361" s="23"/>
      <c r="K2361" s="23"/>
      <c r="L2361" s="23" t="s">
        <v>6880</v>
      </c>
      <c r="M2361" s="23" t="s">
        <v>3694</v>
      </c>
    </row>
    <row r="2362" spans="2:13" ht="15" customHeight="1" x14ac:dyDescent="0.25">
      <c r="B2362" s="35" t="s">
        <v>7626</v>
      </c>
      <c r="C2362" s="23" t="s">
        <v>7627</v>
      </c>
      <c r="D2362" s="23" t="s">
        <v>3303</v>
      </c>
      <c r="E2362" s="23" t="s">
        <v>3317</v>
      </c>
      <c r="F2362" s="23" t="s">
        <v>3729</v>
      </c>
      <c r="G2362" s="93">
        <v>3</v>
      </c>
      <c r="H2362" s="93">
        <v>1</v>
      </c>
      <c r="I2362" s="23"/>
      <c r="J2362" s="23"/>
      <c r="K2362" s="23"/>
      <c r="L2362" s="23" t="s">
        <v>6880</v>
      </c>
      <c r="M2362" s="23" t="s">
        <v>3694</v>
      </c>
    </row>
    <row r="2363" spans="2:13" ht="15" customHeight="1" x14ac:dyDescent="0.25">
      <c r="B2363" s="35" t="s">
        <v>7628</v>
      </c>
      <c r="C2363" s="23" t="s">
        <v>7629</v>
      </c>
      <c r="D2363" s="23" t="s">
        <v>3303</v>
      </c>
      <c r="E2363" s="23" t="s">
        <v>3317</v>
      </c>
      <c r="F2363" s="23" t="s">
        <v>3729</v>
      </c>
      <c r="G2363" s="93">
        <v>3</v>
      </c>
      <c r="H2363" s="93">
        <v>1</v>
      </c>
      <c r="I2363" s="23"/>
      <c r="J2363" s="23"/>
      <c r="K2363" s="23"/>
      <c r="L2363" s="23" t="s">
        <v>6880</v>
      </c>
      <c r="M2363" s="23" t="s">
        <v>3694</v>
      </c>
    </row>
    <row r="2364" spans="2:13" ht="15" customHeight="1" x14ac:dyDescent="0.25">
      <c r="B2364" s="35" t="s">
        <v>7630</v>
      </c>
      <c r="C2364" s="23" t="s">
        <v>7631</v>
      </c>
      <c r="D2364" s="23" t="s">
        <v>3303</v>
      </c>
      <c r="E2364" s="23" t="s">
        <v>3317</v>
      </c>
      <c r="F2364" s="23" t="s">
        <v>3729</v>
      </c>
      <c r="G2364" s="93">
        <v>3</v>
      </c>
      <c r="H2364" s="93">
        <v>1</v>
      </c>
      <c r="I2364" s="23"/>
      <c r="J2364" s="23"/>
      <c r="K2364" s="23"/>
      <c r="L2364" s="23" t="s">
        <v>6880</v>
      </c>
      <c r="M2364" s="23" t="s">
        <v>3694</v>
      </c>
    </row>
    <row r="2365" spans="2:13" ht="15" customHeight="1" x14ac:dyDescent="0.25">
      <c r="B2365" s="35" t="s">
        <v>7632</v>
      </c>
      <c r="C2365" s="23" t="s">
        <v>7633</v>
      </c>
      <c r="D2365" s="23" t="s">
        <v>3303</v>
      </c>
      <c r="E2365" s="23" t="s">
        <v>3317</v>
      </c>
      <c r="F2365" s="23" t="s">
        <v>3729</v>
      </c>
      <c r="G2365" s="93">
        <v>3</v>
      </c>
      <c r="H2365" s="93">
        <v>1</v>
      </c>
      <c r="I2365" s="23"/>
      <c r="J2365" s="23"/>
      <c r="K2365" s="23"/>
      <c r="L2365" s="23" t="s">
        <v>6880</v>
      </c>
      <c r="M2365" s="23" t="s">
        <v>3694</v>
      </c>
    </row>
    <row r="2366" spans="2:13" ht="15" customHeight="1" x14ac:dyDescent="0.25">
      <c r="B2366" s="35" t="s">
        <v>7634</v>
      </c>
      <c r="C2366" s="23" t="s">
        <v>7635</v>
      </c>
      <c r="D2366" s="23" t="s">
        <v>3303</v>
      </c>
      <c r="E2366" s="23" t="s">
        <v>3317</v>
      </c>
      <c r="F2366" s="23" t="s">
        <v>3729</v>
      </c>
      <c r="G2366" s="93">
        <v>3</v>
      </c>
      <c r="H2366" s="93">
        <v>1</v>
      </c>
      <c r="I2366" s="23"/>
      <c r="J2366" s="23"/>
      <c r="K2366" s="23"/>
      <c r="L2366" s="23" t="s">
        <v>6880</v>
      </c>
      <c r="M2366" s="23" t="s">
        <v>3694</v>
      </c>
    </row>
    <row r="2367" spans="2:13" ht="15" customHeight="1" x14ac:dyDescent="0.25">
      <c r="B2367" s="35" t="s">
        <v>7636</v>
      </c>
      <c r="C2367" s="23" t="s">
        <v>7637</v>
      </c>
      <c r="D2367" s="23" t="s">
        <v>3303</v>
      </c>
      <c r="E2367" s="23" t="s">
        <v>3317</v>
      </c>
      <c r="F2367" s="23" t="s">
        <v>3729</v>
      </c>
      <c r="G2367" s="93">
        <v>3</v>
      </c>
      <c r="H2367" s="93">
        <v>1</v>
      </c>
      <c r="I2367" s="23"/>
      <c r="J2367" s="23"/>
      <c r="K2367" s="23"/>
      <c r="L2367" s="23" t="s">
        <v>6880</v>
      </c>
      <c r="M2367" s="23" t="s">
        <v>3694</v>
      </c>
    </row>
    <row r="2368" spans="2:13" ht="15" customHeight="1" x14ac:dyDescent="0.25">
      <c r="B2368" s="35" t="s">
        <v>7638</v>
      </c>
      <c r="C2368" s="23" t="s">
        <v>7639</v>
      </c>
      <c r="D2368" s="23" t="s">
        <v>3303</v>
      </c>
      <c r="E2368" s="23" t="s">
        <v>3317</v>
      </c>
      <c r="F2368" s="23" t="s">
        <v>3729</v>
      </c>
      <c r="G2368" s="93">
        <v>3</v>
      </c>
      <c r="H2368" s="93">
        <v>1</v>
      </c>
      <c r="I2368" s="23"/>
      <c r="J2368" s="23"/>
      <c r="K2368" s="23"/>
      <c r="L2368" s="23" t="s">
        <v>6880</v>
      </c>
      <c r="M2368" s="23" t="s">
        <v>3694</v>
      </c>
    </row>
    <row r="2369" spans="2:13" ht="15" customHeight="1" x14ac:dyDescent="0.25">
      <c r="B2369" s="35" t="s">
        <v>7640</v>
      </c>
      <c r="C2369" s="23" t="s">
        <v>7641</v>
      </c>
      <c r="D2369" s="23" t="s">
        <v>3303</v>
      </c>
      <c r="E2369" s="23" t="s">
        <v>3317</v>
      </c>
      <c r="F2369" s="23" t="s">
        <v>3729</v>
      </c>
      <c r="G2369" s="93">
        <v>3</v>
      </c>
      <c r="H2369" s="93">
        <v>1</v>
      </c>
      <c r="I2369" s="23"/>
      <c r="J2369" s="23"/>
      <c r="K2369" s="23"/>
      <c r="L2369" s="23" t="s">
        <v>6880</v>
      </c>
      <c r="M2369" s="23" t="s">
        <v>3694</v>
      </c>
    </row>
    <row r="2370" spans="2:13" ht="15" customHeight="1" x14ac:dyDescent="0.25">
      <c r="B2370" s="35" t="s">
        <v>7642</v>
      </c>
      <c r="C2370" s="23" t="s">
        <v>7643</v>
      </c>
      <c r="D2370" s="23" t="s">
        <v>3303</v>
      </c>
      <c r="E2370" s="23" t="s">
        <v>3317</v>
      </c>
      <c r="F2370" s="23" t="s">
        <v>3729</v>
      </c>
      <c r="G2370" s="93">
        <v>3</v>
      </c>
      <c r="H2370" s="93">
        <v>1</v>
      </c>
      <c r="I2370" s="23"/>
      <c r="J2370" s="23"/>
      <c r="K2370" s="23"/>
      <c r="L2370" s="23" t="s">
        <v>6880</v>
      </c>
      <c r="M2370" s="23" t="s">
        <v>3694</v>
      </c>
    </row>
    <row r="2371" spans="2:13" ht="15" customHeight="1" x14ac:dyDescent="0.25">
      <c r="B2371" s="35" t="s">
        <v>7644</v>
      </c>
      <c r="C2371" s="23" t="s">
        <v>7645</v>
      </c>
      <c r="D2371" s="23" t="s">
        <v>3303</v>
      </c>
      <c r="E2371" s="23" t="s">
        <v>3317</v>
      </c>
      <c r="F2371" s="23" t="s">
        <v>3729</v>
      </c>
      <c r="G2371" s="93">
        <v>3</v>
      </c>
      <c r="H2371" s="93">
        <v>1</v>
      </c>
      <c r="I2371" s="23"/>
      <c r="J2371" s="23"/>
      <c r="K2371" s="23"/>
      <c r="L2371" s="23" t="s">
        <v>6880</v>
      </c>
      <c r="M2371" s="23" t="s">
        <v>3694</v>
      </c>
    </row>
    <row r="2372" spans="2:13" ht="15" customHeight="1" x14ac:dyDescent="0.25">
      <c r="B2372" s="35" t="s">
        <v>7646</v>
      </c>
      <c r="C2372" s="23" t="s">
        <v>7647</v>
      </c>
      <c r="D2372" s="23" t="s">
        <v>3303</v>
      </c>
      <c r="E2372" s="23" t="s">
        <v>3317</v>
      </c>
      <c r="F2372" s="23" t="s">
        <v>3729</v>
      </c>
      <c r="G2372" s="93">
        <v>3</v>
      </c>
      <c r="H2372" s="93">
        <v>1</v>
      </c>
      <c r="I2372" s="23"/>
      <c r="J2372" s="23"/>
      <c r="K2372" s="23"/>
      <c r="L2372" s="23" t="s">
        <v>6880</v>
      </c>
      <c r="M2372" s="23" t="s">
        <v>3694</v>
      </c>
    </row>
    <row r="2373" spans="2:13" ht="15" customHeight="1" x14ac:dyDescent="0.25">
      <c r="B2373" s="35" t="s">
        <v>7648</v>
      </c>
      <c r="C2373" s="23" t="s">
        <v>7649</v>
      </c>
      <c r="D2373" s="23" t="s">
        <v>3303</v>
      </c>
      <c r="E2373" s="23" t="s">
        <v>3317</v>
      </c>
      <c r="F2373" s="23" t="s">
        <v>3729</v>
      </c>
      <c r="G2373" s="93">
        <v>3</v>
      </c>
      <c r="H2373" s="93">
        <v>1</v>
      </c>
      <c r="I2373" s="23"/>
      <c r="J2373" s="23"/>
      <c r="K2373" s="23"/>
      <c r="L2373" s="23" t="s">
        <v>6880</v>
      </c>
      <c r="M2373" s="23" t="s">
        <v>3694</v>
      </c>
    </row>
    <row r="2374" spans="2:13" ht="15" customHeight="1" x14ac:dyDescent="0.25">
      <c r="B2374" s="35" t="s">
        <v>7650</v>
      </c>
      <c r="C2374" s="23" t="s">
        <v>7651</v>
      </c>
      <c r="D2374" s="23" t="s">
        <v>3303</v>
      </c>
      <c r="E2374" s="23" t="s">
        <v>3317</v>
      </c>
      <c r="F2374" s="23" t="s">
        <v>3729</v>
      </c>
      <c r="G2374" s="93">
        <v>3</v>
      </c>
      <c r="H2374" s="93">
        <v>1</v>
      </c>
      <c r="I2374" s="23"/>
      <c r="J2374" s="23"/>
      <c r="K2374" s="23"/>
      <c r="L2374" s="23" t="s">
        <v>6880</v>
      </c>
      <c r="M2374" s="23" t="s">
        <v>3694</v>
      </c>
    </row>
    <row r="2375" spans="2:13" ht="15" customHeight="1" x14ac:dyDescent="0.25">
      <c r="B2375" s="35" t="s">
        <v>7652</v>
      </c>
      <c r="C2375" s="23" t="s">
        <v>7653</v>
      </c>
      <c r="D2375" s="23" t="s">
        <v>3303</v>
      </c>
      <c r="E2375" s="23" t="s">
        <v>3317</v>
      </c>
      <c r="F2375" s="23" t="s">
        <v>3729</v>
      </c>
      <c r="G2375" s="93">
        <v>3</v>
      </c>
      <c r="H2375" s="93">
        <v>1</v>
      </c>
      <c r="I2375" s="23"/>
      <c r="J2375" s="23"/>
      <c r="K2375" s="23"/>
      <c r="L2375" s="23" t="s">
        <v>6880</v>
      </c>
      <c r="M2375" s="23" t="s">
        <v>3694</v>
      </c>
    </row>
    <row r="2376" spans="2:13" ht="15" customHeight="1" x14ac:dyDescent="0.25">
      <c r="B2376" s="35" t="s">
        <v>7654</v>
      </c>
      <c r="C2376" s="23" t="s">
        <v>7655</v>
      </c>
      <c r="D2376" s="23" t="s">
        <v>3303</v>
      </c>
      <c r="E2376" s="23" t="s">
        <v>3317</v>
      </c>
      <c r="F2376" s="23" t="s">
        <v>3729</v>
      </c>
      <c r="G2376" s="93">
        <v>3</v>
      </c>
      <c r="H2376" s="93">
        <v>1</v>
      </c>
      <c r="I2376" s="23"/>
      <c r="J2376" s="23"/>
      <c r="K2376" s="23"/>
      <c r="L2376" s="23" t="s">
        <v>6880</v>
      </c>
      <c r="M2376" s="23" t="s">
        <v>3694</v>
      </c>
    </row>
    <row r="2377" spans="2:13" ht="15" customHeight="1" x14ac:dyDescent="0.25">
      <c r="B2377" s="35" t="s">
        <v>7656</v>
      </c>
      <c r="C2377" s="23" t="s">
        <v>7657</v>
      </c>
      <c r="D2377" s="23" t="s">
        <v>3303</v>
      </c>
      <c r="E2377" s="23" t="s">
        <v>3317</v>
      </c>
      <c r="F2377" s="23" t="s">
        <v>3729</v>
      </c>
      <c r="G2377" s="93">
        <v>3</v>
      </c>
      <c r="H2377" s="93">
        <v>1</v>
      </c>
      <c r="I2377" s="23"/>
      <c r="J2377" s="23"/>
      <c r="K2377" s="23"/>
      <c r="L2377" s="23" t="s">
        <v>6880</v>
      </c>
      <c r="M2377" s="23" t="s">
        <v>3694</v>
      </c>
    </row>
    <row r="2378" spans="2:13" ht="15" customHeight="1" x14ac:dyDescent="0.25">
      <c r="B2378" s="35" t="s">
        <v>7658</v>
      </c>
      <c r="C2378" s="23" t="s">
        <v>7659</v>
      </c>
      <c r="D2378" s="23" t="s">
        <v>3303</v>
      </c>
      <c r="E2378" s="23" t="s">
        <v>3317</v>
      </c>
      <c r="F2378" s="23" t="s">
        <v>3729</v>
      </c>
      <c r="G2378" s="93">
        <v>3</v>
      </c>
      <c r="H2378" s="93">
        <v>1</v>
      </c>
      <c r="I2378" s="23"/>
      <c r="J2378" s="23"/>
      <c r="K2378" s="23"/>
      <c r="L2378" s="23" t="s">
        <v>6880</v>
      </c>
      <c r="M2378" s="23" t="s">
        <v>3694</v>
      </c>
    </row>
    <row r="2379" spans="2:13" ht="15" customHeight="1" x14ac:dyDescent="0.25">
      <c r="B2379" s="35" t="s">
        <v>3202</v>
      </c>
      <c r="C2379" s="23" t="s">
        <v>3203</v>
      </c>
      <c r="D2379" s="23" t="s">
        <v>3303</v>
      </c>
      <c r="E2379" s="23" t="s">
        <v>3317</v>
      </c>
      <c r="F2379" s="23" t="s">
        <v>3729</v>
      </c>
      <c r="G2379" s="93">
        <v>3</v>
      </c>
      <c r="H2379" s="93">
        <v>0</v>
      </c>
      <c r="I2379" s="23"/>
      <c r="J2379" s="23"/>
      <c r="K2379" s="23"/>
      <c r="L2379" s="23" t="s">
        <v>6880</v>
      </c>
      <c r="M2379" s="23"/>
    </row>
    <row r="2380" spans="2:13" ht="15" customHeight="1" x14ac:dyDescent="0.25">
      <c r="B2380" s="35" t="s">
        <v>7660</v>
      </c>
      <c r="C2380" s="23" t="s">
        <v>7661</v>
      </c>
      <c r="D2380" s="23" t="s">
        <v>3303</v>
      </c>
      <c r="E2380" s="23" t="s">
        <v>3317</v>
      </c>
      <c r="F2380" s="23" t="s">
        <v>3729</v>
      </c>
      <c r="G2380" s="93">
        <v>3</v>
      </c>
      <c r="H2380" s="93">
        <v>1</v>
      </c>
      <c r="I2380" s="23"/>
      <c r="J2380" s="23"/>
      <c r="K2380" s="23"/>
      <c r="L2380" s="23" t="s">
        <v>6880</v>
      </c>
      <c r="M2380" s="23" t="s">
        <v>3694</v>
      </c>
    </row>
    <row r="2381" spans="2:13" ht="15" customHeight="1" x14ac:dyDescent="0.25">
      <c r="B2381" s="35" t="s">
        <v>3205</v>
      </c>
      <c r="C2381" s="23" t="s">
        <v>3206</v>
      </c>
      <c r="D2381" s="23" t="s">
        <v>3303</v>
      </c>
      <c r="E2381" s="23" t="s">
        <v>3317</v>
      </c>
      <c r="F2381" s="23" t="s">
        <v>3729</v>
      </c>
      <c r="G2381" s="93">
        <v>3</v>
      </c>
      <c r="H2381" s="93">
        <v>0</v>
      </c>
      <c r="I2381" s="23"/>
      <c r="J2381" s="23"/>
      <c r="K2381" s="23"/>
      <c r="L2381" s="23" t="s">
        <v>6880</v>
      </c>
      <c r="M2381" s="23"/>
    </row>
    <row r="2382" spans="2:13" ht="15" customHeight="1" x14ac:dyDescent="0.25">
      <c r="B2382" s="35" t="s">
        <v>7662</v>
      </c>
      <c r="C2382" s="23" t="s">
        <v>7663</v>
      </c>
      <c r="D2382" s="23" t="s">
        <v>3303</v>
      </c>
      <c r="E2382" s="23" t="s">
        <v>3317</v>
      </c>
      <c r="F2382" s="23" t="s">
        <v>3729</v>
      </c>
      <c r="G2382" s="93">
        <v>3</v>
      </c>
      <c r="H2382" s="93">
        <v>1</v>
      </c>
      <c r="I2382" s="23"/>
      <c r="J2382" s="23"/>
      <c r="K2382" s="23"/>
      <c r="L2382" s="23" t="s">
        <v>6880</v>
      </c>
      <c r="M2382" s="23" t="s">
        <v>3694</v>
      </c>
    </row>
    <row r="2383" spans="2:13" ht="15" customHeight="1" x14ac:dyDescent="0.25">
      <c r="B2383" s="35" t="s">
        <v>7664</v>
      </c>
      <c r="C2383" s="23" t="s">
        <v>7665</v>
      </c>
      <c r="D2383" s="23" t="s">
        <v>3303</v>
      </c>
      <c r="E2383" s="23" t="s">
        <v>3317</v>
      </c>
      <c r="F2383" s="23" t="s">
        <v>3729</v>
      </c>
      <c r="G2383" s="93">
        <v>3</v>
      </c>
      <c r="H2383" s="93">
        <v>1</v>
      </c>
      <c r="I2383" s="23"/>
      <c r="J2383" s="23"/>
      <c r="K2383" s="23"/>
      <c r="L2383" s="23" t="s">
        <v>6880</v>
      </c>
      <c r="M2383" s="23" t="s">
        <v>3694</v>
      </c>
    </row>
    <row r="2384" spans="2:13" ht="15" customHeight="1" x14ac:dyDescent="0.25">
      <c r="B2384" s="35" t="s">
        <v>7666</v>
      </c>
      <c r="C2384" s="23" t="s">
        <v>7667</v>
      </c>
      <c r="D2384" s="23" t="s">
        <v>3303</v>
      </c>
      <c r="E2384" s="23" t="s">
        <v>3317</v>
      </c>
      <c r="F2384" s="23" t="s">
        <v>3729</v>
      </c>
      <c r="G2384" s="93">
        <v>3</v>
      </c>
      <c r="H2384" s="93">
        <v>1</v>
      </c>
      <c r="I2384" s="23"/>
      <c r="J2384" s="23"/>
      <c r="K2384" s="23"/>
      <c r="L2384" s="23" t="s">
        <v>6880</v>
      </c>
      <c r="M2384" s="23" t="s">
        <v>3694</v>
      </c>
    </row>
    <row r="2385" spans="2:13" ht="15" customHeight="1" x14ac:dyDescent="0.25">
      <c r="B2385" s="35" t="s">
        <v>3208</v>
      </c>
      <c r="C2385" s="23" t="s">
        <v>3209</v>
      </c>
      <c r="D2385" s="23" t="s">
        <v>3303</v>
      </c>
      <c r="E2385" s="23" t="s">
        <v>3317</v>
      </c>
      <c r="F2385" s="23" t="s">
        <v>3729</v>
      </c>
      <c r="G2385" s="93">
        <v>3</v>
      </c>
      <c r="H2385" s="93">
        <v>0</v>
      </c>
      <c r="I2385" s="23"/>
      <c r="J2385" s="23"/>
      <c r="K2385" s="23"/>
      <c r="L2385" s="23" t="s">
        <v>6880</v>
      </c>
      <c r="M2385" s="23"/>
    </row>
    <row r="2386" spans="2:13" ht="15" customHeight="1" x14ac:dyDescent="0.25">
      <c r="B2386" s="35" t="s">
        <v>7668</v>
      </c>
      <c r="C2386" s="23" t="s">
        <v>7669</v>
      </c>
      <c r="D2386" s="23" t="s">
        <v>3303</v>
      </c>
      <c r="E2386" s="23" t="s">
        <v>3317</v>
      </c>
      <c r="F2386" s="23" t="s">
        <v>3729</v>
      </c>
      <c r="G2386" s="93">
        <v>3</v>
      </c>
      <c r="H2386" s="93">
        <v>1</v>
      </c>
      <c r="I2386" s="23"/>
      <c r="J2386" s="23"/>
      <c r="K2386" s="23"/>
      <c r="L2386" s="23" t="s">
        <v>6880</v>
      </c>
      <c r="M2386" s="23" t="s">
        <v>3694</v>
      </c>
    </row>
    <row r="2387" spans="2:13" ht="15" customHeight="1" x14ac:dyDescent="0.25">
      <c r="B2387" s="35" t="s">
        <v>7670</v>
      </c>
      <c r="C2387" s="23" t="s">
        <v>7671</v>
      </c>
      <c r="D2387" s="23" t="s">
        <v>3303</v>
      </c>
      <c r="E2387" s="23" t="s">
        <v>3317</v>
      </c>
      <c r="F2387" s="23" t="s">
        <v>3729</v>
      </c>
      <c r="G2387" s="93">
        <v>3</v>
      </c>
      <c r="H2387" s="93">
        <v>1</v>
      </c>
      <c r="I2387" s="23"/>
      <c r="J2387" s="23"/>
      <c r="K2387" s="23"/>
      <c r="L2387" s="23" t="s">
        <v>6880</v>
      </c>
      <c r="M2387" s="23" t="s">
        <v>3694</v>
      </c>
    </row>
    <row r="2388" spans="2:13" ht="15" customHeight="1" x14ac:dyDescent="0.25">
      <c r="B2388" s="35" t="s">
        <v>7672</v>
      </c>
      <c r="C2388" s="23" t="s">
        <v>7673</v>
      </c>
      <c r="D2388" s="23" t="s">
        <v>3303</v>
      </c>
      <c r="E2388" s="23" t="s">
        <v>3317</v>
      </c>
      <c r="F2388" s="23" t="s">
        <v>3729</v>
      </c>
      <c r="G2388" s="93">
        <v>3</v>
      </c>
      <c r="H2388" s="93">
        <v>1</v>
      </c>
      <c r="I2388" s="23"/>
      <c r="J2388" s="23"/>
      <c r="K2388" s="23"/>
      <c r="L2388" s="23" t="s">
        <v>6880</v>
      </c>
      <c r="M2388" s="23" t="s">
        <v>3694</v>
      </c>
    </row>
    <row r="2389" spans="2:13" ht="15" customHeight="1" x14ac:dyDescent="0.25">
      <c r="B2389" s="35" t="s">
        <v>7674</v>
      </c>
      <c r="C2389" s="23" t="s">
        <v>7675</v>
      </c>
      <c r="D2389" s="23" t="s">
        <v>3303</v>
      </c>
      <c r="E2389" s="23" t="s">
        <v>3317</v>
      </c>
      <c r="F2389" s="23" t="s">
        <v>3729</v>
      </c>
      <c r="G2389" s="93">
        <v>3</v>
      </c>
      <c r="H2389" s="93">
        <v>1</v>
      </c>
      <c r="I2389" s="23"/>
      <c r="J2389" s="23"/>
      <c r="K2389" s="23"/>
      <c r="L2389" s="23" t="s">
        <v>6880</v>
      </c>
      <c r="M2389" s="23" t="s">
        <v>3694</v>
      </c>
    </row>
    <row r="2390" spans="2:13" ht="15" customHeight="1" x14ac:dyDescent="0.25">
      <c r="B2390" s="35" t="s">
        <v>7676</v>
      </c>
      <c r="C2390" s="23" t="s">
        <v>7677</v>
      </c>
      <c r="D2390" s="23" t="s">
        <v>3303</v>
      </c>
      <c r="E2390" s="23" t="s">
        <v>3317</v>
      </c>
      <c r="F2390" s="23" t="s">
        <v>3729</v>
      </c>
      <c r="G2390" s="93">
        <v>3</v>
      </c>
      <c r="H2390" s="93">
        <v>1</v>
      </c>
      <c r="I2390" s="23"/>
      <c r="J2390" s="23"/>
      <c r="K2390" s="23"/>
      <c r="L2390" s="23" t="s">
        <v>6880</v>
      </c>
      <c r="M2390" s="23" t="s">
        <v>3694</v>
      </c>
    </row>
    <row r="2391" spans="2:13" ht="15" customHeight="1" x14ac:dyDescent="0.25">
      <c r="B2391" s="35" t="s">
        <v>7678</v>
      </c>
      <c r="C2391" s="23" t="s">
        <v>7679</v>
      </c>
      <c r="D2391" s="23" t="s">
        <v>3303</v>
      </c>
      <c r="E2391" s="23" t="s">
        <v>3317</v>
      </c>
      <c r="F2391" s="23" t="s">
        <v>3729</v>
      </c>
      <c r="G2391" s="93">
        <v>3</v>
      </c>
      <c r="H2391" s="93">
        <v>1</v>
      </c>
      <c r="I2391" s="23"/>
      <c r="J2391" s="23"/>
      <c r="K2391" s="23"/>
      <c r="L2391" s="23" t="s">
        <v>6880</v>
      </c>
      <c r="M2391" s="23" t="s">
        <v>3694</v>
      </c>
    </row>
    <row r="2392" spans="2:13" ht="15" customHeight="1" x14ac:dyDescent="0.25">
      <c r="B2392" s="35" t="s">
        <v>7680</v>
      </c>
      <c r="C2392" s="23" t="s">
        <v>7681</v>
      </c>
      <c r="D2392" s="23" t="s">
        <v>3303</v>
      </c>
      <c r="E2392" s="23" t="s">
        <v>3317</v>
      </c>
      <c r="F2392" s="23" t="s">
        <v>3729</v>
      </c>
      <c r="G2392" s="93">
        <v>3</v>
      </c>
      <c r="H2392" s="93">
        <v>1</v>
      </c>
      <c r="I2392" s="23"/>
      <c r="J2392" s="23"/>
      <c r="K2392" s="23"/>
      <c r="L2392" s="23" t="s">
        <v>6880</v>
      </c>
      <c r="M2392" s="23" t="s">
        <v>3694</v>
      </c>
    </row>
    <row r="2393" spans="2:13" ht="15" customHeight="1" x14ac:dyDescent="0.25">
      <c r="B2393" s="35" t="s">
        <v>7682</v>
      </c>
      <c r="C2393" s="23" t="s">
        <v>7683</v>
      </c>
      <c r="D2393" s="23" t="s">
        <v>3303</v>
      </c>
      <c r="E2393" s="23" t="s">
        <v>3317</v>
      </c>
      <c r="F2393" s="23" t="s">
        <v>3729</v>
      </c>
      <c r="G2393" s="93">
        <v>3</v>
      </c>
      <c r="H2393" s="93">
        <v>1</v>
      </c>
      <c r="I2393" s="23"/>
      <c r="J2393" s="23"/>
      <c r="K2393" s="23"/>
      <c r="L2393" s="23" t="s">
        <v>6880</v>
      </c>
      <c r="M2393" s="23" t="s">
        <v>3694</v>
      </c>
    </row>
    <row r="2394" spans="2:13" ht="15" customHeight="1" x14ac:dyDescent="0.25">
      <c r="B2394" s="35" t="s">
        <v>7684</v>
      </c>
      <c r="C2394" s="23" t="s">
        <v>7685</v>
      </c>
      <c r="D2394" s="23" t="s">
        <v>3303</v>
      </c>
      <c r="E2394" s="23" t="s">
        <v>3317</v>
      </c>
      <c r="F2394" s="23" t="s">
        <v>3729</v>
      </c>
      <c r="G2394" s="93">
        <v>3</v>
      </c>
      <c r="H2394" s="93">
        <v>1</v>
      </c>
      <c r="I2394" s="23"/>
      <c r="J2394" s="23"/>
      <c r="K2394" s="23"/>
      <c r="L2394" s="23" t="s">
        <v>6880</v>
      </c>
      <c r="M2394" s="23" t="s">
        <v>3694</v>
      </c>
    </row>
    <row r="2395" spans="2:13" ht="15" customHeight="1" x14ac:dyDescent="0.25">
      <c r="B2395" s="35" t="s">
        <v>7686</v>
      </c>
      <c r="C2395" s="23" t="s">
        <v>7687</v>
      </c>
      <c r="D2395" s="23" t="s">
        <v>3303</v>
      </c>
      <c r="E2395" s="23" t="s">
        <v>3317</v>
      </c>
      <c r="F2395" s="23" t="s">
        <v>3729</v>
      </c>
      <c r="G2395" s="93">
        <v>3</v>
      </c>
      <c r="H2395" s="93">
        <v>1</v>
      </c>
      <c r="I2395" s="23"/>
      <c r="J2395" s="23"/>
      <c r="K2395" s="23"/>
      <c r="L2395" s="23" t="s">
        <v>6880</v>
      </c>
      <c r="M2395" s="23" t="s">
        <v>3694</v>
      </c>
    </row>
    <row r="2396" spans="2:13" ht="15" customHeight="1" x14ac:dyDescent="0.25">
      <c r="B2396" s="35" t="s">
        <v>7688</v>
      </c>
      <c r="C2396" s="23" t="s">
        <v>7689</v>
      </c>
      <c r="D2396" s="23" t="s">
        <v>3303</v>
      </c>
      <c r="E2396" s="23" t="s">
        <v>3317</v>
      </c>
      <c r="F2396" s="23" t="s">
        <v>3729</v>
      </c>
      <c r="G2396" s="93">
        <v>3</v>
      </c>
      <c r="H2396" s="93">
        <v>1</v>
      </c>
      <c r="I2396" s="23"/>
      <c r="J2396" s="23"/>
      <c r="K2396" s="23"/>
      <c r="L2396" s="23" t="s">
        <v>6880</v>
      </c>
      <c r="M2396" s="23" t="s">
        <v>3694</v>
      </c>
    </row>
    <row r="2397" spans="2:13" ht="15" customHeight="1" x14ac:dyDescent="0.25">
      <c r="B2397" s="35" t="s">
        <v>7690</v>
      </c>
      <c r="C2397" s="23" t="s">
        <v>7691</v>
      </c>
      <c r="D2397" s="23" t="s">
        <v>3303</v>
      </c>
      <c r="E2397" s="23" t="s">
        <v>3317</v>
      </c>
      <c r="F2397" s="23" t="s">
        <v>3729</v>
      </c>
      <c r="G2397" s="93">
        <v>3</v>
      </c>
      <c r="H2397" s="93">
        <v>1</v>
      </c>
      <c r="I2397" s="23"/>
      <c r="J2397" s="23"/>
      <c r="K2397" s="23"/>
      <c r="L2397" s="23" t="s">
        <v>6880</v>
      </c>
      <c r="M2397" s="23" t="s">
        <v>3694</v>
      </c>
    </row>
    <row r="2398" spans="2:13" ht="15" customHeight="1" x14ac:dyDescent="0.25">
      <c r="B2398" s="35" t="s">
        <v>7692</v>
      </c>
      <c r="C2398" s="23" t="s">
        <v>7693</v>
      </c>
      <c r="D2398" s="23" t="s">
        <v>3303</v>
      </c>
      <c r="E2398" s="23" t="s">
        <v>3317</v>
      </c>
      <c r="F2398" s="23" t="s">
        <v>3729</v>
      </c>
      <c r="G2398" s="93">
        <v>3</v>
      </c>
      <c r="H2398" s="93">
        <v>1</v>
      </c>
      <c r="I2398" s="23"/>
      <c r="J2398" s="23"/>
      <c r="K2398" s="23"/>
      <c r="L2398" s="23" t="s">
        <v>6880</v>
      </c>
      <c r="M2398" s="23" t="s">
        <v>3694</v>
      </c>
    </row>
    <row r="2399" spans="2:13" ht="15" customHeight="1" x14ac:dyDescent="0.25">
      <c r="B2399" s="35" t="s">
        <v>7694</v>
      </c>
      <c r="C2399" s="23" t="s">
        <v>7695</v>
      </c>
      <c r="D2399" s="23" t="s">
        <v>3303</v>
      </c>
      <c r="E2399" s="23" t="s">
        <v>3317</v>
      </c>
      <c r="F2399" s="23" t="s">
        <v>3729</v>
      </c>
      <c r="G2399" s="93">
        <v>3</v>
      </c>
      <c r="H2399" s="93">
        <v>1</v>
      </c>
      <c r="I2399" s="23"/>
      <c r="J2399" s="23"/>
      <c r="K2399" s="23"/>
      <c r="L2399" s="23" t="s">
        <v>6880</v>
      </c>
      <c r="M2399" s="23" t="s">
        <v>3694</v>
      </c>
    </row>
    <row r="2400" spans="2:13" ht="15" customHeight="1" x14ac:dyDescent="0.25">
      <c r="B2400" s="35" t="s">
        <v>7696</v>
      </c>
      <c r="C2400" s="23" t="s">
        <v>7697</v>
      </c>
      <c r="D2400" s="23" t="s">
        <v>3303</v>
      </c>
      <c r="E2400" s="23" t="s">
        <v>3317</v>
      </c>
      <c r="F2400" s="23" t="s">
        <v>3729</v>
      </c>
      <c r="G2400" s="93">
        <v>3</v>
      </c>
      <c r="H2400" s="93">
        <v>1</v>
      </c>
      <c r="I2400" s="23"/>
      <c r="J2400" s="23"/>
      <c r="K2400" s="23"/>
      <c r="L2400" s="23" t="s">
        <v>6880</v>
      </c>
      <c r="M2400" s="23" t="s">
        <v>3694</v>
      </c>
    </row>
    <row r="2401" spans="2:13" ht="15" customHeight="1" x14ac:dyDescent="0.25">
      <c r="B2401" s="35" t="s">
        <v>7698</v>
      </c>
      <c r="C2401" s="23" t="s">
        <v>7699</v>
      </c>
      <c r="D2401" s="23" t="s">
        <v>3303</v>
      </c>
      <c r="E2401" s="23" t="s">
        <v>3317</v>
      </c>
      <c r="F2401" s="23" t="s">
        <v>3729</v>
      </c>
      <c r="G2401" s="93">
        <v>3</v>
      </c>
      <c r="H2401" s="93">
        <v>1</v>
      </c>
      <c r="I2401" s="23"/>
      <c r="J2401" s="23"/>
      <c r="K2401" s="23"/>
      <c r="L2401" s="23" t="s">
        <v>6880</v>
      </c>
      <c r="M2401" s="23" t="s">
        <v>3694</v>
      </c>
    </row>
    <row r="2402" spans="2:13" ht="15" customHeight="1" x14ac:dyDescent="0.25">
      <c r="B2402" s="35" t="s">
        <v>7700</v>
      </c>
      <c r="C2402" s="23" t="s">
        <v>7701</v>
      </c>
      <c r="D2402" s="23" t="s">
        <v>3303</v>
      </c>
      <c r="E2402" s="23" t="s">
        <v>3317</v>
      </c>
      <c r="F2402" s="23" t="s">
        <v>3729</v>
      </c>
      <c r="G2402" s="93">
        <v>3</v>
      </c>
      <c r="H2402" s="93">
        <v>1</v>
      </c>
      <c r="I2402" s="23"/>
      <c r="J2402" s="23"/>
      <c r="K2402" s="23"/>
      <c r="L2402" s="23" t="s">
        <v>6880</v>
      </c>
      <c r="M2402" s="23" t="s">
        <v>3694</v>
      </c>
    </row>
    <row r="2403" spans="2:13" ht="15" customHeight="1" x14ac:dyDescent="0.25">
      <c r="B2403" s="35" t="s">
        <v>7702</v>
      </c>
      <c r="C2403" s="23" t="s">
        <v>7703</v>
      </c>
      <c r="D2403" s="23" t="s">
        <v>3303</v>
      </c>
      <c r="E2403" s="23" t="s">
        <v>3317</v>
      </c>
      <c r="F2403" s="23" t="s">
        <v>3729</v>
      </c>
      <c r="G2403" s="93">
        <v>3</v>
      </c>
      <c r="H2403" s="93">
        <v>1</v>
      </c>
      <c r="I2403" s="23"/>
      <c r="J2403" s="23"/>
      <c r="K2403" s="23"/>
      <c r="L2403" s="23" t="s">
        <v>6880</v>
      </c>
      <c r="M2403" s="23" t="s">
        <v>3694</v>
      </c>
    </row>
    <row r="2404" spans="2:13" ht="15" customHeight="1" x14ac:dyDescent="0.25">
      <c r="B2404" s="35" t="s">
        <v>7704</v>
      </c>
      <c r="C2404" s="23" t="s">
        <v>7705</v>
      </c>
      <c r="D2404" s="23" t="s">
        <v>3303</v>
      </c>
      <c r="E2404" s="23" t="s">
        <v>3317</v>
      </c>
      <c r="F2404" s="23" t="s">
        <v>3729</v>
      </c>
      <c r="G2404" s="93">
        <v>3</v>
      </c>
      <c r="H2404" s="93">
        <v>1</v>
      </c>
      <c r="I2404" s="23"/>
      <c r="J2404" s="23"/>
      <c r="K2404" s="23"/>
      <c r="L2404" s="23" t="s">
        <v>6880</v>
      </c>
      <c r="M2404" s="23" t="s">
        <v>3694</v>
      </c>
    </row>
    <row r="2405" spans="2:13" ht="15" customHeight="1" x14ac:dyDescent="0.25">
      <c r="B2405" s="35" t="s">
        <v>7706</v>
      </c>
      <c r="C2405" s="23" t="s">
        <v>7707</v>
      </c>
      <c r="D2405" s="23" t="s">
        <v>3303</v>
      </c>
      <c r="E2405" s="23" t="s">
        <v>3317</v>
      </c>
      <c r="F2405" s="23" t="s">
        <v>3729</v>
      </c>
      <c r="G2405" s="93">
        <v>3</v>
      </c>
      <c r="H2405" s="93">
        <v>1</v>
      </c>
      <c r="I2405" s="23"/>
      <c r="J2405" s="23"/>
      <c r="K2405" s="23"/>
      <c r="L2405" s="23" t="s">
        <v>6880</v>
      </c>
      <c r="M2405" s="23" t="s">
        <v>3694</v>
      </c>
    </row>
    <row r="2406" spans="2:13" ht="15" customHeight="1" x14ac:dyDescent="0.25">
      <c r="B2406" s="35" t="s">
        <v>7708</v>
      </c>
      <c r="C2406" s="23" t="s">
        <v>7709</v>
      </c>
      <c r="D2406" s="23" t="s">
        <v>3303</v>
      </c>
      <c r="E2406" s="23" t="s">
        <v>3317</v>
      </c>
      <c r="F2406" s="23" t="s">
        <v>3729</v>
      </c>
      <c r="G2406" s="93">
        <v>3</v>
      </c>
      <c r="H2406" s="93">
        <v>1</v>
      </c>
      <c r="I2406" s="23"/>
      <c r="J2406" s="23"/>
      <c r="K2406" s="23"/>
      <c r="L2406" s="23" t="s">
        <v>6880</v>
      </c>
      <c r="M2406" s="23" t="s">
        <v>3694</v>
      </c>
    </row>
    <row r="2407" spans="2:13" ht="15" customHeight="1" x14ac:dyDescent="0.25">
      <c r="B2407" s="35" t="s">
        <v>7710</v>
      </c>
      <c r="C2407" s="23" t="s">
        <v>7711</v>
      </c>
      <c r="D2407" s="23" t="s">
        <v>3303</v>
      </c>
      <c r="E2407" s="23" t="s">
        <v>3317</v>
      </c>
      <c r="F2407" s="23" t="s">
        <v>3729</v>
      </c>
      <c r="G2407" s="93">
        <v>3</v>
      </c>
      <c r="H2407" s="93">
        <v>1</v>
      </c>
      <c r="I2407" s="23"/>
      <c r="J2407" s="23"/>
      <c r="K2407" s="23"/>
      <c r="L2407" s="23" t="s">
        <v>6880</v>
      </c>
      <c r="M2407" s="23" t="s">
        <v>3694</v>
      </c>
    </row>
    <row r="2408" spans="2:13" ht="15" customHeight="1" x14ac:dyDescent="0.25">
      <c r="B2408" s="35" t="s">
        <v>7712</v>
      </c>
      <c r="C2408" s="23" t="s">
        <v>7713</v>
      </c>
      <c r="D2408" s="23" t="s">
        <v>3303</v>
      </c>
      <c r="E2408" s="23" t="s">
        <v>3317</v>
      </c>
      <c r="F2408" s="23" t="s">
        <v>3729</v>
      </c>
      <c r="G2408" s="93">
        <v>3</v>
      </c>
      <c r="H2408" s="93">
        <v>1</v>
      </c>
      <c r="I2408" s="23"/>
      <c r="J2408" s="23"/>
      <c r="K2408" s="23"/>
      <c r="L2408" s="23" t="s">
        <v>6880</v>
      </c>
      <c r="M2408" s="23" t="s">
        <v>3694</v>
      </c>
    </row>
    <row r="2409" spans="2:13" ht="15" customHeight="1" x14ac:dyDescent="0.25">
      <c r="B2409" s="35" t="s">
        <v>7714</v>
      </c>
      <c r="C2409" s="23" t="s">
        <v>7715</v>
      </c>
      <c r="D2409" s="23" t="s">
        <v>3303</v>
      </c>
      <c r="E2409" s="23" t="s">
        <v>3317</v>
      </c>
      <c r="F2409" s="23" t="s">
        <v>3729</v>
      </c>
      <c r="G2409" s="93">
        <v>3</v>
      </c>
      <c r="H2409" s="93">
        <v>1</v>
      </c>
      <c r="I2409" s="23"/>
      <c r="J2409" s="23"/>
      <c r="K2409" s="23"/>
      <c r="L2409" s="23" t="s">
        <v>6880</v>
      </c>
      <c r="M2409" s="23" t="s">
        <v>3694</v>
      </c>
    </row>
    <row r="2410" spans="2:13" ht="15" customHeight="1" x14ac:dyDescent="0.25">
      <c r="B2410" s="35" t="s">
        <v>7716</v>
      </c>
      <c r="C2410" s="23" t="s">
        <v>7717</v>
      </c>
      <c r="D2410" s="23" t="s">
        <v>3303</v>
      </c>
      <c r="E2410" s="23" t="s">
        <v>3317</v>
      </c>
      <c r="F2410" s="23" t="s">
        <v>3729</v>
      </c>
      <c r="G2410" s="93">
        <v>3</v>
      </c>
      <c r="H2410" s="93">
        <v>1</v>
      </c>
      <c r="I2410" s="23"/>
      <c r="J2410" s="23"/>
      <c r="K2410" s="23"/>
      <c r="L2410" s="23" t="s">
        <v>6880</v>
      </c>
      <c r="M2410" s="23" t="s">
        <v>3694</v>
      </c>
    </row>
    <row r="2411" spans="2:13" ht="15" customHeight="1" x14ac:dyDescent="0.25">
      <c r="B2411" s="35" t="s">
        <v>7718</v>
      </c>
      <c r="C2411" s="23" t="s">
        <v>7719</v>
      </c>
      <c r="D2411" s="23" t="s">
        <v>3303</v>
      </c>
      <c r="E2411" s="23" t="s">
        <v>3317</v>
      </c>
      <c r="F2411" s="23" t="s">
        <v>3729</v>
      </c>
      <c r="G2411" s="93">
        <v>3</v>
      </c>
      <c r="H2411" s="93">
        <v>1</v>
      </c>
      <c r="I2411" s="23"/>
      <c r="J2411" s="23"/>
      <c r="K2411" s="23"/>
      <c r="L2411" s="23" t="s">
        <v>6880</v>
      </c>
      <c r="M2411" s="23" t="s">
        <v>3694</v>
      </c>
    </row>
    <row r="2412" spans="2:13" ht="15" customHeight="1" x14ac:dyDescent="0.25">
      <c r="B2412" s="35" t="s">
        <v>7720</v>
      </c>
      <c r="C2412" s="23" t="s">
        <v>7721</v>
      </c>
      <c r="D2412" s="23" t="s">
        <v>3303</v>
      </c>
      <c r="E2412" s="23" t="s">
        <v>3317</v>
      </c>
      <c r="F2412" s="23" t="s">
        <v>3729</v>
      </c>
      <c r="G2412" s="93">
        <v>3</v>
      </c>
      <c r="H2412" s="93">
        <v>1</v>
      </c>
      <c r="I2412" s="23"/>
      <c r="J2412" s="23"/>
      <c r="K2412" s="23"/>
      <c r="L2412" s="23" t="s">
        <v>6880</v>
      </c>
      <c r="M2412" s="23" t="s">
        <v>3694</v>
      </c>
    </row>
    <row r="2413" spans="2:13" ht="15" customHeight="1" x14ac:dyDescent="0.25">
      <c r="B2413" s="35" t="s">
        <v>7722</v>
      </c>
      <c r="C2413" s="23" t="s">
        <v>7723</v>
      </c>
      <c r="D2413" s="23" t="s">
        <v>3303</v>
      </c>
      <c r="E2413" s="23" t="s">
        <v>3317</v>
      </c>
      <c r="F2413" s="23" t="s">
        <v>3729</v>
      </c>
      <c r="G2413" s="93">
        <v>3</v>
      </c>
      <c r="H2413" s="93">
        <v>1</v>
      </c>
      <c r="I2413" s="23"/>
      <c r="J2413" s="23"/>
      <c r="K2413" s="23"/>
      <c r="L2413" s="23" t="s">
        <v>6880</v>
      </c>
      <c r="M2413" s="23" t="s">
        <v>3694</v>
      </c>
    </row>
    <row r="2414" spans="2:13" ht="15" customHeight="1" x14ac:dyDescent="0.25">
      <c r="B2414" s="35" t="s">
        <v>7724</v>
      </c>
      <c r="C2414" s="23" t="s">
        <v>7725</v>
      </c>
      <c r="D2414" s="23" t="s">
        <v>3303</v>
      </c>
      <c r="E2414" s="23" t="s">
        <v>3317</v>
      </c>
      <c r="F2414" s="23" t="s">
        <v>3729</v>
      </c>
      <c r="G2414" s="93">
        <v>3</v>
      </c>
      <c r="H2414" s="93">
        <v>1</v>
      </c>
      <c r="I2414" s="23"/>
      <c r="J2414" s="23"/>
      <c r="K2414" s="23"/>
      <c r="L2414" s="23" t="s">
        <v>6880</v>
      </c>
      <c r="M2414" s="23" t="s">
        <v>3694</v>
      </c>
    </row>
    <row r="2415" spans="2:13" ht="15" customHeight="1" x14ac:dyDescent="0.25">
      <c r="B2415" s="35" t="s">
        <v>7726</v>
      </c>
      <c r="C2415" s="23" t="s">
        <v>7727</v>
      </c>
      <c r="D2415" s="23" t="s">
        <v>3303</v>
      </c>
      <c r="E2415" s="23" t="s">
        <v>3317</v>
      </c>
      <c r="F2415" s="23" t="s">
        <v>3729</v>
      </c>
      <c r="G2415" s="93">
        <v>3</v>
      </c>
      <c r="H2415" s="93">
        <v>1</v>
      </c>
      <c r="I2415" s="23"/>
      <c r="J2415" s="23"/>
      <c r="K2415" s="23"/>
      <c r="L2415" s="23" t="s">
        <v>6880</v>
      </c>
      <c r="M2415" s="23" t="s">
        <v>3694</v>
      </c>
    </row>
    <row r="2416" spans="2:13" ht="15" customHeight="1" x14ac:dyDescent="0.25">
      <c r="B2416" s="35" t="s">
        <v>7728</v>
      </c>
      <c r="C2416" s="23" t="s">
        <v>7729</v>
      </c>
      <c r="D2416" s="23" t="s">
        <v>3303</v>
      </c>
      <c r="E2416" s="23" t="s">
        <v>3317</v>
      </c>
      <c r="F2416" s="23" t="s">
        <v>3729</v>
      </c>
      <c r="G2416" s="93">
        <v>3</v>
      </c>
      <c r="H2416" s="93">
        <v>1</v>
      </c>
      <c r="I2416" s="23"/>
      <c r="J2416" s="23"/>
      <c r="K2416" s="23"/>
      <c r="L2416" s="23" t="s">
        <v>6880</v>
      </c>
      <c r="M2416" s="23" t="s">
        <v>3694</v>
      </c>
    </row>
    <row r="2417" spans="2:13" ht="15" customHeight="1" x14ac:dyDescent="0.25">
      <c r="B2417" s="35" t="s">
        <v>7730</v>
      </c>
      <c r="C2417" s="23" t="s">
        <v>7731</v>
      </c>
      <c r="D2417" s="23" t="s">
        <v>3303</v>
      </c>
      <c r="E2417" s="23" t="s">
        <v>3317</v>
      </c>
      <c r="F2417" s="23" t="s">
        <v>3729</v>
      </c>
      <c r="G2417" s="93">
        <v>3</v>
      </c>
      <c r="H2417" s="93">
        <v>1</v>
      </c>
      <c r="I2417" s="23"/>
      <c r="J2417" s="23"/>
      <c r="K2417" s="23"/>
      <c r="L2417" s="23" t="s">
        <v>6880</v>
      </c>
      <c r="M2417" s="23" t="s">
        <v>3694</v>
      </c>
    </row>
    <row r="2418" spans="2:13" ht="15" customHeight="1" x14ac:dyDescent="0.25">
      <c r="B2418" s="35" t="s">
        <v>7732</v>
      </c>
      <c r="C2418" s="23" t="s">
        <v>7733</v>
      </c>
      <c r="D2418" s="23" t="s">
        <v>3303</v>
      </c>
      <c r="E2418" s="23" t="s">
        <v>3317</v>
      </c>
      <c r="F2418" s="23" t="s">
        <v>3729</v>
      </c>
      <c r="G2418" s="93">
        <v>3</v>
      </c>
      <c r="H2418" s="93">
        <v>1</v>
      </c>
      <c r="I2418" s="23"/>
      <c r="J2418" s="23"/>
      <c r="K2418" s="23"/>
      <c r="L2418" s="23" t="s">
        <v>6880</v>
      </c>
      <c r="M2418" s="23" t="s">
        <v>3694</v>
      </c>
    </row>
    <row r="2419" spans="2:13" ht="15" customHeight="1" x14ac:dyDescent="0.25">
      <c r="B2419" s="35" t="s">
        <v>7734</v>
      </c>
      <c r="C2419" s="23" t="s">
        <v>7735</v>
      </c>
      <c r="D2419" s="23" t="s">
        <v>3303</v>
      </c>
      <c r="E2419" s="23" t="s">
        <v>3317</v>
      </c>
      <c r="F2419" s="23" t="s">
        <v>3729</v>
      </c>
      <c r="G2419" s="93">
        <v>3</v>
      </c>
      <c r="H2419" s="93">
        <v>1</v>
      </c>
      <c r="I2419" s="23"/>
      <c r="J2419" s="23"/>
      <c r="K2419" s="23"/>
      <c r="L2419" s="23" t="s">
        <v>6880</v>
      </c>
      <c r="M2419" s="23" t="s">
        <v>3694</v>
      </c>
    </row>
    <row r="2420" spans="2:13" ht="15" customHeight="1" x14ac:dyDescent="0.25">
      <c r="B2420" s="35" t="s">
        <v>7736</v>
      </c>
      <c r="C2420" s="23" t="s">
        <v>7737</v>
      </c>
      <c r="D2420" s="23" t="s">
        <v>3303</v>
      </c>
      <c r="E2420" s="23" t="s">
        <v>3317</v>
      </c>
      <c r="F2420" s="23" t="s">
        <v>3729</v>
      </c>
      <c r="G2420" s="93">
        <v>3</v>
      </c>
      <c r="H2420" s="93">
        <v>1</v>
      </c>
      <c r="I2420" s="23"/>
      <c r="J2420" s="23"/>
      <c r="K2420" s="23"/>
      <c r="L2420" s="23" t="s">
        <v>6880</v>
      </c>
      <c r="M2420" s="23" t="s">
        <v>3694</v>
      </c>
    </row>
    <row r="2421" spans="2:13" ht="15" customHeight="1" x14ac:dyDescent="0.25">
      <c r="B2421" s="35" t="s">
        <v>7738</v>
      </c>
      <c r="C2421" s="23" t="s">
        <v>7739</v>
      </c>
      <c r="D2421" s="23" t="s">
        <v>3303</v>
      </c>
      <c r="E2421" s="23" t="s">
        <v>3317</v>
      </c>
      <c r="F2421" s="23" t="s">
        <v>3729</v>
      </c>
      <c r="G2421" s="93">
        <v>3</v>
      </c>
      <c r="H2421" s="93">
        <v>1</v>
      </c>
      <c r="I2421" s="23"/>
      <c r="J2421" s="23"/>
      <c r="K2421" s="23"/>
      <c r="L2421" s="23" t="s">
        <v>6880</v>
      </c>
      <c r="M2421" s="23" t="s">
        <v>3694</v>
      </c>
    </row>
    <row r="2422" spans="2:13" ht="15" customHeight="1" x14ac:dyDescent="0.25">
      <c r="B2422" s="35" t="s">
        <v>7740</v>
      </c>
      <c r="C2422" s="23" t="s">
        <v>7741</v>
      </c>
      <c r="D2422" s="23" t="s">
        <v>3303</v>
      </c>
      <c r="E2422" s="23" t="s">
        <v>3317</v>
      </c>
      <c r="F2422" s="23" t="s">
        <v>3729</v>
      </c>
      <c r="G2422" s="93">
        <v>3</v>
      </c>
      <c r="H2422" s="93">
        <v>1</v>
      </c>
      <c r="I2422" s="23"/>
      <c r="J2422" s="23"/>
      <c r="K2422" s="23"/>
      <c r="L2422" s="23" t="s">
        <v>6880</v>
      </c>
      <c r="M2422" s="23" t="s">
        <v>3694</v>
      </c>
    </row>
    <row r="2423" spans="2:13" ht="15" customHeight="1" x14ac:dyDescent="0.25">
      <c r="B2423" s="35" t="s">
        <v>7742</v>
      </c>
      <c r="C2423" s="23" t="s">
        <v>7743</v>
      </c>
      <c r="D2423" s="23" t="s">
        <v>3303</v>
      </c>
      <c r="E2423" s="23" t="s">
        <v>3317</v>
      </c>
      <c r="F2423" s="23" t="s">
        <v>3729</v>
      </c>
      <c r="G2423" s="93">
        <v>3</v>
      </c>
      <c r="H2423" s="93">
        <v>1</v>
      </c>
      <c r="I2423" s="23"/>
      <c r="J2423" s="23"/>
      <c r="K2423" s="23"/>
      <c r="L2423" s="23" t="s">
        <v>6880</v>
      </c>
      <c r="M2423" s="23" t="s">
        <v>3694</v>
      </c>
    </row>
    <row r="2424" spans="2:13" ht="15" customHeight="1" x14ac:dyDescent="0.25">
      <c r="B2424" s="35" t="s">
        <v>7744</v>
      </c>
      <c r="C2424" s="23" t="s">
        <v>7745</v>
      </c>
      <c r="D2424" s="23" t="s">
        <v>3303</v>
      </c>
      <c r="E2424" s="23" t="s">
        <v>3317</v>
      </c>
      <c r="F2424" s="23" t="s">
        <v>3729</v>
      </c>
      <c r="G2424" s="93">
        <v>3</v>
      </c>
      <c r="H2424" s="93">
        <v>1</v>
      </c>
      <c r="I2424" s="23"/>
      <c r="J2424" s="23"/>
      <c r="K2424" s="23"/>
      <c r="L2424" s="23" t="s">
        <v>6880</v>
      </c>
      <c r="M2424" s="23" t="s">
        <v>3694</v>
      </c>
    </row>
    <row r="2425" spans="2:13" ht="15" customHeight="1" x14ac:dyDescent="0.25">
      <c r="B2425" s="35" t="s">
        <v>7746</v>
      </c>
      <c r="C2425" s="23" t="s">
        <v>7747</v>
      </c>
      <c r="D2425" s="23" t="s">
        <v>3303</v>
      </c>
      <c r="E2425" s="23" t="s">
        <v>3317</v>
      </c>
      <c r="F2425" s="23" t="s">
        <v>3729</v>
      </c>
      <c r="G2425" s="93">
        <v>3</v>
      </c>
      <c r="H2425" s="93">
        <v>1</v>
      </c>
      <c r="I2425" s="23"/>
      <c r="J2425" s="23"/>
      <c r="K2425" s="23"/>
      <c r="L2425" s="23" t="s">
        <v>6880</v>
      </c>
      <c r="M2425" s="23" t="s">
        <v>3694</v>
      </c>
    </row>
    <row r="2426" spans="2:13" ht="15" customHeight="1" x14ac:dyDescent="0.25">
      <c r="B2426" s="35" t="s">
        <v>7748</v>
      </c>
      <c r="C2426" s="23" t="s">
        <v>7749</v>
      </c>
      <c r="D2426" s="23" t="s">
        <v>3303</v>
      </c>
      <c r="E2426" s="23" t="s">
        <v>3317</v>
      </c>
      <c r="F2426" s="23" t="s">
        <v>3729</v>
      </c>
      <c r="G2426" s="93">
        <v>3</v>
      </c>
      <c r="H2426" s="93">
        <v>1</v>
      </c>
      <c r="I2426" s="23"/>
      <c r="J2426" s="23"/>
      <c r="K2426" s="23"/>
      <c r="L2426" s="23" t="s">
        <v>6880</v>
      </c>
      <c r="M2426" s="23" t="s">
        <v>3694</v>
      </c>
    </row>
    <row r="2427" spans="2:13" ht="15" customHeight="1" x14ac:dyDescent="0.25">
      <c r="B2427" s="35" t="s">
        <v>7750</v>
      </c>
      <c r="C2427" s="23" t="s">
        <v>7751</v>
      </c>
      <c r="D2427" s="23" t="s">
        <v>3303</v>
      </c>
      <c r="E2427" s="23" t="s">
        <v>3317</v>
      </c>
      <c r="F2427" s="23" t="s">
        <v>3729</v>
      </c>
      <c r="G2427" s="93">
        <v>3</v>
      </c>
      <c r="H2427" s="93">
        <v>1</v>
      </c>
      <c r="I2427" s="23"/>
      <c r="J2427" s="23"/>
      <c r="K2427" s="23"/>
      <c r="L2427" s="23" t="s">
        <v>6880</v>
      </c>
      <c r="M2427" s="23" t="s">
        <v>3694</v>
      </c>
    </row>
    <row r="2428" spans="2:13" ht="15" customHeight="1" x14ac:dyDescent="0.25">
      <c r="B2428" s="35" t="s">
        <v>7752</v>
      </c>
      <c r="C2428" s="23" t="s">
        <v>7753</v>
      </c>
      <c r="D2428" s="23" t="s">
        <v>3303</v>
      </c>
      <c r="E2428" s="23" t="s">
        <v>3317</v>
      </c>
      <c r="F2428" s="23" t="s">
        <v>3729</v>
      </c>
      <c r="G2428" s="93">
        <v>3</v>
      </c>
      <c r="H2428" s="93">
        <v>1</v>
      </c>
      <c r="I2428" s="23"/>
      <c r="J2428" s="23"/>
      <c r="K2428" s="23"/>
      <c r="L2428" s="23" t="s">
        <v>6880</v>
      </c>
      <c r="M2428" s="23" t="s">
        <v>3694</v>
      </c>
    </row>
    <row r="2429" spans="2:13" ht="15" customHeight="1" x14ac:dyDescent="0.25">
      <c r="B2429" s="35" t="s">
        <v>7754</v>
      </c>
      <c r="C2429" s="23" t="s">
        <v>7755</v>
      </c>
      <c r="D2429" s="23" t="s">
        <v>3303</v>
      </c>
      <c r="E2429" s="23" t="s">
        <v>3317</v>
      </c>
      <c r="F2429" s="23" t="s">
        <v>3729</v>
      </c>
      <c r="G2429" s="93">
        <v>3</v>
      </c>
      <c r="H2429" s="93">
        <v>1</v>
      </c>
      <c r="I2429" s="23"/>
      <c r="J2429" s="23"/>
      <c r="K2429" s="23"/>
      <c r="L2429" s="23" t="s">
        <v>6880</v>
      </c>
      <c r="M2429" s="23" t="s">
        <v>3694</v>
      </c>
    </row>
    <row r="2430" spans="2:13" ht="15" customHeight="1" x14ac:dyDescent="0.25">
      <c r="B2430" s="35" t="s">
        <v>7756</v>
      </c>
      <c r="C2430" s="23" t="s">
        <v>7757</v>
      </c>
      <c r="D2430" s="23" t="s">
        <v>3303</v>
      </c>
      <c r="E2430" s="23" t="s">
        <v>3317</v>
      </c>
      <c r="F2430" s="23" t="s">
        <v>3729</v>
      </c>
      <c r="G2430" s="93">
        <v>3</v>
      </c>
      <c r="H2430" s="93">
        <v>1</v>
      </c>
      <c r="I2430" s="23"/>
      <c r="J2430" s="23"/>
      <c r="K2430" s="23"/>
      <c r="L2430" s="23" t="s">
        <v>6880</v>
      </c>
      <c r="M2430" s="23" t="s">
        <v>3694</v>
      </c>
    </row>
    <row r="2431" spans="2:13" ht="15" customHeight="1" x14ac:dyDescent="0.25">
      <c r="B2431" s="35" t="s">
        <v>7758</v>
      </c>
      <c r="C2431" s="23" t="s">
        <v>7759</v>
      </c>
      <c r="D2431" s="23" t="s">
        <v>3303</v>
      </c>
      <c r="E2431" s="23" t="s">
        <v>3317</v>
      </c>
      <c r="F2431" s="23" t="s">
        <v>3729</v>
      </c>
      <c r="G2431" s="93">
        <v>3</v>
      </c>
      <c r="H2431" s="93">
        <v>1</v>
      </c>
      <c r="I2431" s="23"/>
      <c r="J2431" s="23"/>
      <c r="K2431" s="23"/>
      <c r="L2431" s="23" t="s">
        <v>6880</v>
      </c>
      <c r="M2431" s="23" t="s">
        <v>3694</v>
      </c>
    </row>
    <row r="2432" spans="2:13" ht="15" customHeight="1" x14ac:dyDescent="0.25">
      <c r="B2432" s="35" t="s">
        <v>7760</v>
      </c>
      <c r="C2432" s="23" t="s">
        <v>7761</v>
      </c>
      <c r="D2432" s="23" t="s">
        <v>3303</v>
      </c>
      <c r="E2432" s="23" t="s">
        <v>3317</v>
      </c>
      <c r="F2432" s="23" t="s">
        <v>3729</v>
      </c>
      <c r="G2432" s="93">
        <v>3</v>
      </c>
      <c r="H2432" s="93">
        <v>1</v>
      </c>
      <c r="I2432" s="23"/>
      <c r="J2432" s="23"/>
      <c r="K2432" s="23"/>
      <c r="L2432" s="23" t="s">
        <v>6880</v>
      </c>
      <c r="M2432" s="23" t="s">
        <v>3694</v>
      </c>
    </row>
    <row r="2433" spans="2:13" ht="15" customHeight="1" x14ac:dyDescent="0.25">
      <c r="B2433" s="35" t="s">
        <v>7762</v>
      </c>
      <c r="C2433" s="23" t="s">
        <v>7763</v>
      </c>
      <c r="D2433" s="23" t="s">
        <v>3303</v>
      </c>
      <c r="E2433" s="23" t="s">
        <v>3317</v>
      </c>
      <c r="F2433" s="23" t="s">
        <v>3729</v>
      </c>
      <c r="G2433" s="93">
        <v>3</v>
      </c>
      <c r="H2433" s="93">
        <v>1</v>
      </c>
      <c r="I2433" s="23"/>
      <c r="J2433" s="23"/>
      <c r="K2433" s="23"/>
      <c r="L2433" s="23" t="s">
        <v>6880</v>
      </c>
      <c r="M2433" s="23" t="s">
        <v>3694</v>
      </c>
    </row>
    <row r="2434" spans="2:13" ht="15" customHeight="1" x14ac:dyDescent="0.25">
      <c r="B2434" s="35" t="s">
        <v>7764</v>
      </c>
      <c r="C2434" s="23" t="s">
        <v>7765</v>
      </c>
      <c r="D2434" s="23" t="s">
        <v>3303</v>
      </c>
      <c r="E2434" s="23" t="s">
        <v>3317</v>
      </c>
      <c r="F2434" s="23" t="s">
        <v>3729</v>
      </c>
      <c r="G2434" s="93">
        <v>3</v>
      </c>
      <c r="H2434" s="93">
        <v>1</v>
      </c>
      <c r="I2434" s="23"/>
      <c r="J2434" s="23"/>
      <c r="K2434" s="23"/>
      <c r="L2434" s="23" t="s">
        <v>6880</v>
      </c>
      <c r="M2434" s="23" t="s">
        <v>3694</v>
      </c>
    </row>
    <row r="2435" spans="2:13" ht="15" customHeight="1" x14ac:dyDescent="0.25">
      <c r="B2435" s="35" t="s">
        <v>7766</v>
      </c>
      <c r="C2435" s="23" t="s">
        <v>7767</v>
      </c>
      <c r="D2435" s="23" t="s">
        <v>3303</v>
      </c>
      <c r="E2435" s="23" t="s">
        <v>3317</v>
      </c>
      <c r="F2435" s="23" t="s">
        <v>3729</v>
      </c>
      <c r="G2435" s="93">
        <v>3</v>
      </c>
      <c r="H2435" s="93">
        <v>1</v>
      </c>
      <c r="I2435" s="23"/>
      <c r="J2435" s="23"/>
      <c r="K2435" s="23"/>
      <c r="L2435" s="23" t="s">
        <v>6880</v>
      </c>
      <c r="M2435" s="23" t="s">
        <v>3694</v>
      </c>
    </row>
    <row r="2436" spans="2:13" ht="15" customHeight="1" x14ac:dyDescent="0.25">
      <c r="B2436" s="35" t="s">
        <v>7768</v>
      </c>
      <c r="C2436" s="23" t="s">
        <v>7769</v>
      </c>
      <c r="D2436" s="23" t="s">
        <v>3303</v>
      </c>
      <c r="E2436" s="23" t="s">
        <v>3317</v>
      </c>
      <c r="F2436" s="23" t="s">
        <v>3729</v>
      </c>
      <c r="G2436" s="93">
        <v>3</v>
      </c>
      <c r="H2436" s="93">
        <v>1</v>
      </c>
      <c r="I2436" s="23"/>
      <c r="J2436" s="23"/>
      <c r="K2436" s="23"/>
      <c r="L2436" s="23" t="s">
        <v>6880</v>
      </c>
      <c r="M2436" s="23"/>
    </row>
    <row r="2437" spans="2:13" ht="15" customHeight="1" x14ac:dyDescent="0.25">
      <c r="B2437" s="35" t="s">
        <v>7770</v>
      </c>
      <c r="C2437" s="23" t="s">
        <v>7771</v>
      </c>
      <c r="D2437" s="23" t="s">
        <v>3303</v>
      </c>
      <c r="E2437" s="23" t="s">
        <v>3317</v>
      </c>
      <c r="F2437" s="23" t="s">
        <v>3729</v>
      </c>
      <c r="G2437" s="93">
        <v>3</v>
      </c>
      <c r="H2437" s="93">
        <v>1</v>
      </c>
      <c r="I2437" s="23"/>
      <c r="J2437" s="23"/>
      <c r="K2437" s="23"/>
      <c r="L2437" s="23" t="s">
        <v>6880</v>
      </c>
      <c r="M2437" s="23" t="s">
        <v>3694</v>
      </c>
    </row>
    <row r="2438" spans="2:13" ht="15" customHeight="1" x14ac:dyDescent="0.25">
      <c r="B2438" s="35" t="s">
        <v>7772</v>
      </c>
      <c r="C2438" s="23" t="s">
        <v>7773</v>
      </c>
      <c r="D2438" s="23" t="s">
        <v>3303</v>
      </c>
      <c r="E2438" s="23" t="s">
        <v>3317</v>
      </c>
      <c r="F2438" s="23" t="s">
        <v>3729</v>
      </c>
      <c r="G2438" s="93">
        <v>3</v>
      </c>
      <c r="H2438" s="93">
        <v>1</v>
      </c>
      <c r="I2438" s="23"/>
      <c r="J2438" s="23"/>
      <c r="K2438" s="23"/>
      <c r="L2438" s="23" t="s">
        <v>6880</v>
      </c>
      <c r="M2438" s="23" t="s">
        <v>3694</v>
      </c>
    </row>
    <row r="2439" spans="2:13" ht="15" customHeight="1" x14ac:dyDescent="0.25">
      <c r="B2439" s="35" t="s">
        <v>7774</v>
      </c>
      <c r="C2439" s="23" t="s">
        <v>7775</v>
      </c>
      <c r="D2439" s="23" t="s">
        <v>3303</v>
      </c>
      <c r="E2439" s="23" t="s">
        <v>3317</v>
      </c>
      <c r="F2439" s="23" t="s">
        <v>3729</v>
      </c>
      <c r="G2439" s="93">
        <v>3</v>
      </c>
      <c r="H2439" s="93">
        <v>1</v>
      </c>
      <c r="I2439" s="23"/>
      <c r="J2439" s="23"/>
      <c r="K2439" s="23"/>
      <c r="L2439" s="23" t="s">
        <v>6880</v>
      </c>
      <c r="M2439" s="23" t="s">
        <v>3694</v>
      </c>
    </row>
    <row r="2440" spans="2:13" ht="15" customHeight="1" x14ac:dyDescent="0.25">
      <c r="B2440" s="35" t="s">
        <v>7776</v>
      </c>
      <c r="C2440" s="23" t="s">
        <v>7777</v>
      </c>
      <c r="D2440" s="23" t="s">
        <v>3303</v>
      </c>
      <c r="E2440" s="23" t="s">
        <v>3317</v>
      </c>
      <c r="F2440" s="23" t="s">
        <v>3729</v>
      </c>
      <c r="G2440" s="93">
        <v>3</v>
      </c>
      <c r="H2440" s="93">
        <v>1</v>
      </c>
      <c r="I2440" s="23"/>
      <c r="J2440" s="23"/>
      <c r="K2440" s="23"/>
      <c r="L2440" s="23" t="s">
        <v>6880</v>
      </c>
      <c r="M2440" s="23" t="s">
        <v>3694</v>
      </c>
    </row>
    <row r="2441" spans="2:13" ht="15" customHeight="1" x14ac:dyDescent="0.25">
      <c r="B2441" s="35" t="s">
        <v>7778</v>
      </c>
      <c r="C2441" s="23" t="s">
        <v>7779</v>
      </c>
      <c r="D2441" s="23" t="s">
        <v>3303</v>
      </c>
      <c r="E2441" s="23" t="s">
        <v>3317</v>
      </c>
      <c r="F2441" s="23" t="s">
        <v>3729</v>
      </c>
      <c r="G2441" s="93">
        <v>3</v>
      </c>
      <c r="H2441" s="93">
        <v>1</v>
      </c>
      <c r="I2441" s="23"/>
      <c r="J2441" s="23"/>
      <c r="K2441" s="23"/>
      <c r="L2441" s="23" t="s">
        <v>6880</v>
      </c>
      <c r="M2441" s="23" t="s">
        <v>3694</v>
      </c>
    </row>
    <row r="2442" spans="2:13" ht="15" customHeight="1" x14ac:dyDescent="0.25">
      <c r="B2442" s="35" t="s">
        <v>3211</v>
      </c>
      <c r="C2442" s="23" t="s">
        <v>3212</v>
      </c>
      <c r="D2442" s="23" t="s">
        <v>3303</v>
      </c>
      <c r="E2442" s="23" t="s">
        <v>3317</v>
      </c>
      <c r="F2442" s="23" t="s">
        <v>3729</v>
      </c>
      <c r="G2442" s="93">
        <v>3</v>
      </c>
      <c r="H2442" s="93">
        <v>0</v>
      </c>
      <c r="I2442" s="23"/>
      <c r="J2442" s="23"/>
      <c r="K2442" s="23"/>
      <c r="L2442" s="23" t="s">
        <v>6880</v>
      </c>
      <c r="M2442" s="23"/>
    </row>
    <row r="2443" spans="2:13" ht="15" customHeight="1" x14ac:dyDescent="0.25">
      <c r="B2443" s="35" t="s">
        <v>7780</v>
      </c>
      <c r="C2443" s="23" t="s">
        <v>7781</v>
      </c>
      <c r="D2443" s="23" t="s">
        <v>3303</v>
      </c>
      <c r="E2443" s="23" t="s">
        <v>3317</v>
      </c>
      <c r="F2443" s="23" t="s">
        <v>3729</v>
      </c>
      <c r="G2443" s="93">
        <v>3</v>
      </c>
      <c r="H2443" s="93">
        <v>1</v>
      </c>
      <c r="I2443" s="23"/>
      <c r="J2443" s="23"/>
      <c r="K2443" s="23"/>
      <c r="L2443" s="23" t="s">
        <v>6880</v>
      </c>
      <c r="M2443" s="23" t="s">
        <v>3694</v>
      </c>
    </row>
    <row r="2444" spans="2:13" ht="15" customHeight="1" x14ac:dyDescent="0.25">
      <c r="B2444" s="35" t="s">
        <v>7782</v>
      </c>
      <c r="C2444" s="23" t="s">
        <v>7783</v>
      </c>
      <c r="D2444" s="23" t="s">
        <v>3303</v>
      </c>
      <c r="E2444" s="23" t="s">
        <v>3317</v>
      </c>
      <c r="F2444" s="23" t="s">
        <v>3729</v>
      </c>
      <c r="G2444" s="93">
        <v>3</v>
      </c>
      <c r="H2444" s="93">
        <v>1</v>
      </c>
      <c r="I2444" s="23"/>
      <c r="J2444" s="23"/>
      <c r="K2444" s="23"/>
      <c r="L2444" s="23" t="s">
        <v>6880</v>
      </c>
      <c r="M2444" s="23" t="s">
        <v>3694</v>
      </c>
    </row>
    <row r="2445" spans="2:13" ht="15" customHeight="1" x14ac:dyDescent="0.25">
      <c r="B2445" s="35" t="s">
        <v>7784</v>
      </c>
      <c r="C2445" s="23" t="s">
        <v>7785</v>
      </c>
      <c r="D2445" s="23" t="s">
        <v>3303</v>
      </c>
      <c r="E2445" s="23" t="s">
        <v>3317</v>
      </c>
      <c r="F2445" s="23" t="s">
        <v>3729</v>
      </c>
      <c r="G2445" s="93">
        <v>3</v>
      </c>
      <c r="H2445" s="93">
        <v>1</v>
      </c>
      <c r="I2445" s="23"/>
      <c r="J2445" s="23"/>
      <c r="K2445" s="23"/>
      <c r="L2445" s="23" t="s">
        <v>6880</v>
      </c>
      <c r="M2445" s="23" t="s">
        <v>3694</v>
      </c>
    </row>
    <row r="2446" spans="2:13" ht="15" customHeight="1" x14ac:dyDescent="0.25">
      <c r="B2446" s="35" t="s">
        <v>7786</v>
      </c>
      <c r="C2446" s="23" t="s">
        <v>7787</v>
      </c>
      <c r="D2446" s="23" t="s">
        <v>3303</v>
      </c>
      <c r="E2446" s="23" t="s">
        <v>3317</v>
      </c>
      <c r="F2446" s="23" t="s">
        <v>3729</v>
      </c>
      <c r="G2446" s="93">
        <v>3</v>
      </c>
      <c r="H2446" s="93">
        <v>1</v>
      </c>
      <c r="I2446" s="23"/>
      <c r="J2446" s="23"/>
      <c r="K2446" s="23"/>
      <c r="L2446" s="23" t="s">
        <v>6880</v>
      </c>
      <c r="M2446" s="23" t="s">
        <v>3694</v>
      </c>
    </row>
    <row r="2447" spans="2:13" ht="15" customHeight="1" x14ac:dyDescent="0.25">
      <c r="B2447" s="35" t="s">
        <v>7788</v>
      </c>
      <c r="C2447" s="23" t="s">
        <v>7789</v>
      </c>
      <c r="D2447" s="23" t="s">
        <v>3303</v>
      </c>
      <c r="E2447" s="23" t="s">
        <v>3317</v>
      </c>
      <c r="F2447" s="23" t="s">
        <v>3729</v>
      </c>
      <c r="G2447" s="93">
        <v>3</v>
      </c>
      <c r="H2447" s="93">
        <v>1</v>
      </c>
      <c r="I2447" s="23"/>
      <c r="J2447" s="23"/>
      <c r="K2447" s="23"/>
      <c r="L2447" s="23" t="s">
        <v>6880</v>
      </c>
      <c r="M2447" s="23" t="s">
        <v>3694</v>
      </c>
    </row>
    <row r="2448" spans="2:13" ht="15" customHeight="1" x14ac:dyDescent="0.25">
      <c r="B2448" s="35" t="s">
        <v>7790</v>
      </c>
      <c r="C2448" s="23" t="s">
        <v>7791</v>
      </c>
      <c r="D2448" s="23" t="s">
        <v>3303</v>
      </c>
      <c r="E2448" s="23" t="s">
        <v>3317</v>
      </c>
      <c r="F2448" s="23" t="s">
        <v>3729</v>
      </c>
      <c r="G2448" s="93">
        <v>3</v>
      </c>
      <c r="H2448" s="93">
        <v>0</v>
      </c>
      <c r="I2448" s="23"/>
      <c r="J2448" s="23"/>
      <c r="K2448" s="23"/>
      <c r="L2448" s="23" t="s">
        <v>6880</v>
      </c>
      <c r="M2448" s="23"/>
    </row>
    <row r="2449" spans="2:13" ht="15" customHeight="1" x14ac:dyDescent="0.25">
      <c r="B2449" s="35" t="s">
        <v>7792</v>
      </c>
      <c r="C2449" s="23" t="s">
        <v>7793</v>
      </c>
      <c r="D2449" s="23" t="s">
        <v>3303</v>
      </c>
      <c r="E2449" s="23" t="s">
        <v>3317</v>
      </c>
      <c r="F2449" s="23" t="s">
        <v>3729</v>
      </c>
      <c r="G2449" s="93">
        <v>3</v>
      </c>
      <c r="H2449" s="93">
        <v>0</v>
      </c>
      <c r="I2449" s="23"/>
      <c r="J2449" s="23"/>
      <c r="K2449" s="23"/>
      <c r="L2449" s="23" t="s">
        <v>6880</v>
      </c>
      <c r="M2449" s="23"/>
    </row>
    <row r="2450" spans="2:13" ht="15" customHeight="1" x14ac:dyDescent="0.25">
      <c r="B2450" s="35" t="s">
        <v>7794</v>
      </c>
      <c r="C2450" s="23" t="s">
        <v>7795</v>
      </c>
      <c r="D2450" s="23" t="s">
        <v>3303</v>
      </c>
      <c r="E2450" s="23" t="s">
        <v>3317</v>
      </c>
      <c r="F2450" s="23" t="s">
        <v>3729</v>
      </c>
      <c r="G2450" s="93">
        <v>3</v>
      </c>
      <c r="H2450" s="93">
        <v>1</v>
      </c>
      <c r="I2450" s="23"/>
      <c r="J2450" s="23"/>
      <c r="K2450" s="23"/>
      <c r="L2450" s="23" t="s">
        <v>6880</v>
      </c>
      <c r="M2450" s="23" t="s">
        <v>3694</v>
      </c>
    </row>
    <row r="2451" spans="2:13" ht="15" customHeight="1" x14ac:dyDescent="0.25">
      <c r="B2451" s="35" t="s">
        <v>7796</v>
      </c>
      <c r="C2451" s="23" t="s">
        <v>7797</v>
      </c>
      <c r="D2451" s="23" t="s">
        <v>3303</v>
      </c>
      <c r="E2451" s="23" t="s">
        <v>3317</v>
      </c>
      <c r="F2451" s="23" t="s">
        <v>3729</v>
      </c>
      <c r="G2451" s="93">
        <v>3</v>
      </c>
      <c r="H2451" s="93">
        <v>1</v>
      </c>
      <c r="I2451" s="23"/>
      <c r="J2451" s="23"/>
      <c r="K2451" s="23"/>
      <c r="L2451" s="23" t="s">
        <v>6880</v>
      </c>
      <c r="M2451" s="23" t="s">
        <v>3694</v>
      </c>
    </row>
    <row r="2452" spans="2:13" ht="15" customHeight="1" x14ac:dyDescent="0.25">
      <c r="B2452" s="35" t="s">
        <v>7798</v>
      </c>
      <c r="C2452" s="23" t="s">
        <v>7799</v>
      </c>
      <c r="D2452" s="23" t="s">
        <v>3303</v>
      </c>
      <c r="E2452" s="23" t="s">
        <v>3317</v>
      </c>
      <c r="F2452" s="23" t="s">
        <v>3729</v>
      </c>
      <c r="G2452" s="93">
        <v>3</v>
      </c>
      <c r="H2452" s="93">
        <v>1</v>
      </c>
      <c r="I2452" s="23"/>
      <c r="J2452" s="23"/>
      <c r="K2452" s="23"/>
      <c r="L2452" s="23" t="s">
        <v>6880</v>
      </c>
      <c r="M2452" s="23" t="s">
        <v>3694</v>
      </c>
    </row>
    <row r="2453" spans="2:13" ht="15" customHeight="1" x14ac:dyDescent="0.25">
      <c r="B2453" s="35" t="s">
        <v>7800</v>
      </c>
      <c r="C2453" s="23" t="s">
        <v>7801</v>
      </c>
      <c r="D2453" s="23" t="s">
        <v>3303</v>
      </c>
      <c r="E2453" s="23" t="s">
        <v>3317</v>
      </c>
      <c r="F2453" s="23" t="s">
        <v>3729</v>
      </c>
      <c r="G2453" s="93">
        <v>3</v>
      </c>
      <c r="H2453" s="93">
        <v>1</v>
      </c>
      <c r="I2453" s="23"/>
      <c r="J2453" s="23"/>
      <c r="K2453" s="23"/>
      <c r="L2453" s="23" t="s">
        <v>6880</v>
      </c>
      <c r="M2453" s="23" t="s">
        <v>3694</v>
      </c>
    </row>
    <row r="2454" spans="2:13" ht="15" customHeight="1" x14ac:dyDescent="0.25">
      <c r="B2454" s="35" t="s">
        <v>7802</v>
      </c>
      <c r="C2454" s="23" t="s">
        <v>7803</v>
      </c>
      <c r="D2454" s="23" t="s">
        <v>3303</v>
      </c>
      <c r="E2454" s="23" t="s">
        <v>3317</v>
      </c>
      <c r="F2454" s="23" t="s">
        <v>3729</v>
      </c>
      <c r="G2454" s="93">
        <v>3</v>
      </c>
      <c r="H2454" s="93">
        <v>1</v>
      </c>
      <c r="I2454" s="23"/>
      <c r="J2454" s="23"/>
      <c r="K2454" s="23"/>
      <c r="L2454" s="23" t="s">
        <v>6880</v>
      </c>
      <c r="M2454" s="23" t="s">
        <v>3694</v>
      </c>
    </row>
    <row r="2455" spans="2:13" ht="15" customHeight="1" x14ac:dyDescent="0.25">
      <c r="B2455" s="35" t="s">
        <v>7804</v>
      </c>
      <c r="C2455" s="23" t="s">
        <v>7805</v>
      </c>
      <c r="D2455" s="23" t="s">
        <v>3303</v>
      </c>
      <c r="E2455" s="23" t="s">
        <v>3317</v>
      </c>
      <c r="F2455" s="23" t="s">
        <v>3729</v>
      </c>
      <c r="G2455" s="93">
        <v>3</v>
      </c>
      <c r="H2455" s="93">
        <v>1</v>
      </c>
      <c r="I2455" s="23"/>
      <c r="J2455" s="23"/>
      <c r="K2455" s="23"/>
      <c r="L2455" s="23" t="s">
        <v>6880</v>
      </c>
      <c r="M2455" s="23" t="s">
        <v>3694</v>
      </c>
    </row>
    <row r="2456" spans="2:13" ht="15" customHeight="1" x14ac:dyDescent="0.25">
      <c r="B2456" s="35" t="s">
        <v>7806</v>
      </c>
      <c r="C2456" s="23" t="s">
        <v>7807</v>
      </c>
      <c r="D2456" s="23" t="s">
        <v>3303</v>
      </c>
      <c r="E2456" s="23" t="s">
        <v>3317</v>
      </c>
      <c r="F2456" s="23" t="s">
        <v>3729</v>
      </c>
      <c r="G2456" s="93">
        <v>3</v>
      </c>
      <c r="H2456" s="93">
        <v>1</v>
      </c>
      <c r="I2456" s="23"/>
      <c r="J2456" s="23"/>
      <c r="K2456" s="23"/>
      <c r="L2456" s="23" t="s">
        <v>6880</v>
      </c>
      <c r="M2456" s="23" t="s">
        <v>3694</v>
      </c>
    </row>
    <row r="2457" spans="2:13" ht="15" customHeight="1" x14ac:dyDescent="0.25">
      <c r="B2457" s="35" t="s">
        <v>7808</v>
      </c>
      <c r="C2457" s="23" t="s">
        <v>7809</v>
      </c>
      <c r="D2457" s="23" t="s">
        <v>3303</v>
      </c>
      <c r="E2457" s="23" t="s">
        <v>3317</v>
      </c>
      <c r="F2457" s="23" t="s">
        <v>3729</v>
      </c>
      <c r="G2457" s="93">
        <v>3</v>
      </c>
      <c r="H2457" s="93">
        <v>1</v>
      </c>
      <c r="I2457" s="23"/>
      <c r="J2457" s="23"/>
      <c r="K2457" s="23"/>
      <c r="L2457" s="23" t="s">
        <v>6880</v>
      </c>
      <c r="M2457" s="23" t="s">
        <v>4716</v>
      </c>
    </row>
    <row r="2458" spans="2:13" ht="15" customHeight="1" x14ac:dyDescent="0.25">
      <c r="B2458" s="35" t="s">
        <v>7810</v>
      </c>
      <c r="C2458" s="23" t="s">
        <v>7811</v>
      </c>
      <c r="D2458" s="23" t="s">
        <v>3303</v>
      </c>
      <c r="E2458" s="23" t="s">
        <v>3317</v>
      </c>
      <c r="F2458" s="23" t="s">
        <v>3729</v>
      </c>
      <c r="G2458" s="93">
        <v>3</v>
      </c>
      <c r="H2458" s="93">
        <v>1</v>
      </c>
      <c r="I2458" s="23"/>
      <c r="J2458" s="23"/>
      <c r="K2458" s="23"/>
      <c r="L2458" s="23" t="s">
        <v>6880</v>
      </c>
      <c r="M2458" s="23" t="s">
        <v>3694</v>
      </c>
    </row>
    <row r="2459" spans="2:13" ht="15" customHeight="1" x14ac:dyDescent="0.25">
      <c r="B2459" s="35" t="s">
        <v>7812</v>
      </c>
      <c r="C2459" s="23" t="s">
        <v>7813</v>
      </c>
      <c r="D2459" s="23" t="s">
        <v>3303</v>
      </c>
      <c r="E2459" s="23" t="s">
        <v>3317</v>
      </c>
      <c r="F2459" s="23" t="s">
        <v>3729</v>
      </c>
      <c r="G2459" s="93">
        <v>3</v>
      </c>
      <c r="H2459" s="93">
        <v>1</v>
      </c>
      <c r="I2459" s="23"/>
      <c r="J2459" s="23"/>
      <c r="K2459" s="23"/>
      <c r="L2459" s="23" t="s">
        <v>6880</v>
      </c>
      <c r="M2459" s="23" t="s">
        <v>3694</v>
      </c>
    </row>
    <row r="2460" spans="2:13" ht="15" customHeight="1" x14ac:dyDescent="0.25">
      <c r="B2460" s="35" t="s">
        <v>7814</v>
      </c>
      <c r="C2460" s="23" t="s">
        <v>7815</v>
      </c>
      <c r="D2460" s="23" t="s">
        <v>3303</v>
      </c>
      <c r="E2460" s="23" t="s">
        <v>3317</v>
      </c>
      <c r="F2460" s="23" t="s">
        <v>3729</v>
      </c>
      <c r="G2460" s="93">
        <v>3</v>
      </c>
      <c r="H2460" s="93">
        <v>1</v>
      </c>
      <c r="I2460" s="23"/>
      <c r="J2460" s="23"/>
      <c r="K2460" s="23"/>
      <c r="L2460" s="23" t="s">
        <v>6880</v>
      </c>
      <c r="M2460" s="23" t="s">
        <v>3694</v>
      </c>
    </row>
    <row r="2461" spans="2:13" ht="15" customHeight="1" x14ac:dyDescent="0.25">
      <c r="B2461" s="35" t="s">
        <v>7816</v>
      </c>
      <c r="C2461" s="23" t="s">
        <v>7817</v>
      </c>
      <c r="D2461" s="23" t="s">
        <v>3303</v>
      </c>
      <c r="E2461" s="23" t="s">
        <v>3317</v>
      </c>
      <c r="F2461" s="23" t="s">
        <v>3729</v>
      </c>
      <c r="G2461" s="93">
        <v>3</v>
      </c>
      <c r="H2461" s="93">
        <v>1</v>
      </c>
      <c r="I2461" s="23"/>
      <c r="J2461" s="23"/>
      <c r="K2461" s="23"/>
      <c r="L2461" s="23" t="s">
        <v>6880</v>
      </c>
      <c r="M2461" s="23" t="s">
        <v>3694</v>
      </c>
    </row>
    <row r="2462" spans="2:13" ht="15" customHeight="1" x14ac:dyDescent="0.25">
      <c r="B2462" s="35" t="s">
        <v>7818</v>
      </c>
      <c r="C2462" s="23" t="s">
        <v>7819</v>
      </c>
      <c r="D2462" s="23" t="s">
        <v>3303</v>
      </c>
      <c r="E2462" s="23" t="s">
        <v>3317</v>
      </c>
      <c r="F2462" s="23" t="s">
        <v>3729</v>
      </c>
      <c r="G2462" s="93">
        <v>3</v>
      </c>
      <c r="H2462" s="93">
        <v>1</v>
      </c>
      <c r="I2462" s="23"/>
      <c r="J2462" s="23"/>
      <c r="K2462" s="23"/>
      <c r="L2462" s="23" t="s">
        <v>6880</v>
      </c>
      <c r="M2462" s="23" t="s">
        <v>3694</v>
      </c>
    </row>
    <row r="2463" spans="2:13" ht="15" customHeight="1" x14ac:dyDescent="0.25">
      <c r="B2463" s="35" t="s">
        <v>7820</v>
      </c>
      <c r="C2463" s="23" t="s">
        <v>7821</v>
      </c>
      <c r="D2463" s="23" t="s">
        <v>3303</v>
      </c>
      <c r="E2463" s="23" t="s">
        <v>3317</v>
      </c>
      <c r="F2463" s="23" t="s">
        <v>3729</v>
      </c>
      <c r="G2463" s="93">
        <v>3</v>
      </c>
      <c r="H2463" s="93">
        <v>1</v>
      </c>
      <c r="I2463" s="23"/>
      <c r="J2463" s="23"/>
      <c r="K2463" s="23"/>
      <c r="L2463" s="23" t="s">
        <v>6880</v>
      </c>
      <c r="M2463" s="23" t="s">
        <v>3694</v>
      </c>
    </row>
    <row r="2464" spans="2:13" ht="15" customHeight="1" x14ac:dyDescent="0.25">
      <c r="B2464" s="35" t="s">
        <v>7822</v>
      </c>
      <c r="C2464" s="23" t="s">
        <v>7823</v>
      </c>
      <c r="D2464" s="23" t="s">
        <v>3303</v>
      </c>
      <c r="E2464" s="23" t="s">
        <v>3317</v>
      </c>
      <c r="F2464" s="23" t="s">
        <v>3729</v>
      </c>
      <c r="G2464" s="93">
        <v>3</v>
      </c>
      <c r="H2464" s="93">
        <v>1</v>
      </c>
      <c r="I2464" s="23"/>
      <c r="J2464" s="23"/>
      <c r="K2464" s="23"/>
      <c r="L2464" s="23" t="s">
        <v>6880</v>
      </c>
      <c r="M2464" s="23" t="s">
        <v>3694</v>
      </c>
    </row>
    <row r="2465" spans="2:13" ht="15" customHeight="1" x14ac:dyDescent="0.25">
      <c r="B2465" s="35" t="s">
        <v>7824</v>
      </c>
      <c r="C2465" s="23" t="s">
        <v>7825</v>
      </c>
      <c r="D2465" s="23" t="s">
        <v>3303</v>
      </c>
      <c r="E2465" s="23" t="s">
        <v>3317</v>
      </c>
      <c r="F2465" s="23" t="s">
        <v>3729</v>
      </c>
      <c r="G2465" s="93">
        <v>3</v>
      </c>
      <c r="H2465" s="93">
        <v>1</v>
      </c>
      <c r="I2465" s="23"/>
      <c r="J2465" s="23"/>
      <c r="K2465" s="23"/>
      <c r="L2465" s="23" t="s">
        <v>6880</v>
      </c>
      <c r="M2465" s="23" t="s">
        <v>3694</v>
      </c>
    </row>
    <row r="2466" spans="2:13" ht="15" customHeight="1" x14ac:dyDescent="0.25">
      <c r="B2466" s="35" t="s">
        <v>7826</v>
      </c>
      <c r="C2466" s="23" t="s">
        <v>7827</v>
      </c>
      <c r="D2466" s="23" t="s">
        <v>3303</v>
      </c>
      <c r="E2466" s="23" t="s">
        <v>3317</v>
      </c>
      <c r="F2466" s="23" t="s">
        <v>3729</v>
      </c>
      <c r="G2466" s="93">
        <v>3</v>
      </c>
      <c r="H2466" s="93">
        <v>1</v>
      </c>
      <c r="I2466" s="23"/>
      <c r="J2466" s="23"/>
      <c r="K2466" s="23"/>
      <c r="L2466" s="23" t="s">
        <v>6880</v>
      </c>
      <c r="M2466" s="23" t="s">
        <v>3694</v>
      </c>
    </row>
    <row r="2467" spans="2:13" ht="15" customHeight="1" x14ac:dyDescent="0.25">
      <c r="B2467" s="35" t="s">
        <v>7828</v>
      </c>
      <c r="C2467" s="23" t="s">
        <v>7829</v>
      </c>
      <c r="D2467" s="23" t="s">
        <v>3303</v>
      </c>
      <c r="E2467" s="23" t="s">
        <v>3317</v>
      </c>
      <c r="F2467" s="23" t="s">
        <v>3729</v>
      </c>
      <c r="G2467" s="93">
        <v>3</v>
      </c>
      <c r="H2467" s="93">
        <v>1</v>
      </c>
      <c r="I2467" s="23"/>
      <c r="J2467" s="23"/>
      <c r="K2467" s="23"/>
      <c r="L2467" s="23" t="s">
        <v>6880</v>
      </c>
      <c r="M2467" s="23" t="s">
        <v>3694</v>
      </c>
    </row>
    <row r="2468" spans="2:13" ht="15" customHeight="1" x14ac:dyDescent="0.25">
      <c r="B2468" s="35" t="s">
        <v>7830</v>
      </c>
      <c r="C2468" s="23" t="s">
        <v>7831</v>
      </c>
      <c r="D2468" s="23" t="s">
        <v>3303</v>
      </c>
      <c r="E2468" s="23" t="s">
        <v>3317</v>
      </c>
      <c r="F2468" s="23" t="s">
        <v>3729</v>
      </c>
      <c r="G2468" s="93">
        <v>3</v>
      </c>
      <c r="H2468" s="93">
        <v>1</v>
      </c>
      <c r="I2468" s="23"/>
      <c r="J2468" s="23"/>
      <c r="K2468" s="23"/>
      <c r="L2468" s="23" t="s">
        <v>6880</v>
      </c>
      <c r="M2468" s="23" t="s">
        <v>3694</v>
      </c>
    </row>
    <row r="2469" spans="2:13" ht="15" customHeight="1" x14ac:dyDescent="0.25">
      <c r="B2469" s="35" t="s">
        <v>7832</v>
      </c>
      <c r="C2469" s="23" t="s">
        <v>7833</v>
      </c>
      <c r="D2469" s="23" t="s">
        <v>3303</v>
      </c>
      <c r="E2469" s="23" t="s">
        <v>3317</v>
      </c>
      <c r="F2469" s="23" t="s">
        <v>3729</v>
      </c>
      <c r="G2469" s="93">
        <v>3</v>
      </c>
      <c r="H2469" s="93">
        <v>1</v>
      </c>
      <c r="I2469" s="23"/>
      <c r="J2469" s="23"/>
      <c r="K2469" s="23"/>
      <c r="L2469" s="23" t="s">
        <v>6880</v>
      </c>
      <c r="M2469" s="23" t="s">
        <v>3694</v>
      </c>
    </row>
    <row r="2470" spans="2:13" ht="15" customHeight="1" x14ac:dyDescent="0.25">
      <c r="B2470" s="35" t="s">
        <v>7834</v>
      </c>
      <c r="C2470" s="23" t="s">
        <v>7835</v>
      </c>
      <c r="D2470" s="23" t="s">
        <v>3303</v>
      </c>
      <c r="E2470" s="23" t="s">
        <v>3317</v>
      </c>
      <c r="F2470" s="23" t="s">
        <v>3729</v>
      </c>
      <c r="G2470" s="93">
        <v>3</v>
      </c>
      <c r="H2470" s="93">
        <v>1</v>
      </c>
      <c r="I2470" s="23"/>
      <c r="J2470" s="23"/>
      <c r="K2470" s="23"/>
      <c r="L2470" s="23" t="s">
        <v>6880</v>
      </c>
      <c r="M2470" s="23" t="s">
        <v>3694</v>
      </c>
    </row>
    <row r="2471" spans="2:13" ht="15" customHeight="1" x14ac:dyDescent="0.25">
      <c r="B2471" s="35" t="s">
        <v>7836</v>
      </c>
      <c r="C2471" s="23" t="s">
        <v>7837</v>
      </c>
      <c r="D2471" s="23" t="s">
        <v>3303</v>
      </c>
      <c r="E2471" s="23" t="s">
        <v>3317</v>
      </c>
      <c r="F2471" s="23" t="s">
        <v>3729</v>
      </c>
      <c r="G2471" s="93">
        <v>3</v>
      </c>
      <c r="H2471" s="93">
        <v>1</v>
      </c>
      <c r="I2471" s="23"/>
      <c r="J2471" s="23"/>
      <c r="K2471" s="23"/>
      <c r="L2471" s="23" t="s">
        <v>6880</v>
      </c>
      <c r="M2471" s="23" t="s">
        <v>3694</v>
      </c>
    </row>
    <row r="2472" spans="2:13" ht="15" customHeight="1" x14ac:dyDescent="0.25">
      <c r="B2472" s="35" t="s">
        <v>7838</v>
      </c>
      <c r="C2472" s="23" t="s">
        <v>7839</v>
      </c>
      <c r="D2472" s="23" t="s">
        <v>3303</v>
      </c>
      <c r="E2472" s="23" t="s">
        <v>3317</v>
      </c>
      <c r="F2472" s="23" t="s">
        <v>3729</v>
      </c>
      <c r="G2472" s="93">
        <v>3</v>
      </c>
      <c r="H2472" s="93">
        <v>1</v>
      </c>
      <c r="I2472" s="23"/>
      <c r="J2472" s="23"/>
      <c r="K2472" s="23"/>
      <c r="L2472" s="23" t="s">
        <v>6880</v>
      </c>
      <c r="M2472" s="23" t="s">
        <v>3694</v>
      </c>
    </row>
    <row r="2473" spans="2:13" ht="15" customHeight="1" x14ac:dyDescent="0.25">
      <c r="B2473" s="35" t="s">
        <v>7840</v>
      </c>
      <c r="C2473" s="23" t="s">
        <v>7841</v>
      </c>
      <c r="D2473" s="23" t="s">
        <v>3303</v>
      </c>
      <c r="E2473" s="23" t="s">
        <v>3317</v>
      </c>
      <c r="F2473" s="23" t="s">
        <v>3729</v>
      </c>
      <c r="G2473" s="93">
        <v>3</v>
      </c>
      <c r="H2473" s="93">
        <v>1</v>
      </c>
      <c r="I2473" s="23"/>
      <c r="J2473" s="23"/>
      <c r="K2473" s="23"/>
      <c r="L2473" s="23" t="s">
        <v>6880</v>
      </c>
      <c r="M2473" s="23" t="s">
        <v>3694</v>
      </c>
    </row>
    <row r="2474" spans="2:13" ht="15" customHeight="1" x14ac:dyDescent="0.25">
      <c r="B2474" s="35" t="s">
        <v>7842</v>
      </c>
      <c r="C2474" s="23" t="s">
        <v>7843</v>
      </c>
      <c r="D2474" s="23" t="s">
        <v>3303</v>
      </c>
      <c r="E2474" s="23" t="s">
        <v>3317</v>
      </c>
      <c r="F2474" s="23" t="s">
        <v>3729</v>
      </c>
      <c r="G2474" s="93">
        <v>3</v>
      </c>
      <c r="H2474" s="93">
        <v>1</v>
      </c>
      <c r="I2474" s="23"/>
      <c r="J2474" s="23"/>
      <c r="K2474" s="23"/>
      <c r="L2474" s="23" t="s">
        <v>6880</v>
      </c>
      <c r="M2474" s="23" t="s">
        <v>3694</v>
      </c>
    </row>
    <row r="2475" spans="2:13" ht="15" customHeight="1" x14ac:dyDescent="0.25">
      <c r="B2475" s="35" t="s">
        <v>7844</v>
      </c>
      <c r="C2475" s="23" t="s">
        <v>7845</v>
      </c>
      <c r="D2475" s="23" t="s">
        <v>3303</v>
      </c>
      <c r="E2475" s="23" t="s">
        <v>3317</v>
      </c>
      <c r="F2475" s="23" t="s">
        <v>3729</v>
      </c>
      <c r="G2475" s="93">
        <v>3</v>
      </c>
      <c r="H2475" s="93">
        <v>1</v>
      </c>
      <c r="I2475" s="23"/>
      <c r="J2475" s="23"/>
      <c r="K2475" s="23"/>
      <c r="L2475" s="23" t="s">
        <v>6880</v>
      </c>
      <c r="M2475" s="23" t="s">
        <v>3694</v>
      </c>
    </row>
    <row r="2476" spans="2:13" ht="15" customHeight="1" x14ac:dyDescent="0.25">
      <c r="B2476" s="35" t="s">
        <v>7846</v>
      </c>
      <c r="C2476" s="23" t="s">
        <v>7847</v>
      </c>
      <c r="D2476" s="23" t="s">
        <v>3303</v>
      </c>
      <c r="E2476" s="23" t="s">
        <v>3317</v>
      </c>
      <c r="F2476" s="23" t="s">
        <v>3729</v>
      </c>
      <c r="G2476" s="93">
        <v>3</v>
      </c>
      <c r="H2476" s="93">
        <v>1</v>
      </c>
      <c r="I2476" s="23"/>
      <c r="J2476" s="23"/>
      <c r="K2476" s="23"/>
      <c r="L2476" s="23" t="s">
        <v>6880</v>
      </c>
      <c r="M2476" s="23" t="s">
        <v>3694</v>
      </c>
    </row>
    <row r="2477" spans="2:13" ht="15" customHeight="1" x14ac:dyDescent="0.25">
      <c r="B2477" s="35" t="s">
        <v>7848</v>
      </c>
      <c r="C2477" s="23" t="s">
        <v>7849</v>
      </c>
      <c r="D2477" s="23" t="s">
        <v>3303</v>
      </c>
      <c r="E2477" s="23" t="s">
        <v>3317</v>
      </c>
      <c r="F2477" s="23" t="s">
        <v>3729</v>
      </c>
      <c r="G2477" s="93">
        <v>3</v>
      </c>
      <c r="H2477" s="93">
        <v>1</v>
      </c>
      <c r="I2477" s="23"/>
      <c r="J2477" s="23"/>
      <c r="K2477" s="23"/>
      <c r="L2477" s="23" t="s">
        <v>6880</v>
      </c>
      <c r="M2477" s="23" t="s">
        <v>3694</v>
      </c>
    </row>
    <row r="2478" spans="2:13" ht="15" customHeight="1" x14ac:dyDescent="0.25">
      <c r="B2478" s="35" t="s">
        <v>7850</v>
      </c>
      <c r="C2478" s="23" t="s">
        <v>7851</v>
      </c>
      <c r="D2478" s="23" t="s">
        <v>3303</v>
      </c>
      <c r="E2478" s="23" t="s">
        <v>3317</v>
      </c>
      <c r="F2478" s="23" t="s">
        <v>3729</v>
      </c>
      <c r="G2478" s="93">
        <v>3</v>
      </c>
      <c r="H2478" s="93">
        <v>1</v>
      </c>
      <c r="I2478" s="23"/>
      <c r="J2478" s="23"/>
      <c r="K2478" s="23"/>
      <c r="L2478" s="23" t="s">
        <v>6880</v>
      </c>
      <c r="M2478" s="23" t="s">
        <v>3694</v>
      </c>
    </row>
    <row r="2479" spans="2:13" ht="15" customHeight="1" x14ac:dyDescent="0.25">
      <c r="B2479" s="35" t="s">
        <v>7852</v>
      </c>
      <c r="C2479" s="23" t="s">
        <v>7853</v>
      </c>
      <c r="D2479" s="23" t="s">
        <v>3303</v>
      </c>
      <c r="E2479" s="23" t="s">
        <v>3317</v>
      </c>
      <c r="F2479" s="23" t="s">
        <v>3729</v>
      </c>
      <c r="G2479" s="93">
        <v>3</v>
      </c>
      <c r="H2479" s="93">
        <v>1</v>
      </c>
      <c r="I2479" s="23"/>
      <c r="J2479" s="23"/>
      <c r="K2479" s="23"/>
      <c r="L2479" s="23" t="s">
        <v>6880</v>
      </c>
      <c r="M2479" s="23" t="s">
        <v>3694</v>
      </c>
    </row>
    <row r="2480" spans="2:13" ht="15" customHeight="1" x14ac:dyDescent="0.25">
      <c r="B2480" s="35" t="s">
        <v>7854</v>
      </c>
      <c r="C2480" s="23" t="s">
        <v>7855</v>
      </c>
      <c r="D2480" s="23" t="s">
        <v>3303</v>
      </c>
      <c r="E2480" s="23" t="s">
        <v>3317</v>
      </c>
      <c r="F2480" s="23" t="s">
        <v>3729</v>
      </c>
      <c r="G2480" s="93">
        <v>3</v>
      </c>
      <c r="H2480" s="93">
        <v>1</v>
      </c>
      <c r="I2480" s="23"/>
      <c r="J2480" s="23"/>
      <c r="K2480" s="23"/>
      <c r="L2480" s="23" t="s">
        <v>6880</v>
      </c>
      <c r="M2480" s="23" t="s">
        <v>3694</v>
      </c>
    </row>
    <row r="2481" spans="2:13" ht="15" customHeight="1" x14ac:dyDescent="0.25">
      <c r="B2481" s="35" t="s">
        <v>7856</v>
      </c>
      <c r="C2481" s="23" t="s">
        <v>7857</v>
      </c>
      <c r="D2481" s="23" t="s">
        <v>3303</v>
      </c>
      <c r="E2481" s="23" t="s">
        <v>3317</v>
      </c>
      <c r="F2481" s="23" t="s">
        <v>3729</v>
      </c>
      <c r="G2481" s="93">
        <v>3</v>
      </c>
      <c r="H2481" s="93">
        <v>1</v>
      </c>
      <c r="I2481" s="23"/>
      <c r="J2481" s="23"/>
      <c r="K2481" s="23"/>
      <c r="L2481" s="23" t="s">
        <v>6880</v>
      </c>
      <c r="M2481" s="23" t="s">
        <v>3694</v>
      </c>
    </row>
    <row r="2482" spans="2:13" ht="15" customHeight="1" x14ac:dyDescent="0.25">
      <c r="B2482" s="35" t="s">
        <v>7858</v>
      </c>
      <c r="C2482" s="23" t="s">
        <v>7859</v>
      </c>
      <c r="D2482" s="23" t="s">
        <v>3303</v>
      </c>
      <c r="E2482" s="23" t="s">
        <v>3317</v>
      </c>
      <c r="F2482" s="23" t="s">
        <v>3729</v>
      </c>
      <c r="G2482" s="93">
        <v>3</v>
      </c>
      <c r="H2482" s="93">
        <v>1</v>
      </c>
      <c r="I2482" s="23"/>
      <c r="J2482" s="23"/>
      <c r="K2482" s="23"/>
      <c r="L2482" s="23" t="s">
        <v>6880</v>
      </c>
      <c r="M2482" s="23" t="s">
        <v>3694</v>
      </c>
    </row>
    <row r="2483" spans="2:13" ht="15" customHeight="1" x14ac:dyDescent="0.25">
      <c r="B2483" s="35" t="s">
        <v>7860</v>
      </c>
      <c r="C2483" s="23" t="s">
        <v>7861</v>
      </c>
      <c r="D2483" s="23" t="s">
        <v>3303</v>
      </c>
      <c r="E2483" s="23" t="s">
        <v>3317</v>
      </c>
      <c r="F2483" s="23" t="s">
        <v>3729</v>
      </c>
      <c r="G2483" s="93">
        <v>3</v>
      </c>
      <c r="H2483" s="93">
        <v>1</v>
      </c>
      <c r="I2483" s="23"/>
      <c r="J2483" s="23"/>
      <c r="K2483" s="23"/>
      <c r="L2483" s="23" t="s">
        <v>6880</v>
      </c>
      <c r="M2483" s="23" t="s">
        <v>3694</v>
      </c>
    </row>
    <row r="2484" spans="2:13" ht="15" customHeight="1" x14ac:dyDescent="0.25">
      <c r="B2484" s="35" t="s">
        <v>7862</v>
      </c>
      <c r="C2484" s="23" t="s">
        <v>7863</v>
      </c>
      <c r="D2484" s="23" t="s">
        <v>3303</v>
      </c>
      <c r="E2484" s="23" t="s">
        <v>3317</v>
      </c>
      <c r="F2484" s="23" t="s">
        <v>3729</v>
      </c>
      <c r="G2484" s="93">
        <v>3</v>
      </c>
      <c r="H2484" s="93">
        <v>1</v>
      </c>
      <c r="I2484" s="23"/>
      <c r="J2484" s="23"/>
      <c r="K2484" s="23"/>
      <c r="L2484" s="23" t="s">
        <v>6880</v>
      </c>
      <c r="M2484" s="23" t="s">
        <v>3694</v>
      </c>
    </row>
    <row r="2485" spans="2:13" ht="15" customHeight="1" x14ac:dyDescent="0.25">
      <c r="B2485" s="35" t="s">
        <v>7864</v>
      </c>
      <c r="C2485" s="23" t="s">
        <v>7865</v>
      </c>
      <c r="D2485" s="23" t="s">
        <v>3303</v>
      </c>
      <c r="E2485" s="23" t="s">
        <v>3317</v>
      </c>
      <c r="F2485" s="23" t="s">
        <v>3729</v>
      </c>
      <c r="G2485" s="93">
        <v>3</v>
      </c>
      <c r="H2485" s="93">
        <v>1</v>
      </c>
      <c r="I2485" s="23"/>
      <c r="J2485" s="23"/>
      <c r="K2485" s="23"/>
      <c r="L2485" s="23" t="s">
        <v>6880</v>
      </c>
      <c r="M2485" s="23" t="s">
        <v>3694</v>
      </c>
    </row>
    <row r="2486" spans="2:13" ht="15" customHeight="1" x14ac:dyDescent="0.25">
      <c r="B2486" s="35" t="s">
        <v>7866</v>
      </c>
      <c r="C2486" s="23" t="s">
        <v>7867</v>
      </c>
      <c r="D2486" s="23" t="s">
        <v>3303</v>
      </c>
      <c r="E2486" s="23" t="s">
        <v>3317</v>
      </c>
      <c r="F2486" s="23" t="s">
        <v>3729</v>
      </c>
      <c r="G2486" s="93">
        <v>3</v>
      </c>
      <c r="H2486" s="93">
        <v>1</v>
      </c>
      <c r="I2486" s="23"/>
      <c r="J2486" s="23"/>
      <c r="K2486" s="23"/>
      <c r="L2486" s="23" t="s">
        <v>6880</v>
      </c>
      <c r="M2486" s="23" t="s">
        <v>3694</v>
      </c>
    </row>
    <row r="2487" spans="2:13" ht="15" customHeight="1" x14ac:dyDescent="0.25">
      <c r="B2487" s="35" t="s">
        <v>7868</v>
      </c>
      <c r="C2487" s="23" t="s">
        <v>7869</v>
      </c>
      <c r="D2487" s="23" t="s">
        <v>3303</v>
      </c>
      <c r="E2487" s="23" t="s">
        <v>3317</v>
      </c>
      <c r="F2487" s="23" t="s">
        <v>3729</v>
      </c>
      <c r="G2487" s="93">
        <v>3</v>
      </c>
      <c r="H2487" s="93">
        <v>1</v>
      </c>
      <c r="I2487" s="23"/>
      <c r="J2487" s="23"/>
      <c r="K2487" s="23"/>
      <c r="L2487" s="23" t="s">
        <v>6880</v>
      </c>
      <c r="M2487" s="23" t="s">
        <v>3694</v>
      </c>
    </row>
    <row r="2488" spans="2:13" ht="15" customHeight="1" x14ac:dyDescent="0.25">
      <c r="B2488" s="35" t="s">
        <v>7870</v>
      </c>
      <c r="C2488" s="23" t="s">
        <v>7871</v>
      </c>
      <c r="D2488" s="23" t="s">
        <v>3303</v>
      </c>
      <c r="E2488" s="23" t="s">
        <v>3317</v>
      </c>
      <c r="F2488" s="23" t="s">
        <v>3729</v>
      </c>
      <c r="G2488" s="93">
        <v>3</v>
      </c>
      <c r="H2488" s="93">
        <v>1</v>
      </c>
      <c r="I2488" s="23"/>
      <c r="J2488" s="23"/>
      <c r="K2488" s="23"/>
      <c r="L2488" s="23" t="s">
        <v>6880</v>
      </c>
      <c r="M2488" s="23" t="s">
        <v>3694</v>
      </c>
    </row>
    <row r="2489" spans="2:13" ht="15" customHeight="1" x14ac:dyDescent="0.25">
      <c r="B2489" s="35" t="s">
        <v>7872</v>
      </c>
      <c r="C2489" s="23" t="s">
        <v>7873</v>
      </c>
      <c r="D2489" s="23" t="s">
        <v>3303</v>
      </c>
      <c r="E2489" s="23" t="s">
        <v>3317</v>
      </c>
      <c r="F2489" s="23" t="s">
        <v>3729</v>
      </c>
      <c r="G2489" s="93">
        <v>3</v>
      </c>
      <c r="H2489" s="93">
        <v>1</v>
      </c>
      <c r="I2489" s="23"/>
      <c r="J2489" s="23"/>
      <c r="K2489" s="23"/>
      <c r="L2489" s="23" t="s">
        <v>6880</v>
      </c>
      <c r="M2489" s="23" t="s">
        <v>3694</v>
      </c>
    </row>
    <row r="2490" spans="2:13" ht="15" customHeight="1" x14ac:dyDescent="0.25">
      <c r="B2490" s="35" t="s">
        <v>7874</v>
      </c>
      <c r="C2490" s="23" t="s">
        <v>7875</v>
      </c>
      <c r="D2490" s="23" t="s">
        <v>3303</v>
      </c>
      <c r="E2490" s="23" t="s">
        <v>3317</v>
      </c>
      <c r="F2490" s="23" t="s">
        <v>3729</v>
      </c>
      <c r="G2490" s="93">
        <v>3</v>
      </c>
      <c r="H2490" s="93">
        <v>1</v>
      </c>
      <c r="I2490" s="23"/>
      <c r="J2490" s="23"/>
      <c r="K2490" s="23"/>
      <c r="L2490" s="23" t="s">
        <v>6880</v>
      </c>
      <c r="M2490" s="23" t="s">
        <v>3694</v>
      </c>
    </row>
    <row r="2491" spans="2:13" ht="15" customHeight="1" x14ac:dyDescent="0.25">
      <c r="B2491" s="35" t="s">
        <v>7876</v>
      </c>
      <c r="C2491" s="23" t="s">
        <v>7877</v>
      </c>
      <c r="D2491" s="23" t="s">
        <v>3303</v>
      </c>
      <c r="E2491" s="23" t="s">
        <v>3317</v>
      </c>
      <c r="F2491" s="23" t="s">
        <v>3729</v>
      </c>
      <c r="G2491" s="93">
        <v>3</v>
      </c>
      <c r="H2491" s="93">
        <v>1</v>
      </c>
      <c r="I2491" s="23"/>
      <c r="J2491" s="23"/>
      <c r="K2491" s="23"/>
      <c r="L2491" s="23" t="s">
        <v>6880</v>
      </c>
      <c r="M2491" s="23" t="s">
        <v>3694</v>
      </c>
    </row>
    <row r="2492" spans="2:13" ht="15" customHeight="1" x14ac:dyDescent="0.25">
      <c r="B2492" s="35" t="s">
        <v>7878</v>
      </c>
      <c r="C2492" s="23" t="s">
        <v>7879</v>
      </c>
      <c r="D2492" s="23" t="s">
        <v>3303</v>
      </c>
      <c r="E2492" s="23" t="s">
        <v>3317</v>
      </c>
      <c r="F2492" s="23" t="s">
        <v>3729</v>
      </c>
      <c r="G2492" s="93">
        <v>3</v>
      </c>
      <c r="H2492" s="93">
        <v>1</v>
      </c>
      <c r="I2492" s="23"/>
      <c r="J2492" s="23"/>
      <c r="K2492" s="23"/>
      <c r="L2492" s="23" t="s">
        <v>6880</v>
      </c>
      <c r="M2492" s="23" t="s">
        <v>3694</v>
      </c>
    </row>
    <row r="2493" spans="2:13" ht="15" customHeight="1" x14ac:dyDescent="0.25">
      <c r="B2493" s="35" t="s">
        <v>7880</v>
      </c>
      <c r="C2493" s="23" t="s">
        <v>7881</v>
      </c>
      <c r="D2493" s="23" t="s">
        <v>3303</v>
      </c>
      <c r="E2493" s="23" t="s">
        <v>3317</v>
      </c>
      <c r="F2493" s="23" t="s">
        <v>3729</v>
      </c>
      <c r="G2493" s="93">
        <v>3</v>
      </c>
      <c r="H2493" s="93">
        <v>0</v>
      </c>
      <c r="I2493" s="23"/>
      <c r="J2493" s="23"/>
      <c r="K2493" s="23"/>
      <c r="L2493" s="23" t="s">
        <v>6880</v>
      </c>
      <c r="M2493" s="23"/>
    </row>
    <row r="2494" spans="2:13" ht="15" customHeight="1" x14ac:dyDescent="0.25">
      <c r="B2494" s="35" t="s">
        <v>7882</v>
      </c>
      <c r="C2494" s="23" t="s">
        <v>7883</v>
      </c>
      <c r="D2494" s="23" t="s">
        <v>3303</v>
      </c>
      <c r="E2494" s="23" t="s">
        <v>3317</v>
      </c>
      <c r="F2494" s="23" t="s">
        <v>3729</v>
      </c>
      <c r="G2494" s="93">
        <v>3</v>
      </c>
      <c r="H2494" s="93">
        <v>1</v>
      </c>
      <c r="I2494" s="23"/>
      <c r="J2494" s="23"/>
      <c r="K2494" s="23"/>
      <c r="L2494" s="23" t="s">
        <v>6880</v>
      </c>
      <c r="M2494" s="23" t="s">
        <v>3694</v>
      </c>
    </row>
    <row r="2495" spans="2:13" ht="15" customHeight="1" x14ac:dyDescent="0.25">
      <c r="B2495" s="35" t="s">
        <v>7884</v>
      </c>
      <c r="C2495" s="23" t="s">
        <v>7885</v>
      </c>
      <c r="D2495" s="23" t="s">
        <v>3303</v>
      </c>
      <c r="E2495" s="23" t="s">
        <v>3317</v>
      </c>
      <c r="F2495" s="23" t="s">
        <v>3729</v>
      </c>
      <c r="G2495" s="93">
        <v>3</v>
      </c>
      <c r="H2495" s="93">
        <v>1</v>
      </c>
      <c r="I2495" s="23"/>
      <c r="J2495" s="23"/>
      <c r="K2495" s="23"/>
      <c r="L2495" s="23" t="s">
        <v>6880</v>
      </c>
      <c r="M2495" s="23" t="s">
        <v>3694</v>
      </c>
    </row>
    <row r="2496" spans="2:13" ht="15" customHeight="1" x14ac:dyDescent="0.25">
      <c r="B2496" s="35" t="s">
        <v>7886</v>
      </c>
      <c r="C2496" s="23" t="s">
        <v>7887</v>
      </c>
      <c r="D2496" s="23" t="s">
        <v>3303</v>
      </c>
      <c r="E2496" s="23" t="s">
        <v>3317</v>
      </c>
      <c r="F2496" s="23" t="s">
        <v>3729</v>
      </c>
      <c r="G2496" s="93">
        <v>3</v>
      </c>
      <c r="H2496" s="93">
        <v>1</v>
      </c>
      <c r="I2496" s="23"/>
      <c r="J2496" s="23"/>
      <c r="K2496" s="23"/>
      <c r="L2496" s="23" t="s">
        <v>6880</v>
      </c>
      <c r="M2496" s="23" t="s">
        <v>3694</v>
      </c>
    </row>
    <row r="2497" spans="2:13" ht="15" customHeight="1" x14ac:dyDescent="0.25">
      <c r="B2497" s="35" t="s">
        <v>7888</v>
      </c>
      <c r="C2497" s="23" t="s">
        <v>7889</v>
      </c>
      <c r="D2497" s="23" t="s">
        <v>3303</v>
      </c>
      <c r="E2497" s="23" t="s">
        <v>3317</v>
      </c>
      <c r="F2497" s="23" t="s">
        <v>3729</v>
      </c>
      <c r="G2497" s="93">
        <v>3</v>
      </c>
      <c r="H2497" s="93">
        <v>1</v>
      </c>
      <c r="I2497" s="23"/>
      <c r="J2497" s="23"/>
      <c r="K2497" s="23"/>
      <c r="L2497" s="23" t="s">
        <v>6880</v>
      </c>
      <c r="M2497" s="23" t="s">
        <v>3694</v>
      </c>
    </row>
    <row r="2498" spans="2:13" ht="15" customHeight="1" x14ac:dyDescent="0.25">
      <c r="B2498" s="35" t="s">
        <v>7890</v>
      </c>
      <c r="C2498" s="23" t="s">
        <v>7891</v>
      </c>
      <c r="D2498" s="23" t="s">
        <v>3303</v>
      </c>
      <c r="E2498" s="23" t="s">
        <v>3317</v>
      </c>
      <c r="F2498" s="23" t="s">
        <v>3729</v>
      </c>
      <c r="G2498" s="93">
        <v>3</v>
      </c>
      <c r="H2498" s="93">
        <v>1</v>
      </c>
      <c r="I2498" s="23"/>
      <c r="J2498" s="23"/>
      <c r="K2498" s="23"/>
      <c r="L2498" s="23" t="s">
        <v>6880</v>
      </c>
      <c r="M2498" s="23" t="s">
        <v>3694</v>
      </c>
    </row>
    <row r="2499" spans="2:13" ht="15" customHeight="1" x14ac:dyDescent="0.25">
      <c r="B2499" s="35" t="s">
        <v>7892</v>
      </c>
      <c r="C2499" s="23" t="s">
        <v>7893</v>
      </c>
      <c r="D2499" s="23" t="s">
        <v>3303</v>
      </c>
      <c r="E2499" s="23" t="s">
        <v>3317</v>
      </c>
      <c r="F2499" s="23" t="s">
        <v>3729</v>
      </c>
      <c r="G2499" s="93">
        <v>3</v>
      </c>
      <c r="H2499" s="93">
        <v>1</v>
      </c>
      <c r="I2499" s="23"/>
      <c r="J2499" s="23"/>
      <c r="K2499" s="23"/>
      <c r="L2499" s="23" t="s">
        <v>6880</v>
      </c>
      <c r="M2499" s="23" t="s">
        <v>3694</v>
      </c>
    </row>
    <row r="2500" spans="2:13" ht="15" customHeight="1" x14ac:dyDescent="0.25">
      <c r="B2500" s="35" t="s">
        <v>7894</v>
      </c>
      <c r="C2500" s="23" t="s">
        <v>7895</v>
      </c>
      <c r="D2500" s="23" t="s">
        <v>3303</v>
      </c>
      <c r="E2500" s="23" t="s">
        <v>3317</v>
      </c>
      <c r="F2500" s="23" t="s">
        <v>3729</v>
      </c>
      <c r="G2500" s="93">
        <v>3</v>
      </c>
      <c r="H2500" s="93">
        <v>1</v>
      </c>
      <c r="I2500" s="23"/>
      <c r="J2500" s="23"/>
      <c r="K2500" s="23"/>
      <c r="L2500" s="23" t="s">
        <v>6880</v>
      </c>
      <c r="M2500" s="23" t="s">
        <v>3694</v>
      </c>
    </row>
    <row r="2501" spans="2:13" ht="15" customHeight="1" x14ac:dyDescent="0.25">
      <c r="B2501" s="35" t="s">
        <v>7896</v>
      </c>
      <c r="C2501" s="23" t="s">
        <v>7897</v>
      </c>
      <c r="D2501" s="23" t="s">
        <v>3303</v>
      </c>
      <c r="E2501" s="23" t="s">
        <v>3317</v>
      </c>
      <c r="F2501" s="23" t="s">
        <v>3729</v>
      </c>
      <c r="G2501" s="93">
        <v>3</v>
      </c>
      <c r="H2501" s="93">
        <v>1</v>
      </c>
      <c r="I2501" s="23"/>
      <c r="J2501" s="23"/>
      <c r="K2501" s="23"/>
      <c r="L2501" s="23" t="s">
        <v>6880</v>
      </c>
      <c r="M2501" s="23" t="s">
        <v>3694</v>
      </c>
    </row>
    <row r="2502" spans="2:13" ht="15" customHeight="1" x14ac:dyDescent="0.25">
      <c r="B2502" s="35" t="s">
        <v>7898</v>
      </c>
      <c r="C2502" s="23" t="s">
        <v>7899</v>
      </c>
      <c r="D2502" s="23" t="s">
        <v>3303</v>
      </c>
      <c r="E2502" s="23" t="s">
        <v>3317</v>
      </c>
      <c r="F2502" s="23" t="s">
        <v>3729</v>
      </c>
      <c r="G2502" s="93">
        <v>3</v>
      </c>
      <c r="H2502" s="93">
        <v>1</v>
      </c>
      <c r="I2502" s="23"/>
      <c r="J2502" s="23"/>
      <c r="K2502" s="23"/>
      <c r="L2502" s="23" t="s">
        <v>6880</v>
      </c>
      <c r="M2502" s="23" t="s">
        <v>3694</v>
      </c>
    </row>
    <row r="2503" spans="2:13" ht="15" customHeight="1" x14ac:dyDescent="0.25">
      <c r="B2503" s="35" t="s">
        <v>7900</v>
      </c>
      <c r="C2503" s="23" t="s">
        <v>7901</v>
      </c>
      <c r="D2503" s="23" t="s">
        <v>3303</v>
      </c>
      <c r="E2503" s="23" t="s">
        <v>3317</v>
      </c>
      <c r="F2503" s="23" t="s">
        <v>3729</v>
      </c>
      <c r="G2503" s="93">
        <v>3</v>
      </c>
      <c r="H2503" s="93">
        <v>1</v>
      </c>
      <c r="I2503" s="23"/>
      <c r="J2503" s="23"/>
      <c r="K2503" s="23"/>
      <c r="L2503" s="23" t="s">
        <v>6880</v>
      </c>
      <c r="M2503" s="23" t="s">
        <v>3694</v>
      </c>
    </row>
    <row r="2504" spans="2:13" ht="15" customHeight="1" x14ac:dyDescent="0.25">
      <c r="B2504" s="35" t="s">
        <v>7902</v>
      </c>
      <c r="C2504" s="23" t="s">
        <v>7903</v>
      </c>
      <c r="D2504" s="23" t="s">
        <v>3303</v>
      </c>
      <c r="E2504" s="23" t="s">
        <v>3317</v>
      </c>
      <c r="F2504" s="23" t="s">
        <v>3729</v>
      </c>
      <c r="G2504" s="93">
        <v>3</v>
      </c>
      <c r="H2504" s="93">
        <v>1</v>
      </c>
      <c r="I2504" s="23"/>
      <c r="J2504" s="23"/>
      <c r="K2504" s="23"/>
      <c r="L2504" s="23" t="s">
        <v>6880</v>
      </c>
      <c r="M2504" s="23" t="s">
        <v>3694</v>
      </c>
    </row>
    <row r="2505" spans="2:13" ht="15" customHeight="1" x14ac:dyDescent="0.25">
      <c r="B2505" s="35" t="s">
        <v>7904</v>
      </c>
      <c r="C2505" s="23" t="s">
        <v>7905</v>
      </c>
      <c r="D2505" s="23" t="s">
        <v>3303</v>
      </c>
      <c r="E2505" s="23" t="s">
        <v>3317</v>
      </c>
      <c r="F2505" s="23" t="s">
        <v>3729</v>
      </c>
      <c r="G2505" s="93">
        <v>3</v>
      </c>
      <c r="H2505" s="93">
        <v>1</v>
      </c>
      <c r="I2505" s="23"/>
      <c r="J2505" s="23"/>
      <c r="K2505" s="23"/>
      <c r="L2505" s="23" t="s">
        <v>6880</v>
      </c>
      <c r="M2505" s="23" t="s">
        <v>3694</v>
      </c>
    </row>
    <row r="2506" spans="2:13" ht="15" customHeight="1" x14ac:dyDescent="0.25">
      <c r="B2506" s="35" t="s">
        <v>7906</v>
      </c>
      <c r="C2506" s="23" t="s">
        <v>7907</v>
      </c>
      <c r="D2506" s="23" t="s">
        <v>3303</v>
      </c>
      <c r="E2506" s="23" t="s">
        <v>3317</v>
      </c>
      <c r="F2506" s="23" t="s">
        <v>3729</v>
      </c>
      <c r="G2506" s="93">
        <v>3</v>
      </c>
      <c r="H2506" s="93">
        <v>1</v>
      </c>
      <c r="I2506" s="23"/>
      <c r="J2506" s="23"/>
      <c r="K2506" s="23"/>
      <c r="L2506" s="23" t="s">
        <v>6880</v>
      </c>
      <c r="M2506" s="23" t="s">
        <v>3694</v>
      </c>
    </row>
    <row r="2507" spans="2:13" ht="15" customHeight="1" x14ac:dyDescent="0.25">
      <c r="B2507" s="35" t="s">
        <v>7908</v>
      </c>
      <c r="C2507" s="23" t="s">
        <v>7909</v>
      </c>
      <c r="D2507" s="23" t="s">
        <v>3303</v>
      </c>
      <c r="E2507" s="23" t="s">
        <v>3317</v>
      </c>
      <c r="F2507" s="23" t="s">
        <v>3729</v>
      </c>
      <c r="G2507" s="93">
        <v>3</v>
      </c>
      <c r="H2507" s="93">
        <v>1</v>
      </c>
      <c r="I2507" s="23"/>
      <c r="J2507" s="23"/>
      <c r="K2507" s="23"/>
      <c r="L2507" s="23" t="s">
        <v>6880</v>
      </c>
      <c r="M2507" s="23" t="s">
        <v>3694</v>
      </c>
    </row>
    <row r="2508" spans="2:13" ht="15" customHeight="1" x14ac:dyDescent="0.25">
      <c r="B2508" s="35" t="s">
        <v>7910</v>
      </c>
      <c r="C2508" s="23" t="s">
        <v>7911</v>
      </c>
      <c r="D2508" s="23" t="s">
        <v>3303</v>
      </c>
      <c r="E2508" s="23" t="s">
        <v>3317</v>
      </c>
      <c r="F2508" s="23" t="s">
        <v>3729</v>
      </c>
      <c r="G2508" s="93">
        <v>3</v>
      </c>
      <c r="H2508" s="93">
        <v>1</v>
      </c>
      <c r="I2508" s="23"/>
      <c r="J2508" s="23"/>
      <c r="K2508" s="23"/>
      <c r="L2508" s="23" t="s">
        <v>6880</v>
      </c>
      <c r="M2508" s="23" t="s">
        <v>3694</v>
      </c>
    </row>
    <row r="2509" spans="2:13" ht="15" customHeight="1" x14ac:dyDescent="0.25">
      <c r="B2509" s="35" t="s">
        <v>7912</v>
      </c>
      <c r="C2509" s="23" t="s">
        <v>7913</v>
      </c>
      <c r="D2509" s="23" t="s">
        <v>3303</v>
      </c>
      <c r="E2509" s="23" t="s">
        <v>3317</v>
      </c>
      <c r="F2509" s="23" t="s">
        <v>3729</v>
      </c>
      <c r="G2509" s="93">
        <v>3</v>
      </c>
      <c r="H2509" s="93">
        <v>1</v>
      </c>
      <c r="I2509" s="23"/>
      <c r="J2509" s="23"/>
      <c r="K2509" s="23"/>
      <c r="L2509" s="23" t="s">
        <v>6880</v>
      </c>
      <c r="M2509" s="23" t="s">
        <v>3694</v>
      </c>
    </row>
    <row r="2510" spans="2:13" ht="15" customHeight="1" x14ac:dyDescent="0.25">
      <c r="B2510" s="35" t="s">
        <v>7914</v>
      </c>
      <c r="C2510" s="23" t="s">
        <v>7915</v>
      </c>
      <c r="D2510" s="23" t="s">
        <v>3303</v>
      </c>
      <c r="E2510" s="23" t="s">
        <v>3317</v>
      </c>
      <c r="F2510" s="23" t="s">
        <v>3729</v>
      </c>
      <c r="G2510" s="93">
        <v>3</v>
      </c>
      <c r="H2510" s="93">
        <v>1</v>
      </c>
      <c r="I2510" s="23"/>
      <c r="J2510" s="23"/>
      <c r="K2510" s="23"/>
      <c r="L2510" s="23" t="s">
        <v>6880</v>
      </c>
      <c r="M2510" s="23" t="s">
        <v>3694</v>
      </c>
    </row>
    <row r="2511" spans="2:13" ht="15" customHeight="1" x14ac:dyDescent="0.25">
      <c r="B2511" s="35" t="s">
        <v>7916</v>
      </c>
      <c r="C2511" s="23" t="s">
        <v>7917</v>
      </c>
      <c r="D2511" s="23" t="s">
        <v>3303</v>
      </c>
      <c r="E2511" s="23" t="s">
        <v>3317</v>
      </c>
      <c r="F2511" s="23" t="s">
        <v>3729</v>
      </c>
      <c r="G2511" s="93">
        <v>3</v>
      </c>
      <c r="H2511" s="93">
        <v>1</v>
      </c>
      <c r="I2511" s="23"/>
      <c r="J2511" s="23"/>
      <c r="K2511" s="23"/>
      <c r="L2511" s="23" t="s">
        <v>6880</v>
      </c>
      <c r="M2511" s="23" t="s">
        <v>3694</v>
      </c>
    </row>
    <row r="2512" spans="2:13" ht="15" customHeight="1" x14ac:dyDescent="0.25">
      <c r="B2512" s="35" t="s">
        <v>7918</v>
      </c>
      <c r="C2512" s="23" t="s">
        <v>7919</v>
      </c>
      <c r="D2512" s="23" t="s">
        <v>3303</v>
      </c>
      <c r="E2512" s="23" t="s">
        <v>3317</v>
      </c>
      <c r="F2512" s="23" t="s">
        <v>3729</v>
      </c>
      <c r="G2512" s="93">
        <v>3</v>
      </c>
      <c r="H2512" s="93">
        <v>1</v>
      </c>
      <c r="I2512" s="23"/>
      <c r="J2512" s="23"/>
      <c r="K2512" s="23"/>
      <c r="L2512" s="23" t="s">
        <v>6880</v>
      </c>
      <c r="M2512" s="23" t="s">
        <v>3694</v>
      </c>
    </row>
    <row r="2513" spans="2:13" ht="15" customHeight="1" x14ac:dyDescent="0.25">
      <c r="B2513" s="35" t="s">
        <v>7920</v>
      </c>
      <c r="C2513" s="23" t="s">
        <v>7921</v>
      </c>
      <c r="D2513" s="23" t="s">
        <v>3303</v>
      </c>
      <c r="E2513" s="23" t="s">
        <v>3317</v>
      </c>
      <c r="F2513" s="23" t="s">
        <v>3729</v>
      </c>
      <c r="G2513" s="93">
        <v>3</v>
      </c>
      <c r="H2513" s="93">
        <v>1</v>
      </c>
      <c r="I2513" s="23"/>
      <c r="J2513" s="23"/>
      <c r="K2513" s="23"/>
      <c r="L2513" s="23" t="s">
        <v>6880</v>
      </c>
      <c r="M2513" s="23" t="s">
        <v>3694</v>
      </c>
    </row>
    <row r="2514" spans="2:13" ht="15" customHeight="1" x14ac:dyDescent="0.25">
      <c r="B2514" s="35" t="s">
        <v>7922</v>
      </c>
      <c r="C2514" s="23" t="s">
        <v>7923</v>
      </c>
      <c r="D2514" s="23" t="s">
        <v>3303</v>
      </c>
      <c r="E2514" s="23" t="s">
        <v>3317</v>
      </c>
      <c r="F2514" s="23" t="s">
        <v>3729</v>
      </c>
      <c r="G2514" s="93">
        <v>3</v>
      </c>
      <c r="H2514" s="93">
        <v>1</v>
      </c>
      <c r="I2514" s="23"/>
      <c r="J2514" s="23"/>
      <c r="K2514" s="23"/>
      <c r="L2514" s="23" t="s">
        <v>6880</v>
      </c>
      <c r="M2514" s="23" t="s">
        <v>3694</v>
      </c>
    </row>
    <row r="2515" spans="2:13" ht="15" customHeight="1" x14ac:dyDescent="0.25">
      <c r="B2515" s="35" t="s">
        <v>7924</v>
      </c>
      <c r="C2515" s="23" t="s">
        <v>7925</v>
      </c>
      <c r="D2515" s="23" t="s">
        <v>3303</v>
      </c>
      <c r="E2515" s="23" t="s">
        <v>3317</v>
      </c>
      <c r="F2515" s="23" t="s">
        <v>3729</v>
      </c>
      <c r="G2515" s="93">
        <v>3</v>
      </c>
      <c r="H2515" s="93">
        <v>1</v>
      </c>
      <c r="I2515" s="23"/>
      <c r="J2515" s="23"/>
      <c r="K2515" s="23"/>
      <c r="L2515" s="23" t="s">
        <v>6880</v>
      </c>
      <c r="M2515" s="23" t="s">
        <v>3694</v>
      </c>
    </row>
    <row r="2516" spans="2:13" ht="15" customHeight="1" x14ac:dyDescent="0.25">
      <c r="B2516" s="35" t="s">
        <v>7926</v>
      </c>
      <c r="C2516" s="23" t="s">
        <v>7927</v>
      </c>
      <c r="D2516" s="23" t="s">
        <v>3303</v>
      </c>
      <c r="E2516" s="23" t="s">
        <v>3317</v>
      </c>
      <c r="F2516" s="23" t="s">
        <v>3729</v>
      </c>
      <c r="G2516" s="93">
        <v>3</v>
      </c>
      <c r="H2516" s="93">
        <v>1</v>
      </c>
      <c r="I2516" s="23"/>
      <c r="J2516" s="23"/>
      <c r="K2516" s="23"/>
      <c r="L2516" s="23" t="s">
        <v>6880</v>
      </c>
      <c r="M2516" s="23" t="s">
        <v>3694</v>
      </c>
    </row>
    <row r="2517" spans="2:13" ht="15" customHeight="1" x14ac:dyDescent="0.25">
      <c r="B2517" s="35" t="s">
        <v>7928</v>
      </c>
      <c r="C2517" s="23" t="s">
        <v>7929</v>
      </c>
      <c r="D2517" s="23" t="s">
        <v>3303</v>
      </c>
      <c r="E2517" s="23" t="s">
        <v>3317</v>
      </c>
      <c r="F2517" s="23" t="s">
        <v>3729</v>
      </c>
      <c r="G2517" s="93">
        <v>3</v>
      </c>
      <c r="H2517" s="93">
        <v>1</v>
      </c>
      <c r="I2517" s="23"/>
      <c r="J2517" s="23"/>
      <c r="K2517" s="23"/>
      <c r="L2517" s="23" t="s">
        <v>6880</v>
      </c>
      <c r="M2517" s="23" t="s">
        <v>3694</v>
      </c>
    </row>
    <row r="2518" spans="2:13" ht="15" customHeight="1" x14ac:dyDescent="0.25">
      <c r="B2518" s="35" t="s">
        <v>7930</v>
      </c>
      <c r="C2518" s="23" t="s">
        <v>7931</v>
      </c>
      <c r="D2518" s="23" t="s">
        <v>3303</v>
      </c>
      <c r="E2518" s="23" t="s">
        <v>3317</v>
      </c>
      <c r="F2518" s="23" t="s">
        <v>3729</v>
      </c>
      <c r="G2518" s="93">
        <v>3</v>
      </c>
      <c r="H2518" s="93">
        <v>1</v>
      </c>
      <c r="I2518" s="23"/>
      <c r="J2518" s="23"/>
      <c r="K2518" s="23"/>
      <c r="L2518" s="23" t="s">
        <v>6880</v>
      </c>
      <c r="M2518" s="23" t="s">
        <v>3694</v>
      </c>
    </row>
    <row r="2519" spans="2:13" ht="15" customHeight="1" x14ac:dyDescent="0.25">
      <c r="B2519" s="35" t="s">
        <v>7932</v>
      </c>
      <c r="C2519" s="23" t="s">
        <v>7933</v>
      </c>
      <c r="D2519" s="23" t="s">
        <v>3303</v>
      </c>
      <c r="E2519" s="23" t="s">
        <v>3317</v>
      </c>
      <c r="F2519" s="23" t="s">
        <v>3729</v>
      </c>
      <c r="G2519" s="93">
        <v>3</v>
      </c>
      <c r="H2519" s="93">
        <v>1</v>
      </c>
      <c r="I2519" s="23"/>
      <c r="J2519" s="23"/>
      <c r="K2519" s="23"/>
      <c r="L2519" s="23" t="s">
        <v>6880</v>
      </c>
      <c r="M2519" s="23" t="s">
        <v>3694</v>
      </c>
    </row>
    <row r="2520" spans="2:13" ht="15" customHeight="1" x14ac:dyDescent="0.25">
      <c r="B2520" s="35" t="s">
        <v>7934</v>
      </c>
      <c r="C2520" s="23" t="s">
        <v>7935</v>
      </c>
      <c r="D2520" s="23" t="s">
        <v>3303</v>
      </c>
      <c r="E2520" s="23" t="s">
        <v>3317</v>
      </c>
      <c r="F2520" s="23" t="s">
        <v>3729</v>
      </c>
      <c r="G2520" s="93">
        <v>3</v>
      </c>
      <c r="H2520" s="93">
        <v>1</v>
      </c>
      <c r="I2520" s="23"/>
      <c r="J2520" s="23"/>
      <c r="K2520" s="23"/>
      <c r="L2520" s="23" t="s">
        <v>6880</v>
      </c>
      <c r="M2520" s="23" t="s">
        <v>3694</v>
      </c>
    </row>
    <row r="2521" spans="2:13" ht="15" customHeight="1" x14ac:dyDescent="0.25">
      <c r="B2521" s="35" t="s">
        <v>7936</v>
      </c>
      <c r="C2521" s="23" t="s">
        <v>7937</v>
      </c>
      <c r="D2521" s="23" t="s">
        <v>3303</v>
      </c>
      <c r="E2521" s="23" t="s">
        <v>3317</v>
      </c>
      <c r="F2521" s="23" t="s">
        <v>3729</v>
      </c>
      <c r="G2521" s="93">
        <v>3</v>
      </c>
      <c r="H2521" s="93">
        <v>1</v>
      </c>
      <c r="I2521" s="23"/>
      <c r="J2521" s="23"/>
      <c r="K2521" s="23"/>
      <c r="L2521" s="23" t="s">
        <v>6880</v>
      </c>
      <c r="M2521" s="23" t="s">
        <v>3694</v>
      </c>
    </row>
    <row r="2522" spans="2:13" ht="15" customHeight="1" x14ac:dyDescent="0.25">
      <c r="B2522" s="35" t="s">
        <v>7938</v>
      </c>
      <c r="C2522" s="23" t="s">
        <v>7939</v>
      </c>
      <c r="D2522" s="23" t="s">
        <v>3303</v>
      </c>
      <c r="E2522" s="23" t="s">
        <v>3317</v>
      </c>
      <c r="F2522" s="23" t="s">
        <v>3729</v>
      </c>
      <c r="G2522" s="93">
        <v>3</v>
      </c>
      <c r="H2522" s="93">
        <v>1</v>
      </c>
      <c r="I2522" s="23"/>
      <c r="J2522" s="23"/>
      <c r="K2522" s="23"/>
      <c r="L2522" s="23" t="s">
        <v>6880</v>
      </c>
      <c r="M2522" s="23" t="s">
        <v>3694</v>
      </c>
    </row>
    <row r="2523" spans="2:13" ht="15" customHeight="1" x14ac:dyDescent="0.25">
      <c r="B2523" s="35" t="s">
        <v>7940</v>
      </c>
      <c r="C2523" s="23" t="s">
        <v>7941</v>
      </c>
      <c r="D2523" s="23" t="s">
        <v>3303</v>
      </c>
      <c r="E2523" s="23" t="s">
        <v>3317</v>
      </c>
      <c r="F2523" s="23" t="s">
        <v>3729</v>
      </c>
      <c r="G2523" s="93">
        <v>3</v>
      </c>
      <c r="H2523" s="93">
        <v>1</v>
      </c>
      <c r="I2523" s="23"/>
      <c r="J2523" s="23"/>
      <c r="K2523" s="23"/>
      <c r="L2523" s="23" t="s">
        <v>6880</v>
      </c>
      <c r="M2523" s="23" t="s">
        <v>3694</v>
      </c>
    </row>
    <row r="2524" spans="2:13" ht="15" customHeight="1" x14ac:dyDescent="0.25">
      <c r="B2524" s="35" t="s">
        <v>7942</v>
      </c>
      <c r="C2524" s="23" t="s">
        <v>7943</v>
      </c>
      <c r="D2524" s="23" t="s">
        <v>3303</v>
      </c>
      <c r="E2524" s="23" t="s">
        <v>3317</v>
      </c>
      <c r="F2524" s="23" t="s">
        <v>3729</v>
      </c>
      <c r="G2524" s="93">
        <v>3</v>
      </c>
      <c r="H2524" s="93">
        <v>1</v>
      </c>
      <c r="I2524" s="23"/>
      <c r="J2524" s="23"/>
      <c r="K2524" s="23"/>
      <c r="L2524" s="23" t="s">
        <v>6880</v>
      </c>
      <c r="M2524" s="23" t="s">
        <v>3694</v>
      </c>
    </row>
    <row r="2525" spans="2:13" ht="15" customHeight="1" x14ac:dyDescent="0.25">
      <c r="B2525" s="35" t="s">
        <v>7944</v>
      </c>
      <c r="C2525" s="23" t="s">
        <v>7945</v>
      </c>
      <c r="D2525" s="23" t="s">
        <v>3303</v>
      </c>
      <c r="E2525" s="23" t="s">
        <v>3317</v>
      </c>
      <c r="F2525" s="23" t="s">
        <v>3729</v>
      </c>
      <c r="G2525" s="93">
        <v>3</v>
      </c>
      <c r="H2525" s="93">
        <v>1</v>
      </c>
      <c r="I2525" s="23"/>
      <c r="J2525" s="23"/>
      <c r="K2525" s="23"/>
      <c r="L2525" s="23" t="s">
        <v>6880</v>
      </c>
      <c r="M2525" s="23" t="s">
        <v>3694</v>
      </c>
    </row>
    <row r="2526" spans="2:13" ht="15" customHeight="1" x14ac:dyDescent="0.25">
      <c r="B2526" s="35" t="s">
        <v>7946</v>
      </c>
      <c r="C2526" s="23" t="s">
        <v>7947</v>
      </c>
      <c r="D2526" s="23" t="s">
        <v>3303</v>
      </c>
      <c r="E2526" s="23" t="s">
        <v>3317</v>
      </c>
      <c r="F2526" s="23" t="s">
        <v>3729</v>
      </c>
      <c r="G2526" s="93">
        <v>3</v>
      </c>
      <c r="H2526" s="93">
        <v>1</v>
      </c>
      <c r="I2526" s="23"/>
      <c r="J2526" s="23"/>
      <c r="K2526" s="23"/>
      <c r="L2526" s="23" t="s">
        <v>6880</v>
      </c>
      <c r="M2526" s="23" t="s">
        <v>3694</v>
      </c>
    </row>
    <row r="2527" spans="2:13" ht="15" customHeight="1" x14ac:dyDescent="0.25">
      <c r="B2527" s="35" t="s">
        <v>7948</v>
      </c>
      <c r="C2527" s="23" t="s">
        <v>7949</v>
      </c>
      <c r="D2527" s="23" t="s">
        <v>3303</v>
      </c>
      <c r="E2527" s="23" t="s">
        <v>3317</v>
      </c>
      <c r="F2527" s="23" t="s">
        <v>3729</v>
      </c>
      <c r="G2527" s="93">
        <v>3</v>
      </c>
      <c r="H2527" s="93">
        <v>1</v>
      </c>
      <c r="I2527" s="23"/>
      <c r="J2527" s="23"/>
      <c r="K2527" s="23"/>
      <c r="L2527" s="23" t="s">
        <v>6880</v>
      </c>
      <c r="M2527" s="23" t="s">
        <v>3694</v>
      </c>
    </row>
    <row r="2528" spans="2:13" ht="15" customHeight="1" x14ac:dyDescent="0.25">
      <c r="B2528" s="35" t="s">
        <v>7950</v>
      </c>
      <c r="C2528" s="23" t="s">
        <v>7951</v>
      </c>
      <c r="D2528" s="23" t="s">
        <v>3303</v>
      </c>
      <c r="E2528" s="23" t="s">
        <v>3317</v>
      </c>
      <c r="F2528" s="23" t="s">
        <v>3729</v>
      </c>
      <c r="G2528" s="93">
        <v>3</v>
      </c>
      <c r="H2528" s="93">
        <v>1</v>
      </c>
      <c r="I2528" s="23"/>
      <c r="J2528" s="23"/>
      <c r="K2528" s="23"/>
      <c r="L2528" s="23" t="s">
        <v>6880</v>
      </c>
      <c r="M2528" s="23" t="s">
        <v>3694</v>
      </c>
    </row>
    <row r="2529" spans="2:13" ht="15" customHeight="1" x14ac:dyDescent="0.25">
      <c r="B2529" s="35" t="s">
        <v>7952</v>
      </c>
      <c r="C2529" s="23" t="s">
        <v>7953</v>
      </c>
      <c r="D2529" s="23" t="s">
        <v>3303</v>
      </c>
      <c r="E2529" s="23" t="s">
        <v>3317</v>
      </c>
      <c r="F2529" s="23" t="s">
        <v>3729</v>
      </c>
      <c r="G2529" s="93">
        <v>3</v>
      </c>
      <c r="H2529" s="93">
        <v>1</v>
      </c>
      <c r="I2529" s="23"/>
      <c r="J2529" s="23"/>
      <c r="K2529" s="23"/>
      <c r="L2529" s="23" t="s">
        <v>6880</v>
      </c>
      <c r="M2529" s="23" t="s">
        <v>3694</v>
      </c>
    </row>
    <row r="2530" spans="2:13" ht="15" customHeight="1" x14ac:dyDescent="0.25">
      <c r="B2530" s="35" t="s">
        <v>7954</v>
      </c>
      <c r="C2530" s="23" t="s">
        <v>7955</v>
      </c>
      <c r="D2530" s="23" t="s">
        <v>3303</v>
      </c>
      <c r="E2530" s="23" t="s">
        <v>3317</v>
      </c>
      <c r="F2530" s="23" t="s">
        <v>3729</v>
      </c>
      <c r="G2530" s="93">
        <v>3</v>
      </c>
      <c r="H2530" s="93">
        <v>1</v>
      </c>
      <c r="I2530" s="23"/>
      <c r="J2530" s="23"/>
      <c r="K2530" s="23"/>
      <c r="L2530" s="23" t="s">
        <v>6880</v>
      </c>
      <c r="M2530" s="23" t="s">
        <v>3694</v>
      </c>
    </row>
    <row r="2531" spans="2:13" ht="15" customHeight="1" x14ac:dyDescent="0.25">
      <c r="B2531" s="35" t="s">
        <v>7956</v>
      </c>
      <c r="C2531" s="23" t="s">
        <v>7957</v>
      </c>
      <c r="D2531" s="23" t="s">
        <v>3303</v>
      </c>
      <c r="E2531" s="23" t="s">
        <v>3317</v>
      </c>
      <c r="F2531" s="23" t="s">
        <v>3729</v>
      </c>
      <c r="G2531" s="93">
        <v>3</v>
      </c>
      <c r="H2531" s="93">
        <v>1</v>
      </c>
      <c r="I2531" s="23"/>
      <c r="J2531" s="23"/>
      <c r="K2531" s="23"/>
      <c r="L2531" s="23" t="s">
        <v>6880</v>
      </c>
      <c r="M2531" s="23" t="s">
        <v>3694</v>
      </c>
    </row>
    <row r="2532" spans="2:13" ht="15" customHeight="1" x14ac:dyDescent="0.25">
      <c r="B2532" s="35" t="s">
        <v>7958</v>
      </c>
      <c r="C2532" s="23" t="s">
        <v>7959</v>
      </c>
      <c r="D2532" s="23" t="s">
        <v>3303</v>
      </c>
      <c r="E2532" s="23" t="s">
        <v>3317</v>
      </c>
      <c r="F2532" s="23" t="s">
        <v>3729</v>
      </c>
      <c r="G2532" s="93">
        <v>3</v>
      </c>
      <c r="H2532" s="93">
        <v>1</v>
      </c>
      <c r="I2532" s="23"/>
      <c r="J2532" s="23"/>
      <c r="K2532" s="23"/>
      <c r="L2532" s="23" t="s">
        <v>6880</v>
      </c>
      <c r="M2532" s="23" t="s">
        <v>3694</v>
      </c>
    </row>
    <row r="2533" spans="2:13" ht="15" customHeight="1" x14ac:dyDescent="0.25">
      <c r="B2533" s="35" t="s">
        <v>7960</v>
      </c>
      <c r="C2533" s="23" t="s">
        <v>7961</v>
      </c>
      <c r="D2533" s="23" t="s">
        <v>3303</v>
      </c>
      <c r="E2533" s="23" t="s">
        <v>3317</v>
      </c>
      <c r="F2533" s="23" t="s">
        <v>3729</v>
      </c>
      <c r="G2533" s="93">
        <v>3</v>
      </c>
      <c r="H2533" s="93">
        <v>1</v>
      </c>
      <c r="I2533" s="23"/>
      <c r="J2533" s="23"/>
      <c r="K2533" s="23"/>
      <c r="L2533" s="23" t="s">
        <v>6880</v>
      </c>
      <c r="M2533" s="23" t="s">
        <v>3694</v>
      </c>
    </row>
    <row r="2534" spans="2:13" ht="15" customHeight="1" x14ac:dyDescent="0.25">
      <c r="B2534" s="35" t="s">
        <v>7962</v>
      </c>
      <c r="C2534" s="23" t="s">
        <v>7963</v>
      </c>
      <c r="D2534" s="23" t="s">
        <v>3303</v>
      </c>
      <c r="E2534" s="23" t="s">
        <v>3317</v>
      </c>
      <c r="F2534" s="23" t="s">
        <v>3729</v>
      </c>
      <c r="G2534" s="93">
        <v>3</v>
      </c>
      <c r="H2534" s="93">
        <v>1</v>
      </c>
      <c r="I2534" s="23"/>
      <c r="J2534" s="23"/>
      <c r="K2534" s="23"/>
      <c r="L2534" s="23" t="s">
        <v>6880</v>
      </c>
      <c r="M2534" s="23" t="s">
        <v>3694</v>
      </c>
    </row>
    <row r="2535" spans="2:13" ht="15" customHeight="1" x14ac:dyDescent="0.25">
      <c r="B2535" s="35" t="s">
        <v>7964</v>
      </c>
      <c r="C2535" s="23" t="s">
        <v>7965</v>
      </c>
      <c r="D2535" s="23" t="s">
        <v>3303</v>
      </c>
      <c r="E2535" s="23" t="s">
        <v>3317</v>
      </c>
      <c r="F2535" s="23" t="s">
        <v>3729</v>
      </c>
      <c r="G2535" s="93">
        <v>3</v>
      </c>
      <c r="H2535" s="93">
        <v>1</v>
      </c>
      <c r="I2535" s="23"/>
      <c r="J2535" s="23"/>
      <c r="K2535" s="23"/>
      <c r="L2535" s="23" t="s">
        <v>6880</v>
      </c>
      <c r="M2535" s="23" t="s">
        <v>3694</v>
      </c>
    </row>
    <row r="2536" spans="2:13" ht="15" customHeight="1" x14ac:dyDescent="0.25">
      <c r="B2536" s="35" t="s">
        <v>7966</v>
      </c>
      <c r="C2536" s="23" t="s">
        <v>7967</v>
      </c>
      <c r="D2536" s="23" t="s">
        <v>3303</v>
      </c>
      <c r="E2536" s="23" t="s">
        <v>3317</v>
      </c>
      <c r="F2536" s="23" t="s">
        <v>3729</v>
      </c>
      <c r="G2536" s="93">
        <v>3</v>
      </c>
      <c r="H2536" s="93">
        <v>1</v>
      </c>
      <c r="I2536" s="23"/>
      <c r="J2536" s="23"/>
      <c r="K2536" s="23"/>
      <c r="L2536" s="23" t="s">
        <v>6880</v>
      </c>
      <c r="M2536" s="23" t="s">
        <v>3694</v>
      </c>
    </row>
    <row r="2537" spans="2:13" ht="15" customHeight="1" x14ac:dyDescent="0.25">
      <c r="B2537" s="35" t="s">
        <v>7968</v>
      </c>
      <c r="C2537" s="23" t="s">
        <v>7969</v>
      </c>
      <c r="D2537" s="23" t="s">
        <v>3303</v>
      </c>
      <c r="E2537" s="23" t="s">
        <v>3317</v>
      </c>
      <c r="F2537" s="23" t="s">
        <v>3729</v>
      </c>
      <c r="G2537" s="93">
        <v>3</v>
      </c>
      <c r="H2537" s="93">
        <v>1</v>
      </c>
      <c r="I2537" s="23"/>
      <c r="J2537" s="23"/>
      <c r="K2537" s="23"/>
      <c r="L2537" s="23" t="s">
        <v>6880</v>
      </c>
      <c r="M2537" s="23" t="s">
        <v>3694</v>
      </c>
    </row>
    <row r="2538" spans="2:13" ht="15" customHeight="1" x14ac:dyDescent="0.25">
      <c r="B2538" s="35" t="s">
        <v>7970</v>
      </c>
      <c r="C2538" s="23" t="s">
        <v>7971</v>
      </c>
      <c r="D2538" s="23" t="s">
        <v>3303</v>
      </c>
      <c r="E2538" s="23" t="s">
        <v>3317</v>
      </c>
      <c r="F2538" s="23" t="s">
        <v>3729</v>
      </c>
      <c r="G2538" s="93">
        <v>3</v>
      </c>
      <c r="H2538" s="93">
        <v>1</v>
      </c>
      <c r="I2538" s="23"/>
      <c r="J2538" s="23"/>
      <c r="K2538" s="23"/>
      <c r="L2538" s="23" t="s">
        <v>6880</v>
      </c>
      <c r="M2538" s="23" t="s">
        <v>3694</v>
      </c>
    </row>
    <row r="2539" spans="2:13" ht="15" customHeight="1" x14ac:dyDescent="0.25">
      <c r="B2539" s="35" t="s">
        <v>3214</v>
      </c>
      <c r="C2539" s="23" t="s">
        <v>3215</v>
      </c>
      <c r="D2539" s="23" t="s">
        <v>3303</v>
      </c>
      <c r="E2539" s="23" t="s">
        <v>3317</v>
      </c>
      <c r="F2539" s="23" t="s">
        <v>3729</v>
      </c>
      <c r="G2539" s="93">
        <v>3</v>
      </c>
      <c r="H2539" s="93">
        <v>0</v>
      </c>
      <c r="I2539" s="23"/>
      <c r="J2539" s="23"/>
      <c r="K2539" s="23"/>
      <c r="L2539" s="23" t="s">
        <v>6880</v>
      </c>
      <c r="M2539" s="23"/>
    </row>
    <row r="2540" spans="2:13" ht="15" customHeight="1" x14ac:dyDescent="0.25">
      <c r="B2540" s="35" t="s">
        <v>7972</v>
      </c>
      <c r="C2540" s="23" t="s">
        <v>7973</v>
      </c>
      <c r="D2540" s="23" t="s">
        <v>3303</v>
      </c>
      <c r="E2540" s="23" t="s">
        <v>3317</v>
      </c>
      <c r="F2540" s="23" t="s">
        <v>3729</v>
      </c>
      <c r="G2540" s="93">
        <v>3</v>
      </c>
      <c r="H2540" s="93">
        <v>1</v>
      </c>
      <c r="I2540" s="23"/>
      <c r="J2540" s="23"/>
      <c r="K2540" s="23"/>
      <c r="L2540" s="23" t="s">
        <v>6880</v>
      </c>
      <c r="M2540" s="23" t="s">
        <v>3694</v>
      </c>
    </row>
    <row r="2541" spans="2:13" ht="15" customHeight="1" x14ac:dyDescent="0.25">
      <c r="B2541" s="35" t="s">
        <v>7974</v>
      </c>
      <c r="C2541" s="23" t="s">
        <v>7975</v>
      </c>
      <c r="D2541" s="23" t="s">
        <v>3303</v>
      </c>
      <c r="E2541" s="23" t="s">
        <v>3317</v>
      </c>
      <c r="F2541" s="23" t="s">
        <v>3729</v>
      </c>
      <c r="G2541" s="93">
        <v>3</v>
      </c>
      <c r="H2541" s="93">
        <v>1</v>
      </c>
      <c r="I2541" s="23"/>
      <c r="J2541" s="23"/>
      <c r="K2541" s="23"/>
      <c r="L2541" s="23" t="s">
        <v>6880</v>
      </c>
      <c r="M2541" s="23" t="s">
        <v>3694</v>
      </c>
    </row>
    <row r="2542" spans="2:13" ht="15" customHeight="1" x14ac:dyDescent="0.25">
      <c r="B2542" s="35" t="s">
        <v>7976</v>
      </c>
      <c r="C2542" s="23" t="s">
        <v>7977</v>
      </c>
      <c r="D2542" s="23" t="s">
        <v>3303</v>
      </c>
      <c r="E2542" s="23" t="s">
        <v>3317</v>
      </c>
      <c r="F2542" s="23" t="s">
        <v>3729</v>
      </c>
      <c r="G2542" s="93">
        <v>3</v>
      </c>
      <c r="H2542" s="93">
        <v>1</v>
      </c>
      <c r="I2542" s="23"/>
      <c r="J2542" s="23"/>
      <c r="K2542" s="23"/>
      <c r="L2542" s="23" t="s">
        <v>6880</v>
      </c>
      <c r="M2542" s="23" t="s">
        <v>3694</v>
      </c>
    </row>
    <row r="2543" spans="2:13" ht="15" customHeight="1" x14ac:dyDescent="0.25">
      <c r="B2543" s="35" t="s">
        <v>7978</v>
      </c>
      <c r="C2543" s="23" t="s">
        <v>7979</v>
      </c>
      <c r="D2543" s="23" t="s">
        <v>3303</v>
      </c>
      <c r="E2543" s="23" t="s">
        <v>3317</v>
      </c>
      <c r="F2543" s="23" t="s">
        <v>3729</v>
      </c>
      <c r="G2543" s="93">
        <v>3</v>
      </c>
      <c r="H2543" s="93">
        <v>1</v>
      </c>
      <c r="I2543" s="23"/>
      <c r="J2543" s="23"/>
      <c r="K2543" s="23"/>
      <c r="L2543" s="23" t="s">
        <v>6880</v>
      </c>
      <c r="M2543" s="23" t="s">
        <v>3694</v>
      </c>
    </row>
    <row r="2544" spans="2:13" ht="15" customHeight="1" x14ac:dyDescent="0.25">
      <c r="B2544" s="35" t="s">
        <v>7980</v>
      </c>
      <c r="C2544" s="23" t="s">
        <v>7981</v>
      </c>
      <c r="D2544" s="23" t="s">
        <v>3303</v>
      </c>
      <c r="E2544" s="23" t="s">
        <v>3317</v>
      </c>
      <c r="F2544" s="23" t="s">
        <v>3729</v>
      </c>
      <c r="G2544" s="93">
        <v>3</v>
      </c>
      <c r="H2544" s="93">
        <v>1</v>
      </c>
      <c r="I2544" s="23"/>
      <c r="J2544" s="23"/>
      <c r="K2544" s="23"/>
      <c r="L2544" s="23" t="s">
        <v>6880</v>
      </c>
      <c r="M2544" s="23" t="s">
        <v>3694</v>
      </c>
    </row>
    <row r="2545" spans="2:13" ht="15" customHeight="1" x14ac:dyDescent="0.25">
      <c r="B2545" s="35" t="s">
        <v>7982</v>
      </c>
      <c r="C2545" s="23" t="s">
        <v>7983</v>
      </c>
      <c r="D2545" s="23" t="s">
        <v>3303</v>
      </c>
      <c r="E2545" s="23" t="s">
        <v>3317</v>
      </c>
      <c r="F2545" s="23" t="s">
        <v>3729</v>
      </c>
      <c r="G2545" s="93">
        <v>3</v>
      </c>
      <c r="H2545" s="93">
        <v>1</v>
      </c>
      <c r="I2545" s="23"/>
      <c r="J2545" s="23"/>
      <c r="K2545" s="23"/>
      <c r="L2545" s="23" t="s">
        <v>6880</v>
      </c>
      <c r="M2545" s="23" t="s">
        <v>3694</v>
      </c>
    </row>
    <row r="2546" spans="2:13" ht="15" customHeight="1" x14ac:dyDescent="0.25">
      <c r="B2546" s="35" t="s">
        <v>7984</v>
      </c>
      <c r="C2546" s="23" t="s">
        <v>7985</v>
      </c>
      <c r="D2546" s="23" t="s">
        <v>3303</v>
      </c>
      <c r="E2546" s="23" t="s">
        <v>3317</v>
      </c>
      <c r="F2546" s="23" t="s">
        <v>3729</v>
      </c>
      <c r="G2546" s="93">
        <v>3</v>
      </c>
      <c r="H2546" s="93">
        <v>1</v>
      </c>
      <c r="I2546" s="23"/>
      <c r="J2546" s="23"/>
      <c r="K2546" s="23"/>
      <c r="L2546" s="23" t="s">
        <v>6880</v>
      </c>
      <c r="M2546" s="23" t="s">
        <v>3694</v>
      </c>
    </row>
    <row r="2547" spans="2:13" ht="15" customHeight="1" x14ac:dyDescent="0.25">
      <c r="B2547" s="35" t="s">
        <v>7986</v>
      </c>
      <c r="C2547" s="23" t="s">
        <v>7987</v>
      </c>
      <c r="D2547" s="23" t="s">
        <v>3303</v>
      </c>
      <c r="E2547" s="23" t="s">
        <v>3317</v>
      </c>
      <c r="F2547" s="23" t="s">
        <v>3729</v>
      </c>
      <c r="G2547" s="93">
        <v>3</v>
      </c>
      <c r="H2547" s="93">
        <v>1</v>
      </c>
      <c r="I2547" s="23"/>
      <c r="J2547" s="23"/>
      <c r="K2547" s="23"/>
      <c r="L2547" s="23" t="s">
        <v>6880</v>
      </c>
      <c r="M2547" s="23" t="s">
        <v>3694</v>
      </c>
    </row>
    <row r="2548" spans="2:13" ht="15" customHeight="1" x14ac:dyDescent="0.25">
      <c r="B2548" s="35" t="s">
        <v>7988</v>
      </c>
      <c r="C2548" s="23" t="s">
        <v>7989</v>
      </c>
      <c r="D2548" s="23" t="s">
        <v>3303</v>
      </c>
      <c r="E2548" s="23" t="s">
        <v>3317</v>
      </c>
      <c r="F2548" s="23" t="s">
        <v>3729</v>
      </c>
      <c r="G2548" s="93">
        <v>3</v>
      </c>
      <c r="H2548" s="93">
        <v>1</v>
      </c>
      <c r="I2548" s="23"/>
      <c r="J2548" s="23"/>
      <c r="K2548" s="23"/>
      <c r="L2548" s="23" t="s">
        <v>6880</v>
      </c>
      <c r="M2548" s="23" t="s">
        <v>3694</v>
      </c>
    </row>
    <row r="2549" spans="2:13" ht="15" customHeight="1" x14ac:dyDescent="0.25">
      <c r="B2549" s="35" t="s">
        <v>7990</v>
      </c>
      <c r="C2549" s="23" t="s">
        <v>7991</v>
      </c>
      <c r="D2549" s="23" t="s">
        <v>3303</v>
      </c>
      <c r="E2549" s="23" t="s">
        <v>3317</v>
      </c>
      <c r="F2549" s="23" t="s">
        <v>3729</v>
      </c>
      <c r="G2549" s="93">
        <v>3</v>
      </c>
      <c r="H2549" s="93">
        <v>1</v>
      </c>
      <c r="I2549" s="23"/>
      <c r="J2549" s="23"/>
      <c r="K2549" s="23"/>
      <c r="L2549" s="23" t="s">
        <v>6880</v>
      </c>
      <c r="M2549" s="23" t="s">
        <v>3694</v>
      </c>
    </row>
    <row r="2550" spans="2:13" ht="15" customHeight="1" x14ac:dyDescent="0.25">
      <c r="B2550" s="35" t="s">
        <v>7992</v>
      </c>
      <c r="C2550" s="23" t="s">
        <v>7993</v>
      </c>
      <c r="D2550" s="23" t="s">
        <v>3303</v>
      </c>
      <c r="E2550" s="23" t="s">
        <v>3317</v>
      </c>
      <c r="F2550" s="23" t="s">
        <v>3729</v>
      </c>
      <c r="G2550" s="93">
        <v>3</v>
      </c>
      <c r="H2550" s="93">
        <v>1</v>
      </c>
      <c r="I2550" s="23"/>
      <c r="J2550" s="23"/>
      <c r="K2550" s="23"/>
      <c r="L2550" s="23" t="s">
        <v>6880</v>
      </c>
      <c r="M2550" s="23" t="s">
        <v>3694</v>
      </c>
    </row>
    <row r="2551" spans="2:13" ht="15" customHeight="1" x14ac:dyDescent="0.25">
      <c r="B2551" s="35" t="s">
        <v>7994</v>
      </c>
      <c r="C2551" s="23" t="s">
        <v>7995</v>
      </c>
      <c r="D2551" s="23" t="s">
        <v>3303</v>
      </c>
      <c r="E2551" s="23" t="s">
        <v>3317</v>
      </c>
      <c r="F2551" s="23" t="s">
        <v>3729</v>
      </c>
      <c r="G2551" s="93">
        <v>0</v>
      </c>
      <c r="H2551" s="93">
        <v>0</v>
      </c>
      <c r="I2551" s="23"/>
      <c r="J2551" s="23"/>
      <c r="K2551" s="23"/>
      <c r="L2551" s="23" t="s">
        <v>6880</v>
      </c>
      <c r="M2551" s="23"/>
    </row>
    <row r="2552" spans="2:13" ht="15" customHeight="1" x14ac:dyDescent="0.25">
      <c r="B2552" s="35" t="s">
        <v>7996</v>
      </c>
      <c r="C2552" s="23" t="s">
        <v>7997</v>
      </c>
      <c r="D2552" s="23" t="s">
        <v>3303</v>
      </c>
      <c r="E2552" s="23" t="s">
        <v>3317</v>
      </c>
      <c r="F2552" s="23" t="s">
        <v>3729</v>
      </c>
      <c r="G2552" s="93">
        <v>3</v>
      </c>
      <c r="H2552" s="93">
        <v>1</v>
      </c>
      <c r="I2552" s="23"/>
      <c r="J2552" s="23"/>
      <c r="K2552" s="23"/>
      <c r="L2552" s="23" t="s">
        <v>6880</v>
      </c>
      <c r="M2552" s="23"/>
    </row>
    <row r="2553" spans="2:13" ht="15" customHeight="1" x14ac:dyDescent="0.25">
      <c r="B2553" s="35" t="s">
        <v>7998</v>
      </c>
      <c r="C2553" s="23" t="s">
        <v>7999</v>
      </c>
      <c r="D2553" s="23" t="s">
        <v>3303</v>
      </c>
      <c r="E2553" s="23" t="s">
        <v>3317</v>
      </c>
      <c r="F2553" s="23" t="s">
        <v>3729</v>
      </c>
      <c r="G2553" s="93">
        <v>3</v>
      </c>
      <c r="H2553" s="93">
        <v>1</v>
      </c>
      <c r="I2553" s="23"/>
      <c r="J2553" s="23"/>
      <c r="K2553" s="23"/>
      <c r="L2553" s="23" t="s">
        <v>6880</v>
      </c>
      <c r="M2553" s="23"/>
    </row>
    <row r="2554" spans="2:13" ht="15" customHeight="1" x14ac:dyDescent="0.25">
      <c r="B2554" s="35" t="s">
        <v>8000</v>
      </c>
      <c r="C2554" s="23" t="s">
        <v>8001</v>
      </c>
      <c r="D2554" s="23" t="s">
        <v>3303</v>
      </c>
      <c r="E2554" s="23" t="s">
        <v>3317</v>
      </c>
      <c r="F2554" s="23" t="s">
        <v>3729</v>
      </c>
      <c r="G2554" s="93">
        <v>3</v>
      </c>
      <c r="H2554" s="93">
        <v>1</v>
      </c>
      <c r="I2554" s="23"/>
      <c r="J2554" s="23"/>
      <c r="K2554" s="23"/>
      <c r="L2554" s="23" t="s">
        <v>6880</v>
      </c>
      <c r="M2554" s="23"/>
    </row>
    <row r="2555" spans="2:13" ht="15" customHeight="1" x14ac:dyDescent="0.25">
      <c r="B2555" s="35" t="s">
        <v>8002</v>
      </c>
      <c r="C2555" s="23" t="s">
        <v>8003</v>
      </c>
      <c r="D2555" s="23" t="s">
        <v>3303</v>
      </c>
      <c r="E2555" s="23" t="s">
        <v>3317</v>
      </c>
      <c r="F2555" s="23" t="s">
        <v>3729</v>
      </c>
      <c r="G2555" s="93">
        <v>3</v>
      </c>
      <c r="H2555" s="93">
        <v>1</v>
      </c>
      <c r="I2555" s="23"/>
      <c r="J2555" s="23"/>
      <c r="K2555" s="23"/>
      <c r="L2555" s="23" t="s">
        <v>6880</v>
      </c>
      <c r="M2555" s="23"/>
    </row>
    <row r="2556" spans="2:13" ht="15" customHeight="1" x14ac:dyDescent="0.25">
      <c r="B2556" s="35" t="s">
        <v>8004</v>
      </c>
      <c r="C2556" s="23" t="s">
        <v>8005</v>
      </c>
      <c r="D2556" s="23" t="s">
        <v>3303</v>
      </c>
      <c r="E2556" s="23" t="s">
        <v>3317</v>
      </c>
      <c r="F2556" s="23" t="s">
        <v>3729</v>
      </c>
      <c r="G2556" s="93">
        <v>3</v>
      </c>
      <c r="H2556" s="93">
        <v>1</v>
      </c>
      <c r="I2556" s="23"/>
      <c r="J2556" s="23"/>
      <c r="K2556" s="23"/>
      <c r="L2556" s="23" t="s">
        <v>6880</v>
      </c>
      <c r="M2556" s="23"/>
    </row>
    <row r="2557" spans="2:13" ht="15" customHeight="1" x14ac:dyDescent="0.25">
      <c r="B2557" s="35" t="s">
        <v>8006</v>
      </c>
      <c r="C2557" s="23" t="s">
        <v>8007</v>
      </c>
      <c r="D2557" s="23" t="s">
        <v>3303</v>
      </c>
      <c r="E2557" s="23" t="s">
        <v>3317</v>
      </c>
      <c r="F2557" s="23" t="s">
        <v>3729</v>
      </c>
      <c r="G2557" s="93">
        <v>3</v>
      </c>
      <c r="H2557" s="93">
        <v>1</v>
      </c>
      <c r="I2557" s="23"/>
      <c r="J2557" s="23"/>
      <c r="K2557" s="23"/>
      <c r="L2557" s="23" t="s">
        <v>6880</v>
      </c>
      <c r="M2557" s="23"/>
    </row>
    <row r="2558" spans="2:13" ht="15" customHeight="1" x14ac:dyDescent="0.25">
      <c r="B2558" s="35" t="s">
        <v>8008</v>
      </c>
      <c r="C2558" s="23" t="s">
        <v>8009</v>
      </c>
      <c r="D2558" s="23" t="s">
        <v>3303</v>
      </c>
      <c r="E2558" s="23" t="s">
        <v>3317</v>
      </c>
      <c r="F2558" s="23" t="s">
        <v>3729</v>
      </c>
      <c r="G2558" s="93">
        <v>3</v>
      </c>
      <c r="H2558" s="93">
        <v>1</v>
      </c>
      <c r="I2558" s="23"/>
      <c r="J2558" s="23"/>
      <c r="K2558" s="23"/>
      <c r="L2558" s="23" t="s">
        <v>6880</v>
      </c>
      <c r="M2558" s="23"/>
    </row>
    <row r="2559" spans="2:13" ht="15" customHeight="1" x14ac:dyDescent="0.25">
      <c r="B2559" s="35" t="s">
        <v>8010</v>
      </c>
      <c r="C2559" s="23" t="s">
        <v>8011</v>
      </c>
      <c r="D2559" s="23" t="s">
        <v>3303</v>
      </c>
      <c r="E2559" s="23" t="s">
        <v>3317</v>
      </c>
      <c r="F2559" s="23" t="s">
        <v>3729</v>
      </c>
      <c r="G2559" s="93">
        <v>3</v>
      </c>
      <c r="H2559" s="93">
        <v>1</v>
      </c>
      <c r="I2559" s="23"/>
      <c r="J2559" s="23"/>
      <c r="K2559" s="23"/>
      <c r="L2559" s="23" t="s">
        <v>6880</v>
      </c>
      <c r="M2559" s="23"/>
    </row>
    <row r="2560" spans="2:13" ht="15" customHeight="1" x14ac:dyDescent="0.25">
      <c r="B2560" s="35" t="s">
        <v>8012</v>
      </c>
      <c r="C2560" s="23" t="s">
        <v>8013</v>
      </c>
      <c r="D2560" s="23" t="s">
        <v>3303</v>
      </c>
      <c r="E2560" s="23" t="s">
        <v>3317</v>
      </c>
      <c r="F2560" s="23" t="s">
        <v>3729</v>
      </c>
      <c r="G2560" s="93">
        <v>3</v>
      </c>
      <c r="H2560" s="93">
        <v>1</v>
      </c>
      <c r="I2560" s="23"/>
      <c r="J2560" s="23"/>
      <c r="K2560" s="23"/>
      <c r="L2560" s="23" t="s">
        <v>6880</v>
      </c>
      <c r="M2560" s="23"/>
    </row>
    <row r="2561" spans="2:13" ht="15" customHeight="1" x14ac:dyDescent="0.25">
      <c r="B2561" s="35" t="s">
        <v>8014</v>
      </c>
      <c r="C2561" s="23" t="s">
        <v>8015</v>
      </c>
      <c r="D2561" s="23" t="s">
        <v>3303</v>
      </c>
      <c r="E2561" s="23" t="s">
        <v>3317</v>
      </c>
      <c r="F2561" s="23" t="s">
        <v>3729</v>
      </c>
      <c r="G2561" s="93">
        <v>3</v>
      </c>
      <c r="H2561" s="93">
        <v>0</v>
      </c>
      <c r="I2561" s="23"/>
      <c r="J2561" s="23"/>
      <c r="K2561" s="23"/>
      <c r="L2561" s="23" t="s">
        <v>6880</v>
      </c>
      <c r="M2561" s="23"/>
    </row>
    <row r="2562" spans="2:13" ht="15" customHeight="1" x14ac:dyDescent="0.25">
      <c r="B2562" s="35" t="s">
        <v>8016</v>
      </c>
      <c r="C2562" s="23" t="s">
        <v>8017</v>
      </c>
      <c r="D2562" s="23" t="s">
        <v>3303</v>
      </c>
      <c r="E2562" s="23" t="s">
        <v>3317</v>
      </c>
      <c r="F2562" s="23" t="s">
        <v>3729</v>
      </c>
      <c r="G2562" s="93">
        <v>3</v>
      </c>
      <c r="H2562" s="93">
        <v>0</v>
      </c>
      <c r="I2562" s="23"/>
      <c r="J2562" s="23"/>
      <c r="K2562" s="23"/>
      <c r="L2562" s="23" t="s">
        <v>6880</v>
      </c>
      <c r="M2562" s="23"/>
    </row>
    <row r="2563" spans="2:13" ht="15" customHeight="1" x14ac:dyDescent="0.25">
      <c r="B2563" s="35" t="s">
        <v>8018</v>
      </c>
      <c r="C2563" s="23" t="s">
        <v>8019</v>
      </c>
      <c r="D2563" s="23" t="s">
        <v>3303</v>
      </c>
      <c r="E2563" s="23" t="s">
        <v>3317</v>
      </c>
      <c r="F2563" s="23" t="s">
        <v>3729</v>
      </c>
      <c r="G2563" s="93">
        <v>3</v>
      </c>
      <c r="H2563" s="93">
        <v>0</v>
      </c>
      <c r="I2563" s="23"/>
      <c r="J2563" s="23"/>
      <c r="K2563" s="23"/>
      <c r="L2563" s="23" t="s">
        <v>6880</v>
      </c>
      <c r="M2563" s="23"/>
    </row>
    <row r="2564" spans="2:13" ht="15" customHeight="1" x14ac:dyDescent="0.25">
      <c r="B2564" s="35" t="s">
        <v>8020</v>
      </c>
      <c r="C2564" s="23" t="s">
        <v>8021</v>
      </c>
      <c r="D2564" s="23" t="s">
        <v>3303</v>
      </c>
      <c r="E2564" s="23" t="s">
        <v>3317</v>
      </c>
      <c r="F2564" s="23" t="s">
        <v>3729</v>
      </c>
      <c r="G2564" s="93">
        <v>3</v>
      </c>
      <c r="H2564" s="93">
        <v>0</v>
      </c>
      <c r="I2564" s="23"/>
      <c r="J2564" s="23"/>
      <c r="K2564" s="23"/>
      <c r="L2564" s="23" t="s">
        <v>6880</v>
      </c>
      <c r="M2564" s="23"/>
    </row>
    <row r="2565" spans="2:13" ht="15" customHeight="1" x14ac:dyDescent="0.25">
      <c r="B2565" s="35" t="s">
        <v>8022</v>
      </c>
      <c r="C2565" s="23" t="s">
        <v>8023</v>
      </c>
      <c r="D2565" s="23" t="s">
        <v>3303</v>
      </c>
      <c r="E2565" s="23" t="s">
        <v>3317</v>
      </c>
      <c r="F2565" s="23" t="s">
        <v>3729</v>
      </c>
      <c r="G2565" s="93">
        <v>3</v>
      </c>
      <c r="H2565" s="93">
        <v>0</v>
      </c>
      <c r="I2565" s="23"/>
      <c r="J2565" s="23"/>
      <c r="K2565" s="23"/>
      <c r="L2565" s="23" t="s">
        <v>6880</v>
      </c>
      <c r="M2565" s="23"/>
    </row>
    <row r="2566" spans="2:13" ht="15" customHeight="1" x14ac:dyDescent="0.25">
      <c r="B2566" s="35" t="s">
        <v>8024</v>
      </c>
      <c r="C2566" s="23" t="s">
        <v>8025</v>
      </c>
      <c r="D2566" s="23" t="s">
        <v>3303</v>
      </c>
      <c r="E2566" s="23" t="s">
        <v>3317</v>
      </c>
      <c r="F2566" s="23" t="s">
        <v>3729</v>
      </c>
      <c r="G2566" s="93">
        <v>3</v>
      </c>
      <c r="H2566" s="93">
        <v>0</v>
      </c>
      <c r="I2566" s="23"/>
      <c r="J2566" s="23"/>
      <c r="K2566" s="23"/>
      <c r="L2566" s="23" t="s">
        <v>6880</v>
      </c>
      <c r="M2566" s="23"/>
    </row>
    <row r="2567" spans="2:13" ht="15" customHeight="1" x14ac:dyDescent="0.25">
      <c r="B2567" s="35" t="s">
        <v>8026</v>
      </c>
      <c r="C2567" s="23" t="s">
        <v>8027</v>
      </c>
      <c r="D2567" s="23" t="s">
        <v>3303</v>
      </c>
      <c r="E2567" s="23" t="s">
        <v>3317</v>
      </c>
      <c r="F2567" s="23" t="s">
        <v>3729</v>
      </c>
      <c r="G2567" s="93">
        <v>3</v>
      </c>
      <c r="H2567" s="93">
        <v>0</v>
      </c>
      <c r="I2567" s="23"/>
      <c r="J2567" s="23"/>
      <c r="K2567" s="23"/>
      <c r="L2567" s="23" t="s">
        <v>6880</v>
      </c>
      <c r="M2567" s="23"/>
    </row>
    <row r="2568" spans="2:13" ht="15" customHeight="1" x14ac:dyDescent="0.25">
      <c r="B2568" s="35" t="s">
        <v>8028</v>
      </c>
      <c r="C2568" s="23" t="s">
        <v>8029</v>
      </c>
      <c r="D2568" s="23" t="s">
        <v>3303</v>
      </c>
      <c r="E2568" s="23" t="s">
        <v>3317</v>
      </c>
      <c r="F2568" s="23" t="s">
        <v>3729</v>
      </c>
      <c r="G2568" s="93">
        <v>3</v>
      </c>
      <c r="H2568" s="93">
        <v>0</v>
      </c>
      <c r="I2568" s="23"/>
      <c r="J2568" s="23"/>
      <c r="K2568" s="23"/>
      <c r="L2568" s="23" t="s">
        <v>6880</v>
      </c>
      <c r="M2568" s="23"/>
    </row>
    <row r="2569" spans="2:13" ht="15" customHeight="1" x14ac:dyDescent="0.25">
      <c r="B2569" s="35" t="s">
        <v>8030</v>
      </c>
      <c r="C2569" s="23" t="s">
        <v>8031</v>
      </c>
      <c r="D2569" s="23" t="s">
        <v>3303</v>
      </c>
      <c r="E2569" s="23" t="s">
        <v>3317</v>
      </c>
      <c r="F2569" s="23" t="s">
        <v>3729</v>
      </c>
      <c r="G2569" s="93">
        <v>3</v>
      </c>
      <c r="H2569" s="93">
        <v>0</v>
      </c>
      <c r="I2569" s="23"/>
      <c r="J2569" s="23"/>
      <c r="K2569" s="23"/>
      <c r="L2569" s="23" t="s">
        <v>6880</v>
      </c>
      <c r="M2569" s="23"/>
    </row>
    <row r="2570" spans="2:13" ht="15" customHeight="1" x14ac:dyDescent="0.25">
      <c r="B2570" s="35" t="s">
        <v>8032</v>
      </c>
      <c r="C2570" s="23" t="s">
        <v>8033</v>
      </c>
      <c r="D2570" s="23" t="s">
        <v>3303</v>
      </c>
      <c r="E2570" s="23" t="s">
        <v>3317</v>
      </c>
      <c r="F2570" s="23" t="s">
        <v>3729</v>
      </c>
      <c r="G2570" s="93">
        <v>3</v>
      </c>
      <c r="H2570" s="93">
        <v>0</v>
      </c>
      <c r="I2570" s="23"/>
      <c r="J2570" s="23"/>
      <c r="K2570" s="23"/>
      <c r="L2570" s="23" t="s">
        <v>6880</v>
      </c>
      <c r="M2570" s="23"/>
    </row>
    <row r="2571" spans="2:13" ht="15" customHeight="1" x14ac:dyDescent="0.25">
      <c r="B2571" s="35" t="s">
        <v>8034</v>
      </c>
      <c r="C2571" s="23" t="s">
        <v>8035</v>
      </c>
      <c r="D2571" s="23" t="s">
        <v>3303</v>
      </c>
      <c r="E2571" s="23" t="s">
        <v>3317</v>
      </c>
      <c r="F2571" s="23" t="s">
        <v>3729</v>
      </c>
      <c r="G2571" s="93">
        <v>3</v>
      </c>
      <c r="H2571" s="93">
        <v>0</v>
      </c>
      <c r="I2571" s="23"/>
      <c r="J2571" s="23"/>
      <c r="K2571" s="23"/>
      <c r="L2571" s="23" t="s">
        <v>6880</v>
      </c>
      <c r="M2571" s="23"/>
    </row>
    <row r="2572" spans="2:13" ht="15" customHeight="1" x14ac:dyDescent="0.25">
      <c r="B2572" s="35" t="s">
        <v>8036</v>
      </c>
      <c r="C2572" s="23" t="s">
        <v>8037</v>
      </c>
      <c r="D2572" s="23" t="s">
        <v>3303</v>
      </c>
      <c r="E2572" s="23" t="s">
        <v>3317</v>
      </c>
      <c r="F2572" s="23" t="s">
        <v>3729</v>
      </c>
      <c r="G2572" s="93">
        <v>3</v>
      </c>
      <c r="H2572" s="93">
        <v>1</v>
      </c>
      <c r="I2572" s="23"/>
      <c r="J2572" s="23"/>
      <c r="K2572" s="23"/>
      <c r="L2572" s="23" t="s">
        <v>6880</v>
      </c>
      <c r="M2572" s="23"/>
    </row>
    <row r="2573" spans="2:13" ht="15" customHeight="1" x14ac:dyDescent="0.25">
      <c r="B2573" s="35" t="s">
        <v>8038</v>
      </c>
      <c r="C2573" s="23" t="s">
        <v>8039</v>
      </c>
      <c r="D2573" s="23" t="s">
        <v>3303</v>
      </c>
      <c r="E2573" s="23" t="s">
        <v>3317</v>
      </c>
      <c r="F2573" s="23" t="s">
        <v>3729</v>
      </c>
      <c r="G2573" s="93">
        <v>3</v>
      </c>
      <c r="H2573" s="93">
        <v>0</v>
      </c>
      <c r="I2573" s="23"/>
      <c r="J2573" s="23"/>
      <c r="K2573" s="23"/>
      <c r="L2573" s="23" t="s">
        <v>6880</v>
      </c>
      <c r="M2573" s="23"/>
    </row>
    <row r="2574" spans="2:13" ht="15" customHeight="1" x14ac:dyDescent="0.25">
      <c r="B2574" s="35" t="s">
        <v>8040</v>
      </c>
      <c r="C2574" s="23" t="s">
        <v>8041</v>
      </c>
      <c r="D2574" s="23" t="s">
        <v>3303</v>
      </c>
      <c r="E2574" s="23" t="s">
        <v>3317</v>
      </c>
      <c r="F2574" s="23" t="s">
        <v>3729</v>
      </c>
      <c r="G2574" s="93">
        <v>3</v>
      </c>
      <c r="H2574" s="93">
        <v>0</v>
      </c>
      <c r="I2574" s="23"/>
      <c r="J2574" s="23"/>
      <c r="K2574" s="23"/>
      <c r="L2574" s="23" t="s">
        <v>6880</v>
      </c>
      <c r="M2574" s="23"/>
    </row>
    <row r="2575" spans="2:13" ht="15" customHeight="1" x14ac:dyDescent="0.25">
      <c r="B2575" s="35" t="s">
        <v>8042</v>
      </c>
      <c r="C2575" s="23" t="s">
        <v>8043</v>
      </c>
      <c r="D2575" s="23" t="s">
        <v>3303</v>
      </c>
      <c r="E2575" s="23" t="s">
        <v>3317</v>
      </c>
      <c r="F2575" s="23" t="s">
        <v>3729</v>
      </c>
      <c r="G2575" s="93">
        <v>3</v>
      </c>
      <c r="H2575" s="93">
        <v>0</v>
      </c>
      <c r="I2575" s="23"/>
      <c r="J2575" s="23"/>
      <c r="K2575" s="23"/>
      <c r="L2575" s="23" t="s">
        <v>6880</v>
      </c>
      <c r="M2575" s="23"/>
    </row>
    <row r="2576" spans="2:13" ht="15" customHeight="1" x14ac:dyDescent="0.25">
      <c r="B2576" s="35" t="s">
        <v>8044</v>
      </c>
      <c r="C2576" s="23" t="s">
        <v>8045</v>
      </c>
      <c r="D2576" s="23" t="s">
        <v>3303</v>
      </c>
      <c r="E2576" s="23" t="s">
        <v>3317</v>
      </c>
      <c r="F2576" s="23" t="s">
        <v>3729</v>
      </c>
      <c r="G2576" s="93">
        <v>3</v>
      </c>
      <c r="H2576" s="93">
        <v>0</v>
      </c>
      <c r="I2576" s="23"/>
      <c r="J2576" s="23"/>
      <c r="K2576" s="23"/>
      <c r="L2576" s="23" t="s">
        <v>6880</v>
      </c>
      <c r="M2576" s="23"/>
    </row>
    <row r="2577" spans="2:13" ht="15" customHeight="1" x14ac:dyDescent="0.25">
      <c r="B2577" s="35" t="s">
        <v>8046</v>
      </c>
      <c r="C2577" s="23" t="s">
        <v>8047</v>
      </c>
      <c r="D2577" s="23" t="s">
        <v>3303</v>
      </c>
      <c r="E2577" s="23" t="s">
        <v>3317</v>
      </c>
      <c r="F2577" s="23" t="s">
        <v>3729</v>
      </c>
      <c r="G2577" s="93">
        <v>3</v>
      </c>
      <c r="H2577" s="93">
        <v>0</v>
      </c>
      <c r="I2577" s="23"/>
      <c r="J2577" s="23"/>
      <c r="K2577" s="23"/>
      <c r="L2577" s="23" t="s">
        <v>6880</v>
      </c>
      <c r="M2577" s="23"/>
    </row>
    <row r="2578" spans="2:13" ht="15" customHeight="1" x14ac:dyDescent="0.25">
      <c r="B2578" s="35" t="s">
        <v>8048</v>
      </c>
      <c r="C2578" s="23" t="s">
        <v>8049</v>
      </c>
      <c r="D2578" s="23" t="s">
        <v>3303</v>
      </c>
      <c r="E2578" s="23" t="s">
        <v>3317</v>
      </c>
      <c r="F2578" s="23" t="s">
        <v>3729</v>
      </c>
      <c r="G2578" s="93">
        <v>3</v>
      </c>
      <c r="H2578" s="93">
        <v>0</v>
      </c>
      <c r="I2578" s="23"/>
      <c r="J2578" s="23"/>
      <c r="K2578" s="23"/>
      <c r="L2578" s="23" t="s">
        <v>6880</v>
      </c>
      <c r="M2578" s="23"/>
    </row>
    <row r="2579" spans="2:13" ht="15" customHeight="1" x14ac:dyDescent="0.25">
      <c r="B2579" s="35" t="s">
        <v>8050</v>
      </c>
      <c r="C2579" s="23" t="s">
        <v>8051</v>
      </c>
      <c r="D2579" s="23" t="s">
        <v>3303</v>
      </c>
      <c r="E2579" s="23" t="s">
        <v>3317</v>
      </c>
      <c r="F2579" s="23" t="s">
        <v>3729</v>
      </c>
      <c r="G2579" s="93">
        <v>3</v>
      </c>
      <c r="H2579" s="93">
        <v>0</v>
      </c>
      <c r="I2579" s="23"/>
      <c r="J2579" s="23"/>
      <c r="K2579" s="23"/>
      <c r="L2579" s="23" t="s">
        <v>6880</v>
      </c>
      <c r="M2579" s="23"/>
    </row>
    <row r="2580" spans="2:13" ht="15" customHeight="1" x14ac:dyDescent="0.25">
      <c r="B2580" s="35" t="s">
        <v>8052</v>
      </c>
      <c r="C2580" s="23" t="s">
        <v>8053</v>
      </c>
      <c r="D2580" s="23" t="s">
        <v>3303</v>
      </c>
      <c r="E2580" s="23" t="s">
        <v>3317</v>
      </c>
      <c r="F2580" s="23" t="s">
        <v>3729</v>
      </c>
      <c r="G2580" s="93">
        <v>3</v>
      </c>
      <c r="H2580" s="93">
        <v>0</v>
      </c>
      <c r="I2580" s="23"/>
      <c r="J2580" s="23"/>
      <c r="K2580" s="23"/>
      <c r="L2580" s="23" t="s">
        <v>6880</v>
      </c>
      <c r="M2580" s="23"/>
    </row>
    <row r="2581" spans="2:13" ht="15" customHeight="1" x14ac:dyDescent="0.25">
      <c r="B2581" s="35" t="s">
        <v>8054</v>
      </c>
      <c r="C2581" s="23" t="s">
        <v>8055</v>
      </c>
      <c r="D2581" s="23" t="s">
        <v>3303</v>
      </c>
      <c r="E2581" s="23" t="s">
        <v>3317</v>
      </c>
      <c r="F2581" s="23" t="s">
        <v>3729</v>
      </c>
      <c r="G2581" s="93">
        <v>3</v>
      </c>
      <c r="H2581" s="93">
        <v>0</v>
      </c>
      <c r="I2581" s="23"/>
      <c r="J2581" s="23"/>
      <c r="K2581" s="23"/>
      <c r="L2581" s="23" t="s">
        <v>6880</v>
      </c>
      <c r="M2581" s="23"/>
    </row>
    <row r="2582" spans="2:13" ht="15" customHeight="1" x14ac:dyDescent="0.25">
      <c r="B2582" s="35" t="s">
        <v>8056</v>
      </c>
      <c r="C2582" s="23" t="s">
        <v>8057</v>
      </c>
      <c r="D2582" s="23" t="s">
        <v>3303</v>
      </c>
      <c r="E2582" s="23" t="s">
        <v>3317</v>
      </c>
      <c r="F2582" s="23" t="s">
        <v>3729</v>
      </c>
      <c r="G2582" s="93">
        <v>3</v>
      </c>
      <c r="H2582" s="93">
        <v>0</v>
      </c>
      <c r="I2582" s="23"/>
      <c r="J2582" s="23"/>
      <c r="K2582" s="23"/>
      <c r="L2582" s="23" t="s">
        <v>6880</v>
      </c>
      <c r="M2582" s="23"/>
    </row>
    <row r="2583" spans="2:13" ht="15" customHeight="1" x14ac:dyDescent="0.25">
      <c r="B2583" s="35" t="s">
        <v>8058</v>
      </c>
      <c r="C2583" s="23" t="s">
        <v>8059</v>
      </c>
      <c r="D2583" s="23" t="s">
        <v>3303</v>
      </c>
      <c r="E2583" s="23" t="s">
        <v>3317</v>
      </c>
      <c r="F2583" s="23" t="s">
        <v>3729</v>
      </c>
      <c r="G2583" s="93">
        <v>3</v>
      </c>
      <c r="H2583" s="93">
        <v>0</v>
      </c>
      <c r="I2583" s="23"/>
      <c r="J2583" s="23"/>
      <c r="K2583" s="23"/>
      <c r="L2583" s="23" t="s">
        <v>6880</v>
      </c>
      <c r="M2583" s="23"/>
    </row>
    <row r="2584" spans="2:13" ht="15" customHeight="1" x14ac:dyDescent="0.25">
      <c r="B2584" s="35" t="s">
        <v>8060</v>
      </c>
      <c r="C2584" s="23" t="s">
        <v>8061</v>
      </c>
      <c r="D2584" s="23" t="s">
        <v>3303</v>
      </c>
      <c r="E2584" s="23" t="s">
        <v>3317</v>
      </c>
      <c r="F2584" s="23" t="s">
        <v>3729</v>
      </c>
      <c r="G2584" s="93">
        <v>3</v>
      </c>
      <c r="H2584" s="93">
        <v>0</v>
      </c>
      <c r="I2584" s="23"/>
      <c r="J2584" s="23"/>
      <c r="K2584" s="23"/>
      <c r="L2584" s="23" t="s">
        <v>6880</v>
      </c>
      <c r="M2584" s="23"/>
    </row>
    <row r="2585" spans="2:13" ht="15" customHeight="1" x14ac:dyDescent="0.25">
      <c r="B2585" s="35" t="s">
        <v>8062</v>
      </c>
      <c r="C2585" s="23" t="s">
        <v>8063</v>
      </c>
      <c r="D2585" s="23" t="s">
        <v>3303</v>
      </c>
      <c r="E2585" s="23" t="s">
        <v>3317</v>
      </c>
      <c r="F2585" s="23" t="s">
        <v>3729</v>
      </c>
      <c r="G2585" s="93">
        <v>3</v>
      </c>
      <c r="H2585" s="93">
        <v>0</v>
      </c>
      <c r="I2585" s="23"/>
      <c r="J2585" s="23"/>
      <c r="K2585" s="23"/>
      <c r="L2585" s="23" t="s">
        <v>6880</v>
      </c>
      <c r="M2585" s="23"/>
    </row>
    <row r="2586" spans="2:13" ht="15" customHeight="1" x14ac:dyDescent="0.25">
      <c r="B2586" s="35" t="s">
        <v>8064</v>
      </c>
      <c r="C2586" s="23" t="s">
        <v>8065</v>
      </c>
      <c r="D2586" s="23" t="s">
        <v>3303</v>
      </c>
      <c r="E2586" s="23" t="s">
        <v>3317</v>
      </c>
      <c r="F2586" s="23" t="s">
        <v>3729</v>
      </c>
      <c r="G2586" s="93">
        <v>3</v>
      </c>
      <c r="H2586" s="93">
        <v>0</v>
      </c>
      <c r="I2586" s="23"/>
      <c r="J2586" s="23"/>
      <c r="K2586" s="23"/>
      <c r="L2586" s="23" t="s">
        <v>6880</v>
      </c>
      <c r="M2586" s="23"/>
    </row>
    <row r="2587" spans="2:13" ht="15" customHeight="1" x14ac:dyDescent="0.25">
      <c r="B2587" s="35" t="s">
        <v>8066</v>
      </c>
      <c r="C2587" s="23" t="s">
        <v>8067</v>
      </c>
      <c r="D2587" s="23" t="s">
        <v>3303</v>
      </c>
      <c r="E2587" s="23" t="s">
        <v>3317</v>
      </c>
      <c r="F2587" s="23" t="s">
        <v>3729</v>
      </c>
      <c r="G2587" s="93">
        <v>3</v>
      </c>
      <c r="H2587" s="93">
        <v>0</v>
      </c>
      <c r="I2587" s="23"/>
      <c r="J2587" s="23"/>
      <c r="K2587" s="23"/>
      <c r="L2587" s="23" t="s">
        <v>6880</v>
      </c>
      <c r="M2587" s="23"/>
    </row>
    <row r="2588" spans="2:13" ht="15" customHeight="1" x14ac:dyDescent="0.25">
      <c r="B2588" s="35" t="s">
        <v>8068</v>
      </c>
      <c r="C2588" s="23" t="s">
        <v>8069</v>
      </c>
      <c r="D2588" s="23" t="s">
        <v>3303</v>
      </c>
      <c r="E2588" s="23" t="s">
        <v>3317</v>
      </c>
      <c r="F2588" s="23" t="s">
        <v>3729</v>
      </c>
      <c r="G2588" s="93">
        <v>3</v>
      </c>
      <c r="H2588" s="93">
        <v>0</v>
      </c>
      <c r="I2588" s="23"/>
      <c r="J2588" s="23"/>
      <c r="K2588" s="23"/>
      <c r="L2588" s="23" t="s">
        <v>6880</v>
      </c>
      <c r="M2588" s="23"/>
    </row>
    <row r="2589" spans="2:13" ht="15" customHeight="1" x14ac:dyDescent="0.25">
      <c r="B2589" s="35" t="s">
        <v>8070</v>
      </c>
      <c r="C2589" s="23" t="s">
        <v>8071</v>
      </c>
      <c r="D2589" s="23" t="s">
        <v>3303</v>
      </c>
      <c r="E2589" s="23" t="s">
        <v>3317</v>
      </c>
      <c r="F2589" s="23" t="s">
        <v>3729</v>
      </c>
      <c r="G2589" s="93">
        <v>3</v>
      </c>
      <c r="H2589" s="93">
        <v>0</v>
      </c>
      <c r="I2589" s="23"/>
      <c r="J2589" s="23"/>
      <c r="K2589" s="23"/>
      <c r="L2589" s="23" t="s">
        <v>6880</v>
      </c>
      <c r="M2589" s="23"/>
    </row>
    <row r="2590" spans="2:13" ht="15" customHeight="1" x14ac:dyDescent="0.25">
      <c r="B2590" s="35" t="s">
        <v>8072</v>
      </c>
      <c r="C2590" s="23" t="s">
        <v>8073</v>
      </c>
      <c r="D2590" s="23" t="s">
        <v>3303</v>
      </c>
      <c r="E2590" s="23" t="s">
        <v>3317</v>
      </c>
      <c r="F2590" s="23" t="s">
        <v>3729</v>
      </c>
      <c r="G2590" s="93">
        <v>3</v>
      </c>
      <c r="H2590" s="93">
        <v>0</v>
      </c>
      <c r="I2590" s="23"/>
      <c r="J2590" s="23"/>
      <c r="K2590" s="23"/>
      <c r="L2590" s="23" t="s">
        <v>6880</v>
      </c>
      <c r="M2590" s="23"/>
    </row>
    <row r="2591" spans="2:13" ht="15" customHeight="1" x14ac:dyDescent="0.25">
      <c r="B2591" s="35" t="s">
        <v>8074</v>
      </c>
      <c r="C2591" s="23" t="s">
        <v>8075</v>
      </c>
      <c r="D2591" s="23" t="s">
        <v>3303</v>
      </c>
      <c r="E2591" s="23" t="s">
        <v>3317</v>
      </c>
      <c r="F2591" s="23" t="s">
        <v>3729</v>
      </c>
      <c r="G2591" s="93">
        <v>3</v>
      </c>
      <c r="H2591" s="93">
        <v>0</v>
      </c>
      <c r="I2591" s="23"/>
      <c r="J2591" s="23"/>
      <c r="K2591" s="23"/>
      <c r="L2591" s="23" t="s">
        <v>6880</v>
      </c>
      <c r="M2591" s="23"/>
    </row>
    <row r="2592" spans="2:13" ht="15" customHeight="1" x14ac:dyDescent="0.25">
      <c r="B2592" s="35" t="s">
        <v>8076</v>
      </c>
      <c r="C2592" s="23" t="s">
        <v>8077</v>
      </c>
      <c r="D2592" s="23" t="s">
        <v>3303</v>
      </c>
      <c r="E2592" s="23" t="s">
        <v>3317</v>
      </c>
      <c r="F2592" s="23" t="s">
        <v>3729</v>
      </c>
      <c r="G2592" s="93">
        <v>3</v>
      </c>
      <c r="H2592" s="93">
        <v>0</v>
      </c>
      <c r="I2592" s="23"/>
      <c r="J2592" s="23"/>
      <c r="K2592" s="23"/>
      <c r="L2592" s="23" t="s">
        <v>6880</v>
      </c>
      <c r="M2592" s="23"/>
    </row>
    <row r="2593" spans="2:13" ht="15" customHeight="1" x14ac:dyDescent="0.25">
      <c r="B2593" s="35" t="s">
        <v>8078</v>
      </c>
      <c r="C2593" s="23" t="s">
        <v>8079</v>
      </c>
      <c r="D2593" s="23" t="s">
        <v>3303</v>
      </c>
      <c r="E2593" s="23" t="s">
        <v>3317</v>
      </c>
      <c r="F2593" s="23" t="s">
        <v>3729</v>
      </c>
      <c r="G2593" s="93">
        <v>3</v>
      </c>
      <c r="H2593" s="93">
        <v>0</v>
      </c>
      <c r="I2593" s="23"/>
      <c r="J2593" s="23"/>
      <c r="K2593" s="23"/>
      <c r="L2593" s="23" t="s">
        <v>6880</v>
      </c>
      <c r="M2593" s="23"/>
    </row>
    <row r="2594" spans="2:13" ht="15" customHeight="1" x14ac:dyDescent="0.25">
      <c r="B2594" s="35" t="s">
        <v>8080</v>
      </c>
      <c r="C2594" s="23" t="s">
        <v>8081</v>
      </c>
      <c r="D2594" s="23" t="s">
        <v>3303</v>
      </c>
      <c r="E2594" s="23" t="s">
        <v>3317</v>
      </c>
      <c r="F2594" s="23" t="s">
        <v>3729</v>
      </c>
      <c r="G2594" s="93">
        <v>3</v>
      </c>
      <c r="H2594" s="93">
        <v>0</v>
      </c>
      <c r="I2594" s="23"/>
      <c r="J2594" s="23"/>
      <c r="K2594" s="23"/>
      <c r="L2594" s="23" t="s">
        <v>6880</v>
      </c>
      <c r="M2594" s="23"/>
    </row>
    <row r="2595" spans="2:13" ht="15" customHeight="1" x14ac:dyDescent="0.25">
      <c r="B2595" s="35" t="s">
        <v>8082</v>
      </c>
      <c r="C2595" s="23" t="s">
        <v>8083</v>
      </c>
      <c r="D2595" s="23" t="s">
        <v>3303</v>
      </c>
      <c r="E2595" s="23" t="s">
        <v>3317</v>
      </c>
      <c r="F2595" s="23" t="s">
        <v>3729</v>
      </c>
      <c r="G2595" s="93">
        <v>3</v>
      </c>
      <c r="H2595" s="93">
        <v>0</v>
      </c>
      <c r="I2595" s="23"/>
      <c r="J2595" s="23"/>
      <c r="K2595" s="23"/>
      <c r="L2595" s="23" t="s">
        <v>6880</v>
      </c>
      <c r="M2595" s="23"/>
    </row>
    <row r="2596" spans="2:13" ht="15" customHeight="1" x14ac:dyDescent="0.25">
      <c r="B2596" s="35" t="s">
        <v>8084</v>
      </c>
      <c r="C2596" s="23" t="s">
        <v>8085</v>
      </c>
      <c r="D2596" s="23" t="s">
        <v>3303</v>
      </c>
      <c r="E2596" s="23" t="s">
        <v>3317</v>
      </c>
      <c r="F2596" s="23" t="s">
        <v>3729</v>
      </c>
      <c r="G2596" s="93">
        <v>3</v>
      </c>
      <c r="H2596" s="93">
        <v>0</v>
      </c>
      <c r="I2596" s="23"/>
      <c r="J2596" s="23"/>
      <c r="K2596" s="23"/>
      <c r="L2596" s="23" t="s">
        <v>6880</v>
      </c>
      <c r="M2596" s="23"/>
    </row>
    <row r="2597" spans="2:13" ht="15" customHeight="1" x14ac:dyDescent="0.25">
      <c r="B2597" s="35" t="s">
        <v>8086</v>
      </c>
      <c r="C2597" s="23" t="s">
        <v>8087</v>
      </c>
      <c r="D2597" s="23" t="s">
        <v>3303</v>
      </c>
      <c r="E2597" s="23" t="s">
        <v>3317</v>
      </c>
      <c r="F2597" s="23" t="s">
        <v>3729</v>
      </c>
      <c r="G2597" s="93">
        <v>3</v>
      </c>
      <c r="H2597" s="93">
        <v>0</v>
      </c>
      <c r="I2597" s="23"/>
      <c r="J2597" s="23"/>
      <c r="K2597" s="23"/>
      <c r="L2597" s="23" t="s">
        <v>6880</v>
      </c>
      <c r="M2597" s="23"/>
    </row>
    <row r="2598" spans="2:13" ht="15" customHeight="1" x14ac:dyDescent="0.25">
      <c r="B2598" s="35" t="s">
        <v>8088</v>
      </c>
      <c r="C2598" s="23" t="s">
        <v>8089</v>
      </c>
      <c r="D2598" s="23" t="s">
        <v>3303</v>
      </c>
      <c r="E2598" s="23" t="s">
        <v>3317</v>
      </c>
      <c r="F2598" s="23" t="s">
        <v>3729</v>
      </c>
      <c r="G2598" s="93">
        <v>3</v>
      </c>
      <c r="H2598" s="93">
        <v>0</v>
      </c>
      <c r="I2598" s="23"/>
      <c r="J2598" s="23"/>
      <c r="K2598" s="23"/>
      <c r="L2598" s="23" t="s">
        <v>6880</v>
      </c>
      <c r="M2598" s="23"/>
    </row>
    <row r="2599" spans="2:13" ht="15" customHeight="1" x14ac:dyDescent="0.25">
      <c r="B2599" s="35" t="s">
        <v>8090</v>
      </c>
      <c r="C2599" s="23" t="s">
        <v>8091</v>
      </c>
      <c r="D2599" s="23" t="s">
        <v>3303</v>
      </c>
      <c r="E2599" s="23" t="s">
        <v>3317</v>
      </c>
      <c r="F2599" s="23" t="s">
        <v>3729</v>
      </c>
      <c r="G2599" s="93">
        <v>3</v>
      </c>
      <c r="H2599" s="93">
        <v>0</v>
      </c>
      <c r="I2599" s="23"/>
      <c r="J2599" s="23"/>
      <c r="K2599" s="23"/>
      <c r="L2599" s="23" t="s">
        <v>6880</v>
      </c>
      <c r="M2599" s="23"/>
    </row>
    <row r="2600" spans="2:13" ht="15" customHeight="1" x14ac:dyDescent="0.25">
      <c r="B2600" s="35" t="s">
        <v>8092</v>
      </c>
      <c r="C2600" s="23" t="s">
        <v>8093</v>
      </c>
      <c r="D2600" s="23" t="s">
        <v>3303</v>
      </c>
      <c r="E2600" s="23" t="s">
        <v>3317</v>
      </c>
      <c r="F2600" s="23" t="s">
        <v>3729</v>
      </c>
      <c r="G2600" s="93">
        <v>3</v>
      </c>
      <c r="H2600" s="93">
        <v>0</v>
      </c>
      <c r="I2600" s="23"/>
      <c r="J2600" s="23"/>
      <c r="K2600" s="23"/>
      <c r="L2600" s="23" t="s">
        <v>6880</v>
      </c>
      <c r="M2600" s="23"/>
    </row>
    <row r="2601" spans="2:13" ht="15" customHeight="1" x14ac:dyDescent="0.25">
      <c r="B2601" s="35" t="s">
        <v>8094</v>
      </c>
      <c r="C2601" s="23" t="s">
        <v>8095</v>
      </c>
      <c r="D2601" s="23" t="s">
        <v>3303</v>
      </c>
      <c r="E2601" s="23" t="s">
        <v>3317</v>
      </c>
      <c r="F2601" s="23" t="s">
        <v>3729</v>
      </c>
      <c r="G2601" s="93">
        <v>3</v>
      </c>
      <c r="H2601" s="93">
        <v>0</v>
      </c>
      <c r="I2601" s="23"/>
      <c r="J2601" s="23"/>
      <c r="K2601" s="23"/>
      <c r="L2601" s="23" t="s">
        <v>6880</v>
      </c>
      <c r="M2601" s="23"/>
    </row>
    <row r="2602" spans="2:13" ht="15" customHeight="1" x14ac:dyDescent="0.25">
      <c r="B2602" s="35" t="s">
        <v>8096</v>
      </c>
      <c r="C2602" s="23" t="s">
        <v>8097</v>
      </c>
      <c r="D2602" s="23" t="s">
        <v>3303</v>
      </c>
      <c r="E2602" s="23" t="s">
        <v>3317</v>
      </c>
      <c r="F2602" s="23" t="s">
        <v>3729</v>
      </c>
      <c r="G2602" s="93">
        <v>3</v>
      </c>
      <c r="H2602" s="93">
        <v>0</v>
      </c>
      <c r="I2602" s="23"/>
      <c r="J2602" s="23"/>
      <c r="K2602" s="23"/>
      <c r="L2602" s="23" t="s">
        <v>6880</v>
      </c>
      <c r="M2602" s="23"/>
    </row>
    <row r="2603" spans="2:13" ht="15" customHeight="1" x14ac:dyDescent="0.25">
      <c r="B2603" s="35" t="s">
        <v>8098</v>
      </c>
      <c r="C2603" s="23" t="s">
        <v>8099</v>
      </c>
      <c r="D2603" s="23" t="s">
        <v>3303</v>
      </c>
      <c r="E2603" s="23" t="s">
        <v>3317</v>
      </c>
      <c r="F2603" s="23" t="s">
        <v>3729</v>
      </c>
      <c r="G2603" s="93">
        <v>3</v>
      </c>
      <c r="H2603" s="93">
        <v>0</v>
      </c>
      <c r="I2603" s="23"/>
      <c r="J2603" s="23"/>
      <c r="K2603" s="23"/>
      <c r="L2603" s="23" t="s">
        <v>6880</v>
      </c>
      <c r="M2603" s="23"/>
    </row>
    <row r="2604" spans="2:13" ht="15" customHeight="1" x14ac:dyDescent="0.25">
      <c r="B2604" s="35" t="s">
        <v>8100</v>
      </c>
      <c r="C2604" s="23" t="s">
        <v>8101</v>
      </c>
      <c r="D2604" s="23" t="s">
        <v>3303</v>
      </c>
      <c r="E2604" s="23" t="s">
        <v>3317</v>
      </c>
      <c r="F2604" s="23" t="s">
        <v>3729</v>
      </c>
      <c r="G2604" s="93">
        <v>3</v>
      </c>
      <c r="H2604" s="93">
        <v>0</v>
      </c>
      <c r="I2604" s="23"/>
      <c r="J2604" s="23"/>
      <c r="K2604" s="23"/>
      <c r="L2604" s="23" t="s">
        <v>6880</v>
      </c>
      <c r="M2604" s="23"/>
    </row>
    <row r="2605" spans="2:13" ht="15" customHeight="1" x14ac:dyDescent="0.25">
      <c r="B2605" s="35" t="s">
        <v>8102</v>
      </c>
      <c r="C2605" s="23" t="s">
        <v>8103</v>
      </c>
      <c r="D2605" s="23" t="s">
        <v>3303</v>
      </c>
      <c r="E2605" s="23" t="s">
        <v>3317</v>
      </c>
      <c r="F2605" s="23" t="s">
        <v>3729</v>
      </c>
      <c r="G2605" s="93">
        <v>3</v>
      </c>
      <c r="H2605" s="93">
        <v>0</v>
      </c>
      <c r="I2605" s="23"/>
      <c r="J2605" s="23"/>
      <c r="K2605" s="23"/>
      <c r="L2605" s="23" t="s">
        <v>6880</v>
      </c>
      <c r="M2605" s="23"/>
    </row>
    <row r="2606" spans="2:13" ht="15" customHeight="1" x14ac:dyDescent="0.25">
      <c r="B2606" s="35" t="s">
        <v>8104</v>
      </c>
      <c r="C2606" s="23" t="s">
        <v>8105</v>
      </c>
      <c r="D2606" s="23" t="s">
        <v>3303</v>
      </c>
      <c r="E2606" s="23" t="s">
        <v>3317</v>
      </c>
      <c r="F2606" s="23" t="s">
        <v>3729</v>
      </c>
      <c r="G2606" s="93">
        <v>3</v>
      </c>
      <c r="H2606" s="93">
        <v>0</v>
      </c>
      <c r="I2606" s="23"/>
      <c r="J2606" s="23"/>
      <c r="K2606" s="23"/>
      <c r="L2606" s="23" t="s">
        <v>6880</v>
      </c>
      <c r="M2606" s="23"/>
    </row>
    <row r="2607" spans="2:13" ht="15" customHeight="1" x14ac:dyDescent="0.25">
      <c r="B2607" s="35" t="s">
        <v>8106</v>
      </c>
      <c r="C2607" s="23" t="s">
        <v>8107</v>
      </c>
      <c r="D2607" s="23" t="s">
        <v>3303</v>
      </c>
      <c r="E2607" s="23" t="s">
        <v>3317</v>
      </c>
      <c r="F2607" s="23" t="s">
        <v>3729</v>
      </c>
      <c r="G2607" s="93">
        <v>3</v>
      </c>
      <c r="H2607" s="93">
        <v>0</v>
      </c>
      <c r="I2607" s="23"/>
      <c r="J2607" s="23"/>
      <c r="K2607" s="23"/>
      <c r="L2607" s="23" t="s">
        <v>6880</v>
      </c>
      <c r="M2607" s="23"/>
    </row>
    <row r="2608" spans="2:13" ht="15" customHeight="1" x14ac:dyDescent="0.25">
      <c r="B2608" s="35" t="s">
        <v>8108</v>
      </c>
      <c r="C2608" s="23" t="s">
        <v>8109</v>
      </c>
      <c r="D2608" s="23" t="s">
        <v>3303</v>
      </c>
      <c r="E2608" s="23" t="s">
        <v>3317</v>
      </c>
      <c r="F2608" s="23" t="s">
        <v>3729</v>
      </c>
      <c r="G2608" s="93">
        <v>3</v>
      </c>
      <c r="H2608" s="93">
        <v>0</v>
      </c>
      <c r="I2608" s="23"/>
      <c r="J2608" s="23"/>
      <c r="K2608" s="23"/>
      <c r="L2608" s="23" t="s">
        <v>6880</v>
      </c>
      <c r="M2608" s="23"/>
    </row>
    <row r="2609" spans="2:13" ht="15" customHeight="1" x14ac:dyDescent="0.25">
      <c r="B2609" s="35" t="s">
        <v>8110</v>
      </c>
      <c r="C2609" s="23" t="s">
        <v>8111</v>
      </c>
      <c r="D2609" s="23" t="s">
        <v>3303</v>
      </c>
      <c r="E2609" s="23" t="s">
        <v>3317</v>
      </c>
      <c r="F2609" s="23" t="s">
        <v>3729</v>
      </c>
      <c r="G2609" s="93">
        <v>3</v>
      </c>
      <c r="H2609" s="93">
        <v>0</v>
      </c>
      <c r="I2609" s="23"/>
      <c r="J2609" s="23"/>
      <c r="K2609" s="23"/>
      <c r="L2609" s="23" t="s">
        <v>6880</v>
      </c>
      <c r="M2609" s="23"/>
    </row>
    <row r="2610" spans="2:13" ht="15" customHeight="1" x14ac:dyDescent="0.25">
      <c r="B2610" s="35" t="s">
        <v>8112</v>
      </c>
      <c r="C2610" s="23" t="s">
        <v>8113</v>
      </c>
      <c r="D2610" s="23" t="s">
        <v>3303</v>
      </c>
      <c r="E2610" s="23" t="s">
        <v>3317</v>
      </c>
      <c r="F2610" s="23" t="s">
        <v>3729</v>
      </c>
      <c r="G2610" s="93">
        <v>3</v>
      </c>
      <c r="H2610" s="93">
        <v>0</v>
      </c>
      <c r="I2610" s="23"/>
      <c r="J2610" s="23"/>
      <c r="K2610" s="23"/>
      <c r="L2610" s="23" t="s">
        <v>6880</v>
      </c>
      <c r="M2610" s="23"/>
    </row>
    <row r="2611" spans="2:13" ht="15" customHeight="1" x14ac:dyDescent="0.25">
      <c r="B2611" s="35" t="s">
        <v>8114</v>
      </c>
      <c r="C2611" s="23" t="s">
        <v>8115</v>
      </c>
      <c r="D2611" s="23" t="s">
        <v>3303</v>
      </c>
      <c r="E2611" s="23" t="s">
        <v>3317</v>
      </c>
      <c r="F2611" s="23" t="s">
        <v>3729</v>
      </c>
      <c r="G2611" s="93">
        <v>3</v>
      </c>
      <c r="H2611" s="93">
        <v>0</v>
      </c>
      <c r="I2611" s="23"/>
      <c r="J2611" s="23"/>
      <c r="K2611" s="23"/>
      <c r="L2611" s="23" t="s">
        <v>6880</v>
      </c>
      <c r="M2611" s="23"/>
    </row>
    <row r="2612" spans="2:13" ht="15" customHeight="1" x14ac:dyDescent="0.25">
      <c r="B2612" s="35" t="s">
        <v>8116</v>
      </c>
      <c r="C2612" s="23" t="s">
        <v>8117</v>
      </c>
      <c r="D2612" s="23" t="s">
        <v>3303</v>
      </c>
      <c r="E2612" s="23" t="s">
        <v>3317</v>
      </c>
      <c r="F2612" s="23" t="s">
        <v>3729</v>
      </c>
      <c r="G2612" s="93">
        <v>3</v>
      </c>
      <c r="H2612" s="93">
        <v>0</v>
      </c>
      <c r="I2612" s="23"/>
      <c r="J2612" s="23"/>
      <c r="K2612" s="23"/>
      <c r="L2612" s="23" t="s">
        <v>6880</v>
      </c>
      <c r="M2612" s="23"/>
    </row>
    <row r="2613" spans="2:13" ht="15" customHeight="1" x14ac:dyDescent="0.25">
      <c r="B2613" s="35" t="s">
        <v>8118</v>
      </c>
      <c r="C2613" s="23" t="s">
        <v>8119</v>
      </c>
      <c r="D2613" s="23" t="s">
        <v>3303</v>
      </c>
      <c r="E2613" s="23" t="s">
        <v>3317</v>
      </c>
      <c r="F2613" s="23" t="s">
        <v>3729</v>
      </c>
      <c r="G2613" s="93">
        <v>3</v>
      </c>
      <c r="H2613" s="93">
        <v>0</v>
      </c>
      <c r="I2613" s="23"/>
      <c r="J2613" s="23"/>
      <c r="K2613" s="23"/>
      <c r="L2613" s="23" t="s">
        <v>6880</v>
      </c>
      <c r="M2613" s="23"/>
    </row>
    <row r="2614" spans="2:13" ht="15" customHeight="1" x14ac:dyDescent="0.25">
      <c r="B2614" s="35" t="s">
        <v>8120</v>
      </c>
      <c r="C2614" s="23" t="s">
        <v>8121</v>
      </c>
      <c r="D2614" s="23" t="s">
        <v>3303</v>
      </c>
      <c r="E2614" s="23" t="s">
        <v>3317</v>
      </c>
      <c r="F2614" s="23" t="s">
        <v>3729</v>
      </c>
      <c r="G2614" s="93">
        <v>3</v>
      </c>
      <c r="H2614" s="93">
        <v>0</v>
      </c>
      <c r="I2614" s="23"/>
      <c r="J2614" s="23"/>
      <c r="K2614" s="23"/>
      <c r="L2614" s="23" t="s">
        <v>6880</v>
      </c>
      <c r="M2614" s="23"/>
    </row>
    <row r="2615" spans="2:13" ht="15" customHeight="1" x14ac:dyDescent="0.25">
      <c r="B2615" s="35" t="s">
        <v>8122</v>
      </c>
      <c r="C2615" s="23" t="s">
        <v>8123</v>
      </c>
      <c r="D2615" s="23" t="s">
        <v>3303</v>
      </c>
      <c r="E2615" s="23" t="s">
        <v>3317</v>
      </c>
      <c r="F2615" s="23" t="s">
        <v>3729</v>
      </c>
      <c r="G2615" s="93">
        <v>3</v>
      </c>
      <c r="H2615" s="93">
        <v>0</v>
      </c>
      <c r="I2615" s="23"/>
      <c r="J2615" s="23"/>
      <c r="K2615" s="23"/>
      <c r="L2615" s="23" t="s">
        <v>6880</v>
      </c>
      <c r="M2615" s="23"/>
    </row>
    <row r="2616" spans="2:13" ht="15" customHeight="1" x14ac:dyDescent="0.25">
      <c r="B2616" s="35" t="s">
        <v>8124</v>
      </c>
      <c r="C2616" s="23" t="s">
        <v>8125</v>
      </c>
      <c r="D2616" s="23" t="s">
        <v>3303</v>
      </c>
      <c r="E2616" s="23" t="s">
        <v>3317</v>
      </c>
      <c r="F2616" s="23" t="s">
        <v>3729</v>
      </c>
      <c r="G2616" s="93">
        <v>3</v>
      </c>
      <c r="H2616" s="93">
        <v>0</v>
      </c>
      <c r="I2616" s="23"/>
      <c r="J2616" s="23"/>
      <c r="K2616" s="23"/>
      <c r="L2616" s="23" t="s">
        <v>6880</v>
      </c>
      <c r="M2616" s="23"/>
    </row>
    <row r="2617" spans="2:13" ht="15" customHeight="1" x14ac:dyDescent="0.25">
      <c r="B2617" s="35" t="s">
        <v>8126</v>
      </c>
      <c r="C2617" s="23" t="s">
        <v>8127</v>
      </c>
      <c r="D2617" s="23" t="s">
        <v>3303</v>
      </c>
      <c r="E2617" s="23" t="s">
        <v>3317</v>
      </c>
      <c r="F2617" s="23" t="s">
        <v>3729</v>
      </c>
      <c r="G2617" s="93">
        <v>3</v>
      </c>
      <c r="H2617" s="93">
        <v>0</v>
      </c>
      <c r="I2617" s="23"/>
      <c r="J2617" s="23"/>
      <c r="K2617" s="23"/>
      <c r="L2617" s="23" t="s">
        <v>6880</v>
      </c>
      <c r="M2617" s="23"/>
    </row>
    <row r="2618" spans="2:13" ht="15" customHeight="1" x14ac:dyDescent="0.25">
      <c r="B2618" s="35" t="s">
        <v>8128</v>
      </c>
      <c r="C2618" s="23" t="s">
        <v>8129</v>
      </c>
      <c r="D2618" s="23" t="s">
        <v>3303</v>
      </c>
      <c r="E2618" s="23" t="s">
        <v>3317</v>
      </c>
      <c r="F2618" s="23" t="s">
        <v>3729</v>
      </c>
      <c r="G2618" s="93">
        <v>3</v>
      </c>
      <c r="H2618" s="93">
        <v>0</v>
      </c>
      <c r="I2618" s="23"/>
      <c r="J2618" s="23"/>
      <c r="K2618" s="23"/>
      <c r="L2618" s="23" t="s">
        <v>6880</v>
      </c>
      <c r="M2618" s="23"/>
    </row>
    <row r="2619" spans="2:13" ht="15" customHeight="1" x14ac:dyDescent="0.25">
      <c r="B2619" s="35" t="s">
        <v>8130</v>
      </c>
      <c r="C2619" s="23" t="s">
        <v>8131</v>
      </c>
      <c r="D2619" s="23" t="s">
        <v>3303</v>
      </c>
      <c r="E2619" s="23" t="s">
        <v>3317</v>
      </c>
      <c r="F2619" s="23" t="s">
        <v>3729</v>
      </c>
      <c r="G2619" s="93">
        <v>3</v>
      </c>
      <c r="H2619" s="93">
        <v>0</v>
      </c>
      <c r="I2619" s="23"/>
      <c r="J2619" s="23"/>
      <c r="K2619" s="23"/>
      <c r="L2619" s="23" t="s">
        <v>6880</v>
      </c>
      <c r="M2619" s="23"/>
    </row>
    <row r="2620" spans="2:13" ht="15" customHeight="1" x14ac:dyDescent="0.25">
      <c r="B2620" s="35" t="s">
        <v>8132</v>
      </c>
      <c r="C2620" s="23" t="s">
        <v>8133</v>
      </c>
      <c r="D2620" s="23" t="s">
        <v>3303</v>
      </c>
      <c r="E2620" s="23" t="s">
        <v>3317</v>
      </c>
      <c r="F2620" s="23" t="s">
        <v>3729</v>
      </c>
      <c r="G2620" s="93">
        <v>3</v>
      </c>
      <c r="H2620" s="93">
        <v>0</v>
      </c>
      <c r="I2620" s="23"/>
      <c r="J2620" s="23"/>
      <c r="K2620" s="23"/>
      <c r="L2620" s="23" t="s">
        <v>6880</v>
      </c>
      <c r="M2620" s="23"/>
    </row>
    <row r="2621" spans="2:13" ht="15" customHeight="1" x14ac:dyDescent="0.25">
      <c r="B2621" s="35" t="s">
        <v>8134</v>
      </c>
      <c r="C2621" s="23" t="s">
        <v>8135</v>
      </c>
      <c r="D2621" s="23" t="s">
        <v>3303</v>
      </c>
      <c r="E2621" s="23" t="s">
        <v>3317</v>
      </c>
      <c r="F2621" s="23" t="s">
        <v>3729</v>
      </c>
      <c r="G2621" s="93">
        <v>3</v>
      </c>
      <c r="H2621" s="93">
        <v>0</v>
      </c>
      <c r="I2621" s="23"/>
      <c r="J2621" s="23"/>
      <c r="K2621" s="23"/>
      <c r="L2621" s="23" t="s">
        <v>6880</v>
      </c>
      <c r="M2621" s="23"/>
    </row>
    <row r="2622" spans="2:13" ht="15" customHeight="1" x14ac:dyDescent="0.25">
      <c r="B2622" s="35" t="s">
        <v>8136</v>
      </c>
      <c r="C2622" s="23" t="s">
        <v>8137</v>
      </c>
      <c r="D2622" s="23" t="s">
        <v>3303</v>
      </c>
      <c r="E2622" s="23" t="s">
        <v>3317</v>
      </c>
      <c r="F2622" s="23" t="s">
        <v>3729</v>
      </c>
      <c r="G2622" s="93">
        <v>3</v>
      </c>
      <c r="H2622" s="93">
        <v>0</v>
      </c>
      <c r="I2622" s="23"/>
      <c r="J2622" s="23"/>
      <c r="K2622" s="23"/>
      <c r="L2622" s="23" t="s">
        <v>6880</v>
      </c>
      <c r="M2622" s="23"/>
    </row>
    <row r="2623" spans="2:13" ht="15" customHeight="1" x14ac:dyDescent="0.25">
      <c r="B2623" s="35" t="s">
        <v>8138</v>
      </c>
      <c r="C2623" s="23" t="s">
        <v>8139</v>
      </c>
      <c r="D2623" s="23" t="s">
        <v>3303</v>
      </c>
      <c r="E2623" s="23" t="s">
        <v>3317</v>
      </c>
      <c r="F2623" s="23" t="s">
        <v>3729</v>
      </c>
      <c r="G2623" s="93">
        <v>3</v>
      </c>
      <c r="H2623" s="93">
        <v>0</v>
      </c>
      <c r="I2623" s="23"/>
      <c r="J2623" s="23"/>
      <c r="K2623" s="23"/>
      <c r="L2623" s="23" t="s">
        <v>6880</v>
      </c>
      <c r="M2623" s="23"/>
    </row>
    <row r="2624" spans="2:13" ht="15" customHeight="1" x14ac:dyDescent="0.25">
      <c r="B2624" s="35" t="s">
        <v>8140</v>
      </c>
      <c r="C2624" s="23" t="s">
        <v>8141</v>
      </c>
      <c r="D2624" s="23" t="s">
        <v>3303</v>
      </c>
      <c r="E2624" s="23" t="s">
        <v>3317</v>
      </c>
      <c r="F2624" s="23" t="s">
        <v>3729</v>
      </c>
      <c r="G2624" s="93">
        <v>3</v>
      </c>
      <c r="H2624" s="93">
        <v>0</v>
      </c>
      <c r="I2624" s="23"/>
      <c r="J2624" s="23"/>
      <c r="K2624" s="23"/>
      <c r="L2624" s="23" t="s">
        <v>6880</v>
      </c>
      <c r="M2624" s="23"/>
    </row>
    <row r="2625" spans="2:13" ht="15" customHeight="1" x14ac:dyDescent="0.25">
      <c r="B2625" s="35" t="s">
        <v>8142</v>
      </c>
      <c r="C2625" s="23" t="s">
        <v>8143</v>
      </c>
      <c r="D2625" s="23" t="s">
        <v>3303</v>
      </c>
      <c r="E2625" s="23" t="s">
        <v>3317</v>
      </c>
      <c r="F2625" s="23" t="s">
        <v>3729</v>
      </c>
      <c r="G2625" s="93">
        <v>3</v>
      </c>
      <c r="H2625" s="93">
        <v>0</v>
      </c>
      <c r="I2625" s="23"/>
      <c r="J2625" s="23"/>
      <c r="K2625" s="23"/>
      <c r="L2625" s="23" t="s">
        <v>6880</v>
      </c>
      <c r="M2625" s="23"/>
    </row>
    <row r="2626" spans="2:13" ht="15" customHeight="1" x14ac:dyDescent="0.25">
      <c r="B2626" s="35" t="s">
        <v>8144</v>
      </c>
      <c r="C2626" s="23" t="s">
        <v>8145</v>
      </c>
      <c r="D2626" s="23" t="s">
        <v>3303</v>
      </c>
      <c r="E2626" s="23" t="s">
        <v>3317</v>
      </c>
      <c r="F2626" s="23" t="s">
        <v>3729</v>
      </c>
      <c r="G2626" s="93">
        <v>3</v>
      </c>
      <c r="H2626" s="93">
        <v>0</v>
      </c>
      <c r="I2626" s="23"/>
      <c r="J2626" s="23"/>
      <c r="K2626" s="23"/>
      <c r="L2626" s="23" t="s">
        <v>6880</v>
      </c>
      <c r="M2626" s="23"/>
    </row>
    <row r="2627" spans="2:13" ht="15" customHeight="1" x14ac:dyDescent="0.25">
      <c r="B2627" s="35" t="s">
        <v>8146</v>
      </c>
      <c r="C2627" s="23" t="s">
        <v>8147</v>
      </c>
      <c r="D2627" s="23" t="s">
        <v>3303</v>
      </c>
      <c r="E2627" s="23" t="s">
        <v>3317</v>
      </c>
      <c r="F2627" s="23" t="s">
        <v>3729</v>
      </c>
      <c r="G2627" s="93">
        <v>3</v>
      </c>
      <c r="H2627" s="93">
        <v>0</v>
      </c>
      <c r="I2627" s="23"/>
      <c r="J2627" s="23"/>
      <c r="K2627" s="23"/>
      <c r="L2627" s="23" t="s">
        <v>6880</v>
      </c>
      <c r="M2627" s="23"/>
    </row>
    <row r="2628" spans="2:13" ht="15" customHeight="1" x14ac:dyDescent="0.25">
      <c r="B2628" s="35" t="s">
        <v>8148</v>
      </c>
      <c r="C2628" s="23" t="s">
        <v>8149</v>
      </c>
      <c r="D2628" s="23" t="s">
        <v>3303</v>
      </c>
      <c r="E2628" s="23" t="s">
        <v>3317</v>
      </c>
      <c r="F2628" s="23" t="s">
        <v>3729</v>
      </c>
      <c r="G2628" s="93">
        <v>3</v>
      </c>
      <c r="H2628" s="93">
        <v>0</v>
      </c>
      <c r="I2628" s="23"/>
      <c r="J2628" s="23"/>
      <c r="K2628" s="23"/>
      <c r="L2628" s="23" t="s">
        <v>6880</v>
      </c>
      <c r="M2628" s="23"/>
    </row>
    <row r="2629" spans="2:13" ht="15" customHeight="1" x14ac:dyDescent="0.25">
      <c r="B2629" s="35" t="s">
        <v>8150</v>
      </c>
      <c r="C2629" s="23" t="s">
        <v>8151</v>
      </c>
      <c r="D2629" s="23" t="s">
        <v>3303</v>
      </c>
      <c r="E2629" s="23" t="s">
        <v>3317</v>
      </c>
      <c r="F2629" s="23" t="s">
        <v>3729</v>
      </c>
      <c r="G2629" s="93">
        <v>3</v>
      </c>
      <c r="H2629" s="93">
        <v>0</v>
      </c>
      <c r="I2629" s="23"/>
      <c r="J2629" s="23"/>
      <c r="K2629" s="23"/>
      <c r="L2629" s="23" t="s">
        <v>6880</v>
      </c>
      <c r="M2629" s="23"/>
    </row>
    <row r="2630" spans="2:13" ht="15" customHeight="1" x14ac:dyDescent="0.25">
      <c r="B2630" s="35" t="s">
        <v>8152</v>
      </c>
      <c r="C2630" s="23" t="s">
        <v>8153</v>
      </c>
      <c r="D2630" s="23" t="s">
        <v>3303</v>
      </c>
      <c r="E2630" s="23" t="s">
        <v>3317</v>
      </c>
      <c r="F2630" s="23" t="s">
        <v>3729</v>
      </c>
      <c r="G2630" s="93">
        <v>3</v>
      </c>
      <c r="H2630" s="93">
        <v>0</v>
      </c>
      <c r="I2630" s="23"/>
      <c r="J2630" s="23"/>
      <c r="K2630" s="23"/>
      <c r="L2630" s="23" t="s">
        <v>6880</v>
      </c>
      <c r="M2630" s="23"/>
    </row>
    <row r="2631" spans="2:13" ht="15" customHeight="1" x14ac:dyDescent="0.25">
      <c r="B2631" s="35" t="s">
        <v>8154</v>
      </c>
      <c r="C2631" s="23" t="s">
        <v>8155</v>
      </c>
      <c r="D2631" s="23" t="s">
        <v>3303</v>
      </c>
      <c r="E2631" s="23" t="s">
        <v>3317</v>
      </c>
      <c r="F2631" s="23" t="s">
        <v>3729</v>
      </c>
      <c r="G2631" s="93">
        <v>3</v>
      </c>
      <c r="H2631" s="93">
        <v>0</v>
      </c>
      <c r="I2631" s="23"/>
      <c r="J2631" s="23"/>
      <c r="K2631" s="23"/>
      <c r="L2631" s="23" t="s">
        <v>6880</v>
      </c>
      <c r="M2631" s="23"/>
    </row>
    <row r="2632" spans="2:13" ht="15" customHeight="1" x14ac:dyDescent="0.25">
      <c r="B2632" s="35" t="s">
        <v>8156</v>
      </c>
      <c r="C2632" s="23" t="s">
        <v>8157</v>
      </c>
      <c r="D2632" s="23" t="s">
        <v>3303</v>
      </c>
      <c r="E2632" s="23" t="s">
        <v>3317</v>
      </c>
      <c r="F2632" s="23" t="s">
        <v>3729</v>
      </c>
      <c r="G2632" s="93">
        <v>3</v>
      </c>
      <c r="H2632" s="93">
        <v>0</v>
      </c>
      <c r="I2632" s="23"/>
      <c r="J2632" s="23"/>
      <c r="K2632" s="23"/>
      <c r="L2632" s="23" t="s">
        <v>6880</v>
      </c>
      <c r="M2632" s="23"/>
    </row>
    <row r="2633" spans="2:13" ht="15" customHeight="1" x14ac:dyDescent="0.25">
      <c r="B2633" s="35" t="s">
        <v>8158</v>
      </c>
      <c r="C2633" s="23" t="s">
        <v>8159</v>
      </c>
      <c r="D2633" s="23" t="s">
        <v>3303</v>
      </c>
      <c r="E2633" s="23" t="s">
        <v>3317</v>
      </c>
      <c r="F2633" s="23" t="s">
        <v>3729</v>
      </c>
      <c r="G2633" s="93">
        <v>3</v>
      </c>
      <c r="H2633" s="93">
        <v>0</v>
      </c>
      <c r="I2633" s="23"/>
      <c r="J2633" s="23"/>
      <c r="K2633" s="23"/>
      <c r="L2633" s="23" t="s">
        <v>6880</v>
      </c>
      <c r="M2633" s="23"/>
    </row>
    <row r="2634" spans="2:13" ht="15" customHeight="1" x14ac:dyDescent="0.25">
      <c r="B2634" s="35" t="s">
        <v>8160</v>
      </c>
      <c r="C2634" s="23" t="s">
        <v>8161</v>
      </c>
      <c r="D2634" s="23" t="s">
        <v>3303</v>
      </c>
      <c r="E2634" s="23" t="s">
        <v>3317</v>
      </c>
      <c r="F2634" s="23" t="s">
        <v>3729</v>
      </c>
      <c r="G2634" s="93">
        <v>3</v>
      </c>
      <c r="H2634" s="93">
        <v>0</v>
      </c>
      <c r="I2634" s="23"/>
      <c r="J2634" s="23"/>
      <c r="K2634" s="23"/>
      <c r="L2634" s="23" t="s">
        <v>6880</v>
      </c>
      <c r="M2634" s="23"/>
    </row>
    <row r="2635" spans="2:13" ht="15" customHeight="1" x14ac:dyDescent="0.25">
      <c r="B2635" s="35" t="s">
        <v>8162</v>
      </c>
      <c r="C2635" s="23" t="s">
        <v>8163</v>
      </c>
      <c r="D2635" s="23" t="s">
        <v>3303</v>
      </c>
      <c r="E2635" s="23" t="s">
        <v>3317</v>
      </c>
      <c r="F2635" s="23" t="s">
        <v>3729</v>
      </c>
      <c r="G2635" s="93">
        <v>3</v>
      </c>
      <c r="H2635" s="93">
        <v>0</v>
      </c>
      <c r="I2635" s="23"/>
      <c r="J2635" s="23"/>
      <c r="K2635" s="23"/>
      <c r="L2635" s="23" t="s">
        <v>6880</v>
      </c>
      <c r="M2635" s="23"/>
    </row>
    <row r="2636" spans="2:13" ht="15" customHeight="1" x14ac:dyDescent="0.25">
      <c r="B2636" s="35" t="s">
        <v>8164</v>
      </c>
      <c r="C2636" s="23" t="s">
        <v>8165</v>
      </c>
      <c r="D2636" s="23" t="s">
        <v>3303</v>
      </c>
      <c r="E2636" s="23" t="s">
        <v>3317</v>
      </c>
      <c r="F2636" s="23" t="s">
        <v>3729</v>
      </c>
      <c r="G2636" s="93">
        <v>3</v>
      </c>
      <c r="H2636" s="93">
        <v>0</v>
      </c>
      <c r="I2636" s="23"/>
      <c r="J2636" s="23"/>
      <c r="K2636" s="23"/>
      <c r="L2636" s="23" t="s">
        <v>6880</v>
      </c>
      <c r="M2636" s="23"/>
    </row>
    <row r="2637" spans="2:13" ht="15" customHeight="1" x14ac:dyDescent="0.25">
      <c r="B2637" s="35" t="s">
        <v>8166</v>
      </c>
      <c r="C2637" s="23" t="s">
        <v>8167</v>
      </c>
      <c r="D2637" s="23" t="s">
        <v>3303</v>
      </c>
      <c r="E2637" s="23" t="s">
        <v>3317</v>
      </c>
      <c r="F2637" s="23" t="s">
        <v>3729</v>
      </c>
      <c r="G2637" s="93">
        <v>3</v>
      </c>
      <c r="H2637" s="93">
        <v>1</v>
      </c>
      <c r="I2637" s="23"/>
      <c r="J2637" s="23"/>
      <c r="K2637" s="23"/>
      <c r="L2637" s="23" t="s">
        <v>6880</v>
      </c>
      <c r="M2637" s="23"/>
    </row>
    <row r="2638" spans="2:13" ht="15" customHeight="1" x14ac:dyDescent="0.25">
      <c r="B2638" s="35" t="s">
        <v>8168</v>
      </c>
      <c r="C2638" s="23" t="s">
        <v>8169</v>
      </c>
      <c r="D2638" s="23" t="s">
        <v>3303</v>
      </c>
      <c r="E2638" s="23" t="s">
        <v>3317</v>
      </c>
      <c r="F2638" s="23" t="s">
        <v>3729</v>
      </c>
      <c r="G2638" s="93">
        <v>3</v>
      </c>
      <c r="H2638" s="93">
        <v>0</v>
      </c>
      <c r="I2638" s="23"/>
      <c r="J2638" s="23"/>
      <c r="K2638" s="23"/>
      <c r="L2638" s="23" t="s">
        <v>6880</v>
      </c>
      <c r="M2638" s="23"/>
    </row>
    <row r="2639" spans="2:13" ht="15" customHeight="1" x14ac:dyDescent="0.25">
      <c r="B2639" s="35" t="s">
        <v>8170</v>
      </c>
      <c r="C2639" s="23" t="s">
        <v>8171</v>
      </c>
      <c r="D2639" s="23" t="s">
        <v>3303</v>
      </c>
      <c r="E2639" s="23" t="s">
        <v>3317</v>
      </c>
      <c r="F2639" s="23" t="s">
        <v>3729</v>
      </c>
      <c r="G2639" s="93">
        <v>3</v>
      </c>
      <c r="H2639" s="93">
        <v>0</v>
      </c>
      <c r="I2639" s="23"/>
      <c r="J2639" s="23"/>
      <c r="K2639" s="23"/>
      <c r="L2639" s="23" t="s">
        <v>6880</v>
      </c>
      <c r="M2639" s="23"/>
    </row>
    <row r="2640" spans="2:13" ht="15" customHeight="1" x14ac:dyDescent="0.25">
      <c r="B2640" s="35" t="s">
        <v>8172</v>
      </c>
      <c r="C2640" s="23" t="s">
        <v>8173</v>
      </c>
      <c r="D2640" s="23" t="s">
        <v>3303</v>
      </c>
      <c r="E2640" s="23" t="s">
        <v>3317</v>
      </c>
      <c r="F2640" s="23" t="s">
        <v>3729</v>
      </c>
      <c r="G2640" s="93">
        <v>3</v>
      </c>
      <c r="H2640" s="93">
        <v>0</v>
      </c>
      <c r="I2640" s="23"/>
      <c r="J2640" s="23"/>
      <c r="K2640" s="23"/>
      <c r="L2640" s="23" t="s">
        <v>6880</v>
      </c>
      <c r="M2640" s="23"/>
    </row>
    <row r="2641" spans="2:13" ht="15" customHeight="1" x14ac:dyDescent="0.25">
      <c r="B2641" s="35" t="s">
        <v>8174</v>
      </c>
      <c r="C2641" s="23" t="s">
        <v>8175</v>
      </c>
      <c r="D2641" s="23" t="s">
        <v>3303</v>
      </c>
      <c r="E2641" s="23" t="s">
        <v>3317</v>
      </c>
      <c r="F2641" s="23" t="s">
        <v>3729</v>
      </c>
      <c r="G2641" s="93">
        <v>3</v>
      </c>
      <c r="H2641" s="93">
        <v>0</v>
      </c>
      <c r="I2641" s="23"/>
      <c r="J2641" s="23"/>
      <c r="K2641" s="23"/>
      <c r="L2641" s="23" t="s">
        <v>6880</v>
      </c>
      <c r="M2641" s="23"/>
    </row>
    <row r="2642" spans="2:13" ht="15" customHeight="1" x14ac:dyDescent="0.25">
      <c r="B2642" s="35" t="s">
        <v>8176</v>
      </c>
      <c r="C2642" s="23" t="s">
        <v>8177</v>
      </c>
      <c r="D2642" s="23" t="s">
        <v>3303</v>
      </c>
      <c r="E2642" s="23" t="s">
        <v>3317</v>
      </c>
      <c r="F2642" s="23" t="s">
        <v>3729</v>
      </c>
      <c r="G2642" s="93">
        <v>3</v>
      </c>
      <c r="H2642" s="93">
        <v>0</v>
      </c>
      <c r="I2642" s="23"/>
      <c r="J2642" s="23"/>
      <c r="K2642" s="23"/>
      <c r="L2642" s="23" t="s">
        <v>6880</v>
      </c>
      <c r="M2642" s="23"/>
    </row>
    <row r="2643" spans="2:13" ht="15" customHeight="1" x14ac:dyDescent="0.25">
      <c r="B2643" s="35" t="s">
        <v>8178</v>
      </c>
      <c r="C2643" s="23" t="s">
        <v>8179</v>
      </c>
      <c r="D2643" s="23" t="s">
        <v>3303</v>
      </c>
      <c r="E2643" s="23" t="s">
        <v>3317</v>
      </c>
      <c r="F2643" s="23" t="s">
        <v>3729</v>
      </c>
      <c r="G2643" s="93">
        <v>3</v>
      </c>
      <c r="H2643" s="93">
        <v>0</v>
      </c>
      <c r="I2643" s="23"/>
      <c r="J2643" s="23"/>
      <c r="K2643" s="23"/>
      <c r="L2643" s="23" t="s">
        <v>6880</v>
      </c>
      <c r="M2643" s="23"/>
    </row>
    <row r="2644" spans="2:13" ht="15" customHeight="1" x14ac:dyDescent="0.25">
      <c r="B2644" s="35" t="s">
        <v>8180</v>
      </c>
      <c r="C2644" s="23" t="s">
        <v>8181</v>
      </c>
      <c r="D2644" s="23" t="s">
        <v>3303</v>
      </c>
      <c r="E2644" s="23" t="s">
        <v>3317</v>
      </c>
      <c r="F2644" s="23" t="s">
        <v>3729</v>
      </c>
      <c r="G2644" s="93">
        <v>3</v>
      </c>
      <c r="H2644" s="93">
        <v>0</v>
      </c>
      <c r="I2644" s="23"/>
      <c r="J2644" s="23"/>
      <c r="K2644" s="23"/>
      <c r="L2644" s="23" t="s">
        <v>6880</v>
      </c>
      <c r="M2644" s="23"/>
    </row>
    <row r="2645" spans="2:13" ht="15" customHeight="1" x14ac:dyDescent="0.25">
      <c r="B2645" s="35" t="s">
        <v>8182</v>
      </c>
      <c r="C2645" s="23" t="s">
        <v>8183</v>
      </c>
      <c r="D2645" s="23" t="s">
        <v>3303</v>
      </c>
      <c r="E2645" s="23" t="s">
        <v>3317</v>
      </c>
      <c r="F2645" s="23" t="s">
        <v>3729</v>
      </c>
      <c r="G2645" s="93">
        <v>3</v>
      </c>
      <c r="H2645" s="93">
        <v>0</v>
      </c>
      <c r="I2645" s="23"/>
      <c r="J2645" s="23"/>
      <c r="K2645" s="23"/>
      <c r="L2645" s="23" t="s">
        <v>6880</v>
      </c>
      <c r="M2645" s="23"/>
    </row>
    <row r="2646" spans="2:13" ht="15" customHeight="1" x14ac:dyDescent="0.25">
      <c r="B2646" s="35" t="s">
        <v>8184</v>
      </c>
      <c r="C2646" s="23" t="s">
        <v>8185</v>
      </c>
      <c r="D2646" s="23" t="s">
        <v>3303</v>
      </c>
      <c r="E2646" s="23" t="s">
        <v>3317</v>
      </c>
      <c r="F2646" s="23" t="s">
        <v>3729</v>
      </c>
      <c r="G2646" s="93">
        <v>3</v>
      </c>
      <c r="H2646" s="93">
        <v>0</v>
      </c>
      <c r="I2646" s="23"/>
      <c r="J2646" s="23"/>
      <c r="K2646" s="23"/>
      <c r="L2646" s="23" t="s">
        <v>6880</v>
      </c>
      <c r="M2646" s="23"/>
    </row>
    <row r="2647" spans="2:13" ht="15" customHeight="1" x14ac:dyDescent="0.25">
      <c r="B2647" s="35" t="s">
        <v>8186</v>
      </c>
      <c r="C2647" s="23" t="s">
        <v>8187</v>
      </c>
      <c r="D2647" s="23" t="s">
        <v>3303</v>
      </c>
      <c r="E2647" s="23" t="s">
        <v>3317</v>
      </c>
      <c r="F2647" s="23" t="s">
        <v>3729</v>
      </c>
      <c r="G2647" s="93">
        <v>3</v>
      </c>
      <c r="H2647" s="93">
        <v>0</v>
      </c>
      <c r="I2647" s="23"/>
      <c r="J2647" s="23"/>
      <c r="K2647" s="23"/>
      <c r="L2647" s="23" t="s">
        <v>6880</v>
      </c>
      <c r="M2647" s="23"/>
    </row>
    <row r="2648" spans="2:13" ht="15" customHeight="1" x14ac:dyDescent="0.25">
      <c r="B2648" s="35" t="s">
        <v>8188</v>
      </c>
      <c r="C2648" s="23" t="s">
        <v>8189</v>
      </c>
      <c r="D2648" s="23" t="s">
        <v>3303</v>
      </c>
      <c r="E2648" s="23" t="s">
        <v>3317</v>
      </c>
      <c r="F2648" s="23" t="s">
        <v>3729</v>
      </c>
      <c r="G2648" s="93">
        <v>3</v>
      </c>
      <c r="H2648" s="93">
        <v>0</v>
      </c>
      <c r="I2648" s="23"/>
      <c r="J2648" s="23"/>
      <c r="K2648" s="23"/>
      <c r="L2648" s="23" t="s">
        <v>6880</v>
      </c>
      <c r="M2648" s="23"/>
    </row>
    <row r="2649" spans="2:13" ht="15" customHeight="1" x14ac:dyDescent="0.25">
      <c r="B2649" s="35" t="s">
        <v>8190</v>
      </c>
      <c r="C2649" s="23" t="s">
        <v>8191</v>
      </c>
      <c r="D2649" s="23" t="s">
        <v>3303</v>
      </c>
      <c r="E2649" s="23" t="s">
        <v>3317</v>
      </c>
      <c r="F2649" s="23" t="s">
        <v>3729</v>
      </c>
      <c r="G2649" s="93">
        <v>3</v>
      </c>
      <c r="H2649" s="93">
        <v>0</v>
      </c>
      <c r="I2649" s="23"/>
      <c r="J2649" s="23"/>
      <c r="K2649" s="23"/>
      <c r="L2649" s="23" t="s">
        <v>6880</v>
      </c>
      <c r="M2649" s="23"/>
    </row>
    <row r="2650" spans="2:13" ht="15" customHeight="1" x14ac:dyDescent="0.25">
      <c r="B2650" s="35" t="s">
        <v>8192</v>
      </c>
      <c r="C2650" s="23" t="s">
        <v>8193</v>
      </c>
      <c r="D2650" s="23" t="s">
        <v>3303</v>
      </c>
      <c r="E2650" s="23" t="s">
        <v>3317</v>
      </c>
      <c r="F2650" s="23" t="s">
        <v>3729</v>
      </c>
      <c r="G2650" s="93">
        <v>3</v>
      </c>
      <c r="H2650" s="93">
        <v>0</v>
      </c>
      <c r="I2650" s="23"/>
      <c r="J2650" s="23"/>
      <c r="K2650" s="23"/>
      <c r="L2650" s="23" t="s">
        <v>6880</v>
      </c>
      <c r="M2650" s="23"/>
    </row>
    <row r="2651" spans="2:13" ht="15" customHeight="1" x14ac:dyDescent="0.25">
      <c r="B2651" s="35" t="s">
        <v>8194</v>
      </c>
      <c r="C2651" s="23" t="s">
        <v>8195</v>
      </c>
      <c r="D2651" s="23" t="s">
        <v>3303</v>
      </c>
      <c r="E2651" s="23" t="s">
        <v>3317</v>
      </c>
      <c r="F2651" s="23" t="s">
        <v>3729</v>
      </c>
      <c r="G2651" s="93">
        <v>3</v>
      </c>
      <c r="H2651" s="93">
        <v>0</v>
      </c>
      <c r="I2651" s="23"/>
      <c r="J2651" s="23"/>
      <c r="K2651" s="23"/>
      <c r="L2651" s="23" t="s">
        <v>6880</v>
      </c>
      <c r="M2651" s="23"/>
    </row>
    <row r="2652" spans="2:13" ht="15" customHeight="1" x14ac:dyDescent="0.25">
      <c r="B2652" s="35" t="s">
        <v>8196</v>
      </c>
      <c r="C2652" s="23" t="s">
        <v>8197</v>
      </c>
      <c r="D2652" s="23" t="s">
        <v>3303</v>
      </c>
      <c r="E2652" s="23" t="s">
        <v>3317</v>
      </c>
      <c r="F2652" s="23" t="s">
        <v>3729</v>
      </c>
      <c r="G2652" s="93">
        <v>3</v>
      </c>
      <c r="H2652" s="93">
        <v>0</v>
      </c>
      <c r="I2652" s="23"/>
      <c r="J2652" s="23"/>
      <c r="K2652" s="23"/>
      <c r="L2652" s="23" t="s">
        <v>6880</v>
      </c>
      <c r="M2652" s="23"/>
    </row>
    <row r="2653" spans="2:13" ht="15" customHeight="1" x14ac:dyDescent="0.25">
      <c r="B2653" s="35" t="s">
        <v>8198</v>
      </c>
      <c r="C2653" s="23" t="s">
        <v>8199</v>
      </c>
      <c r="D2653" s="23" t="s">
        <v>3303</v>
      </c>
      <c r="E2653" s="23" t="s">
        <v>3317</v>
      </c>
      <c r="F2653" s="23" t="s">
        <v>3729</v>
      </c>
      <c r="G2653" s="93">
        <v>3</v>
      </c>
      <c r="H2653" s="93">
        <v>0</v>
      </c>
      <c r="I2653" s="23"/>
      <c r="J2653" s="23"/>
      <c r="K2653" s="23"/>
      <c r="L2653" s="23" t="s">
        <v>6880</v>
      </c>
      <c r="M2653" s="23"/>
    </row>
    <row r="2654" spans="2:13" ht="15" customHeight="1" x14ac:dyDescent="0.25">
      <c r="B2654" s="35" t="s">
        <v>8200</v>
      </c>
      <c r="C2654" s="23" t="s">
        <v>8201</v>
      </c>
      <c r="D2654" s="23" t="s">
        <v>3303</v>
      </c>
      <c r="E2654" s="23" t="s">
        <v>3317</v>
      </c>
      <c r="F2654" s="23" t="s">
        <v>3729</v>
      </c>
      <c r="G2654" s="93">
        <v>3</v>
      </c>
      <c r="H2654" s="93">
        <v>0</v>
      </c>
      <c r="I2654" s="23"/>
      <c r="J2654" s="23"/>
      <c r="K2654" s="23"/>
      <c r="L2654" s="23" t="s">
        <v>6880</v>
      </c>
      <c r="M2654" s="23"/>
    </row>
    <row r="2655" spans="2:13" ht="15" customHeight="1" x14ac:dyDescent="0.25">
      <c r="B2655" s="35" t="s">
        <v>8202</v>
      </c>
      <c r="C2655" s="23" t="s">
        <v>8203</v>
      </c>
      <c r="D2655" s="23" t="s">
        <v>3303</v>
      </c>
      <c r="E2655" s="23" t="s">
        <v>3317</v>
      </c>
      <c r="F2655" s="23" t="s">
        <v>3729</v>
      </c>
      <c r="G2655" s="93">
        <v>3</v>
      </c>
      <c r="H2655" s="93">
        <v>0</v>
      </c>
      <c r="I2655" s="23"/>
      <c r="J2655" s="23"/>
      <c r="K2655" s="23"/>
      <c r="L2655" s="23" t="s">
        <v>6880</v>
      </c>
      <c r="M2655" s="23"/>
    </row>
    <row r="2656" spans="2:13" ht="15" customHeight="1" x14ac:dyDescent="0.25">
      <c r="B2656" s="35" t="s">
        <v>8204</v>
      </c>
      <c r="C2656" s="23" t="s">
        <v>8205</v>
      </c>
      <c r="D2656" s="23" t="s">
        <v>3303</v>
      </c>
      <c r="E2656" s="23" t="s">
        <v>3317</v>
      </c>
      <c r="F2656" s="23" t="s">
        <v>3729</v>
      </c>
      <c r="G2656" s="93">
        <v>3</v>
      </c>
      <c r="H2656" s="93">
        <v>1</v>
      </c>
      <c r="I2656" s="23"/>
      <c r="J2656" s="23"/>
      <c r="K2656" s="23"/>
      <c r="L2656" s="23" t="s">
        <v>6880</v>
      </c>
      <c r="M2656" s="23"/>
    </row>
    <row r="2657" spans="2:13" ht="15" customHeight="1" x14ac:dyDescent="0.25">
      <c r="B2657" s="35" t="s">
        <v>8206</v>
      </c>
      <c r="C2657" s="23" t="s">
        <v>8207</v>
      </c>
      <c r="D2657" s="23" t="s">
        <v>3303</v>
      </c>
      <c r="E2657" s="23" t="s">
        <v>3317</v>
      </c>
      <c r="F2657" s="23" t="s">
        <v>3729</v>
      </c>
      <c r="G2657" s="93">
        <v>3</v>
      </c>
      <c r="H2657" s="93">
        <v>0</v>
      </c>
      <c r="I2657" s="23"/>
      <c r="J2657" s="23"/>
      <c r="K2657" s="23"/>
      <c r="L2657" s="23" t="s">
        <v>6880</v>
      </c>
      <c r="M2657" s="23"/>
    </row>
    <row r="2658" spans="2:13" x14ac:dyDescent="0.25">
      <c r="B2658" s="35" t="s">
        <v>8208</v>
      </c>
      <c r="C2658" s="23" t="s">
        <v>8209</v>
      </c>
      <c r="D2658" s="23" t="s">
        <v>3303</v>
      </c>
      <c r="E2658" s="23" t="s">
        <v>3317</v>
      </c>
      <c r="F2658" s="23" t="s">
        <v>3729</v>
      </c>
      <c r="G2658" s="93">
        <v>3</v>
      </c>
      <c r="H2658" s="93">
        <v>0</v>
      </c>
      <c r="I2658" s="23"/>
      <c r="J2658" s="23"/>
      <c r="K2658" s="23"/>
      <c r="L2658" s="23" t="s">
        <v>6880</v>
      </c>
      <c r="M2658" s="23"/>
    </row>
    <row r="2659" spans="2:13" x14ac:dyDescent="0.25">
      <c r="B2659" s="35" t="s">
        <v>8210</v>
      </c>
      <c r="C2659" s="23" t="s">
        <v>8211</v>
      </c>
      <c r="D2659" s="23" t="s">
        <v>3303</v>
      </c>
      <c r="E2659" s="23" t="s">
        <v>3317</v>
      </c>
      <c r="F2659" s="23" t="s">
        <v>3729</v>
      </c>
      <c r="G2659" s="93">
        <v>3</v>
      </c>
      <c r="H2659" s="93">
        <v>0</v>
      </c>
      <c r="I2659" s="23"/>
      <c r="J2659" s="23"/>
      <c r="K2659" s="23"/>
      <c r="L2659" s="23" t="s">
        <v>6880</v>
      </c>
      <c r="M2659" s="23"/>
    </row>
    <row r="2660" spans="2:13" x14ac:dyDescent="0.25">
      <c r="B2660" s="35" t="s">
        <v>8212</v>
      </c>
      <c r="C2660" s="23" t="s">
        <v>8213</v>
      </c>
      <c r="D2660" s="23" t="s">
        <v>3303</v>
      </c>
      <c r="E2660" s="23" t="s">
        <v>3317</v>
      </c>
      <c r="F2660" s="23" t="s">
        <v>3729</v>
      </c>
      <c r="G2660" s="93">
        <v>3</v>
      </c>
      <c r="H2660" s="93">
        <v>0</v>
      </c>
      <c r="I2660" s="23"/>
      <c r="J2660" s="23"/>
      <c r="K2660" s="23"/>
      <c r="L2660" s="23" t="s">
        <v>6880</v>
      </c>
      <c r="M2660" s="23"/>
    </row>
    <row r="2661" spans="2:13" x14ac:dyDescent="0.25">
      <c r="B2661" s="35" t="s">
        <v>8214</v>
      </c>
      <c r="C2661" s="23" t="s">
        <v>8215</v>
      </c>
      <c r="D2661" s="23" t="s">
        <v>3303</v>
      </c>
      <c r="E2661" s="23" t="s">
        <v>3317</v>
      </c>
      <c r="F2661" s="23" t="s">
        <v>3729</v>
      </c>
      <c r="G2661" s="93">
        <v>3</v>
      </c>
      <c r="H2661" s="93">
        <v>0</v>
      </c>
      <c r="I2661" s="23"/>
      <c r="J2661" s="23"/>
      <c r="K2661" s="23"/>
      <c r="L2661" s="23" t="s">
        <v>6880</v>
      </c>
      <c r="M2661" s="23"/>
    </row>
    <row r="2662" spans="2:13" x14ac:dyDescent="0.25">
      <c r="B2662" s="35" t="s">
        <v>8216</v>
      </c>
      <c r="C2662" s="23" t="s">
        <v>8217</v>
      </c>
      <c r="D2662" s="23" t="s">
        <v>3303</v>
      </c>
      <c r="E2662" s="23" t="s">
        <v>3317</v>
      </c>
      <c r="F2662" s="23" t="s">
        <v>3729</v>
      </c>
      <c r="G2662" s="93">
        <v>3</v>
      </c>
      <c r="H2662" s="93">
        <v>0</v>
      </c>
      <c r="I2662" s="23"/>
      <c r="J2662" s="23"/>
      <c r="K2662" s="23"/>
      <c r="L2662" s="23" t="s">
        <v>6880</v>
      </c>
      <c r="M2662" s="23"/>
    </row>
    <row r="2663" spans="2:13" x14ac:dyDescent="0.25">
      <c r="B2663" s="35" t="s">
        <v>8218</v>
      </c>
      <c r="C2663" s="23" t="s">
        <v>8219</v>
      </c>
      <c r="D2663" s="23" t="s">
        <v>3303</v>
      </c>
      <c r="E2663" s="23" t="s">
        <v>3317</v>
      </c>
      <c r="F2663" s="23" t="s">
        <v>3729</v>
      </c>
      <c r="G2663" s="93">
        <v>3</v>
      </c>
      <c r="H2663" s="93">
        <v>0</v>
      </c>
      <c r="I2663" s="23"/>
      <c r="J2663" s="23"/>
      <c r="K2663" s="23"/>
      <c r="L2663" s="23" t="s">
        <v>6880</v>
      </c>
      <c r="M2663" s="23"/>
    </row>
    <row r="2664" spans="2:13" x14ac:dyDescent="0.25">
      <c r="B2664" s="35" t="s">
        <v>8220</v>
      </c>
      <c r="C2664" s="23" t="s">
        <v>8221</v>
      </c>
      <c r="D2664" s="23" t="s">
        <v>3303</v>
      </c>
      <c r="E2664" s="23" t="s">
        <v>3317</v>
      </c>
      <c r="F2664" s="23" t="s">
        <v>3729</v>
      </c>
      <c r="G2664" s="93">
        <v>3</v>
      </c>
      <c r="H2664" s="93">
        <v>0</v>
      </c>
      <c r="I2664" s="23"/>
      <c r="J2664" s="23"/>
      <c r="K2664" s="23"/>
      <c r="L2664" s="23" t="s">
        <v>6880</v>
      </c>
      <c r="M2664" s="23"/>
    </row>
    <row r="2665" spans="2:13" x14ac:dyDescent="0.25">
      <c r="B2665" s="35" t="s">
        <v>8222</v>
      </c>
      <c r="C2665" s="23" t="s">
        <v>8223</v>
      </c>
      <c r="D2665" s="23" t="s">
        <v>3303</v>
      </c>
      <c r="E2665" s="23" t="s">
        <v>3317</v>
      </c>
      <c r="F2665" s="23" t="s">
        <v>3729</v>
      </c>
      <c r="G2665" s="93">
        <v>3</v>
      </c>
      <c r="H2665" s="93">
        <v>0</v>
      </c>
      <c r="I2665" s="23"/>
      <c r="J2665" s="23"/>
      <c r="K2665" s="23"/>
      <c r="L2665" s="23" t="s">
        <v>6880</v>
      </c>
      <c r="M2665" s="23"/>
    </row>
    <row r="2666" spans="2:13" x14ac:dyDescent="0.25">
      <c r="B2666" s="35" t="s">
        <v>8224</v>
      </c>
      <c r="C2666" s="23" t="s">
        <v>8225</v>
      </c>
      <c r="D2666" s="23" t="s">
        <v>3303</v>
      </c>
      <c r="E2666" s="23" t="s">
        <v>3317</v>
      </c>
      <c r="F2666" s="23" t="s">
        <v>3729</v>
      </c>
      <c r="G2666" s="93">
        <v>3</v>
      </c>
      <c r="H2666" s="93">
        <v>0</v>
      </c>
      <c r="I2666" s="23"/>
      <c r="J2666" s="23"/>
      <c r="K2666" s="23"/>
      <c r="L2666" s="23" t="s">
        <v>6880</v>
      </c>
      <c r="M2666" s="23"/>
    </row>
    <row r="2667" spans="2:13" x14ac:dyDescent="0.25">
      <c r="B2667" s="35" t="s">
        <v>8226</v>
      </c>
      <c r="C2667" s="23" t="s">
        <v>8227</v>
      </c>
      <c r="D2667" s="23" t="s">
        <v>3303</v>
      </c>
      <c r="E2667" s="23" t="s">
        <v>3317</v>
      </c>
      <c r="F2667" s="23" t="s">
        <v>3729</v>
      </c>
      <c r="G2667" s="93">
        <v>3</v>
      </c>
      <c r="H2667" s="93">
        <v>0</v>
      </c>
      <c r="I2667" s="23"/>
      <c r="J2667" s="23"/>
      <c r="K2667" s="23"/>
      <c r="L2667" s="23" t="s">
        <v>6880</v>
      </c>
      <c r="M2667" s="23"/>
    </row>
    <row r="2668" spans="2:13" x14ac:dyDescent="0.25">
      <c r="B2668" s="35" t="s">
        <v>8228</v>
      </c>
      <c r="C2668" s="23" t="s">
        <v>8229</v>
      </c>
      <c r="D2668" s="23" t="s">
        <v>3303</v>
      </c>
      <c r="E2668" s="23" t="s">
        <v>3317</v>
      </c>
      <c r="F2668" s="23" t="s">
        <v>3729</v>
      </c>
      <c r="G2668" s="93">
        <v>3</v>
      </c>
      <c r="H2668" s="93">
        <v>0</v>
      </c>
      <c r="I2668" s="23"/>
      <c r="J2668" s="23"/>
      <c r="K2668" s="23"/>
      <c r="L2668" s="23" t="s">
        <v>6880</v>
      </c>
      <c r="M2668" s="23"/>
    </row>
    <row r="2669" spans="2:13" x14ac:dyDescent="0.25">
      <c r="B2669" s="35" t="s">
        <v>8230</v>
      </c>
      <c r="C2669" s="23" t="s">
        <v>8231</v>
      </c>
      <c r="D2669" s="23" t="s">
        <v>3303</v>
      </c>
      <c r="E2669" s="23" t="s">
        <v>3317</v>
      </c>
      <c r="F2669" s="23" t="s">
        <v>3729</v>
      </c>
      <c r="G2669" s="93">
        <v>3</v>
      </c>
      <c r="H2669" s="93">
        <v>0</v>
      </c>
      <c r="I2669" s="23"/>
      <c r="J2669" s="23"/>
      <c r="K2669" s="23"/>
      <c r="L2669" s="23" t="s">
        <v>6880</v>
      </c>
      <c r="M2669" s="23"/>
    </row>
    <row r="2670" spans="2:13" x14ac:dyDescent="0.25">
      <c r="B2670" s="35" t="s">
        <v>8232</v>
      </c>
      <c r="C2670" s="23" t="s">
        <v>8233</v>
      </c>
      <c r="D2670" s="23" t="s">
        <v>3303</v>
      </c>
      <c r="E2670" s="23" t="s">
        <v>3317</v>
      </c>
      <c r="F2670" s="23" t="s">
        <v>3729</v>
      </c>
      <c r="G2670" s="93">
        <v>3</v>
      </c>
      <c r="H2670" s="93">
        <v>0</v>
      </c>
      <c r="I2670" s="23"/>
      <c r="J2670" s="23"/>
      <c r="K2670" s="23"/>
      <c r="L2670" s="23" t="s">
        <v>6880</v>
      </c>
      <c r="M2670" s="23"/>
    </row>
    <row r="2671" spans="2:13" x14ac:dyDescent="0.25">
      <c r="B2671" s="35" t="s">
        <v>8234</v>
      </c>
      <c r="C2671" s="23" t="s">
        <v>8235</v>
      </c>
      <c r="D2671" s="23" t="s">
        <v>3303</v>
      </c>
      <c r="E2671" s="23" t="s">
        <v>3317</v>
      </c>
      <c r="F2671" s="23" t="s">
        <v>3729</v>
      </c>
      <c r="G2671" s="93">
        <v>3</v>
      </c>
      <c r="H2671" s="93">
        <v>0</v>
      </c>
      <c r="I2671" s="23"/>
      <c r="J2671" s="23"/>
      <c r="K2671" s="23"/>
      <c r="L2671" s="23" t="s">
        <v>6880</v>
      </c>
      <c r="M2671" s="23"/>
    </row>
    <row r="2672" spans="2:13" x14ac:dyDescent="0.25">
      <c r="B2672" s="35" t="s">
        <v>8236</v>
      </c>
      <c r="C2672" s="23" t="s">
        <v>8237</v>
      </c>
      <c r="D2672" s="23" t="s">
        <v>3303</v>
      </c>
      <c r="E2672" s="23" t="s">
        <v>3317</v>
      </c>
      <c r="F2672" s="23" t="s">
        <v>3729</v>
      </c>
      <c r="G2672" s="93">
        <v>3</v>
      </c>
      <c r="H2672" s="93">
        <v>1</v>
      </c>
      <c r="I2672" s="23"/>
      <c r="J2672" s="23"/>
      <c r="K2672" s="23"/>
      <c r="L2672" s="23" t="s">
        <v>6880</v>
      </c>
      <c r="M2672" s="23"/>
    </row>
    <row r="2673" spans="2:13" x14ac:dyDescent="0.25">
      <c r="B2673" s="35" t="s">
        <v>8238</v>
      </c>
      <c r="C2673" s="23" t="s">
        <v>8239</v>
      </c>
      <c r="D2673" s="23" t="s">
        <v>3303</v>
      </c>
      <c r="E2673" s="23" t="s">
        <v>3317</v>
      </c>
      <c r="F2673" s="23" t="s">
        <v>3729</v>
      </c>
      <c r="G2673" s="93">
        <v>3</v>
      </c>
      <c r="H2673" s="93">
        <v>0</v>
      </c>
      <c r="I2673" s="23"/>
      <c r="J2673" s="23"/>
      <c r="K2673" s="23"/>
      <c r="L2673" s="23" t="s">
        <v>6880</v>
      </c>
      <c r="M2673" s="23"/>
    </row>
    <row r="2674" spans="2:13" x14ac:dyDescent="0.25">
      <c r="B2674" s="35" t="s">
        <v>8240</v>
      </c>
      <c r="C2674" s="23" t="s">
        <v>8241</v>
      </c>
      <c r="D2674" s="23" t="s">
        <v>3303</v>
      </c>
      <c r="E2674" s="23" t="s">
        <v>3317</v>
      </c>
      <c r="F2674" s="23" t="s">
        <v>3729</v>
      </c>
      <c r="G2674" s="93">
        <v>3</v>
      </c>
      <c r="H2674" s="93">
        <v>0</v>
      </c>
      <c r="I2674" s="23"/>
      <c r="J2674" s="23"/>
      <c r="K2674" s="23"/>
      <c r="L2674" s="23" t="s">
        <v>6880</v>
      </c>
      <c r="M2674" s="23"/>
    </row>
    <row r="2675" spans="2:13" x14ac:dyDescent="0.25">
      <c r="B2675" s="35" t="s">
        <v>8242</v>
      </c>
      <c r="C2675" s="23" t="s">
        <v>8243</v>
      </c>
      <c r="D2675" s="23" t="s">
        <v>3303</v>
      </c>
      <c r="E2675" s="23" t="s">
        <v>3317</v>
      </c>
      <c r="F2675" s="23" t="s">
        <v>3729</v>
      </c>
      <c r="G2675" s="93">
        <v>3</v>
      </c>
      <c r="H2675" s="93">
        <v>0</v>
      </c>
      <c r="I2675" s="23"/>
      <c r="J2675" s="23"/>
      <c r="K2675" s="23"/>
      <c r="L2675" s="23" t="s">
        <v>6880</v>
      </c>
      <c r="M2675" s="23"/>
    </row>
    <row r="2676" spans="2:13" x14ac:dyDescent="0.25">
      <c r="B2676" s="35" t="s">
        <v>8244</v>
      </c>
      <c r="C2676" s="23" t="s">
        <v>8245</v>
      </c>
      <c r="D2676" s="23" t="s">
        <v>3303</v>
      </c>
      <c r="E2676" s="23" t="s">
        <v>3317</v>
      </c>
      <c r="F2676" s="23" t="s">
        <v>3729</v>
      </c>
      <c r="G2676" s="93">
        <v>3</v>
      </c>
      <c r="H2676" s="93">
        <v>0</v>
      </c>
      <c r="I2676" s="23"/>
      <c r="J2676" s="23"/>
      <c r="K2676" s="23"/>
      <c r="L2676" s="23" t="s">
        <v>6880</v>
      </c>
      <c r="M2676" s="23"/>
    </row>
    <row r="2677" spans="2:13" x14ac:dyDescent="0.25">
      <c r="B2677" s="35" t="s">
        <v>8246</v>
      </c>
      <c r="C2677" s="23" t="s">
        <v>8247</v>
      </c>
      <c r="D2677" s="23" t="s">
        <v>3303</v>
      </c>
      <c r="E2677" s="23" t="s">
        <v>3317</v>
      </c>
      <c r="F2677" s="23" t="s">
        <v>3729</v>
      </c>
      <c r="G2677" s="93">
        <v>3</v>
      </c>
      <c r="H2677" s="93">
        <v>0</v>
      </c>
      <c r="I2677" s="23"/>
      <c r="J2677" s="23"/>
      <c r="K2677" s="23"/>
      <c r="L2677" s="23" t="s">
        <v>6880</v>
      </c>
      <c r="M2677" s="23"/>
    </row>
    <row r="2678" spans="2:13" x14ac:dyDescent="0.25">
      <c r="B2678" s="35" t="s">
        <v>8248</v>
      </c>
      <c r="C2678" s="23" t="s">
        <v>8249</v>
      </c>
      <c r="D2678" s="23" t="s">
        <v>3303</v>
      </c>
      <c r="E2678" s="23" t="s">
        <v>3317</v>
      </c>
      <c r="F2678" s="23" t="s">
        <v>3729</v>
      </c>
      <c r="G2678" s="93">
        <v>3</v>
      </c>
      <c r="H2678" s="93">
        <v>0</v>
      </c>
      <c r="I2678" s="23"/>
      <c r="J2678" s="23"/>
      <c r="K2678" s="23"/>
      <c r="L2678" s="23" t="s">
        <v>6880</v>
      </c>
      <c r="M2678" s="23"/>
    </row>
    <row r="2679" spans="2:13" x14ac:dyDescent="0.25">
      <c r="B2679" s="35" t="s">
        <v>8250</v>
      </c>
      <c r="C2679" s="23" t="s">
        <v>8251</v>
      </c>
      <c r="D2679" s="23" t="s">
        <v>3303</v>
      </c>
      <c r="E2679" s="23" t="s">
        <v>3317</v>
      </c>
      <c r="F2679" s="23" t="s">
        <v>3729</v>
      </c>
      <c r="G2679" s="93">
        <v>3</v>
      </c>
      <c r="H2679" s="93">
        <v>0</v>
      </c>
      <c r="I2679" s="23"/>
      <c r="J2679" s="23"/>
      <c r="K2679" s="23"/>
      <c r="L2679" s="23" t="s">
        <v>6880</v>
      </c>
      <c r="M2679" s="23"/>
    </row>
    <row r="2680" spans="2:13" x14ac:dyDescent="0.25">
      <c r="B2680" s="35" t="s">
        <v>8252</v>
      </c>
      <c r="C2680" s="23" t="s">
        <v>8253</v>
      </c>
      <c r="D2680" s="23" t="s">
        <v>3303</v>
      </c>
      <c r="E2680" s="23" t="s">
        <v>3317</v>
      </c>
      <c r="F2680" s="23" t="s">
        <v>3729</v>
      </c>
      <c r="G2680" s="93">
        <v>3</v>
      </c>
      <c r="H2680" s="93">
        <v>0</v>
      </c>
      <c r="I2680" s="23"/>
      <c r="J2680" s="23"/>
      <c r="K2680" s="23"/>
      <c r="L2680" s="23" t="s">
        <v>6880</v>
      </c>
      <c r="M2680" s="23"/>
    </row>
    <row r="2681" spans="2:13" x14ac:dyDescent="0.25">
      <c r="B2681" s="35" t="s">
        <v>8254</v>
      </c>
      <c r="C2681" s="23" t="s">
        <v>8255</v>
      </c>
      <c r="D2681" s="23" t="s">
        <v>3303</v>
      </c>
      <c r="E2681" s="23" t="s">
        <v>3317</v>
      </c>
      <c r="F2681" s="23" t="s">
        <v>3729</v>
      </c>
      <c r="G2681" s="93">
        <v>3</v>
      </c>
      <c r="H2681" s="93">
        <v>0</v>
      </c>
      <c r="I2681" s="23"/>
      <c r="J2681" s="23"/>
      <c r="K2681" s="23"/>
      <c r="L2681" s="23" t="s">
        <v>6880</v>
      </c>
      <c r="M2681" s="23"/>
    </row>
    <row r="2682" spans="2:13" x14ac:dyDescent="0.25">
      <c r="B2682" s="35" t="s">
        <v>8256</v>
      </c>
      <c r="C2682" s="23" t="s">
        <v>8257</v>
      </c>
      <c r="D2682" s="23" t="s">
        <v>3303</v>
      </c>
      <c r="E2682" s="23" t="s">
        <v>3317</v>
      </c>
      <c r="F2682" s="23" t="s">
        <v>3729</v>
      </c>
      <c r="G2682" s="93">
        <v>3</v>
      </c>
      <c r="H2682" s="93">
        <v>0</v>
      </c>
      <c r="I2682" s="23"/>
      <c r="J2682" s="23"/>
      <c r="K2682" s="23"/>
      <c r="L2682" s="23" t="s">
        <v>6880</v>
      </c>
      <c r="M2682" s="23"/>
    </row>
    <row r="2683" spans="2:13" x14ac:dyDescent="0.25">
      <c r="B2683" s="35" t="s">
        <v>8258</v>
      </c>
      <c r="C2683" s="23" t="s">
        <v>8259</v>
      </c>
      <c r="D2683" s="23" t="s">
        <v>3303</v>
      </c>
      <c r="E2683" s="23" t="s">
        <v>3317</v>
      </c>
      <c r="F2683" s="23" t="s">
        <v>3729</v>
      </c>
      <c r="G2683" s="93">
        <v>3</v>
      </c>
      <c r="H2683" s="93">
        <v>0</v>
      </c>
      <c r="I2683" s="23"/>
      <c r="J2683" s="23"/>
      <c r="K2683" s="23"/>
      <c r="L2683" s="23" t="s">
        <v>6880</v>
      </c>
      <c r="M2683" s="23"/>
    </row>
    <row r="2684" spans="2:13" x14ac:dyDescent="0.25">
      <c r="B2684" s="35" t="s">
        <v>8260</v>
      </c>
      <c r="C2684" s="23" t="s">
        <v>8261</v>
      </c>
      <c r="D2684" s="23" t="s">
        <v>3303</v>
      </c>
      <c r="E2684" s="23" t="s">
        <v>3317</v>
      </c>
      <c r="F2684" s="23" t="s">
        <v>3729</v>
      </c>
      <c r="G2684" s="93">
        <v>3</v>
      </c>
      <c r="H2684" s="93">
        <v>1</v>
      </c>
      <c r="I2684" s="23"/>
      <c r="J2684" s="23"/>
      <c r="K2684" s="23"/>
      <c r="L2684" s="23" t="s">
        <v>6880</v>
      </c>
      <c r="M2684" s="23"/>
    </row>
    <row r="2685" spans="2:13" x14ac:dyDescent="0.25">
      <c r="B2685" s="35" t="s">
        <v>8262</v>
      </c>
      <c r="C2685" s="23" t="s">
        <v>8263</v>
      </c>
      <c r="D2685" s="23" t="s">
        <v>3303</v>
      </c>
      <c r="E2685" s="23" t="s">
        <v>3317</v>
      </c>
      <c r="F2685" s="23" t="s">
        <v>3729</v>
      </c>
      <c r="G2685" s="93">
        <v>3</v>
      </c>
      <c r="H2685" s="93">
        <v>0</v>
      </c>
      <c r="I2685" s="23"/>
      <c r="J2685" s="23"/>
      <c r="K2685" s="23"/>
      <c r="L2685" s="23" t="s">
        <v>6880</v>
      </c>
      <c r="M2685" s="23"/>
    </row>
    <row r="2686" spans="2:13" x14ac:dyDescent="0.25">
      <c r="B2686" s="35" t="s">
        <v>8264</v>
      </c>
      <c r="C2686" s="23" t="s">
        <v>8265</v>
      </c>
      <c r="D2686" s="23" t="s">
        <v>3303</v>
      </c>
      <c r="E2686" s="23" t="s">
        <v>3317</v>
      </c>
      <c r="F2686" s="23" t="s">
        <v>3729</v>
      </c>
      <c r="G2686" s="93">
        <v>3</v>
      </c>
      <c r="H2686" s="93">
        <v>0</v>
      </c>
      <c r="I2686" s="23"/>
      <c r="J2686" s="23"/>
      <c r="K2686" s="23"/>
      <c r="L2686" s="23" t="s">
        <v>6880</v>
      </c>
      <c r="M2686" s="23"/>
    </row>
    <row r="2687" spans="2:13" x14ac:dyDescent="0.25">
      <c r="B2687" s="35" t="s">
        <v>8266</v>
      </c>
      <c r="C2687" s="23" t="s">
        <v>8267</v>
      </c>
      <c r="D2687" s="23" t="s">
        <v>3303</v>
      </c>
      <c r="E2687" s="23" t="s">
        <v>3317</v>
      </c>
      <c r="F2687" s="23" t="s">
        <v>3729</v>
      </c>
      <c r="G2687" s="93">
        <v>3</v>
      </c>
      <c r="H2687" s="93">
        <v>0</v>
      </c>
      <c r="I2687" s="23"/>
      <c r="J2687" s="23"/>
      <c r="K2687" s="23"/>
      <c r="L2687" s="23" t="s">
        <v>6880</v>
      </c>
      <c r="M2687" s="23"/>
    </row>
    <row r="2688" spans="2:13" x14ac:dyDescent="0.25">
      <c r="B2688" s="35" t="s">
        <v>8268</v>
      </c>
      <c r="C2688" s="23" t="s">
        <v>8269</v>
      </c>
      <c r="D2688" s="23" t="s">
        <v>3303</v>
      </c>
      <c r="E2688" s="23" t="s">
        <v>3317</v>
      </c>
      <c r="F2688" s="23" t="s">
        <v>3729</v>
      </c>
      <c r="G2688" s="93">
        <v>3</v>
      </c>
      <c r="H2688" s="93">
        <v>1</v>
      </c>
      <c r="I2688" s="23"/>
      <c r="J2688" s="23"/>
      <c r="K2688" s="23"/>
      <c r="L2688" s="23" t="s">
        <v>6880</v>
      </c>
      <c r="M2688" s="23"/>
    </row>
    <row r="2689" spans="2:13" x14ac:dyDescent="0.25">
      <c r="B2689" s="35" t="s">
        <v>8270</v>
      </c>
      <c r="C2689" s="23" t="s">
        <v>8271</v>
      </c>
      <c r="D2689" s="23" t="s">
        <v>3303</v>
      </c>
      <c r="E2689" s="23" t="s">
        <v>3317</v>
      </c>
      <c r="F2689" s="23" t="s">
        <v>3729</v>
      </c>
      <c r="G2689" s="93">
        <v>3</v>
      </c>
      <c r="H2689" s="93">
        <v>1</v>
      </c>
      <c r="I2689" s="23"/>
      <c r="J2689" s="23"/>
      <c r="K2689" s="23"/>
      <c r="L2689" s="23" t="s">
        <v>6880</v>
      </c>
      <c r="M2689" s="23"/>
    </row>
    <row r="2690" spans="2:13" x14ac:dyDescent="0.25">
      <c r="B2690" s="35" t="s">
        <v>8272</v>
      </c>
      <c r="C2690" s="23" t="s">
        <v>8273</v>
      </c>
      <c r="D2690" s="23" t="s">
        <v>3303</v>
      </c>
      <c r="E2690" s="23" t="s">
        <v>3317</v>
      </c>
      <c r="F2690" s="23" t="s">
        <v>3729</v>
      </c>
      <c r="G2690" s="93">
        <v>3</v>
      </c>
      <c r="H2690" s="93">
        <v>1</v>
      </c>
      <c r="I2690" s="23"/>
      <c r="J2690" s="23"/>
      <c r="K2690" s="23"/>
      <c r="L2690" s="23" t="s">
        <v>6880</v>
      </c>
      <c r="M2690" s="23"/>
    </row>
    <row r="2691" spans="2:13" x14ac:dyDescent="0.25">
      <c r="B2691" s="35" t="s">
        <v>8274</v>
      </c>
      <c r="C2691" s="23" t="s">
        <v>8275</v>
      </c>
      <c r="D2691" s="23" t="s">
        <v>3303</v>
      </c>
      <c r="E2691" s="23" t="s">
        <v>3317</v>
      </c>
      <c r="F2691" s="23" t="s">
        <v>3729</v>
      </c>
      <c r="G2691" s="93">
        <v>3</v>
      </c>
      <c r="H2691" s="93">
        <v>1</v>
      </c>
      <c r="I2691" s="23"/>
      <c r="J2691" s="23"/>
      <c r="K2691" s="23"/>
      <c r="L2691" s="23" t="s">
        <v>6880</v>
      </c>
      <c r="M2691" s="23"/>
    </row>
    <row r="2692" spans="2:13" x14ac:dyDescent="0.25">
      <c r="B2692" s="35" t="s">
        <v>8276</v>
      </c>
      <c r="C2692" s="23" t="s">
        <v>8277</v>
      </c>
      <c r="D2692" s="23" t="s">
        <v>3303</v>
      </c>
      <c r="E2692" s="23" t="s">
        <v>3317</v>
      </c>
      <c r="F2692" s="23" t="s">
        <v>3729</v>
      </c>
      <c r="G2692" s="93">
        <v>3</v>
      </c>
      <c r="H2692" s="93">
        <v>1</v>
      </c>
      <c r="I2692" s="23"/>
      <c r="J2692" s="23"/>
      <c r="K2692" s="23"/>
      <c r="L2692" s="23" t="s">
        <v>6880</v>
      </c>
      <c r="M2692" s="23"/>
    </row>
    <row r="2693" spans="2:13" x14ac:dyDescent="0.25">
      <c r="B2693" s="35" t="s">
        <v>8278</v>
      </c>
      <c r="C2693" s="23" t="s">
        <v>8279</v>
      </c>
      <c r="D2693" s="23" t="s">
        <v>3303</v>
      </c>
      <c r="E2693" s="23" t="s">
        <v>3317</v>
      </c>
      <c r="F2693" s="23" t="s">
        <v>3729</v>
      </c>
      <c r="G2693" s="93">
        <v>3</v>
      </c>
      <c r="H2693" s="93">
        <v>1</v>
      </c>
      <c r="I2693" s="23"/>
      <c r="J2693" s="23"/>
      <c r="K2693" s="23"/>
      <c r="L2693" s="23" t="s">
        <v>6880</v>
      </c>
      <c r="M2693" s="23"/>
    </row>
    <row r="2694" spans="2:13" x14ac:dyDescent="0.25">
      <c r="B2694" s="35" t="s">
        <v>8280</v>
      </c>
      <c r="C2694" s="23" t="s">
        <v>8281</v>
      </c>
      <c r="D2694" s="23" t="s">
        <v>3303</v>
      </c>
      <c r="E2694" s="23" t="s">
        <v>3317</v>
      </c>
      <c r="F2694" s="23" t="s">
        <v>3729</v>
      </c>
      <c r="G2694" s="93">
        <v>3</v>
      </c>
      <c r="H2694" s="93">
        <v>1</v>
      </c>
      <c r="I2694" s="23"/>
      <c r="J2694" s="23"/>
      <c r="K2694" s="23"/>
      <c r="L2694" s="23" t="s">
        <v>6880</v>
      </c>
      <c r="M2694" s="23"/>
    </row>
    <row r="2695" spans="2:13" x14ac:dyDescent="0.25">
      <c r="B2695" s="35" t="s">
        <v>8282</v>
      </c>
      <c r="C2695" s="23" t="s">
        <v>8283</v>
      </c>
      <c r="D2695" s="23" t="s">
        <v>3303</v>
      </c>
      <c r="E2695" s="23" t="s">
        <v>3317</v>
      </c>
      <c r="F2695" s="23" t="s">
        <v>3729</v>
      </c>
      <c r="G2695" s="93">
        <v>3</v>
      </c>
      <c r="H2695" s="93">
        <v>1</v>
      </c>
      <c r="I2695" s="23"/>
      <c r="J2695" s="23"/>
      <c r="K2695" s="23"/>
      <c r="L2695" s="23" t="s">
        <v>6880</v>
      </c>
      <c r="M2695" s="23"/>
    </row>
    <row r="2696" spans="2:13" x14ac:dyDescent="0.25">
      <c r="B2696" s="35" t="s">
        <v>8284</v>
      </c>
      <c r="C2696" s="23" t="s">
        <v>8285</v>
      </c>
      <c r="D2696" s="23" t="s">
        <v>3303</v>
      </c>
      <c r="E2696" s="23" t="s">
        <v>3317</v>
      </c>
      <c r="F2696" s="23" t="s">
        <v>3729</v>
      </c>
      <c r="G2696" s="93">
        <v>3</v>
      </c>
      <c r="H2696" s="93">
        <v>1</v>
      </c>
      <c r="I2696" s="23"/>
      <c r="J2696" s="23"/>
      <c r="K2696" s="23"/>
      <c r="L2696" s="23" t="s">
        <v>6880</v>
      </c>
      <c r="M2696" s="23"/>
    </row>
    <row r="2697" spans="2:13" x14ac:dyDescent="0.25">
      <c r="B2697" s="35" t="s">
        <v>8286</v>
      </c>
      <c r="C2697" s="23" t="s">
        <v>8287</v>
      </c>
      <c r="D2697" s="23" t="s">
        <v>3303</v>
      </c>
      <c r="E2697" s="23" t="s">
        <v>3317</v>
      </c>
      <c r="F2697" s="23" t="s">
        <v>3729</v>
      </c>
      <c r="G2697" s="93">
        <v>3</v>
      </c>
      <c r="H2697" s="93">
        <v>1</v>
      </c>
      <c r="I2697" s="23"/>
      <c r="J2697" s="23"/>
      <c r="K2697" s="23"/>
      <c r="L2697" s="23" t="s">
        <v>6880</v>
      </c>
      <c r="M2697" s="23"/>
    </row>
    <row r="2698" spans="2:13" x14ac:dyDescent="0.25">
      <c r="B2698" s="35" t="s">
        <v>8288</v>
      </c>
      <c r="C2698" s="23" t="s">
        <v>8289</v>
      </c>
      <c r="D2698" s="23" t="s">
        <v>3303</v>
      </c>
      <c r="E2698" s="23" t="s">
        <v>3317</v>
      </c>
      <c r="F2698" s="23" t="s">
        <v>3729</v>
      </c>
      <c r="G2698" s="93">
        <v>3</v>
      </c>
      <c r="H2698" s="93">
        <v>1</v>
      </c>
      <c r="I2698" s="23"/>
      <c r="J2698" s="23"/>
      <c r="K2698" s="23"/>
      <c r="L2698" s="23" t="s">
        <v>6880</v>
      </c>
      <c r="M2698" s="23"/>
    </row>
    <row r="2699" spans="2:13" x14ac:dyDescent="0.25">
      <c r="B2699" s="35" t="s">
        <v>8290</v>
      </c>
      <c r="C2699" s="23" t="s">
        <v>8291</v>
      </c>
      <c r="D2699" s="23" t="s">
        <v>3303</v>
      </c>
      <c r="E2699" s="23" t="s">
        <v>3317</v>
      </c>
      <c r="F2699" s="23" t="s">
        <v>3729</v>
      </c>
      <c r="G2699" s="93">
        <v>3</v>
      </c>
      <c r="H2699" s="93">
        <v>0</v>
      </c>
      <c r="I2699" s="23"/>
      <c r="J2699" s="23"/>
      <c r="K2699" s="23"/>
      <c r="L2699" s="23" t="s">
        <v>6880</v>
      </c>
      <c r="M2699" s="23"/>
    </row>
    <row r="2700" spans="2:13" x14ac:dyDescent="0.25">
      <c r="B2700" s="35" t="s">
        <v>8292</v>
      </c>
      <c r="C2700" s="23" t="s">
        <v>8293</v>
      </c>
      <c r="D2700" s="23" t="s">
        <v>3303</v>
      </c>
      <c r="E2700" s="23" t="s">
        <v>3317</v>
      </c>
      <c r="F2700" s="23" t="s">
        <v>3729</v>
      </c>
      <c r="G2700" s="93">
        <v>3</v>
      </c>
      <c r="H2700" s="93">
        <v>0</v>
      </c>
      <c r="I2700" s="23"/>
      <c r="J2700" s="23"/>
      <c r="K2700" s="23"/>
      <c r="L2700" s="23" t="s">
        <v>6880</v>
      </c>
      <c r="M2700" s="23"/>
    </row>
    <row r="2701" spans="2:13" x14ac:dyDescent="0.25">
      <c r="B2701" s="35" t="s">
        <v>8294</v>
      </c>
      <c r="C2701" s="23" t="s">
        <v>8295</v>
      </c>
      <c r="D2701" s="23" t="s">
        <v>3303</v>
      </c>
      <c r="E2701" s="23" t="s">
        <v>3317</v>
      </c>
      <c r="F2701" s="23" t="s">
        <v>3729</v>
      </c>
      <c r="G2701" s="93">
        <v>3</v>
      </c>
      <c r="H2701" s="93">
        <v>0</v>
      </c>
      <c r="I2701" s="23"/>
      <c r="J2701" s="23"/>
      <c r="K2701" s="23"/>
      <c r="L2701" s="23" t="s">
        <v>6880</v>
      </c>
      <c r="M2701" s="23"/>
    </row>
    <row r="2702" spans="2:13" x14ac:dyDescent="0.25">
      <c r="B2702" s="35" t="s">
        <v>8296</v>
      </c>
      <c r="C2702" s="23" t="s">
        <v>8297</v>
      </c>
      <c r="D2702" s="23" t="s">
        <v>3303</v>
      </c>
      <c r="E2702" s="23" t="s">
        <v>3317</v>
      </c>
      <c r="F2702" s="23" t="s">
        <v>3729</v>
      </c>
      <c r="G2702" s="93">
        <v>3</v>
      </c>
      <c r="H2702" s="93">
        <v>0</v>
      </c>
      <c r="I2702" s="23"/>
      <c r="J2702" s="23"/>
      <c r="K2702" s="23"/>
      <c r="L2702" s="23" t="s">
        <v>6880</v>
      </c>
      <c r="M2702" s="23"/>
    </row>
    <row r="2703" spans="2:13" x14ac:dyDescent="0.25">
      <c r="B2703" s="35" t="s">
        <v>8298</v>
      </c>
      <c r="C2703" s="23" t="s">
        <v>8299</v>
      </c>
      <c r="D2703" s="23" t="s">
        <v>3303</v>
      </c>
      <c r="E2703" s="23" t="s">
        <v>3317</v>
      </c>
      <c r="F2703" s="23" t="s">
        <v>3729</v>
      </c>
      <c r="G2703" s="93">
        <v>3</v>
      </c>
      <c r="H2703" s="93">
        <v>0</v>
      </c>
      <c r="I2703" s="23"/>
      <c r="J2703" s="23"/>
      <c r="K2703" s="23"/>
      <c r="L2703" s="23" t="s">
        <v>6880</v>
      </c>
      <c r="M2703" s="23"/>
    </row>
    <row r="2704" spans="2:13" x14ac:dyDescent="0.25">
      <c r="B2704" s="35" t="s">
        <v>8300</v>
      </c>
      <c r="C2704" s="23" t="s">
        <v>8301</v>
      </c>
      <c r="D2704" s="23" t="s">
        <v>3303</v>
      </c>
      <c r="E2704" s="23" t="s">
        <v>3317</v>
      </c>
      <c r="F2704" s="23" t="s">
        <v>3729</v>
      </c>
      <c r="G2704" s="93">
        <v>3</v>
      </c>
      <c r="H2704" s="93">
        <v>0</v>
      </c>
      <c r="I2704" s="23"/>
      <c r="J2704" s="23"/>
      <c r="K2704" s="23"/>
      <c r="L2704" s="23" t="s">
        <v>6880</v>
      </c>
      <c r="M2704" s="23"/>
    </row>
    <row r="2705" spans="2:13" x14ac:dyDescent="0.25">
      <c r="B2705" s="35" t="s">
        <v>8302</v>
      </c>
      <c r="C2705" s="23" t="s">
        <v>8303</v>
      </c>
      <c r="D2705" s="23" t="s">
        <v>3303</v>
      </c>
      <c r="E2705" s="23" t="s">
        <v>3317</v>
      </c>
      <c r="F2705" s="23" t="s">
        <v>3729</v>
      </c>
      <c r="G2705" s="93">
        <v>3</v>
      </c>
      <c r="H2705" s="93">
        <v>0</v>
      </c>
      <c r="I2705" s="23"/>
      <c r="J2705" s="23"/>
      <c r="K2705" s="23"/>
      <c r="L2705" s="23" t="s">
        <v>6880</v>
      </c>
      <c r="M2705" s="23"/>
    </row>
    <row r="2706" spans="2:13" x14ac:dyDescent="0.25">
      <c r="B2706" s="35" t="s">
        <v>8304</v>
      </c>
      <c r="C2706" s="23" t="s">
        <v>8305</v>
      </c>
      <c r="D2706" s="23" t="s">
        <v>3303</v>
      </c>
      <c r="E2706" s="23" t="s">
        <v>3317</v>
      </c>
      <c r="F2706" s="23" t="s">
        <v>3729</v>
      </c>
      <c r="G2706" s="93">
        <v>3</v>
      </c>
      <c r="H2706" s="93">
        <v>0</v>
      </c>
      <c r="I2706" s="23"/>
      <c r="J2706" s="23"/>
      <c r="K2706" s="23"/>
      <c r="L2706" s="23" t="s">
        <v>6880</v>
      </c>
      <c r="M2706" s="23"/>
    </row>
    <row r="2707" spans="2:13" x14ac:dyDescent="0.25">
      <c r="B2707" s="35" t="s">
        <v>8306</v>
      </c>
      <c r="C2707" s="23" t="s">
        <v>8307</v>
      </c>
      <c r="D2707" s="23" t="s">
        <v>3303</v>
      </c>
      <c r="E2707" s="23" t="s">
        <v>3317</v>
      </c>
      <c r="F2707" s="23" t="s">
        <v>3729</v>
      </c>
      <c r="G2707" s="93">
        <v>3</v>
      </c>
      <c r="H2707" s="93">
        <v>0</v>
      </c>
      <c r="I2707" s="23"/>
      <c r="J2707" s="23"/>
      <c r="K2707" s="23"/>
      <c r="L2707" s="23" t="s">
        <v>6880</v>
      </c>
      <c r="M2707" s="23"/>
    </row>
    <row r="2708" spans="2:13" x14ac:dyDescent="0.25">
      <c r="B2708" s="35" t="s">
        <v>8308</v>
      </c>
      <c r="C2708" s="23" t="s">
        <v>8309</v>
      </c>
      <c r="D2708" s="23" t="s">
        <v>3303</v>
      </c>
      <c r="E2708" s="23" t="s">
        <v>3317</v>
      </c>
      <c r="F2708" s="23" t="s">
        <v>3729</v>
      </c>
      <c r="G2708" s="93">
        <v>3</v>
      </c>
      <c r="H2708" s="93">
        <v>0</v>
      </c>
      <c r="I2708" s="23"/>
      <c r="J2708" s="23"/>
      <c r="K2708" s="23"/>
      <c r="L2708" s="23" t="s">
        <v>6880</v>
      </c>
      <c r="M2708" s="23"/>
    </row>
    <row r="2709" spans="2:13" x14ac:dyDescent="0.25">
      <c r="B2709" s="35" t="s">
        <v>8310</v>
      </c>
      <c r="C2709" s="23" t="s">
        <v>8311</v>
      </c>
      <c r="D2709" s="23" t="s">
        <v>3303</v>
      </c>
      <c r="E2709" s="23" t="s">
        <v>3317</v>
      </c>
      <c r="F2709" s="23" t="s">
        <v>3729</v>
      </c>
      <c r="G2709" s="93">
        <v>3</v>
      </c>
      <c r="H2709" s="93">
        <v>0</v>
      </c>
      <c r="I2709" s="23"/>
      <c r="J2709" s="23"/>
      <c r="K2709" s="23"/>
      <c r="L2709" s="23" t="s">
        <v>6880</v>
      </c>
      <c r="M2709" s="23"/>
    </row>
    <row r="2710" spans="2:13" x14ac:dyDescent="0.25">
      <c r="B2710" s="35" t="s">
        <v>8312</v>
      </c>
      <c r="C2710" s="23" t="s">
        <v>8313</v>
      </c>
      <c r="D2710" s="23" t="s">
        <v>3303</v>
      </c>
      <c r="E2710" s="23" t="s">
        <v>3317</v>
      </c>
      <c r="F2710" s="23" t="s">
        <v>3729</v>
      </c>
      <c r="G2710" s="93">
        <v>3</v>
      </c>
      <c r="H2710" s="93">
        <v>0</v>
      </c>
      <c r="I2710" s="23"/>
      <c r="J2710" s="23"/>
      <c r="K2710" s="23"/>
      <c r="L2710" s="23" t="s">
        <v>6880</v>
      </c>
      <c r="M2710" s="23"/>
    </row>
    <row r="2711" spans="2:13" x14ac:dyDescent="0.25">
      <c r="B2711" s="35" t="s">
        <v>8314</v>
      </c>
      <c r="C2711" s="23" t="s">
        <v>8315</v>
      </c>
      <c r="D2711" s="23" t="s">
        <v>3303</v>
      </c>
      <c r="E2711" s="23" t="s">
        <v>3317</v>
      </c>
      <c r="F2711" s="23" t="s">
        <v>3729</v>
      </c>
      <c r="G2711" s="93">
        <v>3</v>
      </c>
      <c r="H2711" s="93">
        <v>0</v>
      </c>
      <c r="I2711" s="23"/>
      <c r="J2711" s="23"/>
      <c r="K2711" s="23"/>
      <c r="L2711" s="23" t="s">
        <v>6880</v>
      </c>
      <c r="M2711" s="23"/>
    </row>
    <row r="2712" spans="2:13" x14ac:dyDescent="0.25">
      <c r="B2712" s="35" t="s">
        <v>8316</v>
      </c>
      <c r="C2712" s="23" t="s">
        <v>8317</v>
      </c>
      <c r="D2712" s="23" t="s">
        <v>3303</v>
      </c>
      <c r="E2712" s="23" t="s">
        <v>3317</v>
      </c>
      <c r="F2712" s="23" t="s">
        <v>3729</v>
      </c>
      <c r="G2712" s="93">
        <v>3</v>
      </c>
      <c r="H2712" s="93">
        <v>0</v>
      </c>
      <c r="I2712" s="23"/>
      <c r="J2712" s="23"/>
      <c r="K2712" s="23"/>
      <c r="L2712" s="23" t="s">
        <v>6880</v>
      </c>
      <c r="M2712" s="23"/>
    </row>
    <row r="2713" spans="2:13" x14ac:dyDescent="0.25">
      <c r="B2713" s="35" t="s">
        <v>8318</v>
      </c>
      <c r="C2713" s="23" t="s">
        <v>8319</v>
      </c>
      <c r="D2713" s="23" t="s">
        <v>3303</v>
      </c>
      <c r="E2713" s="23" t="s">
        <v>3317</v>
      </c>
      <c r="F2713" s="23" t="s">
        <v>3729</v>
      </c>
      <c r="G2713" s="93">
        <v>3</v>
      </c>
      <c r="H2713" s="93">
        <v>0</v>
      </c>
      <c r="I2713" s="23"/>
      <c r="J2713" s="23"/>
      <c r="K2713" s="23"/>
      <c r="L2713" s="23" t="s">
        <v>6880</v>
      </c>
      <c r="M2713" s="23"/>
    </row>
    <row r="2714" spans="2:13" x14ac:dyDescent="0.25">
      <c r="B2714" s="35" t="s">
        <v>8320</v>
      </c>
      <c r="C2714" s="23" t="s">
        <v>8321</v>
      </c>
      <c r="D2714" s="23" t="s">
        <v>3303</v>
      </c>
      <c r="E2714" s="23" t="s">
        <v>3317</v>
      </c>
      <c r="F2714" s="23" t="s">
        <v>3729</v>
      </c>
      <c r="G2714" s="93">
        <v>3</v>
      </c>
      <c r="H2714" s="93">
        <v>0</v>
      </c>
      <c r="I2714" s="23"/>
      <c r="J2714" s="23"/>
      <c r="K2714" s="23"/>
      <c r="L2714" s="23" t="s">
        <v>6880</v>
      </c>
      <c r="M2714" s="23"/>
    </row>
    <row r="2715" spans="2:13" x14ac:dyDescent="0.25">
      <c r="B2715" s="35" t="s">
        <v>8322</v>
      </c>
      <c r="C2715" s="23" t="s">
        <v>8323</v>
      </c>
      <c r="D2715" s="23" t="s">
        <v>3303</v>
      </c>
      <c r="E2715" s="23" t="s">
        <v>3317</v>
      </c>
      <c r="F2715" s="23" t="s">
        <v>3729</v>
      </c>
      <c r="G2715" s="93">
        <v>3</v>
      </c>
      <c r="H2715" s="93">
        <v>0</v>
      </c>
      <c r="I2715" s="23"/>
      <c r="J2715" s="23"/>
      <c r="K2715" s="23"/>
      <c r="L2715" s="23" t="s">
        <v>6880</v>
      </c>
      <c r="M2715" s="23"/>
    </row>
    <row r="2716" spans="2:13" x14ac:dyDescent="0.25">
      <c r="B2716" s="35" t="s">
        <v>8324</v>
      </c>
      <c r="C2716" s="23" t="s">
        <v>8325</v>
      </c>
      <c r="D2716" s="23" t="s">
        <v>3303</v>
      </c>
      <c r="E2716" s="23" t="s">
        <v>3317</v>
      </c>
      <c r="F2716" s="23" t="s">
        <v>3729</v>
      </c>
      <c r="G2716" s="93">
        <v>3</v>
      </c>
      <c r="H2716" s="93">
        <v>0</v>
      </c>
      <c r="I2716" s="23"/>
      <c r="J2716" s="23"/>
      <c r="K2716" s="23"/>
      <c r="L2716" s="23" t="s">
        <v>6880</v>
      </c>
      <c r="M2716" s="23"/>
    </row>
    <row r="2717" spans="2:13" x14ac:dyDescent="0.25">
      <c r="B2717" s="35" t="s">
        <v>8326</v>
      </c>
      <c r="C2717" s="23" t="s">
        <v>8327</v>
      </c>
      <c r="D2717" s="23" t="s">
        <v>3303</v>
      </c>
      <c r="E2717" s="23" t="s">
        <v>3317</v>
      </c>
      <c r="F2717" s="23" t="s">
        <v>3729</v>
      </c>
      <c r="G2717" s="93">
        <v>3</v>
      </c>
      <c r="H2717" s="93">
        <v>0</v>
      </c>
      <c r="I2717" s="23"/>
      <c r="J2717" s="23"/>
      <c r="K2717" s="23"/>
      <c r="L2717" s="23" t="s">
        <v>6880</v>
      </c>
      <c r="M2717" s="23"/>
    </row>
    <row r="2718" spans="2:13" x14ac:dyDescent="0.25">
      <c r="B2718" s="35" t="s">
        <v>8328</v>
      </c>
      <c r="C2718" s="23" t="s">
        <v>8329</v>
      </c>
      <c r="D2718" s="23" t="s">
        <v>3303</v>
      </c>
      <c r="E2718" s="23" t="s">
        <v>3317</v>
      </c>
      <c r="F2718" s="23" t="s">
        <v>3729</v>
      </c>
      <c r="G2718" s="93">
        <v>3</v>
      </c>
      <c r="H2718" s="93">
        <v>0</v>
      </c>
      <c r="I2718" s="23"/>
      <c r="J2718" s="23"/>
      <c r="K2718" s="23"/>
      <c r="L2718" s="23" t="s">
        <v>6880</v>
      </c>
      <c r="M2718" s="23"/>
    </row>
    <row r="2719" spans="2:13" x14ac:dyDescent="0.25">
      <c r="B2719" s="35" t="s">
        <v>8330</v>
      </c>
      <c r="C2719" s="23" t="s">
        <v>8331</v>
      </c>
      <c r="D2719" s="23" t="s">
        <v>3303</v>
      </c>
      <c r="E2719" s="23" t="s">
        <v>3317</v>
      </c>
      <c r="F2719" s="23" t="s">
        <v>3729</v>
      </c>
      <c r="G2719" s="93">
        <v>3</v>
      </c>
      <c r="H2719" s="93">
        <v>0</v>
      </c>
      <c r="I2719" s="23"/>
      <c r="J2719" s="23"/>
      <c r="K2719" s="23"/>
      <c r="L2719" s="23" t="s">
        <v>6880</v>
      </c>
      <c r="M2719" s="23"/>
    </row>
    <row r="2720" spans="2:13" x14ac:dyDescent="0.25">
      <c r="B2720" s="35" t="s">
        <v>8332</v>
      </c>
      <c r="C2720" s="23" t="s">
        <v>8333</v>
      </c>
      <c r="D2720" s="23" t="s">
        <v>3303</v>
      </c>
      <c r="E2720" s="23" t="s">
        <v>3317</v>
      </c>
      <c r="F2720" s="23" t="s">
        <v>3729</v>
      </c>
      <c r="G2720" s="93">
        <v>3</v>
      </c>
      <c r="H2720" s="93">
        <v>0</v>
      </c>
      <c r="I2720" s="23"/>
      <c r="J2720" s="23"/>
      <c r="K2720" s="23"/>
      <c r="L2720" s="23" t="s">
        <v>6880</v>
      </c>
      <c r="M2720" s="23"/>
    </row>
    <row r="2721" spans="2:13" x14ac:dyDescent="0.25">
      <c r="B2721" s="35" t="s">
        <v>8334</v>
      </c>
      <c r="C2721" s="23" t="s">
        <v>8335</v>
      </c>
      <c r="D2721" s="23" t="s">
        <v>3303</v>
      </c>
      <c r="E2721" s="23" t="s">
        <v>3317</v>
      </c>
      <c r="F2721" s="23" t="s">
        <v>3729</v>
      </c>
      <c r="G2721" s="93">
        <v>3</v>
      </c>
      <c r="H2721" s="93">
        <v>0</v>
      </c>
      <c r="I2721" s="23"/>
      <c r="J2721" s="23"/>
      <c r="K2721" s="23"/>
      <c r="L2721" s="23" t="s">
        <v>6880</v>
      </c>
      <c r="M2721" s="23"/>
    </row>
    <row r="2722" spans="2:13" x14ac:dyDescent="0.25">
      <c r="B2722" s="35" t="s">
        <v>8336</v>
      </c>
      <c r="C2722" s="23" t="s">
        <v>8337</v>
      </c>
      <c r="D2722" s="23" t="s">
        <v>3303</v>
      </c>
      <c r="E2722" s="23" t="s">
        <v>3317</v>
      </c>
      <c r="F2722" s="23" t="s">
        <v>3729</v>
      </c>
      <c r="G2722" s="93">
        <v>3</v>
      </c>
      <c r="H2722" s="93">
        <v>0</v>
      </c>
      <c r="I2722" s="23"/>
      <c r="J2722" s="23"/>
      <c r="K2722" s="23"/>
      <c r="L2722" s="23" t="s">
        <v>6880</v>
      </c>
      <c r="M2722" s="23"/>
    </row>
    <row r="2723" spans="2:13" x14ac:dyDescent="0.25">
      <c r="B2723" s="35" t="s">
        <v>8338</v>
      </c>
      <c r="C2723" s="23" t="s">
        <v>8339</v>
      </c>
      <c r="D2723" s="23" t="s">
        <v>3303</v>
      </c>
      <c r="E2723" s="23" t="s">
        <v>3317</v>
      </c>
      <c r="F2723" s="23" t="s">
        <v>3729</v>
      </c>
      <c r="G2723" s="93">
        <v>3</v>
      </c>
      <c r="H2723" s="93">
        <v>0</v>
      </c>
      <c r="I2723" s="23"/>
      <c r="J2723" s="23"/>
      <c r="K2723" s="23"/>
      <c r="L2723" s="23" t="s">
        <v>6880</v>
      </c>
      <c r="M2723" s="23"/>
    </row>
    <row r="2724" spans="2:13" x14ac:dyDescent="0.25">
      <c r="B2724" s="35" t="s">
        <v>8340</v>
      </c>
      <c r="C2724" s="23" t="s">
        <v>8341</v>
      </c>
      <c r="D2724" s="23" t="s">
        <v>3303</v>
      </c>
      <c r="E2724" s="23" t="s">
        <v>3317</v>
      </c>
      <c r="F2724" s="23" t="s">
        <v>3729</v>
      </c>
      <c r="G2724" s="93">
        <v>3</v>
      </c>
      <c r="H2724" s="93">
        <v>0</v>
      </c>
      <c r="I2724" s="23"/>
      <c r="J2724" s="23"/>
      <c r="K2724" s="23"/>
      <c r="L2724" s="23" t="s">
        <v>6880</v>
      </c>
      <c r="M2724" s="23"/>
    </row>
    <row r="2725" spans="2:13" x14ac:dyDescent="0.25">
      <c r="B2725" s="35" t="s">
        <v>8342</v>
      </c>
      <c r="C2725" s="23" t="s">
        <v>8343</v>
      </c>
      <c r="D2725" s="23" t="s">
        <v>3303</v>
      </c>
      <c r="E2725" s="23" t="s">
        <v>3317</v>
      </c>
      <c r="F2725" s="23" t="s">
        <v>3729</v>
      </c>
      <c r="G2725" s="93">
        <v>3</v>
      </c>
      <c r="H2725" s="93">
        <v>0</v>
      </c>
      <c r="I2725" s="23"/>
      <c r="J2725" s="23"/>
      <c r="K2725" s="23"/>
      <c r="L2725" s="23" t="s">
        <v>6880</v>
      </c>
      <c r="M2725" s="23"/>
    </row>
    <row r="2726" spans="2:13" x14ac:dyDescent="0.25">
      <c r="B2726" s="35" t="s">
        <v>8344</v>
      </c>
      <c r="C2726" s="23" t="s">
        <v>8345</v>
      </c>
      <c r="D2726" s="23" t="s">
        <v>3303</v>
      </c>
      <c r="E2726" s="23" t="s">
        <v>3317</v>
      </c>
      <c r="F2726" s="23" t="s">
        <v>3729</v>
      </c>
      <c r="G2726" s="93">
        <v>3</v>
      </c>
      <c r="H2726" s="93">
        <v>0</v>
      </c>
      <c r="I2726" s="23"/>
      <c r="J2726" s="23"/>
      <c r="K2726" s="23"/>
      <c r="L2726" s="23" t="s">
        <v>6880</v>
      </c>
      <c r="M2726" s="23"/>
    </row>
    <row r="2727" spans="2:13" x14ac:dyDescent="0.25">
      <c r="B2727" s="35" t="s">
        <v>8346</v>
      </c>
      <c r="C2727" s="23" t="s">
        <v>8347</v>
      </c>
      <c r="D2727" s="23" t="s">
        <v>3303</v>
      </c>
      <c r="E2727" s="23" t="s">
        <v>3317</v>
      </c>
      <c r="F2727" s="23" t="s">
        <v>3729</v>
      </c>
      <c r="G2727" s="93">
        <v>3</v>
      </c>
      <c r="H2727" s="93">
        <v>0</v>
      </c>
      <c r="I2727" s="23"/>
      <c r="J2727" s="23"/>
      <c r="K2727" s="23"/>
      <c r="L2727" s="23" t="s">
        <v>6880</v>
      </c>
      <c r="M2727" s="23"/>
    </row>
    <row r="2728" spans="2:13" x14ac:dyDescent="0.25">
      <c r="B2728" s="35" t="s">
        <v>8348</v>
      </c>
      <c r="C2728" s="23" t="s">
        <v>8349</v>
      </c>
      <c r="D2728" s="23" t="s">
        <v>3303</v>
      </c>
      <c r="E2728" s="23" t="s">
        <v>3317</v>
      </c>
      <c r="F2728" s="23" t="s">
        <v>3729</v>
      </c>
      <c r="G2728" s="93">
        <v>3</v>
      </c>
      <c r="H2728" s="93">
        <v>0</v>
      </c>
      <c r="I2728" s="23"/>
      <c r="J2728" s="23"/>
      <c r="K2728" s="23"/>
      <c r="L2728" s="23" t="s">
        <v>6880</v>
      </c>
      <c r="M2728" s="23"/>
    </row>
    <row r="2729" spans="2:13" x14ac:dyDescent="0.25">
      <c r="B2729" s="35" t="s">
        <v>8350</v>
      </c>
      <c r="C2729" s="23" t="s">
        <v>8351</v>
      </c>
      <c r="D2729" s="23" t="s">
        <v>3303</v>
      </c>
      <c r="E2729" s="23" t="s">
        <v>3317</v>
      </c>
      <c r="F2729" s="23" t="s">
        <v>3729</v>
      </c>
      <c r="G2729" s="93">
        <v>3</v>
      </c>
      <c r="H2729" s="93">
        <v>0</v>
      </c>
      <c r="I2729" s="23"/>
      <c r="J2729" s="23"/>
      <c r="K2729" s="23"/>
      <c r="L2729" s="23" t="s">
        <v>6880</v>
      </c>
      <c r="M2729" s="23"/>
    </row>
    <row r="2730" spans="2:13" x14ac:dyDescent="0.25">
      <c r="B2730" s="35" t="s">
        <v>8352</v>
      </c>
      <c r="C2730" s="23" t="s">
        <v>8353</v>
      </c>
      <c r="D2730" s="23" t="s">
        <v>3303</v>
      </c>
      <c r="E2730" s="23" t="s">
        <v>3317</v>
      </c>
      <c r="F2730" s="23" t="s">
        <v>3729</v>
      </c>
      <c r="G2730" s="93">
        <v>3</v>
      </c>
      <c r="H2730" s="93">
        <v>0</v>
      </c>
      <c r="I2730" s="23"/>
      <c r="J2730" s="23"/>
      <c r="K2730" s="23"/>
      <c r="L2730" s="23" t="s">
        <v>6880</v>
      </c>
      <c r="M2730" s="23"/>
    </row>
    <row r="2731" spans="2:13" x14ac:dyDescent="0.25">
      <c r="B2731" s="35" t="s">
        <v>8354</v>
      </c>
      <c r="C2731" s="23" t="s">
        <v>8355</v>
      </c>
      <c r="D2731" s="23" t="s">
        <v>3303</v>
      </c>
      <c r="E2731" s="23" t="s">
        <v>3317</v>
      </c>
      <c r="F2731" s="23" t="s">
        <v>3729</v>
      </c>
      <c r="G2731" s="93">
        <v>3</v>
      </c>
      <c r="H2731" s="93">
        <v>0</v>
      </c>
      <c r="I2731" s="23"/>
      <c r="J2731" s="23"/>
      <c r="K2731" s="23"/>
      <c r="L2731" s="23" t="s">
        <v>6880</v>
      </c>
      <c r="M2731" s="23"/>
    </row>
    <row r="2732" spans="2:13" x14ac:dyDescent="0.25">
      <c r="B2732" s="35" t="s">
        <v>8356</v>
      </c>
      <c r="C2732" s="23" t="s">
        <v>8357</v>
      </c>
      <c r="D2732" s="23" t="s">
        <v>3303</v>
      </c>
      <c r="E2732" s="23" t="s">
        <v>3317</v>
      </c>
      <c r="F2732" s="23" t="s">
        <v>3729</v>
      </c>
      <c r="G2732" s="93">
        <v>3</v>
      </c>
      <c r="H2732" s="93">
        <v>0</v>
      </c>
      <c r="I2732" s="23"/>
      <c r="J2732" s="23"/>
      <c r="K2732" s="23"/>
      <c r="L2732" s="23" t="s">
        <v>6880</v>
      </c>
      <c r="M2732" s="23"/>
    </row>
    <row r="2733" spans="2:13" x14ac:dyDescent="0.25">
      <c r="B2733" s="35" t="s">
        <v>8358</v>
      </c>
      <c r="C2733" s="23" t="s">
        <v>8359</v>
      </c>
      <c r="D2733" s="23" t="s">
        <v>3303</v>
      </c>
      <c r="E2733" s="23" t="s">
        <v>3317</v>
      </c>
      <c r="F2733" s="23" t="s">
        <v>3729</v>
      </c>
      <c r="G2733" s="93">
        <v>3</v>
      </c>
      <c r="H2733" s="93">
        <v>0</v>
      </c>
      <c r="I2733" s="23"/>
      <c r="J2733" s="23"/>
      <c r="K2733" s="23"/>
      <c r="L2733" s="23" t="s">
        <v>6880</v>
      </c>
      <c r="M2733" s="23"/>
    </row>
    <row r="2734" spans="2:13" x14ac:dyDescent="0.25">
      <c r="B2734" s="35" t="s">
        <v>8360</v>
      </c>
      <c r="C2734" s="23" t="s">
        <v>8361</v>
      </c>
      <c r="D2734" s="23" t="s">
        <v>3303</v>
      </c>
      <c r="E2734" s="23" t="s">
        <v>3317</v>
      </c>
      <c r="F2734" s="23" t="s">
        <v>3729</v>
      </c>
      <c r="G2734" s="93">
        <v>3</v>
      </c>
      <c r="H2734" s="93">
        <v>0</v>
      </c>
      <c r="I2734" s="23"/>
      <c r="J2734" s="23"/>
      <c r="K2734" s="23"/>
      <c r="L2734" s="23" t="s">
        <v>6880</v>
      </c>
      <c r="M2734" s="23"/>
    </row>
    <row r="2735" spans="2:13" x14ac:dyDescent="0.25">
      <c r="B2735" s="35" t="s">
        <v>8362</v>
      </c>
      <c r="C2735" s="23" t="s">
        <v>8363</v>
      </c>
      <c r="D2735" s="23" t="s">
        <v>3303</v>
      </c>
      <c r="E2735" s="23" t="s">
        <v>3317</v>
      </c>
      <c r="F2735" s="23" t="s">
        <v>3729</v>
      </c>
      <c r="G2735" s="93">
        <v>3</v>
      </c>
      <c r="H2735" s="93">
        <v>0</v>
      </c>
      <c r="I2735" s="23"/>
      <c r="J2735" s="23"/>
      <c r="K2735" s="23"/>
      <c r="L2735" s="23" t="s">
        <v>6880</v>
      </c>
      <c r="M2735" s="23"/>
    </row>
    <row r="2736" spans="2:13" x14ac:dyDescent="0.25">
      <c r="B2736" s="35" t="s">
        <v>8364</v>
      </c>
      <c r="C2736" s="23" t="s">
        <v>8365</v>
      </c>
      <c r="D2736" s="23" t="s">
        <v>3303</v>
      </c>
      <c r="E2736" s="23" t="s">
        <v>3317</v>
      </c>
      <c r="F2736" s="23" t="s">
        <v>3729</v>
      </c>
      <c r="G2736" s="93">
        <v>3</v>
      </c>
      <c r="H2736" s="93">
        <v>0</v>
      </c>
      <c r="I2736" s="23"/>
      <c r="J2736" s="23"/>
      <c r="K2736" s="23"/>
      <c r="L2736" s="23" t="s">
        <v>6880</v>
      </c>
      <c r="M2736" s="23"/>
    </row>
    <row r="2737" spans="2:13" x14ac:dyDescent="0.25">
      <c r="B2737" s="35" t="s">
        <v>8366</v>
      </c>
      <c r="C2737" s="23" t="s">
        <v>8367</v>
      </c>
      <c r="D2737" s="23" t="s">
        <v>3303</v>
      </c>
      <c r="E2737" s="23" t="s">
        <v>3317</v>
      </c>
      <c r="F2737" s="23" t="s">
        <v>3729</v>
      </c>
      <c r="G2737" s="93">
        <v>3</v>
      </c>
      <c r="H2737" s="93">
        <v>0</v>
      </c>
      <c r="I2737" s="23"/>
      <c r="J2737" s="23"/>
      <c r="K2737" s="23"/>
      <c r="L2737" s="23" t="s">
        <v>6880</v>
      </c>
      <c r="M2737" s="23"/>
    </row>
    <row r="2738" spans="2:13" x14ac:dyDescent="0.25">
      <c r="B2738" s="35" t="s">
        <v>8368</v>
      </c>
      <c r="C2738" s="23" t="s">
        <v>8369</v>
      </c>
      <c r="D2738" s="23" t="s">
        <v>3303</v>
      </c>
      <c r="E2738" s="23" t="s">
        <v>3317</v>
      </c>
      <c r="F2738" s="23" t="s">
        <v>3729</v>
      </c>
      <c r="G2738" s="93">
        <v>3</v>
      </c>
      <c r="H2738" s="93">
        <v>0</v>
      </c>
      <c r="I2738" s="23"/>
      <c r="J2738" s="23"/>
      <c r="K2738" s="23"/>
      <c r="L2738" s="23" t="s">
        <v>6880</v>
      </c>
      <c r="M2738" s="23"/>
    </row>
    <row r="2739" spans="2:13" x14ac:dyDescent="0.25">
      <c r="B2739" s="35" t="s">
        <v>8370</v>
      </c>
      <c r="C2739" s="23" t="s">
        <v>8371</v>
      </c>
      <c r="D2739" s="23" t="s">
        <v>3303</v>
      </c>
      <c r="E2739" s="23" t="s">
        <v>3317</v>
      </c>
      <c r="F2739" s="23" t="s">
        <v>3729</v>
      </c>
      <c r="G2739" s="93">
        <v>3</v>
      </c>
      <c r="H2739" s="93">
        <v>0</v>
      </c>
      <c r="I2739" s="23"/>
      <c r="J2739" s="23"/>
      <c r="K2739" s="23"/>
      <c r="L2739" s="23" t="s">
        <v>6880</v>
      </c>
      <c r="M2739" s="23"/>
    </row>
    <row r="2740" spans="2:13" x14ac:dyDescent="0.25">
      <c r="B2740" s="35" t="s">
        <v>8372</v>
      </c>
      <c r="C2740" s="23" t="s">
        <v>8373</v>
      </c>
      <c r="D2740" s="23" t="s">
        <v>3303</v>
      </c>
      <c r="E2740" s="23" t="s">
        <v>3317</v>
      </c>
      <c r="F2740" s="23" t="s">
        <v>3729</v>
      </c>
      <c r="G2740" s="93">
        <v>3</v>
      </c>
      <c r="H2740" s="93">
        <v>0</v>
      </c>
      <c r="I2740" s="23"/>
      <c r="J2740" s="23"/>
      <c r="K2740" s="23"/>
      <c r="L2740" s="23" t="s">
        <v>6880</v>
      </c>
      <c r="M2740" s="23"/>
    </row>
    <row r="2741" spans="2:13" x14ac:dyDescent="0.25">
      <c r="B2741" s="35" t="s">
        <v>8374</v>
      </c>
      <c r="C2741" s="23" t="s">
        <v>8375</v>
      </c>
      <c r="D2741" s="23" t="s">
        <v>3303</v>
      </c>
      <c r="E2741" s="23" t="s">
        <v>3317</v>
      </c>
      <c r="F2741" s="23" t="s">
        <v>3729</v>
      </c>
      <c r="G2741" s="93">
        <v>3</v>
      </c>
      <c r="H2741" s="93">
        <v>0</v>
      </c>
      <c r="I2741" s="23"/>
      <c r="J2741" s="23"/>
      <c r="K2741" s="23"/>
      <c r="L2741" s="23" t="s">
        <v>6880</v>
      </c>
      <c r="M2741" s="23"/>
    </row>
    <row r="2742" spans="2:13" x14ac:dyDescent="0.25">
      <c r="B2742" s="35" t="s">
        <v>8376</v>
      </c>
      <c r="C2742" s="23" t="s">
        <v>8377</v>
      </c>
      <c r="D2742" s="23" t="s">
        <v>3303</v>
      </c>
      <c r="E2742" s="23" t="s">
        <v>3317</v>
      </c>
      <c r="F2742" s="23" t="s">
        <v>3729</v>
      </c>
      <c r="G2742" s="93">
        <v>3</v>
      </c>
      <c r="H2742" s="93">
        <v>0</v>
      </c>
      <c r="I2742" s="23"/>
      <c r="J2742" s="23"/>
      <c r="K2742" s="23"/>
      <c r="L2742" s="23" t="s">
        <v>6880</v>
      </c>
      <c r="M2742" s="23"/>
    </row>
    <row r="2743" spans="2:13" x14ac:dyDescent="0.25">
      <c r="B2743" s="35" t="s">
        <v>8378</v>
      </c>
      <c r="C2743" s="23" t="s">
        <v>8379</v>
      </c>
      <c r="D2743" s="23" t="s">
        <v>3303</v>
      </c>
      <c r="E2743" s="23" t="s">
        <v>3317</v>
      </c>
      <c r="F2743" s="23" t="s">
        <v>3729</v>
      </c>
      <c r="G2743" s="93">
        <v>3</v>
      </c>
      <c r="H2743" s="93">
        <v>0</v>
      </c>
      <c r="I2743" s="23"/>
      <c r="J2743" s="23"/>
      <c r="K2743" s="23"/>
      <c r="L2743" s="23" t="s">
        <v>6880</v>
      </c>
      <c r="M2743" s="23"/>
    </row>
    <row r="2744" spans="2:13" x14ac:dyDescent="0.25">
      <c r="B2744" s="35" t="s">
        <v>8380</v>
      </c>
      <c r="C2744" s="23" t="s">
        <v>8381</v>
      </c>
      <c r="D2744" s="23" t="s">
        <v>3303</v>
      </c>
      <c r="E2744" s="23" t="s">
        <v>3317</v>
      </c>
      <c r="F2744" s="23" t="s">
        <v>3729</v>
      </c>
      <c r="G2744" s="93">
        <v>3</v>
      </c>
      <c r="H2744" s="93">
        <v>0</v>
      </c>
      <c r="I2744" s="23"/>
      <c r="J2744" s="23"/>
      <c r="K2744" s="23"/>
      <c r="L2744" s="23" t="s">
        <v>6880</v>
      </c>
      <c r="M2744" s="23"/>
    </row>
    <row r="2745" spans="2:13" x14ac:dyDescent="0.25">
      <c r="B2745" s="35" t="s">
        <v>8382</v>
      </c>
      <c r="C2745" s="23" t="s">
        <v>8383</v>
      </c>
      <c r="D2745" s="23" t="s">
        <v>3303</v>
      </c>
      <c r="E2745" s="23" t="s">
        <v>3317</v>
      </c>
      <c r="F2745" s="23" t="s">
        <v>3729</v>
      </c>
      <c r="G2745" s="93">
        <v>3</v>
      </c>
      <c r="H2745" s="93">
        <v>0</v>
      </c>
      <c r="I2745" s="23"/>
      <c r="J2745" s="23"/>
      <c r="K2745" s="23"/>
      <c r="L2745" s="23" t="s">
        <v>6880</v>
      </c>
      <c r="M2745" s="23"/>
    </row>
    <row r="2746" spans="2:13" x14ac:dyDescent="0.25">
      <c r="B2746" s="35" t="s">
        <v>8384</v>
      </c>
      <c r="C2746" s="23" t="s">
        <v>8385</v>
      </c>
      <c r="D2746" s="23" t="s">
        <v>3303</v>
      </c>
      <c r="E2746" s="23" t="s">
        <v>3317</v>
      </c>
      <c r="F2746" s="23" t="s">
        <v>3729</v>
      </c>
      <c r="G2746" s="93">
        <v>3</v>
      </c>
      <c r="H2746" s="93">
        <v>0</v>
      </c>
      <c r="I2746" s="23"/>
      <c r="J2746" s="23"/>
      <c r="K2746" s="23"/>
      <c r="L2746" s="23" t="s">
        <v>6880</v>
      </c>
      <c r="M2746" s="23"/>
    </row>
    <row r="2747" spans="2:13" x14ac:dyDescent="0.25">
      <c r="B2747" s="35" t="s">
        <v>8386</v>
      </c>
      <c r="C2747" s="23" t="s">
        <v>8387</v>
      </c>
      <c r="D2747" s="23" t="s">
        <v>3303</v>
      </c>
      <c r="E2747" s="23" t="s">
        <v>3317</v>
      </c>
      <c r="F2747" s="23" t="s">
        <v>3729</v>
      </c>
      <c r="G2747" s="93">
        <v>3</v>
      </c>
      <c r="H2747" s="93">
        <v>0</v>
      </c>
      <c r="I2747" s="23"/>
      <c r="J2747" s="23"/>
      <c r="K2747" s="23"/>
      <c r="L2747" s="23" t="s">
        <v>6880</v>
      </c>
      <c r="M2747" s="23"/>
    </row>
    <row r="2748" spans="2:13" x14ac:dyDescent="0.25">
      <c r="B2748" s="35" t="s">
        <v>8388</v>
      </c>
      <c r="C2748" s="23" t="s">
        <v>8389</v>
      </c>
      <c r="D2748" s="23" t="s">
        <v>3303</v>
      </c>
      <c r="E2748" s="23" t="s">
        <v>3317</v>
      </c>
      <c r="F2748" s="23" t="s">
        <v>3729</v>
      </c>
      <c r="G2748" s="93">
        <v>3</v>
      </c>
      <c r="H2748" s="93">
        <v>0</v>
      </c>
      <c r="I2748" s="23"/>
      <c r="J2748" s="23"/>
      <c r="K2748" s="23"/>
      <c r="L2748" s="23" t="s">
        <v>6880</v>
      </c>
      <c r="M2748" s="23"/>
    </row>
    <row r="2749" spans="2:13" x14ac:dyDescent="0.25">
      <c r="B2749" s="35" t="s">
        <v>8390</v>
      </c>
      <c r="C2749" s="23" t="s">
        <v>8391</v>
      </c>
      <c r="D2749" s="23" t="s">
        <v>3303</v>
      </c>
      <c r="E2749" s="23" t="s">
        <v>3317</v>
      </c>
      <c r="F2749" s="23" t="s">
        <v>3729</v>
      </c>
      <c r="G2749" s="93">
        <v>3</v>
      </c>
      <c r="H2749" s="93">
        <v>0</v>
      </c>
      <c r="I2749" s="23"/>
      <c r="J2749" s="23"/>
      <c r="K2749" s="23"/>
      <c r="L2749" s="23" t="s">
        <v>6880</v>
      </c>
      <c r="M2749" s="23"/>
    </row>
    <row r="2750" spans="2:13" x14ac:dyDescent="0.25">
      <c r="B2750" s="35" t="s">
        <v>8392</v>
      </c>
      <c r="C2750" s="23" t="s">
        <v>8393</v>
      </c>
      <c r="D2750" s="23" t="s">
        <v>3303</v>
      </c>
      <c r="E2750" s="23" t="s">
        <v>3317</v>
      </c>
      <c r="F2750" s="23" t="s">
        <v>3729</v>
      </c>
      <c r="G2750" s="93">
        <v>3</v>
      </c>
      <c r="H2750" s="93">
        <v>0</v>
      </c>
      <c r="I2750" s="23"/>
      <c r="J2750" s="23"/>
      <c r="K2750" s="23"/>
      <c r="L2750" s="23" t="s">
        <v>6880</v>
      </c>
      <c r="M2750" s="23"/>
    </row>
    <row r="2751" spans="2:13" x14ac:dyDescent="0.25">
      <c r="B2751" s="35" t="s">
        <v>8394</v>
      </c>
      <c r="C2751" s="23" t="s">
        <v>8395</v>
      </c>
      <c r="D2751" s="23" t="s">
        <v>3303</v>
      </c>
      <c r="E2751" s="23" t="s">
        <v>3317</v>
      </c>
      <c r="F2751" s="23" t="s">
        <v>3729</v>
      </c>
      <c r="G2751" s="93">
        <v>3</v>
      </c>
      <c r="H2751" s="93">
        <v>0</v>
      </c>
      <c r="I2751" s="23"/>
      <c r="J2751" s="23"/>
      <c r="K2751" s="23"/>
      <c r="L2751" s="23" t="s">
        <v>6880</v>
      </c>
      <c r="M2751" s="23"/>
    </row>
    <row r="2752" spans="2:13" x14ac:dyDescent="0.25">
      <c r="B2752" s="35" t="s">
        <v>8396</v>
      </c>
      <c r="C2752" s="23" t="s">
        <v>8397</v>
      </c>
      <c r="D2752" s="23" t="s">
        <v>3303</v>
      </c>
      <c r="E2752" s="23" t="s">
        <v>3317</v>
      </c>
      <c r="F2752" s="23" t="s">
        <v>3729</v>
      </c>
      <c r="G2752" s="93">
        <v>3</v>
      </c>
      <c r="H2752" s="93">
        <v>0</v>
      </c>
      <c r="I2752" s="23"/>
      <c r="J2752" s="23"/>
      <c r="K2752" s="23"/>
      <c r="L2752" s="23" t="s">
        <v>6880</v>
      </c>
      <c r="M2752" s="23"/>
    </row>
    <row r="2753" spans="2:13" x14ac:dyDescent="0.25">
      <c r="B2753" s="35" t="s">
        <v>8398</v>
      </c>
      <c r="C2753" s="23" t="s">
        <v>8399</v>
      </c>
      <c r="D2753" s="23" t="s">
        <v>3303</v>
      </c>
      <c r="E2753" s="23" t="s">
        <v>3317</v>
      </c>
      <c r="F2753" s="23" t="s">
        <v>3729</v>
      </c>
      <c r="G2753" s="93">
        <v>3</v>
      </c>
      <c r="H2753" s="93">
        <v>0</v>
      </c>
      <c r="I2753" s="23"/>
      <c r="J2753" s="23"/>
      <c r="K2753" s="23"/>
      <c r="L2753" s="23" t="s">
        <v>6880</v>
      </c>
      <c r="M2753" s="23"/>
    </row>
    <row r="2754" spans="2:13" x14ac:dyDescent="0.25">
      <c r="B2754" s="35" t="s">
        <v>8400</v>
      </c>
      <c r="C2754" s="23" t="s">
        <v>8401</v>
      </c>
      <c r="D2754" s="23" t="s">
        <v>3303</v>
      </c>
      <c r="E2754" s="23" t="s">
        <v>3317</v>
      </c>
      <c r="F2754" s="23" t="s">
        <v>3729</v>
      </c>
      <c r="G2754" s="93">
        <v>3</v>
      </c>
      <c r="H2754" s="93">
        <v>0</v>
      </c>
      <c r="I2754" s="23"/>
      <c r="J2754" s="23"/>
      <c r="K2754" s="23"/>
      <c r="L2754" s="23" t="s">
        <v>6880</v>
      </c>
      <c r="M2754" s="23"/>
    </row>
    <row r="2755" spans="2:13" x14ac:dyDescent="0.25">
      <c r="B2755" s="35" t="s">
        <v>8402</v>
      </c>
      <c r="C2755" s="23" t="s">
        <v>8403</v>
      </c>
      <c r="D2755" s="23" t="s">
        <v>3303</v>
      </c>
      <c r="E2755" s="23" t="s">
        <v>3317</v>
      </c>
      <c r="F2755" s="23" t="s">
        <v>3729</v>
      </c>
      <c r="G2755" s="93">
        <v>3</v>
      </c>
      <c r="H2755" s="93">
        <v>0</v>
      </c>
      <c r="I2755" s="23"/>
      <c r="J2755" s="23"/>
      <c r="K2755" s="23"/>
      <c r="L2755" s="23" t="s">
        <v>6880</v>
      </c>
      <c r="M2755" s="23"/>
    </row>
    <row r="2756" spans="2:13" x14ac:dyDescent="0.25">
      <c r="B2756" s="35" t="s">
        <v>8404</v>
      </c>
      <c r="C2756" s="23" t="s">
        <v>8405</v>
      </c>
      <c r="D2756" s="23" t="s">
        <v>3303</v>
      </c>
      <c r="E2756" s="23" t="s">
        <v>3317</v>
      </c>
      <c r="F2756" s="23" t="s">
        <v>3729</v>
      </c>
      <c r="G2756" s="93">
        <v>3</v>
      </c>
      <c r="H2756" s="93">
        <v>0</v>
      </c>
      <c r="I2756" s="23"/>
      <c r="J2756" s="23"/>
      <c r="K2756" s="23"/>
      <c r="L2756" s="23" t="s">
        <v>6880</v>
      </c>
      <c r="M2756" s="23"/>
    </row>
    <row r="2757" spans="2:13" x14ac:dyDescent="0.25">
      <c r="B2757" s="35" t="s">
        <v>8406</v>
      </c>
      <c r="C2757" s="23" t="s">
        <v>8407</v>
      </c>
      <c r="D2757" s="23" t="s">
        <v>3303</v>
      </c>
      <c r="E2757" s="23" t="s">
        <v>3317</v>
      </c>
      <c r="F2757" s="23" t="s">
        <v>3729</v>
      </c>
      <c r="G2757" s="93">
        <v>3</v>
      </c>
      <c r="H2757" s="93">
        <v>0</v>
      </c>
      <c r="I2757" s="23"/>
      <c r="J2757" s="23"/>
      <c r="K2757" s="23"/>
      <c r="L2757" s="23" t="s">
        <v>6880</v>
      </c>
      <c r="M2757" s="23"/>
    </row>
    <row r="2758" spans="2:13" x14ac:dyDescent="0.25">
      <c r="B2758" s="35" t="s">
        <v>8408</v>
      </c>
      <c r="C2758" s="23" t="s">
        <v>8409</v>
      </c>
      <c r="D2758" s="23" t="s">
        <v>3303</v>
      </c>
      <c r="E2758" s="23" t="s">
        <v>3317</v>
      </c>
      <c r="F2758" s="23" t="s">
        <v>3729</v>
      </c>
      <c r="G2758" s="93">
        <v>3</v>
      </c>
      <c r="H2758" s="93">
        <v>0</v>
      </c>
      <c r="I2758" s="23"/>
      <c r="J2758" s="23"/>
      <c r="K2758" s="23"/>
      <c r="L2758" s="23" t="s">
        <v>6880</v>
      </c>
      <c r="M2758" s="23"/>
    </row>
    <row r="2759" spans="2:13" x14ac:dyDescent="0.25">
      <c r="B2759" s="35" t="s">
        <v>8410</v>
      </c>
      <c r="C2759" s="23" t="s">
        <v>8411</v>
      </c>
      <c r="D2759" s="23" t="s">
        <v>3303</v>
      </c>
      <c r="E2759" s="23" t="s">
        <v>3317</v>
      </c>
      <c r="F2759" s="23" t="s">
        <v>3729</v>
      </c>
      <c r="G2759" s="93">
        <v>3</v>
      </c>
      <c r="H2759" s="93">
        <v>0</v>
      </c>
      <c r="I2759" s="23"/>
      <c r="J2759" s="23"/>
      <c r="K2759" s="23"/>
      <c r="L2759" s="23" t="s">
        <v>6880</v>
      </c>
      <c r="M2759" s="23"/>
    </row>
    <row r="2760" spans="2:13" x14ac:dyDescent="0.25">
      <c r="B2760" s="35" t="s">
        <v>8412</v>
      </c>
      <c r="C2760" s="23" t="s">
        <v>8413</v>
      </c>
      <c r="D2760" s="23" t="s">
        <v>3303</v>
      </c>
      <c r="E2760" s="23" t="s">
        <v>3317</v>
      </c>
      <c r="F2760" s="23" t="s">
        <v>3729</v>
      </c>
      <c r="G2760" s="93">
        <v>3</v>
      </c>
      <c r="H2760" s="93">
        <v>0</v>
      </c>
      <c r="I2760" s="23"/>
      <c r="J2760" s="23"/>
      <c r="K2760" s="23"/>
      <c r="L2760" s="23" t="s">
        <v>6880</v>
      </c>
      <c r="M2760" s="23"/>
    </row>
    <row r="2761" spans="2:13" x14ac:dyDescent="0.25">
      <c r="B2761" s="35" t="s">
        <v>8414</v>
      </c>
      <c r="C2761" s="23" t="s">
        <v>8415</v>
      </c>
      <c r="D2761" s="23" t="s">
        <v>3303</v>
      </c>
      <c r="E2761" s="23" t="s">
        <v>3317</v>
      </c>
      <c r="F2761" s="23" t="s">
        <v>3729</v>
      </c>
      <c r="G2761" s="93">
        <v>3</v>
      </c>
      <c r="H2761" s="93">
        <v>0</v>
      </c>
      <c r="I2761" s="23"/>
      <c r="J2761" s="23"/>
      <c r="K2761" s="23"/>
      <c r="L2761" s="23" t="s">
        <v>6880</v>
      </c>
      <c r="M2761" s="23"/>
    </row>
    <row r="2762" spans="2:13" x14ac:dyDescent="0.25">
      <c r="B2762" s="35" t="s">
        <v>8416</v>
      </c>
      <c r="C2762" s="23" t="s">
        <v>8417</v>
      </c>
      <c r="D2762" s="23" t="s">
        <v>3303</v>
      </c>
      <c r="E2762" s="23" t="s">
        <v>3317</v>
      </c>
      <c r="F2762" s="23" t="s">
        <v>3729</v>
      </c>
      <c r="G2762" s="93">
        <v>3</v>
      </c>
      <c r="H2762" s="93">
        <v>0</v>
      </c>
      <c r="I2762" s="23"/>
      <c r="J2762" s="23"/>
      <c r="K2762" s="23"/>
      <c r="L2762" s="23" t="s">
        <v>6880</v>
      </c>
      <c r="M2762" s="23"/>
    </row>
    <row r="2763" spans="2:13" x14ac:dyDescent="0.25">
      <c r="B2763" s="35" t="s">
        <v>8418</v>
      </c>
      <c r="C2763" s="23" t="s">
        <v>8419</v>
      </c>
      <c r="D2763" s="23" t="s">
        <v>3303</v>
      </c>
      <c r="E2763" s="23" t="s">
        <v>3317</v>
      </c>
      <c r="F2763" s="23" t="s">
        <v>3729</v>
      </c>
      <c r="G2763" s="93">
        <v>3</v>
      </c>
      <c r="H2763" s="93">
        <v>0</v>
      </c>
      <c r="I2763" s="23"/>
      <c r="J2763" s="23"/>
      <c r="K2763" s="23"/>
      <c r="L2763" s="23" t="s">
        <v>6880</v>
      </c>
      <c r="M2763" s="23"/>
    </row>
    <row r="2764" spans="2:13" x14ac:dyDescent="0.25">
      <c r="B2764" s="35" t="s">
        <v>8420</v>
      </c>
      <c r="C2764" s="23" t="s">
        <v>8421</v>
      </c>
      <c r="D2764" s="23" t="s">
        <v>3303</v>
      </c>
      <c r="E2764" s="23" t="s">
        <v>3317</v>
      </c>
      <c r="F2764" s="23" t="s">
        <v>3729</v>
      </c>
      <c r="G2764" s="93">
        <v>3</v>
      </c>
      <c r="H2764" s="93">
        <v>0</v>
      </c>
      <c r="I2764" s="23"/>
      <c r="J2764" s="23"/>
      <c r="K2764" s="23"/>
      <c r="L2764" s="23" t="s">
        <v>6880</v>
      </c>
      <c r="M2764" s="23"/>
    </row>
    <row r="2765" spans="2:13" x14ac:dyDescent="0.25">
      <c r="B2765" s="35" t="s">
        <v>8422</v>
      </c>
      <c r="C2765" s="23" t="s">
        <v>8423</v>
      </c>
      <c r="D2765" s="23" t="s">
        <v>3303</v>
      </c>
      <c r="E2765" s="23" t="s">
        <v>3317</v>
      </c>
      <c r="F2765" s="23" t="s">
        <v>3729</v>
      </c>
      <c r="G2765" s="93">
        <v>3</v>
      </c>
      <c r="H2765" s="93">
        <v>0</v>
      </c>
      <c r="I2765" s="23"/>
      <c r="J2765" s="23"/>
      <c r="K2765" s="23"/>
      <c r="L2765" s="23" t="s">
        <v>6880</v>
      </c>
      <c r="M2765" s="23"/>
    </row>
    <row r="2766" spans="2:13" x14ac:dyDescent="0.25">
      <c r="B2766" s="35" t="s">
        <v>8424</v>
      </c>
      <c r="C2766" s="23" t="s">
        <v>8425</v>
      </c>
      <c r="D2766" s="23" t="s">
        <v>3303</v>
      </c>
      <c r="E2766" s="23" t="s">
        <v>3317</v>
      </c>
      <c r="F2766" s="23" t="s">
        <v>3729</v>
      </c>
      <c r="G2766" s="93">
        <v>3</v>
      </c>
      <c r="H2766" s="93">
        <v>0</v>
      </c>
      <c r="I2766" s="23"/>
      <c r="J2766" s="23"/>
      <c r="K2766" s="23"/>
      <c r="L2766" s="23" t="s">
        <v>6880</v>
      </c>
      <c r="M2766" s="23"/>
    </row>
    <row r="2767" spans="2:13" x14ac:dyDescent="0.25">
      <c r="B2767" s="35" t="s">
        <v>8426</v>
      </c>
      <c r="C2767" s="23" t="s">
        <v>8427</v>
      </c>
      <c r="D2767" s="23" t="s">
        <v>3303</v>
      </c>
      <c r="E2767" s="23" t="s">
        <v>3317</v>
      </c>
      <c r="F2767" s="23" t="s">
        <v>3729</v>
      </c>
      <c r="G2767" s="93">
        <v>3</v>
      </c>
      <c r="H2767" s="93">
        <v>0</v>
      </c>
      <c r="I2767" s="23"/>
      <c r="J2767" s="23"/>
      <c r="K2767" s="23"/>
      <c r="L2767" s="23" t="s">
        <v>6880</v>
      </c>
      <c r="M2767" s="23"/>
    </row>
    <row r="2768" spans="2:13" x14ac:dyDescent="0.25">
      <c r="B2768" s="35" t="s">
        <v>8428</v>
      </c>
      <c r="C2768" s="23" t="s">
        <v>8429</v>
      </c>
      <c r="D2768" s="23" t="s">
        <v>3303</v>
      </c>
      <c r="E2768" s="23" t="s">
        <v>3317</v>
      </c>
      <c r="F2768" s="23" t="s">
        <v>3729</v>
      </c>
      <c r="G2768" s="93">
        <v>3</v>
      </c>
      <c r="H2768" s="93">
        <v>0</v>
      </c>
      <c r="I2768" s="23"/>
      <c r="J2768" s="23"/>
      <c r="K2768" s="23"/>
      <c r="L2768" s="23" t="s">
        <v>6880</v>
      </c>
      <c r="M2768" s="23"/>
    </row>
    <row r="2769" spans="2:13" x14ac:dyDescent="0.25">
      <c r="B2769" s="35" t="s">
        <v>8430</v>
      </c>
      <c r="C2769" s="23" t="s">
        <v>8431</v>
      </c>
      <c r="D2769" s="23" t="s">
        <v>3303</v>
      </c>
      <c r="E2769" s="23" t="s">
        <v>3317</v>
      </c>
      <c r="F2769" s="23" t="s">
        <v>3729</v>
      </c>
      <c r="G2769" s="93">
        <v>3</v>
      </c>
      <c r="H2769" s="93">
        <v>0</v>
      </c>
      <c r="I2769" s="23"/>
      <c r="J2769" s="23"/>
      <c r="K2769" s="23"/>
      <c r="L2769" s="23" t="s">
        <v>6880</v>
      </c>
      <c r="M2769" s="23"/>
    </row>
    <row r="2770" spans="2:13" x14ac:dyDescent="0.25">
      <c r="B2770" s="35" t="s">
        <v>8432</v>
      </c>
      <c r="C2770" s="23" t="s">
        <v>8433</v>
      </c>
      <c r="D2770" s="23" t="s">
        <v>3303</v>
      </c>
      <c r="E2770" s="23" t="s">
        <v>3317</v>
      </c>
      <c r="F2770" s="23" t="s">
        <v>3729</v>
      </c>
      <c r="G2770" s="93">
        <v>3</v>
      </c>
      <c r="H2770" s="93">
        <v>1</v>
      </c>
      <c r="I2770" s="23"/>
      <c r="J2770" s="23"/>
      <c r="K2770" s="23"/>
      <c r="L2770" s="23" t="s">
        <v>6880</v>
      </c>
      <c r="M2770" s="23"/>
    </row>
    <row r="2771" spans="2:13" x14ac:dyDescent="0.25">
      <c r="B2771" s="35" t="s">
        <v>8434</v>
      </c>
      <c r="C2771" s="23" t="s">
        <v>8435</v>
      </c>
      <c r="D2771" s="23" t="s">
        <v>3303</v>
      </c>
      <c r="E2771" s="23" t="s">
        <v>3317</v>
      </c>
      <c r="F2771" s="23" t="s">
        <v>3729</v>
      </c>
      <c r="G2771" s="93">
        <v>3</v>
      </c>
      <c r="H2771" s="93">
        <v>0</v>
      </c>
      <c r="I2771" s="23"/>
      <c r="J2771" s="23"/>
      <c r="K2771" s="23"/>
      <c r="L2771" s="23" t="s">
        <v>6880</v>
      </c>
      <c r="M2771" s="23"/>
    </row>
    <row r="2772" spans="2:13" x14ac:dyDescent="0.25">
      <c r="B2772" s="35" t="s">
        <v>8436</v>
      </c>
      <c r="C2772" s="23" t="s">
        <v>8437</v>
      </c>
      <c r="D2772" s="23" t="s">
        <v>3303</v>
      </c>
      <c r="E2772" s="23" t="s">
        <v>3317</v>
      </c>
      <c r="F2772" s="23" t="s">
        <v>3729</v>
      </c>
      <c r="G2772" s="93">
        <v>3</v>
      </c>
      <c r="H2772" s="93">
        <v>0</v>
      </c>
      <c r="I2772" s="23"/>
      <c r="J2772" s="23"/>
      <c r="K2772" s="23"/>
      <c r="L2772" s="23" t="s">
        <v>6880</v>
      </c>
      <c r="M2772" s="23"/>
    </row>
    <row r="2773" spans="2:13" x14ac:dyDescent="0.25">
      <c r="B2773" s="35" t="s">
        <v>8438</v>
      </c>
      <c r="C2773" s="23" t="s">
        <v>8439</v>
      </c>
      <c r="D2773" s="23" t="s">
        <v>3303</v>
      </c>
      <c r="E2773" s="23" t="s">
        <v>3317</v>
      </c>
      <c r="F2773" s="23" t="s">
        <v>3729</v>
      </c>
      <c r="G2773" s="93">
        <v>3</v>
      </c>
      <c r="H2773" s="93">
        <v>0</v>
      </c>
      <c r="I2773" s="23"/>
      <c r="J2773" s="23"/>
      <c r="K2773" s="23"/>
      <c r="L2773" s="23" t="s">
        <v>6880</v>
      </c>
      <c r="M2773" s="23"/>
    </row>
    <row r="2774" spans="2:13" x14ac:dyDescent="0.25">
      <c r="B2774" s="35" t="s">
        <v>8440</v>
      </c>
      <c r="C2774" s="23" t="s">
        <v>8441</v>
      </c>
      <c r="D2774" s="23" t="s">
        <v>3303</v>
      </c>
      <c r="E2774" s="23" t="s">
        <v>3317</v>
      </c>
      <c r="F2774" s="23" t="s">
        <v>3729</v>
      </c>
      <c r="G2774" s="93">
        <v>3</v>
      </c>
      <c r="H2774" s="93">
        <v>0</v>
      </c>
      <c r="I2774" s="23"/>
      <c r="J2774" s="23"/>
      <c r="K2774" s="23"/>
      <c r="L2774" s="23" t="s">
        <v>6880</v>
      </c>
      <c r="M2774" s="23"/>
    </row>
    <row r="2775" spans="2:13" x14ac:dyDescent="0.25">
      <c r="B2775" s="35" t="s">
        <v>8442</v>
      </c>
      <c r="C2775" s="23" t="s">
        <v>8443</v>
      </c>
      <c r="D2775" s="23" t="s">
        <v>3303</v>
      </c>
      <c r="E2775" s="23" t="s">
        <v>3317</v>
      </c>
      <c r="F2775" s="23" t="s">
        <v>3729</v>
      </c>
      <c r="G2775" s="93">
        <v>3</v>
      </c>
      <c r="H2775" s="93">
        <v>0</v>
      </c>
      <c r="I2775" s="23"/>
      <c r="J2775" s="23"/>
      <c r="K2775" s="23"/>
      <c r="L2775" s="23" t="s">
        <v>6880</v>
      </c>
      <c r="M2775" s="23"/>
    </row>
    <row r="2776" spans="2:13" x14ac:dyDescent="0.25">
      <c r="B2776" s="35" t="s">
        <v>8444</v>
      </c>
      <c r="C2776" s="23" t="s">
        <v>8445</v>
      </c>
      <c r="D2776" s="23" t="s">
        <v>3303</v>
      </c>
      <c r="E2776" s="23" t="s">
        <v>3317</v>
      </c>
      <c r="F2776" s="23" t="s">
        <v>3729</v>
      </c>
      <c r="G2776" s="93">
        <v>3</v>
      </c>
      <c r="H2776" s="93">
        <v>0</v>
      </c>
      <c r="I2776" s="23"/>
      <c r="J2776" s="23"/>
      <c r="K2776" s="23"/>
      <c r="L2776" s="23" t="s">
        <v>6880</v>
      </c>
      <c r="M2776" s="23"/>
    </row>
    <row r="2777" spans="2:13" x14ac:dyDescent="0.25">
      <c r="B2777" s="35" t="s">
        <v>8446</v>
      </c>
      <c r="C2777" s="23" t="s">
        <v>8447</v>
      </c>
      <c r="D2777" s="23" t="s">
        <v>3303</v>
      </c>
      <c r="E2777" s="23" t="s">
        <v>3317</v>
      </c>
      <c r="F2777" s="23" t="s">
        <v>3729</v>
      </c>
      <c r="G2777" s="93">
        <v>3</v>
      </c>
      <c r="H2777" s="93">
        <v>0</v>
      </c>
      <c r="I2777" s="23"/>
      <c r="J2777" s="23"/>
      <c r="K2777" s="23"/>
      <c r="L2777" s="23" t="s">
        <v>6880</v>
      </c>
      <c r="M2777" s="23"/>
    </row>
    <row r="2778" spans="2:13" x14ac:dyDescent="0.25">
      <c r="B2778" s="35" t="s">
        <v>8448</v>
      </c>
      <c r="C2778" s="23" t="s">
        <v>8449</v>
      </c>
      <c r="D2778" s="23" t="s">
        <v>3303</v>
      </c>
      <c r="E2778" s="23" t="s">
        <v>3317</v>
      </c>
      <c r="F2778" s="23" t="s">
        <v>3729</v>
      </c>
      <c r="G2778" s="93">
        <v>3</v>
      </c>
      <c r="H2778" s="93">
        <v>0</v>
      </c>
      <c r="I2778" s="23"/>
      <c r="J2778" s="23"/>
      <c r="K2778" s="23"/>
      <c r="L2778" s="23" t="s">
        <v>6880</v>
      </c>
      <c r="M2778" s="23"/>
    </row>
    <row r="2779" spans="2:13" x14ac:dyDescent="0.25">
      <c r="B2779" s="35" t="s">
        <v>8450</v>
      </c>
      <c r="C2779" s="23" t="s">
        <v>8451</v>
      </c>
      <c r="D2779" s="23" t="s">
        <v>3303</v>
      </c>
      <c r="E2779" s="23" t="s">
        <v>3317</v>
      </c>
      <c r="F2779" s="23" t="s">
        <v>3729</v>
      </c>
      <c r="G2779" s="93">
        <v>3</v>
      </c>
      <c r="H2779" s="93">
        <v>0</v>
      </c>
      <c r="I2779" s="23"/>
      <c r="J2779" s="23"/>
      <c r="K2779" s="23"/>
      <c r="L2779" s="23" t="s">
        <v>6880</v>
      </c>
      <c r="M2779" s="23"/>
    </row>
    <row r="2780" spans="2:13" x14ac:dyDescent="0.25">
      <c r="B2780" s="35" t="s">
        <v>8452</v>
      </c>
      <c r="C2780" s="23" t="s">
        <v>8453</v>
      </c>
      <c r="D2780" s="23" t="s">
        <v>3303</v>
      </c>
      <c r="E2780" s="23" t="s">
        <v>3317</v>
      </c>
      <c r="F2780" s="23" t="s">
        <v>3729</v>
      </c>
      <c r="G2780" s="93">
        <v>3</v>
      </c>
      <c r="H2780" s="93">
        <v>0</v>
      </c>
      <c r="I2780" s="23"/>
      <c r="J2780" s="23"/>
      <c r="K2780" s="23"/>
      <c r="L2780" s="23" t="s">
        <v>6880</v>
      </c>
      <c r="M2780" s="23"/>
    </row>
    <row r="2781" spans="2:13" x14ac:dyDescent="0.25">
      <c r="B2781" s="35" t="s">
        <v>8454</v>
      </c>
      <c r="C2781" s="23" t="s">
        <v>8455</v>
      </c>
      <c r="D2781" s="23" t="s">
        <v>3303</v>
      </c>
      <c r="E2781" s="23" t="s">
        <v>3317</v>
      </c>
      <c r="F2781" s="23" t="s">
        <v>3729</v>
      </c>
      <c r="G2781" s="93">
        <v>3</v>
      </c>
      <c r="H2781" s="93">
        <v>0</v>
      </c>
      <c r="I2781" s="23"/>
      <c r="J2781" s="23"/>
      <c r="K2781" s="23"/>
      <c r="L2781" s="23" t="s">
        <v>6880</v>
      </c>
      <c r="M2781" s="23"/>
    </row>
    <row r="2782" spans="2:13" x14ac:dyDescent="0.25">
      <c r="B2782" s="35" t="s">
        <v>8456</v>
      </c>
      <c r="C2782" s="23" t="s">
        <v>8457</v>
      </c>
      <c r="D2782" s="23" t="s">
        <v>3303</v>
      </c>
      <c r="E2782" s="23" t="s">
        <v>3317</v>
      </c>
      <c r="F2782" s="23" t="s">
        <v>3729</v>
      </c>
      <c r="G2782" s="93">
        <v>3</v>
      </c>
      <c r="H2782" s="93">
        <v>0</v>
      </c>
      <c r="I2782" s="23"/>
      <c r="J2782" s="23"/>
      <c r="K2782" s="23"/>
      <c r="L2782" s="23" t="s">
        <v>6880</v>
      </c>
      <c r="M2782" s="23"/>
    </row>
    <row r="2783" spans="2:13" x14ac:dyDescent="0.25">
      <c r="B2783" s="35" t="s">
        <v>8458</v>
      </c>
      <c r="C2783" s="23" t="s">
        <v>8459</v>
      </c>
      <c r="D2783" s="23" t="s">
        <v>3303</v>
      </c>
      <c r="E2783" s="23" t="s">
        <v>3317</v>
      </c>
      <c r="F2783" s="23" t="s">
        <v>3729</v>
      </c>
      <c r="G2783" s="93">
        <v>3</v>
      </c>
      <c r="H2783" s="93">
        <v>0</v>
      </c>
      <c r="I2783" s="23"/>
      <c r="J2783" s="23"/>
      <c r="K2783" s="23"/>
      <c r="L2783" s="23" t="s">
        <v>6880</v>
      </c>
      <c r="M2783" s="23"/>
    </row>
    <row r="2784" spans="2:13" x14ac:dyDescent="0.25">
      <c r="B2784" s="35" t="s">
        <v>8460</v>
      </c>
      <c r="C2784" s="23" t="s">
        <v>8461</v>
      </c>
      <c r="D2784" s="23" t="s">
        <v>3303</v>
      </c>
      <c r="E2784" s="23" t="s">
        <v>3317</v>
      </c>
      <c r="F2784" s="23" t="s">
        <v>3729</v>
      </c>
      <c r="G2784" s="93">
        <v>3</v>
      </c>
      <c r="H2784" s="93">
        <v>0</v>
      </c>
      <c r="I2784" s="23"/>
      <c r="J2784" s="23"/>
      <c r="K2784" s="23"/>
      <c r="L2784" s="23" t="s">
        <v>6880</v>
      </c>
      <c r="M2784" s="23"/>
    </row>
    <row r="2785" spans="2:13" x14ac:dyDescent="0.25">
      <c r="B2785" s="35" t="s">
        <v>8462</v>
      </c>
      <c r="C2785" s="23" t="s">
        <v>8463</v>
      </c>
      <c r="D2785" s="23" t="s">
        <v>3303</v>
      </c>
      <c r="E2785" s="23" t="s">
        <v>3317</v>
      </c>
      <c r="F2785" s="23" t="s">
        <v>3729</v>
      </c>
      <c r="G2785" s="93">
        <v>3</v>
      </c>
      <c r="H2785" s="93">
        <v>0</v>
      </c>
      <c r="I2785" s="23"/>
      <c r="J2785" s="23"/>
      <c r="K2785" s="23"/>
      <c r="L2785" s="23" t="s">
        <v>6880</v>
      </c>
      <c r="M2785" s="23"/>
    </row>
    <row r="2786" spans="2:13" x14ac:dyDescent="0.25">
      <c r="B2786" s="35" t="s">
        <v>8464</v>
      </c>
      <c r="C2786" s="23" t="s">
        <v>8465</v>
      </c>
      <c r="D2786" s="23" t="s">
        <v>3303</v>
      </c>
      <c r="E2786" s="23" t="s">
        <v>3317</v>
      </c>
      <c r="F2786" s="23" t="s">
        <v>3729</v>
      </c>
      <c r="G2786" s="93">
        <v>3</v>
      </c>
      <c r="H2786" s="93">
        <v>0</v>
      </c>
      <c r="I2786" s="23"/>
      <c r="J2786" s="23"/>
      <c r="K2786" s="23"/>
      <c r="L2786" s="23" t="s">
        <v>6880</v>
      </c>
      <c r="M2786" s="23"/>
    </row>
    <row r="2787" spans="2:13" x14ac:dyDescent="0.25">
      <c r="B2787" s="35" t="s">
        <v>8466</v>
      </c>
      <c r="C2787" s="23" t="s">
        <v>8467</v>
      </c>
      <c r="D2787" s="23" t="s">
        <v>3303</v>
      </c>
      <c r="E2787" s="23" t="s">
        <v>3317</v>
      </c>
      <c r="F2787" s="23" t="s">
        <v>3729</v>
      </c>
      <c r="G2787" s="93">
        <v>3</v>
      </c>
      <c r="H2787" s="93">
        <v>0</v>
      </c>
      <c r="I2787" s="23"/>
      <c r="J2787" s="23"/>
      <c r="K2787" s="23"/>
      <c r="L2787" s="23" t="s">
        <v>6880</v>
      </c>
      <c r="M2787" s="23"/>
    </row>
    <row r="2788" spans="2:13" x14ac:dyDescent="0.25">
      <c r="B2788" s="35" t="s">
        <v>8468</v>
      </c>
      <c r="C2788" s="23" t="s">
        <v>8469</v>
      </c>
      <c r="D2788" s="23" t="s">
        <v>3303</v>
      </c>
      <c r="E2788" s="23" t="s">
        <v>3317</v>
      </c>
      <c r="F2788" s="23" t="s">
        <v>3729</v>
      </c>
      <c r="G2788" s="93">
        <v>3</v>
      </c>
      <c r="H2788" s="93">
        <v>0</v>
      </c>
      <c r="I2788" s="23"/>
      <c r="J2788" s="23"/>
      <c r="K2788" s="23"/>
      <c r="L2788" s="23" t="s">
        <v>6880</v>
      </c>
      <c r="M2788" s="23"/>
    </row>
    <row r="2789" spans="2:13" x14ac:dyDescent="0.25">
      <c r="B2789" s="35" t="s">
        <v>8470</v>
      </c>
      <c r="C2789" s="23" t="s">
        <v>8471</v>
      </c>
      <c r="D2789" s="23" t="s">
        <v>3303</v>
      </c>
      <c r="E2789" s="23" t="s">
        <v>3317</v>
      </c>
      <c r="F2789" s="23" t="s">
        <v>3729</v>
      </c>
      <c r="G2789" s="93">
        <v>3</v>
      </c>
      <c r="H2789" s="93">
        <v>0</v>
      </c>
      <c r="I2789" s="23"/>
      <c r="J2789" s="23"/>
      <c r="K2789" s="23"/>
      <c r="L2789" s="23" t="s">
        <v>6880</v>
      </c>
      <c r="M2789" s="23"/>
    </row>
    <row r="2790" spans="2:13" x14ac:dyDescent="0.25">
      <c r="B2790" s="35" t="s">
        <v>8472</v>
      </c>
      <c r="C2790" s="23" t="s">
        <v>8473</v>
      </c>
      <c r="D2790" s="23" t="s">
        <v>3303</v>
      </c>
      <c r="E2790" s="23" t="s">
        <v>3317</v>
      </c>
      <c r="F2790" s="23" t="s">
        <v>3729</v>
      </c>
      <c r="G2790" s="93">
        <v>3</v>
      </c>
      <c r="H2790" s="93">
        <v>0</v>
      </c>
      <c r="I2790" s="23"/>
      <c r="J2790" s="23"/>
      <c r="K2790" s="23"/>
      <c r="L2790" s="23" t="s">
        <v>6880</v>
      </c>
      <c r="M2790" s="23"/>
    </row>
    <row r="2791" spans="2:13" x14ac:dyDescent="0.25">
      <c r="B2791" s="35" t="s">
        <v>8474</v>
      </c>
      <c r="C2791" s="23" t="s">
        <v>8475</v>
      </c>
      <c r="D2791" s="23" t="s">
        <v>3303</v>
      </c>
      <c r="E2791" s="23" t="s">
        <v>3317</v>
      </c>
      <c r="F2791" s="23" t="s">
        <v>3729</v>
      </c>
      <c r="G2791" s="93">
        <v>3</v>
      </c>
      <c r="H2791" s="93">
        <v>0</v>
      </c>
      <c r="I2791" s="23"/>
      <c r="J2791" s="23"/>
      <c r="K2791" s="23"/>
      <c r="L2791" s="23" t="s">
        <v>6880</v>
      </c>
      <c r="M2791" s="23"/>
    </row>
    <row r="2792" spans="2:13" x14ac:dyDescent="0.25">
      <c r="B2792" s="35" t="s">
        <v>8476</v>
      </c>
      <c r="C2792" s="23" t="s">
        <v>8477</v>
      </c>
      <c r="D2792" s="23" t="s">
        <v>3303</v>
      </c>
      <c r="E2792" s="23" t="s">
        <v>3317</v>
      </c>
      <c r="F2792" s="23" t="s">
        <v>3729</v>
      </c>
      <c r="G2792" s="93">
        <v>3</v>
      </c>
      <c r="H2792" s="93">
        <v>0</v>
      </c>
      <c r="I2792" s="23"/>
      <c r="J2792" s="23"/>
      <c r="K2792" s="23"/>
      <c r="L2792" s="23" t="s">
        <v>6880</v>
      </c>
      <c r="M2792" s="23"/>
    </row>
    <row r="2793" spans="2:13" x14ac:dyDescent="0.25">
      <c r="B2793" s="35" t="s">
        <v>8478</v>
      </c>
      <c r="C2793" s="23" t="s">
        <v>8479</v>
      </c>
      <c r="D2793" s="23" t="s">
        <v>3303</v>
      </c>
      <c r="E2793" s="23" t="s">
        <v>3317</v>
      </c>
      <c r="F2793" s="23" t="s">
        <v>3729</v>
      </c>
      <c r="G2793" s="93">
        <v>3</v>
      </c>
      <c r="H2793" s="93">
        <v>0</v>
      </c>
      <c r="I2793" s="23"/>
      <c r="J2793" s="23"/>
      <c r="K2793" s="23"/>
      <c r="L2793" s="23" t="s">
        <v>6880</v>
      </c>
      <c r="M2793" s="23"/>
    </row>
    <row r="2794" spans="2:13" x14ac:dyDescent="0.25">
      <c r="B2794" s="35" t="s">
        <v>8480</v>
      </c>
      <c r="C2794" s="23" t="s">
        <v>8481</v>
      </c>
      <c r="D2794" s="23" t="s">
        <v>3303</v>
      </c>
      <c r="E2794" s="23" t="s">
        <v>3317</v>
      </c>
      <c r="F2794" s="23" t="s">
        <v>3729</v>
      </c>
      <c r="G2794" s="93">
        <v>3</v>
      </c>
      <c r="H2794" s="93">
        <v>0</v>
      </c>
      <c r="I2794" s="23"/>
      <c r="J2794" s="23"/>
      <c r="K2794" s="23"/>
      <c r="L2794" s="23" t="s">
        <v>6880</v>
      </c>
      <c r="M2794" s="23"/>
    </row>
    <row r="2795" spans="2:13" x14ac:dyDescent="0.25">
      <c r="B2795" s="35" t="s">
        <v>8482</v>
      </c>
      <c r="C2795" s="23" t="s">
        <v>8483</v>
      </c>
      <c r="D2795" s="23" t="s">
        <v>3303</v>
      </c>
      <c r="E2795" s="23" t="s">
        <v>3317</v>
      </c>
      <c r="F2795" s="23" t="s">
        <v>3729</v>
      </c>
      <c r="G2795" s="93">
        <v>3</v>
      </c>
      <c r="H2795" s="93">
        <v>0</v>
      </c>
      <c r="I2795" s="23"/>
      <c r="J2795" s="23"/>
      <c r="K2795" s="23"/>
      <c r="L2795" s="23" t="s">
        <v>6880</v>
      </c>
      <c r="M2795" s="23"/>
    </row>
    <row r="2796" spans="2:13" x14ac:dyDescent="0.25">
      <c r="B2796" s="35" t="s">
        <v>8484</v>
      </c>
      <c r="C2796" s="23" t="s">
        <v>8485</v>
      </c>
      <c r="D2796" s="23" t="s">
        <v>3303</v>
      </c>
      <c r="E2796" s="23" t="s">
        <v>3317</v>
      </c>
      <c r="F2796" s="23" t="s">
        <v>3729</v>
      </c>
      <c r="G2796" s="93">
        <v>3</v>
      </c>
      <c r="H2796" s="93">
        <v>0</v>
      </c>
      <c r="I2796" s="23"/>
      <c r="J2796" s="23"/>
      <c r="K2796" s="23"/>
      <c r="L2796" s="23" t="s">
        <v>6880</v>
      </c>
      <c r="M2796" s="23"/>
    </row>
    <row r="2797" spans="2:13" x14ac:dyDescent="0.25">
      <c r="B2797" s="35" t="s">
        <v>8486</v>
      </c>
      <c r="C2797" s="23" t="s">
        <v>8487</v>
      </c>
      <c r="D2797" s="23" t="s">
        <v>3303</v>
      </c>
      <c r="E2797" s="23" t="s">
        <v>3317</v>
      </c>
      <c r="F2797" s="23" t="s">
        <v>3729</v>
      </c>
      <c r="G2797" s="93">
        <v>3</v>
      </c>
      <c r="H2797" s="93">
        <v>0</v>
      </c>
      <c r="I2797" s="23"/>
      <c r="J2797" s="23"/>
      <c r="K2797" s="23"/>
      <c r="L2797" s="23" t="s">
        <v>6880</v>
      </c>
      <c r="M2797" s="23"/>
    </row>
    <row r="2798" spans="2:13" x14ac:dyDescent="0.25">
      <c r="B2798" s="35" t="s">
        <v>8488</v>
      </c>
      <c r="C2798" s="23" t="s">
        <v>8489</v>
      </c>
      <c r="D2798" s="23" t="s">
        <v>3303</v>
      </c>
      <c r="E2798" s="23" t="s">
        <v>3317</v>
      </c>
      <c r="F2798" s="23" t="s">
        <v>3729</v>
      </c>
      <c r="G2798" s="93">
        <v>3</v>
      </c>
      <c r="H2798" s="93">
        <v>0</v>
      </c>
      <c r="I2798" s="23"/>
      <c r="J2798" s="23"/>
      <c r="K2798" s="23"/>
      <c r="L2798" s="23" t="s">
        <v>6880</v>
      </c>
      <c r="M2798" s="23"/>
    </row>
    <row r="2799" spans="2:13" x14ac:dyDescent="0.25">
      <c r="B2799" s="35" t="s">
        <v>8490</v>
      </c>
      <c r="C2799" s="23" t="s">
        <v>8491</v>
      </c>
      <c r="D2799" s="23" t="s">
        <v>3303</v>
      </c>
      <c r="E2799" s="23" t="s">
        <v>3317</v>
      </c>
      <c r="F2799" s="23" t="s">
        <v>3729</v>
      </c>
      <c r="G2799" s="93">
        <v>3</v>
      </c>
      <c r="H2799" s="93">
        <v>0</v>
      </c>
      <c r="I2799" s="23"/>
      <c r="J2799" s="23"/>
      <c r="K2799" s="23"/>
      <c r="L2799" s="23" t="s">
        <v>6880</v>
      </c>
      <c r="M2799" s="23"/>
    </row>
    <row r="2800" spans="2:13" x14ac:dyDescent="0.25">
      <c r="B2800" s="35" t="s">
        <v>8492</v>
      </c>
      <c r="C2800" s="23" t="s">
        <v>8493</v>
      </c>
      <c r="D2800" s="23" t="s">
        <v>3303</v>
      </c>
      <c r="E2800" s="23" t="s">
        <v>3317</v>
      </c>
      <c r="F2800" s="23" t="s">
        <v>3729</v>
      </c>
      <c r="G2800" s="93">
        <v>3</v>
      </c>
      <c r="H2800" s="93">
        <v>0</v>
      </c>
      <c r="I2800" s="23"/>
      <c r="J2800" s="23"/>
      <c r="K2800" s="23"/>
      <c r="L2800" s="23" t="s">
        <v>6880</v>
      </c>
      <c r="M2800" s="23"/>
    </row>
    <row r="2801" spans="2:13" x14ac:dyDescent="0.25">
      <c r="B2801" s="35" t="s">
        <v>8494</v>
      </c>
      <c r="C2801" s="23" t="s">
        <v>8495</v>
      </c>
      <c r="D2801" s="23" t="s">
        <v>3303</v>
      </c>
      <c r="E2801" s="23" t="s">
        <v>3317</v>
      </c>
      <c r="F2801" s="23" t="s">
        <v>3729</v>
      </c>
      <c r="G2801" s="93">
        <v>3</v>
      </c>
      <c r="H2801" s="93">
        <v>0</v>
      </c>
      <c r="I2801" s="23"/>
      <c r="J2801" s="23"/>
      <c r="K2801" s="23"/>
      <c r="L2801" s="23" t="s">
        <v>6880</v>
      </c>
      <c r="M2801" s="23"/>
    </row>
    <row r="2802" spans="2:13" x14ac:dyDescent="0.25">
      <c r="B2802" s="35" t="s">
        <v>8496</v>
      </c>
      <c r="C2802" s="23" t="s">
        <v>8497</v>
      </c>
      <c r="D2802" s="23" t="s">
        <v>3303</v>
      </c>
      <c r="E2802" s="23" t="s">
        <v>3317</v>
      </c>
      <c r="F2802" s="23" t="s">
        <v>3729</v>
      </c>
      <c r="G2802" s="93">
        <v>3</v>
      </c>
      <c r="H2802" s="93">
        <v>0</v>
      </c>
      <c r="I2802" s="23"/>
      <c r="J2802" s="23"/>
      <c r="K2802" s="23"/>
      <c r="L2802" s="23" t="s">
        <v>6880</v>
      </c>
      <c r="M2802" s="23"/>
    </row>
    <row r="2803" spans="2:13" x14ac:dyDescent="0.25">
      <c r="B2803" s="35" t="s">
        <v>8498</v>
      </c>
      <c r="C2803" s="23" t="s">
        <v>8499</v>
      </c>
      <c r="D2803" s="23" t="s">
        <v>3303</v>
      </c>
      <c r="E2803" s="23" t="s">
        <v>3317</v>
      </c>
      <c r="F2803" s="23" t="s">
        <v>3729</v>
      </c>
      <c r="G2803" s="93">
        <v>3</v>
      </c>
      <c r="H2803" s="93">
        <v>0</v>
      </c>
      <c r="I2803" s="23"/>
      <c r="J2803" s="23"/>
      <c r="K2803" s="23"/>
      <c r="L2803" s="23" t="s">
        <v>6880</v>
      </c>
      <c r="M2803" s="23"/>
    </row>
    <row r="2804" spans="2:13" x14ac:dyDescent="0.25">
      <c r="B2804" s="35" t="s">
        <v>8500</v>
      </c>
      <c r="C2804" s="23" t="s">
        <v>8501</v>
      </c>
      <c r="D2804" s="23" t="s">
        <v>3303</v>
      </c>
      <c r="E2804" s="23" t="s">
        <v>3317</v>
      </c>
      <c r="F2804" s="23" t="s">
        <v>3729</v>
      </c>
      <c r="G2804" s="93">
        <v>3</v>
      </c>
      <c r="H2804" s="93">
        <v>0</v>
      </c>
      <c r="I2804" s="23"/>
      <c r="J2804" s="23"/>
      <c r="K2804" s="23"/>
      <c r="L2804" s="23" t="s">
        <v>6880</v>
      </c>
      <c r="M2804" s="23"/>
    </row>
    <row r="2805" spans="2:13" x14ac:dyDescent="0.25">
      <c r="B2805" s="35" t="s">
        <v>8502</v>
      </c>
      <c r="C2805" s="23" t="s">
        <v>8503</v>
      </c>
      <c r="D2805" s="23" t="s">
        <v>3303</v>
      </c>
      <c r="E2805" s="23" t="s">
        <v>3317</v>
      </c>
      <c r="F2805" s="23" t="s">
        <v>3729</v>
      </c>
      <c r="G2805" s="93">
        <v>3</v>
      </c>
      <c r="H2805" s="93">
        <v>0</v>
      </c>
      <c r="I2805" s="23"/>
      <c r="J2805" s="23"/>
      <c r="K2805" s="23"/>
      <c r="L2805" s="23" t="s">
        <v>6880</v>
      </c>
      <c r="M2805" s="23"/>
    </row>
    <row r="2806" spans="2:13" x14ac:dyDescent="0.25">
      <c r="B2806" s="35" t="s">
        <v>8504</v>
      </c>
      <c r="C2806" s="23" t="s">
        <v>8505</v>
      </c>
      <c r="D2806" s="23" t="s">
        <v>3303</v>
      </c>
      <c r="E2806" s="23" t="s">
        <v>3317</v>
      </c>
      <c r="F2806" s="23" t="s">
        <v>3729</v>
      </c>
      <c r="G2806" s="93">
        <v>3</v>
      </c>
      <c r="H2806" s="93">
        <v>0</v>
      </c>
      <c r="I2806" s="23"/>
      <c r="J2806" s="23"/>
      <c r="K2806" s="23"/>
      <c r="L2806" s="23" t="s">
        <v>6880</v>
      </c>
      <c r="M2806" s="23"/>
    </row>
    <row r="2807" spans="2:13" x14ac:dyDescent="0.25">
      <c r="B2807" s="35" t="s">
        <v>8506</v>
      </c>
      <c r="C2807" s="23" t="s">
        <v>8507</v>
      </c>
      <c r="D2807" s="23" t="s">
        <v>3303</v>
      </c>
      <c r="E2807" s="23" t="s">
        <v>3317</v>
      </c>
      <c r="F2807" s="23" t="s">
        <v>3729</v>
      </c>
      <c r="G2807" s="93">
        <v>3</v>
      </c>
      <c r="H2807" s="93">
        <v>0</v>
      </c>
      <c r="I2807" s="23"/>
      <c r="J2807" s="23"/>
      <c r="K2807" s="23"/>
      <c r="L2807" s="23" t="s">
        <v>6880</v>
      </c>
      <c r="M2807" s="23"/>
    </row>
    <row r="2808" spans="2:13" x14ac:dyDescent="0.25">
      <c r="B2808" s="35" t="s">
        <v>8508</v>
      </c>
      <c r="C2808" s="23" t="s">
        <v>8509</v>
      </c>
      <c r="D2808" s="23" t="s">
        <v>3303</v>
      </c>
      <c r="E2808" s="23" t="s">
        <v>3317</v>
      </c>
      <c r="F2808" s="23" t="s">
        <v>3729</v>
      </c>
      <c r="G2808" s="93">
        <v>3</v>
      </c>
      <c r="H2808" s="93">
        <v>0</v>
      </c>
      <c r="I2808" s="23"/>
      <c r="J2808" s="23"/>
      <c r="K2808" s="23"/>
      <c r="L2808" s="23" t="s">
        <v>6880</v>
      </c>
      <c r="M2808" s="23"/>
    </row>
    <row r="2809" spans="2:13" x14ac:dyDescent="0.25">
      <c r="B2809" s="35" t="s">
        <v>8510</v>
      </c>
      <c r="C2809" s="23" t="s">
        <v>8511</v>
      </c>
      <c r="D2809" s="23" t="s">
        <v>3303</v>
      </c>
      <c r="E2809" s="23" t="s">
        <v>3317</v>
      </c>
      <c r="F2809" s="23" t="s">
        <v>3729</v>
      </c>
      <c r="G2809" s="93">
        <v>3</v>
      </c>
      <c r="H2809" s="93">
        <v>0</v>
      </c>
      <c r="I2809" s="23"/>
      <c r="J2809" s="23"/>
      <c r="K2809" s="23"/>
      <c r="L2809" s="23" t="s">
        <v>6880</v>
      </c>
      <c r="M2809" s="23"/>
    </row>
    <row r="2810" spans="2:13" x14ac:dyDescent="0.25">
      <c r="B2810" s="35" t="s">
        <v>8512</v>
      </c>
      <c r="C2810" s="23" t="s">
        <v>8513</v>
      </c>
      <c r="D2810" s="23" t="s">
        <v>3303</v>
      </c>
      <c r="E2810" s="23" t="s">
        <v>3317</v>
      </c>
      <c r="F2810" s="23" t="s">
        <v>3729</v>
      </c>
      <c r="G2810" s="93">
        <v>3</v>
      </c>
      <c r="H2810" s="93">
        <v>0</v>
      </c>
      <c r="I2810" s="23"/>
      <c r="J2810" s="23"/>
      <c r="K2810" s="23"/>
      <c r="L2810" s="23" t="s">
        <v>6880</v>
      </c>
      <c r="M2810" s="23"/>
    </row>
    <row r="2811" spans="2:13" x14ac:dyDescent="0.25">
      <c r="B2811" s="35" t="s">
        <v>8514</v>
      </c>
      <c r="C2811" s="23" t="s">
        <v>8515</v>
      </c>
      <c r="D2811" s="23" t="s">
        <v>3303</v>
      </c>
      <c r="E2811" s="23" t="s">
        <v>3317</v>
      </c>
      <c r="F2811" s="23" t="s">
        <v>3729</v>
      </c>
      <c r="G2811" s="93">
        <v>3</v>
      </c>
      <c r="H2811" s="93">
        <v>0</v>
      </c>
      <c r="I2811" s="23"/>
      <c r="J2811" s="23"/>
      <c r="K2811" s="23"/>
      <c r="L2811" s="23" t="s">
        <v>6880</v>
      </c>
      <c r="M2811" s="23"/>
    </row>
    <row r="2812" spans="2:13" x14ac:dyDescent="0.25">
      <c r="B2812" s="35" t="s">
        <v>8516</v>
      </c>
      <c r="C2812" s="23" t="s">
        <v>8517</v>
      </c>
      <c r="D2812" s="23" t="s">
        <v>3303</v>
      </c>
      <c r="E2812" s="23" t="s">
        <v>3317</v>
      </c>
      <c r="F2812" s="23" t="s">
        <v>3729</v>
      </c>
      <c r="G2812" s="93">
        <v>3</v>
      </c>
      <c r="H2812" s="93">
        <v>0</v>
      </c>
      <c r="I2812" s="23"/>
      <c r="J2812" s="23"/>
      <c r="K2812" s="23"/>
      <c r="L2812" s="23" t="s">
        <v>6880</v>
      </c>
      <c r="M2812" s="23"/>
    </row>
    <row r="2813" spans="2:13" x14ac:dyDescent="0.25">
      <c r="B2813" s="35" t="s">
        <v>8518</v>
      </c>
      <c r="C2813" s="23" t="s">
        <v>8519</v>
      </c>
      <c r="D2813" s="23" t="s">
        <v>3303</v>
      </c>
      <c r="E2813" s="23" t="s">
        <v>3317</v>
      </c>
      <c r="F2813" s="23" t="s">
        <v>3729</v>
      </c>
      <c r="G2813" s="93">
        <v>3</v>
      </c>
      <c r="H2813" s="93">
        <v>0</v>
      </c>
      <c r="I2813" s="23"/>
      <c r="J2813" s="23"/>
      <c r="K2813" s="23"/>
      <c r="L2813" s="23" t="s">
        <v>6880</v>
      </c>
      <c r="M2813" s="23"/>
    </row>
    <row r="2814" spans="2:13" x14ac:dyDescent="0.25">
      <c r="B2814" s="35" t="s">
        <v>8520</v>
      </c>
      <c r="C2814" s="23" t="s">
        <v>8521</v>
      </c>
      <c r="D2814" s="23" t="s">
        <v>3303</v>
      </c>
      <c r="E2814" s="23" t="s">
        <v>3317</v>
      </c>
      <c r="F2814" s="23" t="s">
        <v>3729</v>
      </c>
      <c r="G2814" s="93">
        <v>3</v>
      </c>
      <c r="H2814" s="93">
        <v>0</v>
      </c>
      <c r="I2814" s="23"/>
      <c r="J2814" s="23"/>
      <c r="K2814" s="23"/>
      <c r="L2814" s="23" t="s">
        <v>6880</v>
      </c>
      <c r="M2814" s="23"/>
    </row>
    <row r="2815" spans="2:13" x14ac:dyDescent="0.25">
      <c r="B2815" s="35" t="s">
        <v>8522</v>
      </c>
      <c r="C2815" s="23" t="s">
        <v>8523</v>
      </c>
      <c r="D2815" s="23" t="s">
        <v>3303</v>
      </c>
      <c r="E2815" s="23" t="s">
        <v>3317</v>
      </c>
      <c r="F2815" s="23" t="s">
        <v>3729</v>
      </c>
      <c r="G2815" s="93">
        <v>3</v>
      </c>
      <c r="H2815" s="93">
        <v>0</v>
      </c>
      <c r="I2815" s="23"/>
      <c r="J2815" s="23"/>
      <c r="K2815" s="23"/>
      <c r="L2815" s="23" t="s">
        <v>6880</v>
      </c>
      <c r="M2815" s="23"/>
    </row>
    <row r="2816" spans="2:13" x14ac:dyDescent="0.25">
      <c r="B2816" s="35" t="s">
        <v>8524</v>
      </c>
      <c r="C2816" s="23" t="s">
        <v>8525</v>
      </c>
      <c r="D2816" s="23" t="s">
        <v>3303</v>
      </c>
      <c r="E2816" s="23" t="s">
        <v>3317</v>
      </c>
      <c r="F2816" s="23" t="s">
        <v>3729</v>
      </c>
      <c r="G2816" s="93">
        <v>3</v>
      </c>
      <c r="H2816" s="93">
        <v>0</v>
      </c>
      <c r="I2816" s="23"/>
      <c r="J2816" s="23"/>
      <c r="K2816" s="23"/>
      <c r="L2816" s="23" t="s">
        <v>6880</v>
      </c>
      <c r="M2816" s="23"/>
    </row>
    <row r="2817" spans="2:13" x14ac:dyDescent="0.25">
      <c r="B2817" s="35" t="s">
        <v>8526</v>
      </c>
      <c r="C2817" s="23" t="s">
        <v>8527</v>
      </c>
      <c r="D2817" s="23" t="s">
        <v>3303</v>
      </c>
      <c r="E2817" s="23" t="s">
        <v>3317</v>
      </c>
      <c r="F2817" s="23" t="s">
        <v>3729</v>
      </c>
      <c r="G2817" s="93">
        <v>3</v>
      </c>
      <c r="H2817" s="93">
        <v>0</v>
      </c>
      <c r="I2817" s="23"/>
      <c r="J2817" s="23"/>
      <c r="K2817" s="23"/>
      <c r="L2817" s="23" t="s">
        <v>6880</v>
      </c>
      <c r="M2817" s="23"/>
    </row>
    <row r="2818" spans="2:13" x14ac:dyDescent="0.25">
      <c r="B2818" s="35" t="s">
        <v>8528</v>
      </c>
      <c r="C2818" s="23" t="s">
        <v>8529</v>
      </c>
      <c r="D2818" s="23" t="s">
        <v>3303</v>
      </c>
      <c r="E2818" s="23" t="s">
        <v>3317</v>
      </c>
      <c r="F2818" s="23" t="s">
        <v>3729</v>
      </c>
      <c r="G2818" s="93">
        <v>3</v>
      </c>
      <c r="H2818" s="93">
        <v>1</v>
      </c>
      <c r="I2818" s="23"/>
      <c r="J2818" s="23"/>
      <c r="K2818" s="23"/>
      <c r="L2818" s="23" t="s">
        <v>6880</v>
      </c>
      <c r="M2818" s="23"/>
    </row>
    <row r="2819" spans="2:13" x14ac:dyDescent="0.25">
      <c r="B2819" s="35" t="s">
        <v>8530</v>
      </c>
      <c r="C2819" s="23" t="s">
        <v>8531</v>
      </c>
      <c r="D2819" s="23" t="s">
        <v>3303</v>
      </c>
      <c r="E2819" s="23" t="s">
        <v>3317</v>
      </c>
      <c r="F2819" s="23" t="s">
        <v>3729</v>
      </c>
      <c r="G2819" s="93">
        <v>3</v>
      </c>
      <c r="H2819" s="93">
        <v>1</v>
      </c>
      <c r="I2819" s="23"/>
      <c r="J2819" s="23"/>
      <c r="K2819" s="23"/>
      <c r="L2819" s="23" t="s">
        <v>6880</v>
      </c>
      <c r="M2819" s="23"/>
    </row>
    <row r="2820" spans="2:13" x14ac:dyDescent="0.25">
      <c r="B2820" s="35" t="s">
        <v>8532</v>
      </c>
      <c r="C2820" s="23" t="s">
        <v>8533</v>
      </c>
      <c r="D2820" s="23" t="s">
        <v>3303</v>
      </c>
      <c r="E2820" s="23" t="s">
        <v>3317</v>
      </c>
      <c r="F2820" s="23" t="s">
        <v>3729</v>
      </c>
      <c r="G2820" s="93">
        <v>3</v>
      </c>
      <c r="H2820" s="93">
        <v>1</v>
      </c>
      <c r="I2820" s="23"/>
      <c r="J2820" s="23"/>
      <c r="K2820" s="23"/>
      <c r="L2820" s="23" t="s">
        <v>6880</v>
      </c>
      <c r="M2820" s="23"/>
    </row>
    <row r="2821" spans="2:13" x14ac:dyDescent="0.25">
      <c r="B2821" s="35" t="s">
        <v>8534</v>
      </c>
      <c r="C2821" s="23" t="s">
        <v>8535</v>
      </c>
      <c r="D2821" s="23" t="s">
        <v>3303</v>
      </c>
      <c r="E2821" s="23" t="s">
        <v>3317</v>
      </c>
      <c r="F2821" s="23" t="s">
        <v>3729</v>
      </c>
      <c r="G2821" s="93">
        <v>3</v>
      </c>
      <c r="H2821" s="93">
        <v>1</v>
      </c>
      <c r="I2821" s="23"/>
      <c r="J2821" s="23"/>
      <c r="K2821" s="23"/>
      <c r="L2821" s="23" t="s">
        <v>6880</v>
      </c>
      <c r="M2821" s="23"/>
    </row>
    <row r="2822" spans="2:13" x14ac:dyDescent="0.25">
      <c r="B2822" s="35" t="s">
        <v>8536</v>
      </c>
      <c r="C2822" s="23" t="s">
        <v>8537</v>
      </c>
      <c r="D2822" s="23" t="s">
        <v>3303</v>
      </c>
      <c r="E2822" s="23" t="s">
        <v>3317</v>
      </c>
      <c r="F2822" s="23" t="s">
        <v>3729</v>
      </c>
      <c r="G2822" s="93">
        <v>3</v>
      </c>
      <c r="H2822" s="93">
        <v>0</v>
      </c>
      <c r="I2822" s="23"/>
      <c r="J2822" s="23"/>
      <c r="K2822" s="23"/>
      <c r="L2822" s="23" t="s">
        <v>6880</v>
      </c>
      <c r="M2822" s="23"/>
    </row>
    <row r="2823" spans="2:13" x14ac:dyDescent="0.25">
      <c r="B2823" s="35" t="s">
        <v>8538</v>
      </c>
      <c r="C2823" s="23" t="s">
        <v>8539</v>
      </c>
      <c r="D2823" s="23" t="s">
        <v>3303</v>
      </c>
      <c r="E2823" s="23" t="s">
        <v>3317</v>
      </c>
      <c r="F2823" s="23" t="s">
        <v>3729</v>
      </c>
      <c r="G2823" s="93">
        <v>3</v>
      </c>
      <c r="H2823" s="93">
        <v>0</v>
      </c>
      <c r="I2823" s="23"/>
      <c r="J2823" s="23"/>
      <c r="K2823" s="23"/>
      <c r="L2823" s="23" t="s">
        <v>6880</v>
      </c>
      <c r="M2823" s="23"/>
    </row>
    <row r="2824" spans="2:13" x14ac:dyDescent="0.25">
      <c r="B2824" s="35" t="s">
        <v>8540</v>
      </c>
      <c r="C2824" s="23" t="s">
        <v>8541</v>
      </c>
      <c r="D2824" s="23" t="s">
        <v>3303</v>
      </c>
      <c r="E2824" s="23" t="s">
        <v>3317</v>
      </c>
      <c r="F2824" s="23" t="s">
        <v>3729</v>
      </c>
      <c r="G2824" s="93">
        <v>3</v>
      </c>
      <c r="H2824" s="93">
        <v>0</v>
      </c>
      <c r="I2824" s="23"/>
      <c r="J2824" s="23"/>
      <c r="K2824" s="23"/>
      <c r="L2824" s="23" t="s">
        <v>6880</v>
      </c>
      <c r="M2824" s="23"/>
    </row>
    <row r="2825" spans="2:13" x14ac:dyDescent="0.25">
      <c r="B2825" s="35" t="s">
        <v>8542</v>
      </c>
      <c r="C2825" s="23" t="s">
        <v>8543</v>
      </c>
      <c r="D2825" s="23" t="s">
        <v>3303</v>
      </c>
      <c r="E2825" s="23" t="s">
        <v>3317</v>
      </c>
      <c r="F2825" s="23" t="s">
        <v>3729</v>
      </c>
      <c r="G2825" s="93">
        <v>3</v>
      </c>
      <c r="H2825" s="93">
        <v>0</v>
      </c>
      <c r="I2825" s="23"/>
      <c r="J2825" s="23"/>
      <c r="K2825" s="23"/>
      <c r="L2825" s="23" t="s">
        <v>6880</v>
      </c>
      <c r="M2825" s="23"/>
    </row>
    <row r="2826" spans="2:13" x14ac:dyDescent="0.25">
      <c r="B2826" s="35" t="s">
        <v>8544</v>
      </c>
      <c r="C2826" s="23" t="s">
        <v>8545</v>
      </c>
      <c r="D2826" s="23" t="s">
        <v>3303</v>
      </c>
      <c r="E2826" s="23" t="s">
        <v>3317</v>
      </c>
      <c r="F2826" s="23" t="s">
        <v>3729</v>
      </c>
      <c r="G2826" s="93">
        <v>3</v>
      </c>
      <c r="H2826" s="93">
        <v>0</v>
      </c>
      <c r="I2826" s="23"/>
      <c r="J2826" s="23"/>
      <c r="K2826" s="23"/>
      <c r="L2826" s="23" t="s">
        <v>6880</v>
      </c>
      <c r="M2826" s="23"/>
    </row>
    <row r="2827" spans="2:13" x14ac:dyDescent="0.25">
      <c r="B2827" s="35" t="s">
        <v>8546</v>
      </c>
      <c r="C2827" s="23" t="s">
        <v>8547</v>
      </c>
      <c r="D2827" s="23" t="s">
        <v>3303</v>
      </c>
      <c r="E2827" s="23" t="s">
        <v>3317</v>
      </c>
      <c r="F2827" s="23" t="s">
        <v>3729</v>
      </c>
      <c r="G2827" s="93">
        <v>3</v>
      </c>
      <c r="H2827" s="93">
        <v>0</v>
      </c>
      <c r="I2827" s="23"/>
      <c r="J2827" s="23"/>
      <c r="K2827" s="23"/>
      <c r="L2827" s="23" t="s">
        <v>6880</v>
      </c>
      <c r="M2827" s="23"/>
    </row>
    <row r="2828" spans="2:13" x14ac:dyDescent="0.25">
      <c r="B2828" s="35" t="s">
        <v>8548</v>
      </c>
      <c r="C2828" s="23" t="s">
        <v>8549</v>
      </c>
      <c r="D2828" s="23" t="s">
        <v>3303</v>
      </c>
      <c r="E2828" s="23" t="s">
        <v>3317</v>
      </c>
      <c r="F2828" s="23" t="s">
        <v>3729</v>
      </c>
      <c r="G2828" s="93">
        <v>3</v>
      </c>
      <c r="H2828" s="93">
        <v>0</v>
      </c>
      <c r="I2828" s="23"/>
      <c r="J2828" s="23"/>
      <c r="K2828" s="23"/>
      <c r="L2828" s="23" t="s">
        <v>6880</v>
      </c>
      <c r="M2828" s="23"/>
    </row>
    <row r="2829" spans="2:13" x14ac:dyDescent="0.25">
      <c r="B2829" s="35" t="s">
        <v>8550</v>
      </c>
      <c r="C2829" s="23" t="s">
        <v>8551</v>
      </c>
      <c r="D2829" s="23" t="s">
        <v>3303</v>
      </c>
      <c r="E2829" s="23" t="s">
        <v>3317</v>
      </c>
      <c r="F2829" s="23" t="s">
        <v>3729</v>
      </c>
      <c r="G2829" s="93">
        <v>3</v>
      </c>
      <c r="H2829" s="93">
        <v>0</v>
      </c>
      <c r="I2829" s="23"/>
      <c r="J2829" s="23"/>
      <c r="K2829" s="23"/>
      <c r="L2829" s="23" t="s">
        <v>6880</v>
      </c>
      <c r="M2829" s="23"/>
    </row>
    <row r="2830" spans="2:13" x14ac:dyDescent="0.25">
      <c r="B2830" s="35" t="s">
        <v>8552</v>
      </c>
      <c r="C2830" s="23" t="s">
        <v>8553</v>
      </c>
      <c r="D2830" s="23" t="s">
        <v>3303</v>
      </c>
      <c r="E2830" s="23" t="s">
        <v>3317</v>
      </c>
      <c r="F2830" s="23" t="s">
        <v>3729</v>
      </c>
      <c r="G2830" s="93">
        <v>3</v>
      </c>
      <c r="H2830" s="93">
        <v>0</v>
      </c>
      <c r="I2830" s="23"/>
      <c r="J2830" s="23"/>
      <c r="K2830" s="23"/>
      <c r="L2830" s="23" t="s">
        <v>6880</v>
      </c>
      <c r="M2830" s="23"/>
    </row>
    <row r="2831" spans="2:13" x14ac:dyDescent="0.25">
      <c r="B2831" s="35" t="s">
        <v>8554</v>
      </c>
      <c r="C2831" s="23" t="s">
        <v>8555</v>
      </c>
      <c r="D2831" s="23" t="s">
        <v>3303</v>
      </c>
      <c r="E2831" s="23" t="s">
        <v>3317</v>
      </c>
      <c r="F2831" s="23" t="s">
        <v>3729</v>
      </c>
      <c r="G2831" s="93">
        <v>3</v>
      </c>
      <c r="H2831" s="93">
        <v>0</v>
      </c>
      <c r="I2831" s="23"/>
      <c r="J2831" s="23"/>
      <c r="K2831" s="23"/>
      <c r="L2831" s="23" t="s">
        <v>6880</v>
      </c>
      <c r="M2831" s="23"/>
    </row>
    <row r="2832" spans="2:13" x14ac:dyDescent="0.25">
      <c r="B2832" s="35" t="s">
        <v>8556</v>
      </c>
      <c r="C2832" s="23" t="s">
        <v>8557</v>
      </c>
      <c r="D2832" s="23" t="s">
        <v>3303</v>
      </c>
      <c r="E2832" s="23" t="s">
        <v>3317</v>
      </c>
      <c r="F2832" s="23" t="s">
        <v>3729</v>
      </c>
      <c r="G2832" s="93">
        <v>3</v>
      </c>
      <c r="H2832" s="93">
        <v>0</v>
      </c>
      <c r="I2832" s="23"/>
      <c r="J2832" s="23"/>
      <c r="K2832" s="23"/>
      <c r="L2832" s="23" t="s">
        <v>6880</v>
      </c>
      <c r="M2832" s="23"/>
    </row>
    <row r="2833" spans="2:13" x14ac:dyDescent="0.25">
      <c r="B2833" s="35" t="s">
        <v>8558</v>
      </c>
      <c r="C2833" s="23" t="s">
        <v>8559</v>
      </c>
      <c r="D2833" s="23" t="s">
        <v>3303</v>
      </c>
      <c r="E2833" s="23" t="s">
        <v>3317</v>
      </c>
      <c r="F2833" s="23" t="s">
        <v>3729</v>
      </c>
      <c r="G2833" s="93">
        <v>3</v>
      </c>
      <c r="H2833" s="93">
        <v>0</v>
      </c>
      <c r="I2833" s="23"/>
      <c r="J2833" s="23"/>
      <c r="K2833" s="23"/>
      <c r="L2833" s="23" t="s">
        <v>6880</v>
      </c>
      <c r="M2833" s="23"/>
    </row>
    <row r="2834" spans="2:13" x14ac:dyDescent="0.25">
      <c r="B2834" s="35" t="s">
        <v>8560</v>
      </c>
      <c r="C2834" s="23" t="s">
        <v>8561</v>
      </c>
      <c r="D2834" s="23" t="s">
        <v>3303</v>
      </c>
      <c r="E2834" s="23" t="s">
        <v>3317</v>
      </c>
      <c r="F2834" s="23" t="s">
        <v>3729</v>
      </c>
      <c r="G2834" s="93">
        <v>3</v>
      </c>
      <c r="H2834" s="93">
        <v>0</v>
      </c>
      <c r="I2834" s="23"/>
      <c r="J2834" s="23"/>
      <c r="K2834" s="23"/>
      <c r="L2834" s="23" t="s">
        <v>6880</v>
      </c>
      <c r="M2834" s="23"/>
    </row>
    <row r="2835" spans="2:13" x14ac:dyDescent="0.25">
      <c r="B2835" s="35" t="s">
        <v>8562</v>
      </c>
      <c r="C2835" s="23" t="s">
        <v>8563</v>
      </c>
      <c r="D2835" s="23" t="s">
        <v>3303</v>
      </c>
      <c r="E2835" s="23" t="s">
        <v>3317</v>
      </c>
      <c r="F2835" s="23" t="s">
        <v>3729</v>
      </c>
      <c r="G2835" s="93">
        <v>3</v>
      </c>
      <c r="H2835" s="93">
        <v>0</v>
      </c>
      <c r="I2835" s="23"/>
      <c r="J2835" s="23"/>
      <c r="K2835" s="23"/>
      <c r="L2835" s="23" t="s">
        <v>6880</v>
      </c>
      <c r="M2835" s="23"/>
    </row>
    <row r="2836" spans="2:13" x14ac:dyDescent="0.25">
      <c r="B2836" s="35" t="s">
        <v>8564</v>
      </c>
      <c r="C2836" s="23" t="s">
        <v>8565</v>
      </c>
      <c r="D2836" s="23" t="s">
        <v>3303</v>
      </c>
      <c r="E2836" s="23" t="s">
        <v>3317</v>
      </c>
      <c r="F2836" s="23" t="s">
        <v>3729</v>
      </c>
      <c r="G2836" s="93">
        <v>3</v>
      </c>
      <c r="H2836" s="93">
        <v>0</v>
      </c>
      <c r="I2836" s="23"/>
      <c r="J2836" s="23"/>
      <c r="K2836" s="23"/>
      <c r="L2836" s="23" t="s">
        <v>6880</v>
      </c>
      <c r="M2836" s="23"/>
    </row>
    <row r="2837" spans="2:13" x14ac:dyDescent="0.25">
      <c r="B2837" s="35" t="s">
        <v>8566</v>
      </c>
      <c r="C2837" s="23" t="s">
        <v>8567</v>
      </c>
      <c r="D2837" s="23" t="s">
        <v>3303</v>
      </c>
      <c r="E2837" s="23" t="s">
        <v>3317</v>
      </c>
      <c r="F2837" s="23" t="s">
        <v>3729</v>
      </c>
      <c r="G2837" s="93">
        <v>3</v>
      </c>
      <c r="H2837" s="93">
        <v>0</v>
      </c>
      <c r="I2837" s="23"/>
      <c r="J2837" s="23"/>
      <c r="K2837" s="23"/>
      <c r="L2837" s="23" t="s">
        <v>6880</v>
      </c>
      <c r="M2837" s="23"/>
    </row>
    <row r="2838" spans="2:13" x14ac:dyDescent="0.25">
      <c r="B2838" s="35" t="s">
        <v>8568</v>
      </c>
      <c r="C2838" s="23" t="s">
        <v>8569</v>
      </c>
      <c r="D2838" s="23" t="s">
        <v>3303</v>
      </c>
      <c r="E2838" s="23" t="s">
        <v>3317</v>
      </c>
      <c r="F2838" s="23" t="s">
        <v>3729</v>
      </c>
      <c r="G2838" s="93">
        <v>3</v>
      </c>
      <c r="H2838" s="93">
        <v>1</v>
      </c>
      <c r="I2838" s="23"/>
      <c r="J2838" s="23"/>
      <c r="K2838" s="23"/>
      <c r="L2838" s="23" t="s">
        <v>6880</v>
      </c>
      <c r="M2838" s="23"/>
    </row>
    <row r="2839" spans="2:13" x14ac:dyDescent="0.25">
      <c r="B2839" s="35" t="s">
        <v>8570</v>
      </c>
      <c r="C2839" s="23" t="s">
        <v>8571</v>
      </c>
      <c r="D2839" s="23" t="s">
        <v>3303</v>
      </c>
      <c r="E2839" s="23" t="s">
        <v>3317</v>
      </c>
      <c r="F2839" s="23" t="s">
        <v>3729</v>
      </c>
      <c r="G2839" s="93">
        <v>3</v>
      </c>
      <c r="H2839" s="93">
        <v>0</v>
      </c>
      <c r="I2839" s="23"/>
      <c r="J2839" s="23"/>
      <c r="K2839" s="23"/>
      <c r="L2839" s="23" t="s">
        <v>6880</v>
      </c>
      <c r="M2839" s="23"/>
    </row>
    <row r="2840" spans="2:13" x14ac:dyDescent="0.25">
      <c r="B2840" s="35" t="s">
        <v>8572</v>
      </c>
      <c r="C2840" s="23" t="s">
        <v>8573</v>
      </c>
      <c r="D2840" s="23" t="s">
        <v>3303</v>
      </c>
      <c r="E2840" s="23" t="s">
        <v>3317</v>
      </c>
      <c r="F2840" s="23" t="s">
        <v>3729</v>
      </c>
      <c r="G2840" s="93">
        <v>3</v>
      </c>
      <c r="H2840" s="93">
        <v>0</v>
      </c>
      <c r="I2840" s="23"/>
      <c r="J2840" s="23"/>
      <c r="K2840" s="23"/>
      <c r="L2840" s="23" t="s">
        <v>6880</v>
      </c>
      <c r="M2840" s="23"/>
    </row>
    <row r="2841" spans="2:13" x14ac:dyDescent="0.25">
      <c r="B2841" s="35" t="s">
        <v>8574</v>
      </c>
      <c r="C2841" s="23" t="s">
        <v>8575</v>
      </c>
      <c r="D2841" s="23" t="s">
        <v>3303</v>
      </c>
      <c r="E2841" s="23" t="s">
        <v>3317</v>
      </c>
      <c r="F2841" s="23" t="s">
        <v>3729</v>
      </c>
      <c r="G2841" s="93">
        <v>3</v>
      </c>
      <c r="H2841" s="93">
        <v>0</v>
      </c>
      <c r="I2841" s="23"/>
      <c r="J2841" s="23"/>
      <c r="K2841" s="23"/>
      <c r="L2841" s="23" t="s">
        <v>6880</v>
      </c>
      <c r="M2841" s="23"/>
    </row>
    <row r="2842" spans="2:13" x14ac:dyDescent="0.25">
      <c r="B2842" s="35" t="s">
        <v>8576</v>
      </c>
      <c r="C2842" s="23" t="s">
        <v>8577</v>
      </c>
      <c r="D2842" s="23" t="s">
        <v>3303</v>
      </c>
      <c r="E2842" s="23" t="s">
        <v>3317</v>
      </c>
      <c r="F2842" s="23" t="s">
        <v>3729</v>
      </c>
      <c r="G2842" s="93">
        <v>3</v>
      </c>
      <c r="H2842" s="93">
        <v>0</v>
      </c>
      <c r="I2842" s="23"/>
      <c r="J2842" s="23"/>
      <c r="K2842" s="23"/>
      <c r="L2842" s="23" t="s">
        <v>6880</v>
      </c>
      <c r="M2842" s="23"/>
    </row>
    <row r="2843" spans="2:13" x14ac:dyDescent="0.25">
      <c r="B2843" s="35" t="s">
        <v>8578</v>
      </c>
      <c r="C2843" s="23" t="s">
        <v>8579</v>
      </c>
      <c r="D2843" s="23" t="s">
        <v>3303</v>
      </c>
      <c r="E2843" s="23" t="s">
        <v>3317</v>
      </c>
      <c r="F2843" s="23" t="s">
        <v>3729</v>
      </c>
      <c r="G2843" s="93">
        <v>3</v>
      </c>
      <c r="H2843" s="93">
        <v>1</v>
      </c>
      <c r="I2843" s="23"/>
      <c r="J2843" s="23"/>
      <c r="K2843" s="23"/>
      <c r="L2843" s="23" t="s">
        <v>6880</v>
      </c>
      <c r="M2843" s="23"/>
    </row>
    <row r="2844" spans="2:13" x14ac:dyDescent="0.25">
      <c r="B2844" s="35" t="s">
        <v>8580</v>
      </c>
      <c r="C2844" s="23" t="s">
        <v>8581</v>
      </c>
      <c r="D2844" s="23" t="s">
        <v>3303</v>
      </c>
      <c r="E2844" s="23" t="s">
        <v>3317</v>
      </c>
      <c r="F2844" s="23" t="s">
        <v>3729</v>
      </c>
      <c r="G2844" s="93">
        <v>3</v>
      </c>
      <c r="H2844" s="93">
        <v>1</v>
      </c>
      <c r="I2844" s="23"/>
      <c r="J2844" s="23"/>
      <c r="K2844" s="23"/>
      <c r="L2844" s="23" t="s">
        <v>6880</v>
      </c>
      <c r="M2844" s="23"/>
    </row>
    <row r="2845" spans="2:13" x14ac:dyDescent="0.25">
      <c r="B2845" s="35" t="s">
        <v>8582</v>
      </c>
      <c r="C2845" s="23" t="s">
        <v>8583</v>
      </c>
      <c r="D2845" s="23" t="s">
        <v>3303</v>
      </c>
      <c r="E2845" s="23" t="s">
        <v>3317</v>
      </c>
      <c r="F2845" s="23" t="s">
        <v>3729</v>
      </c>
      <c r="G2845" s="93">
        <v>3</v>
      </c>
      <c r="H2845" s="93">
        <v>1</v>
      </c>
      <c r="I2845" s="23"/>
      <c r="J2845" s="23"/>
      <c r="K2845" s="23"/>
      <c r="L2845" s="23" t="s">
        <v>6880</v>
      </c>
      <c r="M2845" s="23"/>
    </row>
    <row r="2846" spans="2:13" x14ac:dyDescent="0.25">
      <c r="B2846" s="35" t="s">
        <v>8584</v>
      </c>
      <c r="C2846" s="23" t="s">
        <v>8585</v>
      </c>
      <c r="D2846" s="23" t="s">
        <v>3303</v>
      </c>
      <c r="E2846" s="23" t="s">
        <v>3317</v>
      </c>
      <c r="F2846" s="23" t="s">
        <v>3729</v>
      </c>
      <c r="G2846" s="93">
        <v>3</v>
      </c>
      <c r="H2846" s="93">
        <v>1</v>
      </c>
      <c r="I2846" s="23"/>
      <c r="J2846" s="23"/>
      <c r="K2846" s="23"/>
      <c r="L2846" s="23" t="s">
        <v>6880</v>
      </c>
      <c r="M2846" s="23"/>
    </row>
    <row r="2847" spans="2:13" x14ac:dyDescent="0.25">
      <c r="B2847" s="35" t="s">
        <v>8586</v>
      </c>
      <c r="C2847" s="23" t="s">
        <v>8587</v>
      </c>
      <c r="D2847" s="23" t="s">
        <v>3303</v>
      </c>
      <c r="E2847" s="23" t="s">
        <v>3317</v>
      </c>
      <c r="F2847" s="23" t="s">
        <v>3729</v>
      </c>
      <c r="G2847" s="93">
        <v>3</v>
      </c>
      <c r="H2847" s="93">
        <v>0</v>
      </c>
      <c r="I2847" s="23"/>
      <c r="J2847" s="23"/>
      <c r="K2847" s="23"/>
      <c r="L2847" s="23" t="s">
        <v>6880</v>
      </c>
      <c r="M2847" s="23"/>
    </row>
    <row r="2848" spans="2:13" x14ac:dyDescent="0.25">
      <c r="B2848" s="35" t="s">
        <v>8588</v>
      </c>
      <c r="C2848" s="23" t="s">
        <v>8589</v>
      </c>
      <c r="D2848" s="23" t="s">
        <v>3303</v>
      </c>
      <c r="E2848" s="23" t="s">
        <v>3317</v>
      </c>
      <c r="F2848" s="23" t="s">
        <v>3729</v>
      </c>
      <c r="G2848" s="93">
        <v>3</v>
      </c>
      <c r="H2848" s="93">
        <v>0</v>
      </c>
      <c r="I2848" s="23"/>
      <c r="J2848" s="23"/>
      <c r="K2848" s="23"/>
      <c r="L2848" s="23" t="s">
        <v>6880</v>
      </c>
      <c r="M2848" s="23"/>
    </row>
    <row r="2849" spans="2:13" x14ac:dyDescent="0.25">
      <c r="B2849" s="35" t="s">
        <v>8590</v>
      </c>
      <c r="C2849" s="23" t="s">
        <v>8591</v>
      </c>
      <c r="D2849" s="23" t="s">
        <v>3303</v>
      </c>
      <c r="E2849" s="23" t="s">
        <v>3317</v>
      </c>
      <c r="F2849" s="23" t="s">
        <v>3729</v>
      </c>
      <c r="G2849" s="93">
        <v>3</v>
      </c>
      <c r="H2849" s="93">
        <v>0</v>
      </c>
      <c r="I2849" s="23"/>
      <c r="J2849" s="23"/>
      <c r="K2849" s="23"/>
      <c r="L2849" s="23" t="s">
        <v>6880</v>
      </c>
      <c r="M2849" s="23"/>
    </row>
    <row r="2850" spans="2:13" x14ac:dyDescent="0.25">
      <c r="B2850" s="35" t="s">
        <v>8592</v>
      </c>
      <c r="C2850" s="23" t="s">
        <v>8593</v>
      </c>
      <c r="D2850" s="23" t="s">
        <v>3303</v>
      </c>
      <c r="E2850" s="23" t="s">
        <v>3317</v>
      </c>
      <c r="F2850" s="23" t="s">
        <v>3729</v>
      </c>
      <c r="G2850" s="93">
        <v>3</v>
      </c>
      <c r="H2850" s="93">
        <v>0</v>
      </c>
      <c r="I2850" s="23"/>
      <c r="J2850" s="23"/>
      <c r="K2850" s="23"/>
      <c r="L2850" s="23" t="s">
        <v>6880</v>
      </c>
      <c r="M2850" s="23"/>
    </row>
    <row r="2851" spans="2:13" x14ac:dyDescent="0.25">
      <c r="B2851" s="35" t="s">
        <v>8594</v>
      </c>
      <c r="C2851" s="23" t="s">
        <v>8595</v>
      </c>
      <c r="D2851" s="23" t="s">
        <v>3303</v>
      </c>
      <c r="E2851" s="23" t="s">
        <v>3317</v>
      </c>
      <c r="F2851" s="23" t="s">
        <v>3729</v>
      </c>
      <c r="G2851" s="93">
        <v>3</v>
      </c>
      <c r="H2851" s="93">
        <v>0</v>
      </c>
      <c r="I2851" s="23"/>
      <c r="J2851" s="23"/>
      <c r="K2851" s="23"/>
      <c r="L2851" s="23" t="s">
        <v>6880</v>
      </c>
      <c r="M2851" s="23"/>
    </row>
    <row r="2852" spans="2:13" x14ac:dyDescent="0.25">
      <c r="B2852" s="35" t="s">
        <v>8596</v>
      </c>
      <c r="C2852" s="23" t="s">
        <v>8597</v>
      </c>
      <c r="D2852" s="23" t="s">
        <v>3303</v>
      </c>
      <c r="E2852" s="23" t="s">
        <v>3317</v>
      </c>
      <c r="F2852" s="23" t="s">
        <v>3729</v>
      </c>
      <c r="G2852" s="93">
        <v>3</v>
      </c>
      <c r="H2852" s="93">
        <v>0</v>
      </c>
      <c r="I2852" s="23"/>
      <c r="J2852" s="23"/>
      <c r="K2852" s="23"/>
      <c r="L2852" s="23" t="s">
        <v>6880</v>
      </c>
      <c r="M2852" s="23"/>
    </row>
    <row r="2853" spans="2:13" x14ac:dyDescent="0.25">
      <c r="B2853" s="35" t="s">
        <v>8598</v>
      </c>
      <c r="C2853" s="23" t="s">
        <v>8599</v>
      </c>
      <c r="D2853" s="23" t="s">
        <v>3303</v>
      </c>
      <c r="E2853" s="23" t="s">
        <v>3317</v>
      </c>
      <c r="F2853" s="23" t="s">
        <v>3729</v>
      </c>
      <c r="G2853" s="93">
        <v>3</v>
      </c>
      <c r="H2853" s="93">
        <v>0</v>
      </c>
      <c r="I2853" s="23"/>
      <c r="J2853" s="23"/>
      <c r="K2853" s="23"/>
      <c r="L2853" s="23" t="s">
        <v>6880</v>
      </c>
      <c r="M2853" s="23"/>
    </row>
    <row r="2854" spans="2:13" x14ac:dyDescent="0.25">
      <c r="B2854" s="35" t="s">
        <v>8600</v>
      </c>
      <c r="C2854" s="23" t="s">
        <v>8601</v>
      </c>
      <c r="D2854" s="23" t="s">
        <v>3303</v>
      </c>
      <c r="E2854" s="23" t="s">
        <v>3317</v>
      </c>
      <c r="F2854" s="23" t="s">
        <v>3729</v>
      </c>
      <c r="G2854" s="93">
        <v>3</v>
      </c>
      <c r="H2854" s="93">
        <v>0</v>
      </c>
      <c r="I2854" s="23"/>
      <c r="J2854" s="23"/>
      <c r="K2854" s="23"/>
      <c r="L2854" s="23" t="s">
        <v>6880</v>
      </c>
      <c r="M2854" s="23"/>
    </row>
    <row r="2855" spans="2:13" x14ac:dyDescent="0.25">
      <c r="B2855" s="35" t="s">
        <v>8602</v>
      </c>
      <c r="C2855" s="23" t="s">
        <v>8603</v>
      </c>
      <c r="D2855" s="23" t="s">
        <v>3303</v>
      </c>
      <c r="E2855" s="23" t="s">
        <v>3317</v>
      </c>
      <c r="F2855" s="23" t="s">
        <v>3729</v>
      </c>
      <c r="G2855" s="93">
        <v>3</v>
      </c>
      <c r="H2855" s="93">
        <v>0</v>
      </c>
      <c r="I2855" s="23"/>
      <c r="J2855" s="23"/>
      <c r="K2855" s="23"/>
      <c r="L2855" s="23" t="s">
        <v>6880</v>
      </c>
      <c r="M2855" s="23"/>
    </row>
    <row r="2856" spans="2:13" x14ac:dyDescent="0.25">
      <c r="B2856" s="35" t="s">
        <v>8604</v>
      </c>
      <c r="C2856" s="23" t="s">
        <v>8605</v>
      </c>
      <c r="D2856" s="23" t="s">
        <v>3303</v>
      </c>
      <c r="E2856" s="23" t="s">
        <v>3317</v>
      </c>
      <c r="F2856" s="23" t="s">
        <v>3729</v>
      </c>
      <c r="G2856" s="93">
        <v>3</v>
      </c>
      <c r="H2856" s="93">
        <v>0</v>
      </c>
      <c r="I2856" s="23"/>
      <c r="J2856" s="23"/>
      <c r="K2856" s="23"/>
      <c r="L2856" s="23" t="s">
        <v>6880</v>
      </c>
      <c r="M2856" s="23"/>
    </row>
    <row r="2857" spans="2:13" x14ac:dyDescent="0.25">
      <c r="B2857" s="35" t="s">
        <v>8606</v>
      </c>
      <c r="C2857" s="23" t="s">
        <v>8607</v>
      </c>
      <c r="D2857" s="23" t="s">
        <v>3303</v>
      </c>
      <c r="E2857" s="23" t="s">
        <v>3317</v>
      </c>
      <c r="F2857" s="23" t="s">
        <v>3729</v>
      </c>
      <c r="G2857" s="93">
        <v>3</v>
      </c>
      <c r="H2857" s="93">
        <v>0</v>
      </c>
      <c r="I2857" s="23"/>
      <c r="J2857" s="23"/>
      <c r="K2857" s="23"/>
      <c r="L2857" s="23" t="s">
        <v>6880</v>
      </c>
      <c r="M2857" s="23"/>
    </row>
    <row r="2858" spans="2:13" x14ac:dyDescent="0.25">
      <c r="B2858" s="35" t="s">
        <v>8608</v>
      </c>
      <c r="C2858" s="23" t="s">
        <v>8609</v>
      </c>
      <c r="D2858" s="23" t="s">
        <v>3303</v>
      </c>
      <c r="E2858" s="23" t="s">
        <v>3317</v>
      </c>
      <c r="F2858" s="23" t="s">
        <v>3729</v>
      </c>
      <c r="G2858" s="93">
        <v>3</v>
      </c>
      <c r="H2858" s="93">
        <v>0</v>
      </c>
      <c r="I2858" s="23"/>
      <c r="J2858" s="23"/>
      <c r="K2858" s="23"/>
      <c r="L2858" s="23" t="s">
        <v>6880</v>
      </c>
      <c r="M2858" s="23"/>
    </row>
    <row r="2859" spans="2:13" x14ac:dyDescent="0.25">
      <c r="B2859" s="35" t="s">
        <v>8610</v>
      </c>
      <c r="C2859" s="23" t="s">
        <v>8611</v>
      </c>
      <c r="D2859" s="23" t="s">
        <v>3303</v>
      </c>
      <c r="E2859" s="23" t="s">
        <v>3317</v>
      </c>
      <c r="F2859" s="23" t="s">
        <v>3729</v>
      </c>
      <c r="G2859" s="93">
        <v>3</v>
      </c>
      <c r="H2859" s="93">
        <v>0</v>
      </c>
      <c r="I2859" s="23"/>
      <c r="J2859" s="23"/>
      <c r="K2859" s="23"/>
      <c r="L2859" s="23" t="s">
        <v>6880</v>
      </c>
      <c r="M2859" s="23"/>
    </row>
    <row r="2860" spans="2:13" x14ac:dyDescent="0.25">
      <c r="B2860" s="35" t="s">
        <v>8612</v>
      </c>
      <c r="C2860" s="23" t="s">
        <v>8613</v>
      </c>
      <c r="D2860" s="23" t="s">
        <v>3303</v>
      </c>
      <c r="E2860" s="23" t="s">
        <v>3317</v>
      </c>
      <c r="F2860" s="23" t="s">
        <v>3729</v>
      </c>
      <c r="G2860" s="93">
        <v>3</v>
      </c>
      <c r="H2860" s="93">
        <v>0</v>
      </c>
      <c r="I2860" s="23"/>
      <c r="J2860" s="23"/>
      <c r="K2860" s="23"/>
      <c r="L2860" s="23" t="s">
        <v>6880</v>
      </c>
      <c r="M2860" s="23"/>
    </row>
    <row r="2861" spans="2:13" x14ac:dyDescent="0.25">
      <c r="B2861" s="35" t="s">
        <v>8614</v>
      </c>
      <c r="C2861" s="23" t="s">
        <v>8615</v>
      </c>
      <c r="D2861" s="23" t="s">
        <v>3303</v>
      </c>
      <c r="E2861" s="23" t="s">
        <v>3317</v>
      </c>
      <c r="F2861" s="23" t="s">
        <v>3729</v>
      </c>
      <c r="G2861" s="93">
        <v>3</v>
      </c>
      <c r="H2861" s="93">
        <v>0</v>
      </c>
      <c r="I2861" s="23"/>
      <c r="J2861" s="23"/>
      <c r="K2861" s="23"/>
      <c r="L2861" s="23" t="s">
        <v>6880</v>
      </c>
      <c r="M2861" s="23"/>
    </row>
    <row r="2862" spans="2:13" x14ac:dyDescent="0.25">
      <c r="B2862" s="35" t="s">
        <v>8616</v>
      </c>
      <c r="C2862" s="23" t="s">
        <v>8617</v>
      </c>
      <c r="D2862" s="23" t="s">
        <v>3303</v>
      </c>
      <c r="E2862" s="23" t="s">
        <v>3317</v>
      </c>
      <c r="F2862" s="23" t="s">
        <v>3729</v>
      </c>
      <c r="G2862" s="93">
        <v>3</v>
      </c>
      <c r="H2862" s="93">
        <v>0</v>
      </c>
      <c r="I2862" s="23"/>
      <c r="J2862" s="23"/>
      <c r="K2862" s="23"/>
      <c r="L2862" s="23" t="s">
        <v>6880</v>
      </c>
      <c r="M2862" s="23"/>
    </row>
    <row r="2863" spans="2:13" x14ac:dyDescent="0.25">
      <c r="B2863" s="35" t="s">
        <v>8618</v>
      </c>
      <c r="C2863" s="23" t="s">
        <v>8619</v>
      </c>
      <c r="D2863" s="23" t="s">
        <v>3303</v>
      </c>
      <c r="E2863" s="23" t="s">
        <v>3317</v>
      </c>
      <c r="F2863" s="23" t="s">
        <v>3729</v>
      </c>
      <c r="G2863" s="93">
        <v>3</v>
      </c>
      <c r="H2863" s="93">
        <v>0</v>
      </c>
      <c r="I2863" s="23"/>
      <c r="J2863" s="23"/>
      <c r="K2863" s="23"/>
      <c r="L2863" s="23" t="s">
        <v>6880</v>
      </c>
      <c r="M2863" s="23"/>
    </row>
    <row r="2864" spans="2:13" x14ac:dyDescent="0.25">
      <c r="B2864" s="35" t="s">
        <v>8620</v>
      </c>
      <c r="C2864" s="23" t="s">
        <v>8621</v>
      </c>
      <c r="D2864" s="23" t="s">
        <v>3303</v>
      </c>
      <c r="E2864" s="23" t="s">
        <v>3317</v>
      </c>
      <c r="F2864" s="23" t="s">
        <v>3729</v>
      </c>
      <c r="G2864" s="93">
        <v>3</v>
      </c>
      <c r="H2864" s="93">
        <v>0</v>
      </c>
      <c r="I2864" s="23"/>
      <c r="J2864" s="23"/>
      <c r="K2864" s="23"/>
      <c r="L2864" s="23" t="s">
        <v>6880</v>
      </c>
      <c r="M2864" s="23"/>
    </row>
    <row r="2865" spans="2:13" x14ac:dyDescent="0.25">
      <c r="B2865" s="35" t="s">
        <v>8622</v>
      </c>
      <c r="C2865" s="23" t="s">
        <v>8623</v>
      </c>
      <c r="D2865" s="23" t="s">
        <v>3303</v>
      </c>
      <c r="E2865" s="23" t="s">
        <v>3317</v>
      </c>
      <c r="F2865" s="23" t="s">
        <v>3729</v>
      </c>
      <c r="G2865" s="93">
        <v>3</v>
      </c>
      <c r="H2865" s="93">
        <v>0</v>
      </c>
      <c r="I2865" s="23"/>
      <c r="J2865" s="23"/>
      <c r="K2865" s="23"/>
      <c r="L2865" s="23" t="s">
        <v>6880</v>
      </c>
      <c r="M2865" s="23"/>
    </row>
    <row r="2866" spans="2:13" x14ac:dyDescent="0.25">
      <c r="B2866" s="35" t="s">
        <v>8624</v>
      </c>
      <c r="C2866" s="23" t="s">
        <v>8625</v>
      </c>
      <c r="D2866" s="23" t="s">
        <v>3303</v>
      </c>
      <c r="E2866" s="23" t="s">
        <v>3317</v>
      </c>
      <c r="F2866" s="23" t="s">
        <v>3729</v>
      </c>
      <c r="G2866" s="93">
        <v>3</v>
      </c>
      <c r="H2866" s="93">
        <v>1</v>
      </c>
      <c r="I2866" s="23"/>
      <c r="J2866" s="23"/>
      <c r="K2866" s="23"/>
      <c r="L2866" s="23" t="s">
        <v>6880</v>
      </c>
      <c r="M2866" s="23"/>
    </row>
    <row r="2867" spans="2:13" x14ac:dyDescent="0.25">
      <c r="B2867" s="35" t="s">
        <v>8626</v>
      </c>
      <c r="C2867" s="23" t="s">
        <v>8627</v>
      </c>
      <c r="D2867" s="23" t="s">
        <v>3303</v>
      </c>
      <c r="E2867" s="23" t="s">
        <v>3317</v>
      </c>
      <c r="F2867" s="23" t="s">
        <v>3729</v>
      </c>
      <c r="G2867" s="93">
        <v>3</v>
      </c>
      <c r="H2867" s="93">
        <v>1</v>
      </c>
      <c r="I2867" s="23"/>
      <c r="J2867" s="23"/>
      <c r="K2867" s="23"/>
      <c r="L2867" s="23" t="s">
        <v>6880</v>
      </c>
      <c r="M2867" s="23"/>
    </row>
    <row r="2868" spans="2:13" x14ac:dyDescent="0.25">
      <c r="B2868" s="35" t="s">
        <v>8628</v>
      </c>
      <c r="C2868" s="23" t="s">
        <v>8629</v>
      </c>
      <c r="D2868" s="23" t="s">
        <v>3303</v>
      </c>
      <c r="E2868" s="23" t="s">
        <v>3317</v>
      </c>
      <c r="F2868" s="23" t="s">
        <v>3729</v>
      </c>
      <c r="G2868" s="93">
        <v>3</v>
      </c>
      <c r="H2868" s="93">
        <v>1</v>
      </c>
      <c r="I2868" s="23"/>
      <c r="J2868" s="23"/>
      <c r="K2868" s="23"/>
      <c r="L2868" s="23" t="s">
        <v>6880</v>
      </c>
      <c r="M2868" s="23"/>
    </row>
    <row r="2869" spans="2:13" x14ac:dyDescent="0.25">
      <c r="B2869" s="35" t="s">
        <v>8630</v>
      </c>
      <c r="C2869" s="23" t="s">
        <v>8631</v>
      </c>
      <c r="D2869" s="23" t="s">
        <v>3303</v>
      </c>
      <c r="E2869" s="23" t="s">
        <v>3317</v>
      </c>
      <c r="F2869" s="23" t="s">
        <v>3729</v>
      </c>
      <c r="G2869" s="93">
        <v>3</v>
      </c>
      <c r="H2869" s="93">
        <v>1</v>
      </c>
      <c r="I2869" s="23"/>
      <c r="J2869" s="23"/>
      <c r="K2869" s="23"/>
      <c r="L2869" s="23" t="s">
        <v>6880</v>
      </c>
      <c r="M2869" s="23"/>
    </row>
    <row r="2870" spans="2:13" x14ac:dyDescent="0.25">
      <c r="B2870" s="35" t="s">
        <v>8632</v>
      </c>
      <c r="C2870" s="23" t="s">
        <v>8633</v>
      </c>
      <c r="D2870" s="23" t="s">
        <v>3303</v>
      </c>
      <c r="E2870" s="23" t="s">
        <v>3317</v>
      </c>
      <c r="F2870" s="23" t="s">
        <v>3729</v>
      </c>
      <c r="G2870" s="93">
        <v>3</v>
      </c>
      <c r="H2870" s="93">
        <v>1</v>
      </c>
      <c r="I2870" s="23"/>
      <c r="J2870" s="23"/>
      <c r="K2870" s="23"/>
      <c r="L2870" s="23" t="s">
        <v>6880</v>
      </c>
      <c r="M2870" s="23"/>
    </row>
    <row r="2871" spans="2:13" x14ac:dyDescent="0.25">
      <c r="B2871" s="35" t="s">
        <v>8634</v>
      </c>
      <c r="C2871" s="23" t="s">
        <v>8635</v>
      </c>
      <c r="D2871" s="23" t="s">
        <v>3303</v>
      </c>
      <c r="E2871" s="23" t="s">
        <v>3317</v>
      </c>
      <c r="F2871" s="23" t="s">
        <v>3729</v>
      </c>
      <c r="G2871" s="93">
        <v>3</v>
      </c>
      <c r="H2871" s="93">
        <v>0</v>
      </c>
      <c r="I2871" s="23"/>
      <c r="J2871" s="23"/>
      <c r="K2871" s="23"/>
      <c r="L2871" s="23" t="s">
        <v>6880</v>
      </c>
      <c r="M2871" s="23"/>
    </row>
    <row r="2872" spans="2:13" x14ac:dyDescent="0.25">
      <c r="B2872" s="35" t="s">
        <v>8636</v>
      </c>
      <c r="C2872" s="23" t="s">
        <v>8637</v>
      </c>
      <c r="D2872" s="23" t="s">
        <v>3303</v>
      </c>
      <c r="E2872" s="23" t="s">
        <v>3317</v>
      </c>
      <c r="F2872" s="23" t="s">
        <v>3729</v>
      </c>
      <c r="G2872" s="93">
        <v>3</v>
      </c>
      <c r="H2872" s="93">
        <v>0</v>
      </c>
      <c r="I2872" s="23"/>
      <c r="J2872" s="23"/>
      <c r="K2872" s="23"/>
      <c r="L2872" s="23" t="s">
        <v>6880</v>
      </c>
      <c r="M2872" s="23"/>
    </row>
    <row r="2873" spans="2:13" x14ac:dyDescent="0.25">
      <c r="B2873" s="35" t="s">
        <v>8638</v>
      </c>
      <c r="C2873" s="23" t="s">
        <v>8639</v>
      </c>
      <c r="D2873" s="23" t="s">
        <v>3303</v>
      </c>
      <c r="E2873" s="23" t="s">
        <v>3317</v>
      </c>
      <c r="F2873" s="23" t="s">
        <v>3729</v>
      </c>
      <c r="G2873" s="93">
        <v>3</v>
      </c>
      <c r="H2873" s="93">
        <v>0</v>
      </c>
      <c r="I2873" s="23"/>
      <c r="J2873" s="23"/>
      <c r="K2873" s="23"/>
      <c r="L2873" s="23" t="s">
        <v>6880</v>
      </c>
      <c r="M2873" s="23"/>
    </row>
    <row r="2874" spans="2:13" x14ac:dyDescent="0.25">
      <c r="B2874" s="35" t="s">
        <v>8640</v>
      </c>
      <c r="C2874" s="23" t="s">
        <v>8641</v>
      </c>
      <c r="D2874" s="23" t="s">
        <v>3303</v>
      </c>
      <c r="E2874" s="23" t="s">
        <v>3317</v>
      </c>
      <c r="F2874" s="23" t="s">
        <v>3729</v>
      </c>
      <c r="G2874" s="93">
        <v>3</v>
      </c>
      <c r="H2874" s="93">
        <v>0</v>
      </c>
      <c r="I2874" s="23"/>
      <c r="J2874" s="23"/>
      <c r="K2874" s="23"/>
      <c r="L2874" s="23" t="s">
        <v>6880</v>
      </c>
      <c r="M2874" s="23"/>
    </row>
    <row r="2875" spans="2:13" x14ac:dyDescent="0.25">
      <c r="B2875" s="35" t="s">
        <v>8642</v>
      </c>
      <c r="C2875" s="23" t="s">
        <v>8643</v>
      </c>
      <c r="D2875" s="23" t="s">
        <v>3303</v>
      </c>
      <c r="E2875" s="23" t="s">
        <v>3317</v>
      </c>
      <c r="F2875" s="23" t="s">
        <v>3729</v>
      </c>
      <c r="G2875" s="93">
        <v>3</v>
      </c>
      <c r="H2875" s="93">
        <v>0</v>
      </c>
      <c r="I2875" s="23"/>
      <c r="J2875" s="23"/>
      <c r="K2875" s="23"/>
      <c r="L2875" s="23" t="s">
        <v>6880</v>
      </c>
      <c r="M2875" s="23"/>
    </row>
    <row r="2876" spans="2:13" x14ac:dyDescent="0.25">
      <c r="B2876" s="35" t="s">
        <v>8644</v>
      </c>
      <c r="C2876" s="23" t="s">
        <v>8645</v>
      </c>
      <c r="D2876" s="23" t="s">
        <v>3303</v>
      </c>
      <c r="E2876" s="23" t="s">
        <v>3317</v>
      </c>
      <c r="F2876" s="23" t="s">
        <v>3729</v>
      </c>
      <c r="G2876" s="93">
        <v>3</v>
      </c>
      <c r="H2876" s="93">
        <v>0</v>
      </c>
      <c r="I2876" s="23"/>
      <c r="J2876" s="23"/>
      <c r="K2876" s="23"/>
      <c r="L2876" s="23" t="s">
        <v>6880</v>
      </c>
      <c r="M2876" s="23"/>
    </row>
    <row r="2877" spans="2:13" x14ac:dyDescent="0.25">
      <c r="B2877" s="35" t="s">
        <v>8646</v>
      </c>
      <c r="C2877" s="23" t="s">
        <v>8647</v>
      </c>
      <c r="D2877" s="23" t="s">
        <v>3303</v>
      </c>
      <c r="E2877" s="23" t="s">
        <v>3317</v>
      </c>
      <c r="F2877" s="23" t="s">
        <v>3729</v>
      </c>
      <c r="G2877" s="93">
        <v>3</v>
      </c>
      <c r="H2877" s="93">
        <v>0</v>
      </c>
      <c r="I2877" s="23"/>
      <c r="J2877" s="23"/>
      <c r="K2877" s="23"/>
      <c r="L2877" s="23" t="s">
        <v>6880</v>
      </c>
      <c r="M2877" s="23"/>
    </row>
    <row r="2878" spans="2:13" x14ac:dyDescent="0.25">
      <c r="B2878" s="35" t="s">
        <v>8648</v>
      </c>
      <c r="C2878" s="23" t="s">
        <v>8649</v>
      </c>
      <c r="D2878" s="23" t="s">
        <v>3303</v>
      </c>
      <c r="E2878" s="23" t="s">
        <v>3317</v>
      </c>
      <c r="F2878" s="23" t="s">
        <v>3729</v>
      </c>
      <c r="G2878" s="93">
        <v>3</v>
      </c>
      <c r="H2878" s="93">
        <v>0</v>
      </c>
      <c r="I2878" s="23"/>
      <c r="J2878" s="23"/>
      <c r="K2878" s="23"/>
      <c r="L2878" s="23" t="s">
        <v>6880</v>
      </c>
      <c r="M2878" s="23"/>
    </row>
    <row r="2879" spans="2:13" x14ac:dyDescent="0.25">
      <c r="B2879" s="35" t="s">
        <v>8650</v>
      </c>
      <c r="C2879" s="23" t="s">
        <v>8651</v>
      </c>
      <c r="D2879" s="23" t="s">
        <v>3303</v>
      </c>
      <c r="E2879" s="23" t="s">
        <v>3317</v>
      </c>
      <c r="F2879" s="23" t="s">
        <v>3729</v>
      </c>
      <c r="G2879" s="93">
        <v>3</v>
      </c>
      <c r="H2879" s="93">
        <v>0</v>
      </c>
      <c r="I2879" s="23"/>
      <c r="J2879" s="23"/>
      <c r="K2879" s="23"/>
      <c r="L2879" s="23" t="s">
        <v>6880</v>
      </c>
      <c r="M2879" s="23"/>
    </row>
    <row r="2880" spans="2:13" x14ac:dyDescent="0.25">
      <c r="B2880" s="35" t="s">
        <v>8652</v>
      </c>
      <c r="C2880" s="23" t="s">
        <v>8653</v>
      </c>
      <c r="D2880" s="23" t="s">
        <v>3303</v>
      </c>
      <c r="E2880" s="23" t="s">
        <v>3317</v>
      </c>
      <c r="F2880" s="23" t="s">
        <v>3729</v>
      </c>
      <c r="G2880" s="93">
        <v>3</v>
      </c>
      <c r="H2880" s="93">
        <v>0</v>
      </c>
      <c r="I2880" s="23"/>
      <c r="J2880" s="23"/>
      <c r="K2880" s="23"/>
      <c r="L2880" s="23" t="s">
        <v>6880</v>
      </c>
      <c r="M2880" s="23"/>
    </row>
    <row r="2881" spans="2:13" x14ac:dyDescent="0.25">
      <c r="B2881" s="35" t="s">
        <v>8654</v>
      </c>
      <c r="C2881" s="23" t="s">
        <v>8655</v>
      </c>
      <c r="D2881" s="23" t="s">
        <v>3303</v>
      </c>
      <c r="E2881" s="23" t="s">
        <v>3317</v>
      </c>
      <c r="F2881" s="23" t="s">
        <v>3729</v>
      </c>
      <c r="G2881" s="93">
        <v>3</v>
      </c>
      <c r="H2881" s="93">
        <v>0</v>
      </c>
      <c r="I2881" s="23"/>
      <c r="J2881" s="23"/>
      <c r="K2881" s="23"/>
      <c r="L2881" s="23" t="s">
        <v>6880</v>
      </c>
      <c r="M2881" s="23"/>
    </row>
    <row r="2882" spans="2:13" x14ac:dyDescent="0.25">
      <c r="B2882" s="35" t="s">
        <v>8656</v>
      </c>
      <c r="C2882" s="23" t="s">
        <v>8657</v>
      </c>
      <c r="D2882" s="23" t="s">
        <v>3303</v>
      </c>
      <c r="E2882" s="23" t="s">
        <v>3317</v>
      </c>
      <c r="F2882" s="23" t="s">
        <v>3729</v>
      </c>
      <c r="G2882" s="93">
        <v>3</v>
      </c>
      <c r="H2882" s="93">
        <v>0</v>
      </c>
      <c r="I2882" s="23"/>
      <c r="J2882" s="23"/>
      <c r="K2882" s="23"/>
      <c r="L2882" s="23" t="s">
        <v>6880</v>
      </c>
      <c r="M2882" s="23"/>
    </row>
    <row r="2883" spans="2:13" x14ac:dyDescent="0.25">
      <c r="B2883" s="35" t="s">
        <v>8658</v>
      </c>
      <c r="C2883" s="23" t="s">
        <v>8659</v>
      </c>
      <c r="D2883" s="23" t="s">
        <v>3303</v>
      </c>
      <c r="E2883" s="23" t="s">
        <v>3317</v>
      </c>
      <c r="F2883" s="23" t="s">
        <v>3729</v>
      </c>
      <c r="G2883" s="93">
        <v>3</v>
      </c>
      <c r="H2883" s="93">
        <v>0</v>
      </c>
      <c r="I2883" s="23"/>
      <c r="J2883" s="23"/>
      <c r="K2883" s="23"/>
      <c r="L2883" s="23" t="s">
        <v>6880</v>
      </c>
      <c r="M2883" s="23"/>
    </row>
    <row r="2884" spans="2:13" x14ac:dyDescent="0.25">
      <c r="B2884" s="35" t="s">
        <v>8660</v>
      </c>
      <c r="C2884" s="23" t="s">
        <v>8661</v>
      </c>
      <c r="D2884" s="23" t="s">
        <v>3303</v>
      </c>
      <c r="E2884" s="23" t="s">
        <v>3317</v>
      </c>
      <c r="F2884" s="23" t="s">
        <v>3729</v>
      </c>
      <c r="G2884" s="93">
        <v>3</v>
      </c>
      <c r="H2884" s="93">
        <v>0</v>
      </c>
      <c r="I2884" s="23"/>
      <c r="J2884" s="23"/>
      <c r="K2884" s="23"/>
      <c r="L2884" s="23" t="s">
        <v>6880</v>
      </c>
      <c r="M2884" s="23"/>
    </row>
    <row r="2885" spans="2:13" x14ac:dyDescent="0.25">
      <c r="B2885" s="35" t="s">
        <v>8662</v>
      </c>
      <c r="C2885" s="23" t="s">
        <v>8663</v>
      </c>
      <c r="D2885" s="23" t="s">
        <v>3303</v>
      </c>
      <c r="E2885" s="23" t="s">
        <v>3317</v>
      </c>
      <c r="F2885" s="23" t="s">
        <v>3729</v>
      </c>
      <c r="G2885" s="93">
        <v>3</v>
      </c>
      <c r="H2885" s="93">
        <v>0</v>
      </c>
      <c r="I2885" s="23"/>
      <c r="J2885" s="23"/>
      <c r="K2885" s="23"/>
      <c r="L2885" s="23" t="s">
        <v>6880</v>
      </c>
      <c r="M2885" s="23"/>
    </row>
    <row r="2886" spans="2:13" x14ac:dyDescent="0.25">
      <c r="B2886" s="35" t="s">
        <v>8664</v>
      </c>
      <c r="C2886" s="23" t="s">
        <v>8665</v>
      </c>
      <c r="D2886" s="23" t="s">
        <v>3303</v>
      </c>
      <c r="E2886" s="23" t="s">
        <v>3317</v>
      </c>
      <c r="F2886" s="23" t="s">
        <v>3729</v>
      </c>
      <c r="G2886" s="93">
        <v>3</v>
      </c>
      <c r="H2886" s="93">
        <v>0</v>
      </c>
      <c r="I2886" s="23"/>
      <c r="J2886" s="23"/>
      <c r="K2886" s="23"/>
      <c r="L2886" s="23" t="s">
        <v>6880</v>
      </c>
      <c r="M2886" s="23"/>
    </row>
    <row r="2887" spans="2:13" x14ac:dyDescent="0.25">
      <c r="B2887" s="35" t="s">
        <v>8666</v>
      </c>
      <c r="C2887" s="23" t="s">
        <v>8667</v>
      </c>
      <c r="D2887" s="23" t="s">
        <v>3303</v>
      </c>
      <c r="E2887" s="23" t="s">
        <v>3317</v>
      </c>
      <c r="F2887" s="23" t="s">
        <v>3729</v>
      </c>
      <c r="G2887" s="93">
        <v>3</v>
      </c>
      <c r="H2887" s="93">
        <v>0</v>
      </c>
      <c r="I2887" s="23"/>
      <c r="J2887" s="23"/>
      <c r="K2887" s="23"/>
      <c r="L2887" s="23" t="s">
        <v>6880</v>
      </c>
      <c r="M2887" s="23"/>
    </row>
    <row r="2888" spans="2:13" x14ac:dyDescent="0.25">
      <c r="B2888" s="35" t="s">
        <v>8668</v>
      </c>
      <c r="C2888" s="23" t="s">
        <v>8669</v>
      </c>
      <c r="D2888" s="23" t="s">
        <v>3303</v>
      </c>
      <c r="E2888" s="23" t="s">
        <v>3317</v>
      </c>
      <c r="F2888" s="23" t="s">
        <v>3729</v>
      </c>
      <c r="G2888" s="93">
        <v>3</v>
      </c>
      <c r="H2888" s="93">
        <v>0</v>
      </c>
      <c r="I2888" s="23"/>
      <c r="J2888" s="23"/>
      <c r="K2888" s="23"/>
      <c r="L2888" s="23" t="s">
        <v>6880</v>
      </c>
      <c r="M2888" s="23"/>
    </row>
    <row r="2889" spans="2:13" x14ac:dyDescent="0.25">
      <c r="B2889" s="35" t="s">
        <v>8670</v>
      </c>
      <c r="C2889" s="23" t="s">
        <v>8671</v>
      </c>
      <c r="D2889" s="23" t="s">
        <v>3303</v>
      </c>
      <c r="E2889" s="23" t="s">
        <v>3317</v>
      </c>
      <c r="F2889" s="23" t="s">
        <v>3729</v>
      </c>
      <c r="G2889" s="93">
        <v>3</v>
      </c>
      <c r="H2889" s="93">
        <v>0</v>
      </c>
      <c r="I2889" s="23"/>
      <c r="J2889" s="23"/>
      <c r="K2889" s="23"/>
      <c r="L2889" s="23" t="s">
        <v>6880</v>
      </c>
      <c r="M2889" s="23"/>
    </row>
    <row r="2890" spans="2:13" x14ac:dyDescent="0.25">
      <c r="B2890" s="35" t="s">
        <v>8672</v>
      </c>
      <c r="C2890" s="23" t="s">
        <v>8673</v>
      </c>
      <c r="D2890" s="23" t="s">
        <v>3303</v>
      </c>
      <c r="E2890" s="23" t="s">
        <v>3317</v>
      </c>
      <c r="F2890" s="23" t="s">
        <v>3729</v>
      </c>
      <c r="G2890" s="93">
        <v>3</v>
      </c>
      <c r="H2890" s="93">
        <v>0</v>
      </c>
      <c r="I2890" s="23"/>
      <c r="J2890" s="23"/>
      <c r="K2890" s="23"/>
      <c r="L2890" s="23" t="s">
        <v>6880</v>
      </c>
      <c r="M2890" s="23"/>
    </row>
    <row r="2891" spans="2:13" x14ac:dyDescent="0.25">
      <c r="B2891" s="35" t="s">
        <v>8674</v>
      </c>
      <c r="C2891" s="23" t="s">
        <v>8675</v>
      </c>
      <c r="D2891" s="23" t="s">
        <v>3303</v>
      </c>
      <c r="E2891" s="23" t="s">
        <v>3317</v>
      </c>
      <c r="F2891" s="23" t="s">
        <v>3729</v>
      </c>
      <c r="G2891" s="93">
        <v>3</v>
      </c>
      <c r="H2891" s="93">
        <v>0</v>
      </c>
      <c r="I2891" s="23"/>
      <c r="J2891" s="23"/>
      <c r="K2891" s="23"/>
      <c r="L2891" s="23" t="s">
        <v>6880</v>
      </c>
      <c r="M2891" s="23"/>
    </row>
    <row r="2892" spans="2:13" x14ac:dyDescent="0.25">
      <c r="B2892" s="35" t="s">
        <v>8676</v>
      </c>
      <c r="C2892" s="23" t="s">
        <v>8677</v>
      </c>
      <c r="D2892" s="23" t="s">
        <v>3303</v>
      </c>
      <c r="E2892" s="23" t="s">
        <v>3317</v>
      </c>
      <c r="F2892" s="23" t="s">
        <v>3729</v>
      </c>
      <c r="G2892" s="93">
        <v>3</v>
      </c>
      <c r="H2892" s="93">
        <v>0</v>
      </c>
      <c r="I2892" s="23"/>
      <c r="J2892" s="23"/>
      <c r="K2892" s="23"/>
      <c r="L2892" s="23" t="s">
        <v>6880</v>
      </c>
      <c r="M2892" s="23"/>
    </row>
    <row r="2893" spans="2:13" x14ac:dyDescent="0.25">
      <c r="B2893" s="35" t="s">
        <v>8678</v>
      </c>
      <c r="C2893" s="23" t="s">
        <v>8679</v>
      </c>
      <c r="D2893" s="23" t="s">
        <v>3303</v>
      </c>
      <c r="E2893" s="23" t="s">
        <v>3317</v>
      </c>
      <c r="F2893" s="23" t="s">
        <v>3729</v>
      </c>
      <c r="G2893" s="93">
        <v>3</v>
      </c>
      <c r="H2893" s="93">
        <v>0</v>
      </c>
      <c r="I2893" s="23"/>
      <c r="J2893" s="23"/>
      <c r="K2893" s="23"/>
      <c r="L2893" s="23" t="s">
        <v>6880</v>
      </c>
      <c r="M2893" s="23"/>
    </row>
    <row r="2894" spans="2:13" x14ac:dyDescent="0.25">
      <c r="B2894" s="35" t="s">
        <v>8680</v>
      </c>
      <c r="C2894" s="23" t="s">
        <v>8681</v>
      </c>
      <c r="D2894" s="23" t="s">
        <v>3303</v>
      </c>
      <c r="E2894" s="23" t="s">
        <v>3317</v>
      </c>
      <c r="F2894" s="23" t="s">
        <v>3729</v>
      </c>
      <c r="G2894" s="93">
        <v>3</v>
      </c>
      <c r="H2894" s="93">
        <v>0</v>
      </c>
      <c r="I2894" s="23"/>
      <c r="J2894" s="23"/>
      <c r="K2894" s="23"/>
      <c r="L2894" s="23" t="s">
        <v>6880</v>
      </c>
      <c r="M2894" s="23"/>
    </row>
    <row r="2895" spans="2:13" x14ac:dyDescent="0.25">
      <c r="B2895" s="35" t="s">
        <v>8682</v>
      </c>
      <c r="C2895" s="23" t="s">
        <v>8683</v>
      </c>
      <c r="D2895" s="23" t="s">
        <v>3303</v>
      </c>
      <c r="E2895" s="23" t="s">
        <v>3317</v>
      </c>
      <c r="F2895" s="23" t="s">
        <v>3729</v>
      </c>
      <c r="G2895" s="93">
        <v>3</v>
      </c>
      <c r="H2895" s="93">
        <v>0</v>
      </c>
      <c r="I2895" s="23"/>
      <c r="J2895" s="23"/>
      <c r="K2895" s="23"/>
      <c r="L2895" s="23" t="s">
        <v>6880</v>
      </c>
      <c r="M2895" s="23"/>
    </row>
    <row r="2896" spans="2:13" x14ac:dyDescent="0.25">
      <c r="B2896" s="35" t="s">
        <v>8684</v>
      </c>
      <c r="C2896" s="23" t="s">
        <v>8685</v>
      </c>
      <c r="D2896" s="23" t="s">
        <v>3303</v>
      </c>
      <c r="E2896" s="23" t="s">
        <v>3317</v>
      </c>
      <c r="F2896" s="23" t="s">
        <v>3729</v>
      </c>
      <c r="G2896" s="93">
        <v>3</v>
      </c>
      <c r="H2896" s="93">
        <v>1</v>
      </c>
      <c r="I2896" s="23"/>
      <c r="J2896" s="23"/>
      <c r="K2896" s="23"/>
      <c r="L2896" s="23" t="s">
        <v>6880</v>
      </c>
      <c r="M2896" s="23" t="s">
        <v>3694</v>
      </c>
    </row>
    <row r="2897" spans="2:13" x14ac:dyDescent="0.25">
      <c r="B2897" s="35" t="s">
        <v>8686</v>
      </c>
      <c r="C2897" s="23" t="s">
        <v>8687</v>
      </c>
      <c r="D2897" s="23" t="s">
        <v>3303</v>
      </c>
      <c r="E2897" s="23" t="s">
        <v>3317</v>
      </c>
      <c r="F2897" s="23" t="s">
        <v>3729</v>
      </c>
      <c r="G2897" s="93">
        <v>3</v>
      </c>
      <c r="H2897" s="93">
        <v>0</v>
      </c>
      <c r="I2897" s="23"/>
      <c r="J2897" s="23"/>
      <c r="K2897" s="23"/>
      <c r="L2897" s="23" t="s">
        <v>6880</v>
      </c>
      <c r="M2897" s="23"/>
    </row>
    <row r="2898" spans="2:13" x14ac:dyDescent="0.25">
      <c r="B2898" s="35" t="s">
        <v>8688</v>
      </c>
      <c r="C2898" s="23" t="s">
        <v>8689</v>
      </c>
      <c r="D2898" s="23" t="s">
        <v>3303</v>
      </c>
      <c r="E2898" s="23" t="s">
        <v>3317</v>
      </c>
      <c r="F2898" s="23" t="s">
        <v>3729</v>
      </c>
      <c r="G2898" s="93">
        <v>3</v>
      </c>
      <c r="H2898" s="93">
        <v>0</v>
      </c>
      <c r="I2898" s="23"/>
      <c r="J2898" s="23"/>
      <c r="K2898" s="23"/>
      <c r="L2898" s="23" t="s">
        <v>6880</v>
      </c>
      <c r="M2898" s="23"/>
    </row>
    <row r="2899" spans="2:13" x14ac:dyDescent="0.25">
      <c r="B2899" s="35" t="s">
        <v>8690</v>
      </c>
      <c r="C2899" s="23" t="s">
        <v>8691</v>
      </c>
      <c r="D2899" s="23" t="s">
        <v>3303</v>
      </c>
      <c r="E2899" s="23" t="s">
        <v>3317</v>
      </c>
      <c r="F2899" s="23" t="s">
        <v>3729</v>
      </c>
      <c r="G2899" s="93">
        <v>3</v>
      </c>
      <c r="H2899" s="93">
        <v>1</v>
      </c>
      <c r="I2899" s="23"/>
      <c r="J2899" s="23"/>
      <c r="K2899" s="23"/>
      <c r="L2899" s="23" t="s">
        <v>6880</v>
      </c>
      <c r="M2899" s="23"/>
    </row>
    <row r="2900" spans="2:13" x14ac:dyDescent="0.25">
      <c r="B2900" s="35" t="s">
        <v>8692</v>
      </c>
      <c r="C2900" s="23" t="s">
        <v>8693</v>
      </c>
      <c r="D2900" s="23" t="s">
        <v>3303</v>
      </c>
      <c r="E2900" s="23" t="s">
        <v>3317</v>
      </c>
      <c r="F2900" s="23" t="s">
        <v>3729</v>
      </c>
      <c r="G2900" s="93">
        <v>3</v>
      </c>
      <c r="H2900" s="93">
        <v>0</v>
      </c>
      <c r="I2900" s="23"/>
      <c r="J2900" s="23"/>
      <c r="K2900" s="23"/>
      <c r="L2900" s="23" t="s">
        <v>6880</v>
      </c>
      <c r="M2900" s="23"/>
    </row>
    <row r="2901" spans="2:13" x14ac:dyDescent="0.25">
      <c r="B2901" s="35" t="s">
        <v>8694</v>
      </c>
      <c r="C2901" s="23" t="s">
        <v>8695</v>
      </c>
      <c r="D2901" s="23" t="s">
        <v>3303</v>
      </c>
      <c r="E2901" s="23" t="s">
        <v>3317</v>
      </c>
      <c r="F2901" s="23" t="s">
        <v>3729</v>
      </c>
      <c r="G2901" s="93">
        <v>3</v>
      </c>
      <c r="H2901" s="93">
        <v>0</v>
      </c>
      <c r="I2901" s="23"/>
      <c r="J2901" s="23"/>
      <c r="K2901" s="23"/>
      <c r="L2901" s="23" t="s">
        <v>6880</v>
      </c>
      <c r="M2901" s="23"/>
    </row>
    <row r="2902" spans="2:13" x14ac:dyDescent="0.25">
      <c r="B2902" s="35" t="s">
        <v>8696</v>
      </c>
      <c r="C2902" s="23" t="s">
        <v>8697</v>
      </c>
      <c r="D2902" s="23" t="s">
        <v>3303</v>
      </c>
      <c r="E2902" s="23" t="s">
        <v>3317</v>
      </c>
      <c r="F2902" s="23" t="s">
        <v>3729</v>
      </c>
      <c r="G2902" s="93">
        <v>3</v>
      </c>
      <c r="H2902" s="93">
        <v>0</v>
      </c>
      <c r="I2902" s="23"/>
      <c r="J2902" s="23"/>
      <c r="K2902" s="23"/>
      <c r="L2902" s="23" t="s">
        <v>6880</v>
      </c>
      <c r="M2902" s="23"/>
    </row>
    <row r="2903" spans="2:13" x14ac:dyDescent="0.25">
      <c r="B2903" s="35" t="s">
        <v>8698</v>
      </c>
      <c r="C2903" s="23" t="s">
        <v>8699</v>
      </c>
      <c r="D2903" s="23" t="s">
        <v>3303</v>
      </c>
      <c r="E2903" s="23" t="s">
        <v>3317</v>
      </c>
      <c r="F2903" s="23" t="s">
        <v>3729</v>
      </c>
      <c r="G2903" s="93">
        <v>3</v>
      </c>
      <c r="H2903" s="93">
        <v>0</v>
      </c>
      <c r="I2903" s="23"/>
      <c r="J2903" s="23"/>
      <c r="K2903" s="23"/>
      <c r="L2903" s="23" t="s">
        <v>6880</v>
      </c>
      <c r="M2903" s="23"/>
    </row>
    <row r="2904" spans="2:13" x14ac:dyDescent="0.25">
      <c r="B2904" s="35" t="s">
        <v>8700</v>
      </c>
      <c r="C2904" s="23" t="s">
        <v>8701</v>
      </c>
      <c r="D2904" s="23" t="s">
        <v>3303</v>
      </c>
      <c r="E2904" s="23" t="s">
        <v>3317</v>
      </c>
      <c r="F2904" s="23" t="s">
        <v>3729</v>
      </c>
      <c r="G2904" s="93">
        <v>3</v>
      </c>
      <c r="H2904" s="93">
        <v>1</v>
      </c>
      <c r="I2904" s="23"/>
      <c r="J2904" s="23"/>
      <c r="K2904" s="23"/>
      <c r="L2904" s="23" t="s">
        <v>6880</v>
      </c>
      <c r="M2904" s="23"/>
    </row>
    <row r="2905" spans="2:13" x14ac:dyDescent="0.25">
      <c r="B2905" s="35" t="s">
        <v>8702</v>
      </c>
      <c r="C2905" s="23" t="s">
        <v>8703</v>
      </c>
      <c r="D2905" s="23" t="s">
        <v>3303</v>
      </c>
      <c r="E2905" s="23" t="s">
        <v>3317</v>
      </c>
      <c r="F2905" s="23" t="s">
        <v>3729</v>
      </c>
      <c r="G2905" s="93">
        <v>3</v>
      </c>
      <c r="H2905" s="93">
        <v>1</v>
      </c>
      <c r="I2905" s="23"/>
      <c r="J2905" s="23"/>
      <c r="K2905" s="23"/>
      <c r="L2905" s="23" t="s">
        <v>6880</v>
      </c>
      <c r="M2905" s="23"/>
    </row>
    <row r="2906" spans="2:13" x14ac:dyDescent="0.25">
      <c r="B2906" s="35" t="s">
        <v>8704</v>
      </c>
      <c r="C2906" s="23" t="s">
        <v>8705</v>
      </c>
      <c r="D2906" s="23" t="s">
        <v>3303</v>
      </c>
      <c r="E2906" s="23" t="s">
        <v>3317</v>
      </c>
      <c r="F2906" s="23" t="s">
        <v>3729</v>
      </c>
      <c r="G2906" s="93">
        <v>3</v>
      </c>
      <c r="H2906" s="93">
        <v>1</v>
      </c>
      <c r="I2906" s="23"/>
      <c r="J2906" s="23"/>
      <c r="K2906" s="23"/>
      <c r="L2906" s="23" t="s">
        <v>6880</v>
      </c>
      <c r="M2906" s="23"/>
    </row>
    <row r="2907" spans="2:13" x14ac:dyDescent="0.25">
      <c r="B2907" s="35" t="s">
        <v>8706</v>
      </c>
      <c r="C2907" s="23" t="s">
        <v>8707</v>
      </c>
      <c r="D2907" s="23" t="s">
        <v>3303</v>
      </c>
      <c r="E2907" s="23" t="s">
        <v>3317</v>
      </c>
      <c r="F2907" s="23" t="s">
        <v>3729</v>
      </c>
      <c r="G2907" s="93">
        <v>3</v>
      </c>
      <c r="H2907" s="93">
        <v>1</v>
      </c>
      <c r="I2907" s="23"/>
      <c r="J2907" s="23"/>
      <c r="K2907" s="23"/>
      <c r="L2907" s="23" t="s">
        <v>6880</v>
      </c>
      <c r="M2907" s="23"/>
    </row>
    <row r="2908" spans="2:13" x14ac:dyDescent="0.25">
      <c r="B2908" s="35" t="s">
        <v>8708</v>
      </c>
      <c r="C2908" s="23" t="s">
        <v>8709</v>
      </c>
      <c r="D2908" s="23" t="s">
        <v>3303</v>
      </c>
      <c r="E2908" s="23" t="s">
        <v>3317</v>
      </c>
      <c r="F2908" s="23" t="s">
        <v>3729</v>
      </c>
      <c r="G2908" s="93">
        <v>3</v>
      </c>
      <c r="H2908" s="93">
        <v>0</v>
      </c>
      <c r="I2908" s="23"/>
      <c r="J2908" s="23"/>
      <c r="K2908" s="23"/>
      <c r="L2908" s="23" t="s">
        <v>6880</v>
      </c>
      <c r="M2908" s="23"/>
    </row>
    <row r="2909" spans="2:13" x14ac:dyDescent="0.25">
      <c r="B2909" s="35" t="s">
        <v>8710</v>
      </c>
      <c r="C2909" s="23" t="s">
        <v>8711</v>
      </c>
      <c r="D2909" s="23" t="s">
        <v>3303</v>
      </c>
      <c r="E2909" s="23" t="s">
        <v>3317</v>
      </c>
      <c r="F2909" s="23" t="s">
        <v>3729</v>
      </c>
      <c r="G2909" s="93">
        <v>3</v>
      </c>
      <c r="H2909" s="93">
        <v>0</v>
      </c>
      <c r="I2909" s="23"/>
      <c r="J2909" s="23"/>
      <c r="K2909" s="23"/>
      <c r="L2909" s="23" t="s">
        <v>6880</v>
      </c>
      <c r="M2909" s="23"/>
    </row>
    <row r="2910" spans="2:13" x14ac:dyDescent="0.25">
      <c r="B2910" s="35" t="s">
        <v>8712</v>
      </c>
      <c r="C2910" s="23" t="s">
        <v>8713</v>
      </c>
      <c r="D2910" s="23" t="s">
        <v>3303</v>
      </c>
      <c r="E2910" s="23" t="s">
        <v>3317</v>
      </c>
      <c r="F2910" s="23" t="s">
        <v>3729</v>
      </c>
      <c r="G2910" s="93">
        <v>3</v>
      </c>
      <c r="H2910" s="93">
        <v>0</v>
      </c>
      <c r="I2910" s="23"/>
      <c r="J2910" s="23"/>
      <c r="K2910" s="23"/>
      <c r="L2910" s="23" t="s">
        <v>6880</v>
      </c>
      <c r="M2910" s="23"/>
    </row>
    <row r="2911" spans="2:13" x14ac:dyDescent="0.25">
      <c r="B2911" s="35" t="s">
        <v>8714</v>
      </c>
      <c r="C2911" s="23" t="s">
        <v>8715</v>
      </c>
      <c r="D2911" s="23" t="s">
        <v>3303</v>
      </c>
      <c r="E2911" s="23" t="s">
        <v>3317</v>
      </c>
      <c r="F2911" s="23" t="s">
        <v>3729</v>
      </c>
      <c r="G2911" s="93">
        <v>3</v>
      </c>
      <c r="H2911" s="93">
        <v>0</v>
      </c>
      <c r="I2911" s="23"/>
      <c r="J2911" s="23"/>
      <c r="K2911" s="23"/>
      <c r="L2911" s="23" t="s">
        <v>6880</v>
      </c>
      <c r="M2911" s="23"/>
    </row>
    <row r="2912" spans="2:13" x14ac:dyDescent="0.25">
      <c r="B2912" s="35" t="s">
        <v>8716</v>
      </c>
      <c r="C2912" s="23" t="s">
        <v>8717</v>
      </c>
      <c r="D2912" s="23" t="s">
        <v>3303</v>
      </c>
      <c r="E2912" s="23" t="s">
        <v>3317</v>
      </c>
      <c r="F2912" s="23" t="s">
        <v>3729</v>
      </c>
      <c r="G2912" s="93">
        <v>3</v>
      </c>
      <c r="H2912" s="93">
        <v>0</v>
      </c>
      <c r="I2912" s="23"/>
      <c r="J2912" s="23"/>
      <c r="K2912" s="23"/>
      <c r="L2912" s="23" t="s">
        <v>6880</v>
      </c>
      <c r="M2912" s="23"/>
    </row>
    <row r="2913" spans="2:13" x14ac:dyDescent="0.25">
      <c r="B2913" s="35" t="s">
        <v>8718</v>
      </c>
      <c r="C2913" s="23" t="s">
        <v>8719</v>
      </c>
      <c r="D2913" s="23" t="s">
        <v>3303</v>
      </c>
      <c r="E2913" s="23" t="s">
        <v>3317</v>
      </c>
      <c r="F2913" s="23" t="s">
        <v>3729</v>
      </c>
      <c r="G2913" s="93">
        <v>3</v>
      </c>
      <c r="H2913" s="93">
        <v>0</v>
      </c>
      <c r="I2913" s="23"/>
      <c r="J2913" s="23"/>
      <c r="K2913" s="23"/>
      <c r="L2913" s="23" t="s">
        <v>6880</v>
      </c>
      <c r="M2913" s="23"/>
    </row>
    <row r="2914" spans="2:13" x14ac:dyDescent="0.25">
      <c r="B2914" s="35" t="s">
        <v>8720</v>
      </c>
      <c r="C2914" s="23" t="s">
        <v>8721</v>
      </c>
      <c r="D2914" s="23" t="s">
        <v>3303</v>
      </c>
      <c r="E2914" s="23" t="s">
        <v>3317</v>
      </c>
      <c r="F2914" s="23" t="s">
        <v>3729</v>
      </c>
      <c r="G2914" s="93">
        <v>3</v>
      </c>
      <c r="H2914" s="93">
        <v>0</v>
      </c>
      <c r="I2914" s="23"/>
      <c r="J2914" s="23"/>
      <c r="K2914" s="23"/>
      <c r="L2914" s="23" t="s">
        <v>6880</v>
      </c>
      <c r="M2914" s="23"/>
    </row>
    <row r="2915" spans="2:13" x14ac:dyDescent="0.25">
      <c r="B2915" s="35" t="s">
        <v>8722</v>
      </c>
      <c r="C2915" s="23" t="s">
        <v>8723</v>
      </c>
      <c r="D2915" s="23" t="s">
        <v>3303</v>
      </c>
      <c r="E2915" s="23" t="s">
        <v>3317</v>
      </c>
      <c r="F2915" s="23" t="s">
        <v>3729</v>
      </c>
      <c r="G2915" s="93">
        <v>3</v>
      </c>
      <c r="H2915" s="93">
        <v>0</v>
      </c>
      <c r="I2915" s="23"/>
      <c r="J2915" s="23"/>
      <c r="K2915" s="23"/>
      <c r="L2915" s="23" t="s">
        <v>6880</v>
      </c>
      <c r="M2915" s="23"/>
    </row>
    <row r="2916" spans="2:13" x14ac:dyDescent="0.25">
      <c r="B2916" s="35" t="s">
        <v>8724</v>
      </c>
      <c r="C2916" s="23" t="s">
        <v>8725</v>
      </c>
      <c r="D2916" s="23" t="s">
        <v>3303</v>
      </c>
      <c r="E2916" s="23" t="s">
        <v>3317</v>
      </c>
      <c r="F2916" s="23" t="s">
        <v>3729</v>
      </c>
      <c r="G2916" s="93">
        <v>3</v>
      </c>
      <c r="H2916" s="93">
        <v>0</v>
      </c>
      <c r="I2916" s="23"/>
      <c r="J2916" s="23"/>
      <c r="K2916" s="23"/>
      <c r="L2916" s="23" t="s">
        <v>6880</v>
      </c>
      <c r="M2916" s="23"/>
    </row>
    <row r="2917" spans="2:13" x14ac:dyDescent="0.25">
      <c r="B2917" s="35" t="s">
        <v>8726</v>
      </c>
      <c r="C2917" s="23" t="s">
        <v>8727</v>
      </c>
      <c r="D2917" s="23" t="s">
        <v>3303</v>
      </c>
      <c r="E2917" s="23" t="s">
        <v>3317</v>
      </c>
      <c r="F2917" s="23" t="s">
        <v>3729</v>
      </c>
      <c r="G2917" s="93">
        <v>3</v>
      </c>
      <c r="H2917" s="93">
        <v>0</v>
      </c>
      <c r="I2917" s="23"/>
      <c r="J2917" s="23"/>
      <c r="K2917" s="23"/>
      <c r="L2917" s="23" t="s">
        <v>6880</v>
      </c>
      <c r="M2917" s="23"/>
    </row>
    <row r="2918" spans="2:13" x14ac:dyDescent="0.25">
      <c r="B2918" s="35" t="s">
        <v>8728</v>
      </c>
      <c r="C2918" s="23" t="s">
        <v>8729</v>
      </c>
      <c r="D2918" s="23" t="s">
        <v>3303</v>
      </c>
      <c r="E2918" s="23" t="s">
        <v>3317</v>
      </c>
      <c r="F2918" s="23" t="s">
        <v>3729</v>
      </c>
      <c r="G2918" s="93">
        <v>3</v>
      </c>
      <c r="H2918" s="93">
        <v>0</v>
      </c>
      <c r="I2918" s="23"/>
      <c r="J2918" s="23"/>
      <c r="K2918" s="23"/>
      <c r="L2918" s="23" t="s">
        <v>6880</v>
      </c>
      <c r="M2918" s="23"/>
    </row>
    <row r="2919" spans="2:13" x14ac:dyDescent="0.25">
      <c r="B2919" s="35" t="s">
        <v>8730</v>
      </c>
      <c r="C2919" s="23" t="s">
        <v>8731</v>
      </c>
      <c r="D2919" s="23" t="s">
        <v>3303</v>
      </c>
      <c r="E2919" s="23" t="s">
        <v>3317</v>
      </c>
      <c r="F2919" s="23" t="s">
        <v>3729</v>
      </c>
      <c r="G2919" s="93">
        <v>3</v>
      </c>
      <c r="H2919" s="93">
        <v>0</v>
      </c>
      <c r="I2919" s="23"/>
      <c r="J2919" s="23"/>
      <c r="K2919" s="23"/>
      <c r="L2919" s="23" t="s">
        <v>6880</v>
      </c>
      <c r="M2919" s="23"/>
    </row>
    <row r="2920" spans="2:13" x14ac:dyDescent="0.25">
      <c r="B2920" s="35" t="s">
        <v>8732</v>
      </c>
      <c r="C2920" s="23" t="s">
        <v>8733</v>
      </c>
      <c r="D2920" s="23" t="s">
        <v>3303</v>
      </c>
      <c r="E2920" s="23" t="s">
        <v>3317</v>
      </c>
      <c r="F2920" s="23" t="s">
        <v>3729</v>
      </c>
      <c r="G2920" s="93">
        <v>3</v>
      </c>
      <c r="H2920" s="93">
        <v>0</v>
      </c>
      <c r="I2920" s="23"/>
      <c r="J2920" s="23"/>
      <c r="K2920" s="23"/>
      <c r="L2920" s="23" t="s">
        <v>6880</v>
      </c>
      <c r="M2920" s="23"/>
    </row>
    <row r="2921" spans="2:13" x14ac:dyDescent="0.25">
      <c r="B2921" s="35" t="s">
        <v>8734</v>
      </c>
      <c r="C2921" s="23" t="s">
        <v>8735</v>
      </c>
      <c r="D2921" s="23" t="s">
        <v>3303</v>
      </c>
      <c r="E2921" s="23" t="s">
        <v>3317</v>
      </c>
      <c r="F2921" s="23" t="s">
        <v>3729</v>
      </c>
      <c r="G2921" s="93">
        <v>3</v>
      </c>
      <c r="H2921" s="93">
        <v>0</v>
      </c>
      <c r="I2921" s="23"/>
      <c r="J2921" s="23"/>
      <c r="K2921" s="23"/>
      <c r="L2921" s="23" t="s">
        <v>6880</v>
      </c>
      <c r="M2921" s="23"/>
    </row>
    <row r="2922" spans="2:13" x14ac:dyDescent="0.25">
      <c r="B2922" s="35" t="s">
        <v>8736</v>
      </c>
      <c r="C2922" s="23" t="s">
        <v>8737</v>
      </c>
      <c r="D2922" s="23" t="s">
        <v>3303</v>
      </c>
      <c r="E2922" s="23" t="s">
        <v>3317</v>
      </c>
      <c r="F2922" s="23" t="s">
        <v>3729</v>
      </c>
      <c r="G2922" s="93">
        <v>3</v>
      </c>
      <c r="H2922" s="93">
        <v>0</v>
      </c>
      <c r="I2922" s="23"/>
      <c r="J2922" s="23"/>
      <c r="K2922" s="23"/>
      <c r="L2922" s="23" t="s">
        <v>6880</v>
      </c>
      <c r="M2922" s="23"/>
    </row>
    <row r="2923" spans="2:13" x14ac:dyDescent="0.25">
      <c r="B2923" s="35" t="s">
        <v>8738</v>
      </c>
      <c r="C2923" s="23" t="s">
        <v>8739</v>
      </c>
      <c r="D2923" s="23" t="s">
        <v>3303</v>
      </c>
      <c r="E2923" s="23" t="s">
        <v>3317</v>
      </c>
      <c r="F2923" s="23" t="s">
        <v>3729</v>
      </c>
      <c r="G2923" s="93">
        <v>3</v>
      </c>
      <c r="H2923" s="93">
        <v>1</v>
      </c>
      <c r="I2923" s="23"/>
      <c r="J2923" s="23"/>
      <c r="K2923" s="23"/>
      <c r="L2923" s="23" t="s">
        <v>6880</v>
      </c>
      <c r="M2923" s="23"/>
    </row>
    <row r="2924" spans="2:13" x14ac:dyDescent="0.25">
      <c r="B2924" s="35" t="s">
        <v>8740</v>
      </c>
      <c r="C2924" s="23" t="s">
        <v>8741</v>
      </c>
      <c r="D2924" s="23" t="s">
        <v>3303</v>
      </c>
      <c r="E2924" s="23" t="s">
        <v>3317</v>
      </c>
      <c r="F2924" s="23" t="s">
        <v>3729</v>
      </c>
      <c r="G2924" s="93">
        <v>3</v>
      </c>
      <c r="H2924" s="93">
        <v>1</v>
      </c>
      <c r="I2924" s="23"/>
      <c r="J2924" s="23"/>
      <c r="K2924" s="23"/>
      <c r="L2924" s="23" t="s">
        <v>6880</v>
      </c>
      <c r="M2924" s="23"/>
    </row>
    <row r="2925" spans="2:13" x14ac:dyDescent="0.25">
      <c r="B2925" s="35" t="s">
        <v>8742</v>
      </c>
      <c r="C2925" s="23" t="s">
        <v>8743</v>
      </c>
      <c r="D2925" s="23" t="s">
        <v>3303</v>
      </c>
      <c r="E2925" s="23" t="s">
        <v>3317</v>
      </c>
      <c r="F2925" s="23" t="s">
        <v>3729</v>
      </c>
      <c r="G2925" s="93">
        <v>3</v>
      </c>
      <c r="H2925" s="93">
        <v>1</v>
      </c>
      <c r="I2925" s="23"/>
      <c r="J2925" s="23"/>
      <c r="K2925" s="23"/>
      <c r="L2925" s="23" t="s">
        <v>6880</v>
      </c>
      <c r="M2925" s="23"/>
    </row>
    <row r="2926" spans="2:13" x14ac:dyDescent="0.25">
      <c r="B2926" s="35" t="s">
        <v>8744</v>
      </c>
      <c r="C2926" s="23" t="s">
        <v>8745</v>
      </c>
      <c r="D2926" s="23" t="s">
        <v>3303</v>
      </c>
      <c r="E2926" s="23" t="s">
        <v>3317</v>
      </c>
      <c r="F2926" s="23" t="s">
        <v>3729</v>
      </c>
      <c r="G2926" s="93">
        <v>3</v>
      </c>
      <c r="H2926" s="93">
        <v>1</v>
      </c>
      <c r="I2926" s="23"/>
      <c r="J2926" s="23"/>
      <c r="K2926" s="23"/>
      <c r="L2926" s="23" t="s">
        <v>6880</v>
      </c>
      <c r="M2926" s="23"/>
    </row>
    <row r="2927" spans="2:13" x14ac:dyDescent="0.25">
      <c r="B2927" s="35" t="s">
        <v>8746</v>
      </c>
      <c r="C2927" s="23" t="s">
        <v>8747</v>
      </c>
      <c r="D2927" s="23" t="s">
        <v>3303</v>
      </c>
      <c r="E2927" s="23" t="s">
        <v>3317</v>
      </c>
      <c r="F2927" s="23" t="s">
        <v>3729</v>
      </c>
      <c r="G2927" s="93">
        <v>3</v>
      </c>
      <c r="H2927" s="93">
        <v>0</v>
      </c>
      <c r="I2927" s="23"/>
      <c r="J2927" s="23"/>
      <c r="K2927" s="23"/>
      <c r="L2927" s="23" t="s">
        <v>6880</v>
      </c>
      <c r="M2927" s="23"/>
    </row>
    <row r="2928" spans="2:13" x14ac:dyDescent="0.25">
      <c r="B2928" s="35" t="s">
        <v>8748</v>
      </c>
      <c r="C2928" s="23" t="s">
        <v>8749</v>
      </c>
      <c r="D2928" s="23" t="s">
        <v>3303</v>
      </c>
      <c r="E2928" s="23" t="s">
        <v>3317</v>
      </c>
      <c r="F2928" s="23" t="s">
        <v>3729</v>
      </c>
      <c r="G2928" s="93">
        <v>3</v>
      </c>
      <c r="H2928" s="93">
        <v>0</v>
      </c>
      <c r="I2928" s="23"/>
      <c r="J2928" s="23"/>
      <c r="K2928" s="23"/>
      <c r="L2928" s="23" t="s">
        <v>6880</v>
      </c>
      <c r="M2928" s="23"/>
    </row>
    <row r="2929" spans="2:13" x14ac:dyDescent="0.25">
      <c r="B2929" s="35" t="s">
        <v>8750</v>
      </c>
      <c r="C2929" s="23" t="s">
        <v>8751</v>
      </c>
      <c r="D2929" s="23" t="s">
        <v>3303</v>
      </c>
      <c r="E2929" s="23" t="s">
        <v>3317</v>
      </c>
      <c r="F2929" s="23" t="s">
        <v>3729</v>
      </c>
      <c r="G2929" s="93">
        <v>3</v>
      </c>
      <c r="H2929" s="93">
        <v>0</v>
      </c>
      <c r="I2929" s="23"/>
      <c r="J2929" s="23"/>
      <c r="K2929" s="23"/>
      <c r="L2929" s="23" t="s">
        <v>6880</v>
      </c>
      <c r="M2929" s="23"/>
    </row>
    <row r="2930" spans="2:13" x14ac:dyDescent="0.25">
      <c r="B2930" s="35" t="s">
        <v>8752</v>
      </c>
      <c r="C2930" s="23" t="s">
        <v>8753</v>
      </c>
      <c r="D2930" s="23" t="s">
        <v>3303</v>
      </c>
      <c r="E2930" s="23" t="s">
        <v>3317</v>
      </c>
      <c r="F2930" s="23" t="s">
        <v>3729</v>
      </c>
      <c r="G2930" s="93">
        <v>3</v>
      </c>
      <c r="H2930" s="93">
        <v>0</v>
      </c>
      <c r="I2930" s="23"/>
      <c r="J2930" s="23"/>
      <c r="K2930" s="23"/>
      <c r="L2930" s="23" t="s">
        <v>6880</v>
      </c>
      <c r="M2930" s="23"/>
    </row>
    <row r="2931" spans="2:13" x14ac:dyDescent="0.25">
      <c r="B2931" s="35" t="s">
        <v>8754</v>
      </c>
      <c r="C2931" s="23" t="s">
        <v>8755</v>
      </c>
      <c r="D2931" s="23" t="s">
        <v>3303</v>
      </c>
      <c r="E2931" s="23" t="s">
        <v>3317</v>
      </c>
      <c r="F2931" s="23" t="s">
        <v>3729</v>
      </c>
      <c r="G2931" s="93">
        <v>3</v>
      </c>
      <c r="H2931" s="93">
        <v>0</v>
      </c>
      <c r="I2931" s="23"/>
      <c r="J2931" s="23"/>
      <c r="K2931" s="23"/>
      <c r="L2931" s="23" t="s">
        <v>6880</v>
      </c>
      <c r="M2931" s="23"/>
    </row>
    <row r="2932" spans="2:13" x14ac:dyDescent="0.25">
      <c r="B2932" s="35" t="s">
        <v>8756</v>
      </c>
      <c r="C2932" s="23" t="s">
        <v>8757</v>
      </c>
      <c r="D2932" s="23" t="s">
        <v>3303</v>
      </c>
      <c r="E2932" s="23" t="s">
        <v>3317</v>
      </c>
      <c r="F2932" s="23" t="s">
        <v>3729</v>
      </c>
      <c r="G2932" s="93">
        <v>3</v>
      </c>
      <c r="H2932" s="93">
        <v>0</v>
      </c>
      <c r="I2932" s="23"/>
      <c r="J2932" s="23"/>
      <c r="K2932" s="23"/>
      <c r="L2932" s="23" t="s">
        <v>6880</v>
      </c>
      <c r="M2932" s="23"/>
    </row>
    <row r="2933" spans="2:13" x14ac:dyDescent="0.25">
      <c r="B2933" s="35" t="s">
        <v>8758</v>
      </c>
      <c r="C2933" s="23" t="s">
        <v>8759</v>
      </c>
      <c r="D2933" s="23" t="s">
        <v>3303</v>
      </c>
      <c r="E2933" s="23" t="s">
        <v>3317</v>
      </c>
      <c r="F2933" s="23" t="s">
        <v>3729</v>
      </c>
      <c r="G2933" s="93">
        <v>3</v>
      </c>
      <c r="H2933" s="93">
        <v>0</v>
      </c>
      <c r="I2933" s="23"/>
      <c r="J2933" s="23"/>
      <c r="K2933" s="23"/>
      <c r="L2933" s="23" t="s">
        <v>6880</v>
      </c>
      <c r="M2933" s="23"/>
    </row>
    <row r="2934" spans="2:13" x14ac:dyDescent="0.25">
      <c r="B2934" s="35" t="s">
        <v>8760</v>
      </c>
      <c r="C2934" s="23" t="s">
        <v>8761</v>
      </c>
      <c r="D2934" s="23" t="s">
        <v>3303</v>
      </c>
      <c r="E2934" s="23" t="s">
        <v>3317</v>
      </c>
      <c r="F2934" s="23" t="s">
        <v>3729</v>
      </c>
      <c r="G2934" s="93">
        <v>3</v>
      </c>
      <c r="H2934" s="93">
        <v>0</v>
      </c>
      <c r="I2934" s="23"/>
      <c r="J2934" s="23"/>
      <c r="K2934" s="23"/>
      <c r="L2934" s="23" t="s">
        <v>6880</v>
      </c>
      <c r="M2934" s="23"/>
    </row>
    <row r="2935" spans="2:13" x14ac:dyDescent="0.25">
      <c r="B2935" s="35" t="s">
        <v>8762</v>
      </c>
      <c r="C2935" s="23" t="s">
        <v>8763</v>
      </c>
      <c r="D2935" s="23" t="s">
        <v>3303</v>
      </c>
      <c r="E2935" s="23" t="s">
        <v>3317</v>
      </c>
      <c r="F2935" s="23" t="s">
        <v>3729</v>
      </c>
      <c r="G2935" s="93">
        <v>3</v>
      </c>
      <c r="H2935" s="93">
        <v>1</v>
      </c>
      <c r="I2935" s="23"/>
      <c r="J2935" s="23"/>
      <c r="K2935" s="23"/>
      <c r="L2935" s="23" t="s">
        <v>6880</v>
      </c>
      <c r="M2935" s="23"/>
    </row>
    <row r="2936" spans="2:13" x14ac:dyDescent="0.25">
      <c r="B2936" s="35" t="s">
        <v>8764</v>
      </c>
      <c r="C2936" s="23" t="s">
        <v>8765</v>
      </c>
      <c r="D2936" s="23" t="s">
        <v>3303</v>
      </c>
      <c r="E2936" s="23" t="s">
        <v>3317</v>
      </c>
      <c r="F2936" s="23" t="s">
        <v>3729</v>
      </c>
      <c r="G2936" s="93">
        <v>3</v>
      </c>
      <c r="H2936" s="93">
        <v>0</v>
      </c>
      <c r="I2936" s="23"/>
      <c r="J2936" s="23"/>
      <c r="K2936" s="23"/>
      <c r="L2936" s="23" t="s">
        <v>6880</v>
      </c>
      <c r="M2936" s="23"/>
    </row>
    <row r="2937" spans="2:13" x14ac:dyDescent="0.25">
      <c r="B2937" s="35" t="s">
        <v>8766</v>
      </c>
      <c r="C2937" s="23" t="s">
        <v>8767</v>
      </c>
      <c r="D2937" s="23" t="s">
        <v>3303</v>
      </c>
      <c r="E2937" s="23" t="s">
        <v>3317</v>
      </c>
      <c r="F2937" s="23" t="s">
        <v>3729</v>
      </c>
      <c r="G2937" s="93">
        <v>3</v>
      </c>
      <c r="H2937" s="93">
        <v>0</v>
      </c>
      <c r="I2937" s="23"/>
      <c r="J2937" s="23"/>
      <c r="K2937" s="23"/>
      <c r="L2937" s="23" t="s">
        <v>6880</v>
      </c>
      <c r="M2937" s="23"/>
    </row>
    <row r="2938" spans="2:13" x14ac:dyDescent="0.25">
      <c r="B2938" s="35" t="s">
        <v>8768</v>
      </c>
      <c r="C2938" s="23" t="s">
        <v>8769</v>
      </c>
      <c r="D2938" s="23" t="s">
        <v>3303</v>
      </c>
      <c r="E2938" s="23" t="s">
        <v>3317</v>
      </c>
      <c r="F2938" s="23" t="s">
        <v>3729</v>
      </c>
      <c r="G2938" s="93">
        <v>3</v>
      </c>
      <c r="H2938" s="93">
        <v>0</v>
      </c>
      <c r="I2938" s="23"/>
      <c r="J2938" s="23"/>
      <c r="K2938" s="23"/>
      <c r="L2938" s="23" t="s">
        <v>6880</v>
      </c>
      <c r="M2938" s="23"/>
    </row>
    <row r="2939" spans="2:13" x14ac:dyDescent="0.25">
      <c r="B2939" s="35" t="s">
        <v>8770</v>
      </c>
      <c r="C2939" s="23" t="s">
        <v>8771</v>
      </c>
      <c r="D2939" s="23" t="s">
        <v>3303</v>
      </c>
      <c r="E2939" s="23" t="s">
        <v>3317</v>
      </c>
      <c r="F2939" s="23" t="s">
        <v>3729</v>
      </c>
      <c r="G2939" s="93">
        <v>3</v>
      </c>
      <c r="H2939" s="93">
        <v>0</v>
      </c>
      <c r="I2939" s="23"/>
      <c r="J2939" s="23"/>
      <c r="K2939" s="23"/>
      <c r="L2939" s="23" t="s">
        <v>6880</v>
      </c>
      <c r="M2939" s="23"/>
    </row>
    <row r="2940" spans="2:13" x14ac:dyDescent="0.25">
      <c r="B2940" s="35" t="s">
        <v>8772</v>
      </c>
      <c r="C2940" s="23" t="s">
        <v>8773</v>
      </c>
      <c r="D2940" s="23" t="s">
        <v>3303</v>
      </c>
      <c r="E2940" s="23" t="s">
        <v>3317</v>
      </c>
      <c r="F2940" s="23" t="s">
        <v>3729</v>
      </c>
      <c r="G2940" s="93">
        <v>3</v>
      </c>
      <c r="H2940" s="93">
        <v>0</v>
      </c>
      <c r="I2940" s="23"/>
      <c r="J2940" s="23"/>
      <c r="K2940" s="23"/>
      <c r="L2940" s="23" t="s">
        <v>6880</v>
      </c>
      <c r="M2940" s="23"/>
    </row>
    <row r="2941" spans="2:13" x14ac:dyDescent="0.25">
      <c r="B2941" s="35" t="s">
        <v>8774</v>
      </c>
      <c r="C2941" s="23" t="s">
        <v>8775</v>
      </c>
      <c r="D2941" s="23" t="s">
        <v>3303</v>
      </c>
      <c r="E2941" s="23" t="s">
        <v>3317</v>
      </c>
      <c r="F2941" s="23" t="s">
        <v>3729</v>
      </c>
      <c r="G2941" s="93">
        <v>3</v>
      </c>
      <c r="H2941" s="93">
        <v>0</v>
      </c>
      <c r="I2941" s="23"/>
      <c r="J2941" s="23"/>
      <c r="K2941" s="23"/>
      <c r="L2941" s="23" t="s">
        <v>6880</v>
      </c>
      <c r="M2941" s="23"/>
    </row>
    <row r="2942" spans="2:13" x14ac:dyDescent="0.25">
      <c r="B2942" s="35" t="s">
        <v>8776</v>
      </c>
      <c r="C2942" s="23" t="s">
        <v>8777</v>
      </c>
      <c r="D2942" s="23" t="s">
        <v>3303</v>
      </c>
      <c r="E2942" s="23" t="s">
        <v>3317</v>
      </c>
      <c r="F2942" s="23" t="s">
        <v>3729</v>
      </c>
      <c r="G2942" s="93">
        <v>3</v>
      </c>
      <c r="H2942" s="93">
        <v>0</v>
      </c>
      <c r="I2942" s="23"/>
      <c r="J2942" s="23"/>
      <c r="K2942" s="23"/>
      <c r="L2942" s="23" t="s">
        <v>6880</v>
      </c>
      <c r="M2942" s="23"/>
    </row>
    <row r="2943" spans="2:13" x14ac:dyDescent="0.25">
      <c r="B2943" s="35" t="s">
        <v>8778</v>
      </c>
      <c r="C2943" s="23" t="s">
        <v>8779</v>
      </c>
      <c r="D2943" s="23" t="s">
        <v>3303</v>
      </c>
      <c r="E2943" s="23" t="s">
        <v>3317</v>
      </c>
      <c r="F2943" s="23" t="s">
        <v>3729</v>
      </c>
      <c r="G2943" s="93">
        <v>3</v>
      </c>
      <c r="H2943" s="93">
        <v>0</v>
      </c>
      <c r="I2943" s="23"/>
      <c r="J2943" s="23"/>
      <c r="K2943" s="23"/>
      <c r="L2943" s="23" t="s">
        <v>6880</v>
      </c>
      <c r="M2943" s="23"/>
    </row>
    <row r="2944" spans="2:13" x14ac:dyDescent="0.25">
      <c r="B2944" s="35" t="s">
        <v>8780</v>
      </c>
      <c r="C2944" s="23" t="s">
        <v>8781</v>
      </c>
      <c r="D2944" s="23" t="s">
        <v>3303</v>
      </c>
      <c r="E2944" s="23" t="s">
        <v>3317</v>
      </c>
      <c r="F2944" s="23" t="s">
        <v>3729</v>
      </c>
      <c r="G2944" s="93">
        <v>3</v>
      </c>
      <c r="H2944" s="93">
        <v>0</v>
      </c>
      <c r="I2944" s="23"/>
      <c r="J2944" s="23"/>
      <c r="K2944" s="23"/>
      <c r="L2944" s="23" t="s">
        <v>6880</v>
      </c>
      <c r="M2944" s="23"/>
    </row>
    <row r="2945" spans="2:13" x14ac:dyDescent="0.25">
      <c r="B2945" s="35" t="s">
        <v>8782</v>
      </c>
      <c r="C2945" s="23" t="s">
        <v>8783</v>
      </c>
      <c r="D2945" s="23" t="s">
        <v>3303</v>
      </c>
      <c r="E2945" s="23" t="s">
        <v>3317</v>
      </c>
      <c r="F2945" s="23" t="s">
        <v>3729</v>
      </c>
      <c r="G2945" s="93">
        <v>3</v>
      </c>
      <c r="H2945" s="93">
        <v>0</v>
      </c>
      <c r="I2945" s="23"/>
      <c r="J2945" s="23"/>
      <c r="K2945" s="23"/>
      <c r="L2945" s="23" t="s">
        <v>6880</v>
      </c>
      <c r="M2945" s="23"/>
    </row>
    <row r="2946" spans="2:13" x14ac:dyDescent="0.25">
      <c r="B2946" s="35" t="s">
        <v>8784</v>
      </c>
      <c r="C2946" s="23" t="s">
        <v>8785</v>
      </c>
      <c r="D2946" s="23" t="s">
        <v>3303</v>
      </c>
      <c r="E2946" s="23" t="s">
        <v>3317</v>
      </c>
      <c r="F2946" s="23" t="s">
        <v>3729</v>
      </c>
      <c r="G2946" s="93">
        <v>3</v>
      </c>
      <c r="H2946" s="93">
        <v>0</v>
      </c>
      <c r="I2946" s="23"/>
      <c r="J2946" s="23"/>
      <c r="K2946" s="23"/>
      <c r="L2946" s="23" t="s">
        <v>6880</v>
      </c>
      <c r="M2946" s="23"/>
    </row>
    <row r="2947" spans="2:13" x14ac:dyDescent="0.25">
      <c r="B2947" s="35" t="s">
        <v>8786</v>
      </c>
      <c r="C2947" s="23" t="s">
        <v>8787</v>
      </c>
      <c r="D2947" s="23" t="s">
        <v>3303</v>
      </c>
      <c r="E2947" s="23" t="s">
        <v>3317</v>
      </c>
      <c r="F2947" s="23" t="s">
        <v>3729</v>
      </c>
      <c r="G2947" s="93">
        <v>3</v>
      </c>
      <c r="H2947" s="93">
        <v>0</v>
      </c>
      <c r="I2947" s="23"/>
      <c r="J2947" s="23"/>
      <c r="K2947" s="23"/>
      <c r="L2947" s="23" t="s">
        <v>6880</v>
      </c>
      <c r="M2947" s="23"/>
    </row>
    <row r="2948" spans="2:13" x14ac:dyDescent="0.25">
      <c r="B2948" s="35" t="s">
        <v>8788</v>
      </c>
      <c r="C2948" s="23" t="s">
        <v>8789</v>
      </c>
      <c r="D2948" s="23" t="s">
        <v>3303</v>
      </c>
      <c r="E2948" s="23" t="s">
        <v>3317</v>
      </c>
      <c r="F2948" s="23" t="s">
        <v>3729</v>
      </c>
      <c r="G2948" s="93">
        <v>3</v>
      </c>
      <c r="H2948" s="93">
        <v>0</v>
      </c>
      <c r="I2948" s="23"/>
      <c r="J2948" s="23"/>
      <c r="K2948" s="23"/>
      <c r="L2948" s="23" t="s">
        <v>6880</v>
      </c>
      <c r="M2948" s="23"/>
    </row>
    <row r="2949" spans="2:13" x14ac:dyDescent="0.25">
      <c r="B2949" s="35" t="s">
        <v>8790</v>
      </c>
      <c r="C2949" s="23" t="s">
        <v>8791</v>
      </c>
      <c r="D2949" s="23" t="s">
        <v>3303</v>
      </c>
      <c r="E2949" s="23" t="s">
        <v>3317</v>
      </c>
      <c r="F2949" s="23" t="s">
        <v>3729</v>
      </c>
      <c r="G2949" s="93">
        <v>3</v>
      </c>
      <c r="H2949" s="93">
        <v>0</v>
      </c>
      <c r="I2949" s="23"/>
      <c r="J2949" s="23"/>
      <c r="K2949" s="23"/>
      <c r="L2949" s="23" t="s">
        <v>6880</v>
      </c>
      <c r="M2949" s="23"/>
    </row>
    <row r="2950" spans="2:13" x14ac:dyDescent="0.25">
      <c r="B2950" s="35" t="s">
        <v>8792</v>
      </c>
      <c r="C2950" s="23" t="s">
        <v>8793</v>
      </c>
      <c r="D2950" s="23" t="s">
        <v>3303</v>
      </c>
      <c r="E2950" s="23" t="s">
        <v>3317</v>
      </c>
      <c r="F2950" s="23" t="s">
        <v>3729</v>
      </c>
      <c r="G2950" s="93">
        <v>3</v>
      </c>
      <c r="H2950" s="93">
        <v>1</v>
      </c>
      <c r="I2950" s="23"/>
      <c r="J2950" s="23"/>
      <c r="K2950" s="23"/>
      <c r="L2950" s="23" t="s">
        <v>6880</v>
      </c>
      <c r="M2950" s="23"/>
    </row>
    <row r="2951" spans="2:13" x14ac:dyDescent="0.25">
      <c r="B2951" s="35" t="s">
        <v>8794</v>
      </c>
      <c r="C2951" s="23" t="s">
        <v>8795</v>
      </c>
      <c r="D2951" s="23" t="s">
        <v>3303</v>
      </c>
      <c r="E2951" s="23" t="s">
        <v>3317</v>
      </c>
      <c r="F2951" s="23" t="s">
        <v>3729</v>
      </c>
      <c r="G2951" s="93">
        <v>3</v>
      </c>
      <c r="H2951" s="93">
        <v>1</v>
      </c>
      <c r="I2951" s="23"/>
      <c r="J2951" s="23"/>
      <c r="K2951" s="23"/>
      <c r="L2951" s="23" t="s">
        <v>6880</v>
      </c>
      <c r="M2951" s="23"/>
    </row>
    <row r="2952" spans="2:13" x14ac:dyDescent="0.25">
      <c r="B2952" s="35" t="s">
        <v>8796</v>
      </c>
      <c r="C2952" s="23" t="s">
        <v>8797</v>
      </c>
      <c r="D2952" s="23" t="s">
        <v>3303</v>
      </c>
      <c r="E2952" s="23" t="s">
        <v>3317</v>
      </c>
      <c r="F2952" s="23" t="s">
        <v>3729</v>
      </c>
      <c r="G2952" s="93">
        <v>3</v>
      </c>
      <c r="H2952" s="93">
        <v>0</v>
      </c>
      <c r="I2952" s="23"/>
      <c r="J2952" s="23"/>
      <c r="K2952" s="23"/>
      <c r="L2952" s="23" t="s">
        <v>6880</v>
      </c>
      <c r="M2952" s="23"/>
    </row>
    <row r="2953" spans="2:13" x14ac:dyDescent="0.25">
      <c r="B2953" s="35" t="s">
        <v>8798</v>
      </c>
      <c r="C2953" s="23" t="s">
        <v>8799</v>
      </c>
      <c r="D2953" s="23" t="s">
        <v>3303</v>
      </c>
      <c r="E2953" s="23" t="s">
        <v>3317</v>
      </c>
      <c r="F2953" s="23" t="s">
        <v>3729</v>
      </c>
      <c r="G2953" s="93">
        <v>3</v>
      </c>
      <c r="H2953" s="93">
        <v>0</v>
      </c>
      <c r="I2953" s="23"/>
      <c r="J2953" s="23"/>
      <c r="K2953" s="23"/>
      <c r="L2953" s="23" t="s">
        <v>6880</v>
      </c>
      <c r="M2953" s="23"/>
    </row>
    <row r="2954" spans="2:13" x14ac:dyDescent="0.25">
      <c r="B2954" s="35" t="s">
        <v>8800</v>
      </c>
      <c r="C2954" s="23" t="s">
        <v>8801</v>
      </c>
      <c r="D2954" s="23" t="s">
        <v>3303</v>
      </c>
      <c r="E2954" s="23" t="s">
        <v>3317</v>
      </c>
      <c r="F2954" s="23" t="s">
        <v>3729</v>
      </c>
      <c r="G2954" s="93">
        <v>3</v>
      </c>
      <c r="H2954" s="93">
        <v>0</v>
      </c>
      <c r="I2954" s="23"/>
      <c r="J2954" s="23"/>
      <c r="K2954" s="23"/>
      <c r="L2954" s="23" t="s">
        <v>6880</v>
      </c>
      <c r="M2954" s="23"/>
    </row>
    <row r="2955" spans="2:13" x14ac:dyDescent="0.25">
      <c r="B2955" s="35" t="s">
        <v>8802</v>
      </c>
      <c r="C2955" s="23" t="s">
        <v>8803</v>
      </c>
      <c r="D2955" s="23" t="s">
        <v>3303</v>
      </c>
      <c r="E2955" s="23" t="s">
        <v>3317</v>
      </c>
      <c r="F2955" s="23" t="s">
        <v>3729</v>
      </c>
      <c r="G2955" s="93">
        <v>3</v>
      </c>
      <c r="H2955" s="93">
        <v>1</v>
      </c>
      <c r="I2955" s="23"/>
      <c r="J2955" s="23"/>
      <c r="K2955" s="23"/>
      <c r="L2955" s="23" t="s">
        <v>6880</v>
      </c>
      <c r="M2955" s="23"/>
    </row>
    <row r="2956" spans="2:13" x14ac:dyDescent="0.25">
      <c r="B2956" s="35" t="s">
        <v>8804</v>
      </c>
      <c r="C2956" s="23" t="s">
        <v>8805</v>
      </c>
      <c r="D2956" s="23" t="s">
        <v>3303</v>
      </c>
      <c r="E2956" s="23" t="s">
        <v>3317</v>
      </c>
      <c r="F2956" s="23" t="s">
        <v>3729</v>
      </c>
      <c r="G2956" s="93">
        <v>3</v>
      </c>
      <c r="H2956" s="93">
        <v>1</v>
      </c>
      <c r="I2956" s="23"/>
      <c r="J2956" s="23"/>
      <c r="K2956" s="23"/>
      <c r="L2956" s="23" t="s">
        <v>6880</v>
      </c>
      <c r="M2956" s="23"/>
    </row>
    <row r="2957" spans="2:13" x14ac:dyDescent="0.25">
      <c r="B2957" s="35" t="s">
        <v>8806</v>
      </c>
      <c r="C2957" s="23" t="s">
        <v>8807</v>
      </c>
      <c r="D2957" s="23" t="s">
        <v>3303</v>
      </c>
      <c r="E2957" s="23" t="s">
        <v>3317</v>
      </c>
      <c r="F2957" s="23" t="s">
        <v>3729</v>
      </c>
      <c r="G2957" s="93">
        <v>3</v>
      </c>
      <c r="H2957" s="93">
        <v>1</v>
      </c>
      <c r="I2957" s="23"/>
      <c r="J2957" s="23"/>
      <c r="K2957" s="23"/>
      <c r="L2957" s="23" t="s">
        <v>6880</v>
      </c>
      <c r="M2957" s="23"/>
    </row>
    <row r="2958" spans="2:13" x14ac:dyDescent="0.25">
      <c r="B2958" s="35" t="s">
        <v>8808</v>
      </c>
      <c r="C2958" s="23" t="s">
        <v>3635</v>
      </c>
      <c r="D2958" s="23" t="s">
        <v>3303</v>
      </c>
      <c r="E2958" s="23" t="s">
        <v>3317</v>
      </c>
      <c r="F2958" s="23" t="s">
        <v>3729</v>
      </c>
      <c r="G2958" s="93">
        <v>3</v>
      </c>
      <c r="H2958" s="93">
        <v>0</v>
      </c>
      <c r="I2958" s="23"/>
      <c r="J2958" s="23"/>
      <c r="K2958" s="23"/>
      <c r="L2958" s="23" t="s">
        <v>6880</v>
      </c>
      <c r="M2958" s="23"/>
    </row>
    <row r="2959" spans="2:13" x14ac:dyDescent="0.25">
      <c r="B2959" s="35" t="s">
        <v>8809</v>
      </c>
      <c r="C2959" s="23" t="s">
        <v>8810</v>
      </c>
      <c r="D2959" s="23" t="s">
        <v>3303</v>
      </c>
      <c r="E2959" s="23" t="s">
        <v>3317</v>
      </c>
      <c r="F2959" s="23" t="s">
        <v>3729</v>
      </c>
      <c r="G2959" s="93">
        <v>3</v>
      </c>
      <c r="H2959" s="93">
        <v>0</v>
      </c>
      <c r="I2959" s="23"/>
      <c r="J2959" s="23"/>
      <c r="K2959" s="23"/>
      <c r="L2959" s="23" t="s">
        <v>6880</v>
      </c>
      <c r="M2959" s="23"/>
    </row>
    <row r="2960" spans="2:13" x14ac:dyDescent="0.25">
      <c r="B2960" s="35" t="s">
        <v>8811</v>
      </c>
      <c r="C2960" s="23" t="s">
        <v>8812</v>
      </c>
      <c r="D2960" s="23" t="s">
        <v>3303</v>
      </c>
      <c r="E2960" s="23" t="s">
        <v>3317</v>
      </c>
      <c r="F2960" s="23" t="s">
        <v>3729</v>
      </c>
      <c r="G2960" s="93">
        <v>3</v>
      </c>
      <c r="H2960" s="93">
        <v>0</v>
      </c>
      <c r="I2960" s="23"/>
      <c r="J2960" s="23"/>
      <c r="K2960" s="23"/>
      <c r="L2960" s="23" t="s">
        <v>6880</v>
      </c>
      <c r="M2960" s="23"/>
    </row>
    <row r="2961" spans="2:13" x14ac:dyDescent="0.25">
      <c r="B2961" s="35" t="s">
        <v>8813</v>
      </c>
      <c r="C2961" s="23" t="s">
        <v>8814</v>
      </c>
      <c r="D2961" s="23" t="s">
        <v>3303</v>
      </c>
      <c r="E2961" s="23" t="s">
        <v>3317</v>
      </c>
      <c r="F2961" s="23" t="s">
        <v>3729</v>
      </c>
      <c r="G2961" s="93">
        <v>3</v>
      </c>
      <c r="H2961" s="93">
        <v>0</v>
      </c>
      <c r="I2961" s="23"/>
      <c r="J2961" s="23"/>
      <c r="K2961" s="23"/>
      <c r="L2961" s="23" t="s">
        <v>6880</v>
      </c>
      <c r="M2961" s="23"/>
    </row>
    <row r="2962" spans="2:13" x14ac:dyDescent="0.25">
      <c r="B2962" s="35" t="s">
        <v>8815</v>
      </c>
      <c r="C2962" s="23" t="s">
        <v>8816</v>
      </c>
      <c r="D2962" s="23" t="s">
        <v>3303</v>
      </c>
      <c r="E2962" s="23" t="s">
        <v>3317</v>
      </c>
      <c r="F2962" s="23" t="s">
        <v>3729</v>
      </c>
      <c r="G2962" s="93">
        <v>3</v>
      </c>
      <c r="H2962" s="93">
        <v>0</v>
      </c>
      <c r="I2962" s="23"/>
      <c r="J2962" s="23"/>
      <c r="K2962" s="23"/>
      <c r="L2962" s="23" t="s">
        <v>6880</v>
      </c>
      <c r="M2962" s="23"/>
    </row>
    <row r="2963" spans="2:13" x14ac:dyDescent="0.25">
      <c r="B2963" s="35" t="s">
        <v>8817</v>
      </c>
      <c r="C2963" s="23" t="s">
        <v>8818</v>
      </c>
      <c r="D2963" s="23" t="s">
        <v>3303</v>
      </c>
      <c r="E2963" s="23" t="s">
        <v>3317</v>
      </c>
      <c r="F2963" s="23" t="s">
        <v>3729</v>
      </c>
      <c r="G2963" s="93">
        <v>3</v>
      </c>
      <c r="H2963" s="93">
        <v>0</v>
      </c>
      <c r="I2963" s="23"/>
      <c r="J2963" s="23"/>
      <c r="K2963" s="23"/>
      <c r="L2963" s="23" t="s">
        <v>6880</v>
      </c>
      <c r="M2963" s="23"/>
    </row>
    <row r="2964" spans="2:13" x14ac:dyDescent="0.25">
      <c r="B2964" s="35" t="s">
        <v>8819</v>
      </c>
      <c r="C2964" s="23" t="s">
        <v>8820</v>
      </c>
      <c r="D2964" s="23" t="s">
        <v>3303</v>
      </c>
      <c r="E2964" s="23" t="s">
        <v>3317</v>
      </c>
      <c r="F2964" s="23" t="s">
        <v>3729</v>
      </c>
      <c r="G2964" s="93">
        <v>3</v>
      </c>
      <c r="H2964" s="93">
        <v>0</v>
      </c>
      <c r="I2964" s="23"/>
      <c r="J2964" s="23"/>
      <c r="K2964" s="23"/>
      <c r="L2964" s="23" t="s">
        <v>6880</v>
      </c>
      <c r="M2964" s="23"/>
    </row>
    <row r="2965" spans="2:13" x14ac:dyDescent="0.25">
      <c r="B2965" s="35" t="s">
        <v>8821</v>
      </c>
      <c r="C2965" s="23" t="s">
        <v>8822</v>
      </c>
      <c r="D2965" s="23" t="s">
        <v>3303</v>
      </c>
      <c r="E2965" s="23" t="s">
        <v>3317</v>
      </c>
      <c r="F2965" s="23" t="s">
        <v>3729</v>
      </c>
      <c r="G2965" s="93">
        <v>3</v>
      </c>
      <c r="H2965" s="93">
        <v>0</v>
      </c>
      <c r="I2965" s="23"/>
      <c r="J2965" s="23"/>
      <c r="K2965" s="23"/>
      <c r="L2965" s="23" t="s">
        <v>6880</v>
      </c>
      <c r="M2965" s="23"/>
    </row>
    <row r="2966" spans="2:13" x14ac:dyDescent="0.25">
      <c r="B2966" s="35" t="s">
        <v>2898</v>
      </c>
      <c r="C2966" s="23" t="s">
        <v>5643</v>
      </c>
      <c r="D2966" s="23" t="s">
        <v>3303</v>
      </c>
      <c r="E2966" s="23" t="s">
        <v>3317</v>
      </c>
      <c r="F2966" s="23" t="s">
        <v>3729</v>
      </c>
      <c r="G2966" s="93">
        <v>3</v>
      </c>
      <c r="H2966" s="93">
        <v>1</v>
      </c>
      <c r="I2966" s="23"/>
      <c r="J2966" s="23"/>
      <c r="K2966" s="23"/>
      <c r="L2966" s="23" t="s">
        <v>6880</v>
      </c>
      <c r="M2966" s="23"/>
    </row>
    <row r="2967" spans="2:13" x14ac:dyDescent="0.25">
      <c r="B2967" s="35" t="s">
        <v>6880</v>
      </c>
      <c r="C2967" s="23" t="s">
        <v>8823</v>
      </c>
      <c r="D2967" s="23" t="s">
        <v>3303</v>
      </c>
      <c r="E2967" s="23" t="s">
        <v>3367</v>
      </c>
      <c r="F2967" s="23" t="s">
        <v>3729</v>
      </c>
      <c r="G2967" s="93">
        <v>0</v>
      </c>
      <c r="H2967" s="93">
        <v>0</v>
      </c>
      <c r="I2967" s="23"/>
      <c r="J2967" s="23"/>
      <c r="K2967" s="23"/>
      <c r="L2967" s="23" t="s">
        <v>6863</v>
      </c>
      <c r="M2967" s="23"/>
    </row>
    <row r="2968" spans="2:13" x14ac:dyDescent="0.25">
      <c r="B2968" s="35" t="s">
        <v>6863</v>
      </c>
      <c r="C2968" s="23" t="s">
        <v>8824</v>
      </c>
      <c r="D2968" s="23" t="s">
        <v>3303</v>
      </c>
      <c r="E2968" s="23" t="s">
        <v>3367</v>
      </c>
      <c r="F2968" s="23" t="s">
        <v>3729</v>
      </c>
      <c r="G2968" s="93">
        <v>0</v>
      </c>
      <c r="H2968" s="93">
        <v>0</v>
      </c>
      <c r="I2968" s="23"/>
      <c r="J2968" s="23"/>
      <c r="K2968" s="23"/>
      <c r="L2968" s="23" t="s">
        <v>6860</v>
      </c>
      <c r="M2968" s="23"/>
    </row>
    <row r="2969" spans="2:13" x14ac:dyDescent="0.25">
      <c r="B2969" s="35" t="s">
        <v>8825</v>
      </c>
      <c r="C2969" s="23" t="s">
        <v>8826</v>
      </c>
      <c r="D2969" s="23" t="s">
        <v>3303</v>
      </c>
      <c r="E2969" s="23" t="s">
        <v>3304</v>
      </c>
      <c r="F2969" s="23" t="s">
        <v>3729</v>
      </c>
      <c r="G2969" s="93">
        <v>0</v>
      </c>
      <c r="H2969" s="93">
        <v>0</v>
      </c>
      <c r="I2969" s="23"/>
      <c r="J2969" s="23"/>
      <c r="K2969" s="23"/>
      <c r="L2969" s="23" t="s">
        <v>8827</v>
      </c>
      <c r="M2969" s="23"/>
    </row>
    <row r="2970" spans="2:13" x14ac:dyDescent="0.25">
      <c r="B2970" s="35" t="s">
        <v>8828</v>
      </c>
      <c r="C2970" s="23" t="s">
        <v>8829</v>
      </c>
      <c r="D2970" s="23" t="s">
        <v>3303</v>
      </c>
      <c r="E2970" s="23" t="s">
        <v>3317</v>
      </c>
      <c r="F2970" s="23" t="s">
        <v>3729</v>
      </c>
      <c r="G2970" s="93">
        <v>3</v>
      </c>
      <c r="H2970" s="93">
        <v>0</v>
      </c>
      <c r="I2970" s="23"/>
      <c r="J2970" s="23"/>
      <c r="K2970" s="23"/>
      <c r="L2970" s="23" t="s">
        <v>8827</v>
      </c>
      <c r="M2970" s="23"/>
    </row>
    <row r="2971" spans="2:13" x14ac:dyDescent="0.25">
      <c r="B2971" s="35" t="s">
        <v>8830</v>
      </c>
      <c r="C2971" s="23" t="s">
        <v>8831</v>
      </c>
      <c r="D2971" s="23" t="s">
        <v>3303</v>
      </c>
      <c r="E2971" s="23" t="s">
        <v>3317</v>
      </c>
      <c r="F2971" s="23" t="s">
        <v>3729</v>
      </c>
      <c r="G2971" s="93">
        <v>3</v>
      </c>
      <c r="H2971" s="93">
        <v>0</v>
      </c>
      <c r="I2971" s="23"/>
      <c r="J2971" s="23"/>
      <c r="K2971" s="23"/>
      <c r="L2971" s="23" t="s">
        <v>8827</v>
      </c>
      <c r="M2971" s="23"/>
    </row>
    <row r="2972" spans="2:13" x14ac:dyDescent="0.25">
      <c r="B2972" s="35" t="s">
        <v>8832</v>
      </c>
      <c r="C2972" s="23" t="s">
        <v>8833</v>
      </c>
      <c r="D2972" s="23" t="s">
        <v>3303</v>
      </c>
      <c r="E2972" s="23" t="s">
        <v>3317</v>
      </c>
      <c r="F2972" s="23" t="s">
        <v>3729</v>
      </c>
      <c r="G2972" s="93">
        <v>3</v>
      </c>
      <c r="H2972" s="93">
        <v>0</v>
      </c>
      <c r="I2972" s="23"/>
      <c r="J2972" s="23"/>
      <c r="K2972" s="23"/>
      <c r="L2972" s="23" t="s">
        <v>8827</v>
      </c>
      <c r="M2972" s="23"/>
    </row>
    <row r="2973" spans="2:13" x14ac:dyDescent="0.25">
      <c r="B2973" s="35" t="s">
        <v>8834</v>
      </c>
      <c r="C2973" s="23" t="s">
        <v>8835</v>
      </c>
      <c r="D2973" s="23" t="s">
        <v>3303</v>
      </c>
      <c r="E2973" s="23" t="s">
        <v>3317</v>
      </c>
      <c r="F2973" s="23" t="s">
        <v>3729</v>
      </c>
      <c r="G2973" s="93">
        <v>3</v>
      </c>
      <c r="H2973" s="93">
        <v>0</v>
      </c>
      <c r="I2973" s="23"/>
      <c r="J2973" s="23"/>
      <c r="K2973" s="23"/>
      <c r="L2973" s="23" t="s">
        <v>8827</v>
      </c>
      <c r="M2973" s="23"/>
    </row>
    <row r="2974" spans="2:13" x14ac:dyDescent="0.25">
      <c r="B2974" s="35" t="s">
        <v>8836</v>
      </c>
      <c r="C2974" s="23" t="s">
        <v>8837</v>
      </c>
      <c r="D2974" s="23" t="s">
        <v>3303</v>
      </c>
      <c r="E2974" s="23" t="s">
        <v>3317</v>
      </c>
      <c r="F2974" s="23" t="s">
        <v>3729</v>
      </c>
      <c r="G2974" s="93">
        <v>3</v>
      </c>
      <c r="H2974" s="93">
        <v>0</v>
      </c>
      <c r="I2974" s="23"/>
      <c r="J2974" s="23"/>
      <c r="K2974" s="23"/>
      <c r="L2974" s="23" t="s">
        <v>8827</v>
      </c>
      <c r="M2974" s="23"/>
    </row>
    <row r="2975" spans="2:13" x14ac:dyDescent="0.25">
      <c r="B2975" s="35" t="s">
        <v>8838</v>
      </c>
      <c r="C2975" s="23" t="s">
        <v>8839</v>
      </c>
      <c r="D2975" s="23" t="s">
        <v>3303</v>
      </c>
      <c r="E2975" s="23" t="s">
        <v>3317</v>
      </c>
      <c r="F2975" s="23" t="s">
        <v>3729</v>
      </c>
      <c r="G2975" s="93">
        <v>3</v>
      </c>
      <c r="H2975" s="93">
        <v>1</v>
      </c>
      <c r="I2975" s="23"/>
      <c r="J2975" s="23"/>
      <c r="K2975" s="23"/>
      <c r="L2975" s="23" t="s">
        <v>8827</v>
      </c>
      <c r="M2975" s="23"/>
    </row>
    <row r="2976" spans="2:13" x14ac:dyDescent="0.25">
      <c r="B2976" s="35" t="s">
        <v>8827</v>
      </c>
      <c r="C2976" s="23" t="s">
        <v>8840</v>
      </c>
      <c r="D2976" s="23" t="s">
        <v>3303</v>
      </c>
      <c r="E2976" s="23" t="s">
        <v>3367</v>
      </c>
      <c r="F2976" s="23" t="s">
        <v>3729</v>
      </c>
      <c r="G2976" s="93">
        <v>0</v>
      </c>
      <c r="H2976" s="93">
        <v>0</v>
      </c>
      <c r="I2976" s="23"/>
      <c r="J2976" s="23"/>
      <c r="K2976" s="23"/>
      <c r="L2976" s="23" t="s">
        <v>6860</v>
      </c>
      <c r="M2976" s="23"/>
    </row>
    <row r="2977" spans="2:13" x14ac:dyDescent="0.25">
      <c r="B2977" s="35" t="s">
        <v>6860</v>
      </c>
      <c r="C2977" s="23" t="s">
        <v>8841</v>
      </c>
      <c r="D2977" s="23" t="s">
        <v>3303</v>
      </c>
      <c r="E2977" s="23" t="s">
        <v>3367</v>
      </c>
      <c r="F2977" s="23" t="s">
        <v>3729</v>
      </c>
      <c r="G2977" s="93">
        <v>0</v>
      </c>
      <c r="H2977" s="93">
        <v>0</v>
      </c>
      <c r="I2977" s="23"/>
      <c r="J2977" s="23"/>
      <c r="K2977" s="23"/>
      <c r="L2977" s="23" t="s">
        <v>5741</v>
      </c>
      <c r="M2977" s="23"/>
    </row>
    <row r="2978" spans="2:13" x14ac:dyDescent="0.25">
      <c r="B2978" s="35" t="s">
        <v>8842</v>
      </c>
      <c r="C2978" s="23" t="s">
        <v>8843</v>
      </c>
      <c r="D2978" s="23" t="s">
        <v>3303</v>
      </c>
      <c r="E2978" s="23" t="s">
        <v>3304</v>
      </c>
      <c r="F2978" s="23" t="s">
        <v>3729</v>
      </c>
      <c r="G2978" s="93">
        <v>0</v>
      </c>
      <c r="H2978" s="93">
        <v>0</v>
      </c>
      <c r="I2978" s="23"/>
      <c r="J2978" s="23"/>
      <c r="K2978" s="23"/>
      <c r="L2978" s="23" t="s">
        <v>8844</v>
      </c>
      <c r="M2978" s="23"/>
    </row>
    <row r="2979" spans="2:13" x14ac:dyDescent="0.25">
      <c r="B2979" s="35" t="s">
        <v>8845</v>
      </c>
      <c r="C2979" s="23" t="s">
        <v>8846</v>
      </c>
      <c r="D2979" s="23" t="s">
        <v>3303</v>
      </c>
      <c r="E2979" s="23" t="s">
        <v>3304</v>
      </c>
      <c r="F2979" s="23" t="s">
        <v>3729</v>
      </c>
      <c r="G2979" s="93">
        <v>0</v>
      </c>
      <c r="H2979" s="93">
        <v>1</v>
      </c>
      <c r="I2979" s="23"/>
      <c r="J2979" s="23"/>
      <c r="K2979" s="23"/>
      <c r="L2979" s="23" t="s">
        <v>8847</v>
      </c>
      <c r="M2979" s="23"/>
    </row>
    <row r="2980" spans="2:13" x14ac:dyDescent="0.25">
      <c r="B2980" s="35" t="s">
        <v>2899</v>
      </c>
      <c r="C2980" s="23" t="s">
        <v>2900</v>
      </c>
      <c r="D2980" s="23" t="s">
        <v>3303</v>
      </c>
      <c r="E2980" s="23" t="s">
        <v>3317</v>
      </c>
      <c r="F2980" s="23" t="s">
        <v>3729</v>
      </c>
      <c r="G2980" s="93">
        <v>3</v>
      </c>
      <c r="H2980" s="93">
        <v>1</v>
      </c>
      <c r="I2980" s="23"/>
      <c r="J2980" s="23"/>
      <c r="K2980" s="23"/>
      <c r="L2980" s="23" t="s">
        <v>8847</v>
      </c>
      <c r="M2980" s="23"/>
    </row>
    <row r="2981" spans="2:13" x14ac:dyDescent="0.25">
      <c r="B2981" s="35" t="s">
        <v>2901</v>
      </c>
      <c r="C2981" s="23" t="s">
        <v>8848</v>
      </c>
      <c r="D2981" s="23" t="s">
        <v>3303</v>
      </c>
      <c r="E2981" s="23" t="s">
        <v>3317</v>
      </c>
      <c r="F2981" s="23" t="s">
        <v>3729</v>
      </c>
      <c r="G2981" s="93">
        <v>3</v>
      </c>
      <c r="H2981" s="93">
        <v>1</v>
      </c>
      <c r="I2981" s="23"/>
      <c r="J2981" s="23"/>
      <c r="K2981" s="23"/>
      <c r="L2981" s="23" t="s">
        <v>8847</v>
      </c>
      <c r="M2981" s="23"/>
    </row>
    <row r="2982" spans="2:13" x14ac:dyDescent="0.25">
      <c r="B2982" s="35" t="s">
        <v>2903</v>
      </c>
      <c r="C2982" s="23" t="s">
        <v>8849</v>
      </c>
      <c r="D2982" s="23" t="s">
        <v>3303</v>
      </c>
      <c r="E2982" s="23" t="s">
        <v>3317</v>
      </c>
      <c r="F2982" s="23" t="s">
        <v>3729</v>
      </c>
      <c r="G2982" s="93">
        <v>3</v>
      </c>
      <c r="H2982" s="93">
        <v>1</v>
      </c>
      <c r="I2982" s="23"/>
      <c r="J2982" s="23"/>
      <c r="K2982" s="23"/>
      <c r="L2982" s="23" t="s">
        <v>8847</v>
      </c>
      <c r="M2982" s="23"/>
    </row>
    <row r="2983" spans="2:13" x14ac:dyDescent="0.25">
      <c r="B2983" s="35" t="s">
        <v>8850</v>
      </c>
      <c r="C2983" s="23" t="s">
        <v>8851</v>
      </c>
      <c r="D2983" s="23" t="s">
        <v>3303</v>
      </c>
      <c r="E2983" s="23" t="s">
        <v>3317</v>
      </c>
      <c r="F2983" s="23" t="s">
        <v>3729</v>
      </c>
      <c r="G2983" s="93">
        <v>3</v>
      </c>
      <c r="H2983" s="93">
        <v>1</v>
      </c>
      <c r="I2983" s="23"/>
      <c r="J2983" s="23"/>
      <c r="K2983" s="23"/>
      <c r="L2983" s="23" t="s">
        <v>8847</v>
      </c>
      <c r="M2983" s="23" t="s">
        <v>3694</v>
      </c>
    </row>
    <row r="2984" spans="2:13" x14ac:dyDescent="0.25">
      <c r="B2984" s="35" t="s">
        <v>8852</v>
      </c>
      <c r="C2984" s="23" t="s">
        <v>8853</v>
      </c>
      <c r="D2984" s="23" t="s">
        <v>3303</v>
      </c>
      <c r="E2984" s="23" t="s">
        <v>3317</v>
      </c>
      <c r="F2984" s="23" t="s">
        <v>3729</v>
      </c>
      <c r="G2984" s="93">
        <v>3</v>
      </c>
      <c r="H2984" s="93">
        <v>1</v>
      </c>
      <c r="I2984" s="23"/>
      <c r="J2984" s="23"/>
      <c r="K2984" s="23"/>
      <c r="L2984" s="23" t="s">
        <v>8847</v>
      </c>
      <c r="M2984" s="23"/>
    </row>
    <row r="2985" spans="2:13" x14ac:dyDescent="0.25">
      <c r="B2985" s="35" t="s">
        <v>2905</v>
      </c>
      <c r="C2985" s="23" t="s">
        <v>2906</v>
      </c>
      <c r="D2985" s="23" t="s">
        <v>3303</v>
      </c>
      <c r="E2985" s="23" t="s">
        <v>3317</v>
      </c>
      <c r="F2985" s="23" t="s">
        <v>3729</v>
      </c>
      <c r="G2985" s="93">
        <v>3</v>
      </c>
      <c r="H2985" s="93">
        <v>1</v>
      </c>
      <c r="I2985" s="23"/>
      <c r="J2985" s="23"/>
      <c r="K2985" s="23"/>
      <c r="L2985" s="23" t="s">
        <v>8847</v>
      </c>
      <c r="M2985" s="23"/>
    </row>
    <row r="2986" spans="2:13" x14ac:dyDescent="0.25">
      <c r="B2986" s="35" t="s">
        <v>2909</v>
      </c>
      <c r="C2986" s="23" t="s">
        <v>2910</v>
      </c>
      <c r="D2986" s="23" t="s">
        <v>3303</v>
      </c>
      <c r="E2986" s="23" t="s">
        <v>3317</v>
      </c>
      <c r="F2986" s="23" t="s">
        <v>3729</v>
      </c>
      <c r="G2986" s="93">
        <v>3</v>
      </c>
      <c r="H2986" s="93">
        <v>1</v>
      </c>
      <c r="I2986" s="23"/>
      <c r="J2986" s="23"/>
      <c r="K2986" s="23"/>
      <c r="L2986" s="23" t="s">
        <v>8847</v>
      </c>
      <c r="M2986" s="23"/>
    </row>
    <row r="2987" spans="2:13" x14ac:dyDescent="0.25">
      <c r="B2987" s="35" t="s">
        <v>2913</v>
      </c>
      <c r="C2987" s="23" t="s">
        <v>2914</v>
      </c>
      <c r="D2987" s="23" t="s">
        <v>3303</v>
      </c>
      <c r="E2987" s="23" t="s">
        <v>3317</v>
      </c>
      <c r="F2987" s="23" t="s">
        <v>3729</v>
      </c>
      <c r="G2987" s="93">
        <v>3</v>
      </c>
      <c r="H2987" s="93">
        <v>1</v>
      </c>
      <c r="I2987" s="23"/>
      <c r="J2987" s="23"/>
      <c r="K2987" s="23"/>
      <c r="L2987" s="23" t="s">
        <v>8847</v>
      </c>
      <c r="M2987" s="23"/>
    </row>
    <row r="2988" spans="2:13" x14ac:dyDescent="0.25">
      <c r="B2988" s="35" t="s">
        <v>2917</v>
      </c>
      <c r="C2988" s="23" t="s">
        <v>2918</v>
      </c>
      <c r="D2988" s="23" t="s">
        <v>3303</v>
      </c>
      <c r="E2988" s="23" t="s">
        <v>3317</v>
      </c>
      <c r="F2988" s="23" t="s">
        <v>3729</v>
      </c>
      <c r="G2988" s="93">
        <v>3</v>
      </c>
      <c r="H2988" s="93">
        <v>1</v>
      </c>
      <c r="I2988" s="23"/>
      <c r="J2988" s="23"/>
      <c r="K2988" s="23"/>
      <c r="L2988" s="23" t="s">
        <v>8847</v>
      </c>
      <c r="M2988" s="23"/>
    </row>
    <row r="2989" spans="2:13" x14ac:dyDescent="0.25">
      <c r="B2989" s="35" t="s">
        <v>2919</v>
      </c>
      <c r="C2989" s="23" t="s">
        <v>2920</v>
      </c>
      <c r="D2989" s="23" t="s">
        <v>3303</v>
      </c>
      <c r="E2989" s="23" t="s">
        <v>3317</v>
      </c>
      <c r="F2989" s="23" t="s">
        <v>3729</v>
      </c>
      <c r="G2989" s="93">
        <v>3</v>
      </c>
      <c r="H2989" s="93">
        <v>1</v>
      </c>
      <c r="I2989" s="23"/>
      <c r="J2989" s="23"/>
      <c r="K2989" s="23"/>
      <c r="L2989" s="23" t="s">
        <v>8847</v>
      </c>
      <c r="M2989" s="23"/>
    </row>
    <row r="2990" spans="2:13" x14ac:dyDescent="0.25">
      <c r="B2990" s="35" t="s">
        <v>2923</v>
      </c>
      <c r="C2990" s="23" t="s">
        <v>8854</v>
      </c>
      <c r="D2990" s="23" t="s">
        <v>3303</v>
      </c>
      <c r="E2990" s="23" t="s">
        <v>3317</v>
      </c>
      <c r="F2990" s="23" t="s">
        <v>3729</v>
      </c>
      <c r="G2990" s="93">
        <v>3</v>
      </c>
      <c r="H2990" s="93">
        <v>1</v>
      </c>
      <c r="I2990" s="23"/>
      <c r="J2990" s="23"/>
      <c r="K2990" s="23"/>
      <c r="L2990" s="23" t="s">
        <v>8847</v>
      </c>
      <c r="M2990" s="23"/>
    </row>
    <row r="2991" spans="2:13" x14ac:dyDescent="0.25">
      <c r="B2991" s="35" t="s">
        <v>8847</v>
      </c>
      <c r="C2991" s="23" t="s">
        <v>8855</v>
      </c>
      <c r="D2991" s="23" t="s">
        <v>3303</v>
      </c>
      <c r="E2991" s="23" t="s">
        <v>3367</v>
      </c>
      <c r="F2991" s="23" t="s">
        <v>3729</v>
      </c>
      <c r="G2991" s="93">
        <v>0</v>
      </c>
      <c r="H2991" s="93">
        <v>1</v>
      </c>
      <c r="I2991" s="23"/>
      <c r="J2991" s="23"/>
      <c r="K2991" s="23"/>
      <c r="L2991" s="23" t="s">
        <v>8844</v>
      </c>
      <c r="M2991" s="23"/>
    </row>
    <row r="2992" spans="2:13" x14ac:dyDescent="0.25">
      <c r="B2992" s="35" t="s">
        <v>8856</v>
      </c>
      <c r="C2992" s="23" t="s">
        <v>8857</v>
      </c>
      <c r="D2992" s="23" t="s">
        <v>3303</v>
      </c>
      <c r="E2992" s="23" t="s">
        <v>3304</v>
      </c>
      <c r="F2992" s="23" t="s">
        <v>3729</v>
      </c>
      <c r="G2992" s="93">
        <v>0</v>
      </c>
      <c r="H2992" s="93">
        <v>0</v>
      </c>
      <c r="I2992" s="23"/>
      <c r="J2992" s="23"/>
      <c r="K2992" s="23"/>
      <c r="L2992" s="23" t="s">
        <v>8858</v>
      </c>
      <c r="M2992" s="23"/>
    </row>
    <row r="2993" spans="2:13" x14ac:dyDescent="0.25">
      <c r="B2993" s="35" t="s">
        <v>8859</v>
      </c>
      <c r="C2993" s="23" t="s">
        <v>8860</v>
      </c>
      <c r="D2993" s="23" t="s">
        <v>3303</v>
      </c>
      <c r="E2993" s="23" t="s">
        <v>3317</v>
      </c>
      <c r="F2993" s="23" t="s">
        <v>3729</v>
      </c>
      <c r="G2993" s="93">
        <v>3</v>
      </c>
      <c r="H2993" s="93">
        <v>0</v>
      </c>
      <c r="I2993" s="23"/>
      <c r="J2993" s="23"/>
      <c r="K2993" s="23"/>
      <c r="L2993" s="23" t="s">
        <v>8858</v>
      </c>
      <c r="M2993" s="23" t="s">
        <v>4716</v>
      </c>
    </row>
    <row r="2994" spans="2:13" x14ac:dyDescent="0.25">
      <c r="B2994" s="35" t="s">
        <v>8861</v>
      </c>
      <c r="C2994" s="23" t="s">
        <v>8862</v>
      </c>
      <c r="D2994" s="23" t="s">
        <v>3303</v>
      </c>
      <c r="E2994" s="23" t="s">
        <v>3317</v>
      </c>
      <c r="F2994" s="23" t="s">
        <v>3729</v>
      </c>
      <c r="G2994" s="93">
        <v>0</v>
      </c>
      <c r="H2994" s="93">
        <v>0</v>
      </c>
      <c r="I2994" s="23"/>
      <c r="J2994" s="23"/>
      <c r="K2994" s="23"/>
      <c r="L2994" s="23" t="s">
        <v>8858</v>
      </c>
      <c r="M2994" s="23"/>
    </row>
    <row r="2995" spans="2:13" x14ac:dyDescent="0.25">
      <c r="B2995" s="35" t="s">
        <v>8863</v>
      </c>
      <c r="C2995" s="23" t="s">
        <v>8864</v>
      </c>
      <c r="D2995" s="23" t="s">
        <v>3303</v>
      </c>
      <c r="E2995" s="23" t="s">
        <v>3317</v>
      </c>
      <c r="F2995" s="23" t="s">
        <v>3729</v>
      </c>
      <c r="G2995" s="93">
        <v>3</v>
      </c>
      <c r="H2995" s="93">
        <v>0</v>
      </c>
      <c r="I2995" s="23"/>
      <c r="J2995" s="23"/>
      <c r="K2995" s="23"/>
      <c r="L2995" s="23" t="s">
        <v>8858</v>
      </c>
      <c r="M2995" s="23"/>
    </row>
    <row r="2996" spans="2:13" x14ac:dyDescent="0.25">
      <c r="B2996" s="35" t="s">
        <v>8865</v>
      </c>
      <c r="C2996" s="23" t="s">
        <v>8866</v>
      </c>
      <c r="D2996" s="23" t="s">
        <v>3303</v>
      </c>
      <c r="E2996" s="23" t="s">
        <v>3317</v>
      </c>
      <c r="F2996" s="23" t="s">
        <v>3729</v>
      </c>
      <c r="G2996" s="93">
        <v>0</v>
      </c>
      <c r="H2996" s="93">
        <v>0</v>
      </c>
      <c r="I2996" s="23"/>
      <c r="J2996" s="23"/>
      <c r="K2996" s="23"/>
      <c r="L2996" s="23" t="s">
        <v>8858</v>
      </c>
      <c r="M2996" s="23"/>
    </row>
    <row r="2997" spans="2:13" x14ac:dyDescent="0.25">
      <c r="B2997" s="35" t="s">
        <v>8867</v>
      </c>
      <c r="C2997" s="23" t="s">
        <v>8868</v>
      </c>
      <c r="D2997" s="23" t="s">
        <v>3303</v>
      </c>
      <c r="E2997" s="23" t="s">
        <v>3317</v>
      </c>
      <c r="F2997" s="23" t="s">
        <v>3729</v>
      </c>
      <c r="G2997" s="93">
        <v>3</v>
      </c>
      <c r="H2997" s="93">
        <v>1</v>
      </c>
      <c r="I2997" s="23"/>
      <c r="J2997" s="23"/>
      <c r="K2997" s="23"/>
      <c r="L2997" s="23" t="s">
        <v>8858</v>
      </c>
      <c r="M2997" s="23" t="s">
        <v>3694</v>
      </c>
    </row>
    <row r="2998" spans="2:13" x14ac:dyDescent="0.25">
      <c r="B2998" s="35" t="s">
        <v>8869</v>
      </c>
      <c r="C2998" s="23" t="s">
        <v>8870</v>
      </c>
      <c r="D2998" s="23" t="s">
        <v>3303</v>
      </c>
      <c r="E2998" s="23" t="s">
        <v>3317</v>
      </c>
      <c r="F2998" s="23" t="s">
        <v>3729</v>
      </c>
      <c r="G2998" s="93">
        <v>3</v>
      </c>
      <c r="H2998" s="93">
        <v>0</v>
      </c>
      <c r="I2998" s="23"/>
      <c r="J2998" s="23"/>
      <c r="K2998" s="23"/>
      <c r="L2998" s="23" t="s">
        <v>8858</v>
      </c>
      <c r="M2998" s="23" t="s">
        <v>4716</v>
      </c>
    </row>
    <row r="2999" spans="2:13" x14ac:dyDescent="0.25">
      <c r="B2999" s="35" t="s">
        <v>8871</v>
      </c>
      <c r="C2999" s="23" t="s">
        <v>8872</v>
      </c>
      <c r="D2999" s="23" t="s">
        <v>3303</v>
      </c>
      <c r="E2999" s="23" t="s">
        <v>3317</v>
      </c>
      <c r="F2999" s="23" t="s">
        <v>3729</v>
      </c>
      <c r="G2999" s="93">
        <v>3</v>
      </c>
      <c r="H2999" s="93">
        <v>0</v>
      </c>
      <c r="I2999" s="23"/>
      <c r="J2999" s="23"/>
      <c r="K2999" s="23"/>
      <c r="L2999" s="23" t="s">
        <v>8858</v>
      </c>
      <c r="M2999" s="23" t="s">
        <v>4716</v>
      </c>
    </row>
    <row r="3000" spans="2:13" x14ac:dyDescent="0.25">
      <c r="B3000" s="35" t="s">
        <v>8873</v>
      </c>
      <c r="C3000" s="23" t="s">
        <v>8874</v>
      </c>
      <c r="D3000" s="23" t="s">
        <v>3303</v>
      </c>
      <c r="E3000" s="23" t="s">
        <v>3317</v>
      </c>
      <c r="F3000" s="23" t="s">
        <v>3729</v>
      </c>
      <c r="G3000" s="93">
        <v>3</v>
      </c>
      <c r="H3000" s="93">
        <v>1</v>
      </c>
      <c r="I3000" s="23"/>
      <c r="J3000" s="23"/>
      <c r="K3000" s="23"/>
      <c r="L3000" s="23" t="s">
        <v>8858</v>
      </c>
      <c r="M3000" s="23" t="s">
        <v>3694</v>
      </c>
    </row>
    <row r="3001" spans="2:13" x14ac:dyDescent="0.25">
      <c r="B3001" s="35" t="s">
        <v>8875</v>
      </c>
      <c r="C3001" s="23" t="s">
        <v>8876</v>
      </c>
      <c r="D3001" s="23" t="s">
        <v>3303</v>
      </c>
      <c r="E3001" s="23" t="s">
        <v>3317</v>
      </c>
      <c r="F3001" s="23" t="s">
        <v>3729</v>
      </c>
      <c r="G3001" s="93">
        <v>3</v>
      </c>
      <c r="H3001" s="93">
        <v>1</v>
      </c>
      <c r="I3001" s="23"/>
      <c r="J3001" s="23"/>
      <c r="K3001" s="23"/>
      <c r="L3001" s="23" t="s">
        <v>8858</v>
      </c>
      <c r="M3001" s="23" t="s">
        <v>3694</v>
      </c>
    </row>
    <row r="3002" spans="2:13" x14ac:dyDescent="0.25">
      <c r="B3002" s="35" t="s">
        <v>8877</v>
      </c>
      <c r="C3002" s="23" t="s">
        <v>8878</v>
      </c>
      <c r="D3002" s="23" t="s">
        <v>3303</v>
      </c>
      <c r="E3002" s="23" t="s">
        <v>3317</v>
      </c>
      <c r="F3002" s="23" t="s">
        <v>3729</v>
      </c>
      <c r="G3002" s="93">
        <v>3</v>
      </c>
      <c r="H3002" s="93">
        <v>1</v>
      </c>
      <c r="I3002" s="23"/>
      <c r="J3002" s="23"/>
      <c r="K3002" s="23"/>
      <c r="L3002" s="23" t="s">
        <v>8858</v>
      </c>
      <c r="M3002" s="23"/>
    </row>
    <row r="3003" spans="2:13" x14ac:dyDescent="0.25">
      <c r="B3003" s="35" t="s">
        <v>3217</v>
      </c>
      <c r="C3003" s="23" t="s">
        <v>3218</v>
      </c>
      <c r="D3003" s="23" t="s">
        <v>3303</v>
      </c>
      <c r="E3003" s="23" t="s">
        <v>3317</v>
      </c>
      <c r="F3003" s="23" t="s">
        <v>3729</v>
      </c>
      <c r="G3003" s="93">
        <v>3</v>
      </c>
      <c r="H3003" s="93">
        <v>1</v>
      </c>
      <c r="I3003" s="23"/>
      <c r="J3003" s="23"/>
      <c r="K3003" s="23"/>
      <c r="L3003" s="23" t="s">
        <v>8858</v>
      </c>
      <c r="M3003" s="23"/>
    </row>
    <row r="3004" spans="2:13" x14ac:dyDescent="0.25">
      <c r="B3004" s="35" t="s">
        <v>8879</v>
      </c>
      <c r="C3004" s="23" t="s">
        <v>8880</v>
      </c>
      <c r="D3004" s="23" t="s">
        <v>3303</v>
      </c>
      <c r="E3004" s="23" t="s">
        <v>3317</v>
      </c>
      <c r="F3004" s="23" t="s">
        <v>3729</v>
      </c>
      <c r="G3004" s="93">
        <v>3</v>
      </c>
      <c r="H3004" s="93">
        <v>1</v>
      </c>
      <c r="I3004" s="23"/>
      <c r="J3004" s="23"/>
      <c r="K3004" s="23"/>
      <c r="L3004" s="23" t="s">
        <v>8858</v>
      </c>
      <c r="M3004" s="23" t="s">
        <v>3694</v>
      </c>
    </row>
    <row r="3005" spans="2:13" x14ac:dyDescent="0.25">
      <c r="B3005" s="35" t="s">
        <v>8881</v>
      </c>
      <c r="C3005" s="23" t="s">
        <v>8882</v>
      </c>
      <c r="D3005" s="23" t="s">
        <v>3303</v>
      </c>
      <c r="E3005" s="23" t="s">
        <v>3317</v>
      </c>
      <c r="F3005" s="23" t="s">
        <v>3729</v>
      </c>
      <c r="G3005" s="93">
        <v>3</v>
      </c>
      <c r="H3005" s="93">
        <v>1</v>
      </c>
      <c r="I3005" s="23"/>
      <c r="J3005" s="23"/>
      <c r="K3005" s="23"/>
      <c r="L3005" s="23" t="s">
        <v>8858</v>
      </c>
      <c r="M3005" s="23"/>
    </row>
    <row r="3006" spans="2:13" x14ac:dyDescent="0.25">
      <c r="B3006" s="35" t="s">
        <v>8883</v>
      </c>
      <c r="C3006" s="23" t="s">
        <v>8884</v>
      </c>
      <c r="D3006" s="23" t="s">
        <v>3303</v>
      </c>
      <c r="E3006" s="23" t="s">
        <v>3317</v>
      </c>
      <c r="F3006" s="23" t="s">
        <v>3729</v>
      </c>
      <c r="G3006" s="93">
        <v>3</v>
      </c>
      <c r="H3006" s="93">
        <v>1</v>
      </c>
      <c r="I3006" s="23"/>
      <c r="J3006" s="23"/>
      <c r="K3006" s="23"/>
      <c r="L3006" s="23" t="s">
        <v>8858</v>
      </c>
      <c r="M3006" s="23" t="s">
        <v>4716</v>
      </c>
    </row>
    <row r="3007" spans="2:13" x14ac:dyDescent="0.25">
      <c r="B3007" s="35" t="s">
        <v>8885</v>
      </c>
      <c r="C3007" s="23" t="s">
        <v>8886</v>
      </c>
      <c r="D3007" s="23" t="s">
        <v>3303</v>
      </c>
      <c r="E3007" s="23" t="s">
        <v>3317</v>
      </c>
      <c r="F3007" s="23" t="s">
        <v>3729</v>
      </c>
      <c r="G3007" s="93">
        <v>3</v>
      </c>
      <c r="H3007" s="93">
        <v>1</v>
      </c>
      <c r="I3007" s="23"/>
      <c r="J3007" s="23"/>
      <c r="K3007" s="23"/>
      <c r="L3007" s="23" t="s">
        <v>8858</v>
      </c>
      <c r="M3007" s="23" t="s">
        <v>4716</v>
      </c>
    </row>
    <row r="3008" spans="2:13" x14ac:dyDescent="0.25">
      <c r="B3008" s="35" t="s">
        <v>8887</v>
      </c>
      <c r="C3008" s="23" t="s">
        <v>8888</v>
      </c>
      <c r="D3008" s="23" t="s">
        <v>3303</v>
      </c>
      <c r="E3008" s="23" t="s">
        <v>3317</v>
      </c>
      <c r="F3008" s="23" t="s">
        <v>3729</v>
      </c>
      <c r="G3008" s="93">
        <v>3</v>
      </c>
      <c r="H3008" s="93">
        <v>0</v>
      </c>
      <c r="I3008" s="23"/>
      <c r="J3008" s="23"/>
      <c r="K3008" s="23"/>
      <c r="L3008" s="23" t="s">
        <v>8858</v>
      </c>
      <c r="M3008" s="23"/>
    </row>
    <row r="3009" spans="2:13" x14ac:dyDescent="0.25">
      <c r="B3009" s="35" t="s">
        <v>8889</v>
      </c>
      <c r="C3009" s="23" t="s">
        <v>8890</v>
      </c>
      <c r="D3009" s="23" t="s">
        <v>3303</v>
      </c>
      <c r="E3009" s="23" t="s">
        <v>3317</v>
      </c>
      <c r="F3009" s="23" t="s">
        <v>3729</v>
      </c>
      <c r="G3009" s="93">
        <v>3</v>
      </c>
      <c r="H3009" s="93">
        <v>1</v>
      </c>
      <c r="I3009" s="23"/>
      <c r="J3009" s="23"/>
      <c r="K3009" s="23"/>
      <c r="L3009" s="23" t="s">
        <v>8858</v>
      </c>
      <c r="M3009" s="23"/>
    </row>
    <row r="3010" spans="2:13" x14ac:dyDescent="0.25">
      <c r="B3010" s="35" t="s">
        <v>8891</v>
      </c>
      <c r="C3010" s="23" t="s">
        <v>8892</v>
      </c>
      <c r="D3010" s="23" t="s">
        <v>3303</v>
      </c>
      <c r="E3010" s="23" t="s">
        <v>3317</v>
      </c>
      <c r="F3010" s="23" t="s">
        <v>3729</v>
      </c>
      <c r="G3010" s="93">
        <v>3</v>
      </c>
      <c r="H3010" s="93">
        <v>1</v>
      </c>
      <c r="I3010" s="23"/>
      <c r="J3010" s="23"/>
      <c r="K3010" s="23"/>
      <c r="L3010" s="23" t="s">
        <v>8858</v>
      </c>
      <c r="M3010" s="23" t="s">
        <v>3694</v>
      </c>
    </row>
    <row r="3011" spans="2:13" x14ac:dyDescent="0.25">
      <c r="B3011" s="35" t="s">
        <v>8893</v>
      </c>
      <c r="C3011" s="23" t="s">
        <v>8894</v>
      </c>
      <c r="D3011" s="23" t="s">
        <v>3303</v>
      </c>
      <c r="E3011" s="23" t="s">
        <v>3317</v>
      </c>
      <c r="F3011" s="23" t="s">
        <v>3729</v>
      </c>
      <c r="G3011" s="93">
        <v>3</v>
      </c>
      <c r="H3011" s="93">
        <v>1</v>
      </c>
      <c r="I3011" s="23"/>
      <c r="J3011" s="23"/>
      <c r="K3011" s="23"/>
      <c r="L3011" s="23" t="s">
        <v>8858</v>
      </c>
      <c r="M3011" s="23"/>
    </row>
    <row r="3012" spans="2:13" x14ac:dyDescent="0.25">
      <c r="B3012" s="35" t="s">
        <v>8895</v>
      </c>
      <c r="C3012" s="23" t="s">
        <v>8896</v>
      </c>
      <c r="D3012" s="23" t="s">
        <v>3303</v>
      </c>
      <c r="E3012" s="23" t="s">
        <v>3317</v>
      </c>
      <c r="F3012" s="23" t="s">
        <v>3729</v>
      </c>
      <c r="G3012" s="93">
        <v>3</v>
      </c>
      <c r="H3012" s="93">
        <v>0</v>
      </c>
      <c r="I3012" s="23"/>
      <c r="J3012" s="23"/>
      <c r="K3012" s="23"/>
      <c r="L3012" s="23" t="s">
        <v>8858</v>
      </c>
      <c r="M3012" s="23"/>
    </row>
    <row r="3013" spans="2:13" x14ac:dyDescent="0.25">
      <c r="B3013" s="35" t="s">
        <v>8897</v>
      </c>
      <c r="C3013" s="23" t="s">
        <v>8898</v>
      </c>
      <c r="D3013" s="23" t="s">
        <v>3303</v>
      </c>
      <c r="E3013" s="23" t="s">
        <v>3317</v>
      </c>
      <c r="F3013" s="23" t="s">
        <v>3729</v>
      </c>
      <c r="G3013" s="93">
        <v>0</v>
      </c>
      <c r="H3013" s="93">
        <v>1</v>
      </c>
      <c r="I3013" s="23"/>
      <c r="J3013" s="23"/>
      <c r="K3013" s="23"/>
      <c r="L3013" s="23" t="s">
        <v>8858</v>
      </c>
      <c r="M3013" s="23" t="s">
        <v>3694</v>
      </c>
    </row>
    <row r="3014" spans="2:13" x14ac:dyDescent="0.25">
      <c r="B3014" s="35" t="s">
        <v>8899</v>
      </c>
      <c r="C3014" s="23" t="s">
        <v>8900</v>
      </c>
      <c r="D3014" s="23" t="s">
        <v>3303</v>
      </c>
      <c r="E3014" s="23" t="s">
        <v>3317</v>
      </c>
      <c r="F3014" s="23" t="s">
        <v>3729</v>
      </c>
      <c r="G3014" s="93">
        <v>0</v>
      </c>
      <c r="H3014" s="93">
        <v>1</v>
      </c>
      <c r="I3014" s="23"/>
      <c r="J3014" s="23"/>
      <c r="K3014" s="23"/>
      <c r="L3014" s="23" t="s">
        <v>8858</v>
      </c>
      <c r="M3014" s="23" t="s">
        <v>3694</v>
      </c>
    </row>
    <row r="3015" spans="2:13" x14ac:dyDescent="0.25">
      <c r="B3015" s="35" t="s">
        <v>8901</v>
      </c>
      <c r="C3015" s="23" t="s">
        <v>8902</v>
      </c>
      <c r="D3015" s="23" t="s">
        <v>3303</v>
      </c>
      <c r="E3015" s="23" t="s">
        <v>3317</v>
      </c>
      <c r="F3015" s="23" t="s">
        <v>3729</v>
      </c>
      <c r="G3015" s="93">
        <v>3</v>
      </c>
      <c r="H3015" s="93">
        <v>0</v>
      </c>
      <c r="I3015" s="23"/>
      <c r="J3015" s="23"/>
      <c r="K3015" s="23"/>
      <c r="L3015" s="23" t="s">
        <v>8858</v>
      </c>
      <c r="M3015" s="23"/>
    </row>
    <row r="3016" spans="2:13" x14ac:dyDescent="0.25">
      <c r="B3016" s="35" t="s">
        <v>8903</v>
      </c>
      <c r="C3016" s="23" t="s">
        <v>8904</v>
      </c>
      <c r="D3016" s="23" t="s">
        <v>3303</v>
      </c>
      <c r="E3016" s="23" t="s">
        <v>3317</v>
      </c>
      <c r="F3016" s="23" t="s">
        <v>3729</v>
      </c>
      <c r="G3016" s="93">
        <v>0</v>
      </c>
      <c r="H3016" s="93">
        <v>1</v>
      </c>
      <c r="I3016" s="23"/>
      <c r="J3016" s="23"/>
      <c r="K3016" s="23"/>
      <c r="L3016" s="23" t="s">
        <v>8858</v>
      </c>
      <c r="M3016" s="23" t="s">
        <v>3694</v>
      </c>
    </row>
    <row r="3017" spans="2:13" x14ac:dyDescent="0.25">
      <c r="B3017" s="35" t="s">
        <v>8905</v>
      </c>
      <c r="C3017" s="23" t="s">
        <v>8906</v>
      </c>
      <c r="D3017" s="23" t="s">
        <v>3303</v>
      </c>
      <c r="E3017" s="23" t="s">
        <v>3317</v>
      </c>
      <c r="F3017" s="23" t="s">
        <v>3729</v>
      </c>
      <c r="G3017" s="93">
        <v>3</v>
      </c>
      <c r="H3017" s="93">
        <v>1</v>
      </c>
      <c r="I3017" s="23"/>
      <c r="J3017" s="23"/>
      <c r="K3017" s="23"/>
      <c r="L3017" s="23" t="s">
        <v>8858</v>
      </c>
      <c r="M3017" s="23"/>
    </row>
    <row r="3018" spans="2:13" x14ac:dyDescent="0.25">
      <c r="B3018" s="35" t="s">
        <v>8907</v>
      </c>
      <c r="C3018" s="23" t="s">
        <v>8908</v>
      </c>
      <c r="D3018" s="23" t="s">
        <v>3303</v>
      </c>
      <c r="E3018" s="23" t="s">
        <v>3317</v>
      </c>
      <c r="F3018" s="23" t="s">
        <v>3729</v>
      </c>
      <c r="G3018" s="93">
        <v>3</v>
      </c>
      <c r="H3018" s="93">
        <v>1</v>
      </c>
      <c r="I3018" s="23"/>
      <c r="J3018" s="23"/>
      <c r="K3018" s="23"/>
      <c r="L3018" s="23" t="s">
        <v>8858</v>
      </c>
      <c r="M3018" s="23" t="s">
        <v>3694</v>
      </c>
    </row>
    <row r="3019" spans="2:13" x14ac:dyDescent="0.25">
      <c r="B3019" s="35" t="s">
        <v>8909</v>
      </c>
      <c r="C3019" s="23" t="s">
        <v>8910</v>
      </c>
      <c r="D3019" s="23" t="s">
        <v>3303</v>
      </c>
      <c r="E3019" s="23" t="s">
        <v>3317</v>
      </c>
      <c r="F3019" s="23" t="s">
        <v>3729</v>
      </c>
      <c r="G3019" s="93">
        <v>3</v>
      </c>
      <c r="H3019" s="93">
        <v>1</v>
      </c>
      <c r="I3019" s="23"/>
      <c r="J3019" s="23"/>
      <c r="K3019" s="23"/>
      <c r="L3019" s="23" t="s">
        <v>8858</v>
      </c>
      <c r="M3019" s="23"/>
    </row>
    <row r="3020" spans="2:13" x14ac:dyDescent="0.25">
      <c r="B3020" s="35" t="s">
        <v>8911</v>
      </c>
      <c r="C3020" s="23" t="s">
        <v>8912</v>
      </c>
      <c r="D3020" s="23" t="s">
        <v>3303</v>
      </c>
      <c r="E3020" s="23" t="s">
        <v>3317</v>
      </c>
      <c r="F3020" s="23" t="s">
        <v>3729</v>
      </c>
      <c r="G3020" s="93">
        <v>3</v>
      </c>
      <c r="H3020" s="93">
        <v>1</v>
      </c>
      <c r="I3020" s="23"/>
      <c r="J3020" s="23"/>
      <c r="K3020" s="23"/>
      <c r="L3020" s="23" t="s">
        <v>8858</v>
      </c>
      <c r="M3020" s="23" t="s">
        <v>3694</v>
      </c>
    </row>
    <row r="3021" spans="2:13" x14ac:dyDescent="0.25">
      <c r="B3021" s="35" t="s">
        <v>8913</v>
      </c>
      <c r="C3021" s="23" t="s">
        <v>8914</v>
      </c>
      <c r="D3021" s="23" t="s">
        <v>3303</v>
      </c>
      <c r="E3021" s="23" t="s">
        <v>3317</v>
      </c>
      <c r="F3021" s="23" t="s">
        <v>3729</v>
      </c>
      <c r="G3021" s="93">
        <v>3</v>
      </c>
      <c r="H3021" s="93">
        <v>0</v>
      </c>
      <c r="I3021" s="23"/>
      <c r="J3021" s="23"/>
      <c r="K3021" s="23"/>
      <c r="L3021" s="23" t="s">
        <v>8858</v>
      </c>
      <c r="M3021" s="23"/>
    </row>
    <row r="3022" spans="2:13" x14ac:dyDescent="0.25">
      <c r="B3022" s="35" t="s">
        <v>8915</v>
      </c>
      <c r="C3022" s="23" t="s">
        <v>8916</v>
      </c>
      <c r="D3022" s="23" t="s">
        <v>3303</v>
      </c>
      <c r="E3022" s="23" t="s">
        <v>3317</v>
      </c>
      <c r="F3022" s="23" t="s">
        <v>3729</v>
      </c>
      <c r="G3022" s="93">
        <v>3</v>
      </c>
      <c r="H3022" s="93">
        <v>1</v>
      </c>
      <c r="I3022" s="23"/>
      <c r="J3022" s="23"/>
      <c r="K3022" s="23"/>
      <c r="L3022" s="23" t="s">
        <v>8858</v>
      </c>
      <c r="M3022" s="23" t="s">
        <v>3694</v>
      </c>
    </row>
    <row r="3023" spans="2:13" x14ac:dyDescent="0.25">
      <c r="B3023" s="35" t="s">
        <v>8917</v>
      </c>
      <c r="C3023" s="23" t="s">
        <v>8918</v>
      </c>
      <c r="D3023" s="23" t="s">
        <v>3303</v>
      </c>
      <c r="E3023" s="23" t="s">
        <v>3317</v>
      </c>
      <c r="F3023" s="23" t="s">
        <v>3729</v>
      </c>
      <c r="G3023" s="93">
        <v>3</v>
      </c>
      <c r="H3023" s="93">
        <v>0</v>
      </c>
      <c r="I3023" s="23"/>
      <c r="J3023" s="23"/>
      <c r="K3023" s="23"/>
      <c r="L3023" s="23" t="s">
        <v>8858</v>
      </c>
      <c r="M3023" s="23"/>
    </row>
    <row r="3024" spans="2:13" x14ac:dyDescent="0.25">
      <c r="B3024" s="35" t="s">
        <v>8919</v>
      </c>
      <c r="C3024" s="23" t="s">
        <v>8920</v>
      </c>
      <c r="D3024" s="23" t="s">
        <v>3303</v>
      </c>
      <c r="E3024" s="23" t="s">
        <v>3317</v>
      </c>
      <c r="F3024" s="23" t="s">
        <v>3729</v>
      </c>
      <c r="G3024" s="93">
        <v>3</v>
      </c>
      <c r="H3024" s="93">
        <v>0</v>
      </c>
      <c r="I3024" s="23"/>
      <c r="J3024" s="23"/>
      <c r="K3024" s="23"/>
      <c r="L3024" s="23" t="s">
        <v>8858</v>
      </c>
      <c r="M3024" s="23"/>
    </row>
    <row r="3025" spans="2:13" x14ac:dyDescent="0.25">
      <c r="B3025" s="35" t="s">
        <v>8921</v>
      </c>
      <c r="C3025" s="23" t="s">
        <v>8922</v>
      </c>
      <c r="D3025" s="23" t="s">
        <v>3303</v>
      </c>
      <c r="E3025" s="23" t="s">
        <v>3317</v>
      </c>
      <c r="F3025" s="23" t="s">
        <v>3729</v>
      </c>
      <c r="G3025" s="93">
        <v>3</v>
      </c>
      <c r="H3025" s="93">
        <v>1</v>
      </c>
      <c r="I3025" s="23"/>
      <c r="J3025" s="23"/>
      <c r="K3025" s="23"/>
      <c r="L3025" s="23" t="s">
        <v>8858</v>
      </c>
      <c r="M3025" s="23"/>
    </row>
    <row r="3026" spans="2:13" x14ac:dyDescent="0.25">
      <c r="B3026" s="35" t="s">
        <v>8923</v>
      </c>
      <c r="C3026" s="23" t="s">
        <v>8924</v>
      </c>
      <c r="D3026" s="23" t="s">
        <v>3303</v>
      </c>
      <c r="E3026" s="23" t="s">
        <v>3317</v>
      </c>
      <c r="F3026" s="23" t="s">
        <v>3729</v>
      </c>
      <c r="G3026" s="93">
        <v>3</v>
      </c>
      <c r="H3026" s="93">
        <v>1</v>
      </c>
      <c r="I3026" s="23"/>
      <c r="J3026" s="23"/>
      <c r="K3026" s="23"/>
      <c r="L3026" s="23" t="s">
        <v>8858</v>
      </c>
      <c r="M3026" s="23"/>
    </row>
    <row r="3027" spans="2:13" x14ac:dyDescent="0.25">
      <c r="B3027" s="35" t="s">
        <v>8925</v>
      </c>
      <c r="C3027" s="23" t="s">
        <v>8926</v>
      </c>
      <c r="D3027" s="23" t="s">
        <v>3303</v>
      </c>
      <c r="E3027" s="23" t="s">
        <v>3317</v>
      </c>
      <c r="F3027" s="23" t="s">
        <v>3729</v>
      </c>
      <c r="G3027" s="93">
        <v>3</v>
      </c>
      <c r="H3027" s="93">
        <v>0</v>
      </c>
      <c r="I3027" s="23"/>
      <c r="J3027" s="23"/>
      <c r="K3027" s="23"/>
      <c r="L3027" s="23" t="s">
        <v>8858</v>
      </c>
      <c r="M3027" s="23"/>
    </row>
    <row r="3028" spans="2:13" x14ac:dyDescent="0.25">
      <c r="B3028" s="35" t="s">
        <v>8927</v>
      </c>
      <c r="C3028" s="23" t="s">
        <v>8928</v>
      </c>
      <c r="D3028" s="23" t="s">
        <v>3303</v>
      </c>
      <c r="E3028" s="23" t="s">
        <v>3317</v>
      </c>
      <c r="F3028" s="23" t="s">
        <v>3729</v>
      </c>
      <c r="G3028" s="93">
        <v>3</v>
      </c>
      <c r="H3028" s="93">
        <v>0</v>
      </c>
      <c r="I3028" s="23"/>
      <c r="J3028" s="23"/>
      <c r="K3028" s="23"/>
      <c r="L3028" s="23" t="s">
        <v>8858</v>
      </c>
      <c r="M3028" s="23"/>
    </row>
    <row r="3029" spans="2:13" x14ac:dyDescent="0.25">
      <c r="B3029" s="35" t="s">
        <v>8929</v>
      </c>
      <c r="C3029" s="23" t="s">
        <v>8930</v>
      </c>
      <c r="D3029" s="23" t="s">
        <v>3303</v>
      </c>
      <c r="E3029" s="23" t="s">
        <v>3317</v>
      </c>
      <c r="F3029" s="23" t="s">
        <v>3729</v>
      </c>
      <c r="G3029" s="93">
        <v>3</v>
      </c>
      <c r="H3029" s="93">
        <v>0</v>
      </c>
      <c r="I3029" s="23"/>
      <c r="J3029" s="23"/>
      <c r="K3029" s="23"/>
      <c r="L3029" s="23" t="s">
        <v>8858</v>
      </c>
      <c r="M3029" s="23"/>
    </row>
    <row r="3030" spans="2:13" x14ac:dyDescent="0.25">
      <c r="B3030" s="35" t="s">
        <v>8931</v>
      </c>
      <c r="C3030" s="23" t="s">
        <v>8932</v>
      </c>
      <c r="D3030" s="23" t="s">
        <v>3303</v>
      </c>
      <c r="E3030" s="23" t="s">
        <v>3317</v>
      </c>
      <c r="F3030" s="23" t="s">
        <v>3729</v>
      </c>
      <c r="G3030" s="93">
        <v>3</v>
      </c>
      <c r="H3030" s="93">
        <v>0</v>
      </c>
      <c r="I3030" s="23"/>
      <c r="J3030" s="23"/>
      <c r="K3030" s="23"/>
      <c r="L3030" s="23" t="s">
        <v>8858</v>
      </c>
      <c r="M3030" s="23"/>
    </row>
    <row r="3031" spans="2:13" x14ac:dyDescent="0.25">
      <c r="B3031" s="35" t="s">
        <v>8933</v>
      </c>
      <c r="C3031" s="23" t="s">
        <v>8934</v>
      </c>
      <c r="D3031" s="23" t="s">
        <v>3303</v>
      </c>
      <c r="E3031" s="23" t="s">
        <v>3317</v>
      </c>
      <c r="F3031" s="23" t="s">
        <v>3729</v>
      </c>
      <c r="G3031" s="93">
        <v>3</v>
      </c>
      <c r="H3031" s="93">
        <v>0</v>
      </c>
      <c r="I3031" s="23"/>
      <c r="J3031" s="23"/>
      <c r="K3031" s="23"/>
      <c r="L3031" s="23" t="s">
        <v>8858</v>
      </c>
      <c r="M3031" s="23"/>
    </row>
    <row r="3032" spans="2:13" x14ac:dyDescent="0.25">
      <c r="B3032" s="35" t="s">
        <v>8935</v>
      </c>
      <c r="C3032" s="23" t="s">
        <v>8936</v>
      </c>
      <c r="D3032" s="23" t="s">
        <v>3303</v>
      </c>
      <c r="E3032" s="23" t="s">
        <v>3317</v>
      </c>
      <c r="F3032" s="23" t="s">
        <v>3729</v>
      </c>
      <c r="G3032" s="93">
        <v>3</v>
      </c>
      <c r="H3032" s="93">
        <v>1</v>
      </c>
      <c r="I3032" s="23"/>
      <c r="J3032" s="23"/>
      <c r="K3032" s="23"/>
      <c r="L3032" s="23" t="s">
        <v>8858</v>
      </c>
      <c r="M3032" s="23"/>
    </row>
    <row r="3033" spans="2:13" x14ac:dyDescent="0.25">
      <c r="B3033" s="35" t="s">
        <v>8937</v>
      </c>
      <c r="C3033" s="23" t="s">
        <v>8938</v>
      </c>
      <c r="D3033" s="23" t="s">
        <v>3303</v>
      </c>
      <c r="E3033" s="23" t="s">
        <v>3317</v>
      </c>
      <c r="F3033" s="23" t="s">
        <v>3729</v>
      </c>
      <c r="G3033" s="93">
        <v>3</v>
      </c>
      <c r="H3033" s="93">
        <v>0</v>
      </c>
      <c r="I3033" s="23"/>
      <c r="J3033" s="23"/>
      <c r="K3033" s="23"/>
      <c r="L3033" s="23" t="s">
        <v>8858</v>
      </c>
      <c r="M3033" s="23"/>
    </row>
    <row r="3034" spans="2:13" x14ac:dyDescent="0.25">
      <c r="B3034" s="35" t="s">
        <v>8939</v>
      </c>
      <c r="C3034" s="23" t="s">
        <v>8940</v>
      </c>
      <c r="D3034" s="23" t="s">
        <v>3303</v>
      </c>
      <c r="E3034" s="23" t="s">
        <v>3317</v>
      </c>
      <c r="F3034" s="23" t="s">
        <v>3729</v>
      </c>
      <c r="G3034" s="93">
        <v>3</v>
      </c>
      <c r="H3034" s="93">
        <v>0</v>
      </c>
      <c r="I3034" s="23"/>
      <c r="J3034" s="23"/>
      <c r="K3034" s="23"/>
      <c r="L3034" s="23" t="s">
        <v>8858</v>
      </c>
      <c r="M3034" s="23"/>
    </row>
    <row r="3035" spans="2:13" x14ac:dyDescent="0.25">
      <c r="B3035" s="35" t="s">
        <v>8941</v>
      </c>
      <c r="C3035" s="23" t="s">
        <v>8942</v>
      </c>
      <c r="D3035" s="23" t="s">
        <v>3303</v>
      </c>
      <c r="E3035" s="23" t="s">
        <v>3317</v>
      </c>
      <c r="F3035" s="23" t="s">
        <v>3729</v>
      </c>
      <c r="G3035" s="93">
        <v>3</v>
      </c>
      <c r="H3035" s="93">
        <v>0</v>
      </c>
      <c r="I3035" s="23"/>
      <c r="J3035" s="23"/>
      <c r="K3035" s="23"/>
      <c r="L3035" s="23" t="s">
        <v>8858</v>
      </c>
      <c r="M3035" s="23"/>
    </row>
    <row r="3036" spans="2:13" x14ac:dyDescent="0.25">
      <c r="B3036" s="35" t="s">
        <v>8943</v>
      </c>
      <c r="C3036" s="23" t="s">
        <v>8944</v>
      </c>
      <c r="D3036" s="23" t="s">
        <v>3303</v>
      </c>
      <c r="E3036" s="23" t="s">
        <v>3317</v>
      </c>
      <c r="F3036" s="23" t="s">
        <v>3729</v>
      </c>
      <c r="G3036" s="93">
        <v>3</v>
      </c>
      <c r="H3036" s="93">
        <v>0</v>
      </c>
      <c r="I3036" s="23"/>
      <c r="J3036" s="23"/>
      <c r="K3036" s="23"/>
      <c r="L3036" s="23" t="s">
        <v>8858</v>
      </c>
      <c r="M3036" s="23"/>
    </row>
    <row r="3037" spans="2:13" x14ac:dyDescent="0.25">
      <c r="B3037" s="35" t="s">
        <v>8945</v>
      </c>
      <c r="C3037" s="23" t="s">
        <v>8946</v>
      </c>
      <c r="D3037" s="23" t="s">
        <v>3303</v>
      </c>
      <c r="E3037" s="23" t="s">
        <v>3317</v>
      </c>
      <c r="F3037" s="23" t="s">
        <v>3729</v>
      </c>
      <c r="G3037" s="93">
        <v>3</v>
      </c>
      <c r="H3037" s="93">
        <v>0</v>
      </c>
      <c r="I3037" s="23"/>
      <c r="J3037" s="23"/>
      <c r="K3037" s="23"/>
      <c r="L3037" s="23" t="s">
        <v>8858</v>
      </c>
      <c r="M3037" s="23"/>
    </row>
    <row r="3038" spans="2:13" x14ac:dyDescent="0.25">
      <c r="B3038" s="35" t="s">
        <v>8858</v>
      </c>
      <c r="C3038" s="23" t="s">
        <v>8947</v>
      </c>
      <c r="D3038" s="23" t="s">
        <v>3303</v>
      </c>
      <c r="E3038" s="23" t="s">
        <v>3367</v>
      </c>
      <c r="F3038" s="23" t="s">
        <v>3729</v>
      </c>
      <c r="G3038" s="93">
        <v>0</v>
      </c>
      <c r="H3038" s="93">
        <v>0</v>
      </c>
      <c r="I3038" s="23"/>
      <c r="J3038" s="23"/>
      <c r="K3038" s="23"/>
      <c r="L3038" s="23" t="s">
        <v>8844</v>
      </c>
      <c r="M3038" s="23"/>
    </row>
    <row r="3039" spans="2:13" x14ac:dyDescent="0.25">
      <c r="B3039" s="35" t="s">
        <v>8844</v>
      </c>
      <c r="C3039" s="23" t="s">
        <v>8948</v>
      </c>
      <c r="D3039" s="23" t="s">
        <v>3303</v>
      </c>
      <c r="E3039" s="23" t="s">
        <v>3367</v>
      </c>
      <c r="F3039" s="23" t="s">
        <v>3729</v>
      </c>
      <c r="G3039" s="93">
        <v>0</v>
      </c>
      <c r="H3039" s="93">
        <v>0</v>
      </c>
      <c r="I3039" s="23"/>
      <c r="J3039" s="23"/>
      <c r="K3039" s="23"/>
      <c r="L3039" s="23" t="s">
        <v>5741</v>
      </c>
      <c r="M3039" s="23"/>
    </row>
    <row r="3040" spans="2:13" x14ac:dyDescent="0.25">
      <c r="B3040" s="35" t="s">
        <v>8949</v>
      </c>
      <c r="C3040" s="23" t="s">
        <v>8950</v>
      </c>
      <c r="D3040" s="23" t="s">
        <v>3303</v>
      </c>
      <c r="E3040" s="23" t="s">
        <v>3304</v>
      </c>
      <c r="F3040" s="23" t="s">
        <v>3729</v>
      </c>
      <c r="G3040" s="93">
        <v>0</v>
      </c>
      <c r="H3040" s="93">
        <v>0</v>
      </c>
      <c r="I3040" s="23"/>
      <c r="J3040" s="23"/>
      <c r="K3040" s="23"/>
      <c r="L3040" s="23" t="s">
        <v>8951</v>
      </c>
      <c r="M3040" s="23"/>
    </row>
    <row r="3041" spans="2:13" x14ac:dyDescent="0.25">
      <c r="B3041" s="35" t="s">
        <v>3220</v>
      </c>
      <c r="C3041" s="23" t="s">
        <v>3221</v>
      </c>
      <c r="D3041" s="23" t="s">
        <v>3303</v>
      </c>
      <c r="E3041" s="23" t="s">
        <v>3317</v>
      </c>
      <c r="F3041" s="23" t="s">
        <v>3729</v>
      </c>
      <c r="G3041" s="93">
        <v>3</v>
      </c>
      <c r="H3041" s="93">
        <v>1</v>
      </c>
      <c r="I3041" s="23"/>
      <c r="J3041" s="23"/>
      <c r="K3041" s="23"/>
      <c r="L3041" s="23" t="s">
        <v>8951</v>
      </c>
      <c r="M3041" s="23"/>
    </row>
    <row r="3042" spans="2:13" x14ac:dyDescent="0.25">
      <c r="B3042" s="35" t="s">
        <v>8952</v>
      </c>
      <c r="C3042" s="23" t="s">
        <v>8953</v>
      </c>
      <c r="D3042" s="23" t="s">
        <v>3303</v>
      </c>
      <c r="E3042" s="23" t="s">
        <v>3317</v>
      </c>
      <c r="F3042" s="23" t="s">
        <v>3729</v>
      </c>
      <c r="G3042" s="93">
        <v>3</v>
      </c>
      <c r="H3042" s="93">
        <v>1</v>
      </c>
      <c r="I3042" s="23"/>
      <c r="J3042" s="23"/>
      <c r="K3042" s="23"/>
      <c r="L3042" s="23" t="s">
        <v>8951</v>
      </c>
      <c r="M3042" s="23"/>
    </row>
    <row r="3043" spans="2:13" x14ac:dyDescent="0.25">
      <c r="B3043" s="35" t="s">
        <v>8954</v>
      </c>
      <c r="C3043" s="23" t="s">
        <v>8955</v>
      </c>
      <c r="D3043" s="23" t="s">
        <v>3303</v>
      </c>
      <c r="E3043" s="23" t="s">
        <v>3317</v>
      </c>
      <c r="F3043" s="23" t="s">
        <v>3729</v>
      </c>
      <c r="G3043" s="93">
        <v>3</v>
      </c>
      <c r="H3043" s="93">
        <v>1</v>
      </c>
      <c r="I3043" s="23"/>
      <c r="J3043" s="23"/>
      <c r="K3043" s="23"/>
      <c r="L3043" s="23" t="s">
        <v>8951</v>
      </c>
      <c r="M3043" s="23"/>
    </row>
    <row r="3044" spans="2:13" x14ac:dyDescent="0.25">
      <c r="B3044" s="35" t="s">
        <v>8956</v>
      </c>
      <c r="C3044" s="23" t="s">
        <v>8957</v>
      </c>
      <c r="D3044" s="23" t="s">
        <v>3303</v>
      </c>
      <c r="E3044" s="23" t="s">
        <v>3317</v>
      </c>
      <c r="F3044" s="23" t="s">
        <v>3729</v>
      </c>
      <c r="G3044" s="93">
        <v>3</v>
      </c>
      <c r="H3044" s="93">
        <v>1</v>
      </c>
      <c r="I3044" s="23"/>
      <c r="J3044" s="23"/>
      <c r="K3044" s="23"/>
      <c r="L3044" s="23" t="s">
        <v>8951</v>
      </c>
      <c r="M3044" s="23"/>
    </row>
    <row r="3045" spans="2:13" x14ac:dyDescent="0.25">
      <c r="B3045" s="35" t="s">
        <v>8958</v>
      </c>
      <c r="C3045" s="23" t="s">
        <v>8959</v>
      </c>
      <c r="D3045" s="23" t="s">
        <v>3303</v>
      </c>
      <c r="E3045" s="23" t="s">
        <v>3317</v>
      </c>
      <c r="F3045" s="23" t="s">
        <v>3729</v>
      </c>
      <c r="G3045" s="93">
        <v>3</v>
      </c>
      <c r="H3045" s="93">
        <v>1</v>
      </c>
      <c r="I3045" s="23"/>
      <c r="J3045" s="23"/>
      <c r="K3045" s="23"/>
      <c r="L3045" s="23" t="s">
        <v>8951</v>
      </c>
      <c r="M3045" s="23"/>
    </row>
    <row r="3046" spans="2:13" x14ac:dyDescent="0.25">
      <c r="B3046" s="35" t="s">
        <v>8960</v>
      </c>
      <c r="C3046" s="23" t="s">
        <v>8961</v>
      </c>
      <c r="D3046" s="23" t="s">
        <v>3303</v>
      </c>
      <c r="E3046" s="23" t="s">
        <v>3317</v>
      </c>
      <c r="F3046" s="23" t="s">
        <v>3729</v>
      </c>
      <c r="G3046" s="93">
        <v>3</v>
      </c>
      <c r="H3046" s="93">
        <v>1</v>
      </c>
      <c r="I3046" s="23"/>
      <c r="J3046" s="23"/>
      <c r="K3046" s="23"/>
      <c r="L3046" s="23" t="s">
        <v>8951</v>
      </c>
      <c r="M3046" s="23"/>
    </row>
    <row r="3047" spans="2:13" x14ac:dyDescent="0.25">
      <c r="B3047" s="35" t="s">
        <v>8962</v>
      </c>
      <c r="C3047" s="23" t="s">
        <v>8963</v>
      </c>
      <c r="D3047" s="23" t="s">
        <v>3303</v>
      </c>
      <c r="E3047" s="23" t="s">
        <v>3317</v>
      </c>
      <c r="F3047" s="23" t="s">
        <v>3729</v>
      </c>
      <c r="G3047" s="93">
        <v>3</v>
      </c>
      <c r="H3047" s="93">
        <v>1</v>
      </c>
      <c r="I3047" s="23"/>
      <c r="J3047" s="23"/>
      <c r="K3047" s="23"/>
      <c r="L3047" s="23" t="s">
        <v>8951</v>
      </c>
      <c r="M3047" s="23"/>
    </row>
    <row r="3048" spans="2:13" x14ac:dyDescent="0.25">
      <c r="B3048" s="35" t="s">
        <v>8964</v>
      </c>
      <c r="C3048" s="23" t="s">
        <v>8965</v>
      </c>
      <c r="D3048" s="23" t="s">
        <v>3303</v>
      </c>
      <c r="E3048" s="23" t="s">
        <v>3317</v>
      </c>
      <c r="F3048" s="23" t="s">
        <v>3729</v>
      </c>
      <c r="G3048" s="93">
        <v>3</v>
      </c>
      <c r="H3048" s="93">
        <v>1</v>
      </c>
      <c r="I3048" s="23"/>
      <c r="J3048" s="23"/>
      <c r="K3048" s="23"/>
      <c r="L3048" s="23" t="s">
        <v>8951</v>
      </c>
      <c r="M3048" s="23"/>
    </row>
    <row r="3049" spans="2:13" x14ac:dyDescent="0.25">
      <c r="B3049" s="35" t="s">
        <v>8951</v>
      </c>
      <c r="C3049" s="23" t="s">
        <v>8966</v>
      </c>
      <c r="D3049" s="23" t="s">
        <v>3303</v>
      </c>
      <c r="E3049" s="23" t="s">
        <v>3367</v>
      </c>
      <c r="F3049" s="23" t="s">
        <v>3729</v>
      </c>
      <c r="G3049" s="93">
        <v>0</v>
      </c>
      <c r="H3049" s="93">
        <v>0</v>
      </c>
      <c r="I3049" s="23"/>
      <c r="J3049" s="23"/>
      <c r="K3049" s="23"/>
      <c r="L3049" s="23" t="s">
        <v>5741</v>
      </c>
      <c r="M3049" s="23"/>
    </row>
    <row r="3050" spans="2:13" x14ac:dyDescent="0.25">
      <c r="B3050" s="35" t="s">
        <v>8967</v>
      </c>
      <c r="C3050" s="23" t="s">
        <v>8968</v>
      </c>
      <c r="D3050" s="23" t="s">
        <v>3303</v>
      </c>
      <c r="E3050" s="23" t="s">
        <v>3304</v>
      </c>
      <c r="F3050" s="23" t="s">
        <v>3729</v>
      </c>
      <c r="G3050" s="93">
        <v>0</v>
      </c>
      <c r="H3050" s="93">
        <v>0</v>
      </c>
      <c r="I3050" s="23"/>
      <c r="J3050" s="23"/>
      <c r="K3050" s="23"/>
      <c r="L3050" s="23" t="s">
        <v>8969</v>
      </c>
      <c r="M3050" s="23"/>
    </row>
    <row r="3051" spans="2:13" x14ac:dyDescent="0.25">
      <c r="B3051" s="35" t="s">
        <v>8970</v>
      </c>
      <c r="C3051" s="23" t="s">
        <v>8971</v>
      </c>
      <c r="D3051" s="23" t="s">
        <v>3303</v>
      </c>
      <c r="E3051" s="23" t="s">
        <v>3304</v>
      </c>
      <c r="F3051" s="23" t="s">
        <v>3729</v>
      </c>
      <c r="G3051" s="93">
        <v>0</v>
      </c>
      <c r="H3051" s="93">
        <v>0</v>
      </c>
      <c r="I3051" s="23"/>
      <c r="J3051" s="23"/>
      <c r="K3051" s="23"/>
      <c r="L3051" s="23" t="s">
        <v>8972</v>
      </c>
      <c r="M3051" s="23"/>
    </row>
    <row r="3052" spans="2:13" x14ac:dyDescent="0.25">
      <c r="B3052" s="35" t="s">
        <v>8973</v>
      </c>
      <c r="C3052" s="23" t="s">
        <v>8974</v>
      </c>
      <c r="D3052" s="23" t="s">
        <v>3303</v>
      </c>
      <c r="E3052" s="23" t="s">
        <v>3317</v>
      </c>
      <c r="F3052" s="23" t="s">
        <v>3729</v>
      </c>
      <c r="G3052" s="93">
        <v>3</v>
      </c>
      <c r="H3052" s="93">
        <v>0</v>
      </c>
      <c r="I3052" s="23"/>
      <c r="J3052" s="23"/>
      <c r="K3052" s="23"/>
      <c r="L3052" s="23" t="s">
        <v>8972</v>
      </c>
      <c r="M3052" s="23"/>
    </row>
    <row r="3053" spans="2:13" x14ac:dyDescent="0.25">
      <c r="B3053" s="35" t="s">
        <v>8975</v>
      </c>
      <c r="C3053" s="23" t="s">
        <v>8976</v>
      </c>
      <c r="D3053" s="23" t="s">
        <v>3303</v>
      </c>
      <c r="E3053" s="23" t="s">
        <v>3317</v>
      </c>
      <c r="F3053" s="23" t="s">
        <v>3729</v>
      </c>
      <c r="G3053" s="93">
        <v>3</v>
      </c>
      <c r="H3053" s="93">
        <v>0</v>
      </c>
      <c r="I3053" s="23"/>
      <c r="J3053" s="23"/>
      <c r="K3053" s="23"/>
      <c r="L3053" s="23" t="s">
        <v>8972</v>
      </c>
      <c r="M3053" s="23"/>
    </row>
    <row r="3054" spans="2:13" x14ac:dyDescent="0.25">
      <c r="B3054" s="35" t="s">
        <v>8977</v>
      </c>
      <c r="C3054" s="23" t="s">
        <v>8978</v>
      </c>
      <c r="D3054" s="23" t="s">
        <v>3303</v>
      </c>
      <c r="E3054" s="23" t="s">
        <v>3317</v>
      </c>
      <c r="F3054" s="23" t="s">
        <v>3729</v>
      </c>
      <c r="G3054" s="93">
        <v>3</v>
      </c>
      <c r="H3054" s="93">
        <v>0</v>
      </c>
      <c r="I3054" s="23"/>
      <c r="J3054" s="23"/>
      <c r="K3054" s="23"/>
      <c r="L3054" s="23" t="s">
        <v>8972</v>
      </c>
      <c r="M3054" s="23"/>
    </row>
    <row r="3055" spans="2:13" x14ac:dyDescent="0.25">
      <c r="B3055" s="35" t="s">
        <v>8972</v>
      </c>
      <c r="C3055" s="23" t="s">
        <v>8979</v>
      </c>
      <c r="D3055" s="23" t="s">
        <v>3303</v>
      </c>
      <c r="E3055" s="23" t="s">
        <v>3367</v>
      </c>
      <c r="F3055" s="23" t="s">
        <v>3729</v>
      </c>
      <c r="G3055" s="93">
        <v>0</v>
      </c>
      <c r="H3055" s="93">
        <v>0</v>
      </c>
      <c r="I3055" s="23"/>
      <c r="J3055" s="23"/>
      <c r="K3055" s="23"/>
      <c r="L3055" s="23" t="s">
        <v>8969</v>
      </c>
      <c r="M3055" s="23"/>
    </row>
    <row r="3056" spans="2:13" x14ac:dyDescent="0.25">
      <c r="B3056" s="35" t="s">
        <v>8980</v>
      </c>
      <c r="C3056" s="23" t="s">
        <v>8981</v>
      </c>
      <c r="D3056" s="23" t="s">
        <v>3303</v>
      </c>
      <c r="E3056" s="23" t="s">
        <v>3304</v>
      </c>
      <c r="F3056" s="23" t="s">
        <v>3729</v>
      </c>
      <c r="G3056" s="93">
        <v>0</v>
      </c>
      <c r="H3056" s="93">
        <v>1</v>
      </c>
      <c r="I3056" s="23"/>
      <c r="J3056" s="23"/>
      <c r="K3056" s="23"/>
      <c r="L3056" s="23" t="s">
        <v>8982</v>
      </c>
      <c r="M3056" s="23"/>
    </row>
    <row r="3057" spans="2:13" x14ac:dyDescent="0.25">
      <c r="B3057" s="35" t="s">
        <v>8983</v>
      </c>
      <c r="C3057" s="23" t="s">
        <v>8984</v>
      </c>
      <c r="D3057" s="23" t="s">
        <v>3303</v>
      </c>
      <c r="E3057" s="23" t="s">
        <v>3317</v>
      </c>
      <c r="F3057" s="23" t="s">
        <v>3729</v>
      </c>
      <c r="G3057" s="93">
        <v>3</v>
      </c>
      <c r="H3057" s="93">
        <v>1</v>
      </c>
      <c r="I3057" s="23"/>
      <c r="J3057" s="23"/>
      <c r="K3057" s="23"/>
      <c r="L3057" s="23" t="s">
        <v>8982</v>
      </c>
      <c r="M3057" s="23"/>
    </row>
    <row r="3058" spans="2:13" x14ac:dyDescent="0.25">
      <c r="B3058" s="35" t="s">
        <v>2925</v>
      </c>
      <c r="C3058" s="23" t="s">
        <v>8985</v>
      </c>
      <c r="D3058" s="23" t="s">
        <v>3303</v>
      </c>
      <c r="E3058" s="23" t="s">
        <v>3317</v>
      </c>
      <c r="F3058" s="23" t="s">
        <v>3729</v>
      </c>
      <c r="G3058" s="93">
        <v>3</v>
      </c>
      <c r="H3058" s="93">
        <v>1</v>
      </c>
      <c r="I3058" s="23"/>
      <c r="J3058" s="23"/>
      <c r="K3058" s="23"/>
      <c r="L3058" s="23" t="s">
        <v>8982</v>
      </c>
      <c r="M3058" s="23"/>
    </row>
    <row r="3059" spans="2:13" x14ac:dyDescent="0.25">
      <c r="B3059" s="35" t="s">
        <v>2929</v>
      </c>
      <c r="C3059" s="23" t="s">
        <v>8986</v>
      </c>
      <c r="D3059" s="23" t="s">
        <v>3303</v>
      </c>
      <c r="E3059" s="23" t="s">
        <v>3317</v>
      </c>
      <c r="F3059" s="23" t="s">
        <v>3729</v>
      </c>
      <c r="G3059" s="93">
        <v>3</v>
      </c>
      <c r="H3059" s="93">
        <v>1</v>
      </c>
      <c r="I3059" s="23"/>
      <c r="J3059" s="23"/>
      <c r="K3059" s="23"/>
      <c r="L3059" s="23" t="s">
        <v>8982</v>
      </c>
      <c r="M3059" s="23"/>
    </row>
    <row r="3060" spans="2:13" x14ac:dyDescent="0.25">
      <c r="B3060" s="35" t="s">
        <v>2933</v>
      </c>
      <c r="C3060" s="23" t="s">
        <v>8987</v>
      </c>
      <c r="D3060" s="23" t="s">
        <v>3303</v>
      </c>
      <c r="E3060" s="23" t="s">
        <v>3317</v>
      </c>
      <c r="F3060" s="23" t="s">
        <v>3729</v>
      </c>
      <c r="G3060" s="93">
        <v>3</v>
      </c>
      <c r="H3060" s="93">
        <v>1</v>
      </c>
      <c r="I3060" s="23"/>
      <c r="J3060" s="23"/>
      <c r="K3060" s="23"/>
      <c r="L3060" s="23" t="s">
        <v>8982</v>
      </c>
      <c r="M3060" s="23"/>
    </row>
    <row r="3061" spans="2:13" x14ac:dyDescent="0.25">
      <c r="B3061" s="35" t="s">
        <v>2937</v>
      </c>
      <c r="C3061" s="23" t="s">
        <v>8988</v>
      </c>
      <c r="D3061" s="23" t="s">
        <v>3303</v>
      </c>
      <c r="E3061" s="23" t="s">
        <v>3317</v>
      </c>
      <c r="F3061" s="23" t="s">
        <v>3729</v>
      </c>
      <c r="G3061" s="93">
        <v>3</v>
      </c>
      <c r="H3061" s="93">
        <v>1</v>
      </c>
      <c r="I3061" s="23"/>
      <c r="J3061" s="23"/>
      <c r="K3061" s="23"/>
      <c r="L3061" s="23" t="s">
        <v>8982</v>
      </c>
      <c r="M3061" s="23"/>
    </row>
    <row r="3062" spans="2:13" x14ac:dyDescent="0.25">
      <c r="B3062" s="35" t="s">
        <v>2941</v>
      </c>
      <c r="C3062" s="23" t="s">
        <v>8989</v>
      </c>
      <c r="D3062" s="23" t="s">
        <v>3303</v>
      </c>
      <c r="E3062" s="23" t="s">
        <v>3317</v>
      </c>
      <c r="F3062" s="23" t="s">
        <v>3729</v>
      </c>
      <c r="G3062" s="93">
        <v>3</v>
      </c>
      <c r="H3062" s="93">
        <v>1</v>
      </c>
      <c r="I3062" s="23"/>
      <c r="J3062" s="23"/>
      <c r="K3062" s="23"/>
      <c r="L3062" s="23" t="s">
        <v>8982</v>
      </c>
      <c r="M3062" s="23"/>
    </row>
    <row r="3063" spans="2:13" x14ac:dyDescent="0.25">
      <c r="B3063" s="35" t="s">
        <v>2945</v>
      </c>
      <c r="C3063" s="23" t="s">
        <v>8990</v>
      </c>
      <c r="D3063" s="23" t="s">
        <v>3303</v>
      </c>
      <c r="E3063" s="23" t="s">
        <v>3317</v>
      </c>
      <c r="F3063" s="23" t="s">
        <v>3729</v>
      </c>
      <c r="G3063" s="93">
        <v>3</v>
      </c>
      <c r="H3063" s="93">
        <v>1</v>
      </c>
      <c r="I3063" s="23"/>
      <c r="J3063" s="23"/>
      <c r="K3063" s="23"/>
      <c r="L3063" s="23" t="s">
        <v>8982</v>
      </c>
      <c r="M3063" s="23"/>
    </row>
    <row r="3064" spans="2:13" x14ac:dyDescent="0.25">
      <c r="B3064" s="35" t="s">
        <v>2949</v>
      </c>
      <c r="C3064" s="23" t="s">
        <v>8991</v>
      </c>
      <c r="D3064" s="23" t="s">
        <v>3303</v>
      </c>
      <c r="E3064" s="23" t="s">
        <v>3317</v>
      </c>
      <c r="F3064" s="23" t="s">
        <v>3729</v>
      </c>
      <c r="G3064" s="93">
        <v>3</v>
      </c>
      <c r="H3064" s="93">
        <v>1</v>
      </c>
      <c r="I3064" s="23"/>
      <c r="J3064" s="23"/>
      <c r="K3064" s="23"/>
      <c r="L3064" s="23" t="s">
        <v>8982</v>
      </c>
      <c r="M3064" s="23"/>
    </row>
    <row r="3065" spans="2:13" x14ac:dyDescent="0.25">
      <c r="B3065" s="35" t="s">
        <v>2953</v>
      </c>
      <c r="C3065" s="23" t="s">
        <v>8992</v>
      </c>
      <c r="D3065" s="23" t="s">
        <v>3303</v>
      </c>
      <c r="E3065" s="23" t="s">
        <v>3317</v>
      </c>
      <c r="F3065" s="23" t="s">
        <v>3729</v>
      </c>
      <c r="G3065" s="93">
        <v>3</v>
      </c>
      <c r="H3065" s="93">
        <v>1</v>
      </c>
      <c r="I3065" s="23"/>
      <c r="J3065" s="23"/>
      <c r="K3065" s="23"/>
      <c r="L3065" s="23" t="s">
        <v>8982</v>
      </c>
      <c r="M3065" s="23"/>
    </row>
    <row r="3066" spans="2:13" x14ac:dyDescent="0.25">
      <c r="B3066" s="35" t="s">
        <v>2957</v>
      </c>
      <c r="C3066" s="23" t="s">
        <v>8993</v>
      </c>
      <c r="D3066" s="23" t="s">
        <v>3303</v>
      </c>
      <c r="E3066" s="23" t="s">
        <v>3317</v>
      </c>
      <c r="F3066" s="23" t="s">
        <v>3729</v>
      </c>
      <c r="G3066" s="93">
        <v>3</v>
      </c>
      <c r="H3066" s="93">
        <v>1</v>
      </c>
      <c r="I3066" s="23"/>
      <c r="J3066" s="23"/>
      <c r="K3066" s="23"/>
      <c r="L3066" s="23" t="s">
        <v>8982</v>
      </c>
      <c r="M3066" s="23"/>
    </row>
    <row r="3067" spans="2:13" x14ac:dyDescent="0.25">
      <c r="B3067" s="35" t="s">
        <v>2959</v>
      </c>
      <c r="C3067" s="23" t="s">
        <v>8994</v>
      </c>
      <c r="D3067" s="23" t="s">
        <v>3303</v>
      </c>
      <c r="E3067" s="23" t="s">
        <v>3317</v>
      </c>
      <c r="F3067" s="23" t="s">
        <v>3729</v>
      </c>
      <c r="G3067" s="93">
        <v>3</v>
      </c>
      <c r="H3067" s="93">
        <v>1</v>
      </c>
      <c r="I3067" s="23"/>
      <c r="J3067" s="23"/>
      <c r="K3067" s="23"/>
      <c r="L3067" s="23" t="s">
        <v>8982</v>
      </c>
      <c r="M3067" s="23"/>
    </row>
    <row r="3068" spans="2:13" x14ac:dyDescent="0.25">
      <c r="B3068" s="35" t="s">
        <v>2961</v>
      </c>
      <c r="C3068" s="23" t="s">
        <v>8995</v>
      </c>
      <c r="D3068" s="23" t="s">
        <v>3303</v>
      </c>
      <c r="E3068" s="23" t="s">
        <v>3317</v>
      </c>
      <c r="F3068" s="23" t="s">
        <v>3729</v>
      </c>
      <c r="G3068" s="93">
        <v>3</v>
      </c>
      <c r="H3068" s="93">
        <v>1</v>
      </c>
      <c r="I3068" s="23"/>
      <c r="J3068" s="23"/>
      <c r="K3068" s="23"/>
      <c r="L3068" s="23" t="s">
        <v>8982</v>
      </c>
      <c r="M3068" s="23"/>
    </row>
    <row r="3069" spans="2:13" x14ac:dyDescent="0.25">
      <c r="B3069" s="35" t="s">
        <v>2964</v>
      </c>
      <c r="C3069" s="23" t="s">
        <v>2965</v>
      </c>
      <c r="D3069" s="23" t="s">
        <v>3303</v>
      </c>
      <c r="E3069" s="23" t="s">
        <v>3317</v>
      </c>
      <c r="F3069" s="23" t="s">
        <v>3729</v>
      </c>
      <c r="G3069" s="93">
        <v>3</v>
      </c>
      <c r="H3069" s="93">
        <v>1</v>
      </c>
      <c r="I3069" s="23"/>
      <c r="J3069" s="23"/>
      <c r="K3069" s="23"/>
      <c r="L3069" s="23" t="s">
        <v>8982</v>
      </c>
      <c r="M3069" s="23"/>
    </row>
    <row r="3070" spans="2:13" x14ac:dyDescent="0.25">
      <c r="B3070" s="35" t="s">
        <v>2968</v>
      </c>
      <c r="C3070" s="23" t="s">
        <v>8996</v>
      </c>
      <c r="D3070" s="23" t="s">
        <v>3303</v>
      </c>
      <c r="E3070" s="23" t="s">
        <v>3317</v>
      </c>
      <c r="F3070" s="23" t="s">
        <v>3729</v>
      </c>
      <c r="G3070" s="93">
        <v>3</v>
      </c>
      <c r="H3070" s="93">
        <v>1</v>
      </c>
      <c r="I3070" s="23"/>
      <c r="J3070" s="23"/>
      <c r="K3070" s="23"/>
      <c r="L3070" s="23" t="s">
        <v>8982</v>
      </c>
      <c r="M3070" s="23"/>
    </row>
    <row r="3071" spans="2:13" x14ac:dyDescent="0.25">
      <c r="B3071" s="35" t="s">
        <v>8982</v>
      </c>
      <c r="C3071" s="23" t="s">
        <v>8997</v>
      </c>
      <c r="D3071" s="23" t="s">
        <v>3303</v>
      </c>
      <c r="E3071" s="23" t="s">
        <v>3367</v>
      </c>
      <c r="F3071" s="23" t="s">
        <v>3729</v>
      </c>
      <c r="G3071" s="93">
        <v>0</v>
      </c>
      <c r="H3071" s="93">
        <v>1</v>
      </c>
      <c r="I3071" s="23"/>
      <c r="J3071" s="23"/>
      <c r="K3071" s="23"/>
      <c r="L3071" s="23" t="s">
        <v>8969</v>
      </c>
      <c r="M3071" s="23"/>
    </row>
    <row r="3072" spans="2:13" x14ac:dyDescent="0.25">
      <c r="B3072" s="35" t="s">
        <v>8998</v>
      </c>
      <c r="C3072" s="23" t="s">
        <v>8999</v>
      </c>
      <c r="D3072" s="23" t="s">
        <v>3303</v>
      </c>
      <c r="E3072" s="23" t="s">
        <v>3304</v>
      </c>
      <c r="F3072" s="23" t="s">
        <v>3729</v>
      </c>
      <c r="G3072" s="93">
        <v>0</v>
      </c>
      <c r="H3072" s="93">
        <v>0</v>
      </c>
      <c r="I3072" s="23"/>
      <c r="J3072" s="23"/>
      <c r="K3072" s="23"/>
      <c r="L3072" s="23" t="s">
        <v>9000</v>
      </c>
      <c r="M3072" s="23"/>
    </row>
    <row r="3073" spans="2:13" x14ac:dyDescent="0.25">
      <c r="B3073" s="35" t="s">
        <v>9001</v>
      </c>
      <c r="C3073" s="23" t="s">
        <v>9002</v>
      </c>
      <c r="D3073" s="23" t="s">
        <v>3303</v>
      </c>
      <c r="E3073" s="23" t="s">
        <v>3317</v>
      </c>
      <c r="F3073" s="23" t="s">
        <v>3729</v>
      </c>
      <c r="G3073" s="93">
        <v>3</v>
      </c>
      <c r="H3073" s="93">
        <v>0</v>
      </c>
      <c r="I3073" s="23"/>
      <c r="J3073" s="23"/>
      <c r="K3073" s="23"/>
      <c r="L3073" s="23" t="s">
        <v>9000</v>
      </c>
      <c r="M3073" s="23"/>
    </row>
    <row r="3074" spans="2:13" x14ac:dyDescent="0.25">
      <c r="B3074" s="35" t="s">
        <v>9003</v>
      </c>
      <c r="C3074" s="23" t="s">
        <v>9004</v>
      </c>
      <c r="D3074" s="23" t="s">
        <v>3303</v>
      </c>
      <c r="E3074" s="23" t="s">
        <v>3317</v>
      </c>
      <c r="F3074" s="23" t="s">
        <v>3729</v>
      </c>
      <c r="G3074" s="93">
        <v>3</v>
      </c>
      <c r="H3074" s="93">
        <v>1</v>
      </c>
      <c r="I3074" s="23"/>
      <c r="J3074" s="23"/>
      <c r="K3074" s="23"/>
      <c r="L3074" s="23" t="s">
        <v>9000</v>
      </c>
      <c r="M3074" s="23"/>
    </row>
    <row r="3075" spans="2:13" x14ac:dyDescent="0.25">
      <c r="B3075" s="35" t="s">
        <v>9005</v>
      </c>
      <c r="C3075" s="23" t="s">
        <v>9006</v>
      </c>
      <c r="D3075" s="23" t="s">
        <v>3303</v>
      </c>
      <c r="E3075" s="23" t="s">
        <v>3317</v>
      </c>
      <c r="F3075" s="23" t="s">
        <v>3729</v>
      </c>
      <c r="G3075" s="93">
        <v>3</v>
      </c>
      <c r="H3075" s="93">
        <v>1</v>
      </c>
      <c r="I3075" s="23"/>
      <c r="J3075" s="23"/>
      <c r="K3075" s="23"/>
      <c r="L3075" s="23" t="s">
        <v>9000</v>
      </c>
      <c r="M3075" s="23"/>
    </row>
    <row r="3076" spans="2:13" x14ac:dyDescent="0.25">
      <c r="B3076" s="35" t="s">
        <v>9007</v>
      </c>
      <c r="C3076" s="23" t="s">
        <v>9008</v>
      </c>
      <c r="D3076" s="23" t="s">
        <v>3303</v>
      </c>
      <c r="E3076" s="23" t="s">
        <v>3317</v>
      </c>
      <c r="F3076" s="23" t="s">
        <v>3729</v>
      </c>
      <c r="G3076" s="93">
        <v>3</v>
      </c>
      <c r="H3076" s="93">
        <v>0</v>
      </c>
      <c r="I3076" s="23"/>
      <c r="J3076" s="23"/>
      <c r="K3076" s="23"/>
      <c r="L3076" s="23" t="s">
        <v>9000</v>
      </c>
      <c r="M3076" s="23"/>
    </row>
    <row r="3077" spans="2:13" x14ac:dyDescent="0.25">
      <c r="B3077" s="35" t="s">
        <v>9009</v>
      </c>
      <c r="C3077" s="23" t="s">
        <v>9010</v>
      </c>
      <c r="D3077" s="23" t="s">
        <v>3303</v>
      </c>
      <c r="E3077" s="23" t="s">
        <v>3317</v>
      </c>
      <c r="F3077" s="23" t="s">
        <v>3729</v>
      </c>
      <c r="G3077" s="93">
        <v>3</v>
      </c>
      <c r="H3077" s="93">
        <v>0</v>
      </c>
      <c r="I3077" s="23"/>
      <c r="J3077" s="23"/>
      <c r="K3077" s="23"/>
      <c r="L3077" s="23" t="s">
        <v>9000</v>
      </c>
      <c r="M3077" s="23"/>
    </row>
    <row r="3078" spans="2:13" x14ac:dyDescent="0.25">
      <c r="B3078" s="35" t="s">
        <v>9000</v>
      </c>
      <c r="C3078" s="23" t="s">
        <v>9011</v>
      </c>
      <c r="D3078" s="23" t="s">
        <v>3303</v>
      </c>
      <c r="E3078" s="23" t="s">
        <v>3367</v>
      </c>
      <c r="F3078" s="23" t="s">
        <v>3729</v>
      </c>
      <c r="G3078" s="93">
        <v>0</v>
      </c>
      <c r="H3078" s="93">
        <v>0</v>
      </c>
      <c r="I3078" s="23"/>
      <c r="J3078" s="23"/>
      <c r="K3078" s="23"/>
      <c r="L3078" s="23" t="s">
        <v>8969</v>
      </c>
      <c r="M3078" s="23"/>
    </row>
    <row r="3079" spans="2:13" x14ac:dyDescent="0.25">
      <c r="B3079" s="35" t="s">
        <v>8969</v>
      </c>
      <c r="C3079" s="23" t="s">
        <v>9012</v>
      </c>
      <c r="D3079" s="23" t="s">
        <v>3303</v>
      </c>
      <c r="E3079" s="23" t="s">
        <v>3367</v>
      </c>
      <c r="F3079" s="23" t="s">
        <v>3729</v>
      </c>
      <c r="G3079" s="93">
        <v>0</v>
      </c>
      <c r="H3079" s="93">
        <v>0</v>
      </c>
      <c r="I3079" s="23"/>
      <c r="J3079" s="23"/>
      <c r="K3079" s="23"/>
      <c r="L3079" s="23" t="s">
        <v>5741</v>
      </c>
      <c r="M3079" s="23"/>
    </row>
    <row r="3080" spans="2:13" x14ac:dyDescent="0.25">
      <c r="B3080" s="35" t="s">
        <v>9013</v>
      </c>
      <c r="C3080" s="23" t="s">
        <v>9014</v>
      </c>
      <c r="D3080" s="23" t="s">
        <v>3303</v>
      </c>
      <c r="E3080" s="23" t="s">
        <v>3304</v>
      </c>
      <c r="F3080" s="23" t="s">
        <v>3729</v>
      </c>
      <c r="G3080" s="93">
        <v>0</v>
      </c>
      <c r="H3080" s="93">
        <v>0</v>
      </c>
      <c r="I3080" s="23"/>
      <c r="J3080" s="23"/>
      <c r="K3080" s="23"/>
      <c r="L3080" s="23" t="s">
        <v>9015</v>
      </c>
      <c r="M3080" s="23"/>
    </row>
    <row r="3081" spans="2:13" x14ac:dyDescent="0.25">
      <c r="B3081" s="35" t="s">
        <v>9016</v>
      </c>
      <c r="C3081" s="23" t="s">
        <v>9017</v>
      </c>
      <c r="D3081" s="23" t="s">
        <v>3303</v>
      </c>
      <c r="E3081" s="23" t="s">
        <v>3304</v>
      </c>
      <c r="F3081" s="23" t="s">
        <v>3729</v>
      </c>
      <c r="G3081" s="93">
        <v>0</v>
      </c>
      <c r="H3081" s="93">
        <v>0</v>
      </c>
      <c r="I3081" s="23"/>
      <c r="J3081" s="23"/>
      <c r="K3081" s="23"/>
      <c r="L3081" s="23" t="s">
        <v>9018</v>
      </c>
      <c r="M3081" s="23"/>
    </row>
    <row r="3082" spans="2:13" x14ac:dyDescent="0.25">
      <c r="B3082" s="35" t="s">
        <v>3223</v>
      </c>
      <c r="C3082" s="23" t="s">
        <v>3224</v>
      </c>
      <c r="D3082" s="23" t="s">
        <v>3303</v>
      </c>
      <c r="E3082" s="23" t="s">
        <v>3317</v>
      </c>
      <c r="F3082" s="23" t="s">
        <v>3729</v>
      </c>
      <c r="G3082" s="93">
        <v>3</v>
      </c>
      <c r="H3082" s="93">
        <v>0</v>
      </c>
      <c r="I3082" s="23"/>
      <c r="J3082" s="23"/>
      <c r="K3082" s="23"/>
      <c r="L3082" s="23" t="s">
        <v>9018</v>
      </c>
      <c r="M3082" s="23"/>
    </row>
    <row r="3083" spans="2:13" x14ac:dyDescent="0.25">
      <c r="B3083" s="35" t="s">
        <v>9019</v>
      </c>
      <c r="C3083" s="23" t="s">
        <v>9020</v>
      </c>
      <c r="D3083" s="23" t="s">
        <v>3303</v>
      </c>
      <c r="E3083" s="23" t="s">
        <v>3317</v>
      </c>
      <c r="F3083" s="23" t="s">
        <v>3729</v>
      </c>
      <c r="G3083" s="93">
        <v>3</v>
      </c>
      <c r="H3083" s="93">
        <v>0</v>
      </c>
      <c r="I3083" s="23"/>
      <c r="J3083" s="23"/>
      <c r="K3083" s="23"/>
      <c r="L3083" s="23" t="s">
        <v>9018</v>
      </c>
      <c r="M3083" s="23"/>
    </row>
    <row r="3084" spans="2:13" x14ac:dyDescent="0.25">
      <c r="B3084" s="35" t="s">
        <v>9021</v>
      </c>
      <c r="C3084" s="23" t="s">
        <v>9022</v>
      </c>
      <c r="D3084" s="23" t="s">
        <v>3303</v>
      </c>
      <c r="E3084" s="23" t="s">
        <v>3317</v>
      </c>
      <c r="F3084" s="23" t="s">
        <v>3729</v>
      </c>
      <c r="G3084" s="93">
        <v>3</v>
      </c>
      <c r="H3084" s="93">
        <v>0</v>
      </c>
      <c r="I3084" s="23"/>
      <c r="J3084" s="23"/>
      <c r="K3084" s="23"/>
      <c r="L3084" s="23" t="s">
        <v>9018</v>
      </c>
      <c r="M3084" s="23"/>
    </row>
    <row r="3085" spans="2:13" x14ac:dyDescent="0.25">
      <c r="B3085" s="35" t="s">
        <v>9023</v>
      </c>
      <c r="C3085" s="23" t="s">
        <v>9024</v>
      </c>
      <c r="D3085" s="23" t="s">
        <v>3303</v>
      </c>
      <c r="E3085" s="23" t="s">
        <v>3317</v>
      </c>
      <c r="F3085" s="23" t="s">
        <v>3729</v>
      </c>
      <c r="G3085" s="93">
        <v>3</v>
      </c>
      <c r="H3085" s="93">
        <v>0</v>
      </c>
      <c r="I3085" s="23"/>
      <c r="J3085" s="23"/>
      <c r="K3085" s="23"/>
      <c r="L3085" s="23" t="s">
        <v>9018</v>
      </c>
      <c r="M3085" s="23"/>
    </row>
    <row r="3086" spans="2:13" x14ac:dyDescent="0.25">
      <c r="B3086" s="35" t="s">
        <v>9018</v>
      </c>
      <c r="C3086" s="23" t="s">
        <v>9025</v>
      </c>
      <c r="D3086" s="23" t="s">
        <v>3303</v>
      </c>
      <c r="E3086" s="23" t="s">
        <v>3367</v>
      </c>
      <c r="F3086" s="23" t="s">
        <v>3729</v>
      </c>
      <c r="G3086" s="93">
        <v>0</v>
      </c>
      <c r="H3086" s="93">
        <v>0</v>
      </c>
      <c r="I3086" s="23"/>
      <c r="J3086" s="23"/>
      <c r="K3086" s="23"/>
      <c r="L3086" s="23" t="s">
        <v>9015</v>
      </c>
      <c r="M3086" s="23"/>
    </row>
    <row r="3087" spans="2:13" x14ac:dyDescent="0.25">
      <c r="B3087" s="35" t="s">
        <v>9026</v>
      </c>
      <c r="C3087" s="23" t="s">
        <v>9027</v>
      </c>
      <c r="D3087" s="23" t="s">
        <v>3303</v>
      </c>
      <c r="E3087" s="23" t="s">
        <v>3304</v>
      </c>
      <c r="F3087" s="23" t="s">
        <v>3729</v>
      </c>
      <c r="G3087" s="93">
        <v>0</v>
      </c>
      <c r="H3087" s="93">
        <v>1</v>
      </c>
      <c r="I3087" s="23"/>
      <c r="J3087" s="23"/>
      <c r="K3087" s="23"/>
      <c r="L3087" s="23" t="s">
        <v>9028</v>
      </c>
      <c r="M3087" s="23"/>
    </row>
    <row r="3088" spans="2:13" x14ac:dyDescent="0.25">
      <c r="B3088" s="35" t="s">
        <v>2927</v>
      </c>
      <c r="C3088" s="23" t="s">
        <v>9029</v>
      </c>
      <c r="D3088" s="23" t="s">
        <v>3303</v>
      </c>
      <c r="E3088" s="23" t="s">
        <v>3317</v>
      </c>
      <c r="F3088" s="23" t="s">
        <v>3729</v>
      </c>
      <c r="G3088" s="93">
        <v>3</v>
      </c>
      <c r="H3088" s="93">
        <v>1</v>
      </c>
      <c r="I3088" s="23"/>
      <c r="J3088" s="23"/>
      <c r="K3088" s="23"/>
      <c r="L3088" s="23" t="s">
        <v>9028</v>
      </c>
      <c r="M3088" s="23"/>
    </row>
    <row r="3089" spans="2:13" x14ac:dyDescent="0.25">
      <c r="B3089" s="35" t="s">
        <v>2931</v>
      </c>
      <c r="C3089" s="23" t="s">
        <v>9030</v>
      </c>
      <c r="D3089" s="23" t="s">
        <v>3303</v>
      </c>
      <c r="E3089" s="23" t="s">
        <v>3317</v>
      </c>
      <c r="F3089" s="23" t="s">
        <v>3729</v>
      </c>
      <c r="G3089" s="93">
        <v>3</v>
      </c>
      <c r="H3089" s="93">
        <v>1</v>
      </c>
      <c r="I3089" s="23"/>
      <c r="J3089" s="23"/>
      <c r="K3089" s="23"/>
      <c r="L3089" s="23" t="s">
        <v>9028</v>
      </c>
      <c r="M3089" s="23"/>
    </row>
    <row r="3090" spans="2:13" x14ac:dyDescent="0.25">
      <c r="B3090" s="35" t="s">
        <v>2935</v>
      </c>
      <c r="C3090" s="23" t="s">
        <v>9031</v>
      </c>
      <c r="D3090" s="23" t="s">
        <v>3303</v>
      </c>
      <c r="E3090" s="23" t="s">
        <v>3317</v>
      </c>
      <c r="F3090" s="23" t="s">
        <v>3729</v>
      </c>
      <c r="G3090" s="93">
        <v>3</v>
      </c>
      <c r="H3090" s="93">
        <v>1</v>
      </c>
      <c r="I3090" s="23"/>
      <c r="J3090" s="23"/>
      <c r="K3090" s="23"/>
      <c r="L3090" s="23" t="s">
        <v>9028</v>
      </c>
      <c r="M3090" s="23"/>
    </row>
    <row r="3091" spans="2:13" x14ac:dyDescent="0.25">
      <c r="B3091" s="35" t="s">
        <v>2939</v>
      </c>
      <c r="C3091" s="23" t="s">
        <v>9032</v>
      </c>
      <c r="D3091" s="23" t="s">
        <v>3303</v>
      </c>
      <c r="E3091" s="23" t="s">
        <v>3317</v>
      </c>
      <c r="F3091" s="23" t="s">
        <v>3729</v>
      </c>
      <c r="G3091" s="93">
        <v>3</v>
      </c>
      <c r="H3091" s="93">
        <v>1</v>
      </c>
      <c r="I3091" s="23"/>
      <c r="J3091" s="23"/>
      <c r="K3091" s="23"/>
      <c r="L3091" s="23" t="s">
        <v>9028</v>
      </c>
      <c r="M3091" s="23"/>
    </row>
    <row r="3092" spans="2:13" x14ac:dyDescent="0.25">
      <c r="B3092" s="35" t="s">
        <v>2943</v>
      </c>
      <c r="C3092" s="23" t="s">
        <v>3226</v>
      </c>
      <c r="D3092" s="23" t="s">
        <v>3303</v>
      </c>
      <c r="E3092" s="23" t="s">
        <v>3317</v>
      </c>
      <c r="F3092" s="23" t="s">
        <v>3729</v>
      </c>
      <c r="G3092" s="93">
        <v>3</v>
      </c>
      <c r="H3092" s="93">
        <v>1</v>
      </c>
      <c r="I3092" s="23"/>
      <c r="J3092" s="23"/>
      <c r="K3092" s="23"/>
      <c r="L3092" s="23" t="s">
        <v>9028</v>
      </c>
      <c r="M3092" s="23"/>
    </row>
    <row r="3093" spans="2:13" x14ac:dyDescent="0.25">
      <c r="B3093" s="35" t="s">
        <v>2947</v>
      </c>
      <c r="C3093" s="23" t="s">
        <v>9033</v>
      </c>
      <c r="D3093" s="23" t="s">
        <v>3303</v>
      </c>
      <c r="E3093" s="23" t="s">
        <v>3317</v>
      </c>
      <c r="F3093" s="23" t="s">
        <v>3729</v>
      </c>
      <c r="G3093" s="93">
        <v>3</v>
      </c>
      <c r="H3093" s="93">
        <v>1</v>
      </c>
      <c r="I3093" s="23"/>
      <c r="J3093" s="23"/>
      <c r="K3093" s="23"/>
      <c r="L3093" s="23" t="s">
        <v>9028</v>
      </c>
      <c r="M3093" s="23"/>
    </row>
    <row r="3094" spans="2:13" x14ac:dyDescent="0.25">
      <c r="B3094" s="35" t="s">
        <v>2951</v>
      </c>
      <c r="C3094" s="23" t="s">
        <v>9034</v>
      </c>
      <c r="D3094" s="23" t="s">
        <v>3303</v>
      </c>
      <c r="E3094" s="23" t="s">
        <v>3317</v>
      </c>
      <c r="F3094" s="23" t="s">
        <v>3729</v>
      </c>
      <c r="G3094" s="93">
        <v>3</v>
      </c>
      <c r="H3094" s="93">
        <v>1</v>
      </c>
      <c r="I3094" s="23"/>
      <c r="J3094" s="23"/>
      <c r="K3094" s="23"/>
      <c r="L3094" s="23" t="s">
        <v>9028</v>
      </c>
      <c r="M3094" s="23"/>
    </row>
    <row r="3095" spans="2:13" x14ac:dyDescent="0.25">
      <c r="B3095" s="35" t="s">
        <v>2955</v>
      </c>
      <c r="C3095" s="23" t="s">
        <v>9035</v>
      </c>
      <c r="D3095" s="23" t="s">
        <v>3303</v>
      </c>
      <c r="E3095" s="23" t="s">
        <v>3317</v>
      </c>
      <c r="F3095" s="23" t="s">
        <v>3729</v>
      </c>
      <c r="G3095" s="93">
        <v>3</v>
      </c>
      <c r="H3095" s="93">
        <v>1</v>
      </c>
      <c r="I3095" s="23"/>
      <c r="J3095" s="23"/>
      <c r="K3095" s="23"/>
      <c r="L3095" s="23" t="s">
        <v>9028</v>
      </c>
      <c r="M3095" s="23"/>
    </row>
    <row r="3096" spans="2:13" x14ac:dyDescent="0.25">
      <c r="B3096" s="35" t="s">
        <v>2972</v>
      </c>
      <c r="C3096" s="23" t="s">
        <v>8994</v>
      </c>
      <c r="D3096" s="23" t="s">
        <v>3303</v>
      </c>
      <c r="E3096" s="23" t="s">
        <v>3317</v>
      </c>
      <c r="F3096" s="23" t="s">
        <v>3729</v>
      </c>
      <c r="G3096" s="93">
        <v>3</v>
      </c>
      <c r="H3096" s="93">
        <v>1</v>
      </c>
      <c r="I3096" s="23"/>
      <c r="J3096" s="23"/>
      <c r="K3096" s="23"/>
      <c r="L3096" s="23" t="s">
        <v>9028</v>
      </c>
      <c r="M3096" s="23"/>
    </row>
    <row r="3097" spans="2:13" x14ac:dyDescent="0.25">
      <c r="B3097" s="35" t="s">
        <v>2973</v>
      </c>
      <c r="C3097" s="23" t="s">
        <v>9036</v>
      </c>
      <c r="D3097" s="23" t="s">
        <v>3303</v>
      </c>
      <c r="E3097" s="23" t="s">
        <v>3317</v>
      </c>
      <c r="F3097" s="23" t="s">
        <v>3729</v>
      </c>
      <c r="G3097" s="93">
        <v>3</v>
      </c>
      <c r="H3097" s="93">
        <v>1</v>
      </c>
      <c r="I3097" s="23"/>
      <c r="J3097" s="23"/>
      <c r="K3097" s="23"/>
      <c r="L3097" s="23" t="s">
        <v>9028</v>
      </c>
      <c r="M3097" s="23"/>
    </row>
    <row r="3098" spans="2:13" x14ac:dyDescent="0.25">
      <c r="B3098" s="35" t="s">
        <v>2963</v>
      </c>
      <c r="C3098" s="23" t="s">
        <v>8995</v>
      </c>
      <c r="D3098" s="23" t="s">
        <v>3303</v>
      </c>
      <c r="E3098" s="23" t="s">
        <v>3317</v>
      </c>
      <c r="F3098" s="23" t="s">
        <v>3729</v>
      </c>
      <c r="G3098" s="93">
        <v>3</v>
      </c>
      <c r="H3098" s="93">
        <v>1</v>
      </c>
      <c r="I3098" s="23"/>
      <c r="J3098" s="23"/>
      <c r="K3098" s="23"/>
      <c r="L3098" s="23" t="s">
        <v>9028</v>
      </c>
      <c r="M3098" s="23"/>
    </row>
    <row r="3099" spans="2:13" x14ac:dyDescent="0.25">
      <c r="B3099" s="35" t="s">
        <v>2966</v>
      </c>
      <c r="C3099" s="23" t="s">
        <v>2967</v>
      </c>
      <c r="D3099" s="23" t="s">
        <v>3303</v>
      </c>
      <c r="E3099" s="23" t="s">
        <v>3317</v>
      </c>
      <c r="F3099" s="23" t="s">
        <v>3729</v>
      </c>
      <c r="G3099" s="93">
        <v>3</v>
      </c>
      <c r="H3099" s="93">
        <v>1</v>
      </c>
      <c r="I3099" s="23"/>
      <c r="J3099" s="23"/>
      <c r="K3099" s="23"/>
      <c r="L3099" s="23" t="s">
        <v>9028</v>
      </c>
      <c r="M3099" s="23"/>
    </row>
    <row r="3100" spans="2:13" x14ac:dyDescent="0.25">
      <c r="B3100" s="35" t="s">
        <v>2907</v>
      </c>
      <c r="C3100" s="23" t="s">
        <v>2908</v>
      </c>
      <c r="D3100" s="23" t="s">
        <v>3303</v>
      </c>
      <c r="E3100" s="23" t="s">
        <v>3317</v>
      </c>
      <c r="F3100" s="23" t="s">
        <v>3729</v>
      </c>
      <c r="G3100" s="93">
        <v>3</v>
      </c>
      <c r="H3100" s="93">
        <v>1</v>
      </c>
      <c r="I3100" s="23"/>
      <c r="J3100" s="23"/>
      <c r="K3100" s="23"/>
      <c r="L3100" s="23" t="s">
        <v>9028</v>
      </c>
      <c r="M3100" s="23"/>
    </row>
    <row r="3101" spans="2:13" x14ac:dyDescent="0.25">
      <c r="B3101" s="35" t="s">
        <v>2970</v>
      </c>
      <c r="C3101" s="23" t="s">
        <v>9037</v>
      </c>
      <c r="D3101" s="23" t="s">
        <v>3303</v>
      </c>
      <c r="E3101" s="23" t="s">
        <v>3317</v>
      </c>
      <c r="F3101" s="23" t="s">
        <v>3729</v>
      </c>
      <c r="G3101" s="93">
        <v>3</v>
      </c>
      <c r="H3101" s="93">
        <v>1</v>
      </c>
      <c r="I3101" s="23"/>
      <c r="J3101" s="23"/>
      <c r="K3101" s="23"/>
      <c r="L3101" s="23" t="s">
        <v>9028</v>
      </c>
      <c r="M3101" s="23"/>
    </row>
    <row r="3102" spans="2:13" x14ac:dyDescent="0.25">
      <c r="B3102" s="35" t="s">
        <v>9028</v>
      </c>
      <c r="C3102" s="23" t="s">
        <v>9038</v>
      </c>
      <c r="D3102" s="23" t="s">
        <v>3303</v>
      </c>
      <c r="E3102" s="23" t="s">
        <v>3367</v>
      </c>
      <c r="F3102" s="23" t="s">
        <v>3729</v>
      </c>
      <c r="G3102" s="93">
        <v>0</v>
      </c>
      <c r="H3102" s="93">
        <v>1</v>
      </c>
      <c r="I3102" s="23"/>
      <c r="J3102" s="23"/>
      <c r="K3102" s="23"/>
      <c r="L3102" s="23" t="s">
        <v>9015</v>
      </c>
      <c r="M3102" s="23"/>
    </row>
    <row r="3103" spans="2:13" x14ac:dyDescent="0.25">
      <c r="B3103" s="35" t="s">
        <v>9039</v>
      </c>
      <c r="C3103" s="23" t="s">
        <v>9040</v>
      </c>
      <c r="D3103" s="23" t="s">
        <v>3303</v>
      </c>
      <c r="E3103" s="23" t="s">
        <v>3304</v>
      </c>
      <c r="F3103" s="23" t="s">
        <v>3729</v>
      </c>
      <c r="G3103" s="93">
        <v>0</v>
      </c>
      <c r="H3103" s="93">
        <v>0</v>
      </c>
      <c r="I3103" s="23"/>
      <c r="J3103" s="23"/>
      <c r="K3103" s="23"/>
      <c r="L3103" s="23" t="s">
        <v>9041</v>
      </c>
      <c r="M3103" s="23"/>
    </row>
    <row r="3104" spans="2:13" x14ac:dyDescent="0.25">
      <c r="B3104" s="35" t="s">
        <v>9042</v>
      </c>
      <c r="C3104" s="23" t="s">
        <v>9043</v>
      </c>
      <c r="D3104" s="23" t="s">
        <v>3303</v>
      </c>
      <c r="E3104" s="23" t="s">
        <v>3304</v>
      </c>
      <c r="F3104" s="23" t="s">
        <v>3729</v>
      </c>
      <c r="G3104" s="93">
        <v>0</v>
      </c>
      <c r="H3104" s="93">
        <v>0</v>
      </c>
      <c r="I3104" s="23"/>
      <c r="J3104" s="23"/>
      <c r="K3104" s="23"/>
      <c r="L3104" s="23" t="s">
        <v>9044</v>
      </c>
      <c r="M3104" s="23"/>
    </row>
    <row r="3105" spans="2:13" x14ac:dyDescent="0.25">
      <c r="B3105" s="35" t="s">
        <v>9045</v>
      </c>
      <c r="C3105" s="23" t="s">
        <v>9046</v>
      </c>
      <c r="D3105" s="23" t="s">
        <v>3303</v>
      </c>
      <c r="E3105" s="23" t="s">
        <v>3317</v>
      </c>
      <c r="F3105" s="23" t="s">
        <v>3729</v>
      </c>
      <c r="G3105" s="93">
        <v>3</v>
      </c>
      <c r="H3105" s="93">
        <v>1</v>
      </c>
      <c r="I3105" s="23"/>
      <c r="J3105" s="23"/>
      <c r="K3105" s="23"/>
      <c r="L3105" s="23" t="s">
        <v>9044</v>
      </c>
      <c r="M3105" s="23"/>
    </row>
    <row r="3106" spans="2:13" x14ac:dyDescent="0.25">
      <c r="B3106" s="35" t="s">
        <v>9047</v>
      </c>
      <c r="C3106" s="23" t="s">
        <v>9048</v>
      </c>
      <c r="D3106" s="23" t="s">
        <v>3303</v>
      </c>
      <c r="E3106" s="23" t="s">
        <v>3317</v>
      </c>
      <c r="F3106" s="23" t="s">
        <v>3729</v>
      </c>
      <c r="G3106" s="93">
        <v>3</v>
      </c>
      <c r="H3106" s="93">
        <v>1</v>
      </c>
      <c r="I3106" s="23"/>
      <c r="J3106" s="23"/>
      <c r="K3106" s="23"/>
      <c r="L3106" s="23" t="s">
        <v>9044</v>
      </c>
      <c r="M3106" s="23" t="s">
        <v>3694</v>
      </c>
    </row>
    <row r="3107" spans="2:13" x14ac:dyDescent="0.25">
      <c r="B3107" s="35" t="s">
        <v>9049</v>
      </c>
      <c r="C3107" s="23" t="s">
        <v>9050</v>
      </c>
      <c r="D3107" s="23" t="s">
        <v>3303</v>
      </c>
      <c r="E3107" s="23" t="s">
        <v>3317</v>
      </c>
      <c r="F3107" s="23" t="s">
        <v>3729</v>
      </c>
      <c r="G3107" s="93">
        <v>3</v>
      </c>
      <c r="H3107" s="93">
        <v>1</v>
      </c>
      <c r="I3107" s="23"/>
      <c r="J3107" s="23"/>
      <c r="K3107" s="23"/>
      <c r="L3107" s="23" t="s">
        <v>9044</v>
      </c>
      <c r="M3107" s="23" t="s">
        <v>3694</v>
      </c>
    </row>
    <row r="3108" spans="2:13" x14ac:dyDescent="0.25">
      <c r="B3108" s="35" t="s">
        <v>3227</v>
      </c>
      <c r="C3108" s="23" t="s">
        <v>3228</v>
      </c>
      <c r="D3108" s="23" t="s">
        <v>3303</v>
      </c>
      <c r="E3108" s="23" t="s">
        <v>3317</v>
      </c>
      <c r="F3108" s="23" t="s">
        <v>3729</v>
      </c>
      <c r="G3108" s="93">
        <v>3</v>
      </c>
      <c r="H3108" s="93">
        <v>1</v>
      </c>
      <c r="I3108" s="23"/>
      <c r="J3108" s="23"/>
      <c r="K3108" s="23"/>
      <c r="L3108" s="23" t="s">
        <v>9044</v>
      </c>
      <c r="M3108" s="23"/>
    </row>
    <row r="3109" spans="2:13" x14ac:dyDescent="0.25">
      <c r="B3109" s="35" t="s">
        <v>9051</v>
      </c>
      <c r="C3109" s="23" t="s">
        <v>9052</v>
      </c>
      <c r="D3109" s="23" t="s">
        <v>3303</v>
      </c>
      <c r="E3109" s="23" t="s">
        <v>3317</v>
      </c>
      <c r="F3109" s="23" t="s">
        <v>3729</v>
      </c>
      <c r="G3109" s="93">
        <v>3</v>
      </c>
      <c r="H3109" s="93">
        <v>1</v>
      </c>
      <c r="I3109" s="23"/>
      <c r="J3109" s="23"/>
      <c r="K3109" s="23"/>
      <c r="L3109" s="23" t="s">
        <v>9044</v>
      </c>
      <c r="M3109" s="23" t="s">
        <v>3694</v>
      </c>
    </row>
    <row r="3110" spans="2:13" x14ac:dyDescent="0.25">
      <c r="B3110" s="35" t="s">
        <v>9053</v>
      </c>
      <c r="C3110" s="23" t="s">
        <v>9054</v>
      </c>
      <c r="D3110" s="23" t="s">
        <v>3303</v>
      </c>
      <c r="E3110" s="23" t="s">
        <v>3317</v>
      </c>
      <c r="F3110" s="23" t="s">
        <v>3729</v>
      </c>
      <c r="G3110" s="93">
        <v>3</v>
      </c>
      <c r="H3110" s="93">
        <v>1</v>
      </c>
      <c r="I3110" s="23"/>
      <c r="J3110" s="23"/>
      <c r="K3110" s="23"/>
      <c r="L3110" s="23" t="s">
        <v>9044</v>
      </c>
      <c r="M3110" s="23" t="s">
        <v>3694</v>
      </c>
    </row>
    <row r="3111" spans="2:13" x14ac:dyDescent="0.25">
      <c r="B3111" s="35" t="s">
        <v>3229</v>
      </c>
      <c r="C3111" s="23" t="s">
        <v>3230</v>
      </c>
      <c r="D3111" s="23" t="s">
        <v>3303</v>
      </c>
      <c r="E3111" s="23" t="s">
        <v>3317</v>
      </c>
      <c r="F3111" s="23" t="s">
        <v>3729</v>
      </c>
      <c r="G3111" s="93">
        <v>3</v>
      </c>
      <c r="H3111" s="93">
        <v>1</v>
      </c>
      <c r="I3111" s="23"/>
      <c r="J3111" s="23"/>
      <c r="K3111" s="23"/>
      <c r="L3111" s="23" t="s">
        <v>9044</v>
      </c>
      <c r="M3111" s="23"/>
    </row>
    <row r="3112" spans="2:13" x14ac:dyDescent="0.25">
      <c r="B3112" s="35" t="s">
        <v>9055</v>
      </c>
      <c r="C3112" s="23" t="s">
        <v>9056</v>
      </c>
      <c r="D3112" s="23" t="s">
        <v>3303</v>
      </c>
      <c r="E3112" s="23" t="s">
        <v>3317</v>
      </c>
      <c r="F3112" s="23" t="s">
        <v>3729</v>
      </c>
      <c r="G3112" s="93">
        <v>3</v>
      </c>
      <c r="H3112" s="93">
        <v>1</v>
      </c>
      <c r="I3112" s="23"/>
      <c r="J3112" s="23"/>
      <c r="K3112" s="23"/>
      <c r="L3112" s="23" t="s">
        <v>9044</v>
      </c>
      <c r="M3112" s="23" t="s">
        <v>3694</v>
      </c>
    </row>
    <row r="3113" spans="2:13" x14ac:dyDescent="0.25">
      <c r="B3113" s="35" t="s">
        <v>9057</v>
      </c>
      <c r="C3113" s="23" t="s">
        <v>9058</v>
      </c>
      <c r="D3113" s="23" t="s">
        <v>3303</v>
      </c>
      <c r="E3113" s="23" t="s">
        <v>3317</v>
      </c>
      <c r="F3113" s="23" t="s">
        <v>3729</v>
      </c>
      <c r="G3113" s="93">
        <v>3</v>
      </c>
      <c r="H3113" s="93">
        <v>1</v>
      </c>
      <c r="I3113" s="23"/>
      <c r="J3113" s="23"/>
      <c r="K3113" s="23"/>
      <c r="L3113" s="23" t="s">
        <v>9044</v>
      </c>
      <c r="M3113" s="23" t="s">
        <v>3694</v>
      </c>
    </row>
    <row r="3114" spans="2:13" x14ac:dyDescent="0.25">
      <c r="B3114" s="35" t="s">
        <v>3231</v>
      </c>
      <c r="C3114" s="23" t="s">
        <v>3232</v>
      </c>
      <c r="D3114" s="23" t="s">
        <v>3303</v>
      </c>
      <c r="E3114" s="23" t="s">
        <v>3317</v>
      </c>
      <c r="F3114" s="23" t="s">
        <v>3729</v>
      </c>
      <c r="G3114" s="93">
        <v>3</v>
      </c>
      <c r="H3114" s="93">
        <v>1</v>
      </c>
      <c r="I3114" s="23"/>
      <c r="J3114" s="23"/>
      <c r="K3114" s="23"/>
      <c r="L3114" s="23" t="s">
        <v>9044</v>
      </c>
      <c r="M3114" s="23"/>
    </row>
    <row r="3115" spans="2:13" x14ac:dyDescent="0.25">
      <c r="B3115" s="35" t="s">
        <v>9059</v>
      </c>
      <c r="C3115" s="23" t="s">
        <v>9060</v>
      </c>
      <c r="D3115" s="23" t="s">
        <v>3303</v>
      </c>
      <c r="E3115" s="23" t="s">
        <v>3317</v>
      </c>
      <c r="F3115" s="23" t="s">
        <v>3729</v>
      </c>
      <c r="G3115" s="93">
        <v>0</v>
      </c>
      <c r="H3115" s="93">
        <v>1</v>
      </c>
      <c r="I3115" s="23"/>
      <c r="J3115" s="23"/>
      <c r="K3115" s="23"/>
      <c r="L3115" s="23" t="s">
        <v>9044</v>
      </c>
      <c r="M3115" s="23" t="s">
        <v>3694</v>
      </c>
    </row>
    <row r="3116" spans="2:13" x14ac:dyDescent="0.25">
      <c r="B3116" s="35" t="s">
        <v>9061</v>
      </c>
      <c r="C3116" s="23" t="s">
        <v>9062</v>
      </c>
      <c r="D3116" s="23" t="s">
        <v>3303</v>
      </c>
      <c r="E3116" s="23" t="s">
        <v>3317</v>
      </c>
      <c r="F3116" s="23" t="s">
        <v>3729</v>
      </c>
      <c r="G3116" s="93">
        <v>3</v>
      </c>
      <c r="H3116" s="93">
        <v>1</v>
      </c>
      <c r="I3116" s="23"/>
      <c r="J3116" s="23"/>
      <c r="K3116" s="23"/>
      <c r="L3116" s="23" t="s">
        <v>9044</v>
      </c>
      <c r="M3116" s="23" t="s">
        <v>3694</v>
      </c>
    </row>
    <row r="3117" spans="2:13" x14ac:dyDescent="0.25">
      <c r="B3117" s="35" t="s">
        <v>9063</v>
      </c>
      <c r="C3117" s="23" t="s">
        <v>9064</v>
      </c>
      <c r="D3117" s="23" t="s">
        <v>3303</v>
      </c>
      <c r="E3117" s="23" t="s">
        <v>3317</v>
      </c>
      <c r="F3117" s="23" t="s">
        <v>3729</v>
      </c>
      <c r="G3117" s="93">
        <v>3</v>
      </c>
      <c r="H3117" s="93">
        <v>1</v>
      </c>
      <c r="I3117" s="23"/>
      <c r="J3117" s="23"/>
      <c r="K3117" s="23"/>
      <c r="L3117" s="23" t="s">
        <v>9044</v>
      </c>
      <c r="M3117" s="23" t="s">
        <v>3694</v>
      </c>
    </row>
    <row r="3118" spans="2:13" x14ac:dyDescent="0.25">
      <c r="B3118" s="35" t="s">
        <v>9065</v>
      </c>
      <c r="C3118" s="23" t="s">
        <v>9066</v>
      </c>
      <c r="D3118" s="23" t="s">
        <v>3303</v>
      </c>
      <c r="E3118" s="23" t="s">
        <v>3317</v>
      </c>
      <c r="F3118" s="23" t="s">
        <v>3729</v>
      </c>
      <c r="G3118" s="93">
        <v>3</v>
      </c>
      <c r="H3118" s="93">
        <v>1</v>
      </c>
      <c r="I3118" s="23"/>
      <c r="J3118" s="23"/>
      <c r="K3118" s="23"/>
      <c r="L3118" s="23" t="s">
        <v>9044</v>
      </c>
      <c r="M3118" s="23" t="s">
        <v>3694</v>
      </c>
    </row>
    <row r="3119" spans="2:13" x14ac:dyDescent="0.25">
      <c r="B3119" s="35" t="s">
        <v>9067</v>
      </c>
      <c r="C3119" s="23" t="s">
        <v>9068</v>
      </c>
      <c r="D3119" s="23" t="s">
        <v>3303</v>
      </c>
      <c r="E3119" s="23" t="s">
        <v>3317</v>
      </c>
      <c r="F3119" s="23" t="s">
        <v>3729</v>
      </c>
      <c r="G3119" s="93">
        <v>3</v>
      </c>
      <c r="H3119" s="93">
        <v>1</v>
      </c>
      <c r="I3119" s="23"/>
      <c r="J3119" s="23"/>
      <c r="K3119" s="23"/>
      <c r="L3119" s="23" t="s">
        <v>9044</v>
      </c>
      <c r="M3119" s="23" t="s">
        <v>3694</v>
      </c>
    </row>
    <row r="3120" spans="2:13" x14ac:dyDescent="0.25">
      <c r="B3120" s="35" t="s">
        <v>3233</v>
      </c>
      <c r="C3120" s="23" t="s">
        <v>3234</v>
      </c>
      <c r="D3120" s="23" t="s">
        <v>3303</v>
      </c>
      <c r="E3120" s="23" t="s">
        <v>3317</v>
      </c>
      <c r="F3120" s="23" t="s">
        <v>3729</v>
      </c>
      <c r="G3120" s="93">
        <v>3</v>
      </c>
      <c r="H3120" s="93">
        <v>1</v>
      </c>
      <c r="I3120" s="23"/>
      <c r="J3120" s="23"/>
      <c r="K3120" s="23"/>
      <c r="L3120" s="23" t="s">
        <v>9044</v>
      </c>
      <c r="M3120" s="23"/>
    </row>
    <row r="3121" spans="2:13" x14ac:dyDescent="0.25">
      <c r="B3121" s="35" t="s">
        <v>9069</v>
      </c>
      <c r="C3121" s="23" t="s">
        <v>9070</v>
      </c>
      <c r="D3121" s="23" t="s">
        <v>3303</v>
      </c>
      <c r="E3121" s="23" t="s">
        <v>3317</v>
      </c>
      <c r="F3121" s="23" t="s">
        <v>3729</v>
      </c>
      <c r="G3121" s="93">
        <v>3</v>
      </c>
      <c r="H3121" s="93">
        <v>1</v>
      </c>
      <c r="I3121" s="23"/>
      <c r="J3121" s="23"/>
      <c r="K3121" s="23"/>
      <c r="L3121" s="23" t="s">
        <v>9044</v>
      </c>
      <c r="M3121" s="23" t="s">
        <v>3694</v>
      </c>
    </row>
    <row r="3122" spans="2:13" x14ac:dyDescent="0.25">
      <c r="B3122" s="35" t="s">
        <v>9071</v>
      </c>
      <c r="C3122" s="23" t="s">
        <v>9072</v>
      </c>
      <c r="D3122" s="23" t="s">
        <v>3303</v>
      </c>
      <c r="E3122" s="23" t="s">
        <v>3317</v>
      </c>
      <c r="F3122" s="23" t="s">
        <v>3729</v>
      </c>
      <c r="G3122" s="93">
        <v>3</v>
      </c>
      <c r="H3122" s="93">
        <v>1</v>
      </c>
      <c r="I3122" s="23"/>
      <c r="J3122" s="23"/>
      <c r="K3122" s="23"/>
      <c r="L3122" s="23" t="s">
        <v>9044</v>
      </c>
      <c r="M3122" s="23" t="s">
        <v>3694</v>
      </c>
    </row>
    <row r="3123" spans="2:13" x14ac:dyDescent="0.25">
      <c r="B3123" s="35" t="s">
        <v>9073</v>
      </c>
      <c r="C3123" s="23" t="s">
        <v>9074</v>
      </c>
      <c r="D3123" s="23" t="s">
        <v>3303</v>
      </c>
      <c r="E3123" s="23" t="s">
        <v>3317</v>
      </c>
      <c r="F3123" s="23" t="s">
        <v>3729</v>
      </c>
      <c r="G3123" s="93">
        <v>3</v>
      </c>
      <c r="H3123" s="93">
        <v>1</v>
      </c>
      <c r="I3123" s="23"/>
      <c r="J3123" s="23"/>
      <c r="K3123" s="23"/>
      <c r="L3123" s="23" t="s">
        <v>9044</v>
      </c>
      <c r="M3123" s="23" t="s">
        <v>3694</v>
      </c>
    </row>
    <row r="3124" spans="2:13" x14ac:dyDescent="0.25">
      <c r="B3124" s="35" t="s">
        <v>9075</v>
      </c>
      <c r="C3124" s="23" t="s">
        <v>9076</v>
      </c>
      <c r="D3124" s="23" t="s">
        <v>3303</v>
      </c>
      <c r="E3124" s="23" t="s">
        <v>3317</v>
      </c>
      <c r="F3124" s="23" t="s">
        <v>3729</v>
      </c>
      <c r="G3124" s="93">
        <v>3</v>
      </c>
      <c r="H3124" s="93">
        <v>1</v>
      </c>
      <c r="I3124" s="23"/>
      <c r="J3124" s="23"/>
      <c r="K3124" s="23"/>
      <c r="L3124" s="23" t="s">
        <v>9044</v>
      </c>
      <c r="M3124" s="23"/>
    </row>
    <row r="3125" spans="2:13" x14ac:dyDescent="0.25">
      <c r="B3125" s="35" t="s">
        <v>9077</v>
      </c>
      <c r="C3125" s="23" t="s">
        <v>9078</v>
      </c>
      <c r="D3125" s="23" t="s">
        <v>3303</v>
      </c>
      <c r="E3125" s="23" t="s">
        <v>3317</v>
      </c>
      <c r="F3125" s="23" t="s">
        <v>3729</v>
      </c>
      <c r="G3125" s="93">
        <v>0</v>
      </c>
      <c r="H3125" s="93">
        <v>1</v>
      </c>
      <c r="I3125" s="23"/>
      <c r="J3125" s="23"/>
      <c r="K3125" s="23"/>
      <c r="L3125" s="23" t="s">
        <v>9044</v>
      </c>
      <c r="M3125" s="23" t="s">
        <v>3694</v>
      </c>
    </row>
    <row r="3126" spans="2:13" x14ac:dyDescent="0.25">
      <c r="B3126" s="35" t="s">
        <v>9079</v>
      </c>
      <c r="C3126" s="23" t="s">
        <v>9080</v>
      </c>
      <c r="D3126" s="23" t="s">
        <v>3303</v>
      </c>
      <c r="E3126" s="23" t="s">
        <v>3317</v>
      </c>
      <c r="F3126" s="23" t="s">
        <v>3729</v>
      </c>
      <c r="G3126" s="93">
        <v>3</v>
      </c>
      <c r="H3126" s="93">
        <v>1</v>
      </c>
      <c r="I3126" s="23"/>
      <c r="J3126" s="23"/>
      <c r="K3126" s="23"/>
      <c r="L3126" s="23" t="s">
        <v>9044</v>
      </c>
      <c r="M3126" s="23" t="s">
        <v>3694</v>
      </c>
    </row>
    <row r="3127" spans="2:13" x14ac:dyDescent="0.25">
      <c r="B3127" s="35" t="s">
        <v>9081</v>
      </c>
      <c r="C3127" s="23" t="s">
        <v>9082</v>
      </c>
      <c r="D3127" s="23" t="s">
        <v>3303</v>
      </c>
      <c r="E3127" s="23" t="s">
        <v>3317</v>
      </c>
      <c r="F3127" s="23" t="s">
        <v>3729</v>
      </c>
      <c r="G3127" s="93">
        <v>3</v>
      </c>
      <c r="H3127" s="93">
        <v>1</v>
      </c>
      <c r="I3127" s="23"/>
      <c r="J3127" s="23"/>
      <c r="K3127" s="23"/>
      <c r="L3127" s="23" t="s">
        <v>9044</v>
      </c>
      <c r="M3127" s="23" t="s">
        <v>3694</v>
      </c>
    </row>
    <row r="3128" spans="2:13" x14ac:dyDescent="0.25">
      <c r="B3128" s="35" t="s">
        <v>9083</v>
      </c>
      <c r="C3128" s="23" t="s">
        <v>9084</v>
      </c>
      <c r="D3128" s="23" t="s">
        <v>3303</v>
      </c>
      <c r="E3128" s="23" t="s">
        <v>3317</v>
      </c>
      <c r="F3128" s="23" t="s">
        <v>3729</v>
      </c>
      <c r="G3128" s="93">
        <v>3</v>
      </c>
      <c r="H3128" s="93">
        <v>1</v>
      </c>
      <c r="I3128" s="23"/>
      <c r="J3128" s="23"/>
      <c r="K3128" s="23"/>
      <c r="L3128" s="23" t="s">
        <v>9044</v>
      </c>
      <c r="M3128" s="23" t="s">
        <v>3694</v>
      </c>
    </row>
    <row r="3129" spans="2:13" x14ac:dyDescent="0.25">
      <c r="B3129" s="35" t="s">
        <v>9085</v>
      </c>
      <c r="C3129" s="23" t="s">
        <v>9086</v>
      </c>
      <c r="D3129" s="23" t="s">
        <v>3303</v>
      </c>
      <c r="E3129" s="23" t="s">
        <v>3317</v>
      </c>
      <c r="F3129" s="23" t="s">
        <v>3729</v>
      </c>
      <c r="G3129" s="93">
        <v>3</v>
      </c>
      <c r="H3129" s="93">
        <v>1</v>
      </c>
      <c r="I3129" s="23"/>
      <c r="J3129" s="23"/>
      <c r="K3129" s="23"/>
      <c r="L3129" s="23" t="s">
        <v>9044</v>
      </c>
      <c r="M3129" s="23" t="s">
        <v>3694</v>
      </c>
    </row>
    <row r="3130" spans="2:13" x14ac:dyDescent="0.25">
      <c r="B3130" s="35" t="s">
        <v>9087</v>
      </c>
      <c r="C3130" s="23" t="s">
        <v>9088</v>
      </c>
      <c r="D3130" s="23" t="s">
        <v>3303</v>
      </c>
      <c r="E3130" s="23" t="s">
        <v>3317</v>
      </c>
      <c r="F3130" s="23" t="s">
        <v>3729</v>
      </c>
      <c r="G3130" s="93">
        <v>3</v>
      </c>
      <c r="H3130" s="93">
        <v>1</v>
      </c>
      <c r="I3130" s="23"/>
      <c r="J3130" s="23"/>
      <c r="K3130" s="23"/>
      <c r="L3130" s="23" t="s">
        <v>9044</v>
      </c>
      <c r="M3130" s="23"/>
    </row>
    <row r="3131" spans="2:13" x14ac:dyDescent="0.25">
      <c r="B3131" s="35" t="s">
        <v>9089</v>
      </c>
      <c r="C3131" s="23" t="s">
        <v>9090</v>
      </c>
      <c r="D3131" s="23" t="s">
        <v>3303</v>
      </c>
      <c r="E3131" s="23" t="s">
        <v>3317</v>
      </c>
      <c r="F3131" s="23" t="s">
        <v>3729</v>
      </c>
      <c r="G3131" s="93">
        <v>3</v>
      </c>
      <c r="H3131" s="93">
        <v>1</v>
      </c>
      <c r="I3131" s="23"/>
      <c r="J3131" s="23"/>
      <c r="K3131" s="23"/>
      <c r="L3131" s="23" t="s">
        <v>9044</v>
      </c>
      <c r="M3131" s="23" t="s">
        <v>3694</v>
      </c>
    </row>
    <row r="3132" spans="2:13" x14ac:dyDescent="0.25">
      <c r="B3132" s="35" t="s">
        <v>9091</v>
      </c>
      <c r="C3132" s="23" t="s">
        <v>9092</v>
      </c>
      <c r="D3132" s="23" t="s">
        <v>3303</v>
      </c>
      <c r="E3132" s="23" t="s">
        <v>3317</v>
      </c>
      <c r="F3132" s="23" t="s">
        <v>3729</v>
      </c>
      <c r="G3132" s="93">
        <v>3</v>
      </c>
      <c r="H3132" s="93">
        <v>1</v>
      </c>
      <c r="I3132" s="23"/>
      <c r="J3132" s="23"/>
      <c r="K3132" s="23"/>
      <c r="L3132" s="23" t="s">
        <v>9044</v>
      </c>
      <c r="M3132" s="23" t="s">
        <v>3694</v>
      </c>
    </row>
    <row r="3133" spans="2:13" x14ac:dyDescent="0.25">
      <c r="B3133" s="35" t="s">
        <v>9093</v>
      </c>
      <c r="C3133" s="23" t="s">
        <v>9094</v>
      </c>
      <c r="D3133" s="23" t="s">
        <v>3303</v>
      </c>
      <c r="E3133" s="23" t="s">
        <v>3317</v>
      </c>
      <c r="F3133" s="23" t="s">
        <v>3729</v>
      </c>
      <c r="G3133" s="93">
        <v>3</v>
      </c>
      <c r="H3133" s="93">
        <v>1</v>
      </c>
      <c r="I3133" s="23"/>
      <c r="J3133" s="23"/>
      <c r="K3133" s="23"/>
      <c r="L3133" s="23" t="s">
        <v>9044</v>
      </c>
      <c r="M3133" s="23" t="s">
        <v>3694</v>
      </c>
    </row>
    <row r="3134" spans="2:13" x14ac:dyDescent="0.25">
      <c r="B3134" s="35" t="s">
        <v>9095</v>
      </c>
      <c r="C3134" s="23" t="s">
        <v>9096</v>
      </c>
      <c r="D3134" s="23" t="s">
        <v>3303</v>
      </c>
      <c r="E3134" s="23" t="s">
        <v>3317</v>
      </c>
      <c r="F3134" s="23" t="s">
        <v>3729</v>
      </c>
      <c r="G3134" s="93">
        <v>3</v>
      </c>
      <c r="H3134" s="93">
        <v>1</v>
      </c>
      <c r="I3134" s="23"/>
      <c r="J3134" s="23"/>
      <c r="K3134" s="23"/>
      <c r="L3134" s="23" t="s">
        <v>9044</v>
      </c>
      <c r="M3134" s="23" t="s">
        <v>3694</v>
      </c>
    </row>
    <row r="3135" spans="2:13" x14ac:dyDescent="0.25">
      <c r="B3135" s="35" t="s">
        <v>9097</v>
      </c>
      <c r="C3135" s="23" t="s">
        <v>9098</v>
      </c>
      <c r="D3135" s="23" t="s">
        <v>3303</v>
      </c>
      <c r="E3135" s="23" t="s">
        <v>3317</v>
      </c>
      <c r="F3135" s="23" t="s">
        <v>3729</v>
      </c>
      <c r="G3135" s="93">
        <v>3</v>
      </c>
      <c r="H3135" s="93">
        <v>1</v>
      </c>
      <c r="I3135" s="23"/>
      <c r="J3135" s="23"/>
      <c r="K3135" s="23"/>
      <c r="L3135" s="23" t="s">
        <v>9044</v>
      </c>
      <c r="M3135" s="23" t="s">
        <v>3694</v>
      </c>
    </row>
    <row r="3136" spans="2:13" x14ac:dyDescent="0.25">
      <c r="B3136" s="35" t="s">
        <v>9099</v>
      </c>
      <c r="C3136" s="23" t="s">
        <v>9100</v>
      </c>
      <c r="D3136" s="23" t="s">
        <v>3303</v>
      </c>
      <c r="E3136" s="23" t="s">
        <v>3317</v>
      </c>
      <c r="F3136" s="23" t="s">
        <v>3729</v>
      </c>
      <c r="G3136" s="93">
        <v>3</v>
      </c>
      <c r="H3136" s="93">
        <v>1</v>
      </c>
      <c r="I3136" s="23"/>
      <c r="J3136" s="23"/>
      <c r="K3136" s="23"/>
      <c r="L3136" s="23" t="s">
        <v>9044</v>
      </c>
      <c r="M3136" s="23" t="s">
        <v>3694</v>
      </c>
    </row>
    <row r="3137" spans="2:13" x14ac:dyDescent="0.25">
      <c r="B3137" s="35" t="s">
        <v>9101</v>
      </c>
      <c r="C3137" s="23" t="s">
        <v>9102</v>
      </c>
      <c r="D3137" s="23" t="s">
        <v>3303</v>
      </c>
      <c r="E3137" s="23" t="s">
        <v>3317</v>
      </c>
      <c r="F3137" s="23" t="s">
        <v>3729</v>
      </c>
      <c r="G3137" s="93">
        <v>3</v>
      </c>
      <c r="H3137" s="93">
        <v>1</v>
      </c>
      <c r="I3137" s="23"/>
      <c r="J3137" s="23"/>
      <c r="K3137" s="23"/>
      <c r="L3137" s="23" t="s">
        <v>9044</v>
      </c>
      <c r="M3137" s="23" t="s">
        <v>3694</v>
      </c>
    </row>
    <row r="3138" spans="2:13" x14ac:dyDescent="0.25">
      <c r="B3138" s="35" t="s">
        <v>9103</v>
      </c>
      <c r="C3138" s="23" t="s">
        <v>9104</v>
      </c>
      <c r="D3138" s="23" t="s">
        <v>3303</v>
      </c>
      <c r="E3138" s="23" t="s">
        <v>3317</v>
      </c>
      <c r="F3138" s="23" t="s">
        <v>3729</v>
      </c>
      <c r="G3138" s="93">
        <v>3</v>
      </c>
      <c r="H3138" s="93">
        <v>1</v>
      </c>
      <c r="I3138" s="23"/>
      <c r="J3138" s="23"/>
      <c r="K3138" s="23"/>
      <c r="L3138" s="23" t="s">
        <v>9044</v>
      </c>
      <c r="M3138" s="23" t="s">
        <v>3694</v>
      </c>
    </row>
    <row r="3139" spans="2:13" x14ac:dyDescent="0.25">
      <c r="B3139" s="35" t="s">
        <v>9044</v>
      </c>
      <c r="C3139" s="23" t="s">
        <v>9105</v>
      </c>
      <c r="D3139" s="23" t="s">
        <v>3303</v>
      </c>
      <c r="E3139" s="23" t="s">
        <v>3367</v>
      </c>
      <c r="F3139" s="23" t="s">
        <v>3729</v>
      </c>
      <c r="G3139" s="93">
        <v>0</v>
      </c>
      <c r="H3139" s="93">
        <v>0</v>
      </c>
      <c r="I3139" s="23"/>
      <c r="J3139" s="23"/>
      <c r="K3139" s="23"/>
      <c r="L3139" s="23" t="s">
        <v>9041</v>
      </c>
      <c r="M3139" s="23"/>
    </row>
    <row r="3140" spans="2:13" x14ac:dyDescent="0.25">
      <c r="B3140" s="35" t="s">
        <v>9106</v>
      </c>
      <c r="C3140" s="23" t="s">
        <v>9107</v>
      </c>
      <c r="D3140" s="23" t="s">
        <v>3303</v>
      </c>
      <c r="E3140" s="23" t="s">
        <v>3304</v>
      </c>
      <c r="F3140" s="23" t="s">
        <v>3729</v>
      </c>
      <c r="G3140" s="93">
        <v>0</v>
      </c>
      <c r="H3140" s="93">
        <v>0</v>
      </c>
      <c r="I3140" s="23"/>
      <c r="J3140" s="23"/>
      <c r="K3140" s="23"/>
      <c r="L3140" s="23" t="s">
        <v>9108</v>
      </c>
      <c r="M3140" s="23"/>
    </row>
    <row r="3141" spans="2:13" x14ac:dyDescent="0.25">
      <c r="B3141" s="35" t="s">
        <v>9109</v>
      </c>
      <c r="C3141" s="23" t="s">
        <v>9110</v>
      </c>
      <c r="D3141" s="23" t="s">
        <v>3303</v>
      </c>
      <c r="E3141" s="23" t="s">
        <v>3317</v>
      </c>
      <c r="F3141" s="23" t="s">
        <v>3729</v>
      </c>
      <c r="G3141" s="93">
        <v>3</v>
      </c>
      <c r="H3141" s="93">
        <v>1</v>
      </c>
      <c r="I3141" s="23"/>
      <c r="J3141" s="23"/>
      <c r="K3141" s="23"/>
      <c r="L3141" s="23" t="s">
        <v>9108</v>
      </c>
      <c r="M3141" s="23"/>
    </row>
    <row r="3142" spans="2:13" x14ac:dyDescent="0.25">
      <c r="B3142" s="35" t="s">
        <v>3236</v>
      </c>
      <c r="C3142" s="23" t="s">
        <v>3237</v>
      </c>
      <c r="D3142" s="23" t="s">
        <v>3303</v>
      </c>
      <c r="E3142" s="23" t="s">
        <v>3317</v>
      </c>
      <c r="F3142" s="23" t="s">
        <v>3729</v>
      </c>
      <c r="G3142" s="93">
        <v>3</v>
      </c>
      <c r="H3142" s="93">
        <v>0</v>
      </c>
      <c r="I3142" s="23"/>
      <c r="J3142" s="23"/>
      <c r="K3142" s="23"/>
      <c r="L3142" s="23" t="s">
        <v>9108</v>
      </c>
      <c r="M3142" s="23"/>
    </row>
    <row r="3143" spans="2:13" x14ac:dyDescent="0.25">
      <c r="B3143" s="35" t="s">
        <v>3238</v>
      </c>
      <c r="C3143" s="23" t="s">
        <v>3239</v>
      </c>
      <c r="D3143" s="23" t="s">
        <v>3303</v>
      </c>
      <c r="E3143" s="23" t="s">
        <v>3317</v>
      </c>
      <c r="F3143" s="23" t="s">
        <v>3729</v>
      </c>
      <c r="G3143" s="93">
        <v>3</v>
      </c>
      <c r="H3143" s="93">
        <v>1</v>
      </c>
      <c r="I3143" s="23"/>
      <c r="J3143" s="23"/>
      <c r="K3143" s="23"/>
      <c r="L3143" s="23" t="s">
        <v>9108</v>
      </c>
      <c r="M3143" s="23"/>
    </row>
    <row r="3144" spans="2:13" x14ac:dyDescent="0.25">
      <c r="B3144" s="35" t="s">
        <v>3240</v>
      </c>
      <c r="C3144" s="23" t="s">
        <v>3241</v>
      </c>
      <c r="D3144" s="23" t="s">
        <v>3303</v>
      </c>
      <c r="E3144" s="23" t="s">
        <v>3317</v>
      </c>
      <c r="F3144" s="23" t="s">
        <v>3729</v>
      </c>
      <c r="G3144" s="93">
        <v>3</v>
      </c>
      <c r="H3144" s="93">
        <v>0</v>
      </c>
      <c r="I3144" s="23"/>
      <c r="J3144" s="23"/>
      <c r="K3144" s="23"/>
      <c r="L3144" s="23" t="s">
        <v>9108</v>
      </c>
      <c r="M3144" s="23"/>
    </row>
    <row r="3145" spans="2:13" x14ac:dyDescent="0.25">
      <c r="B3145" s="35" t="s">
        <v>3242</v>
      </c>
      <c r="C3145" s="23" t="s">
        <v>3243</v>
      </c>
      <c r="D3145" s="23" t="s">
        <v>3303</v>
      </c>
      <c r="E3145" s="23" t="s">
        <v>3317</v>
      </c>
      <c r="F3145" s="23" t="s">
        <v>3729</v>
      </c>
      <c r="G3145" s="93">
        <v>3</v>
      </c>
      <c r="H3145" s="93">
        <v>1</v>
      </c>
      <c r="I3145" s="23"/>
      <c r="J3145" s="23"/>
      <c r="K3145" s="23"/>
      <c r="L3145" s="23" t="s">
        <v>9108</v>
      </c>
      <c r="M3145" s="23"/>
    </row>
    <row r="3146" spans="2:13" x14ac:dyDescent="0.25">
      <c r="B3146" s="35" t="s">
        <v>9111</v>
      </c>
      <c r="C3146" s="23" t="s">
        <v>9112</v>
      </c>
      <c r="D3146" s="23" t="s">
        <v>3303</v>
      </c>
      <c r="E3146" s="23" t="s">
        <v>3317</v>
      </c>
      <c r="F3146" s="23" t="s">
        <v>3729</v>
      </c>
      <c r="G3146" s="93">
        <v>3</v>
      </c>
      <c r="H3146" s="93">
        <v>1</v>
      </c>
      <c r="I3146" s="23"/>
      <c r="J3146" s="23"/>
      <c r="K3146" s="23"/>
      <c r="L3146" s="23" t="s">
        <v>9108</v>
      </c>
      <c r="M3146" s="23" t="s">
        <v>3694</v>
      </c>
    </row>
    <row r="3147" spans="2:13" x14ac:dyDescent="0.25">
      <c r="B3147" s="35" t="s">
        <v>9113</v>
      </c>
      <c r="C3147" s="23" t="s">
        <v>9114</v>
      </c>
      <c r="D3147" s="23" t="s">
        <v>3303</v>
      </c>
      <c r="E3147" s="23" t="s">
        <v>3317</v>
      </c>
      <c r="F3147" s="23" t="s">
        <v>3729</v>
      </c>
      <c r="G3147" s="93">
        <v>3</v>
      </c>
      <c r="H3147" s="93">
        <v>1</v>
      </c>
      <c r="I3147" s="23"/>
      <c r="J3147" s="23"/>
      <c r="K3147" s="23"/>
      <c r="L3147" s="23" t="s">
        <v>9108</v>
      </c>
      <c r="M3147" s="23" t="s">
        <v>3694</v>
      </c>
    </row>
    <row r="3148" spans="2:13" x14ac:dyDescent="0.25">
      <c r="B3148" s="35" t="s">
        <v>9115</v>
      </c>
      <c r="C3148" s="23" t="s">
        <v>9116</v>
      </c>
      <c r="D3148" s="23" t="s">
        <v>3303</v>
      </c>
      <c r="E3148" s="23" t="s">
        <v>3317</v>
      </c>
      <c r="F3148" s="23" t="s">
        <v>3729</v>
      </c>
      <c r="G3148" s="93">
        <v>3</v>
      </c>
      <c r="H3148" s="93">
        <v>1</v>
      </c>
      <c r="I3148" s="23"/>
      <c r="J3148" s="23"/>
      <c r="K3148" s="23"/>
      <c r="L3148" s="23" t="s">
        <v>9108</v>
      </c>
      <c r="M3148" s="23" t="s">
        <v>3694</v>
      </c>
    </row>
    <row r="3149" spans="2:13" x14ac:dyDescent="0.25">
      <c r="B3149" s="35" t="s">
        <v>9117</v>
      </c>
      <c r="C3149" s="23" t="s">
        <v>9118</v>
      </c>
      <c r="D3149" s="23" t="s">
        <v>3303</v>
      </c>
      <c r="E3149" s="23" t="s">
        <v>3317</v>
      </c>
      <c r="F3149" s="23" t="s">
        <v>3729</v>
      </c>
      <c r="G3149" s="93">
        <v>3</v>
      </c>
      <c r="H3149" s="93">
        <v>0</v>
      </c>
      <c r="I3149" s="23"/>
      <c r="J3149" s="23"/>
      <c r="K3149" s="23"/>
      <c r="L3149" s="23" t="s">
        <v>9108</v>
      </c>
      <c r="M3149" s="23"/>
    </row>
    <row r="3150" spans="2:13" x14ac:dyDescent="0.25">
      <c r="B3150" s="35" t="s">
        <v>9119</v>
      </c>
      <c r="C3150" s="23" t="s">
        <v>9120</v>
      </c>
      <c r="D3150" s="23" t="s">
        <v>3303</v>
      </c>
      <c r="E3150" s="23" t="s">
        <v>3317</v>
      </c>
      <c r="F3150" s="23" t="s">
        <v>3729</v>
      </c>
      <c r="G3150" s="93">
        <v>3</v>
      </c>
      <c r="H3150" s="93">
        <v>1</v>
      </c>
      <c r="I3150" s="23"/>
      <c r="J3150" s="23"/>
      <c r="K3150" s="23"/>
      <c r="L3150" s="23" t="s">
        <v>9108</v>
      </c>
      <c r="M3150" s="23" t="s">
        <v>3694</v>
      </c>
    </row>
    <row r="3151" spans="2:13" x14ac:dyDescent="0.25">
      <c r="B3151" s="35" t="s">
        <v>9121</v>
      </c>
      <c r="C3151" s="23" t="s">
        <v>9122</v>
      </c>
      <c r="D3151" s="23" t="s">
        <v>3303</v>
      </c>
      <c r="E3151" s="23" t="s">
        <v>3317</v>
      </c>
      <c r="F3151" s="23" t="s">
        <v>3729</v>
      </c>
      <c r="G3151" s="93">
        <v>3</v>
      </c>
      <c r="H3151" s="93">
        <v>1</v>
      </c>
      <c r="I3151" s="23"/>
      <c r="J3151" s="23"/>
      <c r="K3151" s="23"/>
      <c r="L3151" s="23" t="s">
        <v>9108</v>
      </c>
      <c r="M3151" s="23"/>
    </row>
    <row r="3152" spans="2:13" x14ac:dyDescent="0.25">
      <c r="B3152" s="35" t="s">
        <v>9108</v>
      </c>
      <c r="C3152" s="23" t="s">
        <v>9123</v>
      </c>
      <c r="D3152" s="23" t="s">
        <v>3303</v>
      </c>
      <c r="E3152" s="23" t="s">
        <v>3367</v>
      </c>
      <c r="F3152" s="23" t="s">
        <v>3729</v>
      </c>
      <c r="G3152" s="93">
        <v>0</v>
      </c>
      <c r="H3152" s="93">
        <v>0</v>
      </c>
      <c r="I3152" s="23"/>
      <c r="J3152" s="23"/>
      <c r="K3152" s="23"/>
      <c r="L3152" s="23" t="s">
        <v>9041</v>
      </c>
      <c r="M3152" s="23"/>
    </row>
    <row r="3153" spans="2:13" x14ac:dyDescent="0.25">
      <c r="B3153" s="35" t="s">
        <v>9124</v>
      </c>
      <c r="C3153" s="23" t="s">
        <v>9125</v>
      </c>
      <c r="D3153" s="23" t="s">
        <v>3303</v>
      </c>
      <c r="E3153" s="23" t="s">
        <v>3304</v>
      </c>
      <c r="F3153" s="23" t="s">
        <v>3729</v>
      </c>
      <c r="G3153" s="93">
        <v>0</v>
      </c>
      <c r="H3153" s="93">
        <v>0</v>
      </c>
      <c r="I3153" s="23"/>
      <c r="J3153" s="23"/>
      <c r="K3153" s="23"/>
      <c r="L3153" s="23" t="s">
        <v>9126</v>
      </c>
      <c r="M3153" s="23"/>
    </row>
    <row r="3154" spans="2:13" x14ac:dyDescent="0.25">
      <c r="B3154" s="35" t="s">
        <v>9127</v>
      </c>
      <c r="C3154" s="23" t="s">
        <v>9128</v>
      </c>
      <c r="D3154" s="23" t="s">
        <v>3303</v>
      </c>
      <c r="E3154" s="23" t="s">
        <v>3317</v>
      </c>
      <c r="F3154" s="23" t="s">
        <v>3729</v>
      </c>
      <c r="G3154" s="93">
        <v>3</v>
      </c>
      <c r="H3154" s="93">
        <v>1</v>
      </c>
      <c r="I3154" s="23"/>
      <c r="J3154" s="23"/>
      <c r="K3154" s="23"/>
      <c r="L3154" s="23" t="s">
        <v>9126</v>
      </c>
      <c r="M3154" s="23"/>
    </row>
    <row r="3155" spans="2:13" x14ac:dyDescent="0.25">
      <c r="B3155" s="35" t="s">
        <v>3244</v>
      </c>
      <c r="C3155" s="23" t="s">
        <v>3245</v>
      </c>
      <c r="D3155" s="23" t="s">
        <v>3303</v>
      </c>
      <c r="E3155" s="23" t="s">
        <v>3317</v>
      </c>
      <c r="F3155" s="23" t="s">
        <v>3729</v>
      </c>
      <c r="G3155" s="93">
        <v>3</v>
      </c>
      <c r="H3155" s="93">
        <v>0</v>
      </c>
      <c r="I3155" s="23"/>
      <c r="J3155" s="23"/>
      <c r="K3155" s="23"/>
      <c r="L3155" s="23" t="s">
        <v>9126</v>
      </c>
      <c r="M3155" s="23"/>
    </row>
    <row r="3156" spans="2:13" x14ac:dyDescent="0.25">
      <c r="B3156" s="35" t="s">
        <v>3246</v>
      </c>
      <c r="C3156" s="23" t="s">
        <v>3247</v>
      </c>
      <c r="D3156" s="23" t="s">
        <v>3303</v>
      </c>
      <c r="E3156" s="23" t="s">
        <v>3317</v>
      </c>
      <c r="F3156" s="23" t="s">
        <v>3729</v>
      </c>
      <c r="G3156" s="93">
        <v>3</v>
      </c>
      <c r="H3156" s="93">
        <v>1</v>
      </c>
      <c r="I3156" s="23"/>
      <c r="J3156" s="23"/>
      <c r="K3156" s="23"/>
      <c r="L3156" s="23" t="s">
        <v>9126</v>
      </c>
      <c r="M3156" s="23"/>
    </row>
    <row r="3157" spans="2:13" x14ac:dyDescent="0.25">
      <c r="B3157" s="35" t="s">
        <v>3248</v>
      </c>
      <c r="C3157" s="23" t="s">
        <v>3249</v>
      </c>
      <c r="D3157" s="23" t="s">
        <v>3303</v>
      </c>
      <c r="E3157" s="23" t="s">
        <v>3317</v>
      </c>
      <c r="F3157" s="23" t="s">
        <v>3729</v>
      </c>
      <c r="G3157" s="93">
        <v>3</v>
      </c>
      <c r="H3157" s="93">
        <v>0</v>
      </c>
      <c r="I3157" s="23"/>
      <c r="J3157" s="23"/>
      <c r="K3157" s="23"/>
      <c r="L3157" s="23" t="s">
        <v>9126</v>
      </c>
      <c r="M3157" s="23"/>
    </row>
    <row r="3158" spans="2:13" x14ac:dyDescent="0.25">
      <c r="B3158" s="35" t="s">
        <v>3250</v>
      </c>
      <c r="C3158" s="23" t="s">
        <v>3251</v>
      </c>
      <c r="D3158" s="23" t="s">
        <v>3303</v>
      </c>
      <c r="E3158" s="23" t="s">
        <v>3317</v>
      </c>
      <c r="F3158" s="23" t="s">
        <v>3729</v>
      </c>
      <c r="G3158" s="93">
        <v>3</v>
      </c>
      <c r="H3158" s="93">
        <v>1</v>
      </c>
      <c r="I3158" s="23"/>
      <c r="J3158" s="23"/>
      <c r="K3158" s="23"/>
      <c r="L3158" s="23" t="s">
        <v>9126</v>
      </c>
      <c r="M3158" s="23"/>
    </row>
    <row r="3159" spans="2:13" x14ac:dyDescent="0.25">
      <c r="B3159" s="35" t="s">
        <v>9129</v>
      </c>
      <c r="C3159" s="23" t="s">
        <v>9130</v>
      </c>
      <c r="D3159" s="23" t="s">
        <v>3303</v>
      </c>
      <c r="E3159" s="23" t="s">
        <v>3317</v>
      </c>
      <c r="F3159" s="23" t="s">
        <v>3729</v>
      </c>
      <c r="G3159" s="93">
        <v>3</v>
      </c>
      <c r="H3159" s="93">
        <v>1</v>
      </c>
      <c r="I3159" s="23"/>
      <c r="J3159" s="23"/>
      <c r="K3159" s="23"/>
      <c r="L3159" s="23" t="s">
        <v>9126</v>
      </c>
      <c r="M3159" s="23" t="s">
        <v>3694</v>
      </c>
    </row>
    <row r="3160" spans="2:13" x14ac:dyDescent="0.25">
      <c r="B3160" s="35" t="s">
        <v>9131</v>
      </c>
      <c r="C3160" s="23" t="s">
        <v>9132</v>
      </c>
      <c r="D3160" s="23" t="s">
        <v>3303</v>
      </c>
      <c r="E3160" s="23" t="s">
        <v>3317</v>
      </c>
      <c r="F3160" s="23" t="s">
        <v>3729</v>
      </c>
      <c r="G3160" s="93">
        <v>3</v>
      </c>
      <c r="H3160" s="93">
        <v>1</v>
      </c>
      <c r="I3160" s="23"/>
      <c r="J3160" s="23"/>
      <c r="K3160" s="23"/>
      <c r="L3160" s="23" t="s">
        <v>9126</v>
      </c>
      <c r="M3160" s="23" t="s">
        <v>3694</v>
      </c>
    </row>
    <row r="3161" spans="2:13" x14ac:dyDescent="0.25">
      <c r="B3161" s="35" t="s">
        <v>9133</v>
      </c>
      <c r="C3161" s="23" t="s">
        <v>9134</v>
      </c>
      <c r="D3161" s="23" t="s">
        <v>3303</v>
      </c>
      <c r="E3161" s="23" t="s">
        <v>3317</v>
      </c>
      <c r="F3161" s="23" t="s">
        <v>3729</v>
      </c>
      <c r="G3161" s="93">
        <v>3</v>
      </c>
      <c r="H3161" s="93">
        <v>1</v>
      </c>
      <c r="I3161" s="23"/>
      <c r="J3161" s="23"/>
      <c r="K3161" s="23"/>
      <c r="L3161" s="23" t="s">
        <v>9126</v>
      </c>
      <c r="M3161" s="23" t="s">
        <v>3694</v>
      </c>
    </row>
    <row r="3162" spans="2:13" x14ac:dyDescent="0.25">
      <c r="B3162" s="35" t="s">
        <v>9135</v>
      </c>
      <c r="C3162" s="23" t="s">
        <v>9136</v>
      </c>
      <c r="D3162" s="23" t="s">
        <v>3303</v>
      </c>
      <c r="E3162" s="23" t="s">
        <v>3317</v>
      </c>
      <c r="F3162" s="23" t="s">
        <v>3729</v>
      </c>
      <c r="G3162" s="93">
        <v>3</v>
      </c>
      <c r="H3162" s="93">
        <v>0</v>
      </c>
      <c r="I3162" s="23"/>
      <c r="J3162" s="23"/>
      <c r="K3162" s="23"/>
      <c r="L3162" s="23" t="s">
        <v>9126</v>
      </c>
      <c r="M3162" s="23"/>
    </row>
    <row r="3163" spans="2:13" x14ac:dyDescent="0.25">
      <c r="B3163" s="35" t="s">
        <v>9137</v>
      </c>
      <c r="C3163" s="23" t="s">
        <v>9138</v>
      </c>
      <c r="D3163" s="23" t="s">
        <v>3303</v>
      </c>
      <c r="E3163" s="23" t="s">
        <v>3317</v>
      </c>
      <c r="F3163" s="23" t="s">
        <v>3729</v>
      </c>
      <c r="G3163" s="93">
        <v>3</v>
      </c>
      <c r="H3163" s="93">
        <v>1</v>
      </c>
      <c r="I3163" s="23"/>
      <c r="J3163" s="23"/>
      <c r="K3163" s="23"/>
      <c r="L3163" s="23" t="s">
        <v>9126</v>
      </c>
      <c r="M3163" s="23" t="s">
        <v>3694</v>
      </c>
    </row>
    <row r="3164" spans="2:13" x14ac:dyDescent="0.25">
      <c r="B3164" s="35" t="s">
        <v>9139</v>
      </c>
      <c r="C3164" s="23" t="s">
        <v>9140</v>
      </c>
      <c r="D3164" s="23" t="s">
        <v>3303</v>
      </c>
      <c r="E3164" s="23" t="s">
        <v>3317</v>
      </c>
      <c r="F3164" s="23" t="s">
        <v>3729</v>
      </c>
      <c r="G3164" s="93">
        <v>3</v>
      </c>
      <c r="H3164" s="93">
        <v>1</v>
      </c>
      <c r="I3164" s="23"/>
      <c r="J3164" s="23"/>
      <c r="K3164" s="23"/>
      <c r="L3164" s="23" t="s">
        <v>9126</v>
      </c>
      <c r="M3164" s="23"/>
    </row>
    <row r="3165" spans="2:13" x14ac:dyDescent="0.25">
      <c r="B3165" s="35" t="s">
        <v>9141</v>
      </c>
      <c r="C3165" s="23" t="s">
        <v>9142</v>
      </c>
      <c r="D3165" s="23" t="s">
        <v>3303</v>
      </c>
      <c r="E3165" s="23" t="s">
        <v>3317</v>
      </c>
      <c r="F3165" s="23" t="s">
        <v>3729</v>
      </c>
      <c r="G3165" s="93">
        <v>3</v>
      </c>
      <c r="H3165" s="93">
        <v>1</v>
      </c>
      <c r="I3165" s="23"/>
      <c r="J3165" s="23"/>
      <c r="K3165" s="23"/>
      <c r="L3165" s="23" t="s">
        <v>9126</v>
      </c>
      <c r="M3165" s="23"/>
    </row>
    <row r="3166" spans="2:13" x14ac:dyDescent="0.25">
      <c r="B3166" s="35" t="s">
        <v>9143</v>
      </c>
      <c r="C3166" s="23" t="s">
        <v>9144</v>
      </c>
      <c r="D3166" s="23" t="s">
        <v>3303</v>
      </c>
      <c r="E3166" s="23" t="s">
        <v>3317</v>
      </c>
      <c r="F3166" s="23" t="s">
        <v>3729</v>
      </c>
      <c r="G3166" s="93">
        <v>3</v>
      </c>
      <c r="H3166" s="93">
        <v>1</v>
      </c>
      <c r="I3166" s="23"/>
      <c r="J3166" s="23"/>
      <c r="K3166" s="23"/>
      <c r="L3166" s="23" t="s">
        <v>9126</v>
      </c>
      <c r="M3166" s="23"/>
    </row>
    <row r="3167" spans="2:13" x14ac:dyDescent="0.25">
      <c r="B3167" s="35" t="s">
        <v>9126</v>
      </c>
      <c r="C3167" s="23" t="s">
        <v>9145</v>
      </c>
      <c r="D3167" s="23" t="s">
        <v>3303</v>
      </c>
      <c r="E3167" s="23" t="s">
        <v>3367</v>
      </c>
      <c r="F3167" s="23" t="s">
        <v>3729</v>
      </c>
      <c r="G3167" s="93">
        <v>0</v>
      </c>
      <c r="H3167" s="93">
        <v>0</v>
      </c>
      <c r="I3167" s="23"/>
      <c r="J3167" s="23"/>
      <c r="K3167" s="23"/>
      <c r="L3167" s="23" t="s">
        <v>9041</v>
      </c>
      <c r="M3167" s="23"/>
    </row>
    <row r="3168" spans="2:13" x14ac:dyDescent="0.25">
      <c r="B3168" s="35" t="s">
        <v>9146</v>
      </c>
      <c r="C3168" s="23" t="s">
        <v>9147</v>
      </c>
      <c r="D3168" s="23" t="s">
        <v>3303</v>
      </c>
      <c r="E3168" s="23" t="s">
        <v>3304</v>
      </c>
      <c r="F3168" s="23" t="s">
        <v>3729</v>
      </c>
      <c r="G3168" s="93">
        <v>0</v>
      </c>
      <c r="H3168" s="93">
        <v>1</v>
      </c>
      <c r="I3168" s="23"/>
      <c r="J3168" s="23"/>
      <c r="K3168" s="23"/>
      <c r="L3168" s="23" t="s">
        <v>9148</v>
      </c>
      <c r="M3168" s="23"/>
    </row>
    <row r="3169" spans="2:13" x14ac:dyDescent="0.25">
      <c r="B3169" s="35" t="s">
        <v>9149</v>
      </c>
      <c r="C3169" s="23" t="s">
        <v>9150</v>
      </c>
      <c r="D3169" s="23" t="s">
        <v>3303</v>
      </c>
      <c r="E3169" s="23" t="s">
        <v>3317</v>
      </c>
      <c r="F3169" s="23" t="s">
        <v>3729</v>
      </c>
      <c r="G3169" s="93">
        <v>3</v>
      </c>
      <c r="H3169" s="93">
        <v>1</v>
      </c>
      <c r="I3169" s="23"/>
      <c r="J3169" s="23"/>
      <c r="K3169" s="23"/>
      <c r="L3169" s="23" t="s">
        <v>9148</v>
      </c>
      <c r="M3169" s="23"/>
    </row>
    <row r="3170" spans="2:13" x14ac:dyDescent="0.25">
      <c r="B3170" s="35" t="s">
        <v>9151</v>
      </c>
      <c r="C3170" s="23" t="s">
        <v>9152</v>
      </c>
      <c r="D3170" s="23" t="s">
        <v>3303</v>
      </c>
      <c r="E3170" s="23" t="s">
        <v>3317</v>
      </c>
      <c r="F3170" s="23" t="s">
        <v>3729</v>
      </c>
      <c r="G3170" s="93">
        <v>0</v>
      </c>
      <c r="H3170" s="93">
        <v>1</v>
      </c>
      <c r="I3170" s="23"/>
      <c r="J3170" s="23"/>
      <c r="K3170" s="23"/>
      <c r="L3170" s="23" t="s">
        <v>9148</v>
      </c>
      <c r="M3170" s="23" t="s">
        <v>3694</v>
      </c>
    </row>
    <row r="3171" spans="2:13" x14ac:dyDescent="0.25">
      <c r="B3171" s="35" t="s">
        <v>9153</v>
      </c>
      <c r="C3171" s="23" t="s">
        <v>9154</v>
      </c>
      <c r="D3171" s="23" t="s">
        <v>3303</v>
      </c>
      <c r="E3171" s="23" t="s">
        <v>3317</v>
      </c>
      <c r="F3171" s="23" t="s">
        <v>3729</v>
      </c>
      <c r="G3171" s="93">
        <v>3</v>
      </c>
      <c r="H3171" s="93">
        <v>1</v>
      </c>
      <c r="I3171" s="23"/>
      <c r="J3171" s="23"/>
      <c r="K3171" s="23"/>
      <c r="L3171" s="23" t="s">
        <v>9148</v>
      </c>
      <c r="M3171" s="23" t="s">
        <v>3694</v>
      </c>
    </row>
    <row r="3172" spans="2:13" x14ac:dyDescent="0.25">
      <c r="B3172" s="35" t="s">
        <v>9155</v>
      </c>
      <c r="C3172" s="23" t="s">
        <v>9156</v>
      </c>
      <c r="D3172" s="23" t="s">
        <v>3303</v>
      </c>
      <c r="E3172" s="23" t="s">
        <v>3317</v>
      </c>
      <c r="F3172" s="23" t="s">
        <v>3729</v>
      </c>
      <c r="G3172" s="93">
        <v>0</v>
      </c>
      <c r="H3172" s="93">
        <v>1</v>
      </c>
      <c r="I3172" s="23"/>
      <c r="J3172" s="23"/>
      <c r="K3172" s="23"/>
      <c r="L3172" s="23" t="s">
        <v>9148</v>
      </c>
      <c r="M3172" s="23" t="s">
        <v>3694</v>
      </c>
    </row>
    <row r="3173" spans="2:13" x14ac:dyDescent="0.25">
      <c r="B3173" s="35" t="s">
        <v>3252</v>
      </c>
      <c r="C3173" s="23" t="s">
        <v>3253</v>
      </c>
      <c r="D3173" s="23" t="s">
        <v>3303</v>
      </c>
      <c r="E3173" s="23" t="s">
        <v>3317</v>
      </c>
      <c r="F3173" s="23" t="s">
        <v>3729</v>
      </c>
      <c r="G3173" s="93">
        <v>3</v>
      </c>
      <c r="H3173" s="93">
        <v>1</v>
      </c>
      <c r="I3173" s="23"/>
      <c r="J3173" s="23"/>
      <c r="K3173" s="23"/>
      <c r="L3173" s="23" t="s">
        <v>9148</v>
      </c>
      <c r="M3173" s="23"/>
    </row>
    <row r="3174" spans="2:13" x14ac:dyDescent="0.25">
      <c r="B3174" s="35" t="s">
        <v>9157</v>
      </c>
      <c r="C3174" s="23" t="s">
        <v>9158</v>
      </c>
      <c r="D3174" s="23" t="s">
        <v>3303</v>
      </c>
      <c r="E3174" s="23" t="s">
        <v>3317</v>
      </c>
      <c r="F3174" s="23" t="s">
        <v>3729</v>
      </c>
      <c r="G3174" s="93">
        <v>0</v>
      </c>
      <c r="H3174" s="93">
        <v>1</v>
      </c>
      <c r="I3174" s="23"/>
      <c r="J3174" s="23"/>
      <c r="K3174" s="23"/>
      <c r="L3174" s="23" t="s">
        <v>9148</v>
      </c>
      <c r="M3174" s="23" t="s">
        <v>3694</v>
      </c>
    </row>
    <row r="3175" spans="2:13" x14ac:dyDescent="0.25">
      <c r="B3175" s="35" t="s">
        <v>9159</v>
      </c>
      <c r="C3175" s="23" t="s">
        <v>9160</v>
      </c>
      <c r="D3175" s="23" t="s">
        <v>3303</v>
      </c>
      <c r="E3175" s="23" t="s">
        <v>3317</v>
      </c>
      <c r="F3175" s="23" t="s">
        <v>3729</v>
      </c>
      <c r="G3175" s="93">
        <v>3</v>
      </c>
      <c r="H3175" s="93">
        <v>1</v>
      </c>
      <c r="I3175" s="23"/>
      <c r="J3175" s="23"/>
      <c r="K3175" s="23"/>
      <c r="L3175" s="23" t="s">
        <v>9148</v>
      </c>
      <c r="M3175" s="23" t="s">
        <v>3694</v>
      </c>
    </row>
    <row r="3176" spans="2:13" x14ac:dyDescent="0.25">
      <c r="B3176" s="35" t="s">
        <v>9161</v>
      </c>
      <c r="C3176" s="23" t="s">
        <v>9162</v>
      </c>
      <c r="D3176" s="23" t="s">
        <v>3303</v>
      </c>
      <c r="E3176" s="23" t="s">
        <v>3317</v>
      </c>
      <c r="F3176" s="23" t="s">
        <v>3729</v>
      </c>
      <c r="G3176" s="93">
        <v>0</v>
      </c>
      <c r="H3176" s="93">
        <v>1</v>
      </c>
      <c r="I3176" s="23"/>
      <c r="J3176" s="23"/>
      <c r="K3176" s="23"/>
      <c r="L3176" s="23" t="s">
        <v>9148</v>
      </c>
      <c r="M3176" s="23" t="s">
        <v>3694</v>
      </c>
    </row>
    <row r="3177" spans="2:13" x14ac:dyDescent="0.25">
      <c r="B3177" s="35" t="s">
        <v>3254</v>
      </c>
      <c r="C3177" s="23" t="s">
        <v>3255</v>
      </c>
      <c r="D3177" s="23" t="s">
        <v>3303</v>
      </c>
      <c r="E3177" s="23" t="s">
        <v>3317</v>
      </c>
      <c r="F3177" s="23" t="s">
        <v>3729</v>
      </c>
      <c r="G3177" s="93">
        <v>3</v>
      </c>
      <c r="H3177" s="93">
        <v>1</v>
      </c>
      <c r="I3177" s="23"/>
      <c r="J3177" s="23"/>
      <c r="K3177" s="23"/>
      <c r="L3177" s="23" t="s">
        <v>9148</v>
      </c>
      <c r="M3177" s="23"/>
    </row>
    <row r="3178" spans="2:13" x14ac:dyDescent="0.25">
      <c r="B3178" s="35" t="s">
        <v>9163</v>
      </c>
      <c r="C3178" s="23" t="s">
        <v>9164</v>
      </c>
      <c r="D3178" s="23" t="s">
        <v>3303</v>
      </c>
      <c r="E3178" s="23" t="s">
        <v>3317</v>
      </c>
      <c r="F3178" s="23" t="s">
        <v>3729</v>
      </c>
      <c r="G3178" s="93">
        <v>0</v>
      </c>
      <c r="H3178" s="93">
        <v>1</v>
      </c>
      <c r="I3178" s="23"/>
      <c r="J3178" s="23"/>
      <c r="K3178" s="23"/>
      <c r="L3178" s="23" t="s">
        <v>9148</v>
      </c>
      <c r="M3178" s="23" t="s">
        <v>3694</v>
      </c>
    </row>
    <row r="3179" spans="2:13" x14ac:dyDescent="0.25">
      <c r="B3179" s="35" t="s">
        <v>9165</v>
      </c>
      <c r="C3179" s="23" t="s">
        <v>9166</v>
      </c>
      <c r="D3179" s="23" t="s">
        <v>3303</v>
      </c>
      <c r="E3179" s="23" t="s">
        <v>3317</v>
      </c>
      <c r="F3179" s="23" t="s">
        <v>3729</v>
      </c>
      <c r="G3179" s="93">
        <v>3</v>
      </c>
      <c r="H3179" s="93">
        <v>1</v>
      </c>
      <c r="I3179" s="23"/>
      <c r="J3179" s="23"/>
      <c r="K3179" s="23"/>
      <c r="L3179" s="23" t="s">
        <v>9148</v>
      </c>
      <c r="M3179" s="23" t="s">
        <v>3694</v>
      </c>
    </row>
    <row r="3180" spans="2:13" x14ac:dyDescent="0.25">
      <c r="B3180" s="35" t="s">
        <v>9167</v>
      </c>
      <c r="C3180" s="23" t="s">
        <v>9168</v>
      </c>
      <c r="D3180" s="23" t="s">
        <v>3303</v>
      </c>
      <c r="E3180" s="23" t="s">
        <v>3317</v>
      </c>
      <c r="F3180" s="23" t="s">
        <v>3729</v>
      </c>
      <c r="G3180" s="93">
        <v>0</v>
      </c>
      <c r="H3180" s="93">
        <v>1</v>
      </c>
      <c r="I3180" s="23"/>
      <c r="J3180" s="23"/>
      <c r="K3180" s="23"/>
      <c r="L3180" s="23" t="s">
        <v>9148</v>
      </c>
      <c r="M3180" s="23" t="s">
        <v>3694</v>
      </c>
    </row>
    <row r="3181" spans="2:13" x14ac:dyDescent="0.25">
      <c r="B3181" s="35" t="s">
        <v>3256</v>
      </c>
      <c r="C3181" s="23" t="s">
        <v>3257</v>
      </c>
      <c r="D3181" s="23" t="s">
        <v>3303</v>
      </c>
      <c r="E3181" s="23" t="s">
        <v>3317</v>
      </c>
      <c r="F3181" s="23" t="s">
        <v>3729</v>
      </c>
      <c r="G3181" s="93">
        <v>3</v>
      </c>
      <c r="H3181" s="93">
        <v>1</v>
      </c>
      <c r="I3181" s="23"/>
      <c r="J3181" s="23"/>
      <c r="K3181" s="23"/>
      <c r="L3181" s="23" t="s">
        <v>9148</v>
      </c>
      <c r="M3181" s="23"/>
    </row>
    <row r="3182" spans="2:13" x14ac:dyDescent="0.25">
      <c r="B3182" s="35" t="s">
        <v>9169</v>
      </c>
      <c r="C3182" s="23" t="s">
        <v>9170</v>
      </c>
      <c r="D3182" s="23" t="s">
        <v>3303</v>
      </c>
      <c r="E3182" s="23" t="s">
        <v>3317</v>
      </c>
      <c r="F3182" s="23" t="s">
        <v>3729</v>
      </c>
      <c r="G3182" s="93">
        <v>0</v>
      </c>
      <c r="H3182" s="93">
        <v>1</v>
      </c>
      <c r="I3182" s="23"/>
      <c r="J3182" s="23"/>
      <c r="K3182" s="23"/>
      <c r="L3182" s="23" t="s">
        <v>9148</v>
      </c>
      <c r="M3182" s="23" t="s">
        <v>3694</v>
      </c>
    </row>
    <row r="3183" spans="2:13" x14ac:dyDescent="0.25">
      <c r="B3183" s="35" t="s">
        <v>9171</v>
      </c>
      <c r="C3183" s="23" t="s">
        <v>9172</v>
      </c>
      <c r="D3183" s="23" t="s">
        <v>3303</v>
      </c>
      <c r="E3183" s="23" t="s">
        <v>3317</v>
      </c>
      <c r="F3183" s="23" t="s">
        <v>3729</v>
      </c>
      <c r="G3183" s="93">
        <v>0</v>
      </c>
      <c r="H3183" s="93">
        <v>1</v>
      </c>
      <c r="I3183" s="23"/>
      <c r="J3183" s="23"/>
      <c r="K3183" s="23"/>
      <c r="L3183" s="23" t="s">
        <v>9148</v>
      </c>
      <c r="M3183" s="23" t="s">
        <v>3694</v>
      </c>
    </row>
    <row r="3184" spans="2:13" x14ac:dyDescent="0.25">
      <c r="B3184" s="35" t="s">
        <v>9173</v>
      </c>
      <c r="C3184" s="23" t="s">
        <v>9174</v>
      </c>
      <c r="D3184" s="23" t="s">
        <v>3303</v>
      </c>
      <c r="E3184" s="23" t="s">
        <v>3317</v>
      </c>
      <c r="F3184" s="23" t="s">
        <v>3729</v>
      </c>
      <c r="G3184" s="93">
        <v>0</v>
      </c>
      <c r="H3184" s="93">
        <v>1</v>
      </c>
      <c r="I3184" s="23"/>
      <c r="J3184" s="23"/>
      <c r="K3184" s="23"/>
      <c r="L3184" s="23" t="s">
        <v>9148</v>
      </c>
      <c r="M3184" s="23" t="s">
        <v>3694</v>
      </c>
    </row>
    <row r="3185" spans="2:13" x14ac:dyDescent="0.25">
      <c r="B3185" s="35" t="s">
        <v>9175</v>
      </c>
      <c r="C3185" s="23" t="s">
        <v>9176</v>
      </c>
      <c r="D3185" s="23" t="s">
        <v>3303</v>
      </c>
      <c r="E3185" s="23" t="s">
        <v>3317</v>
      </c>
      <c r="F3185" s="23" t="s">
        <v>3729</v>
      </c>
      <c r="G3185" s="93">
        <v>3</v>
      </c>
      <c r="H3185" s="93">
        <v>1</v>
      </c>
      <c r="I3185" s="23"/>
      <c r="J3185" s="23"/>
      <c r="K3185" s="23"/>
      <c r="L3185" s="23" t="s">
        <v>9148</v>
      </c>
      <c r="M3185" s="23" t="s">
        <v>3694</v>
      </c>
    </row>
    <row r="3186" spans="2:13" x14ac:dyDescent="0.25">
      <c r="B3186" s="35" t="s">
        <v>9177</v>
      </c>
      <c r="C3186" s="23" t="s">
        <v>9178</v>
      </c>
      <c r="D3186" s="23" t="s">
        <v>3303</v>
      </c>
      <c r="E3186" s="23" t="s">
        <v>3317</v>
      </c>
      <c r="F3186" s="23" t="s">
        <v>3729</v>
      </c>
      <c r="G3186" s="93">
        <v>0</v>
      </c>
      <c r="H3186" s="93">
        <v>1</v>
      </c>
      <c r="I3186" s="23"/>
      <c r="J3186" s="23"/>
      <c r="K3186" s="23"/>
      <c r="L3186" s="23" t="s">
        <v>9148</v>
      </c>
      <c r="M3186" s="23" t="s">
        <v>3694</v>
      </c>
    </row>
    <row r="3187" spans="2:13" x14ac:dyDescent="0.25">
      <c r="B3187" s="35" t="s">
        <v>9179</v>
      </c>
      <c r="C3187" s="23" t="s">
        <v>9180</v>
      </c>
      <c r="D3187" s="23" t="s">
        <v>3303</v>
      </c>
      <c r="E3187" s="23" t="s">
        <v>3317</v>
      </c>
      <c r="F3187" s="23" t="s">
        <v>3729</v>
      </c>
      <c r="G3187" s="93">
        <v>0</v>
      </c>
      <c r="H3187" s="93">
        <v>1</v>
      </c>
      <c r="I3187" s="23"/>
      <c r="J3187" s="23"/>
      <c r="K3187" s="23"/>
      <c r="L3187" s="23" t="s">
        <v>9148</v>
      </c>
      <c r="M3187" s="23" t="s">
        <v>3694</v>
      </c>
    </row>
    <row r="3188" spans="2:13" x14ac:dyDescent="0.25">
      <c r="B3188" s="35" t="s">
        <v>9181</v>
      </c>
      <c r="C3188" s="23" t="s">
        <v>9182</v>
      </c>
      <c r="D3188" s="23" t="s">
        <v>3303</v>
      </c>
      <c r="E3188" s="23" t="s">
        <v>3317</v>
      </c>
      <c r="F3188" s="23" t="s">
        <v>3729</v>
      </c>
      <c r="G3188" s="93">
        <v>3</v>
      </c>
      <c r="H3188" s="93">
        <v>1</v>
      </c>
      <c r="I3188" s="23"/>
      <c r="J3188" s="23"/>
      <c r="K3188" s="23"/>
      <c r="L3188" s="23" t="s">
        <v>9148</v>
      </c>
      <c r="M3188" s="23" t="s">
        <v>3694</v>
      </c>
    </row>
    <row r="3189" spans="2:13" x14ac:dyDescent="0.25">
      <c r="B3189" s="35" t="s">
        <v>9183</v>
      </c>
      <c r="C3189" s="23" t="s">
        <v>9184</v>
      </c>
      <c r="D3189" s="23" t="s">
        <v>3303</v>
      </c>
      <c r="E3189" s="23" t="s">
        <v>3317</v>
      </c>
      <c r="F3189" s="23" t="s">
        <v>3729</v>
      </c>
      <c r="G3189" s="93">
        <v>3</v>
      </c>
      <c r="H3189" s="93">
        <v>1</v>
      </c>
      <c r="I3189" s="23"/>
      <c r="J3189" s="23"/>
      <c r="K3189" s="23"/>
      <c r="L3189" s="23" t="s">
        <v>9148</v>
      </c>
      <c r="M3189" s="23"/>
    </row>
    <row r="3190" spans="2:13" x14ac:dyDescent="0.25">
      <c r="B3190" s="35" t="s">
        <v>9185</v>
      </c>
      <c r="C3190" s="23" t="s">
        <v>9186</v>
      </c>
      <c r="D3190" s="23" t="s">
        <v>3303</v>
      </c>
      <c r="E3190" s="23" t="s">
        <v>3317</v>
      </c>
      <c r="F3190" s="23" t="s">
        <v>3729</v>
      </c>
      <c r="G3190" s="93">
        <v>0</v>
      </c>
      <c r="H3190" s="93">
        <v>1</v>
      </c>
      <c r="I3190" s="23"/>
      <c r="J3190" s="23"/>
      <c r="K3190" s="23"/>
      <c r="L3190" s="23" t="s">
        <v>9148</v>
      </c>
      <c r="M3190" s="23" t="s">
        <v>3694</v>
      </c>
    </row>
    <row r="3191" spans="2:13" x14ac:dyDescent="0.25">
      <c r="B3191" s="35" t="s">
        <v>9187</v>
      </c>
      <c r="C3191" s="23" t="s">
        <v>9188</v>
      </c>
      <c r="D3191" s="23" t="s">
        <v>3303</v>
      </c>
      <c r="E3191" s="23" t="s">
        <v>3317</v>
      </c>
      <c r="F3191" s="23" t="s">
        <v>3729</v>
      </c>
      <c r="G3191" s="93">
        <v>0</v>
      </c>
      <c r="H3191" s="93">
        <v>1</v>
      </c>
      <c r="I3191" s="23"/>
      <c r="J3191" s="23"/>
      <c r="K3191" s="23"/>
      <c r="L3191" s="23" t="s">
        <v>9148</v>
      </c>
      <c r="M3191" s="23" t="s">
        <v>3694</v>
      </c>
    </row>
    <row r="3192" spans="2:13" x14ac:dyDescent="0.25">
      <c r="B3192" s="35" t="s">
        <v>9189</v>
      </c>
      <c r="C3192" s="23" t="s">
        <v>9190</v>
      </c>
      <c r="D3192" s="23" t="s">
        <v>3303</v>
      </c>
      <c r="E3192" s="23" t="s">
        <v>3317</v>
      </c>
      <c r="F3192" s="23" t="s">
        <v>3729</v>
      </c>
      <c r="G3192" s="93">
        <v>3</v>
      </c>
      <c r="H3192" s="93">
        <v>1</v>
      </c>
      <c r="I3192" s="23"/>
      <c r="J3192" s="23"/>
      <c r="K3192" s="23"/>
      <c r="L3192" s="23" t="s">
        <v>9148</v>
      </c>
      <c r="M3192" s="23" t="s">
        <v>3694</v>
      </c>
    </row>
    <row r="3193" spans="2:13" x14ac:dyDescent="0.25">
      <c r="B3193" s="35" t="s">
        <v>9191</v>
      </c>
      <c r="C3193" s="23" t="s">
        <v>9192</v>
      </c>
      <c r="D3193" s="23" t="s">
        <v>3303</v>
      </c>
      <c r="E3193" s="23" t="s">
        <v>3317</v>
      </c>
      <c r="F3193" s="23" t="s">
        <v>3729</v>
      </c>
      <c r="G3193" s="93">
        <v>0</v>
      </c>
      <c r="H3193" s="93">
        <v>1</v>
      </c>
      <c r="I3193" s="23"/>
      <c r="J3193" s="23"/>
      <c r="K3193" s="23"/>
      <c r="L3193" s="23" t="s">
        <v>9148</v>
      </c>
      <c r="M3193" s="23" t="s">
        <v>3694</v>
      </c>
    </row>
    <row r="3194" spans="2:13" x14ac:dyDescent="0.25">
      <c r="B3194" s="35" t="s">
        <v>9193</v>
      </c>
      <c r="C3194" s="23" t="s">
        <v>9194</v>
      </c>
      <c r="D3194" s="23" t="s">
        <v>3303</v>
      </c>
      <c r="E3194" s="23" t="s">
        <v>3317</v>
      </c>
      <c r="F3194" s="23" t="s">
        <v>3729</v>
      </c>
      <c r="G3194" s="93">
        <v>0</v>
      </c>
      <c r="H3194" s="93">
        <v>1</v>
      </c>
      <c r="I3194" s="23"/>
      <c r="J3194" s="23"/>
      <c r="K3194" s="23"/>
      <c r="L3194" s="23" t="s">
        <v>9148</v>
      </c>
      <c r="M3194" s="23" t="s">
        <v>3694</v>
      </c>
    </row>
    <row r="3195" spans="2:13" x14ac:dyDescent="0.25">
      <c r="B3195" s="35" t="s">
        <v>9195</v>
      </c>
      <c r="C3195" s="23" t="s">
        <v>9196</v>
      </c>
      <c r="D3195" s="23" t="s">
        <v>3303</v>
      </c>
      <c r="E3195" s="23" t="s">
        <v>3317</v>
      </c>
      <c r="F3195" s="23" t="s">
        <v>3729</v>
      </c>
      <c r="G3195" s="93">
        <v>3</v>
      </c>
      <c r="H3195" s="93">
        <v>1</v>
      </c>
      <c r="I3195" s="23"/>
      <c r="J3195" s="23"/>
      <c r="K3195" s="23"/>
      <c r="L3195" s="23" t="s">
        <v>9148</v>
      </c>
      <c r="M3195" s="23"/>
    </row>
    <row r="3196" spans="2:13" x14ac:dyDescent="0.25">
      <c r="B3196" s="35" t="s">
        <v>9197</v>
      </c>
      <c r="C3196" s="23" t="s">
        <v>9198</v>
      </c>
      <c r="D3196" s="23" t="s">
        <v>3303</v>
      </c>
      <c r="E3196" s="23" t="s">
        <v>3317</v>
      </c>
      <c r="F3196" s="23" t="s">
        <v>3729</v>
      </c>
      <c r="G3196" s="93">
        <v>0</v>
      </c>
      <c r="H3196" s="93">
        <v>1</v>
      </c>
      <c r="I3196" s="23"/>
      <c r="J3196" s="23"/>
      <c r="K3196" s="23"/>
      <c r="L3196" s="23" t="s">
        <v>9148</v>
      </c>
      <c r="M3196" s="23" t="s">
        <v>3694</v>
      </c>
    </row>
    <row r="3197" spans="2:13" x14ac:dyDescent="0.25">
      <c r="B3197" s="35" t="s">
        <v>9199</v>
      </c>
      <c r="C3197" s="23" t="s">
        <v>9200</v>
      </c>
      <c r="D3197" s="23" t="s">
        <v>3303</v>
      </c>
      <c r="E3197" s="23" t="s">
        <v>3317</v>
      </c>
      <c r="F3197" s="23" t="s">
        <v>3729</v>
      </c>
      <c r="G3197" s="93">
        <v>0</v>
      </c>
      <c r="H3197" s="93">
        <v>1</v>
      </c>
      <c r="I3197" s="23"/>
      <c r="J3197" s="23"/>
      <c r="K3197" s="23"/>
      <c r="L3197" s="23" t="s">
        <v>9148</v>
      </c>
      <c r="M3197" s="23" t="s">
        <v>3694</v>
      </c>
    </row>
    <row r="3198" spans="2:13" x14ac:dyDescent="0.25">
      <c r="B3198" s="35" t="s">
        <v>9201</v>
      </c>
      <c r="C3198" s="23" t="s">
        <v>9202</v>
      </c>
      <c r="D3198" s="23" t="s">
        <v>3303</v>
      </c>
      <c r="E3198" s="23" t="s">
        <v>3317</v>
      </c>
      <c r="F3198" s="23" t="s">
        <v>3729</v>
      </c>
      <c r="G3198" s="93">
        <v>3</v>
      </c>
      <c r="H3198" s="93">
        <v>1</v>
      </c>
      <c r="I3198" s="23"/>
      <c r="J3198" s="23"/>
      <c r="K3198" s="23"/>
      <c r="L3198" s="23" t="s">
        <v>9148</v>
      </c>
      <c r="M3198" s="23"/>
    </row>
    <row r="3199" spans="2:13" x14ac:dyDescent="0.25">
      <c r="B3199" s="35" t="s">
        <v>9203</v>
      </c>
      <c r="C3199" s="23" t="s">
        <v>9204</v>
      </c>
      <c r="D3199" s="23" t="s">
        <v>3303</v>
      </c>
      <c r="E3199" s="23" t="s">
        <v>3317</v>
      </c>
      <c r="F3199" s="23" t="s">
        <v>3729</v>
      </c>
      <c r="G3199" s="93">
        <v>3</v>
      </c>
      <c r="H3199" s="93">
        <v>1</v>
      </c>
      <c r="I3199" s="23"/>
      <c r="J3199" s="23"/>
      <c r="K3199" s="23"/>
      <c r="L3199" s="23" t="s">
        <v>9148</v>
      </c>
      <c r="M3199" s="23" t="s">
        <v>3694</v>
      </c>
    </row>
    <row r="3200" spans="2:13" x14ac:dyDescent="0.25">
      <c r="B3200" s="35" t="s">
        <v>9205</v>
      </c>
      <c r="C3200" s="23" t="s">
        <v>9206</v>
      </c>
      <c r="D3200" s="23" t="s">
        <v>3303</v>
      </c>
      <c r="E3200" s="23" t="s">
        <v>3317</v>
      </c>
      <c r="F3200" s="23" t="s">
        <v>3729</v>
      </c>
      <c r="G3200" s="93">
        <v>3</v>
      </c>
      <c r="H3200" s="93">
        <v>1</v>
      </c>
      <c r="I3200" s="23"/>
      <c r="J3200" s="23"/>
      <c r="K3200" s="23"/>
      <c r="L3200" s="23" t="s">
        <v>9148</v>
      </c>
      <c r="M3200" s="23" t="s">
        <v>3694</v>
      </c>
    </row>
    <row r="3201" spans="2:13" x14ac:dyDescent="0.25">
      <c r="B3201" s="35" t="s">
        <v>9207</v>
      </c>
      <c r="C3201" s="23" t="s">
        <v>9208</v>
      </c>
      <c r="D3201" s="23" t="s">
        <v>3303</v>
      </c>
      <c r="E3201" s="23" t="s">
        <v>3317</v>
      </c>
      <c r="F3201" s="23" t="s">
        <v>3729</v>
      </c>
      <c r="G3201" s="93">
        <v>3</v>
      </c>
      <c r="H3201" s="93">
        <v>1</v>
      </c>
      <c r="I3201" s="23"/>
      <c r="J3201" s="23"/>
      <c r="K3201" s="23"/>
      <c r="L3201" s="23" t="s">
        <v>9148</v>
      </c>
      <c r="M3201" s="23" t="s">
        <v>3694</v>
      </c>
    </row>
    <row r="3202" spans="2:13" x14ac:dyDescent="0.25">
      <c r="B3202" s="35" t="s">
        <v>9148</v>
      </c>
      <c r="C3202" s="23" t="s">
        <v>9209</v>
      </c>
      <c r="D3202" s="23" t="s">
        <v>3303</v>
      </c>
      <c r="E3202" s="23" t="s">
        <v>3367</v>
      </c>
      <c r="F3202" s="23" t="s">
        <v>3729</v>
      </c>
      <c r="G3202" s="93">
        <v>0</v>
      </c>
      <c r="H3202" s="93">
        <v>1</v>
      </c>
      <c r="I3202" s="23"/>
      <c r="J3202" s="23"/>
      <c r="K3202" s="23"/>
      <c r="L3202" s="23" t="s">
        <v>9041</v>
      </c>
      <c r="M3202" s="23"/>
    </row>
    <row r="3203" spans="2:13" x14ac:dyDescent="0.25">
      <c r="B3203" s="35" t="s">
        <v>9210</v>
      </c>
      <c r="C3203" s="23" t="s">
        <v>9211</v>
      </c>
      <c r="D3203" s="23" t="s">
        <v>3303</v>
      </c>
      <c r="E3203" s="23" t="s">
        <v>3304</v>
      </c>
      <c r="F3203" s="23" t="s">
        <v>3729</v>
      </c>
      <c r="G3203" s="93">
        <v>0</v>
      </c>
      <c r="H3203" s="93">
        <v>1</v>
      </c>
      <c r="I3203" s="23"/>
      <c r="J3203" s="23"/>
      <c r="K3203" s="23"/>
      <c r="L3203" s="23" t="s">
        <v>9212</v>
      </c>
      <c r="M3203" s="23"/>
    </row>
    <row r="3204" spans="2:13" x14ac:dyDescent="0.25">
      <c r="B3204" s="35" t="s">
        <v>9213</v>
      </c>
      <c r="C3204" s="23" t="s">
        <v>9214</v>
      </c>
      <c r="D3204" s="23" t="s">
        <v>3303</v>
      </c>
      <c r="E3204" s="23" t="s">
        <v>3317</v>
      </c>
      <c r="F3204" s="23" t="s">
        <v>3729</v>
      </c>
      <c r="G3204" s="93">
        <v>0</v>
      </c>
      <c r="H3204" s="93">
        <v>1</v>
      </c>
      <c r="I3204" s="23"/>
      <c r="J3204" s="23"/>
      <c r="K3204" s="23"/>
      <c r="L3204" s="23" t="s">
        <v>9212</v>
      </c>
      <c r="M3204" s="23"/>
    </row>
    <row r="3205" spans="2:13" x14ac:dyDescent="0.25">
      <c r="B3205" s="35" t="s">
        <v>9212</v>
      </c>
      <c r="C3205" s="23" t="s">
        <v>9215</v>
      </c>
      <c r="D3205" s="23" t="s">
        <v>3303</v>
      </c>
      <c r="E3205" s="23" t="s">
        <v>3367</v>
      </c>
      <c r="F3205" s="23" t="s">
        <v>3729</v>
      </c>
      <c r="G3205" s="93">
        <v>0</v>
      </c>
      <c r="H3205" s="93">
        <v>1</v>
      </c>
      <c r="I3205" s="23"/>
      <c r="J3205" s="23"/>
      <c r="K3205" s="23"/>
      <c r="L3205" s="23" t="s">
        <v>9041</v>
      </c>
      <c r="M3205" s="23"/>
    </row>
    <row r="3206" spans="2:13" x14ac:dyDescent="0.25">
      <c r="B3206" s="35" t="s">
        <v>9216</v>
      </c>
      <c r="C3206" s="23" t="s">
        <v>9217</v>
      </c>
      <c r="D3206" s="23" t="s">
        <v>3303</v>
      </c>
      <c r="E3206" s="23" t="s">
        <v>3304</v>
      </c>
      <c r="F3206" s="23" t="s">
        <v>3729</v>
      </c>
      <c r="G3206" s="93">
        <v>0</v>
      </c>
      <c r="H3206" s="93">
        <v>1</v>
      </c>
      <c r="I3206" s="23"/>
      <c r="J3206" s="23"/>
      <c r="K3206" s="23"/>
      <c r="L3206" s="23" t="s">
        <v>9218</v>
      </c>
      <c r="M3206" s="23"/>
    </row>
    <row r="3207" spans="2:13" x14ac:dyDescent="0.25">
      <c r="B3207" s="35" t="s">
        <v>9219</v>
      </c>
      <c r="C3207" s="23" t="s">
        <v>9220</v>
      </c>
      <c r="D3207" s="23" t="s">
        <v>3303</v>
      </c>
      <c r="E3207" s="23" t="s">
        <v>3317</v>
      </c>
      <c r="F3207" s="23" t="s">
        <v>3729</v>
      </c>
      <c r="G3207" s="93">
        <v>3</v>
      </c>
      <c r="H3207" s="93">
        <v>1</v>
      </c>
      <c r="I3207" s="23"/>
      <c r="J3207" s="23"/>
      <c r="K3207" s="23"/>
      <c r="L3207" s="23" t="s">
        <v>9218</v>
      </c>
      <c r="M3207" s="23"/>
    </row>
    <row r="3208" spans="2:13" x14ac:dyDescent="0.25">
      <c r="B3208" s="35" t="s">
        <v>9221</v>
      </c>
      <c r="C3208" s="23" t="s">
        <v>9222</v>
      </c>
      <c r="D3208" s="23" t="s">
        <v>3303</v>
      </c>
      <c r="E3208" s="23" t="s">
        <v>3317</v>
      </c>
      <c r="F3208" s="23" t="s">
        <v>3729</v>
      </c>
      <c r="G3208" s="93">
        <v>3</v>
      </c>
      <c r="H3208" s="93">
        <v>1</v>
      </c>
      <c r="I3208" s="23"/>
      <c r="J3208" s="23"/>
      <c r="K3208" s="23"/>
      <c r="L3208" s="23" t="s">
        <v>9218</v>
      </c>
      <c r="M3208" s="23"/>
    </row>
    <row r="3209" spans="2:13" x14ac:dyDescent="0.25">
      <c r="B3209" s="35" t="s">
        <v>9223</v>
      </c>
      <c r="C3209" s="23" t="s">
        <v>9224</v>
      </c>
      <c r="D3209" s="23" t="s">
        <v>3303</v>
      </c>
      <c r="E3209" s="23" t="s">
        <v>3317</v>
      </c>
      <c r="F3209" s="23" t="s">
        <v>3729</v>
      </c>
      <c r="G3209" s="93">
        <v>3</v>
      </c>
      <c r="H3209" s="93">
        <v>1</v>
      </c>
      <c r="I3209" s="23"/>
      <c r="J3209" s="23"/>
      <c r="K3209" s="23"/>
      <c r="L3209" s="23" t="s">
        <v>9218</v>
      </c>
      <c r="M3209" s="23"/>
    </row>
    <row r="3210" spans="2:13" x14ac:dyDescent="0.25">
      <c r="B3210" s="35" t="s">
        <v>9225</v>
      </c>
      <c r="C3210" s="23" t="s">
        <v>9226</v>
      </c>
      <c r="D3210" s="23" t="s">
        <v>3303</v>
      </c>
      <c r="E3210" s="23" t="s">
        <v>3317</v>
      </c>
      <c r="F3210" s="23" t="s">
        <v>3729</v>
      </c>
      <c r="G3210" s="93">
        <v>3</v>
      </c>
      <c r="H3210" s="93">
        <v>1</v>
      </c>
      <c r="I3210" s="23"/>
      <c r="J3210" s="23"/>
      <c r="K3210" s="23"/>
      <c r="L3210" s="23" t="s">
        <v>9218</v>
      </c>
      <c r="M3210" s="23" t="s">
        <v>3694</v>
      </c>
    </row>
    <row r="3211" spans="2:13" x14ac:dyDescent="0.25">
      <c r="B3211" s="35" t="s">
        <v>9227</v>
      </c>
      <c r="C3211" s="23" t="s">
        <v>9228</v>
      </c>
      <c r="D3211" s="23" t="s">
        <v>3303</v>
      </c>
      <c r="E3211" s="23" t="s">
        <v>3317</v>
      </c>
      <c r="F3211" s="23" t="s">
        <v>3729</v>
      </c>
      <c r="G3211" s="93">
        <v>3</v>
      </c>
      <c r="H3211" s="93">
        <v>1</v>
      </c>
      <c r="I3211" s="23"/>
      <c r="J3211" s="23"/>
      <c r="K3211" s="23"/>
      <c r="L3211" s="23" t="s">
        <v>9218</v>
      </c>
      <c r="M3211" s="23" t="s">
        <v>3694</v>
      </c>
    </row>
    <row r="3212" spans="2:13" x14ac:dyDescent="0.25">
      <c r="B3212" s="35" t="s">
        <v>9229</v>
      </c>
      <c r="C3212" s="23" t="s">
        <v>9230</v>
      </c>
      <c r="D3212" s="23" t="s">
        <v>3303</v>
      </c>
      <c r="E3212" s="23" t="s">
        <v>3317</v>
      </c>
      <c r="F3212" s="23" t="s">
        <v>3729</v>
      </c>
      <c r="G3212" s="93">
        <v>3</v>
      </c>
      <c r="H3212" s="93">
        <v>1</v>
      </c>
      <c r="I3212" s="23"/>
      <c r="J3212" s="23"/>
      <c r="K3212" s="23"/>
      <c r="L3212" s="23" t="s">
        <v>9218</v>
      </c>
      <c r="M3212" s="23" t="s">
        <v>3694</v>
      </c>
    </row>
    <row r="3213" spans="2:13" x14ac:dyDescent="0.25">
      <c r="B3213" s="35" t="s">
        <v>9231</v>
      </c>
      <c r="C3213" s="23" t="s">
        <v>9232</v>
      </c>
      <c r="D3213" s="23" t="s">
        <v>3303</v>
      </c>
      <c r="E3213" s="23" t="s">
        <v>3317</v>
      </c>
      <c r="F3213" s="23" t="s">
        <v>3729</v>
      </c>
      <c r="G3213" s="93">
        <v>3</v>
      </c>
      <c r="H3213" s="93">
        <v>1</v>
      </c>
      <c r="I3213" s="23"/>
      <c r="J3213" s="23"/>
      <c r="K3213" s="23"/>
      <c r="L3213" s="23" t="s">
        <v>9218</v>
      </c>
      <c r="M3213" s="23" t="s">
        <v>3694</v>
      </c>
    </row>
    <row r="3214" spans="2:13" x14ac:dyDescent="0.25">
      <c r="B3214" s="35" t="s">
        <v>9233</v>
      </c>
      <c r="C3214" s="23" t="s">
        <v>9234</v>
      </c>
      <c r="D3214" s="23" t="s">
        <v>3303</v>
      </c>
      <c r="E3214" s="23" t="s">
        <v>3317</v>
      </c>
      <c r="F3214" s="23" t="s">
        <v>3729</v>
      </c>
      <c r="G3214" s="93">
        <v>3</v>
      </c>
      <c r="H3214" s="93">
        <v>1</v>
      </c>
      <c r="I3214" s="23"/>
      <c r="J3214" s="23"/>
      <c r="K3214" s="23"/>
      <c r="L3214" s="23" t="s">
        <v>9218</v>
      </c>
      <c r="M3214" s="23"/>
    </row>
    <row r="3215" spans="2:13" x14ac:dyDescent="0.25">
      <c r="B3215" s="35" t="s">
        <v>9235</v>
      </c>
      <c r="C3215" s="23" t="s">
        <v>9236</v>
      </c>
      <c r="D3215" s="23" t="s">
        <v>3303</v>
      </c>
      <c r="E3215" s="23" t="s">
        <v>3317</v>
      </c>
      <c r="F3215" s="23" t="s">
        <v>3729</v>
      </c>
      <c r="G3215" s="93">
        <v>3</v>
      </c>
      <c r="H3215" s="93">
        <v>1</v>
      </c>
      <c r="I3215" s="23"/>
      <c r="J3215" s="23"/>
      <c r="K3215" s="23"/>
      <c r="L3215" s="23" t="s">
        <v>9218</v>
      </c>
      <c r="M3215" s="23" t="s">
        <v>3694</v>
      </c>
    </row>
    <row r="3216" spans="2:13" x14ac:dyDescent="0.25">
      <c r="B3216" s="35" t="s">
        <v>9218</v>
      </c>
      <c r="C3216" s="23" t="s">
        <v>9237</v>
      </c>
      <c r="D3216" s="23" t="s">
        <v>3303</v>
      </c>
      <c r="E3216" s="23" t="s">
        <v>3367</v>
      </c>
      <c r="F3216" s="23" t="s">
        <v>3729</v>
      </c>
      <c r="G3216" s="93">
        <v>0</v>
      </c>
      <c r="H3216" s="93">
        <v>1</v>
      </c>
      <c r="I3216" s="23"/>
      <c r="J3216" s="23"/>
      <c r="K3216" s="23"/>
      <c r="L3216" s="23" t="s">
        <v>9041</v>
      </c>
      <c r="M3216" s="23"/>
    </row>
    <row r="3217" spans="2:13" x14ac:dyDescent="0.25">
      <c r="B3217" s="35" t="s">
        <v>9238</v>
      </c>
      <c r="C3217" s="23" t="s">
        <v>9239</v>
      </c>
      <c r="D3217" s="23" t="s">
        <v>3303</v>
      </c>
      <c r="E3217" s="23" t="s">
        <v>3304</v>
      </c>
      <c r="F3217" s="23" t="s">
        <v>3729</v>
      </c>
      <c r="G3217" s="93">
        <v>0</v>
      </c>
      <c r="H3217" s="93">
        <v>1</v>
      </c>
      <c r="I3217" s="23"/>
      <c r="J3217" s="23"/>
      <c r="K3217" s="23"/>
      <c r="L3217" s="23" t="s">
        <v>9240</v>
      </c>
      <c r="M3217" s="23"/>
    </row>
    <row r="3218" spans="2:13" x14ac:dyDescent="0.25">
      <c r="B3218" s="35" t="s">
        <v>9241</v>
      </c>
      <c r="C3218" s="23" t="s">
        <v>9242</v>
      </c>
      <c r="D3218" s="23" t="s">
        <v>3303</v>
      </c>
      <c r="E3218" s="23" t="s">
        <v>3317</v>
      </c>
      <c r="F3218" s="23" t="s">
        <v>3729</v>
      </c>
      <c r="G3218" s="93">
        <v>0</v>
      </c>
      <c r="H3218" s="93">
        <v>0</v>
      </c>
      <c r="I3218" s="23"/>
      <c r="J3218" s="23"/>
      <c r="K3218" s="23"/>
      <c r="L3218" s="23" t="s">
        <v>9240</v>
      </c>
      <c r="M3218" s="23"/>
    </row>
    <row r="3219" spans="2:13" x14ac:dyDescent="0.25">
      <c r="B3219" s="35" t="s">
        <v>9243</v>
      </c>
      <c r="C3219" s="23" t="s">
        <v>9244</v>
      </c>
      <c r="D3219" s="23" t="s">
        <v>3303</v>
      </c>
      <c r="E3219" s="23" t="s">
        <v>3317</v>
      </c>
      <c r="F3219" s="23" t="s">
        <v>3729</v>
      </c>
      <c r="G3219" s="93">
        <v>3</v>
      </c>
      <c r="H3219" s="93">
        <v>1</v>
      </c>
      <c r="I3219" s="23"/>
      <c r="J3219" s="23"/>
      <c r="K3219" s="23"/>
      <c r="L3219" s="23" t="s">
        <v>9240</v>
      </c>
      <c r="M3219" s="23"/>
    </row>
    <row r="3220" spans="2:13" x14ac:dyDescent="0.25">
      <c r="B3220" s="35" t="s">
        <v>9245</v>
      </c>
      <c r="C3220" s="23" t="s">
        <v>9246</v>
      </c>
      <c r="D3220" s="23" t="s">
        <v>3303</v>
      </c>
      <c r="E3220" s="23" t="s">
        <v>3317</v>
      </c>
      <c r="F3220" s="23" t="s">
        <v>3729</v>
      </c>
      <c r="G3220" s="93">
        <v>3</v>
      </c>
      <c r="H3220" s="93">
        <v>1</v>
      </c>
      <c r="I3220" s="23"/>
      <c r="J3220" s="23"/>
      <c r="K3220" s="23"/>
      <c r="L3220" s="23" t="s">
        <v>9240</v>
      </c>
      <c r="M3220" s="23"/>
    </row>
    <row r="3221" spans="2:13" x14ac:dyDescent="0.25">
      <c r="B3221" s="35" t="s">
        <v>9247</v>
      </c>
      <c r="C3221" s="23" t="s">
        <v>9248</v>
      </c>
      <c r="D3221" s="23" t="s">
        <v>3303</v>
      </c>
      <c r="E3221" s="23" t="s">
        <v>3317</v>
      </c>
      <c r="F3221" s="23" t="s">
        <v>3729</v>
      </c>
      <c r="G3221" s="93">
        <v>0</v>
      </c>
      <c r="H3221" s="93">
        <v>1</v>
      </c>
      <c r="I3221" s="23"/>
      <c r="J3221" s="23"/>
      <c r="K3221" s="23"/>
      <c r="L3221" s="23" t="s">
        <v>9240</v>
      </c>
      <c r="M3221" s="23" t="s">
        <v>3694</v>
      </c>
    </row>
    <row r="3222" spans="2:13" x14ac:dyDescent="0.25">
      <c r="B3222" s="35" t="s">
        <v>9249</v>
      </c>
      <c r="C3222" s="23" t="s">
        <v>9250</v>
      </c>
      <c r="D3222" s="23" t="s">
        <v>3303</v>
      </c>
      <c r="E3222" s="23" t="s">
        <v>3317</v>
      </c>
      <c r="F3222" s="23" t="s">
        <v>3729</v>
      </c>
      <c r="G3222" s="93">
        <v>0</v>
      </c>
      <c r="H3222" s="93">
        <v>1</v>
      </c>
      <c r="I3222" s="23"/>
      <c r="J3222" s="23"/>
      <c r="K3222" s="23"/>
      <c r="L3222" s="23" t="s">
        <v>9240</v>
      </c>
      <c r="M3222" s="23" t="s">
        <v>3694</v>
      </c>
    </row>
    <row r="3223" spans="2:13" x14ac:dyDescent="0.25">
      <c r="B3223" s="35" t="s">
        <v>9251</v>
      </c>
      <c r="C3223" s="23" t="s">
        <v>9252</v>
      </c>
      <c r="D3223" s="23" t="s">
        <v>3303</v>
      </c>
      <c r="E3223" s="23" t="s">
        <v>3317</v>
      </c>
      <c r="F3223" s="23" t="s">
        <v>3729</v>
      </c>
      <c r="G3223" s="93">
        <v>0</v>
      </c>
      <c r="H3223" s="93">
        <v>1</v>
      </c>
      <c r="I3223" s="23"/>
      <c r="J3223" s="23"/>
      <c r="K3223" s="23"/>
      <c r="L3223" s="23" t="s">
        <v>9240</v>
      </c>
      <c r="M3223" s="23" t="s">
        <v>3694</v>
      </c>
    </row>
    <row r="3224" spans="2:13" x14ac:dyDescent="0.25">
      <c r="B3224" s="35" t="s">
        <v>9253</v>
      </c>
      <c r="C3224" s="23" t="s">
        <v>9254</v>
      </c>
      <c r="D3224" s="23" t="s">
        <v>3303</v>
      </c>
      <c r="E3224" s="23" t="s">
        <v>3317</v>
      </c>
      <c r="F3224" s="23" t="s">
        <v>3729</v>
      </c>
      <c r="G3224" s="93">
        <v>0</v>
      </c>
      <c r="H3224" s="93">
        <v>1</v>
      </c>
      <c r="I3224" s="23"/>
      <c r="J3224" s="23"/>
      <c r="K3224" s="23"/>
      <c r="L3224" s="23" t="s">
        <v>9240</v>
      </c>
      <c r="M3224" s="23" t="s">
        <v>3694</v>
      </c>
    </row>
    <row r="3225" spans="2:13" x14ac:dyDescent="0.25">
      <c r="B3225" s="35" t="s">
        <v>3258</v>
      </c>
      <c r="C3225" s="23" t="s">
        <v>3259</v>
      </c>
      <c r="D3225" s="23" t="s">
        <v>3303</v>
      </c>
      <c r="E3225" s="23" t="s">
        <v>3317</v>
      </c>
      <c r="F3225" s="23" t="s">
        <v>3729</v>
      </c>
      <c r="G3225" s="93">
        <v>0</v>
      </c>
      <c r="H3225" s="93">
        <v>1</v>
      </c>
      <c r="I3225" s="23"/>
      <c r="J3225" s="23"/>
      <c r="K3225" s="23"/>
      <c r="L3225" s="23" t="s">
        <v>9240</v>
      </c>
      <c r="M3225" s="23"/>
    </row>
    <row r="3226" spans="2:13" x14ac:dyDescent="0.25">
      <c r="B3226" s="35" t="s">
        <v>9255</v>
      </c>
      <c r="C3226" s="23" t="s">
        <v>9256</v>
      </c>
      <c r="D3226" s="23" t="s">
        <v>3303</v>
      </c>
      <c r="E3226" s="23" t="s">
        <v>3317</v>
      </c>
      <c r="F3226" s="23" t="s">
        <v>3729</v>
      </c>
      <c r="G3226" s="93">
        <v>3</v>
      </c>
      <c r="H3226" s="93">
        <v>1</v>
      </c>
      <c r="I3226" s="23"/>
      <c r="J3226" s="23"/>
      <c r="K3226" s="23"/>
      <c r="L3226" s="23" t="s">
        <v>9240</v>
      </c>
      <c r="M3226" s="23" t="s">
        <v>3694</v>
      </c>
    </row>
    <row r="3227" spans="2:13" x14ac:dyDescent="0.25">
      <c r="B3227" s="35" t="s">
        <v>9257</v>
      </c>
      <c r="C3227" s="23" t="s">
        <v>9258</v>
      </c>
      <c r="D3227" s="23" t="s">
        <v>3303</v>
      </c>
      <c r="E3227" s="23" t="s">
        <v>3317</v>
      </c>
      <c r="F3227" s="23" t="s">
        <v>3729</v>
      </c>
      <c r="G3227" s="93">
        <v>0</v>
      </c>
      <c r="H3227" s="93">
        <v>1</v>
      </c>
      <c r="I3227" s="23"/>
      <c r="J3227" s="23"/>
      <c r="K3227" s="23"/>
      <c r="L3227" s="23" t="s">
        <v>9240</v>
      </c>
      <c r="M3227" s="23" t="s">
        <v>3694</v>
      </c>
    </row>
    <row r="3228" spans="2:13" x14ac:dyDescent="0.25">
      <c r="B3228" s="35" t="s">
        <v>3261</v>
      </c>
      <c r="C3228" s="23" t="s">
        <v>3262</v>
      </c>
      <c r="D3228" s="23" t="s">
        <v>3303</v>
      </c>
      <c r="E3228" s="23" t="s">
        <v>3317</v>
      </c>
      <c r="F3228" s="23" t="s">
        <v>3729</v>
      </c>
      <c r="G3228" s="93">
        <v>3</v>
      </c>
      <c r="H3228" s="93">
        <v>1</v>
      </c>
      <c r="I3228" s="23"/>
      <c r="J3228" s="23"/>
      <c r="K3228" s="23"/>
      <c r="L3228" s="23" t="s">
        <v>9240</v>
      </c>
      <c r="M3228" s="23"/>
    </row>
    <row r="3229" spans="2:13" x14ac:dyDescent="0.25">
      <c r="B3229" s="35" t="s">
        <v>3264</v>
      </c>
      <c r="C3229" s="23" t="s">
        <v>3265</v>
      </c>
      <c r="D3229" s="23" t="s">
        <v>3303</v>
      </c>
      <c r="E3229" s="23" t="s">
        <v>3317</v>
      </c>
      <c r="F3229" s="23" t="s">
        <v>3729</v>
      </c>
      <c r="G3229" s="93">
        <v>0</v>
      </c>
      <c r="H3229" s="93">
        <v>1</v>
      </c>
      <c r="I3229" s="23"/>
      <c r="J3229" s="23"/>
      <c r="K3229" s="23"/>
      <c r="L3229" s="23" t="s">
        <v>9240</v>
      </c>
      <c r="M3229" s="23"/>
    </row>
    <row r="3230" spans="2:13" x14ac:dyDescent="0.25">
      <c r="B3230" s="35" t="s">
        <v>9259</v>
      </c>
      <c r="C3230" s="23" t="s">
        <v>9260</v>
      </c>
      <c r="D3230" s="23" t="s">
        <v>3303</v>
      </c>
      <c r="E3230" s="23" t="s">
        <v>3317</v>
      </c>
      <c r="F3230" s="23" t="s">
        <v>3729</v>
      </c>
      <c r="G3230" s="93">
        <v>3</v>
      </c>
      <c r="H3230" s="93">
        <v>1</v>
      </c>
      <c r="I3230" s="23"/>
      <c r="J3230" s="23"/>
      <c r="K3230" s="23"/>
      <c r="L3230" s="23" t="s">
        <v>9240</v>
      </c>
      <c r="M3230" s="23"/>
    </row>
    <row r="3231" spans="2:13" x14ac:dyDescent="0.25">
      <c r="B3231" s="35" t="s">
        <v>9261</v>
      </c>
      <c r="C3231" s="23" t="s">
        <v>9262</v>
      </c>
      <c r="D3231" s="23" t="s">
        <v>3303</v>
      </c>
      <c r="E3231" s="23" t="s">
        <v>3317</v>
      </c>
      <c r="F3231" s="23" t="s">
        <v>3729</v>
      </c>
      <c r="G3231" s="93">
        <v>3</v>
      </c>
      <c r="H3231" s="93">
        <v>1</v>
      </c>
      <c r="I3231" s="23"/>
      <c r="J3231" s="23"/>
      <c r="K3231" s="23"/>
      <c r="L3231" s="23" t="s">
        <v>9240</v>
      </c>
      <c r="M3231" s="23"/>
    </row>
    <row r="3232" spans="2:13" x14ac:dyDescent="0.25">
      <c r="B3232" s="35" t="s">
        <v>9263</v>
      </c>
      <c r="C3232" s="23" t="s">
        <v>9264</v>
      </c>
      <c r="D3232" s="23" t="s">
        <v>3303</v>
      </c>
      <c r="E3232" s="23" t="s">
        <v>3317</v>
      </c>
      <c r="F3232" s="23" t="s">
        <v>3729</v>
      </c>
      <c r="G3232" s="93">
        <v>3</v>
      </c>
      <c r="H3232" s="93">
        <v>1</v>
      </c>
      <c r="I3232" s="23"/>
      <c r="J3232" s="23"/>
      <c r="K3232" s="23"/>
      <c r="L3232" s="23" t="s">
        <v>9240</v>
      </c>
      <c r="M3232" s="23"/>
    </row>
    <row r="3233" spans="2:13" x14ac:dyDescent="0.25">
      <c r="B3233" s="35" t="s">
        <v>9265</v>
      </c>
      <c r="C3233" s="23" t="s">
        <v>9266</v>
      </c>
      <c r="D3233" s="23" t="s">
        <v>3303</v>
      </c>
      <c r="E3233" s="23" t="s">
        <v>3317</v>
      </c>
      <c r="F3233" s="23" t="s">
        <v>3729</v>
      </c>
      <c r="G3233" s="93">
        <v>3</v>
      </c>
      <c r="H3233" s="93">
        <v>1</v>
      </c>
      <c r="I3233" s="23"/>
      <c r="J3233" s="23"/>
      <c r="K3233" s="23"/>
      <c r="L3233" s="23" t="s">
        <v>9240</v>
      </c>
      <c r="M3233" s="23"/>
    </row>
    <row r="3234" spans="2:13" x14ac:dyDescent="0.25">
      <c r="B3234" s="35" t="s">
        <v>9267</v>
      </c>
      <c r="C3234" s="23" t="s">
        <v>9268</v>
      </c>
      <c r="D3234" s="23" t="s">
        <v>3303</v>
      </c>
      <c r="E3234" s="23" t="s">
        <v>3317</v>
      </c>
      <c r="F3234" s="23" t="s">
        <v>3729</v>
      </c>
      <c r="G3234" s="93">
        <v>3</v>
      </c>
      <c r="H3234" s="93">
        <v>1</v>
      </c>
      <c r="I3234" s="23"/>
      <c r="J3234" s="23"/>
      <c r="K3234" s="23"/>
      <c r="L3234" s="23" t="s">
        <v>9240</v>
      </c>
      <c r="M3234" s="23"/>
    </row>
    <row r="3235" spans="2:13" x14ac:dyDescent="0.25">
      <c r="B3235" s="35" t="s">
        <v>9269</v>
      </c>
      <c r="C3235" s="23" t="s">
        <v>9270</v>
      </c>
      <c r="D3235" s="23" t="s">
        <v>3303</v>
      </c>
      <c r="E3235" s="23" t="s">
        <v>3317</v>
      </c>
      <c r="F3235" s="23" t="s">
        <v>3729</v>
      </c>
      <c r="G3235" s="93">
        <v>3</v>
      </c>
      <c r="H3235" s="93">
        <v>1</v>
      </c>
      <c r="I3235" s="23"/>
      <c r="J3235" s="23"/>
      <c r="K3235" s="23"/>
      <c r="L3235" s="23" t="s">
        <v>9240</v>
      </c>
      <c r="M3235" s="23"/>
    </row>
    <row r="3236" spans="2:13" x14ac:dyDescent="0.25">
      <c r="B3236" s="35" t="s">
        <v>9271</v>
      </c>
      <c r="C3236" s="23" t="s">
        <v>9272</v>
      </c>
      <c r="D3236" s="23" t="s">
        <v>3303</v>
      </c>
      <c r="E3236" s="23" t="s">
        <v>3317</v>
      </c>
      <c r="F3236" s="23" t="s">
        <v>3729</v>
      </c>
      <c r="G3236" s="93">
        <v>3</v>
      </c>
      <c r="H3236" s="93">
        <v>0</v>
      </c>
      <c r="I3236" s="23"/>
      <c r="J3236" s="23"/>
      <c r="K3236" s="23"/>
      <c r="L3236" s="23" t="s">
        <v>9240</v>
      </c>
      <c r="M3236" s="23"/>
    </row>
    <row r="3237" spans="2:13" x14ac:dyDescent="0.25">
      <c r="B3237" s="35" t="s">
        <v>9273</v>
      </c>
      <c r="C3237" s="23" t="s">
        <v>9274</v>
      </c>
      <c r="D3237" s="23" t="s">
        <v>3303</v>
      </c>
      <c r="E3237" s="23" t="s">
        <v>3317</v>
      </c>
      <c r="F3237" s="23" t="s">
        <v>3729</v>
      </c>
      <c r="G3237" s="93">
        <v>3</v>
      </c>
      <c r="H3237" s="93">
        <v>0</v>
      </c>
      <c r="I3237" s="23"/>
      <c r="J3237" s="23"/>
      <c r="K3237" s="23"/>
      <c r="L3237" s="23" t="s">
        <v>9240</v>
      </c>
      <c r="M3237" s="23"/>
    </row>
    <row r="3238" spans="2:13" x14ac:dyDescent="0.25">
      <c r="B3238" s="35" t="s">
        <v>9275</v>
      </c>
      <c r="C3238" s="23" t="s">
        <v>9276</v>
      </c>
      <c r="D3238" s="23" t="s">
        <v>3303</v>
      </c>
      <c r="E3238" s="23" t="s">
        <v>3317</v>
      </c>
      <c r="F3238" s="23" t="s">
        <v>3729</v>
      </c>
      <c r="G3238" s="93">
        <v>3</v>
      </c>
      <c r="H3238" s="93">
        <v>1</v>
      </c>
      <c r="I3238" s="23"/>
      <c r="J3238" s="23"/>
      <c r="K3238" s="23"/>
      <c r="L3238" s="23" t="s">
        <v>9240</v>
      </c>
      <c r="M3238" s="23" t="s">
        <v>3694</v>
      </c>
    </row>
    <row r="3239" spans="2:13" x14ac:dyDescent="0.25">
      <c r="B3239" s="35" t="s">
        <v>9277</v>
      </c>
      <c r="C3239" s="23" t="s">
        <v>9278</v>
      </c>
      <c r="D3239" s="23" t="s">
        <v>3303</v>
      </c>
      <c r="E3239" s="23" t="s">
        <v>3317</v>
      </c>
      <c r="F3239" s="23" t="s">
        <v>3729</v>
      </c>
      <c r="G3239" s="93">
        <v>3</v>
      </c>
      <c r="H3239" s="93">
        <v>0</v>
      </c>
      <c r="I3239" s="23"/>
      <c r="J3239" s="23"/>
      <c r="K3239" s="23"/>
      <c r="L3239" s="23" t="s">
        <v>9240</v>
      </c>
      <c r="M3239" s="23"/>
    </row>
    <row r="3240" spans="2:13" x14ac:dyDescent="0.25">
      <c r="B3240" s="35" t="s">
        <v>9279</v>
      </c>
      <c r="C3240" s="23" t="s">
        <v>9280</v>
      </c>
      <c r="D3240" s="23" t="s">
        <v>3303</v>
      </c>
      <c r="E3240" s="23" t="s">
        <v>3317</v>
      </c>
      <c r="F3240" s="23" t="s">
        <v>3729</v>
      </c>
      <c r="G3240" s="93">
        <v>3</v>
      </c>
      <c r="H3240" s="93">
        <v>1</v>
      </c>
      <c r="I3240" s="23"/>
      <c r="J3240" s="23"/>
      <c r="K3240" s="23"/>
      <c r="L3240" s="23" t="s">
        <v>9240</v>
      </c>
      <c r="M3240" s="23"/>
    </row>
    <row r="3241" spans="2:13" x14ac:dyDescent="0.25">
      <c r="B3241" s="35" t="s">
        <v>9281</v>
      </c>
      <c r="C3241" s="23" t="s">
        <v>9282</v>
      </c>
      <c r="D3241" s="23" t="s">
        <v>3303</v>
      </c>
      <c r="E3241" s="23" t="s">
        <v>3317</v>
      </c>
      <c r="F3241" s="23" t="s">
        <v>3729</v>
      </c>
      <c r="G3241" s="93">
        <v>3</v>
      </c>
      <c r="H3241" s="93">
        <v>0</v>
      </c>
      <c r="I3241" s="23"/>
      <c r="J3241" s="23"/>
      <c r="K3241" s="23"/>
      <c r="L3241" s="23" t="s">
        <v>9240</v>
      </c>
      <c r="M3241" s="23"/>
    </row>
    <row r="3242" spans="2:13" x14ac:dyDescent="0.25">
      <c r="B3242" s="35" t="s">
        <v>9283</v>
      </c>
      <c r="C3242" s="23" t="s">
        <v>9284</v>
      </c>
      <c r="D3242" s="23" t="s">
        <v>3303</v>
      </c>
      <c r="E3242" s="23" t="s">
        <v>3317</v>
      </c>
      <c r="F3242" s="23" t="s">
        <v>3729</v>
      </c>
      <c r="G3242" s="93">
        <v>3</v>
      </c>
      <c r="H3242" s="93">
        <v>1</v>
      </c>
      <c r="I3242" s="23"/>
      <c r="J3242" s="23"/>
      <c r="K3242" s="23"/>
      <c r="L3242" s="23" t="s">
        <v>9240</v>
      </c>
      <c r="M3242" s="23"/>
    </row>
    <row r="3243" spans="2:13" x14ac:dyDescent="0.25">
      <c r="B3243" s="35" t="s">
        <v>9285</v>
      </c>
      <c r="C3243" s="23" t="s">
        <v>9286</v>
      </c>
      <c r="D3243" s="23" t="s">
        <v>3303</v>
      </c>
      <c r="E3243" s="23" t="s">
        <v>3317</v>
      </c>
      <c r="F3243" s="23" t="s">
        <v>3729</v>
      </c>
      <c r="G3243" s="93">
        <v>3</v>
      </c>
      <c r="H3243" s="93">
        <v>1</v>
      </c>
      <c r="I3243" s="23"/>
      <c r="J3243" s="23"/>
      <c r="K3243" s="23"/>
      <c r="L3243" s="23" t="s">
        <v>9240</v>
      </c>
      <c r="M3243" s="23"/>
    </row>
    <row r="3244" spans="2:13" x14ac:dyDescent="0.25">
      <c r="B3244" s="35" t="s">
        <v>9287</v>
      </c>
      <c r="C3244" s="23" t="s">
        <v>9288</v>
      </c>
      <c r="D3244" s="23" t="s">
        <v>3303</v>
      </c>
      <c r="E3244" s="23" t="s">
        <v>3317</v>
      </c>
      <c r="F3244" s="23" t="s">
        <v>3729</v>
      </c>
      <c r="G3244" s="93">
        <v>3</v>
      </c>
      <c r="H3244" s="93">
        <v>1</v>
      </c>
      <c r="I3244" s="23"/>
      <c r="J3244" s="23"/>
      <c r="K3244" s="23"/>
      <c r="L3244" s="23" t="s">
        <v>9240</v>
      </c>
      <c r="M3244" s="23"/>
    </row>
    <row r="3245" spans="2:13" x14ac:dyDescent="0.25">
      <c r="B3245" s="35" t="s">
        <v>9289</v>
      </c>
      <c r="C3245" s="23" t="s">
        <v>9290</v>
      </c>
      <c r="D3245" s="23" t="s">
        <v>3303</v>
      </c>
      <c r="E3245" s="23" t="s">
        <v>3317</v>
      </c>
      <c r="F3245" s="23" t="s">
        <v>3729</v>
      </c>
      <c r="G3245" s="93">
        <v>3</v>
      </c>
      <c r="H3245" s="93">
        <v>1</v>
      </c>
      <c r="I3245" s="23"/>
      <c r="J3245" s="23"/>
      <c r="K3245" s="23"/>
      <c r="L3245" s="23" t="s">
        <v>9240</v>
      </c>
      <c r="M3245" s="23"/>
    </row>
    <row r="3246" spans="2:13" x14ac:dyDescent="0.25">
      <c r="B3246" s="35" t="s">
        <v>9240</v>
      </c>
      <c r="C3246" s="23" t="s">
        <v>9291</v>
      </c>
      <c r="D3246" s="23" t="s">
        <v>3303</v>
      </c>
      <c r="E3246" s="23" t="s">
        <v>3367</v>
      </c>
      <c r="F3246" s="23" t="s">
        <v>3729</v>
      </c>
      <c r="G3246" s="93">
        <v>0</v>
      </c>
      <c r="H3246" s="93">
        <v>1</v>
      </c>
      <c r="I3246" s="23"/>
      <c r="J3246" s="23"/>
      <c r="K3246" s="23"/>
      <c r="L3246" s="23" t="s">
        <v>9041</v>
      </c>
      <c r="M3246" s="23"/>
    </row>
    <row r="3247" spans="2:13" x14ac:dyDescent="0.25">
      <c r="B3247" s="35" t="s">
        <v>9041</v>
      </c>
      <c r="C3247" s="23" t="s">
        <v>9292</v>
      </c>
      <c r="D3247" s="23" t="s">
        <v>3303</v>
      </c>
      <c r="E3247" s="23" t="s">
        <v>3367</v>
      </c>
      <c r="F3247" s="23" t="s">
        <v>3729</v>
      </c>
      <c r="G3247" s="93">
        <v>0</v>
      </c>
      <c r="H3247" s="93">
        <v>0</v>
      </c>
      <c r="I3247" s="23"/>
      <c r="J3247" s="23"/>
      <c r="K3247" s="23"/>
      <c r="L3247" s="23" t="s">
        <v>9015</v>
      </c>
      <c r="M3247" s="23"/>
    </row>
    <row r="3248" spans="2:13" x14ac:dyDescent="0.25">
      <c r="B3248" s="35" t="s">
        <v>9015</v>
      </c>
      <c r="C3248" s="23" t="s">
        <v>9293</v>
      </c>
      <c r="D3248" s="23" t="s">
        <v>3303</v>
      </c>
      <c r="E3248" s="23" t="s">
        <v>3367</v>
      </c>
      <c r="F3248" s="23" t="s">
        <v>3729</v>
      </c>
      <c r="G3248" s="93">
        <v>0</v>
      </c>
      <c r="H3248" s="93">
        <v>0</v>
      </c>
      <c r="I3248" s="23"/>
      <c r="J3248" s="23"/>
      <c r="K3248" s="23"/>
      <c r="L3248" s="23" t="s">
        <v>5741</v>
      </c>
      <c r="M3248" s="23"/>
    </row>
    <row r="3249" spans="2:13" x14ac:dyDescent="0.25">
      <c r="B3249" s="35" t="s">
        <v>9294</v>
      </c>
      <c r="C3249" s="23" t="s">
        <v>9295</v>
      </c>
      <c r="D3249" s="23" t="s">
        <v>3303</v>
      </c>
      <c r="E3249" s="23" t="s">
        <v>3304</v>
      </c>
      <c r="F3249" s="23" t="s">
        <v>3729</v>
      </c>
      <c r="G3249" s="93">
        <v>0</v>
      </c>
      <c r="H3249" s="93">
        <v>0</v>
      </c>
      <c r="I3249" s="23"/>
      <c r="J3249" s="23"/>
      <c r="K3249" s="23"/>
      <c r="L3249" s="23" t="s">
        <v>9296</v>
      </c>
      <c r="M3249" s="23"/>
    </row>
    <row r="3250" spans="2:13" x14ac:dyDescent="0.25">
      <c r="B3250" s="35" t="s">
        <v>3266</v>
      </c>
      <c r="C3250" s="23" t="s">
        <v>3267</v>
      </c>
      <c r="D3250" s="23" t="s">
        <v>3303</v>
      </c>
      <c r="E3250" s="23" t="s">
        <v>3317</v>
      </c>
      <c r="F3250" s="23" t="s">
        <v>3729</v>
      </c>
      <c r="G3250" s="93">
        <v>3</v>
      </c>
      <c r="H3250" s="93">
        <v>0</v>
      </c>
      <c r="I3250" s="23"/>
      <c r="J3250" s="23"/>
      <c r="K3250" s="23"/>
      <c r="L3250" s="23" t="s">
        <v>9296</v>
      </c>
      <c r="M3250" s="23"/>
    </row>
    <row r="3251" spans="2:13" x14ac:dyDescent="0.25">
      <c r="B3251" s="35" t="s">
        <v>9297</v>
      </c>
      <c r="C3251" s="23" t="s">
        <v>9298</v>
      </c>
      <c r="D3251" s="23" t="s">
        <v>3303</v>
      </c>
      <c r="E3251" s="23" t="s">
        <v>3317</v>
      </c>
      <c r="F3251" s="23" t="s">
        <v>3729</v>
      </c>
      <c r="G3251" s="93">
        <v>3</v>
      </c>
      <c r="H3251" s="93">
        <v>0</v>
      </c>
      <c r="I3251" s="23"/>
      <c r="J3251" s="23"/>
      <c r="K3251" s="23"/>
      <c r="L3251" s="23" t="s">
        <v>9296</v>
      </c>
      <c r="M3251" s="23"/>
    </row>
    <row r="3252" spans="2:13" x14ac:dyDescent="0.25">
      <c r="B3252" s="35" t="s">
        <v>9299</v>
      </c>
      <c r="C3252" s="23" t="s">
        <v>9300</v>
      </c>
      <c r="D3252" s="23" t="s">
        <v>3303</v>
      </c>
      <c r="E3252" s="23" t="s">
        <v>3317</v>
      </c>
      <c r="F3252" s="23" t="s">
        <v>3729</v>
      </c>
      <c r="G3252" s="93">
        <v>3</v>
      </c>
      <c r="H3252" s="93">
        <v>0</v>
      </c>
      <c r="I3252" s="23"/>
      <c r="J3252" s="23"/>
      <c r="K3252" s="23"/>
      <c r="L3252" s="23" t="s">
        <v>9296</v>
      </c>
      <c r="M3252" s="23"/>
    </row>
    <row r="3253" spans="2:13" x14ac:dyDescent="0.25">
      <c r="B3253" s="35" t="s">
        <v>9301</v>
      </c>
      <c r="C3253" s="23" t="s">
        <v>9302</v>
      </c>
      <c r="D3253" s="23" t="s">
        <v>3303</v>
      </c>
      <c r="E3253" s="23" t="s">
        <v>3317</v>
      </c>
      <c r="F3253" s="23" t="s">
        <v>3729</v>
      </c>
      <c r="G3253" s="93">
        <v>0</v>
      </c>
      <c r="H3253" s="93">
        <v>0</v>
      </c>
      <c r="I3253" s="23"/>
      <c r="J3253" s="23"/>
      <c r="K3253" s="23"/>
      <c r="L3253" s="23" t="s">
        <v>9296</v>
      </c>
      <c r="M3253" s="23"/>
    </row>
    <row r="3254" spans="2:13" x14ac:dyDescent="0.25">
      <c r="B3254" s="35" t="s">
        <v>9296</v>
      </c>
      <c r="C3254" s="23" t="s">
        <v>9303</v>
      </c>
      <c r="D3254" s="23" t="s">
        <v>3303</v>
      </c>
      <c r="E3254" s="23" t="s">
        <v>3367</v>
      </c>
      <c r="F3254" s="23" t="s">
        <v>3729</v>
      </c>
      <c r="G3254" s="93">
        <v>0</v>
      </c>
      <c r="H3254" s="93">
        <v>0</v>
      </c>
      <c r="I3254" s="23"/>
      <c r="J3254" s="23"/>
      <c r="K3254" s="23"/>
      <c r="L3254" s="23" t="s">
        <v>5741</v>
      </c>
      <c r="M3254" s="23"/>
    </row>
    <row r="3255" spans="2:13" x14ac:dyDescent="0.25">
      <c r="B3255" s="35" t="s">
        <v>9304</v>
      </c>
      <c r="C3255" s="23" t="s">
        <v>9305</v>
      </c>
      <c r="D3255" s="23" t="s">
        <v>3303</v>
      </c>
      <c r="E3255" s="23" t="s">
        <v>3304</v>
      </c>
      <c r="F3255" s="23" t="s">
        <v>3729</v>
      </c>
      <c r="G3255" s="93">
        <v>0</v>
      </c>
      <c r="H3255" s="93">
        <v>0</v>
      </c>
      <c r="I3255" s="23"/>
      <c r="J3255" s="23"/>
      <c r="K3255" s="23"/>
      <c r="L3255" s="23" t="s">
        <v>9306</v>
      </c>
      <c r="M3255" s="23"/>
    </row>
    <row r="3256" spans="2:13" x14ac:dyDescent="0.25">
      <c r="B3256" s="35" t="s">
        <v>9307</v>
      </c>
      <c r="C3256" s="23" t="s">
        <v>9308</v>
      </c>
      <c r="D3256" s="23" t="s">
        <v>3303</v>
      </c>
      <c r="E3256" s="23" t="s">
        <v>3304</v>
      </c>
      <c r="F3256" s="23" t="s">
        <v>3729</v>
      </c>
      <c r="G3256" s="93">
        <v>0</v>
      </c>
      <c r="H3256" s="93">
        <v>1</v>
      </c>
      <c r="I3256" s="23"/>
      <c r="J3256" s="23"/>
      <c r="K3256" s="23"/>
      <c r="L3256" s="23" t="s">
        <v>9309</v>
      </c>
      <c r="M3256" s="23"/>
    </row>
    <row r="3257" spans="2:13" x14ac:dyDescent="0.25">
      <c r="B3257" s="35" t="s">
        <v>2911</v>
      </c>
      <c r="C3257" s="23" t="s">
        <v>2912</v>
      </c>
      <c r="D3257" s="23" t="s">
        <v>3303</v>
      </c>
      <c r="E3257" s="23" t="s">
        <v>3317</v>
      </c>
      <c r="F3257" s="23" t="s">
        <v>3729</v>
      </c>
      <c r="G3257" s="93">
        <v>3</v>
      </c>
      <c r="H3257" s="93">
        <v>0</v>
      </c>
      <c r="I3257" s="23"/>
      <c r="J3257" s="23"/>
      <c r="K3257" s="23"/>
      <c r="L3257" s="23" t="s">
        <v>9309</v>
      </c>
      <c r="M3257" s="23"/>
    </row>
    <row r="3258" spans="2:13" x14ac:dyDescent="0.25">
      <c r="B3258" s="35" t="s">
        <v>2915</v>
      </c>
      <c r="C3258" s="23" t="s">
        <v>2916</v>
      </c>
      <c r="D3258" s="23" t="s">
        <v>3303</v>
      </c>
      <c r="E3258" s="23" t="s">
        <v>3317</v>
      </c>
      <c r="F3258" s="23" t="s">
        <v>3729</v>
      </c>
      <c r="G3258" s="93">
        <v>3</v>
      </c>
      <c r="H3258" s="93">
        <v>0</v>
      </c>
      <c r="I3258" s="23"/>
      <c r="J3258" s="23"/>
      <c r="K3258" s="23"/>
      <c r="L3258" s="23" t="s">
        <v>9309</v>
      </c>
      <c r="M3258" s="23"/>
    </row>
    <row r="3259" spans="2:13" x14ac:dyDescent="0.25">
      <c r="B3259" s="35" t="s">
        <v>2921</v>
      </c>
      <c r="C3259" s="23" t="s">
        <v>2922</v>
      </c>
      <c r="D3259" s="23" t="s">
        <v>3303</v>
      </c>
      <c r="E3259" s="23" t="s">
        <v>3317</v>
      </c>
      <c r="F3259" s="23" t="s">
        <v>3729</v>
      </c>
      <c r="G3259" s="93">
        <v>3</v>
      </c>
      <c r="H3259" s="93">
        <v>0</v>
      </c>
      <c r="I3259" s="23"/>
      <c r="J3259" s="23"/>
      <c r="K3259" s="23"/>
      <c r="L3259" s="23" t="s">
        <v>9309</v>
      </c>
      <c r="M3259" s="23"/>
    </row>
    <row r="3260" spans="2:13" x14ac:dyDescent="0.25">
      <c r="B3260" s="35" t="s">
        <v>9309</v>
      </c>
      <c r="C3260" s="23" t="s">
        <v>9310</v>
      </c>
      <c r="D3260" s="23" t="s">
        <v>3303</v>
      </c>
      <c r="E3260" s="23" t="s">
        <v>3367</v>
      </c>
      <c r="F3260" s="23" t="s">
        <v>3729</v>
      </c>
      <c r="G3260" s="93">
        <v>0</v>
      </c>
      <c r="H3260" s="93">
        <v>1</v>
      </c>
      <c r="I3260" s="23"/>
      <c r="J3260" s="23"/>
      <c r="K3260" s="23"/>
      <c r="L3260" s="23" t="s">
        <v>9306</v>
      </c>
      <c r="M3260" s="23"/>
    </row>
    <row r="3261" spans="2:13" x14ac:dyDescent="0.25">
      <c r="B3261" s="35" t="s">
        <v>9311</v>
      </c>
      <c r="C3261" s="23" t="s">
        <v>9312</v>
      </c>
      <c r="D3261" s="23" t="s">
        <v>3303</v>
      </c>
      <c r="E3261" s="23" t="s">
        <v>3304</v>
      </c>
      <c r="F3261" s="23" t="s">
        <v>3729</v>
      </c>
      <c r="G3261" s="93">
        <v>0</v>
      </c>
      <c r="H3261" s="93">
        <v>0</v>
      </c>
      <c r="I3261" s="23"/>
      <c r="J3261" s="23"/>
      <c r="K3261" s="23"/>
      <c r="L3261" s="23" t="s">
        <v>9313</v>
      </c>
      <c r="M3261" s="23"/>
    </row>
    <row r="3262" spans="2:13" x14ac:dyDescent="0.25">
      <c r="B3262" s="35" t="s">
        <v>9314</v>
      </c>
      <c r="C3262" s="23" t="s">
        <v>9315</v>
      </c>
      <c r="D3262" s="23" t="s">
        <v>3303</v>
      </c>
      <c r="E3262" s="23" t="s">
        <v>3317</v>
      </c>
      <c r="F3262" s="23" t="s">
        <v>3729</v>
      </c>
      <c r="G3262" s="93">
        <v>3</v>
      </c>
      <c r="H3262" s="93">
        <v>0</v>
      </c>
      <c r="I3262" s="23"/>
      <c r="J3262" s="23"/>
      <c r="K3262" s="23"/>
      <c r="L3262" s="23" t="s">
        <v>9313</v>
      </c>
      <c r="M3262" s="23"/>
    </row>
    <row r="3263" spans="2:13" x14ac:dyDescent="0.25">
      <c r="B3263" s="35" t="s">
        <v>9316</v>
      </c>
      <c r="C3263" s="23" t="s">
        <v>9317</v>
      </c>
      <c r="D3263" s="23" t="s">
        <v>3303</v>
      </c>
      <c r="E3263" s="23" t="s">
        <v>3317</v>
      </c>
      <c r="F3263" s="23" t="s">
        <v>3729</v>
      </c>
      <c r="G3263" s="93">
        <v>3</v>
      </c>
      <c r="H3263" s="93">
        <v>0</v>
      </c>
      <c r="I3263" s="23"/>
      <c r="J3263" s="23"/>
      <c r="K3263" s="23"/>
      <c r="L3263" s="23" t="s">
        <v>9313</v>
      </c>
      <c r="M3263" s="23"/>
    </row>
    <row r="3264" spans="2:13" x14ac:dyDescent="0.25">
      <c r="B3264" s="35" t="s">
        <v>9318</v>
      </c>
      <c r="C3264" s="23" t="s">
        <v>9319</v>
      </c>
      <c r="D3264" s="23" t="s">
        <v>3303</v>
      </c>
      <c r="E3264" s="23" t="s">
        <v>3317</v>
      </c>
      <c r="F3264" s="23" t="s">
        <v>3729</v>
      </c>
      <c r="G3264" s="93">
        <v>3</v>
      </c>
      <c r="H3264" s="93">
        <v>1</v>
      </c>
      <c r="I3264" s="23"/>
      <c r="J3264" s="23"/>
      <c r="K3264" s="23"/>
      <c r="L3264" s="23" t="s">
        <v>9313</v>
      </c>
      <c r="M3264" s="23" t="s">
        <v>3694</v>
      </c>
    </row>
    <row r="3265" spans="2:13" x14ac:dyDescent="0.25">
      <c r="B3265" s="35" t="s">
        <v>9320</v>
      </c>
      <c r="C3265" s="23" t="s">
        <v>9321</v>
      </c>
      <c r="D3265" s="23" t="s">
        <v>3303</v>
      </c>
      <c r="E3265" s="23" t="s">
        <v>3317</v>
      </c>
      <c r="F3265" s="23" t="s">
        <v>3729</v>
      </c>
      <c r="G3265" s="93">
        <v>3</v>
      </c>
      <c r="H3265" s="93">
        <v>0</v>
      </c>
      <c r="I3265" s="23"/>
      <c r="J3265" s="23"/>
      <c r="K3265" s="23"/>
      <c r="L3265" s="23" t="s">
        <v>9313</v>
      </c>
      <c r="M3265" s="23"/>
    </row>
    <row r="3266" spans="2:13" x14ac:dyDescent="0.25">
      <c r="B3266" s="35" t="s">
        <v>9322</v>
      </c>
      <c r="C3266" s="23" t="s">
        <v>9323</v>
      </c>
      <c r="D3266" s="23" t="s">
        <v>3303</v>
      </c>
      <c r="E3266" s="23" t="s">
        <v>3317</v>
      </c>
      <c r="F3266" s="23" t="s">
        <v>3729</v>
      </c>
      <c r="G3266" s="93">
        <v>0</v>
      </c>
      <c r="H3266" s="93">
        <v>0</v>
      </c>
      <c r="I3266" s="23"/>
      <c r="J3266" s="23"/>
      <c r="K3266" s="23"/>
      <c r="L3266" s="23" t="s">
        <v>9313</v>
      </c>
      <c r="M3266" s="23"/>
    </row>
    <row r="3267" spans="2:13" x14ac:dyDescent="0.25">
      <c r="B3267" s="35" t="s">
        <v>9313</v>
      </c>
      <c r="C3267" s="23" t="s">
        <v>9324</v>
      </c>
      <c r="D3267" s="23" t="s">
        <v>3303</v>
      </c>
      <c r="E3267" s="23" t="s">
        <v>3367</v>
      </c>
      <c r="F3267" s="23" t="s">
        <v>3729</v>
      </c>
      <c r="G3267" s="93">
        <v>0</v>
      </c>
      <c r="H3267" s="93">
        <v>0</v>
      </c>
      <c r="I3267" s="23"/>
      <c r="J3267" s="23"/>
      <c r="K3267" s="23"/>
      <c r="L3267" s="23" t="s">
        <v>9306</v>
      </c>
      <c r="M3267" s="23"/>
    </row>
    <row r="3268" spans="2:13" x14ac:dyDescent="0.25">
      <c r="B3268" s="35" t="s">
        <v>9306</v>
      </c>
      <c r="C3268" s="23" t="s">
        <v>9325</v>
      </c>
      <c r="D3268" s="23" t="s">
        <v>3303</v>
      </c>
      <c r="E3268" s="23" t="s">
        <v>3367</v>
      </c>
      <c r="F3268" s="23" t="s">
        <v>3729</v>
      </c>
      <c r="G3268" s="93">
        <v>0</v>
      </c>
      <c r="H3268" s="93">
        <v>0</v>
      </c>
      <c r="I3268" s="23"/>
      <c r="J3268" s="23"/>
      <c r="K3268" s="23"/>
      <c r="L3268" s="23" t="s">
        <v>5741</v>
      </c>
      <c r="M3268" s="23"/>
    </row>
    <row r="3269" spans="2:13" x14ac:dyDescent="0.25">
      <c r="B3269" s="35" t="s">
        <v>9326</v>
      </c>
      <c r="C3269" s="23" t="s">
        <v>9327</v>
      </c>
      <c r="D3269" s="23" t="s">
        <v>3303</v>
      </c>
      <c r="E3269" s="23" t="s">
        <v>3304</v>
      </c>
      <c r="F3269" s="23" t="s">
        <v>3729</v>
      </c>
      <c r="G3269" s="93">
        <v>0</v>
      </c>
      <c r="H3269" s="93">
        <v>0</v>
      </c>
      <c r="I3269" s="23"/>
      <c r="J3269" s="23"/>
      <c r="K3269" s="23"/>
      <c r="L3269" s="23" t="s">
        <v>9328</v>
      </c>
      <c r="M3269" s="23"/>
    </row>
    <row r="3270" spans="2:13" x14ac:dyDescent="0.25">
      <c r="B3270" s="35" t="s">
        <v>9329</v>
      </c>
      <c r="C3270" s="23" t="s">
        <v>9330</v>
      </c>
      <c r="D3270" s="23" t="s">
        <v>3303</v>
      </c>
      <c r="E3270" s="23" t="s">
        <v>3317</v>
      </c>
      <c r="F3270" s="23" t="s">
        <v>3729</v>
      </c>
      <c r="G3270" s="93">
        <v>3</v>
      </c>
      <c r="H3270" s="93">
        <v>0</v>
      </c>
      <c r="I3270" s="23"/>
      <c r="J3270" s="23"/>
      <c r="K3270" s="23"/>
      <c r="L3270" s="23" t="s">
        <v>9328</v>
      </c>
      <c r="M3270" s="23"/>
    </row>
    <row r="3271" spans="2:13" x14ac:dyDescent="0.25">
      <c r="B3271" s="35" t="s">
        <v>9331</v>
      </c>
      <c r="C3271" s="23" t="s">
        <v>9332</v>
      </c>
      <c r="D3271" s="23" t="s">
        <v>3303</v>
      </c>
      <c r="E3271" s="23" t="s">
        <v>3317</v>
      </c>
      <c r="F3271" s="23" t="s">
        <v>3729</v>
      </c>
      <c r="G3271" s="93">
        <v>3</v>
      </c>
      <c r="H3271" s="93">
        <v>0</v>
      </c>
      <c r="I3271" s="23"/>
      <c r="J3271" s="23"/>
      <c r="K3271" s="23"/>
      <c r="L3271" s="23" t="s">
        <v>9328</v>
      </c>
      <c r="M3271" s="23"/>
    </row>
    <row r="3272" spans="2:13" x14ac:dyDescent="0.25">
      <c r="B3272" s="35" t="s">
        <v>9333</v>
      </c>
      <c r="C3272" s="23" t="s">
        <v>9334</v>
      </c>
      <c r="D3272" s="23" t="s">
        <v>3303</v>
      </c>
      <c r="E3272" s="23" t="s">
        <v>3317</v>
      </c>
      <c r="F3272" s="23" t="s">
        <v>3729</v>
      </c>
      <c r="G3272" s="93">
        <v>3</v>
      </c>
      <c r="H3272" s="93">
        <v>0</v>
      </c>
      <c r="I3272" s="23"/>
      <c r="J3272" s="23"/>
      <c r="K3272" s="23"/>
      <c r="L3272" s="23" t="s">
        <v>9328</v>
      </c>
      <c r="M3272" s="23"/>
    </row>
    <row r="3273" spans="2:13" x14ac:dyDescent="0.25">
      <c r="B3273" s="35" t="s">
        <v>9335</v>
      </c>
      <c r="C3273" s="23" t="s">
        <v>9336</v>
      </c>
      <c r="D3273" s="23" t="s">
        <v>3303</v>
      </c>
      <c r="E3273" s="23" t="s">
        <v>3317</v>
      </c>
      <c r="F3273" s="23" t="s">
        <v>3729</v>
      </c>
      <c r="G3273" s="93">
        <v>3</v>
      </c>
      <c r="H3273" s="93">
        <v>0</v>
      </c>
      <c r="I3273" s="23"/>
      <c r="J3273" s="23"/>
      <c r="K3273" s="23"/>
      <c r="L3273" s="23" t="s">
        <v>9328</v>
      </c>
      <c r="M3273" s="23"/>
    </row>
    <row r="3274" spans="2:13" x14ac:dyDescent="0.25">
      <c r="B3274" s="35" t="s">
        <v>9337</v>
      </c>
      <c r="C3274" s="23" t="s">
        <v>9338</v>
      </c>
      <c r="D3274" s="23" t="s">
        <v>3303</v>
      </c>
      <c r="E3274" s="23" t="s">
        <v>3317</v>
      </c>
      <c r="F3274" s="23" t="s">
        <v>3729</v>
      </c>
      <c r="G3274" s="93">
        <v>3</v>
      </c>
      <c r="H3274" s="93">
        <v>0</v>
      </c>
      <c r="I3274" s="23"/>
      <c r="J3274" s="23"/>
      <c r="K3274" s="23"/>
      <c r="L3274" s="23" t="s">
        <v>9328</v>
      </c>
      <c r="M3274" s="23"/>
    </row>
    <row r="3275" spans="2:13" x14ac:dyDescent="0.25">
      <c r="B3275" s="35" t="s">
        <v>9328</v>
      </c>
      <c r="C3275" s="23" t="s">
        <v>9339</v>
      </c>
      <c r="D3275" s="23" t="s">
        <v>3303</v>
      </c>
      <c r="E3275" s="23" t="s">
        <v>3367</v>
      </c>
      <c r="F3275" s="23" t="s">
        <v>3729</v>
      </c>
      <c r="G3275" s="93">
        <v>0</v>
      </c>
      <c r="H3275" s="93">
        <v>0</v>
      </c>
      <c r="I3275" s="23"/>
      <c r="J3275" s="23"/>
      <c r="K3275" s="23"/>
      <c r="L3275" s="23" t="s">
        <v>5741</v>
      </c>
      <c r="M3275" s="23"/>
    </row>
    <row r="3276" spans="2:13" x14ac:dyDescent="0.25">
      <c r="B3276" s="35" t="s">
        <v>9340</v>
      </c>
      <c r="C3276" s="23" t="s">
        <v>5241</v>
      </c>
      <c r="D3276" s="23" t="s">
        <v>3303</v>
      </c>
      <c r="E3276" s="23" t="s">
        <v>3304</v>
      </c>
      <c r="F3276" s="23" t="s">
        <v>3729</v>
      </c>
      <c r="G3276" s="93">
        <v>0</v>
      </c>
      <c r="H3276" s="93">
        <v>0</v>
      </c>
      <c r="I3276" s="23"/>
      <c r="J3276" s="23"/>
      <c r="K3276" s="23"/>
      <c r="L3276" s="23" t="s">
        <v>9341</v>
      </c>
      <c r="M3276" s="23"/>
    </row>
    <row r="3277" spans="2:13" x14ac:dyDescent="0.25">
      <c r="B3277" s="35" t="s">
        <v>9342</v>
      </c>
      <c r="C3277" s="23" t="s">
        <v>5241</v>
      </c>
      <c r="D3277" s="23" t="s">
        <v>3303</v>
      </c>
      <c r="E3277" s="23" t="s">
        <v>3317</v>
      </c>
      <c r="F3277" s="23" t="s">
        <v>3729</v>
      </c>
      <c r="G3277" s="93">
        <v>0</v>
      </c>
      <c r="H3277" s="93">
        <v>1</v>
      </c>
      <c r="I3277" s="23"/>
      <c r="J3277" s="23"/>
      <c r="K3277" s="23"/>
      <c r="L3277" s="23" t="s">
        <v>9341</v>
      </c>
      <c r="M3277" s="23"/>
    </row>
    <row r="3278" spans="2:13" x14ac:dyDescent="0.25">
      <c r="B3278" s="35" t="s">
        <v>9341</v>
      </c>
      <c r="C3278" s="23" t="s">
        <v>9343</v>
      </c>
      <c r="D3278" s="23" t="s">
        <v>3303</v>
      </c>
      <c r="E3278" s="23" t="s">
        <v>3367</v>
      </c>
      <c r="F3278" s="23" t="s">
        <v>3729</v>
      </c>
      <c r="G3278" s="93">
        <v>0</v>
      </c>
      <c r="H3278" s="93">
        <v>0</v>
      </c>
      <c r="I3278" s="23"/>
      <c r="J3278" s="23"/>
      <c r="K3278" s="23"/>
      <c r="L3278" s="23" t="s">
        <v>5741</v>
      </c>
      <c r="M3278" s="23"/>
    </row>
    <row r="3279" spans="2:13" x14ac:dyDescent="0.25">
      <c r="B3279" s="35" t="s">
        <v>9344</v>
      </c>
      <c r="C3279" s="23" t="s">
        <v>9345</v>
      </c>
      <c r="D3279" s="23" t="s">
        <v>3303</v>
      </c>
      <c r="E3279" s="23" t="s">
        <v>3304</v>
      </c>
      <c r="F3279" s="23" t="s">
        <v>3729</v>
      </c>
      <c r="G3279" s="93">
        <v>0</v>
      </c>
      <c r="H3279" s="93">
        <v>0</v>
      </c>
      <c r="I3279" s="23"/>
      <c r="J3279" s="23"/>
      <c r="K3279" s="23"/>
      <c r="L3279" s="23" t="s">
        <v>9346</v>
      </c>
      <c r="M3279" s="23"/>
    </row>
    <row r="3280" spans="2:13" x14ac:dyDescent="0.25">
      <c r="B3280" s="35" t="s">
        <v>9347</v>
      </c>
      <c r="C3280" s="23" t="s">
        <v>9348</v>
      </c>
      <c r="D3280" s="23" t="s">
        <v>3303</v>
      </c>
      <c r="E3280" s="23" t="s">
        <v>3317</v>
      </c>
      <c r="F3280" s="23" t="s">
        <v>3729</v>
      </c>
      <c r="G3280" s="93">
        <v>3</v>
      </c>
      <c r="H3280" s="93">
        <v>1</v>
      </c>
      <c r="I3280" s="23"/>
      <c r="J3280" s="23"/>
      <c r="K3280" s="23"/>
      <c r="L3280" s="23" t="s">
        <v>9346</v>
      </c>
      <c r="M3280" s="23" t="s">
        <v>3680</v>
      </c>
    </row>
    <row r="3281" spans="2:13" x14ac:dyDescent="0.25">
      <c r="B3281" s="35" t="s">
        <v>9349</v>
      </c>
      <c r="C3281" s="23" t="s">
        <v>9350</v>
      </c>
      <c r="D3281" s="23" t="s">
        <v>3303</v>
      </c>
      <c r="E3281" s="23" t="s">
        <v>3317</v>
      </c>
      <c r="F3281" s="23" t="s">
        <v>3729</v>
      </c>
      <c r="G3281" s="93">
        <v>0</v>
      </c>
      <c r="H3281" s="93">
        <v>1</v>
      </c>
      <c r="I3281" s="23"/>
      <c r="J3281" s="23"/>
      <c r="K3281" s="23"/>
      <c r="L3281" s="23" t="s">
        <v>9346</v>
      </c>
      <c r="M3281" s="23"/>
    </row>
    <row r="3282" spans="2:13" x14ac:dyDescent="0.25">
      <c r="B3282" s="35" t="s">
        <v>9351</v>
      </c>
      <c r="C3282" s="23" t="s">
        <v>9352</v>
      </c>
      <c r="D3282" s="23" t="s">
        <v>3303</v>
      </c>
      <c r="E3282" s="23" t="s">
        <v>3317</v>
      </c>
      <c r="F3282" s="23" t="s">
        <v>3729</v>
      </c>
      <c r="G3282" s="93">
        <v>3</v>
      </c>
      <c r="H3282" s="93">
        <v>0</v>
      </c>
      <c r="I3282" s="23"/>
      <c r="J3282" s="23"/>
      <c r="K3282" s="23"/>
      <c r="L3282" s="23" t="s">
        <v>9346</v>
      </c>
      <c r="M3282" s="23" t="s">
        <v>5235</v>
      </c>
    </row>
    <row r="3283" spans="2:13" x14ac:dyDescent="0.25">
      <c r="B3283" s="35" t="s">
        <v>9346</v>
      </c>
      <c r="C3283" s="23" t="s">
        <v>9353</v>
      </c>
      <c r="D3283" s="23" t="s">
        <v>3303</v>
      </c>
      <c r="E3283" s="23" t="s">
        <v>3367</v>
      </c>
      <c r="F3283" s="23" t="s">
        <v>3729</v>
      </c>
      <c r="G3283" s="93">
        <v>0</v>
      </c>
      <c r="H3283" s="93">
        <v>0</v>
      </c>
      <c r="I3283" s="23"/>
      <c r="J3283" s="23"/>
      <c r="K3283" s="23"/>
      <c r="L3283" s="23" t="s">
        <v>5741</v>
      </c>
      <c r="M3283" s="23"/>
    </row>
    <row r="3284" spans="2:13" x14ac:dyDescent="0.25">
      <c r="B3284" s="35" t="s">
        <v>5741</v>
      </c>
      <c r="C3284" s="23" t="s">
        <v>9354</v>
      </c>
      <c r="D3284" s="23" t="s">
        <v>3303</v>
      </c>
      <c r="E3284" s="23" t="s">
        <v>3367</v>
      </c>
      <c r="F3284" s="23" t="s">
        <v>3729</v>
      </c>
      <c r="G3284" s="93">
        <v>0</v>
      </c>
      <c r="H3284" s="93">
        <v>0</v>
      </c>
      <c r="I3284" s="23"/>
      <c r="J3284" s="23"/>
      <c r="K3284" s="23"/>
      <c r="L3284" s="23" t="s">
        <v>5157</v>
      </c>
      <c r="M3284" s="23"/>
    </row>
    <row r="3285" spans="2:13" x14ac:dyDescent="0.25">
      <c r="B3285" s="36" t="s">
        <v>5157</v>
      </c>
      <c r="C3285" s="24" t="s">
        <v>9355</v>
      </c>
      <c r="D3285" s="24" t="s">
        <v>3303</v>
      </c>
      <c r="E3285" s="24" t="s">
        <v>3367</v>
      </c>
      <c r="F3285" s="24" t="s">
        <v>3729</v>
      </c>
      <c r="G3285" s="94">
        <v>0</v>
      </c>
      <c r="H3285" s="94">
        <v>0</v>
      </c>
      <c r="I3285" s="24"/>
      <c r="J3285" s="24"/>
      <c r="K3285" s="24"/>
      <c r="L3285" s="24"/>
      <c r="M3285" s="24"/>
    </row>
  </sheetData>
  <autoFilter ref="A7:M7" xr:uid="{00000000-0001-0000-0000-000000000000}"/>
  <pageMargins left="0.7" right="0.7" top="0.7" bottom="0.7" header="0.5" footer="0.5"/>
  <pageSetup fitToHeight="990" orientation="landscape" useFirstPageNumber="1" r:id="rId1"/>
  <headerFooter alignWithMargins="0">
    <oddHeader>&amp;R&amp;B&amp;D &amp;T</oddHeader>
    <oddFooter>&amp;C&amp;B Page &amp;P of &amp;N</oddFooter>
  </headerFooter>
  <rowBreaks count="1" manualBreakCount="1">
    <brk id="44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897DD-216C-4B51-A40D-2F59BAE86A5F}">
  <sheetPr codeName="Sheet14">
    <pageSetUpPr fitToPage="1"/>
  </sheetPr>
  <dimension ref="B3:R611"/>
  <sheetViews>
    <sheetView workbookViewId="0">
      <pane ySplit="5" topLeftCell="A6" activePane="bottomLeft" state="frozen"/>
      <selection pane="bottomLeft"/>
    </sheetView>
  </sheetViews>
  <sheetFormatPr defaultColWidth="9.109375" defaultRowHeight="13.2" x14ac:dyDescent="0.25"/>
  <cols>
    <col min="1" max="1" width="4.5546875" style="19" customWidth="1"/>
    <col min="2" max="3" width="9.109375" style="19"/>
    <col min="4" max="4" width="10.88671875" style="19" bestFit="1" customWidth="1"/>
    <col min="5" max="5" width="41.5546875" style="19" customWidth="1"/>
    <col min="6" max="6" width="9.88671875" style="26" customWidth="1"/>
    <col min="7" max="7" width="13.109375" style="26" bestFit="1" customWidth="1"/>
    <col min="8" max="8" width="8.5546875" style="26" bestFit="1" customWidth="1"/>
    <col min="9" max="9" width="12.44140625" style="19" bestFit="1" customWidth="1"/>
    <col min="10" max="10" width="9" style="26" customWidth="1"/>
    <col min="11" max="11" width="9.6640625" style="26" customWidth="1"/>
    <col min="12" max="12" width="13.88671875" style="26" customWidth="1"/>
    <col min="13" max="13" width="17.109375" style="26" bestFit="1" customWidth="1"/>
    <col min="14" max="14" width="10.88671875" style="26" customWidth="1"/>
    <col min="15" max="15" width="11.33203125" style="19" customWidth="1"/>
    <col min="16" max="16" width="32.33203125" style="26" customWidth="1"/>
    <col min="17" max="17" width="12.44140625" style="26" customWidth="1"/>
    <col min="18" max="18" width="10.6640625" style="26" customWidth="1"/>
    <col min="19" max="16384" width="9.109375" style="19"/>
  </cols>
  <sheetData>
    <row r="3" spans="2:18" ht="21" customHeight="1" x14ac:dyDescent="0.25">
      <c r="B3" s="51" t="s">
        <v>9356</v>
      </c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</row>
    <row r="4" spans="2:18" ht="15" customHeight="1" x14ac:dyDescent="0.25">
      <c r="B4" s="22"/>
      <c r="C4" s="22"/>
      <c r="D4" s="29"/>
      <c r="E4" s="22"/>
      <c r="F4" s="29"/>
      <c r="G4" s="29"/>
      <c r="H4" s="29"/>
      <c r="I4" s="29"/>
      <c r="J4" s="29"/>
      <c r="K4" s="29"/>
      <c r="L4" s="29"/>
      <c r="M4" s="29"/>
      <c r="N4" s="29"/>
      <c r="O4" s="29"/>
      <c r="P4" s="22"/>
      <c r="Q4" s="29"/>
      <c r="R4" s="29"/>
    </row>
    <row r="5" spans="2:18" s="2" customFormat="1" ht="30" customHeight="1" x14ac:dyDescent="0.25">
      <c r="B5" s="30" t="s">
        <v>9357</v>
      </c>
      <c r="C5" s="30" t="s">
        <v>9358</v>
      </c>
      <c r="D5" s="31" t="s">
        <v>9359</v>
      </c>
      <c r="E5" s="32" t="s">
        <v>9360</v>
      </c>
      <c r="F5" s="31" t="s">
        <v>9361</v>
      </c>
      <c r="G5" s="31" t="s">
        <v>9362</v>
      </c>
      <c r="H5" s="31" t="s">
        <v>47</v>
      </c>
      <c r="I5" s="31" t="s">
        <v>9363</v>
      </c>
      <c r="J5" s="31" t="s">
        <v>9364</v>
      </c>
      <c r="K5" s="31" t="s">
        <v>9365</v>
      </c>
      <c r="L5" s="31" t="s">
        <v>9366</v>
      </c>
      <c r="M5" s="31" t="s">
        <v>9367</v>
      </c>
      <c r="N5" s="31" t="s">
        <v>9368</v>
      </c>
      <c r="O5" s="31" t="s">
        <v>9369</v>
      </c>
      <c r="P5" s="32" t="s">
        <v>9370</v>
      </c>
      <c r="Q5" s="31" t="s">
        <v>9371</v>
      </c>
      <c r="R5" s="31" t="s">
        <v>9372</v>
      </c>
    </row>
    <row r="6" spans="2:18" ht="15" customHeight="1" x14ac:dyDescent="0.25">
      <c r="B6" s="33" t="str">
        <f t="shared" ref="B6:B69" si="0">RIGHT($C6,2)</f>
        <v>01</v>
      </c>
      <c r="C6" s="33" t="str">
        <f t="shared" ref="C6:C69" si="1">"c0"&amp;RIGHT($D6,2)</f>
        <v>c001</v>
      </c>
      <c r="D6" s="34" t="s">
        <v>9373</v>
      </c>
      <c r="E6" s="34" t="s">
        <v>401</v>
      </c>
      <c r="F6" s="34" t="s">
        <v>9374</v>
      </c>
      <c r="G6" s="34" t="s">
        <v>9375</v>
      </c>
      <c r="H6" s="34" t="s">
        <v>121</v>
      </c>
      <c r="I6" s="34" t="s">
        <v>9376</v>
      </c>
      <c r="J6" s="34" t="s">
        <v>3276</v>
      </c>
      <c r="K6" s="34" t="s">
        <v>3275</v>
      </c>
      <c r="L6" s="34" t="s">
        <v>9377</v>
      </c>
      <c r="M6" s="34" t="s">
        <v>9378</v>
      </c>
      <c r="N6" s="34" t="s">
        <v>9379</v>
      </c>
      <c r="O6" s="34" t="s">
        <v>9380</v>
      </c>
      <c r="P6" s="34" t="s">
        <v>9381</v>
      </c>
      <c r="Q6" s="34" t="s">
        <v>9382</v>
      </c>
      <c r="R6" s="34" t="s">
        <v>9383</v>
      </c>
    </row>
    <row r="7" spans="2:18" ht="15" customHeight="1" x14ac:dyDescent="0.25">
      <c r="B7" s="33" t="str">
        <f t="shared" si="0"/>
        <v>02</v>
      </c>
      <c r="C7" s="33" t="str">
        <f t="shared" si="1"/>
        <v>c002</v>
      </c>
      <c r="D7" s="23" t="s">
        <v>9384</v>
      </c>
      <c r="E7" s="23" t="s">
        <v>404</v>
      </c>
      <c r="F7" s="23" t="s">
        <v>9374</v>
      </c>
      <c r="G7" s="23" t="s">
        <v>9375</v>
      </c>
      <c r="H7" s="23" t="s">
        <v>121</v>
      </c>
      <c r="I7" s="23" t="s">
        <v>9376</v>
      </c>
      <c r="J7" s="23" t="s">
        <v>3276</v>
      </c>
      <c r="K7" s="23" t="s">
        <v>3275</v>
      </c>
      <c r="L7" s="23" t="s">
        <v>9385</v>
      </c>
      <c r="M7" s="23" t="s">
        <v>9378</v>
      </c>
      <c r="N7" s="23" t="s">
        <v>9379</v>
      </c>
      <c r="O7" s="23"/>
      <c r="P7" s="23"/>
      <c r="Q7" s="23" t="s">
        <v>9386</v>
      </c>
      <c r="R7" s="23" t="s">
        <v>9383</v>
      </c>
    </row>
    <row r="8" spans="2:18" ht="15" customHeight="1" x14ac:dyDescent="0.25">
      <c r="B8" s="33" t="str">
        <f t="shared" si="0"/>
        <v>03</v>
      </c>
      <c r="C8" s="33" t="str">
        <f t="shared" si="1"/>
        <v>c003</v>
      </c>
      <c r="D8" s="23" t="s">
        <v>9387</v>
      </c>
      <c r="E8" s="23" t="s">
        <v>407</v>
      </c>
      <c r="F8" s="23" t="s">
        <v>9374</v>
      </c>
      <c r="G8" s="23" t="s">
        <v>9375</v>
      </c>
      <c r="H8" s="23" t="s">
        <v>121</v>
      </c>
      <c r="I8" s="23" t="s">
        <v>9376</v>
      </c>
      <c r="J8" s="23" t="s">
        <v>3276</v>
      </c>
      <c r="K8" s="23" t="s">
        <v>3275</v>
      </c>
      <c r="L8" s="23" t="s">
        <v>9377</v>
      </c>
      <c r="M8" s="23" t="s">
        <v>9378</v>
      </c>
      <c r="N8" s="23" t="s">
        <v>9379</v>
      </c>
      <c r="O8" s="23" t="s">
        <v>9380</v>
      </c>
      <c r="P8" s="23" t="s">
        <v>9381</v>
      </c>
      <c r="Q8" s="23" t="s">
        <v>9388</v>
      </c>
      <c r="R8" s="23" t="s">
        <v>9383</v>
      </c>
    </row>
    <row r="9" spans="2:18" ht="15" customHeight="1" x14ac:dyDescent="0.25">
      <c r="B9" s="33" t="str">
        <f t="shared" si="0"/>
        <v>04</v>
      </c>
      <c r="C9" s="33" t="str">
        <f t="shared" si="1"/>
        <v>c004</v>
      </c>
      <c r="D9" s="23" t="s">
        <v>9389</v>
      </c>
      <c r="E9" s="23" t="s">
        <v>410</v>
      </c>
      <c r="F9" s="23" t="s">
        <v>9374</v>
      </c>
      <c r="G9" s="23" t="s">
        <v>9375</v>
      </c>
      <c r="H9" s="23" t="s">
        <v>121</v>
      </c>
      <c r="I9" s="23" t="s">
        <v>9376</v>
      </c>
      <c r="J9" s="23" t="s">
        <v>3276</v>
      </c>
      <c r="K9" s="23" t="s">
        <v>3275</v>
      </c>
      <c r="L9" s="23" t="s">
        <v>9377</v>
      </c>
      <c r="M9" s="23" t="s">
        <v>9378</v>
      </c>
      <c r="N9" s="23" t="s">
        <v>9379</v>
      </c>
      <c r="O9" s="23" t="s">
        <v>9380</v>
      </c>
      <c r="P9" s="23" t="s">
        <v>9381</v>
      </c>
      <c r="Q9" s="23" t="s">
        <v>9390</v>
      </c>
      <c r="R9" s="23" t="s">
        <v>9383</v>
      </c>
    </row>
    <row r="10" spans="2:18" ht="15" customHeight="1" x14ac:dyDescent="0.25">
      <c r="B10" s="33" t="str">
        <f t="shared" si="0"/>
        <v>05</v>
      </c>
      <c r="C10" s="33" t="str">
        <f t="shared" si="1"/>
        <v>c005</v>
      </c>
      <c r="D10" s="23" t="s">
        <v>9391</v>
      </c>
      <c r="E10" s="23" t="s">
        <v>413</v>
      </c>
      <c r="F10" s="23" t="s">
        <v>9374</v>
      </c>
      <c r="G10" s="23" t="s">
        <v>9375</v>
      </c>
      <c r="H10" s="23" t="s">
        <v>121</v>
      </c>
      <c r="I10" s="23" t="s">
        <v>9376</v>
      </c>
      <c r="J10" s="23" t="s">
        <v>3276</v>
      </c>
      <c r="K10" s="23" t="s">
        <v>3275</v>
      </c>
      <c r="L10" s="23" t="s">
        <v>9392</v>
      </c>
      <c r="M10" s="23" t="s">
        <v>9393</v>
      </c>
      <c r="N10" s="23" t="s">
        <v>9394</v>
      </c>
      <c r="O10" s="23"/>
      <c r="P10" s="23"/>
      <c r="Q10" s="23" t="s">
        <v>9395</v>
      </c>
      <c r="R10" s="23" t="s">
        <v>9383</v>
      </c>
    </row>
    <row r="11" spans="2:18" ht="15" customHeight="1" x14ac:dyDescent="0.25">
      <c r="B11" s="33" t="str">
        <f t="shared" si="0"/>
        <v>06</v>
      </c>
      <c r="C11" s="33" t="str">
        <f t="shared" si="1"/>
        <v>c006</v>
      </c>
      <c r="D11" s="23" t="s">
        <v>9396</v>
      </c>
      <c r="E11" s="23" t="s">
        <v>415</v>
      </c>
      <c r="F11" s="23" t="s">
        <v>9374</v>
      </c>
      <c r="G11" s="23" t="s">
        <v>9375</v>
      </c>
      <c r="H11" s="23" t="s">
        <v>121</v>
      </c>
      <c r="I11" s="23" t="s">
        <v>9376</v>
      </c>
      <c r="J11" s="23" t="s">
        <v>3276</v>
      </c>
      <c r="K11" s="23" t="s">
        <v>3275</v>
      </c>
      <c r="L11" s="23" t="s">
        <v>9377</v>
      </c>
      <c r="M11" s="23" t="s">
        <v>9378</v>
      </c>
      <c r="N11" s="23" t="s">
        <v>9379</v>
      </c>
      <c r="O11" s="23" t="s">
        <v>9380</v>
      </c>
      <c r="P11" s="23" t="s">
        <v>9381</v>
      </c>
      <c r="Q11" s="23" t="s">
        <v>9397</v>
      </c>
      <c r="R11" s="23" t="s">
        <v>9383</v>
      </c>
    </row>
    <row r="12" spans="2:18" ht="15" customHeight="1" x14ac:dyDescent="0.25">
      <c r="B12" s="33" t="str">
        <f t="shared" si="0"/>
        <v>07</v>
      </c>
      <c r="C12" s="33" t="str">
        <f t="shared" si="1"/>
        <v>c007</v>
      </c>
      <c r="D12" s="23" t="s">
        <v>9398</v>
      </c>
      <c r="E12" s="23" t="s">
        <v>418</v>
      </c>
      <c r="F12" s="23" t="s">
        <v>9374</v>
      </c>
      <c r="G12" s="23" t="s">
        <v>9375</v>
      </c>
      <c r="H12" s="23" t="s">
        <v>121</v>
      </c>
      <c r="I12" s="23" t="s">
        <v>9376</v>
      </c>
      <c r="J12" s="23" t="s">
        <v>3276</v>
      </c>
      <c r="K12" s="23" t="s">
        <v>3275</v>
      </c>
      <c r="L12" s="23" t="s">
        <v>9399</v>
      </c>
      <c r="M12" s="23" t="s">
        <v>9378</v>
      </c>
      <c r="N12" s="23" t="s">
        <v>9394</v>
      </c>
      <c r="O12" s="23"/>
      <c r="P12" s="23"/>
      <c r="Q12" s="23" t="s">
        <v>9400</v>
      </c>
      <c r="R12" s="23" t="s">
        <v>9383</v>
      </c>
    </row>
    <row r="13" spans="2:18" ht="15" customHeight="1" x14ac:dyDescent="0.25">
      <c r="B13" s="33" t="str">
        <f t="shared" si="0"/>
        <v>08</v>
      </c>
      <c r="C13" s="33" t="str">
        <f t="shared" si="1"/>
        <v>c008</v>
      </c>
      <c r="D13" s="23" t="s">
        <v>9401</v>
      </c>
      <c r="E13" s="23" t="s">
        <v>9402</v>
      </c>
      <c r="F13" s="23" t="s">
        <v>9374</v>
      </c>
      <c r="G13" s="23" t="s">
        <v>9403</v>
      </c>
      <c r="H13" s="23" t="s">
        <v>121</v>
      </c>
      <c r="I13" s="23" t="s">
        <v>9376</v>
      </c>
      <c r="J13" s="23"/>
      <c r="K13" s="23"/>
      <c r="L13" s="23"/>
      <c r="M13" s="23" t="s">
        <v>9378</v>
      </c>
      <c r="N13" s="23" t="s">
        <v>9379</v>
      </c>
      <c r="O13" s="23"/>
      <c r="P13" s="23"/>
      <c r="Q13" s="23" t="s">
        <v>9404</v>
      </c>
      <c r="R13" s="23" t="s">
        <v>9383</v>
      </c>
    </row>
    <row r="14" spans="2:18" ht="15" customHeight="1" x14ac:dyDescent="0.25">
      <c r="B14" s="33" t="str">
        <f t="shared" si="0"/>
        <v>14</v>
      </c>
      <c r="C14" s="33" t="str">
        <f t="shared" si="1"/>
        <v>c014</v>
      </c>
      <c r="D14" s="23" t="s">
        <v>9405</v>
      </c>
      <c r="E14" s="23" t="s">
        <v>423</v>
      </c>
      <c r="F14" s="23" t="s">
        <v>9374</v>
      </c>
      <c r="G14" s="23" t="s">
        <v>9403</v>
      </c>
      <c r="H14" s="23" t="s">
        <v>121</v>
      </c>
      <c r="I14" s="23" t="s">
        <v>9376</v>
      </c>
      <c r="J14" s="23"/>
      <c r="K14" s="23"/>
      <c r="L14" s="23"/>
      <c r="M14" s="23" t="s">
        <v>9378</v>
      </c>
      <c r="N14" s="23" t="s">
        <v>9379</v>
      </c>
      <c r="O14" s="23"/>
      <c r="P14" s="23"/>
      <c r="Q14" s="23" t="s">
        <v>9406</v>
      </c>
      <c r="R14" s="23" t="s">
        <v>9383</v>
      </c>
    </row>
    <row r="15" spans="2:18" ht="15" customHeight="1" x14ac:dyDescent="0.25">
      <c r="B15" s="33" t="str">
        <f t="shared" si="0"/>
        <v>15</v>
      </c>
      <c r="C15" s="33" t="str">
        <f t="shared" si="1"/>
        <v>c015</v>
      </c>
      <c r="D15" s="23" t="s">
        <v>9407</v>
      </c>
      <c r="E15" s="23" t="s">
        <v>425</v>
      </c>
      <c r="F15" s="23" t="s">
        <v>9374</v>
      </c>
      <c r="G15" s="23" t="s">
        <v>9403</v>
      </c>
      <c r="H15" s="23" t="s">
        <v>121</v>
      </c>
      <c r="I15" s="23" t="s">
        <v>9376</v>
      </c>
      <c r="J15" s="23"/>
      <c r="K15" s="23"/>
      <c r="L15" s="23"/>
      <c r="M15" s="23" t="s">
        <v>9378</v>
      </c>
      <c r="N15" s="23" t="s">
        <v>9379</v>
      </c>
      <c r="O15" s="23"/>
      <c r="P15" s="23"/>
      <c r="Q15" s="23" t="s">
        <v>9408</v>
      </c>
      <c r="R15" s="23" t="s">
        <v>9383</v>
      </c>
    </row>
    <row r="16" spans="2:18" ht="15" customHeight="1" x14ac:dyDescent="0.25">
      <c r="B16" s="33" t="str">
        <f t="shared" si="0"/>
        <v>16</v>
      </c>
      <c r="C16" s="33" t="str">
        <f t="shared" si="1"/>
        <v>c016</v>
      </c>
      <c r="D16" s="23" t="s">
        <v>9409</v>
      </c>
      <c r="E16" s="23" t="s">
        <v>9410</v>
      </c>
      <c r="F16" s="23" t="s">
        <v>9374</v>
      </c>
      <c r="G16" s="23" t="s">
        <v>9403</v>
      </c>
      <c r="H16" s="23" t="s">
        <v>121</v>
      </c>
      <c r="I16" s="23" t="s">
        <v>9376</v>
      </c>
      <c r="J16" s="23"/>
      <c r="K16" s="23"/>
      <c r="L16" s="23"/>
      <c r="M16" s="23" t="s">
        <v>9378</v>
      </c>
      <c r="N16" s="23" t="s">
        <v>9379</v>
      </c>
      <c r="O16" s="23"/>
      <c r="P16" s="23"/>
      <c r="Q16" s="23" t="s">
        <v>9411</v>
      </c>
      <c r="R16" s="23" t="s">
        <v>9383</v>
      </c>
    </row>
    <row r="17" spans="2:18" ht="15" customHeight="1" x14ac:dyDescent="0.25">
      <c r="B17" s="33" t="str">
        <f t="shared" si="0"/>
        <v>17</v>
      </c>
      <c r="C17" s="33" t="str">
        <f t="shared" si="1"/>
        <v>c017</v>
      </c>
      <c r="D17" s="23" t="s">
        <v>9412</v>
      </c>
      <c r="E17" s="23" t="s">
        <v>9413</v>
      </c>
      <c r="F17" s="23" t="s">
        <v>9374</v>
      </c>
      <c r="G17" s="23" t="s">
        <v>9403</v>
      </c>
      <c r="H17" s="23" t="s">
        <v>121</v>
      </c>
      <c r="I17" s="23" t="s">
        <v>9376</v>
      </c>
      <c r="J17" s="23"/>
      <c r="K17" s="23"/>
      <c r="L17" s="23"/>
      <c r="M17" s="23" t="s">
        <v>9378</v>
      </c>
      <c r="N17" s="23" t="s">
        <v>9379</v>
      </c>
      <c r="O17" s="23"/>
      <c r="P17" s="23"/>
      <c r="Q17" s="23" t="s">
        <v>9414</v>
      </c>
      <c r="R17" s="23" t="s">
        <v>9383</v>
      </c>
    </row>
    <row r="18" spans="2:18" ht="15" customHeight="1" x14ac:dyDescent="0.25">
      <c r="B18" s="33" t="str">
        <f t="shared" si="0"/>
        <v>18</v>
      </c>
      <c r="C18" s="33" t="str">
        <f t="shared" si="1"/>
        <v>c018</v>
      </c>
      <c r="D18" s="23" t="s">
        <v>9415</v>
      </c>
      <c r="E18" s="23" t="s">
        <v>9416</v>
      </c>
      <c r="F18" s="23" t="s">
        <v>9374</v>
      </c>
      <c r="G18" s="23" t="s">
        <v>9403</v>
      </c>
      <c r="H18" s="23" t="s">
        <v>121</v>
      </c>
      <c r="I18" s="23" t="s">
        <v>9376</v>
      </c>
      <c r="J18" s="23"/>
      <c r="K18" s="23"/>
      <c r="L18" s="23"/>
      <c r="M18" s="23" t="s">
        <v>9378</v>
      </c>
      <c r="N18" s="23" t="s">
        <v>9379</v>
      </c>
      <c r="O18" s="23"/>
      <c r="P18" s="23"/>
      <c r="Q18" s="23" t="s">
        <v>9417</v>
      </c>
      <c r="R18" s="23" t="s">
        <v>9418</v>
      </c>
    </row>
    <row r="19" spans="2:18" ht="15" customHeight="1" x14ac:dyDescent="0.25">
      <c r="B19" s="33" t="str">
        <f t="shared" si="0"/>
        <v>19</v>
      </c>
      <c r="C19" s="33" t="str">
        <f t="shared" si="1"/>
        <v>c019</v>
      </c>
      <c r="D19" s="23" t="s">
        <v>9419</v>
      </c>
      <c r="E19" s="23" t="s">
        <v>9420</v>
      </c>
      <c r="F19" s="23" t="s">
        <v>9374</v>
      </c>
      <c r="G19" s="23" t="s">
        <v>9403</v>
      </c>
      <c r="H19" s="23" t="s">
        <v>121</v>
      </c>
      <c r="I19" s="23" t="s">
        <v>9376</v>
      </c>
      <c r="J19" s="23"/>
      <c r="K19" s="23"/>
      <c r="L19" s="23"/>
      <c r="M19" s="23" t="s">
        <v>9378</v>
      </c>
      <c r="N19" s="23" t="s">
        <v>9379</v>
      </c>
      <c r="O19" s="23"/>
      <c r="P19" s="23"/>
      <c r="Q19" s="23" t="s">
        <v>9421</v>
      </c>
      <c r="R19" s="23" t="s">
        <v>9418</v>
      </c>
    </row>
    <row r="20" spans="2:18" ht="15" customHeight="1" x14ac:dyDescent="0.25">
      <c r="B20" s="33" t="str">
        <f t="shared" si="0"/>
        <v>1a</v>
      </c>
      <c r="C20" s="33" t="str">
        <f t="shared" si="1"/>
        <v>c01a</v>
      </c>
      <c r="D20" s="23" t="s">
        <v>9422</v>
      </c>
      <c r="E20" s="23" t="s">
        <v>9423</v>
      </c>
      <c r="F20" s="23" t="s">
        <v>9374</v>
      </c>
      <c r="G20" s="23" t="s">
        <v>9375</v>
      </c>
      <c r="H20" s="23" t="s">
        <v>121</v>
      </c>
      <c r="I20" s="23" t="s">
        <v>9376</v>
      </c>
      <c r="J20" s="23" t="s">
        <v>3276</v>
      </c>
      <c r="K20" s="23" t="s">
        <v>3275</v>
      </c>
      <c r="L20" s="23" t="s">
        <v>9424</v>
      </c>
      <c r="M20" s="23" t="s">
        <v>9425</v>
      </c>
      <c r="N20" s="23" t="s">
        <v>9394</v>
      </c>
      <c r="O20" s="23"/>
      <c r="P20" s="23"/>
      <c r="Q20" s="23"/>
      <c r="R20" s="23"/>
    </row>
    <row r="21" spans="2:18" ht="15" customHeight="1" x14ac:dyDescent="0.25">
      <c r="B21" s="33" t="str">
        <f t="shared" si="0"/>
        <v>1b</v>
      </c>
      <c r="C21" s="33" t="str">
        <f t="shared" si="1"/>
        <v>c01b</v>
      </c>
      <c r="D21" s="23" t="s">
        <v>9426</v>
      </c>
      <c r="E21" s="23" t="s">
        <v>9427</v>
      </c>
      <c r="F21" s="23" t="s">
        <v>9374</v>
      </c>
      <c r="G21" s="23" t="s">
        <v>9375</v>
      </c>
      <c r="H21" s="23" t="s">
        <v>121</v>
      </c>
      <c r="I21" s="23" t="s">
        <v>9376</v>
      </c>
      <c r="J21" s="23" t="s">
        <v>3276</v>
      </c>
      <c r="K21" s="23" t="s">
        <v>3275</v>
      </c>
      <c r="L21" s="23" t="s">
        <v>9428</v>
      </c>
      <c r="M21" s="23" t="s">
        <v>9425</v>
      </c>
      <c r="N21" s="23" t="s">
        <v>9394</v>
      </c>
      <c r="O21" s="23" t="s">
        <v>9429</v>
      </c>
      <c r="P21" s="23" t="s">
        <v>9430</v>
      </c>
      <c r="Q21" s="23"/>
      <c r="R21" s="23"/>
    </row>
    <row r="22" spans="2:18" ht="15" customHeight="1" x14ac:dyDescent="0.25">
      <c r="B22" s="33" t="str">
        <f t="shared" si="0"/>
        <v>1c</v>
      </c>
      <c r="C22" s="33" t="str">
        <f t="shared" si="1"/>
        <v>c01c</v>
      </c>
      <c r="D22" s="23" t="s">
        <v>9431</v>
      </c>
      <c r="E22" s="23" t="s">
        <v>9432</v>
      </c>
      <c r="F22" s="23" t="s">
        <v>9374</v>
      </c>
      <c r="G22" s="23" t="s">
        <v>9375</v>
      </c>
      <c r="H22" s="23" t="s">
        <v>121</v>
      </c>
      <c r="I22" s="23" t="s">
        <v>9376</v>
      </c>
      <c r="J22" s="23" t="s">
        <v>3276</v>
      </c>
      <c r="K22" s="23" t="s">
        <v>3275</v>
      </c>
      <c r="L22" s="23" t="s">
        <v>9433</v>
      </c>
      <c r="M22" s="23" t="s">
        <v>9425</v>
      </c>
      <c r="N22" s="23" t="s">
        <v>9394</v>
      </c>
      <c r="O22" s="23" t="s">
        <v>9434</v>
      </c>
      <c r="P22" s="23" t="s">
        <v>9435</v>
      </c>
      <c r="Q22" s="23"/>
      <c r="R22" s="23"/>
    </row>
    <row r="23" spans="2:18" ht="15" customHeight="1" x14ac:dyDescent="0.25">
      <c r="B23" s="33" t="str">
        <f t="shared" si="0"/>
        <v>1d</v>
      </c>
      <c r="C23" s="33" t="str">
        <f t="shared" si="1"/>
        <v>c01d</v>
      </c>
      <c r="D23" s="23" t="s">
        <v>9436</v>
      </c>
      <c r="E23" s="23" t="s">
        <v>9437</v>
      </c>
      <c r="F23" s="23" t="s">
        <v>9374</v>
      </c>
      <c r="G23" s="23" t="s">
        <v>9375</v>
      </c>
      <c r="H23" s="23" t="s">
        <v>121</v>
      </c>
      <c r="I23" s="23" t="s">
        <v>9376</v>
      </c>
      <c r="J23" s="23" t="s">
        <v>3276</v>
      </c>
      <c r="K23" s="23" t="s">
        <v>3275</v>
      </c>
      <c r="L23" s="23" t="s">
        <v>9438</v>
      </c>
      <c r="M23" s="23" t="s">
        <v>9378</v>
      </c>
      <c r="N23" s="23" t="s">
        <v>9379</v>
      </c>
      <c r="O23" s="23" t="s">
        <v>9439</v>
      </c>
      <c r="P23" s="23" t="s">
        <v>9440</v>
      </c>
      <c r="Q23" s="23"/>
      <c r="R23" s="23"/>
    </row>
    <row r="24" spans="2:18" ht="15" customHeight="1" x14ac:dyDescent="0.25">
      <c r="B24" s="33" t="str">
        <f t="shared" si="0"/>
        <v>1e</v>
      </c>
      <c r="C24" s="33" t="str">
        <f t="shared" si="1"/>
        <v>c01e</v>
      </c>
      <c r="D24" s="23" t="s">
        <v>9441</v>
      </c>
      <c r="E24" s="23" t="s">
        <v>9442</v>
      </c>
      <c r="F24" s="23" t="s">
        <v>9374</v>
      </c>
      <c r="G24" s="23" t="s">
        <v>9375</v>
      </c>
      <c r="H24" s="23" t="s">
        <v>121</v>
      </c>
      <c r="I24" s="23" t="s">
        <v>9376</v>
      </c>
      <c r="J24" s="23" t="s">
        <v>3276</v>
      </c>
      <c r="K24" s="23" t="s">
        <v>3275</v>
      </c>
      <c r="L24" s="23" t="s">
        <v>9443</v>
      </c>
      <c r="M24" s="23" t="s">
        <v>9425</v>
      </c>
      <c r="N24" s="23" t="s">
        <v>9394</v>
      </c>
      <c r="O24" s="23" t="s">
        <v>9444</v>
      </c>
      <c r="P24" s="23" t="s">
        <v>9445</v>
      </c>
      <c r="Q24" s="23"/>
      <c r="R24" s="23"/>
    </row>
    <row r="25" spans="2:18" ht="15" customHeight="1" x14ac:dyDescent="0.25">
      <c r="B25" s="33" t="str">
        <f t="shared" si="0"/>
        <v>1f</v>
      </c>
      <c r="C25" s="33" t="str">
        <f t="shared" si="1"/>
        <v>c01f</v>
      </c>
      <c r="D25" s="23" t="s">
        <v>9446</v>
      </c>
      <c r="E25" s="23" t="s">
        <v>9447</v>
      </c>
      <c r="F25" s="23" t="s">
        <v>9374</v>
      </c>
      <c r="G25" s="23" t="s">
        <v>9375</v>
      </c>
      <c r="H25" s="23" t="s">
        <v>121</v>
      </c>
      <c r="I25" s="23" t="s">
        <v>9376</v>
      </c>
      <c r="J25" s="23" t="s">
        <v>3276</v>
      </c>
      <c r="K25" s="23" t="s">
        <v>3275</v>
      </c>
      <c r="L25" s="23" t="s">
        <v>9448</v>
      </c>
      <c r="M25" s="23" t="s">
        <v>9425</v>
      </c>
      <c r="N25" s="23" t="s">
        <v>9394</v>
      </c>
      <c r="O25" s="23" t="s">
        <v>9449</v>
      </c>
      <c r="P25" s="23" t="s">
        <v>9450</v>
      </c>
      <c r="Q25" s="23"/>
      <c r="R25" s="23"/>
    </row>
    <row r="26" spans="2:18" ht="15" customHeight="1" x14ac:dyDescent="0.25">
      <c r="B26" s="33" t="str">
        <f t="shared" si="0"/>
        <v>1g</v>
      </c>
      <c r="C26" s="33" t="str">
        <f t="shared" si="1"/>
        <v>c01g</v>
      </c>
      <c r="D26" s="23" t="s">
        <v>9451</v>
      </c>
      <c r="E26" s="23" t="s">
        <v>9452</v>
      </c>
      <c r="F26" s="23" t="s">
        <v>9374</v>
      </c>
      <c r="G26" s="23" t="s">
        <v>9375</v>
      </c>
      <c r="H26" s="23" t="s">
        <v>121</v>
      </c>
      <c r="I26" s="23" t="s">
        <v>9376</v>
      </c>
      <c r="J26" s="23" t="s">
        <v>3276</v>
      </c>
      <c r="K26" s="23" t="s">
        <v>3275</v>
      </c>
      <c r="L26" s="23" t="s">
        <v>9453</v>
      </c>
      <c r="M26" s="23" t="s">
        <v>9425</v>
      </c>
      <c r="N26" s="23" t="s">
        <v>9394</v>
      </c>
      <c r="O26" s="23" t="s">
        <v>9454</v>
      </c>
      <c r="P26" s="23" t="s">
        <v>9455</v>
      </c>
      <c r="Q26" s="23"/>
      <c r="R26" s="23"/>
    </row>
    <row r="27" spans="2:18" ht="15" customHeight="1" x14ac:dyDescent="0.25">
      <c r="B27" s="33" t="str">
        <f t="shared" si="0"/>
        <v>1h</v>
      </c>
      <c r="C27" s="33" t="str">
        <f t="shared" si="1"/>
        <v>c01h</v>
      </c>
      <c r="D27" s="23" t="s">
        <v>9456</v>
      </c>
      <c r="E27" s="23" t="s">
        <v>9457</v>
      </c>
      <c r="F27" s="23" t="s">
        <v>9374</v>
      </c>
      <c r="G27" s="23" t="s">
        <v>9375</v>
      </c>
      <c r="H27" s="23" t="s">
        <v>121</v>
      </c>
      <c r="I27" s="23" t="s">
        <v>9376</v>
      </c>
      <c r="J27" s="23" t="s">
        <v>3276</v>
      </c>
      <c r="K27" s="23" t="s">
        <v>3275</v>
      </c>
      <c r="L27" s="23" t="s">
        <v>9458</v>
      </c>
      <c r="M27" s="23" t="s">
        <v>9425</v>
      </c>
      <c r="N27" s="23" t="s">
        <v>9394</v>
      </c>
      <c r="O27" s="23"/>
      <c r="P27" s="23"/>
      <c r="Q27" s="23"/>
      <c r="R27" s="23"/>
    </row>
    <row r="28" spans="2:18" ht="15" customHeight="1" x14ac:dyDescent="0.25">
      <c r="B28" s="33" t="str">
        <f t="shared" si="0"/>
        <v>1k</v>
      </c>
      <c r="C28" s="33" t="str">
        <f t="shared" si="1"/>
        <v>c01k</v>
      </c>
      <c r="D28" s="23" t="s">
        <v>9459</v>
      </c>
      <c r="E28" s="23" t="s">
        <v>9460</v>
      </c>
      <c r="F28" s="23" t="s">
        <v>9374</v>
      </c>
      <c r="G28" s="23" t="s">
        <v>9375</v>
      </c>
      <c r="H28" s="23" t="s">
        <v>121</v>
      </c>
      <c r="I28" s="23" t="s">
        <v>9376</v>
      </c>
      <c r="J28" s="23" t="s">
        <v>3276</v>
      </c>
      <c r="K28" s="23" t="s">
        <v>3275</v>
      </c>
      <c r="L28" s="23" t="s">
        <v>9461</v>
      </c>
      <c r="M28" s="23" t="s">
        <v>9425</v>
      </c>
      <c r="N28" s="23" t="s">
        <v>9394</v>
      </c>
      <c r="O28" s="23" t="s">
        <v>9462</v>
      </c>
      <c r="P28" s="23" t="s">
        <v>9463</v>
      </c>
      <c r="Q28" s="23"/>
      <c r="R28" s="23"/>
    </row>
    <row r="29" spans="2:18" ht="15" customHeight="1" x14ac:dyDescent="0.25">
      <c r="B29" s="33" t="str">
        <f t="shared" si="0"/>
        <v>1l</v>
      </c>
      <c r="C29" s="33" t="str">
        <f t="shared" si="1"/>
        <v>c01l</v>
      </c>
      <c r="D29" s="23" t="s">
        <v>9464</v>
      </c>
      <c r="E29" s="23" t="s">
        <v>9465</v>
      </c>
      <c r="F29" s="23" t="s">
        <v>9374</v>
      </c>
      <c r="G29" s="23" t="s">
        <v>9375</v>
      </c>
      <c r="H29" s="23" t="s">
        <v>121</v>
      </c>
      <c r="I29" s="23" t="s">
        <v>9376</v>
      </c>
      <c r="J29" s="23" t="s">
        <v>3276</v>
      </c>
      <c r="K29" s="23" t="s">
        <v>3275</v>
      </c>
      <c r="L29" s="23" t="s">
        <v>9466</v>
      </c>
      <c r="M29" s="23" t="s">
        <v>9425</v>
      </c>
      <c r="N29" s="23" t="s">
        <v>9394</v>
      </c>
      <c r="O29" s="23" t="s">
        <v>9467</v>
      </c>
      <c r="P29" s="23" t="s">
        <v>9468</v>
      </c>
      <c r="Q29" s="23"/>
      <c r="R29" s="23"/>
    </row>
    <row r="30" spans="2:18" ht="15" customHeight="1" x14ac:dyDescent="0.25">
      <c r="B30" s="33" t="str">
        <f t="shared" si="0"/>
        <v>1m</v>
      </c>
      <c r="C30" s="33" t="str">
        <f t="shared" si="1"/>
        <v>c01m</v>
      </c>
      <c r="D30" s="23" t="s">
        <v>9469</v>
      </c>
      <c r="E30" s="23" t="s">
        <v>9470</v>
      </c>
      <c r="F30" s="23" t="s">
        <v>9374</v>
      </c>
      <c r="G30" s="23" t="s">
        <v>9375</v>
      </c>
      <c r="H30" s="23" t="s">
        <v>121</v>
      </c>
      <c r="I30" s="23" t="s">
        <v>9376</v>
      </c>
      <c r="J30" s="23" t="s">
        <v>3276</v>
      </c>
      <c r="K30" s="23" t="s">
        <v>3275</v>
      </c>
      <c r="L30" s="23" t="s">
        <v>9471</v>
      </c>
      <c r="M30" s="23" t="s">
        <v>9425</v>
      </c>
      <c r="N30" s="23" t="s">
        <v>9394</v>
      </c>
      <c r="O30" s="23" t="s">
        <v>9472</v>
      </c>
      <c r="P30" s="23" t="s">
        <v>9473</v>
      </c>
      <c r="Q30" s="23"/>
      <c r="R30" s="23"/>
    </row>
    <row r="31" spans="2:18" ht="15" customHeight="1" x14ac:dyDescent="0.25">
      <c r="B31" s="33" t="str">
        <f t="shared" si="0"/>
        <v>1n</v>
      </c>
      <c r="C31" s="33" t="str">
        <f t="shared" si="1"/>
        <v>c01n</v>
      </c>
      <c r="D31" s="23" t="s">
        <v>9474</v>
      </c>
      <c r="E31" s="23" t="s">
        <v>9475</v>
      </c>
      <c r="F31" s="23" t="s">
        <v>9374</v>
      </c>
      <c r="G31" s="23" t="s">
        <v>9375</v>
      </c>
      <c r="H31" s="23" t="s">
        <v>121</v>
      </c>
      <c r="I31" s="23" t="s">
        <v>9376</v>
      </c>
      <c r="J31" s="23" t="s">
        <v>3276</v>
      </c>
      <c r="K31" s="23" t="s">
        <v>3275</v>
      </c>
      <c r="L31" s="23" t="s">
        <v>9476</v>
      </c>
      <c r="M31" s="23" t="s">
        <v>9425</v>
      </c>
      <c r="N31" s="23" t="s">
        <v>9394</v>
      </c>
      <c r="O31" s="23"/>
      <c r="P31" s="23"/>
      <c r="Q31" s="23"/>
      <c r="R31" s="23"/>
    </row>
    <row r="32" spans="2:18" ht="15" customHeight="1" x14ac:dyDescent="0.25">
      <c r="B32" s="33" t="str">
        <f t="shared" si="0"/>
        <v>1p</v>
      </c>
      <c r="C32" s="33" t="str">
        <f t="shared" si="1"/>
        <v>c01p</v>
      </c>
      <c r="D32" s="23" t="s">
        <v>9477</v>
      </c>
      <c r="E32" s="23" t="s">
        <v>9478</v>
      </c>
      <c r="F32" s="23" t="s">
        <v>9374</v>
      </c>
      <c r="G32" s="23" t="s">
        <v>9403</v>
      </c>
      <c r="H32" s="23" t="s">
        <v>121</v>
      </c>
      <c r="I32" s="23" t="s">
        <v>9376</v>
      </c>
      <c r="J32" s="23"/>
      <c r="K32" s="23"/>
      <c r="L32" s="23"/>
      <c r="M32" s="23" t="s">
        <v>9378</v>
      </c>
      <c r="N32" s="23" t="s">
        <v>9379</v>
      </c>
      <c r="O32" s="23"/>
      <c r="P32" s="23"/>
      <c r="Q32" s="23"/>
      <c r="R32" s="23"/>
    </row>
    <row r="33" spans="2:18" ht="15" customHeight="1" x14ac:dyDescent="0.25">
      <c r="B33" s="33" t="str">
        <f t="shared" si="0"/>
        <v>1r</v>
      </c>
      <c r="C33" s="33" t="str">
        <f t="shared" si="1"/>
        <v>c01r</v>
      </c>
      <c r="D33" s="23" t="s">
        <v>9479</v>
      </c>
      <c r="E33" s="23" t="s">
        <v>9480</v>
      </c>
      <c r="F33" s="23" t="s">
        <v>9374</v>
      </c>
      <c r="G33" s="23" t="s">
        <v>9375</v>
      </c>
      <c r="H33" s="23" t="s">
        <v>121</v>
      </c>
      <c r="I33" s="23" t="s">
        <v>9376</v>
      </c>
      <c r="J33" s="23" t="s">
        <v>3276</v>
      </c>
      <c r="K33" s="23" t="s">
        <v>3275</v>
      </c>
      <c r="L33" s="23" t="s">
        <v>9481</v>
      </c>
      <c r="M33" s="23" t="s">
        <v>9425</v>
      </c>
      <c r="N33" s="23" t="s">
        <v>9394</v>
      </c>
      <c r="O33" s="23" t="s">
        <v>9482</v>
      </c>
      <c r="P33" s="23" t="s">
        <v>9483</v>
      </c>
      <c r="Q33" s="23"/>
      <c r="R33" s="23"/>
    </row>
    <row r="34" spans="2:18" ht="15" customHeight="1" x14ac:dyDescent="0.25">
      <c r="B34" s="33" t="str">
        <f t="shared" si="0"/>
        <v>1s</v>
      </c>
      <c r="C34" s="33" t="str">
        <f t="shared" si="1"/>
        <v>c01s</v>
      </c>
      <c r="D34" s="23" t="s">
        <v>9484</v>
      </c>
      <c r="E34" s="23" t="s">
        <v>9485</v>
      </c>
      <c r="F34" s="23" t="s">
        <v>9374</v>
      </c>
      <c r="G34" s="23" t="s">
        <v>9375</v>
      </c>
      <c r="H34" s="23" t="s">
        <v>121</v>
      </c>
      <c r="I34" s="23" t="s">
        <v>9376</v>
      </c>
      <c r="J34" s="23" t="s">
        <v>3276</v>
      </c>
      <c r="K34" s="23" t="s">
        <v>3275</v>
      </c>
      <c r="L34" s="23" t="s">
        <v>9481</v>
      </c>
      <c r="M34" s="23" t="s">
        <v>9425</v>
      </c>
      <c r="N34" s="23" t="s">
        <v>9394</v>
      </c>
      <c r="O34" s="23" t="s">
        <v>9482</v>
      </c>
      <c r="P34" s="23" t="s">
        <v>9483</v>
      </c>
      <c r="Q34" s="23"/>
      <c r="R34" s="23"/>
    </row>
    <row r="35" spans="2:18" ht="15" customHeight="1" x14ac:dyDescent="0.25">
      <c r="B35" s="33" t="str">
        <f t="shared" si="0"/>
        <v>32</v>
      </c>
      <c r="C35" s="33" t="str">
        <f t="shared" si="1"/>
        <v>c032</v>
      </c>
      <c r="D35" s="23" t="s">
        <v>9486</v>
      </c>
      <c r="E35" s="23" t="s">
        <v>9487</v>
      </c>
      <c r="F35" s="23" t="s">
        <v>9374</v>
      </c>
      <c r="G35" s="23" t="s">
        <v>9403</v>
      </c>
      <c r="H35" s="23" t="s">
        <v>121</v>
      </c>
      <c r="I35" s="23" t="s">
        <v>9376</v>
      </c>
      <c r="J35" s="23"/>
      <c r="K35" s="23"/>
      <c r="L35" s="23"/>
      <c r="M35" s="23" t="s">
        <v>9378</v>
      </c>
      <c r="N35" s="23" t="s">
        <v>9379</v>
      </c>
      <c r="O35" s="23"/>
      <c r="P35" s="23"/>
      <c r="Q35" s="23" t="s">
        <v>9488</v>
      </c>
      <c r="R35" s="23" t="s">
        <v>9383</v>
      </c>
    </row>
    <row r="36" spans="2:18" ht="15" customHeight="1" x14ac:dyDescent="0.25">
      <c r="B36" s="33" t="str">
        <f t="shared" si="0"/>
        <v>34</v>
      </c>
      <c r="C36" s="33" t="str">
        <f t="shared" si="1"/>
        <v>c034</v>
      </c>
      <c r="D36" s="23" t="s">
        <v>9489</v>
      </c>
      <c r="E36" s="23" t="s">
        <v>468</v>
      </c>
      <c r="F36" s="23" t="s">
        <v>9374</v>
      </c>
      <c r="G36" s="23" t="s">
        <v>9403</v>
      </c>
      <c r="H36" s="23" t="s">
        <v>121</v>
      </c>
      <c r="I36" s="23" t="s">
        <v>9376</v>
      </c>
      <c r="J36" s="23"/>
      <c r="K36" s="23"/>
      <c r="L36" s="23"/>
      <c r="M36" s="23" t="s">
        <v>9378</v>
      </c>
      <c r="N36" s="23" t="s">
        <v>9379</v>
      </c>
      <c r="O36" s="23"/>
      <c r="P36" s="23"/>
      <c r="Q36" s="23" t="s">
        <v>9490</v>
      </c>
      <c r="R36" s="23" t="s">
        <v>9383</v>
      </c>
    </row>
    <row r="37" spans="2:18" ht="15" customHeight="1" x14ac:dyDescent="0.25">
      <c r="B37" s="33" t="str">
        <f t="shared" si="0"/>
        <v>38</v>
      </c>
      <c r="C37" s="33" t="str">
        <f t="shared" si="1"/>
        <v>c038</v>
      </c>
      <c r="D37" s="23" t="s">
        <v>9491</v>
      </c>
      <c r="E37" s="23" t="s">
        <v>470</v>
      </c>
      <c r="F37" s="23" t="s">
        <v>9374</v>
      </c>
      <c r="G37" s="23" t="s">
        <v>9403</v>
      </c>
      <c r="H37" s="23" t="s">
        <v>121</v>
      </c>
      <c r="I37" s="23" t="s">
        <v>9376</v>
      </c>
      <c r="J37" s="23"/>
      <c r="K37" s="23"/>
      <c r="L37" s="23"/>
      <c r="M37" s="23" t="s">
        <v>9378</v>
      </c>
      <c r="N37" s="23" t="s">
        <v>9379</v>
      </c>
      <c r="O37" s="23"/>
      <c r="P37" s="23"/>
      <c r="Q37" s="23" t="s">
        <v>9492</v>
      </c>
      <c r="R37" s="23" t="s">
        <v>9383</v>
      </c>
    </row>
    <row r="38" spans="2:18" ht="15" customHeight="1" x14ac:dyDescent="0.25">
      <c r="B38" s="33" t="str">
        <f t="shared" si="0"/>
        <v>39</v>
      </c>
      <c r="C38" s="33" t="str">
        <f t="shared" si="1"/>
        <v>c039</v>
      </c>
      <c r="D38" s="23" t="s">
        <v>9493</v>
      </c>
      <c r="E38" s="23" t="s">
        <v>472</v>
      </c>
      <c r="F38" s="23" t="s">
        <v>9374</v>
      </c>
      <c r="G38" s="23" t="s">
        <v>9403</v>
      </c>
      <c r="H38" s="23" t="s">
        <v>121</v>
      </c>
      <c r="I38" s="23" t="s">
        <v>9376</v>
      </c>
      <c r="J38" s="23"/>
      <c r="K38" s="23"/>
      <c r="L38" s="23"/>
      <c r="M38" s="23" t="s">
        <v>9378</v>
      </c>
      <c r="N38" s="23" t="s">
        <v>9379</v>
      </c>
      <c r="O38" s="23"/>
      <c r="P38" s="23"/>
      <c r="Q38" s="23" t="s">
        <v>9494</v>
      </c>
      <c r="R38" s="23" t="s">
        <v>9383</v>
      </c>
    </row>
    <row r="39" spans="2:18" ht="15" customHeight="1" x14ac:dyDescent="0.25">
      <c r="B39" s="33" t="str">
        <f t="shared" si="0"/>
        <v>42</v>
      </c>
      <c r="C39" s="33" t="str">
        <f t="shared" si="1"/>
        <v>c042</v>
      </c>
      <c r="D39" s="23" t="s">
        <v>9495</v>
      </c>
      <c r="E39" s="23" t="s">
        <v>474</v>
      </c>
      <c r="F39" s="23" t="s">
        <v>9374</v>
      </c>
      <c r="G39" s="23" t="s">
        <v>9403</v>
      </c>
      <c r="H39" s="23" t="s">
        <v>121</v>
      </c>
      <c r="I39" s="23" t="s">
        <v>9376</v>
      </c>
      <c r="J39" s="23"/>
      <c r="K39" s="23"/>
      <c r="L39" s="23"/>
      <c r="M39" s="23" t="s">
        <v>9378</v>
      </c>
      <c r="N39" s="23" t="s">
        <v>9379</v>
      </c>
      <c r="O39" s="23"/>
      <c r="P39" s="23"/>
      <c r="Q39" s="23" t="s">
        <v>9496</v>
      </c>
      <c r="R39" s="23" t="s">
        <v>9383</v>
      </c>
    </row>
    <row r="40" spans="2:18" ht="15" customHeight="1" x14ac:dyDescent="0.25">
      <c r="B40" s="33" t="str">
        <f t="shared" si="0"/>
        <v>45</v>
      </c>
      <c r="C40" s="33" t="str">
        <f t="shared" si="1"/>
        <v>c045</v>
      </c>
      <c r="D40" s="23" t="s">
        <v>9497</v>
      </c>
      <c r="E40" s="23" t="s">
        <v>477</v>
      </c>
      <c r="F40" s="23" t="s">
        <v>9374</v>
      </c>
      <c r="G40" s="23" t="s">
        <v>9403</v>
      </c>
      <c r="H40" s="23" t="s">
        <v>121</v>
      </c>
      <c r="I40" s="23" t="s">
        <v>9376</v>
      </c>
      <c r="J40" s="23"/>
      <c r="K40" s="23"/>
      <c r="L40" s="23"/>
      <c r="M40" s="23" t="s">
        <v>9378</v>
      </c>
      <c r="N40" s="23" t="s">
        <v>9379</v>
      </c>
      <c r="O40" s="23"/>
      <c r="P40" s="23"/>
      <c r="Q40" s="23" t="s">
        <v>9498</v>
      </c>
      <c r="R40" s="23" t="s">
        <v>9383</v>
      </c>
    </row>
    <row r="41" spans="2:18" ht="15" customHeight="1" x14ac:dyDescent="0.25">
      <c r="B41" s="33" t="str">
        <f t="shared" si="0"/>
        <v>46</v>
      </c>
      <c r="C41" s="33" t="str">
        <f t="shared" si="1"/>
        <v>c046</v>
      </c>
      <c r="D41" s="23" t="s">
        <v>9499</v>
      </c>
      <c r="E41" s="23" t="s">
        <v>479</v>
      </c>
      <c r="F41" s="23" t="s">
        <v>9374</v>
      </c>
      <c r="G41" s="23" t="s">
        <v>9403</v>
      </c>
      <c r="H41" s="23" t="s">
        <v>121</v>
      </c>
      <c r="I41" s="23" t="s">
        <v>9376</v>
      </c>
      <c r="J41" s="23"/>
      <c r="K41" s="23"/>
      <c r="L41" s="23"/>
      <c r="M41" s="23" t="s">
        <v>9378</v>
      </c>
      <c r="N41" s="23" t="s">
        <v>9379</v>
      </c>
      <c r="O41" s="23"/>
      <c r="P41" s="23"/>
      <c r="Q41" s="23" t="s">
        <v>9500</v>
      </c>
      <c r="R41" s="23" t="s">
        <v>9383</v>
      </c>
    </row>
    <row r="42" spans="2:18" ht="15" customHeight="1" x14ac:dyDescent="0.25">
      <c r="B42" s="33" t="str">
        <f t="shared" si="0"/>
        <v>48</v>
      </c>
      <c r="C42" s="33" t="str">
        <f t="shared" si="1"/>
        <v>c048</v>
      </c>
      <c r="D42" s="23" t="s">
        <v>9501</v>
      </c>
      <c r="E42" s="23" t="s">
        <v>9502</v>
      </c>
      <c r="F42" s="23" t="s">
        <v>9374</v>
      </c>
      <c r="G42" s="23" t="s">
        <v>9403</v>
      </c>
      <c r="H42" s="23" t="s">
        <v>121</v>
      </c>
      <c r="I42" s="23" t="s">
        <v>9376</v>
      </c>
      <c r="J42" s="23"/>
      <c r="K42" s="23"/>
      <c r="L42" s="23"/>
      <c r="M42" s="23" t="s">
        <v>9378</v>
      </c>
      <c r="N42" s="23" t="s">
        <v>9379</v>
      </c>
      <c r="O42" s="23"/>
      <c r="P42" s="23"/>
      <c r="Q42" s="23" t="s">
        <v>9503</v>
      </c>
      <c r="R42" s="23" t="s">
        <v>9383</v>
      </c>
    </row>
    <row r="43" spans="2:18" ht="15" customHeight="1" x14ac:dyDescent="0.25">
      <c r="B43" s="33" t="str">
        <f t="shared" si="0"/>
        <v>50</v>
      </c>
      <c r="C43" s="33" t="str">
        <f t="shared" si="1"/>
        <v>c050</v>
      </c>
      <c r="D43" s="23" t="s">
        <v>9504</v>
      </c>
      <c r="E43" s="23" t="s">
        <v>483</v>
      </c>
      <c r="F43" s="23" t="s">
        <v>9374</v>
      </c>
      <c r="G43" s="23" t="s">
        <v>9375</v>
      </c>
      <c r="H43" s="23" t="s">
        <v>121</v>
      </c>
      <c r="I43" s="23" t="s">
        <v>9376</v>
      </c>
      <c r="J43" s="23" t="s">
        <v>3276</v>
      </c>
      <c r="K43" s="23" t="s">
        <v>3275</v>
      </c>
      <c r="L43" s="23" t="s">
        <v>9505</v>
      </c>
      <c r="M43" s="23" t="s">
        <v>9378</v>
      </c>
      <c r="N43" s="23" t="s">
        <v>9394</v>
      </c>
      <c r="O43" s="23"/>
      <c r="P43" s="23"/>
      <c r="Q43" s="23" t="s">
        <v>9506</v>
      </c>
      <c r="R43" s="23" t="s">
        <v>9383</v>
      </c>
    </row>
    <row r="44" spans="2:18" ht="15" customHeight="1" x14ac:dyDescent="0.25">
      <c r="B44" s="33" t="str">
        <f t="shared" si="0"/>
        <v>56</v>
      </c>
      <c r="C44" s="33" t="str">
        <f t="shared" si="1"/>
        <v>c056</v>
      </c>
      <c r="D44" s="23" t="s">
        <v>9507</v>
      </c>
      <c r="E44" s="23" t="s">
        <v>9508</v>
      </c>
      <c r="F44" s="23" t="s">
        <v>9374</v>
      </c>
      <c r="G44" s="23" t="s">
        <v>9403</v>
      </c>
      <c r="H44" s="23" t="s">
        <v>121</v>
      </c>
      <c r="I44" s="23" t="s">
        <v>9376</v>
      </c>
      <c r="J44" s="23"/>
      <c r="K44" s="23"/>
      <c r="L44" s="23"/>
      <c r="M44" s="23" t="s">
        <v>9378</v>
      </c>
      <c r="N44" s="23" t="s">
        <v>9379</v>
      </c>
      <c r="O44" s="23"/>
      <c r="P44" s="23"/>
      <c r="Q44" s="23" t="s">
        <v>9509</v>
      </c>
      <c r="R44" s="23" t="s">
        <v>9383</v>
      </c>
    </row>
    <row r="45" spans="2:18" ht="15" customHeight="1" x14ac:dyDescent="0.25">
      <c r="B45" s="33" t="str">
        <f t="shared" si="0"/>
        <v>57</v>
      </c>
      <c r="C45" s="33" t="str">
        <f t="shared" si="1"/>
        <v>c057</v>
      </c>
      <c r="D45" s="23" t="s">
        <v>9510</v>
      </c>
      <c r="E45" s="23" t="s">
        <v>487</v>
      </c>
      <c r="F45" s="23" t="s">
        <v>9374</v>
      </c>
      <c r="G45" s="23" t="s">
        <v>9403</v>
      </c>
      <c r="H45" s="23" t="s">
        <v>121</v>
      </c>
      <c r="I45" s="23" t="s">
        <v>9376</v>
      </c>
      <c r="J45" s="23"/>
      <c r="K45" s="23"/>
      <c r="L45" s="23"/>
      <c r="M45" s="23" t="s">
        <v>9378</v>
      </c>
      <c r="N45" s="23" t="s">
        <v>9379</v>
      </c>
      <c r="O45" s="23"/>
      <c r="P45" s="23"/>
      <c r="Q45" s="23" t="s">
        <v>9511</v>
      </c>
      <c r="R45" s="23" t="s">
        <v>9383</v>
      </c>
    </row>
    <row r="46" spans="2:18" ht="15" customHeight="1" x14ac:dyDescent="0.25">
      <c r="B46" s="33" t="str">
        <f t="shared" si="0"/>
        <v>58</v>
      </c>
      <c r="C46" s="33" t="str">
        <f t="shared" si="1"/>
        <v>c058</v>
      </c>
      <c r="D46" s="23" t="s">
        <v>9512</v>
      </c>
      <c r="E46" s="23" t="s">
        <v>489</v>
      </c>
      <c r="F46" s="23" t="s">
        <v>9374</v>
      </c>
      <c r="G46" s="23" t="s">
        <v>9403</v>
      </c>
      <c r="H46" s="23" t="s">
        <v>121</v>
      </c>
      <c r="I46" s="23" t="s">
        <v>9376</v>
      </c>
      <c r="J46" s="23"/>
      <c r="K46" s="23"/>
      <c r="L46" s="23"/>
      <c r="M46" s="23" t="s">
        <v>9378</v>
      </c>
      <c r="N46" s="23" t="s">
        <v>9379</v>
      </c>
      <c r="O46" s="23"/>
      <c r="P46" s="23"/>
      <c r="Q46" s="23" t="s">
        <v>9513</v>
      </c>
      <c r="R46" s="23" t="s">
        <v>9383</v>
      </c>
    </row>
    <row r="47" spans="2:18" ht="15" customHeight="1" x14ac:dyDescent="0.25">
      <c r="B47" s="33" t="str">
        <f t="shared" si="0"/>
        <v>59</v>
      </c>
      <c r="C47" s="33" t="str">
        <f t="shared" si="1"/>
        <v>c059</v>
      </c>
      <c r="D47" s="23" t="s">
        <v>9514</v>
      </c>
      <c r="E47" s="23" t="s">
        <v>491</v>
      </c>
      <c r="F47" s="23" t="s">
        <v>9374</v>
      </c>
      <c r="G47" s="23" t="s">
        <v>9403</v>
      </c>
      <c r="H47" s="23" t="s">
        <v>121</v>
      </c>
      <c r="I47" s="23" t="s">
        <v>9376</v>
      </c>
      <c r="J47" s="23"/>
      <c r="K47" s="23"/>
      <c r="L47" s="23"/>
      <c r="M47" s="23" t="s">
        <v>9378</v>
      </c>
      <c r="N47" s="23" t="s">
        <v>9379</v>
      </c>
      <c r="O47" s="23"/>
      <c r="P47" s="23"/>
      <c r="Q47" s="23" t="s">
        <v>9515</v>
      </c>
      <c r="R47" s="23" t="s">
        <v>9383</v>
      </c>
    </row>
    <row r="48" spans="2:18" ht="15" customHeight="1" x14ac:dyDescent="0.25">
      <c r="B48" s="33" t="str">
        <f t="shared" si="0"/>
        <v>60</v>
      </c>
      <c r="C48" s="33" t="str">
        <f t="shared" si="1"/>
        <v>c060</v>
      </c>
      <c r="D48" s="23" t="s">
        <v>9516</v>
      </c>
      <c r="E48" s="23" t="s">
        <v>493</v>
      </c>
      <c r="F48" s="23" t="s">
        <v>9374</v>
      </c>
      <c r="G48" s="23" t="s">
        <v>9403</v>
      </c>
      <c r="H48" s="23" t="s">
        <v>121</v>
      </c>
      <c r="I48" s="23" t="s">
        <v>9376</v>
      </c>
      <c r="J48" s="23"/>
      <c r="K48" s="23"/>
      <c r="L48" s="23"/>
      <c r="M48" s="23" t="s">
        <v>9378</v>
      </c>
      <c r="N48" s="23" t="s">
        <v>9379</v>
      </c>
      <c r="O48" s="23"/>
      <c r="P48" s="23"/>
      <c r="Q48" s="23" t="s">
        <v>9517</v>
      </c>
      <c r="R48" s="23" t="s">
        <v>9383</v>
      </c>
    </row>
    <row r="49" spans="2:18" ht="15" customHeight="1" x14ac:dyDescent="0.25">
      <c r="B49" s="33" t="str">
        <f t="shared" si="0"/>
        <v>63</v>
      </c>
      <c r="C49" s="33" t="str">
        <f t="shared" si="1"/>
        <v>c063</v>
      </c>
      <c r="D49" s="23" t="s">
        <v>9518</v>
      </c>
      <c r="E49" s="23" t="s">
        <v>9519</v>
      </c>
      <c r="F49" s="23" t="s">
        <v>9374</v>
      </c>
      <c r="G49" s="23" t="s">
        <v>9403</v>
      </c>
      <c r="H49" s="23" t="s">
        <v>121</v>
      </c>
      <c r="I49" s="23" t="s">
        <v>9376</v>
      </c>
      <c r="J49" s="23"/>
      <c r="K49" s="23"/>
      <c r="L49" s="23"/>
      <c r="M49" s="23" t="s">
        <v>9378</v>
      </c>
      <c r="N49" s="23" t="s">
        <v>9379</v>
      </c>
      <c r="O49" s="23"/>
      <c r="P49" s="23"/>
      <c r="Q49" s="23" t="s">
        <v>9520</v>
      </c>
      <c r="R49" s="23" t="s">
        <v>9383</v>
      </c>
    </row>
    <row r="50" spans="2:18" ht="15" customHeight="1" x14ac:dyDescent="0.25">
      <c r="B50" s="33" t="str">
        <f t="shared" si="0"/>
        <v>64</v>
      </c>
      <c r="C50" s="33" t="str">
        <f t="shared" si="1"/>
        <v>c064</v>
      </c>
      <c r="D50" s="23" t="s">
        <v>9521</v>
      </c>
      <c r="E50" s="23" t="s">
        <v>9522</v>
      </c>
      <c r="F50" s="23" t="s">
        <v>9374</v>
      </c>
      <c r="G50" s="23" t="s">
        <v>9403</v>
      </c>
      <c r="H50" s="23" t="s">
        <v>121</v>
      </c>
      <c r="I50" s="23" t="s">
        <v>9376</v>
      </c>
      <c r="J50" s="23"/>
      <c r="K50" s="23"/>
      <c r="L50" s="23"/>
      <c r="M50" s="23" t="s">
        <v>9378</v>
      </c>
      <c r="N50" s="23" t="s">
        <v>9379</v>
      </c>
      <c r="O50" s="23"/>
      <c r="P50" s="23"/>
      <c r="Q50" s="23" t="s">
        <v>9523</v>
      </c>
      <c r="R50" s="23" t="s">
        <v>9383</v>
      </c>
    </row>
    <row r="51" spans="2:18" ht="15" customHeight="1" x14ac:dyDescent="0.25">
      <c r="B51" s="33" t="str">
        <f t="shared" si="0"/>
        <v>65</v>
      </c>
      <c r="C51" s="33" t="str">
        <f t="shared" si="1"/>
        <v>c065</v>
      </c>
      <c r="D51" s="23" t="s">
        <v>9524</v>
      </c>
      <c r="E51" s="23" t="s">
        <v>499</v>
      </c>
      <c r="F51" s="23" t="s">
        <v>9374</v>
      </c>
      <c r="G51" s="23" t="s">
        <v>9403</v>
      </c>
      <c r="H51" s="23" t="s">
        <v>121</v>
      </c>
      <c r="I51" s="23" t="s">
        <v>9376</v>
      </c>
      <c r="J51" s="23"/>
      <c r="K51" s="23"/>
      <c r="L51" s="23"/>
      <c r="M51" s="23" t="s">
        <v>9378</v>
      </c>
      <c r="N51" s="23" t="s">
        <v>9379</v>
      </c>
      <c r="O51" s="23"/>
      <c r="P51" s="23"/>
      <c r="Q51" s="23" t="s">
        <v>9525</v>
      </c>
      <c r="R51" s="23" t="s">
        <v>9383</v>
      </c>
    </row>
    <row r="52" spans="2:18" ht="15" customHeight="1" x14ac:dyDescent="0.25">
      <c r="B52" s="33" t="str">
        <f t="shared" si="0"/>
        <v>66</v>
      </c>
      <c r="C52" s="33" t="str">
        <f t="shared" si="1"/>
        <v>c066</v>
      </c>
      <c r="D52" s="23" t="s">
        <v>9526</v>
      </c>
      <c r="E52" s="23" t="s">
        <v>501</v>
      </c>
      <c r="F52" s="23" t="s">
        <v>9374</v>
      </c>
      <c r="G52" s="23" t="s">
        <v>9375</v>
      </c>
      <c r="H52" s="23" t="s">
        <v>121</v>
      </c>
      <c r="I52" s="23" t="s">
        <v>9376</v>
      </c>
      <c r="J52" s="23" t="s">
        <v>3276</v>
      </c>
      <c r="K52" s="23" t="s">
        <v>3275</v>
      </c>
      <c r="L52" s="23" t="s">
        <v>9527</v>
      </c>
      <c r="M52" s="23" t="s">
        <v>9378</v>
      </c>
      <c r="N52" s="23" t="s">
        <v>9394</v>
      </c>
      <c r="O52" s="23"/>
      <c r="P52" s="23"/>
      <c r="Q52" s="23" t="s">
        <v>9528</v>
      </c>
      <c r="R52" s="23" t="s">
        <v>9383</v>
      </c>
    </row>
    <row r="53" spans="2:18" ht="15" customHeight="1" x14ac:dyDescent="0.25">
      <c r="B53" s="33" t="str">
        <f t="shared" si="0"/>
        <v>68</v>
      </c>
      <c r="C53" s="33" t="str">
        <f t="shared" si="1"/>
        <v>c068</v>
      </c>
      <c r="D53" s="23" t="s">
        <v>9529</v>
      </c>
      <c r="E53" s="23" t="s">
        <v>9530</v>
      </c>
      <c r="F53" s="23" t="s">
        <v>9374</v>
      </c>
      <c r="G53" s="23" t="s">
        <v>9403</v>
      </c>
      <c r="H53" s="23" t="s">
        <v>121</v>
      </c>
      <c r="I53" s="23" t="s">
        <v>9376</v>
      </c>
      <c r="J53" s="23"/>
      <c r="K53" s="23"/>
      <c r="L53" s="23"/>
      <c r="M53" s="23" t="s">
        <v>9378</v>
      </c>
      <c r="N53" s="23" t="s">
        <v>9379</v>
      </c>
      <c r="O53" s="23"/>
      <c r="P53" s="23"/>
      <c r="Q53" s="23" t="s">
        <v>9531</v>
      </c>
      <c r="R53" s="23" t="s">
        <v>9383</v>
      </c>
    </row>
    <row r="54" spans="2:18" ht="15" customHeight="1" x14ac:dyDescent="0.25">
      <c r="B54" s="33" t="str">
        <f t="shared" si="0"/>
        <v>69</v>
      </c>
      <c r="C54" s="33" t="str">
        <f t="shared" si="1"/>
        <v>c069</v>
      </c>
      <c r="D54" s="23" t="s">
        <v>9532</v>
      </c>
      <c r="E54" s="23" t="s">
        <v>505</v>
      </c>
      <c r="F54" s="23" t="s">
        <v>9374</v>
      </c>
      <c r="G54" s="23" t="s">
        <v>9403</v>
      </c>
      <c r="H54" s="23" t="s">
        <v>121</v>
      </c>
      <c r="I54" s="23" t="s">
        <v>9376</v>
      </c>
      <c r="J54" s="23"/>
      <c r="K54" s="23"/>
      <c r="L54" s="23"/>
      <c r="M54" s="23" t="s">
        <v>9378</v>
      </c>
      <c r="N54" s="23" t="s">
        <v>9379</v>
      </c>
      <c r="O54" s="23"/>
      <c r="P54" s="23"/>
      <c r="Q54" s="23" t="s">
        <v>9533</v>
      </c>
      <c r="R54" s="23" t="s">
        <v>9383</v>
      </c>
    </row>
    <row r="55" spans="2:18" ht="15" customHeight="1" x14ac:dyDescent="0.25">
      <c r="B55" s="33" t="str">
        <f t="shared" si="0"/>
        <v>75</v>
      </c>
      <c r="C55" s="33" t="str">
        <f t="shared" si="1"/>
        <v>c075</v>
      </c>
      <c r="D55" s="23" t="s">
        <v>9534</v>
      </c>
      <c r="E55" s="23" t="s">
        <v>9535</v>
      </c>
      <c r="F55" s="23" t="s">
        <v>9374</v>
      </c>
      <c r="G55" s="23" t="s">
        <v>9403</v>
      </c>
      <c r="H55" s="23" t="s">
        <v>121</v>
      </c>
      <c r="I55" s="23" t="s">
        <v>9376</v>
      </c>
      <c r="J55" s="23"/>
      <c r="K55" s="23"/>
      <c r="L55" s="23"/>
      <c r="M55" s="23" t="s">
        <v>9378</v>
      </c>
      <c r="N55" s="23" t="s">
        <v>9379</v>
      </c>
      <c r="O55" s="23"/>
      <c r="P55" s="23"/>
      <c r="Q55" s="23" t="s">
        <v>9536</v>
      </c>
      <c r="R55" s="23" t="s">
        <v>9383</v>
      </c>
    </row>
    <row r="56" spans="2:18" ht="15" customHeight="1" x14ac:dyDescent="0.25">
      <c r="B56" s="33" t="str">
        <f t="shared" si="0"/>
        <v>76</v>
      </c>
      <c r="C56" s="33" t="str">
        <f t="shared" si="1"/>
        <v>c076</v>
      </c>
      <c r="D56" s="23" t="s">
        <v>9537</v>
      </c>
      <c r="E56" s="23" t="s">
        <v>9538</v>
      </c>
      <c r="F56" s="23" t="s">
        <v>9374</v>
      </c>
      <c r="G56" s="23" t="s">
        <v>9403</v>
      </c>
      <c r="H56" s="23" t="s">
        <v>121</v>
      </c>
      <c r="I56" s="23" t="s">
        <v>9376</v>
      </c>
      <c r="J56" s="23"/>
      <c r="K56" s="23"/>
      <c r="L56" s="23"/>
      <c r="M56" s="23" t="s">
        <v>9378</v>
      </c>
      <c r="N56" s="23" t="s">
        <v>9379</v>
      </c>
      <c r="O56" s="23"/>
      <c r="P56" s="23"/>
      <c r="Q56" s="23" t="s">
        <v>9539</v>
      </c>
      <c r="R56" s="23" t="s">
        <v>9383</v>
      </c>
    </row>
    <row r="57" spans="2:18" ht="15" customHeight="1" x14ac:dyDescent="0.25">
      <c r="B57" s="33" t="str">
        <f t="shared" si="0"/>
        <v>77</v>
      </c>
      <c r="C57" s="33" t="str">
        <f t="shared" si="1"/>
        <v>c077</v>
      </c>
      <c r="D57" s="23" t="s">
        <v>9540</v>
      </c>
      <c r="E57" s="23" t="s">
        <v>9541</v>
      </c>
      <c r="F57" s="23" t="s">
        <v>9374</v>
      </c>
      <c r="G57" s="23" t="s">
        <v>9403</v>
      </c>
      <c r="H57" s="23" t="s">
        <v>121</v>
      </c>
      <c r="I57" s="23" t="s">
        <v>9376</v>
      </c>
      <c r="J57" s="23"/>
      <c r="K57" s="23"/>
      <c r="L57" s="23"/>
      <c r="M57" s="23" t="s">
        <v>9378</v>
      </c>
      <c r="N57" s="23" t="s">
        <v>9379</v>
      </c>
      <c r="O57" s="23"/>
      <c r="P57" s="23"/>
      <c r="Q57" s="23" t="s">
        <v>9542</v>
      </c>
      <c r="R57" s="23" t="s">
        <v>9383</v>
      </c>
    </row>
    <row r="58" spans="2:18" ht="15" customHeight="1" x14ac:dyDescent="0.25">
      <c r="B58" s="33" t="str">
        <f t="shared" si="0"/>
        <v>78</v>
      </c>
      <c r="C58" s="33" t="str">
        <f t="shared" si="1"/>
        <v>c078</v>
      </c>
      <c r="D58" s="23" t="s">
        <v>9543</v>
      </c>
      <c r="E58" s="23" t="s">
        <v>9544</v>
      </c>
      <c r="F58" s="23" t="s">
        <v>9374</v>
      </c>
      <c r="G58" s="23" t="s">
        <v>9403</v>
      </c>
      <c r="H58" s="23" t="s">
        <v>121</v>
      </c>
      <c r="I58" s="23" t="s">
        <v>9376</v>
      </c>
      <c r="J58" s="23"/>
      <c r="K58" s="23"/>
      <c r="L58" s="23"/>
      <c r="M58" s="23" t="s">
        <v>9378</v>
      </c>
      <c r="N58" s="23" t="s">
        <v>9379</v>
      </c>
      <c r="O58" s="23"/>
      <c r="P58" s="23"/>
      <c r="Q58" s="23" t="s">
        <v>9545</v>
      </c>
      <c r="R58" s="23" t="s">
        <v>9383</v>
      </c>
    </row>
    <row r="59" spans="2:18" ht="15" customHeight="1" x14ac:dyDescent="0.25">
      <c r="B59" s="33" t="str">
        <f t="shared" si="0"/>
        <v>79</v>
      </c>
      <c r="C59" s="33" t="str">
        <f t="shared" si="1"/>
        <v>c079</v>
      </c>
      <c r="D59" s="23" t="s">
        <v>9546</v>
      </c>
      <c r="E59" s="23" t="s">
        <v>9547</v>
      </c>
      <c r="F59" s="23" t="s">
        <v>9374</v>
      </c>
      <c r="G59" s="23" t="s">
        <v>9403</v>
      </c>
      <c r="H59" s="23" t="s">
        <v>121</v>
      </c>
      <c r="I59" s="23" t="s">
        <v>9376</v>
      </c>
      <c r="J59" s="23"/>
      <c r="K59" s="23"/>
      <c r="L59" s="23"/>
      <c r="M59" s="23" t="s">
        <v>9378</v>
      </c>
      <c r="N59" s="23" t="s">
        <v>9379</v>
      </c>
      <c r="O59" s="23"/>
      <c r="P59" s="23"/>
      <c r="Q59" s="23" t="s">
        <v>9548</v>
      </c>
      <c r="R59" s="23" t="s">
        <v>9383</v>
      </c>
    </row>
    <row r="60" spans="2:18" ht="15" customHeight="1" x14ac:dyDescent="0.25">
      <c r="B60" s="33" t="str">
        <f t="shared" si="0"/>
        <v>80</v>
      </c>
      <c r="C60" s="33" t="str">
        <f t="shared" si="1"/>
        <v>c080</v>
      </c>
      <c r="D60" s="23" t="s">
        <v>9549</v>
      </c>
      <c r="E60" s="23" t="s">
        <v>517</v>
      </c>
      <c r="F60" s="23" t="s">
        <v>9374</v>
      </c>
      <c r="G60" s="23" t="s">
        <v>9403</v>
      </c>
      <c r="H60" s="23" t="s">
        <v>121</v>
      </c>
      <c r="I60" s="23" t="s">
        <v>9376</v>
      </c>
      <c r="J60" s="23"/>
      <c r="K60" s="23"/>
      <c r="L60" s="23"/>
      <c r="M60" s="23" t="s">
        <v>9378</v>
      </c>
      <c r="N60" s="23" t="s">
        <v>9379</v>
      </c>
      <c r="O60" s="23"/>
      <c r="P60" s="23"/>
      <c r="Q60" s="23" t="s">
        <v>9550</v>
      </c>
      <c r="R60" s="23" t="s">
        <v>9383</v>
      </c>
    </row>
    <row r="61" spans="2:18" ht="15" customHeight="1" x14ac:dyDescent="0.25">
      <c r="B61" s="33" t="str">
        <f t="shared" si="0"/>
        <v>82</v>
      </c>
      <c r="C61" s="33" t="str">
        <f t="shared" si="1"/>
        <v>c082</v>
      </c>
      <c r="D61" s="23" t="s">
        <v>9551</v>
      </c>
      <c r="E61" s="23" t="s">
        <v>9552</v>
      </c>
      <c r="F61" s="23" t="s">
        <v>9374</v>
      </c>
      <c r="G61" s="23" t="s">
        <v>9403</v>
      </c>
      <c r="H61" s="23" t="s">
        <v>121</v>
      </c>
      <c r="I61" s="23" t="s">
        <v>9376</v>
      </c>
      <c r="J61" s="23"/>
      <c r="K61" s="23"/>
      <c r="L61" s="23"/>
      <c r="M61" s="23" t="s">
        <v>9378</v>
      </c>
      <c r="N61" s="23" t="s">
        <v>9379</v>
      </c>
      <c r="O61" s="23"/>
      <c r="P61" s="23"/>
      <c r="Q61" s="23" t="s">
        <v>9553</v>
      </c>
      <c r="R61" s="23" t="s">
        <v>9383</v>
      </c>
    </row>
    <row r="62" spans="2:18" ht="15" customHeight="1" x14ac:dyDescent="0.25">
      <c r="B62" s="33" t="str">
        <f t="shared" si="0"/>
        <v>83</v>
      </c>
      <c r="C62" s="33" t="str">
        <f t="shared" si="1"/>
        <v>c083</v>
      </c>
      <c r="D62" s="23" t="s">
        <v>9554</v>
      </c>
      <c r="E62" s="23" t="s">
        <v>9555</v>
      </c>
      <c r="F62" s="23" t="s">
        <v>9374</v>
      </c>
      <c r="G62" s="23" t="s">
        <v>9403</v>
      </c>
      <c r="H62" s="23" t="s">
        <v>121</v>
      </c>
      <c r="I62" s="23" t="s">
        <v>9376</v>
      </c>
      <c r="J62" s="23"/>
      <c r="K62" s="23"/>
      <c r="L62" s="23"/>
      <c r="M62" s="23" t="s">
        <v>9378</v>
      </c>
      <c r="N62" s="23" t="s">
        <v>9379</v>
      </c>
      <c r="O62" s="23"/>
      <c r="P62" s="23"/>
      <c r="Q62" s="23" t="s">
        <v>9556</v>
      </c>
      <c r="R62" s="23" t="s">
        <v>9383</v>
      </c>
    </row>
    <row r="63" spans="2:18" ht="15" customHeight="1" x14ac:dyDescent="0.25">
      <c r="B63" s="33" t="str">
        <f t="shared" si="0"/>
        <v>84</v>
      </c>
      <c r="C63" s="33" t="str">
        <f t="shared" si="1"/>
        <v>c084</v>
      </c>
      <c r="D63" s="23" t="s">
        <v>9557</v>
      </c>
      <c r="E63" s="23" t="s">
        <v>9558</v>
      </c>
      <c r="F63" s="23" t="s">
        <v>9374</v>
      </c>
      <c r="G63" s="23" t="s">
        <v>9403</v>
      </c>
      <c r="H63" s="23" t="s">
        <v>121</v>
      </c>
      <c r="I63" s="23" t="s">
        <v>9376</v>
      </c>
      <c r="J63" s="23"/>
      <c r="K63" s="23"/>
      <c r="L63" s="23"/>
      <c r="M63" s="23" t="s">
        <v>9378</v>
      </c>
      <c r="N63" s="23" t="s">
        <v>9379</v>
      </c>
      <c r="O63" s="23"/>
      <c r="P63" s="23"/>
      <c r="Q63" s="23" t="s">
        <v>9559</v>
      </c>
      <c r="R63" s="23" t="s">
        <v>9383</v>
      </c>
    </row>
    <row r="64" spans="2:18" ht="15" customHeight="1" x14ac:dyDescent="0.25">
      <c r="B64" s="33" t="str">
        <f t="shared" si="0"/>
        <v>85</v>
      </c>
      <c r="C64" s="33" t="str">
        <f t="shared" si="1"/>
        <v>c085</v>
      </c>
      <c r="D64" s="23" t="s">
        <v>9560</v>
      </c>
      <c r="E64" s="23" t="s">
        <v>9561</v>
      </c>
      <c r="F64" s="23" t="s">
        <v>9374</v>
      </c>
      <c r="G64" s="23" t="s">
        <v>9403</v>
      </c>
      <c r="H64" s="23" t="s">
        <v>121</v>
      </c>
      <c r="I64" s="23" t="s">
        <v>9376</v>
      </c>
      <c r="J64" s="23"/>
      <c r="K64" s="23"/>
      <c r="L64" s="23"/>
      <c r="M64" s="23" t="s">
        <v>9378</v>
      </c>
      <c r="N64" s="23" t="s">
        <v>9379</v>
      </c>
      <c r="O64" s="23"/>
      <c r="P64" s="23"/>
      <c r="Q64" s="23" t="s">
        <v>9562</v>
      </c>
      <c r="R64" s="23" t="s">
        <v>9383</v>
      </c>
    </row>
    <row r="65" spans="2:18" ht="15" customHeight="1" x14ac:dyDescent="0.25">
      <c r="B65" s="33" t="str">
        <f t="shared" si="0"/>
        <v>86</v>
      </c>
      <c r="C65" s="33" t="str">
        <f t="shared" si="1"/>
        <v>c086</v>
      </c>
      <c r="D65" s="23" t="s">
        <v>9563</v>
      </c>
      <c r="E65" s="23" t="s">
        <v>527</v>
      </c>
      <c r="F65" s="23" t="s">
        <v>9374</v>
      </c>
      <c r="G65" s="23" t="s">
        <v>9403</v>
      </c>
      <c r="H65" s="23" t="s">
        <v>121</v>
      </c>
      <c r="I65" s="23" t="s">
        <v>9376</v>
      </c>
      <c r="J65" s="23"/>
      <c r="K65" s="23"/>
      <c r="L65" s="23"/>
      <c r="M65" s="23" t="s">
        <v>9378</v>
      </c>
      <c r="N65" s="23" t="s">
        <v>9379</v>
      </c>
      <c r="O65" s="23"/>
      <c r="P65" s="23"/>
      <c r="Q65" s="23" t="s">
        <v>9564</v>
      </c>
      <c r="R65" s="23" t="s">
        <v>9383</v>
      </c>
    </row>
    <row r="66" spans="2:18" ht="15" customHeight="1" x14ac:dyDescent="0.25">
      <c r="B66" s="33" t="str">
        <f t="shared" si="0"/>
        <v>87</v>
      </c>
      <c r="C66" s="33" t="str">
        <f t="shared" si="1"/>
        <v>c087</v>
      </c>
      <c r="D66" s="23" t="s">
        <v>9565</v>
      </c>
      <c r="E66" s="23" t="s">
        <v>9566</v>
      </c>
      <c r="F66" s="23" t="s">
        <v>9374</v>
      </c>
      <c r="G66" s="23" t="s">
        <v>9403</v>
      </c>
      <c r="H66" s="23" t="s">
        <v>121</v>
      </c>
      <c r="I66" s="23" t="s">
        <v>9376</v>
      </c>
      <c r="J66" s="23"/>
      <c r="K66" s="23"/>
      <c r="L66" s="23"/>
      <c r="M66" s="23" t="s">
        <v>9378</v>
      </c>
      <c r="N66" s="23" t="s">
        <v>9379</v>
      </c>
      <c r="O66" s="23"/>
      <c r="P66" s="23"/>
      <c r="Q66" s="23" t="s">
        <v>9567</v>
      </c>
      <c r="R66" s="23" t="s">
        <v>9383</v>
      </c>
    </row>
    <row r="67" spans="2:18" ht="15" customHeight="1" x14ac:dyDescent="0.25">
      <c r="B67" s="33" t="str">
        <f t="shared" si="0"/>
        <v>88</v>
      </c>
      <c r="C67" s="33" t="str">
        <f t="shared" si="1"/>
        <v>c088</v>
      </c>
      <c r="D67" s="23" t="s">
        <v>9568</v>
      </c>
      <c r="E67" s="23" t="s">
        <v>531</v>
      </c>
      <c r="F67" s="23" t="s">
        <v>9374</v>
      </c>
      <c r="G67" s="23" t="s">
        <v>9375</v>
      </c>
      <c r="H67" s="23" t="s">
        <v>121</v>
      </c>
      <c r="I67" s="23" t="s">
        <v>9376</v>
      </c>
      <c r="J67" s="23" t="s">
        <v>3276</v>
      </c>
      <c r="K67" s="23" t="s">
        <v>3275</v>
      </c>
      <c r="L67" s="23" t="s">
        <v>9377</v>
      </c>
      <c r="M67" s="23" t="s">
        <v>9378</v>
      </c>
      <c r="N67" s="23" t="s">
        <v>9379</v>
      </c>
      <c r="O67" s="23" t="s">
        <v>9380</v>
      </c>
      <c r="P67" s="23" t="s">
        <v>9381</v>
      </c>
      <c r="Q67" s="23" t="s">
        <v>9569</v>
      </c>
      <c r="R67" s="23" t="s">
        <v>9383</v>
      </c>
    </row>
    <row r="68" spans="2:18" ht="15" customHeight="1" x14ac:dyDescent="0.25">
      <c r="B68" s="33" t="str">
        <f t="shared" si="0"/>
        <v>90</v>
      </c>
      <c r="C68" s="33" t="str">
        <f t="shared" si="1"/>
        <v>c090</v>
      </c>
      <c r="D68" s="23" t="s">
        <v>9570</v>
      </c>
      <c r="E68" s="23" t="s">
        <v>533</v>
      </c>
      <c r="F68" s="23" t="s">
        <v>9374</v>
      </c>
      <c r="G68" s="23" t="s">
        <v>9375</v>
      </c>
      <c r="H68" s="23" t="s">
        <v>121</v>
      </c>
      <c r="I68" s="23" t="s">
        <v>9376</v>
      </c>
      <c r="J68" s="23" t="s">
        <v>3276</v>
      </c>
      <c r="K68" s="23" t="s">
        <v>3275</v>
      </c>
      <c r="L68" s="23" t="s">
        <v>9377</v>
      </c>
      <c r="M68" s="23" t="s">
        <v>9378</v>
      </c>
      <c r="N68" s="23" t="s">
        <v>9379</v>
      </c>
      <c r="O68" s="23" t="s">
        <v>9380</v>
      </c>
      <c r="P68" s="23" t="s">
        <v>9381</v>
      </c>
      <c r="Q68" s="23" t="s">
        <v>9571</v>
      </c>
      <c r="R68" s="23" t="s">
        <v>9383</v>
      </c>
    </row>
    <row r="69" spans="2:18" ht="15" customHeight="1" x14ac:dyDescent="0.25">
      <c r="B69" s="33" t="str">
        <f t="shared" si="0"/>
        <v>91</v>
      </c>
      <c r="C69" s="33" t="str">
        <f t="shared" si="1"/>
        <v>c091</v>
      </c>
      <c r="D69" s="23" t="s">
        <v>9572</v>
      </c>
      <c r="E69" s="23" t="s">
        <v>535</v>
      </c>
      <c r="F69" s="23" t="s">
        <v>9374</v>
      </c>
      <c r="G69" s="23" t="s">
        <v>9375</v>
      </c>
      <c r="H69" s="23" t="s">
        <v>121</v>
      </c>
      <c r="I69" s="23" t="s">
        <v>9376</v>
      </c>
      <c r="J69" s="23" t="s">
        <v>3276</v>
      </c>
      <c r="K69" s="23" t="s">
        <v>3275</v>
      </c>
      <c r="L69" s="23" t="s">
        <v>9377</v>
      </c>
      <c r="M69" s="23" t="s">
        <v>9378</v>
      </c>
      <c r="N69" s="23" t="s">
        <v>9379</v>
      </c>
      <c r="O69" s="23" t="s">
        <v>9380</v>
      </c>
      <c r="P69" s="23" t="s">
        <v>9381</v>
      </c>
      <c r="Q69" s="23" t="s">
        <v>9573</v>
      </c>
      <c r="R69" s="23" t="s">
        <v>9383</v>
      </c>
    </row>
    <row r="70" spans="2:18" ht="15" customHeight="1" x14ac:dyDescent="0.25">
      <c r="B70" s="33" t="str">
        <f t="shared" ref="B70:B133" si="2">RIGHT($C70,2)</f>
        <v>a2</v>
      </c>
      <c r="C70" s="33" t="str">
        <f t="shared" ref="C70:C133" si="3">"c0"&amp;RIGHT($D70,2)</f>
        <v>c0a2</v>
      </c>
      <c r="D70" s="23" t="s">
        <v>9574</v>
      </c>
      <c r="E70" s="23" t="s">
        <v>537</v>
      </c>
      <c r="F70" s="23" t="s">
        <v>9374</v>
      </c>
      <c r="G70" s="23" t="s">
        <v>9403</v>
      </c>
      <c r="H70" s="23" t="s">
        <v>121</v>
      </c>
      <c r="I70" s="23" t="s">
        <v>9376</v>
      </c>
      <c r="J70" s="23"/>
      <c r="K70" s="23"/>
      <c r="L70" s="23"/>
      <c r="M70" s="23" t="s">
        <v>9378</v>
      </c>
      <c r="N70" s="23" t="s">
        <v>9379</v>
      </c>
      <c r="O70" s="23"/>
      <c r="P70" s="23"/>
      <c r="Q70" s="23" t="s">
        <v>9575</v>
      </c>
      <c r="R70" s="23" t="s">
        <v>9383</v>
      </c>
    </row>
    <row r="71" spans="2:18" ht="15" customHeight="1" x14ac:dyDescent="0.25">
      <c r="B71" s="33" t="str">
        <f t="shared" si="2"/>
        <v>a4</v>
      </c>
      <c r="C71" s="33" t="str">
        <f t="shared" si="3"/>
        <v>c0a4</v>
      </c>
      <c r="D71" s="23" t="s">
        <v>9576</v>
      </c>
      <c r="E71" s="23" t="s">
        <v>539</v>
      </c>
      <c r="F71" s="23" t="s">
        <v>9374</v>
      </c>
      <c r="G71" s="23" t="s">
        <v>9403</v>
      </c>
      <c r="H71" s="23" t="s">
        <v>121</v>
      </c>
      <c r="I71" s="23" t="s">
        <v>9376</v>
      </c>
      <c r="J71" s="23"/>
      <c r="K71" s="23"/>
      <c r="L71" s="23"/>
      <c r="M71" s="23" t="s">
        <v>9378</v>
      </c>
      <c r="N71" s="23" t="s">
        <v>9379</v>
      </c>
      <c r="O71" s="23"/>
      <c r="P71" s="23"/>
      <c r="Q71" s="23" t="s">
        <v>9577</v>
      </c>
      <c r="R71" s="23" t="s">
        <v>9383</v>
      </c>
    </row>
    <row r="72" spans="2:18" ht="15" customHeight="1" x14ac:dyDescent="0.25">
      <c r="B72" s="33" t="str">
        <f t="shared" si="2"/>
        <v>a5</v>
      </c>
      <c r="C72" s="33" t="str">
        <f t="shared" si="3"/>
        <v>c0a5</v>
      </c>
      <c r="D72" s="23" t="s">
        <v>9578</v>
      </c>
      <c r="E72" s="23" t="s">
        <v>541</v>
      </c>
      <c r="F72" s="23" t="s">
        <v>9374</v>
      </c>
      <c r="G72" s="23" t="s">
        <v>9403</v>
      </c>
      <c r="H72" s="23" t="s">
        <v>121</v>
      </c>
      <c r="I72" s="23" t="s">
        <v>9376</v>
      </c>
      <c r="J72" s="23"/>
      <c r="K72" s="23"/>
      <c r="L72" s="23"/>
      <c r="M72" s="23" t="s">
        <v>9378</v>
      </c>
      <c r="N72" s="23" t="s">
        <v>9379</v>
      </c>
      <c r="O72" s="23"/>
      <c r="P72" s="23"/>
      <c r="Q72" s="23" t="s">
        <v>9579</v>
      </c>
      <c r="R72" s="23" t="s">
        <v>9383</v>
      </c>
    </row>
    <row r="73" spans="2:18" ht="15" customHeight="1" x14ac:dyDescent="0.25">
      <c r="B73" s="33" t="str">
        <f t="shared" si="2"/>
        <v>a7</v>
      </c>
      <c r="C73" s="33" t="str">
        <f t="shared" si="3"/>
        <v>c0a7</v>
      </c>
      <c r="D73" s="23" t="s">
        <v>9580</v>
      </c>
      <c r="E73" s="23" t="s">
        <v>543</v>
      </c>
      <c r="F73" s="23" t="s">
        <v>9374</v>
      </c>
      <c r="G73" s="23" t="s">
        <v>9403</v>
      </c>
      <c r="H73" s="23" t="s">
        <v>121</v>
      </c>
      <c r="I73" s="23" t="s">
        <v>9376</v>
      </c>
      <c r="J73" s="23"/>
      <c r="K73" s="23"/>
      <c r="L73" s="23"/>
      <c r="M73" s="23" t="s">
        <v>9378</v>
      </c>
      <c r="N73" s="23" t="s">
        <v>9379</v>
      </c>
      <c r="O73" s="23"/>
      <c r="P73" s="23"/>
      <c r="Q73" s="23" t="s">
        <v>9581</v>
      </c>
      <c r="R73" s="23" t="s">
        <v>9383</v>
      </c>
    </row>
    <row r="74" spans="2:18" ht="15" customHeight="1" x14ac:dyDescent="0.25">
      <c r="B74" s="33" t="str">
        <f t="shared" si="2"/>
        <v>a8</v>
      </c>
      <c r="C74" s="33" t="str">
        <f t="shared" si="3"/>
        <v>c0a8</v>
      </c>
      <c r="D74" s="23" t="s">
        <v>9582</v>
      </c>
      <c r="E74" s="23" t="s">
        <v>545</v>
      </c>
      <c r="F74" s="23" t="s">
        <v>9374</v>
      </c>
      <c r="G74" s="23" t="s">
        <v>9403</v>
      </c>
      <c r="H74" s="23" t="s">
        <v>121</v>
      </c>
      <c r="I74" s="23" t="s">
        <v>9376</v>
      </c>
      <c r="J74" s="23"/>
      <c r="K74" s="23"/>
      <c r="L74" s="23"/>
      <c r="M74" s="23" t="s">
        <v>9378</v>
      </c>
      <c r="N74" s="23" t="s">
        <v>9379</v>
      </c>
      <c r="O74" s="23"/>
      <c r="P74" s="23"/>
      <c r="Q74" s="23" t="s">
        <v>9583</v>
      </c>
      <c r="R74" s="23" t="s">
        <v>9383</v>
      </c>
    </row>
    <row r="75" spans="2:18" ht="15" customHeight="1" x14ac:dyDescent="0.25">
      <c r="B75" s="33" t="str">
        <f t="shared" si="2"/>
        <v>ac</v>
      </c>
      <c r="C75" s="33" t="str">
        <f t="shared" si="3"/>
        <v>c0ac</v>
      </c>
      <c r="D75" s="23" t="s">
        <v>9584</v>
      </c>
      <c r="E75" s="23" t="s">
        <v>9585</v>
      </c>
      <c r="F75" s="23" t="s">
        <v>9374</v>
      </c>
      <c r="G75" s="23" t="s">
        <v>9403</v>
      </c>
      <c r="H75" s="23" t="s">
        <v>121</v>
      </c>
      <c r="I75" s="23" t="s">
        <v>9376</v>
      </c>
      <c r="J75" s="23"/>
      <c r="K75" s="23"/>
      <c r="L75" s="23"/>
      <c r="M75" s="23" t="s">
        <v>9378</v>
      </c>
      <c r="N75" s="23" t="s">
        <v>9379</v>
      </c>
      <c r="O75" s="23"/>
      <c r="P75" s="23"/>
      <c r="Q75" s="23"/>
      <c r="R75" s="23" t="s">
        <v>9586</v>
      </c>
    </row>
    <row r="76" spans="2:18" ht="15" customHeight="1" x14ac:dyDescent="0.25">
      <c r="B76" s="33" t="str">
        <f t="shared" si="2"/>
        <v>af</v>
      </c>
      <c r="C76" s="33" t="str">
        <f t="shared" si="3"/>
        <v>c0af</v>
      </c>
      <c r="D76" s="23" t="s">
        <v>9587</v>
      </c>
      <c r="E76" s="23" t="s">
        <v>9588</v>
      </c>
      <c r="F76" s="23" t="s">
        <v>9374</v>
      </c>
      <c r="G76" s="23" t="s">
        <v>9403</v>
      </c>
      <c r="H76" s="23" t="s">
        <v>121</v>
      </c>
      <c r="I76" s="23" t="s">
        <v>9376</v>
      </c>
      <c r="J76" s="23"/>
      <c r="K76" s="23"/>
      <c r="L76" s="23"/>
      <c r="M76" s="23" t="s">
        <v>9378</v>
      </c>
      <c r="N76" s="23" t="s">
        <v>9379</v>
      </c>
      <c r="O76" s="23"/>
      <c r="P76" s="23"/>
      <c r="Q76" s="23"/>
      <c r="R76" s="23" t="s">
        <v>9586</v>
      </c>
    </row>
    <row r="77" spans="2:18" ht="15" customHeight="1" x14ac:dyDescent="0.25">
      <c r="B77" s="33" t="str">
        <f t="shared" si="2"/>
        <v>ai</v>
      </c>
      <c r="C77" s="33" t="str">
        <f t="shared" si="3"/>
        <v>c0ai</v>
      </c>
      <c r="D77" s="23" t="s">
        <v>9589</v>
      </c>
      <c r="E77" s="23" t="s">
        <v>9590</v>
      </c>
      <c r="F77" s="23" t="s">
        <v>9374</v>
      </c>
      <c r="G77" s="23" t="s">
        <v>9403</v>
      </c>
      <c r="H77" s="23" t="s">
        <v>121</v>
      </c>
      <c r="I77" s="23" t="s">
        <v>9376</v>
      </c>
      <c r="J77" s="23"/>
      <c r="K77" s="23"/>
      <c r="L77" s="23"/>
      <c r="M77" s="23" t="s">
        <v>9393</v>
      </c>
      <c r="N77" s="23" t="s">
        <v>9394</v>
      </c>
      <c r="O77" s="23"/>
      <c r="P77" s="23"/>
      <c r="Q77" s="23"/>
      <c r="R77" s="23" t="s">
        <v>9586</v>
      </c>
    </row>
    <row r="78" spans="2:18" ht="15" customHeight="1" x14ac:dyDescent="0.25">
      <c r="B78" s="33" t="str">
        <f t="shared" si="2"/>
        <v>al</v>
      </c>
      <c r="C78" s="33" t="str">
        <f t="shared" si="3"/>
        <v>c0al</v>
      </c>
      <c r="D78" s="23" t="s">
        <v>9591</v>
      </c>
      <c r="E78" s="23" t="s">
        <v>9592</v>
      </c>
      <c r="F78" s="23" t="s">
        <v>9374</v>
      </c>
      <c r="G78" s="23" t="s">
        <v>9403</v>
      </c>
      <c r="H78" s="23" t="s">
        <v>121</v>
      </c>
      <c r="I78" s="23" t="s">
        <v>9376</v>
      </c>
      <c r="J78" s="23"/>
      <c r="K78" s="23"/>
      <c r="L78" s="23"/>
      <c r="M78" s="23" t="s">
        <v>9378</v>
      </c>
      <c r="N78" s="23" t="s">
        <v>9379</v>
      </c>
      <c r="O78" s="23"/>
      <c r="P78" s="23"/>
      <c r="Q78" s="23"/>
      <c r="R78" s="23" t="s">
        <v>9586</v>
      </c>
    </row>
    <row r="79" spans="2:18" ht="15" customHeight="1" x14ac:dyDescent="0.25">
      <c r="B79" s="33" t="str">
        <f t="shared" si="2"/>
        <v>ao</v>
      </c>
      <c r="C79" s="33" t="str">
        <f t="shared" si="3"/>
        <v>c0ao</v>
      </c>
      <c r="D79" s="23" t="s">
        <v>9593</v>
      </c>
      <c r="E79" s="23" t="s">
        <v>9594</v>
      </c>
      <c r="F79" s="23" t="s">
        <v>9374</v>
      </c>
      <c r="G79" s="23" t="s">
        <v>9375</v>
      </c>
      <c r="H79" s="23" t="s">
        <v>121</v>
      </c>
      <c r="I79" s="23" t="s">
        <v>9376</v>
      </c>
      <c r="J79" s="23" t="s">
        <v>3276</v>
      </c>
      <c r="K79" s="23" t="s">
        <v>3275</v>
      </c>
      <c r="L79" s="23" t="s">
        <v>9595</v>
      </c>
      <c r="M79" s="23" t="s">
        <v>9378</v>
      </c>
      <c r="N79" s="23" t="s">
        <v>9394</v>
      </c>
      <c r="O79" s="23"/>
      <c r="P79" s="23"/>
      <c r="Q79" s="23"/>
      <c r="R79" s="23" t="s">
        <v>9586</v>
      </c>
    </row>
    <row r="80" spans="2:18" ht="15" customHeight="1" x14ac:dyDescent="0.25">
      <c r="B80" s="33" t="str">
        <f t="shared" si="2"/>
        <v>ar</v>
      </c>
      <c r="C80" s="33" t="str">
        <f t="shared" si="3"/>
        <v>c0ar</v>
      </c>
      <c r="D80" s="23" t="s">
        <v>9596</v>
      </c>
      <c r="E80" s="23" t="s">
        <v>557</v>
      </c>
      <c r="F80" s="23" t="s">
        <v>9374</v>
      </c>
      <c r="G80" s="23" t="s">
        <v>9403</v>
      </c>
      <c r="H80" s="23" t="s">
        <v>121</v>
      </c>
      <c r="I80" s="23" t="s">
        <v>9376</v>
      </c>
      <c r="J80" s="23"/>
      <c r="K80" s="23"/>
      <c r="L80" s="23"/>
      <c r="M80" s="23" t="s">
        <v>9378</v>
      </c>
      <c r="N80" s="23" t="s">
        <v>9379</v>
      </c>
      <c r="O80" s="23"/>
      <c r="P80" s="23"/>
      <c r="Q80" s="23" t="s">
        <v>9597</v>
      </c>
      <c r="R80" s="23" t="s">
        <v>9586</v>
      </c>
    </row>
    <row r="81" spans="2:18" ht="15" customHeight="1" x14ac:dyDescent="0.25">
      <c r="B81" s="33" t="str">
        <f t="shared" si="2"/>
        <v>au</v>
      </c>
      <c r="C81" s="33" t="str">
        <f t="shared" si="3"/>
        <v>c0au</v>
      </c>
      <c r="D81" s="23" t="s">
        <v>9598</v>
      </c>
      <c r="E81" s="23" t="s">
        <v>559</v>
      </c>
      <c r="F81" s="23" t="s">
        <v>9374</v>
      </c>
      <c r="G81" s="23" t="s">
        <v>9403</v>
      </c>
      <c r="H81" s="23" t="s">
        <v>121</v>
      </c>
      <c r="I81" s="23" t="s">
        <v>9376</v>
      </c>
      <c r="J81" s="23"/>
      <c r="K81" s="23"/>
      <c r="L81" s="23"/>
      <c r="M81" s="23" t="s">
        <v>9378</v>
      </c>
      <c r="N81" s="23" t="s">
        <v>9379</v>
      </c>
      <c r="O81" s="23"/>
      <c r="P81" s="23"/>
      <c r="Q81" s="23" t="s">
        <v>9599</v>
      </c>
      <c r="R81" s="23" t="s">
        <v>9586</v>
      </c>
    </row>
    <row r="82" spans="2:18" ht="15" customHeight="1" x14ac:dyDescent="0.25">
      <c r="B82" s="33" t="str">
        <f t="shared" si="2"/>
        <v>ax</v>
      </c>
      <c r="C82" s="33" t="str">
        <f t="shared" si="3"/>
        <v>c0ax</v>
      </c>
      <c r="D82" s="23" t="s">
        <v>9600</v>
      </c>
      <c r="E82" s="23" t="s">
        <v>561</v>
      </c>
      <c r="F82" s="23" t="s">
        <v>9374</v>
      </c>
      <c r="G82" s="23" t="s">
        <v>9403</v>
      </c>
      <c r="H82" s="23" t="s">
        <v>121</v>
      </c>
      <c r="I82" s="23" t="s">
        <v>9376</v>
      </c>
      <c r="J82" s="23"/>
      <c r="K82" s="23"/>
      <c r="L82" s="23"/>
      <c r="M82" s="23" t="s">
        <v>9378</v>
      </c>
      <c r="N82" s="23" t="s">
        <v>9379</v>
      </c>
      <c r="O82" s="23"/>
      <c r="P82" s="23"/>
      <c r="Q82" s="23"/>
      <c r="R82" s="23" t="s">
        <v>9586</v>
      </c>
    </row>
    <row r="83" spans="2:18" ht="15" customHeight="1" x14ac:dyDescent="0.25">
      <c r="B83" s="33" t="str">
        <f t="shared" si="2"/>
        <v>b7</v>
      </c>
      <c r="C83" s="33" t="str">
        <f t="shared" si="3"/>
        <v>c0b7</v>
      </c>
      <c r="D83" s="23" t="s">
        <v>9601</v>
      </c>
      <c r="E83" s="23" t="s">
        <v>9602</v>
      </c>
      <c r="F83" s="23" t="s">
        <v>9374</v>
      </c>
      <c r="G83" s="23" t="s">
        <v>9403</v>
      </c>
      <c r="H83" s="23" t="s">
        <v>121</v>
      </c>
      <c r="I83" s="23" t="s">
        <v>9376</v>
      </c>
      <c r="J83" s="23"/>
      <c r="K83" s="23"/>
      <c r="L83" s="23"/>
      <c r="M83" s="23" t="s">
        <v>9378</v>
      </c>
      <c r="N83" s="23" t="s">
        <v>9379</v>
      </c>
      <c r="O83" s="23"/>
      <c r="P83" s="23"/>
      <c r="Q83" s="23" t="s">
        <v>9603</v>
      </c>
      <c r="R83" s="23" t="s">
        <v>9383</v>
      </c>
    </row>
    <row r="84" spans="2:18" ht="15" customHeight="1" x14ac:dyDescent="0.25">
      <c r="B84" s="33" t="str">
        <f t="shared" si="2"/>
        <v>b8</v>
      </c>
      <c r="C84" s="33" t="str">
        <f t="shared" si="3"/>
        <v>c0b8</v>
      </c>
      <c r="D84" s="23" t="s">
        <v>9604</v>
      </c>
      <c r="E84" s="23" t="s">
        <v>565</v>
      </c>
      <c r="F84" s="23" t="s">
        <v>9374</v>
      </c>
      <c r="G84" s="23" t="s">
        <v>9375</v>
      </c>
      <c r="H84" s="23" t="s">
        <v>121</v>
      </c>
      <c r="I84" s="23" t="s">
        <v>9376</v>
      </c>
      <c r="J84" s="23" t="s">
        <v>3276</v>
      </c>
      <c r="K84" s="23" t="s">
        <v>3275</v>
      </c>
      <c r="L84" s="23" t="s">
        <v>9605</v>
      </c>
      <c r="M84" s="23" t="s">
        <v>9378</v>
      </c>
      <c r="N84" s="23" t="s">
        <v>9394</v>
      </c>
      <c r="O84" s="23"/>
      <c r="P84" s="23"/>
      <c r="Q84" s="23" t="s">
        <v>9606</v>
      </c>
      <c r="R84" s="23" t="s">
        <v>9383</v>
      </c>
    </row>
    <row r="85" spans="2:18" ht="15" customHeight="1" x14ac:dyDescent="0.25">
      <c r="B85" s="33" t="str">
        <f t="shared" si="2"/>
        <v>ba</v>
      </c>
      <c r="C85" s="33" t="str">
        <f t="shared" si="3"/>
        <v>c0ba</v>
      </c>
      <c r="D85" s="23" t="s">
        <v>9607</v>
      </c>
      <c r="E85" s="23" t="s">
        <v>567</v>
      </c>
      <c r="F85" s="23" t="s">
        <v>9374</v>
      </c>
      <c r="G85" s="23" t="s">
        <v>9403</v>
      </c>
      <c r="H85" s="23" t="s">
        <v>121</v>
      </c>
      <c r="I85" s="23" t="s">
        <v>9376</v>
      </c>
      <c r="J85" s="23"/>
      <c r="K85" s="23"/>
      <c r="L85" s="23"/>
      <c r="M85" s="23" t="s">
        <v>9378</v>
      </c>
      <c r="N85" s="23" t="s">
        <v>9379</v>
      </c>
      <c r="O85" s="23"/>
      <c r="P85" s="23"/>
      <c r="Q85" s="23"/>
      <c r="R85" s="23" t="s">
        <v>9586</v>
      </c>
    </row>
    <row r="86" spans="2:18" ht="15" customHeight="1" x14ac:dyDescent="0.25">
      <c r="B86" s="33" t="str">
        <f t="shared" si="2"/>
        <v>bd</v>
      </c>
      <c r="C86" s="33" t="str">
        <f t="shared" si="3"/>
        <v>c0bd</v>
      </c>
      <c r="D86" s="23" t="s">
        <v>9608</v>
      </c>
      <c r="E86" s="23" t="s">
        <v>569</v>
      </c>
      <c r="F86" s="23" t="s">
        <v>9374</v>
      </c>
      <c r="G86" s="23" t="s">
        <v>9403</v>
      </c>
      <c r="H86" s="23" t="s">
        <v>121</v>
      </c>
      <c r="I86" s="23" t="s">
        <v>9376</v>
      </c>
      <c r="J86" s="23"/>
      <c r="K86" s="23"/>
      <c r="L86" s="23"/>
      <c r="M86" s="23" t="s">
        <v>9378</v>
      </c>
      <c r="N86" s="23" t="s">
        <v>9379</v>
      </c>
      <c r="O86" s="23"/>
      <c r="P86" s="23"/>
      <c r="Q86" s="23" t="s">
        <v>9609</v>
      </c>
      <c r="R86" s="23" t="s">
        <v>9383</v>
      </c>
    </row>
    <row r="87" spans="2:18" ht="15" customHeight="1" x14ac:dyDescent="0.25">
      <c r="B87" s="33" t="str">
        <f t="shared" si="2"/>
        <v>bf</v>
      </c>
      <c r="C87" s="33" t="str">
        <f t="shared" si="3"/>
        <v>c0bf</v>
      </c>
      <c r="D87" s="23" t="s">
        <v>9610</v>
      </c>
      <c r="E87" s="23" t="s">
        <v>571</v>
      </c>
      <c r="F87" s="23" t="s">
        <v>9374</v>
      </c>
      <c r="G87" s="23" t="s">
        <v>9403</v>
      </c>
      <c r="H87" s="23" t="s">
        <v>121</v>
      </c>
      <c r="I87" s="23" t="s">
        <v>9376</v>
      </c>
      <c r="J87" s="23"/>
      <c r="K87" s="23"/>
      <c r="L87" s="23"/>
      <c r="M87" s="23" t="s">
        <v>9378</v>
      </c>
      <c r="N87" s="23" t="s">
        <v>9379</v>
      </c>
      <c r="O87" s="23"/>
      <c r="P87" s="23"/>
      <c r="Q87" s="23" t="s">
        <v>9611</v>
      </c>
      <c r="R87" s="23" t="s">
        <v>9418</v>
      </c>
    </row>
    <row r="88" spans="2:18" ht="15" customHeight="1" x14ac:dyDescent="0.25">
      <c r="B88" s="33" t="str">
        <f t="shared" si="2"/>
        <v>bg</v>
      </c>
      <c r="C88" s="33" t="str">
        <f t="shared" si="3"/>
        <v>c0bg</v>
      </c>
      <c r="D88" s="23" t="s">
        <v>9612</v>
      </c>
      <c r="E88" s="23" t="s">
        <v>573</v>
      </c>
      <c r="F88" s="23" t="s">
        <v>9374</v>
      </c>
      <c r="G88" s="23" t="s">
        <v>9403</v>
      </c>
      <c r="H88" s="23" t="s">
        <v>121</v>
      </c>
      <c r="I88" s="23" t="s">
        <v>9376</v>
      </c>
      <c r="J88" s="23"/>
      <c r="K88" s="23"/>
      <c r="L88" s="23"/>
      <c r="M88" s="23" t="s">
        <v>9378</v>
      </c>
      <c r="N88" s="23" t="s">
        <v>9379</v>
      </c>
      <c r="O88" s="23"/>
      <c r="P88" s="23"/>
      <c r="Q88" s="23" t="s">
        <v>9613</v>
      </c>
      <c r="R88" s="23" t="s">
        <v>9418</v>
      </c>
    </row>
    <row r="89" spans="2:18" ht="15" customHeight="1" x14ac:dyDescent="0.25">
      <c r="B89" s="33" t="str">
        <f t="shared" si="2"/>
        <v>bh</v>
      </c>
      <c r="C89" s="33" t="str">
        <f t="shared" si="3"/>
        <v>c0bh</v>
      </c>
      <c r="D89" s="23" t="s">
        <v>9614</v>
      </c>
      <c r="E89" s="23" t="s">
        <v>575</v>
      </c>
      <c r="F89" s="23" t="s">
        <v>9374</v>
      </c>
      <c r="G89" s="23" t="s">
        <v>9403</v>
      </c>
      <c r="H89" s="23" t="s">
        <v>121</v>
      </c>
      <c r="I89" s="23" t="s">
        <v>9376</v>
      </c>
      <c r="J89" s="23"/>
      <c r="K89" s="23"/>
      <c r="L89" s="23"/>
      <c r="M89" s="23" t="s">
        <v>9378</v>
      </c>
      <c r="N89" s="23" t="s">
        <v>9379</v>
      </c>
      <c r="O89" s="23"/>
      <c r="P89" s="23"/>
      <c r="Q89" s="23" t="s">
        <v>9597</v>
      </c>
      <c r="R89" s="23" t="s">
        <v>9418</v>
      </c>
    </row>
    <row r="90" spans="2:18" ht="15" customHeight="1" x14ac:dyDescent="0.25">
      <c r="B90" s="33" t="str">
        <f t="shared" si="2"/>
        <v>bj</v>
      </c>
      <c r="C90" s="33" t="str">
        <f t="shared" si="3"/>
        <v>c0bj</v>
      </c>
      <c r="D90" s="23" t="s">
        <v>9615</v>
      </c>
      <c r="E90" s="23" t="s">
        <v>577</v>
      </c>
      <c r="F90" s="23" t="s">
        <v>9374</v>
      </c>
      <c r="G90" s="23" t="s">
        <v>9403</v>
      </c>
      <c r="H90" s="23" t="s">
        <v>121</v>
      </c>
      <c r="I90" s="23" t="s">
        <v>9376</v>
      </c>
      <c r="J90" s="23"/>
      <c r="K90" s="23"/>
      <c r="L90" s="23"/>
      <c r="M90" s="23" t="s">
        <v>9378</v>
      </c>
      <c r="N90" s="23" t="s">
        <v>9379</v>
      </c>
      <c r="O90" s="23"/>
      <c r="P90" s="23"/>
      <c r="Q90" s="23" t="s">
        <v>9616</v>
      </c>
      <c r="R90" s="23" t="s">
        <v>9418</v>
      </c>
    </row>
    <row r="91" spans="2:18" ht="15" customHeight="1" x14ac:dyDescent="0.25">
      <c r="B91" s="33" t="str">
        <f t="shared" si="2"/>
        <v>bk</v>
      </c>
      <c r="C91" s="33" t="str">
        <f t="shared" si="3"/>
        <v>c0bk</v>
      </c>
      <c r="D91" s="23" t="s">
        <v>9617</v>
      </c>
      <c r="E91" s="23" t="s">
        <v>579</v>
      </c>
      <c r="F91" s="23" t="s">
        <v>9374</v>
      </c>
      <c r="G91" s="23" t="s">
        <v>9403</v>
      </c>
      <c r="H91" s="23" t="s">
        <v>121</v>
      </c>
      <c r="I91" s="23" t="s">
        <v>9376</v>
      </c>
      <c r="J91" s="23"/>
      <c r="K91" s="23"/>
      <c r="L91" s="23"/>
      <c r="M91" s="23" t="s">
        <v>9378</v>
      </c>
      <c r="N91" s="23" t="s">
        <v>9379</v>
      </c>
      <c r="O91" s="23"/>
      <c r="P91" s="23"/>
      <c r="Q91" s="23" t="s">
        <v>9618</v>
      </c>
      <c r="R91" s="23" t="s">
        <v>9418</v>
      </c>
    </row>
    <row r="92" spans="2:18" ht="15" customHeight="1" x14ac:dyDescent="0.25">
      <c r="B92" s="33" t="str">
        <f t="shared" si="2"/>
        <v>bl</v>
      </c>
      <c r="C92" s="33" t="str">
        <f t="shared" si="3"/>
        <v>c0bl</v>
      </c>
      <c r="D92" s="23" t="s">
        <v>9619</v>
      </c>
      <c r="E92" s="23" t="s">
        <v>581</v>
      </c>
      <c r="F92" s="23" t="s">
        <v>9374</v>
      </c>
      <c r="G92" s="23" t="s">
        <v>9403</v>
      </c>
      <c r="H92" s="23" t="s">
        <v>121</v>
      </c>
      <c r="I92" s="23" t="s">
        <v>9376</v>
      </c>
      <c r="J92" s="23"/>
      <c r="K92" s="23"/>
      <c r="L92" s="23"/>
      <c r="M92" s="23" t="s">
        <v>9378</v>
      </c>
      <c r="N92" s="23" t="s">
        <v>9379</v>
      </c>
      <c r="O92" s="23"/>
      <c r="P92" s="23"/>
      <c r="Q92" s="23" t="s">
        <v>9620</v>
      </c>
      <c r="R92" s="23" t="s">
        <v>9418</v>
      </c>
    </row>
    <row r="93" spans="2:18" ht="15" customHeight="1" x14ac:dyDescent="0.25">
      <c r="B93" s="33" t="str">
        <f t="shared" si="2"/>
        <v>bm</v>
      </c>
      <c r="C93" s="33" t="str">
        <f t="shared" si="3"/>
        <v>c0bm</v>
      </c>
      <c r="D93" s="23" t="s">
        <v>9621</v>
      </c>
      <c r="E93" s="23" t="s">
        <v>583</v>
      </c>
      <c r="F93" s="23" t="s">
        <v>9374</v>
      </c>
      <c r="G93" s="23" t="s">
        <v>9403</v>
      </c>
      <c r="H93" s="23" t="s">
        <v>121</v>
      </c>
      <c r="I93" s="23" t="s">
        <v>9376</v>
      </c>
      <c r="J93" s="23"/>
      <c r="K93" s="23"/>
      <c r="L93" s="23"/>
      <c r="M93" s="23" t="s">
        <v>9378</v>
      </c>
      <c r="N93" s="23" t="s">
        <v>9379</v>
      </c>
      <c r="O93" s="23"/>
      <c r="P93" s="23"/>
      <c r="Q93" s="23" t="s">
        <v>9622</v>
      </c>
      <c r="R93" s="23" t="s">
        <v>9418</v>
      </c>
    </row>
    <row r="94" spans="2:18" ht="15" customHeight="1" x14ac:dyDescent="0.25">
      <c r="B94" s="33" t="str">
        <f t="shared" si="2"/>
        <v>bn</v>
      </c>
      <c r="C94" s="33" t="str">
        <f t="shared" si="3"/>
        <v>c0bn</v>
      </c>
      <c r="D94" s="23" t="s">
        <v>9623</v>
      </c>
      <c r="E94" s="23" t="s">
        <v>585</v>
      </c>
      <c r="F94" s="23" t="s">
        <v>9374</v>
      </c>
      <c r="G94" s="23" t="s">
        <v>9403</v>
      </c>
      <c r="H94" s="23" t="s">
        <v>121</v>
      </c>
      <c r="I94" s="23" t="s">
        <v>9376</v>
      </c>
      <c r="J94" s="23"/>
      <c r="K94" s="23"/>
      <c r="L94" s="23"/>
      <c r="M94" s="23" t="s">
        <v>9378</v>
      </c>
      <c r="N94" s="23" t="s">
        <v>9379</v>
      </c>
      <c r="O94" s="23"/>
      <c r="P94" s="23"/>
      <c r="Q94" s="23" t="s">
        <v>9624</v>
      </c>
      <c r="R94" s="23" t="s">
        <v>9418</v>
      </c>
    </row>
    <row r="95" spans="2:18" ht="15" customHeight="1" x14ac:dyDescent="0.25">
      <c r="B95" s="33" t="str">
        <f t="shared" si="2"/>
        <v>bp</v>
      </c>
      <c r="C95" s="33" t="str">
        <f t="shared" si="3"/>
        <v>c0bp</v>
      </c>
      <c r="D95" s="23" t="s">
        <v>9625</v>
      </c>
      <c r="E95" s="23" t="s">
        <v>587</v>
      </c>
      <c r="F95" s="23" t="s">
        <v>9374</v>
      </c>
      <c r="G95" s="23" t="s">
        <v>9403</v>
      </c>
      <c r="H95" s="23" t="s">
        <v>121</v>
      </c>
      <c r="I95" s="23" t="s">
        <v>9376</v>
      </c>
      <c r="J95" s="23"/>
      <c r="K95" s="23"/>
      <c r="L95" s="23"/>
      <c r="M95" s="23" t="s">
        <v>9378</v>
      </c>
      <c r="N95" s="23" t="s">
        <v>9379</v>
      </c>
      <c r="O95" s="23"/>
      <c r="P95" s="23"/>
      <c r="Q95" s="23" t="s">
        <v>9626</v>
      </c>
      <c r="R95" s="23" t="s">
        <v>9418</v>
      </c>
    </row>
    <row r="96" spans="2:18" ht="15" customHeight="1" x14ac:dyDescent="0.25">
      <c r="B96" s="33" t="str">
        <f t="shared" si="2"/>
        <v>bq</v>
      </c>
      <c r="C96" s="33" t="str">
        <f t="shared" si="3"/>
        <v>c0bq</v>
      </c>
      <c r="D96" s="23" t="s">
        <v>9627</v>
      </c>
      <c r="E96" s="23" t="s">
        <v>589</v>
      </c>
      <c r="F96" s="23" t="s">
        <v>9374</v>
      </c>
      <c r="G96" s="23" t="s">
        <v>9403</v>
      </c>
      <c r="H96" s="23" t="s">
        <v>121</v>
      </c>
      <c r="I96" s="23" t="s">
        <v>9376</v>
      </c>
      <c r="J96" s="23"/>
      <c r="K96" s="23"/>
      <c r="L96" s="23"/>
      <c r="M96" s="23" t="s">
        <v>9378</v>
      </c>
      <c r="N96" s="23" t="s">
        <v>9379</v>
      </c>
      <c r="O96" s="23"/>
      <c r="P96" s="23"/>
      <c r="Q96" s="23" t="s">
        <v>9628</v>
      </c>
      <c r="R96" s="23" t="s">
        <v>9418</v>
      </c>
    </row>
    <row r="97" spans="2:18" ht="15" customHeight="1" x14ac:dyDescent="0.25">
      <c r="B97" s="33" t="str">
        <f t="shared" si="2"/>
        <v>br</v>
      </c>
      <c r="C97" s="33" t="str">
        <f t="shared" si="3"/>
        <v>c0br</v>
      </c>
      <c r="D97" s="23" t="s">
        <v>9629</v>
      </c>
      <c r="E97" s="23" t="s">
        <v>591</v>
      </c>
      <c r="F97" s="23" t="s">
        <v>9374</v>
      </c>
      <c r="G97" s="23" t="s">
        <v>9403</v>
      </c>
      <c r="H97" s="23" t="s">
        <v>121</v>
      </c>
      <c r="I97" s="23" t="s">
        <v>9376</v>
      </c>
      <c r="J97" s="23"/>
      <c r="K97" s="23"/>
      <c r="L97" s="23"/>
      <c r="M97" s="23" t="s">
        <v>9378</v>
      </c>
      <c r="N97" s="23" t="s">
        <v>9379</v>
      </c>
      <c r="O97" s="23"/>
      <c r="P97" s="23"/>
      <c r="Q97" s="23" t="s">
        <v>9630</v>
      </c>
      <c r="R97" s="23" t="s">
        <v>9418</v>
      </c>
    </row>
    <row r="98" spans="2:18" ht="15" customHeight="1" x14ac:dyDescent="0.25">
      <c r="B98" s="33" t="str">
        <f t="shared" si="2"/>
        <v>bs</v>
      </c>
      <c r="C98" s="33" t="str">
        <f t="shared" si="3"/>
        <v>c0bs</v>
      </c>
      <c r="D98" s="23" t="s">
        <v>9631</v>
      </c>
      <c r="E98" s="23" t="s">
        <v>593</v>
      </c>
      <c r="F98" s="23" t="s">
        <v>9374</v>
      </c>
      <c r="G98" s="23" t="s">
        <v>9403</v>
      </c>
      <c r="H98" s="23" t="s">
        <v>121</v>
      </c>
      <c r="I98" s="23" t="s">
        <v>9376</v>
      </c>
      <c r="J98" s="23"/>
      <c r="K98" s="23"/>
      <c r="L98" s="23"/>
      <c r="M98" s="23" t="s">
        <v>9378</v>
      </c>
      <c r="N98" s="23" t="s">
        <v>9379</v>
      </c>
      <c r="O98" s="23"/>
      <c r="P98" s="23"/>
      <c r="Q98" s="23" t="s">
        <v>9632</v>
      </c>
      <c r="R98" s="23" t="s">
        <v>9418</v>
      </c>
    </row>
    <row r="99" spans="2:18" ht="15" customHeight="1" x14ac:dyDescent="0.25">
      <c r="B99" s="33" t="str">
        <f t="shared" si="2"/>
        <v>bt</v>
      </c>
      <c r="C99" s="33" t="str">
        <f t="shared" si="3"/>
        <v>c0bt</v>
      </c>
      <c r="D99" s="23" t="s">
        <v>9633</v>
      </c>
      <c r="E99" s="23" t="s">
        <v>595</v>
      </c>
      <c r="F99" s="23" t="s">
        <v>9374</v>
      </c>
      <c r="G99" s="23" t="s">
        <v>9403</v>
      </c>
      <c r="H99" s="23" t="s">
        <v>121</v>
      </c>
      <c r="I99" s="23" t="s">
        <v>9376</v>
      </c>
      <c r="J99" s="23"/>
      <c r="K99" s="23"/>
      <c r="L99" s="23"/>
      <c r="M99" s="23" t="s">
        <v>9378</v>
      </c>
      <c r="N99" s="23" t="s">
        <v>9379</v>
      </c>
      <c r="O99" s="23"/>
      <c r="P99" s="23"/>
      <c r="Q99" s="23" t="s">
        <v>9634</v>
      </c>
      <c r="R99" s="23" t="s">
        <v>9418</v>
      </c>
    </row>
    <row r="100" spans="2:18" ht="15" customHeight="1" x14ac:dyDescent="0.25">
      <c r="B100" s="33" t="str">
        <f t="shared" si="2"/>
        <v>bu</v>
      </c>
      <c r="C100" s="33" t="str">
        <f t="shared" si="3"/>
        <v>c0bu</v>
      </c>
      <c r="D100" s="23" t="s">
        <v>9635</v>
      </c>
      <c r="E100" s="23" t="s">
        <v>597</v>
      </c>
      <c r="F100" s="23" t="s">
        <v>9374</v>
      </c>
      <c r="G100" s="23" t="s">
        <v>9403</v>
      </c>
      <c r="H100" s="23" t="s">
        <v>121</v>
      </c>
      <c r="I100" s="23" t="s">
        <v>9376</v>
      </c>
      <c r="J100" s="23"/>
      <c r="K100" s="23"/>
      <c r="L100" s="23"/>
      <c r="M100" s="23" t="s">
        <v>9378</v>
      </c>
      <c r="N100" s="23" t="s">
        <v>9379</v>
      </c>
      <c r="O100" s="23"/>
      <c r="P100" s="23"/>
      <c r="Q100" s="23" t="s">
        <v>9636</v>
      </c>
      <c r="R100" s="23" t="s">
        <v>9418</v>
      </c>
    </row>
    <row r="101" spans="2:18" ht="15" customHeight="1" x14ac:dyDescent="0.25">
      <c r="B101" s="33" t="str">
        <f t="shared" si="2"/>
        <v>bv</v>
      </c>
      <c r="C101" s="33" t="str">
        <f t="shared" si="3"/>
        <v>c0bv</v>
      </c>
      <c r="D101" s="23" t="s">
        <v>9637</v>
      </c>
      <c r="E101" s="23" t="s">
        <v>599</v>
      </c>
      <c r="F101" s="23" t="s">
        <v>9374</v>
      </c>
      <c r="G101" s="23" t="s">
        <v>9403</v>
      </c>
      <c r="H101" s="23" t="s">
        <v>121</v>
      </c>
      <c r="I101" s="23" t="s">
        <v>9376</v>
      </c>
      <c r="J101" s="23"/>
      <c r="K101" s="23"/>
      <c r="L101" s="23"/>
      <c r="M101" s="23" t="s">
        <v>9378</v>
      </c>
      <c r="N101" s="23" t="s">
        <v>9379</v>
      </c>
      <c r="O101" s="23"/>
      <c r="P101" s="23"/>
      <c r="Q101" s="23" t="s">
        <v>9638</v>
      </c>
      <c r="R101" s="23" t="s">
        <v>9418</v>
      </c>
    </row>
    <row r="102" spans="2:18" ht="15" customHeight="1" x14ac:dyDescent="0.25">
      <c r="B102" s="33" t="str">
        <f t="shared" si="2"/>
        <v>bw</v>
      </c>
      <c r="C102" s="33" t="str">
        <f t="shared" si="3"/>
        <v>c0bw</v>
      </c>
      <c r="D102" s="23" t="s">
        <v>9639</v>
      </c>
      <c r="E102" s="23" t="s">
        <v>601</v>
      </c>
      <c r="F102" s="23" t="s">
        <v>9374</v>
      </c>
      <c r="G102" s="23" t="s">
        <v>9403</v>
      </c>
      <c r="H102" s="23" t="s">
        <v>121</v>
      </c>
      <c r="I102" s="23" t="s">
        <v>9376</v>
      </c>
      <c r="J102" s="23"/>
      <c r="K102" s="23"/>
      <c r="L102" s="23"/>
      <c r="M102" s="23" t="s">
        <v>9378</v>
      </c>
      <c r="N102" s="23" t="s">
        <v>9379</v>
      </c>
      <c r="O102" s="23"/>
      <c r="P102" s="23"/>
      <c r="Q102" s="23" t="s">
        <v>9640</v>
      </c>
      <c r="R102" s="23" t="s">
        <v>9418</v>
      </c>
    </row>
    <row r="103" spans="2:18" ht="15" customHeight="1" x14ac:dyDescent="0.25">
      <c r="B103" s="33" t="str">
        <f t="shared" si="2"/>
        <v>bx</v>
      </c>
      <c r="C103" s="33" t="str">
        <f t="shared" si="3"/>
        <v>c0bx</v>
      </c>
      <c r="D103" s="23" t="s">
        <v>9641</v>
      </c>
      <c r="E103" s="23" t="s">
        <v>603</v>
      </c>
      <c r="F103" s="23" t="s">
        <v>9374</v>
      </c>
      <c r="G103" s="23" t="s">
        <v>9403</v>
      </c>
      <c r="H103" s="23" t="s">
        <v>121</v>
      </c>
      <c r="I103" s="23" t="s">
        <v>9376</v>
      </c>
      <c r="J103" s="23"/>
      <c r="K103" s="23"/>
      <c r="L103" s="23"/>
      <c r="M103" s="23" t="s">
        <v>9378</v>
      </c>
      <c r="N103" s="23" t="s">
        <v>9379</v>
      </c>
      <c r="O103" s="23"/>
      <c r="P103" s="23"/>
      <c r="Q103" s="23" t="s">
        <v>9642</v>
      </c>
      <c r="R103" s="23" t="s">
        <v>9418</v>
      </c>
    </row>
    <row r="104" spans="2:18" ht="15" customHeight="1" x14ac:dyDescent="0.25">
      <c r="B104" s="33" t="str">
        <f t="shared" si="2"/>
        <v>by</v>
      </c>
      <c r="C104" s="33" t="str">
        <f t="shared" si="3"/>
        <v>c0by</v>
      </c>
      <c r="D104" s="23" t="s">
        <v>9643</v>
      </c>
      <c r="E104" s="23" t="s">
        <v>605</v>
      </c>
      <c r="F104" s="23" t="s">
        <v>9374</v>
      </c>
      <c r="G104" s="23" t="s">
        <v>9403</v>
      </c>
      <c r="H104" s="23" t="s">
        <v>121</v>
      </c>
      <c r="I104" s="23" t="s">
        <v>9376</v>
      </c>
      <c r="J104" s="23"/>
      <c r="K104" s="23"/>
      <c r="L104" s="23"/>
      <c r="M104" s="23" t="s">
        <v>9378</v>
      </c>
      <c r="N104" s="23" t="s">
        <v>9379</v>
      </c>
      <c r="O104" s="23"/>
      <c r="P104" s="23"/>
      <c r="Q104" s="23" t="s">
        <v>9644</v>
      </c>
      <c r="R104" s="23" t="s">
        <v>9418</v>
      </c>
    </row>
    <row r="105" spans="2:18" ht="15" customHeight="1" x14ac:dyDescent="0.25">
      <c r="B105" s="33" t="str">
        <f t="shared" si="2"/>
        <v>bz</v>
      </c>
      <c r="C105" s="33" t="str">
        <f t="shared" si="3"/>
        <v>c0bz</v>
      </c>
      <c r="D105" s="23" t="s">
        <v>9645</v>
      </c>
      <c r="E105" s="23" t="s">
        <v>607</v>
      </c>
      <c r="F105" s="23" t="s">
        <v>9374</v>
      </c>
      <c r="G105" s="23" t="s">
        <v>9403</v>
      </c>
      <c r="H105" s="23" t="s">
        <v>121</v>
      </c>
      <c r="I105" s="23" t="s">
        <v>9376</v>
      </c>
      <c r="J105" s="23"/>
      <c r="K105" s="23"/>
      <c r="L105" s="23"/>
      <c r="M105" s="23" t="s">
        <v>9378</v>
      </c>
      <c r="N105" s="23" t="s">
        <v>9379</v>
      </c>
      <c r="O105" s="23"/>
      <c r="P105" s="23"/>
      <c r="Q105" s="23" t="s">
        <v>9646</v>
      </c>
      <c r="R105" s="23" t="s">
        <v>9418</v>
      </c>
    </row>
    <row r="106" spans="2:18" ht="15" customHeight="1" x14ac:dyDescent="0.25">
      <c r="B106" s="33" t="str">
        <f t="shared" si="2"/>
        <v>c1</v>
      </c>
      <c r="C106" s="33" t="str">
        <f t="shared" si="3"/>
        <v>c0c1</v>
      </c>
      <c r="D106" s="23" t="s">
        <v>9647</v>
      </c>
      <c r="E106" s="23" t="s">
        <v>609</v>
      </c>
      <c r="F106" s="23" t="s">
        <v>9374</v>
      </c>
      <c r="G106" s="23" t="s">
        <v>9403</v>
      </c>
      <c r="H106" s="23" t="s">
        <v>121</v>
      </c>
      <c r="I106" s="23" t="s">
        <v>9376</v>
      </c>
      <c r="J106" s="23"/>
      <c r="K106" s="23"/>
      <c r="L106" s="23"/>
      <c r="M106" s="23" t="s">
        <v>9378</v>
      </c>
      <c r="N106" s="23" t="s">
        <v>9379</v>
      </c>
      <c r="O106" s="23"/>
      <c r="P106" s="23"/>
      <c r="Q106" s="23" t="s">
        <v>9648</v>
      </c>
      <c r="R106" s="23" t="s">
        <v>9383</v>
      </c>
    </row>
    <row r="107" spans="2:18" ht="15" customHeight="1" x14ac:dyDescent="0.25">
      <c r="B107" s="33" t="str">
        <f t="shared" si="2"/>
        <v>c2</v>
      </c>
      <c r="C107" s="33" t="str">
        <f t="shared" si="3"/>
        <v>c0c2</v>
      </c>
      <c r="D107" s="23" t="s">
        <v>9649</v>
      </c>
      <c r="E107" s="23" t="s">
        <v>9650</v>
      </c>
      <c r="F107" s="23" t="s">
        <v>9374</v>
      </c>
      <c r="G107" s="23" t="s">
        <v>9403</v>
      </c>
      <c r="H107" s="23" t="s">
        <v>121</v>
      </c>
      <c r="I107" s="23" t="s">
        <v>9376</v>
      </c>
      <c r="J107" s="23"/>
      <c r="K107" s="23"/>
      <c r="L107" s="23"/>
      <c r="M107" s="23" t="s">
        <v>9378</v>
      </c>
      <c r="N107" s="23" t="s">
        <v>9379</v>
      </c>
      <c r="O107" s="23"/>
      <c r="P107" s="23"/>
      <c r="Q107" s="23" t="s">
        <v>9651</v>
      </c>
      <c r="R107" s="23" t="s">
        <v>9383</v>
      </c>
    </row>
    <row r="108" spans="2:18" ht="15" customHeight="1" x14ac:dyDescent="0.25">
      <c r="B108" s="33" t="str">
        <f t="shared" si="2"/>
        <v>c4</v>
      </c>
      <c r="C108" s="33" t="str">
        <f t="shared" si="3"/>
        <v>c0c4</v>
      </c>
      <c r="D108" s="23" t="s">
        <v>9652</v>
      </c>
      <c r="E108" s="23" t="s">
        <v>613</v>
      </c>
      <c r="F108" s="23" t="s">
        <v>9374</v>
      </c>
      <c r="G108" s="23" t="s">
        <v>9375</v>
      </c>
      <c r="H108" s="23" t="s">
        <v>121</v>
      </c>
      <c r="I108" s="23" t="s">
        <v>9376</v>
      </c>
      <c r="J108" s="23" t="s">
        <v>3276</v>
      </c>
      <c r="K108" s="23" t="s">
        <v>3275</v>
      </c>
      <c r="L108" s="23" t="s">
        <v>9653</v>
      </c>
      <c r="M108" s="23" t="s">
        <v>9425</v>
      </c>
      <c r="N108" s="23" t="s">
        <v>9394</v>
      </c>
      <c r="O108" s="23"/>
      <c r="P108" s="23"/>
      <c r="Q108" s="23" t="s">
        <v>9654</v>
      </c>
      <c r="R108" s="23" t="s">
        <v>9383</v>
      </c>
    </row>
    <row r="109" spans="2:18" ht="15" customHeight="1" x14ac:dyDescent="0.25">
      <c r="B109" s="33" t="str">
        <f t="shared" si="2"/>
        <v>c7</v>
      </c>
      <c r="C109" s="33" t="str">
        <f t="shared" si="3"/>
        <v>c0c7</v>
      </c>
      <c r="D109" s="23" t="s">
        <v>9655</v>
      </c>
      <c r="E109" s="23" t="s">
        <v>615</v>
      </c>
      <c r="F109" s="23" t="s">
        <v>9374</v>
      </c>
      <c r="G109" s="23" t="s">
        <v>9375</v>
      </c>
      <c r="H109" s="23" t="s">
        <v>121</v>
      </c>
      <c r="I109" s="23" t="s">
        <v>9376</v>
      </c>
      <c r="J109" s="23" t="s">
        <v>3276</v>
      </c>
      <c r="K109" s="23" t="s">
        <v>3275</v>
      </c>
      <c r="L109" s="23" t="s">
        <v>9656</v>
      </c>
      <c r="M109" s="23" t="s">
        <v>9393</v>
      </c>
      <c r="N109" s="23" t="s">
        <v>9394</v>
      </c>
      <c r="O109" s="23"/>
      <c r="P109" s="23"/>
      <c r="Q109" s="23" t="s">
        <v>9657</v>
      </c>
      <c r="R109" s="23" t="s">
        <v>9383</v>
      </c>
    </row>
    <row r="110" spans="2:18" ht="15" customHeight="1" x14ac:dyDescent="0.25">
      <c r="B110" s="33" t="str">
        <f t="shared" si="2"/>
        <v>c8</v>
      </c>
      <c r="C110" s="33" t="str">
        <f t="shared" si="3"/>
        <v>c0c8</v>
      </c>
      <c r="D110" s="23" t="s">
        <v>9658</v>
      </c>
      <c r="E110" s="23" t="s">
        <v>617</v>
      </c>
      <c r="F110" s="23" t="s">
        <v>9374</v>
      </c>
      <c r="G110" s="23" t="s">
        <v>9403</v>
      </c>
      <c r="H110" s="23" t="s">
        <v>121</v>
      </c>
      <c r="I110" s="23" t="s">
        <v>9376</v>
      </c>
      <c r="J110" s="23"/>
      <c r="K110" s="23"/>
      <c r="L110" s="23"/>
      <c r="M110" s="23" t="s">
        <v>9378</v>
      </c>
      <c r="N110" s="23" t="s">
        <v>9379</v>
      </c>
      <c r="O110" s="23"/>
      <c r="P110" s="23"/>
      <c r="Q110" s="23" t="s">
        <v>9659</v>
      </c>
      <c r="R110" s="23" t="s">
        <v>9383</v>
      </c>
    </row>
    <row r="111" spans="2:18" ht="15" customHeight="1" x14ac:dyDescent="0.25">
      <c r="B111" s="33" t="str">
        <f t="shared" si="2"/>
        <v>c9</v>
      </c>
      <c r="C111" s="33" t="str">
        <f t="shared" si="3"/>
        <v>c0c9</v>
      </c>
      <c r="D111" s="23" t="s">
        <v>9660</v>
      </c>
      <c r="E111" s="23" t="s">
        <v>619</v>
      </c>
      <c r="F111" s="23" t="s">
        <v>9374</v>
      </c>
      <c r="G111" s="23" t="s">
        <v>9403</v>
      </c>
      <c r="H111" s="23" t="s">
        <v>121</v>
      </c>
      <c r="I111" s="23" t="s">
        <v>9376</v>
      </c>
      <c r="J111" s="23"/>
      <c r="K111" s="23"/>
      <c r="L111" s="23"/>
      <c r="M111" s="23" t="s">
        <v>9378</v>
      </c>
      <c r="N111" s="23" t="s">
        <v>9379</v>
      </c>
      <c r="O111" s="23"/>
      <c r="P111" s="23"/>
      <c r="Q111" s="23" t="s">
        <v>9661</v>
      </c>
      <c r="R111" s="23" t="s">
        <v>9383</v>
      </c>
    </row>
    <row r="112" spans="2:18" ht="15" customHeight="1" x14ac:dyDescent="0.25">
      <c r="B112" s="33" t="str">
        <f t="shared" si="2"/>
        <v>ca</v>
      </c>
      <c r="C112" s="33" t="str">
        <f t="shared" si="3"/>
        <v>c0ca</v>
      </c>
      <c r="D112" s="23" t="s">
        <v>9662</v>
      </c>
      <c r="E112" s="23" t="s">
        <v>621</v>
      </c>
      <c r="F112" s="23" t="s">
        <v>9374</v>
      </c>
      <c r="G112" s="23" t="s">
        <v>9403</v>
      </c>
      <c r="H112" s="23" t="s">
        <v>121</v>
      </c>
      <c r="I112" s="23" t="s">
        <v>9376</v>
      </c>
      <c r="J112" s="23"/>
      <c r="K112" s="23"/>
      <c r="L112" s="23"/>
      <c r="M112" s="23" t="s">
        <v>9378</v>
      </c>
      <c r="N112" s="23" t="s">
        <v>9379</v>
      </c>
      <c r="O112" s="23"/>
      <c r="P112" s="23"/>
      <c r="Q112" s="23" t="s">
        <v>9663</v>
      </c>
      <c r="R112" s="23" t="s">
        <v>9418</v>
      </c>
    </row>
    <row r="113" spans="2:18" ht="15" customHeight="1" x14ac:dyDescent="0.25">
      <c r="B113" s="33" t="str">
        <f t="shared" si="2"/>
        <v>cb</v>
      </c>
      <c r="C113" s="33" t="str">
        <f t="shared" si="3"/>
        <v>c0cb</v>
      </c>
      <c r="D113" s="23" t="s">
        <v>9664</v>
      </c>
      <c r="E113" s="23" t="s">
        <v>623</v>
      </c>
      <c r="F113" s="23" t="s">
        <v>9374</v>
      </c>
      <c r="G113" s="23" t="s">
        <v>9403</v>
      </c>
      <c r="H113" s="23" t="s">
        <v>121</v>
      </c>
      <c r="I113" s="23" t="s">
        <v>9376</v>
      </c>
      <c r="J113" s="23"/>
      <c r="K113" s="23"/>
      <c r="L113" s="23"/>
      <c r="M113" s="23" t="s">
        <v>9378</v>
      </c>
      <c r="N113" s="23" t="s">
        <v>9379</v>
      </c>
      <c r="O113" s="23"/>
      <c r="P113" s="23"/>
      <c r="Q113" s="23" t="s">
        <v>9665</v>
      </c>
      <c r="R113" s="23" t="s">
        <v>9418</v>
      </c>
    </row>
    <row r="114" spans="2:18" ht="15" customHeight="1" x14ac:dyDescent="0.25">
      <c r="B114" s="33" t="str">
        <f t="shared" si="2"/>
        <v>cc</v>
      </c>
      <c r="C114" s="33" t="str">
        <f t="shared" si="3"/>
        <v>c0cc</v>
      </c>
      <c r="D114" s="23" t="s">
        <v>9666</v>
      </c>
      <c r="E114" s="23" t="s">
        <v>625</v>
      </c>
      <c r="F114" s="23" t="s">
        <v>9374</v>
      </c>
      <c r="G114" s="23" t="s">
        <v>9403</v>
      </c>
      <c r="H114" s="23" t="s">
        <v>121</v>
      </c>
      <c r="I114" s="23" t="s">
        <v>9376</v>
      </c>
      <c r="J114" s="23"/>
      <c r="K114" s="23"/>
      <c r="L114" s="23"/>
      <c r="M114" s="23" t="s">
        <v>9378</v>
      </c>
      <c r="N114" s="23" t="s">
        <v>9379</v>
      </c>
      <c r="O114" s="23"/>
      <c r="P114" s="23"/>
      <c r="Q114" s="23" t="s">
        <v>9667</v>
      </c>
      <c r="R114" s="23" t="s">
        <v>9418</v>
      </c>
    </row>
    <row r="115" spans="2:18" ht="15" customHeight="1" x14ac:dyDescent="0.25">
      <c r="B115" s="33" t="str">
        <f t="shared" si="2"/>
        <v>cd</v>
      </c>
      <c r="C115" s="33" t="str">
        <f t="shared" si="3"/>
        <v>c0cd</v>
      </c>
      <c r="D115" s="23" t="s">
        <v>9668</v>
      </c>
      <c r="E115" s="23" t="s">
        <v>627</v>
      </c>
      <c r="F115" s="23" t="s">
        <v>9374</v>
      </c>
      <c r="G115" s="23" t="s">
        <v>9403</v>
      </c>
      <c r="H115" s="23" t="s">
        <v>121</v>
      </c>
      <c r="I115" s="23" t="s">
        <v>9376</v>
      </c>
      <c r="J115" s="23"/>
      <c r="K115" s="23"/>
      <c r="L115" s="23"/>
      <c r="M115" s="23" t="s">
        <v>9378</v>
      </c>
      <c r="N115" s="23" t="s">
        <v>9379</v>
      </c>
      <c r="O115" s="23"/>
      <c r="P115" s="23"/>
      <c r="Q115" s="23" t="s">
        <v>9669</v>
      </c>
      <c r="R115" s="23" t="s">
        <v>9418</v>
      </c>
    </row>
    <row r="116" spans="2:18" ht="15" customHeight="1" x14ac:dyDescent="0.25">
      <c r="B116" s="33" t="str">
        <f t="shared" si="2"/>
        <v>ce</v>
      </c>
      <c r="C116" s="33" t="str">
        <f t="shared" si="3"/>
        <v>c0ce</v>
      </c>
      <c r="D116" s="23" t="s">
        <v>9670</v>
      </c>
      <c r="E116" s="23" t="s">
        <v>629</v>
      </c>
      <c r="F116" s="23" t="s">
        <v>9374</v>
      </c>
      <c r="G116" s="23" t="s">
        <v>9403</v>
      </c>
      <c r="H116" s="23" t="s">
        <v>121</v>
      </c>
      <c r="I116" s="23" t="s">
        <v>9376</v>
      </c>
      <c r="J116" s="23"/>
      <c r="K116" s="23"/>
      <c r="L116" s="23"/>
      <c r="M116" s="23" t="s">
        <v>9378</v>
      </c>
      <c r="N116" s="23" t="s">
        <v>9379</v>
      </c>
      <c r="O116" s="23"/>
      <c r="P116" s="23"/>
      <c r="Q116" s="23" t="s">
        <v>9671</v>
      </c>
      <c r="R116" s="23" t="s">
        <v>9418</v>
      </c>
    </row>
    <row r="117" spans="2:18" ht="15" customHeight="1" x14ac:dyDescent="0.25">
      <c r="B117" s="33" t="str">
        <f t="shared" si="2"/>
        <v>cf</v>
      </c>
      <c r="C117" s="33" t="str">
        <f t="shared" si="3"/>
        <v>c0cf</v>
      </c>
      <c r="D117" s="23" t="s">
        <v>9672</v>
      </c>
      <c r="E117" s="23" t="s">
        <v>631</v>
      </c>
      <c r="F117" s="23" t="s">
        <v>9374</v>
      </c>
      <c r="G117" s="23" t="s">
        <v>9403</v>
      </c>
      <c r="H117" s="23" t="s">
        <v>121</v>
      </c>
      <c r="I117" s="23" t="s">
        <v>9376</v>
      </c>
      <c r="J117" s="23"/>
      <c r="K117" s="23"/>
      <c r="L117" s="23"/>
      <c r="M117" s="23" t="s">
        <v>9378</v>
      </c>
      <c r="N117" s="23" t="s">
        <v>9379</v>
      </c>
      <c r="O117" s="23"/>
      <c r="P117" s="23"/>
      <c r="Q117" s="23" t="s">
        <v>9673</v>
      </c>
      <c r="R117" s="23" t="s">
        <v>9418</v>
      </c>
    </row>
    <row r="118" spans="2:18" ht="15" customHeight="1" x14ac:dyDescent="0.25">
      <c r="B118" s="33" t="str">
        <f t="shared" si="2"/>
        <v>cg</v>
      </c>
      <c r="C118" s="33" t="str">
        <f t="shared" si="3"/>
        <v>c0cg</v>
      </c>
      <c r="D118" s="23" t="s">
        <v>9674</v>
      </c>
      <c r="E118" s="23" t="s">
        <v>633</v>
      </c>
      <c r="F118" s="23" t="s">
        <v>9374</v>
      </c>
      <c r="G118" s="23" t="s">
        <v>9403</v>
      </c>
      <c r="H118" s="23" t="s">
        <v>121</v>
      </c>
      <c r="I118" s="23" t="s">
        <v>9376</v>
      </c>
      <c r="J118" s="23"/>
      <c r="K118" s="23"/>
      <c r="L118" s="23"/>
      <c r="M118" s="23" t="s">
        <v>9378</v>
      </c>
      <c r="N118" s="23" t="s">
        <v>9379</v>
      </c>
      <c r="O118" s="23"/>
      <c r="P118" s="23"/>
      <c r="Q118" s="23" t="s">
        <v>9675</v>
      </c>
      <c r="R118" s="23" t="s">
        <v>9418</v>
      </c>
    </row>
    <row r="119" spans="2:18" ht="15" customHeight="1" x14ac:dyDescent="0.25">
      <c r="B119" s="33" t="str">
        <f t="shared" si="2"/>
        <v>ch</v>
      </c>
      <c r="C119" s="33" t="str">
        <f t="shared" si="3"/>
        <v>c0ch</v>
      </c>
      <c r="D119" s="23" t="s">
        <v>9676</v>
      </c>
      <c r="E119" s="23" t="s">
        <v>635</v>
      </c>
      <c r="F119" s="23" t="s">
        <v>9374</v>
      </c>
      <c r="G119" s="23" t="s">
        <v>9403</v>
      </c>
      <c r="H119" s="23" t="s">
        <v>121</v>
      </c>
      <c r="I119" s="23" t="s">
        <v>9376</v>
      </c>
      <c r="J119" s="23"/>
      <c r="K119" s="23"/>
      <c r="L119" s="23"/>
      <c r="M119" s="23" t="s">
        <v>9378</v>
      </c>
      <c r="N119" s="23" t="s">
        <v>9379</v>
      </c>
      <c r="O119" s="23"/>
      <c r="P119" s="23"/>
      <c r="Q119" s="23" t="s">
        <v>9677</v>
      </c>
      <c r="R119" s="23" t="s">
        <v>9418</v>
      </c>
    </row>
    <row r="120" spans="2:18" ht="15" customHeight="1" x14ac:dyDescent="0.25">
      <c r="B120" s="33" t="str">
        <f t="shared" si="2"/>
        <v>cj</v>
      </c>
      <c r="C120" s="33" t="str">
        <f t="shared" si="3"/>
        <v>c0cj</v>
      </c>
      <c r="D120" s="23" t="s">
        <v>9678</v>
      </c>
      <c r="E120" s="23" t="s">
        <v>9679</v>
      </c>
      <c r="F120" s="23" t="s">
        <v>9374</v>
      </c>
      <c r="G120" s="23" t="s">
        <v>9403</v>
      </c>
      <c r="H120" s="23" t="s">
        <v>121</v>
      </c>
      <c r="I120" s="23" t="s">
        <v>9376</v>
      </c>
      <c r="J120" s="23"/>
      <c r="K120" s="23"/>
      <c r="L120" s="23"/>
      <c r="M120" s="23" t="s">
        <v>9378</v>
      </c>
      <c r="N120" s="23" t="s">
        <v>9379</v>
      </c>
      <c r="O120" s="23"/>
      <c r="P120" s="23"/>
      <c r="Q120" s="23" t="s">
        <v>9680</v>
      </c>
      <c r="R120" s="23" t="s">
        <v>9383</v>
      </c>
    </row>
    <row r="121" spans="2:18" ht="15" customHeight="1" x14ac:dyDescent="0.25">
      <c r="B121" s="33" t="str">
        <f t="shared" si="2"/>
        <v>ck</v>
      </c>
      <c r="C121" s="33" t="str">
        <f t="shared" si="3"/>
        <v>c0ck</v>
      </c>
      <c r="D121" s="23" t="s">
        <v>9681</v>
      </c>
      <c r="E121" s="23" t="s">
        <v>9682</v>
      </c>
      <c r="F121" s="23" t="s">
        <v>9374</v>
      </c>
      <c r="G121" s="23" t="s">
        <v>9403</v>
      </c>
      <c r="H121" s="23" t="s">
        <v>121</v>
      </c>
      <c r="I121" s="23" t="s">
        <v>9376</v>
      </c>
      <c r="J121" s="23"/>
      <c r="K121" s="23"/>
      <c r="L121" s="23"/>
      <c r="M121" s="23" t="s">
        <v>9378</v>
      </c>
      <c r="N121" s="23" t="s">
        <v>9379</v>
      </c>
      <c r="O121" s="23"/>
      <c r="P121" s="23"/>
      <c r="Q121" s="23" t="s">
        <v>9683</v>
      </c>
      <c r="R121" s="23" t="s">
        <v>9383</v>
      </c>
    </row>
    <row r="122" spans="2:18" ht="15" customHeight="1" x14ac:dyDescent="0.25">
      <c r="B122" s="33" t="str">
        <f t="shared" si="2"/>
        <v>cl</v>
      </c>
      <c r="C122" s="33" t="str">
        <f t="shared" si="3"/>
        <v>c0cl</v>
      </c>
      <c r="D122" s="23" t="s">
        <v>9684</v>
      </c>
      <c r="E122" s="23" t="s">
        <v>9685</v>
      </c>
      <c r="F122" s="23" t="s">
        <v>9374</v>
      </c>
      <c r="G122" s="23" t="s">
        <v>9403</v>
      </c>
      <c r="H122" s="23" t="s">
        <v>121</v>
      </c>
      <c r="I122" s="23" t="s">
        <v>9376</v>
      </c>
      <c r="J122" s="23"/>
      <c r="K122" s="23"/>
      <c r="L122" s="23"/>
      <c r="M122" s="23" t="s">
        <v>9378</v>
      </c>
      <c r="N122" s="23" t="s">
        <v>9379</v>
      </c>
      <c r="O122" s="23"/>
      <c r="P122" s="23"/>
      <c r="Q122" s="23" t="s">
        <v>9686</v>
      </c>
      <c r="R122" s="23" t="s">
        <v>9383</v>
      </c>
    </row>
    <row r="123" spans="2:18" ht="15" customHeight="1" x14ac:dyDescent="0.25">
      <c r="B123" s="33" t="str">
        <f t="shared" si="2"/>
        <v>cm</v>
      </c>
      <c r="C123" s="33" t="str">
        <f t="shared" si="3"/>
        <v>c0cm</v>
      </c>
      <c r="D123" s="23" t="s">
        <v>9687</v>
      </c>
      <c r="E123" s="23" t="s">
        <v>9688</v>
      </c>
      <c r="F123" s="23" t="s">
        <v>9374</v>
      </c>
      <c r="G123" s="23" t="s">
        <v>9403</v>
      </c>
      <c r="H123" s="23" t="s">
        <v>121</v>
      </c>
      <c r="I123" s="23" t="s">
        <v>9376</v>
      </c>
      <c r="J123" s="23"/>
      <c r="K123" s="23"/>
      <c r="L123" s="23"/>
      <c r="M123" s="23" t="s">
        <v>9378</v>
      </c>
      <c r="N123" s="23" t="s">
        <v>9379</v>
      </c>
      <c r="O123" s="23"/>
      <c r="P123" s="23"/>
      <c r="Q123" s="23" t="s">
        <v>9689</v>
      </c>
      <c r="R123" s="23" t="s">
        <v>9383</v>
      </c>
    </row>
    <row r="124" spans="2:18" ht="15" customHeight="1" x14ac:dyDescent="0.25">
      <c r="B124" s="33" t="str">
        <f t="shared" si="2"/>
        <v>cn</v>
      </c>
      <c r="C124" s="33" t="str">
        <f t="shared" si="3"/>
        <v>c0cn</v>
      </c>
      <c r="D124" s="23" t="s">
        <v>9690</v>
      </c>
      <c r="E124" s="23" t="s">
        <v>645</v>
      </c>
      <c r="F124" s="23" t="s">
        <v>9374</v>
      </c>
      <c r="G124" s="23" t="s">
        <v>9403</v>
      </c>
      <c r="H124" s="23" t="s">
        <v>121</v>
      </c>
      <c r="I124" s="23" t="s">
        <v>9376</v>
      </c>
      <c r="J124" s="23"/>
      <c r="K124" s="23"/>
      <c r="L124" s="23"/>
      <c r="M124" s="23" t="s">
        <v>9378</v>
      </c>
      <c r="N124" s="23" t="s">
        <v>9379</v>
      </c>
      <c r="O124" s="23"/>
      <c r="P124" s="23"/>
      <c r="Q124" s="23" t="s">
        <v>9691</v>
      </c>
      <c r="R124" s="23" t="s">
        <v>9383</v>
      </c>
    </row>
    <row r="125" spans="2:18" ht="15" customHeight="1" x14ac:dyDescent="0.25">
      <c r="B125" s="33" t="str">
        <f t="shared" si="2"/>
        <v>cp</v>
      </c>
      <c r="C125" s="33" t="str">
        <f t="shared" si="3"/>
        <v>c0cp</v>
      </c>
      <c r="D125" s="23" t="s">
        <v>9692</v>
      </c>
      <c r="E125" s="23" t="s">
        <v>647</v>
      </c>
      <c r="F125" s="23" t="s">
        <v>9374</v>
      </c>
      <c r="G125" s="23" t="s">
        <v>9403</v>
      </c>
      <c r="H125" s="23" t="s">
        <v>121</v>
      </c>
      <c r="I125" s="23" t="s">
        <v>9376</v>
      </c>
      <c r="J125" s="23"/>
      <c r="K125" s="23"/>
      <c r="L125" s="23"/>
      <c r="M125" s="23" t="s">
        <v>9378</v>
      </c>
      <c r="N125" s="23" t="s">
        <v>9379</v>
      </c>
      <c r="O125" s="23"/>
      <c r="P125" s="23"/>
      <c r="Q125" s="23" t="s">
        <v>9693</v>
      </c>
      <c r="R125" s="23" t="s">
        <v>9383</v>
      </c>
    </row>
    <row r="126" spans="2:18" ht="15" customHeight="1" x14ac:dyDescent="0.25">
      <c r="B126" s="33" t="str">
        <f t="shared" si="2"/>
        <v>cq</v>
      </c>
      <c r="C126" s="33" t="str">
        <f t="shared" si="3"/>
        <v>c0cq</v>
      </c>
      <c r="D126" s="23" t="s">
        <v>9694</v>
      </c>
      <c r="E126" s="23" t="s">
        <v>649</v>
      </c>
      <c r="F126" s="23" t="s">
        <v>9374</v>
      </c>
      <c r="G126" s="23" t="s">
        <v>9375</v>
      </c>
      <c r="H126" s="23" t="s">
        <v>121</v>
      </c>
      <c r="I126" s="23" t="s">
        <v>9376</v>
      </c>
      <c r="J126" s="23" t="s">
        <v>3276</v>
      </c>
      <c r="K126" s="23" t="s">
        <v>3275</v>
      </c>
      <c r="L126" s="23" t="s">
        <v>9695</v>
      </c>
      <c r="M126" s="23" t="s">
        <v>9393</v>
      </c>
      <c r="N126" s="23" t="s">
        <v>9394</v>
      </c>
      <c r="O126" s="23" t="s">
        <v>9696</v>
      </c>
      <c r="P126" s="23" t="s">
        <v>9697</v>
      </c>
      <c r="Q126" s="23" t="s">
        <v>9698</v>
      </c>
      <c r="R126" s="23" t="s">
        <v>9383</v>
      </c>
    </row>
    <row r="127" spans="2:18" ht="15" customHeight="1" x14ac:dyDescent="0.25">
      <c r="B127" s="33" t="str">
        <f t="shared" si="2"/>
        <v>cr</v>
      </c>
      <c r="C127" s="33" t="str">
        <f t="shared" si="3"/>
        <v>c0cr</v>
      </c>
      <c r="D127" s="23" t="s">
        <v>9699</v>
      </c>
      <c r="E127" s="23" t="s">
        <v>9700</v>
      </c>
      <c r="F127" s="23" t="s">
        <v>9374</v>
      </c>
      <c r="G127" s="23" t="s">
        <v>9403</v>
      </c>
      <c r="H127" s="23" t="s">
        <v>121</v>
      </c>
      <c r="I127" s="23" t="s">
        <v>9376</v>
      </c>
      <c r="J127" s="23"/>
      <c r="K127" s="23"/>
      <c r="L127" s="23"/>
      <c r="M127" s="23" t="s">
        <v>9378</v>
      </c>
      <c r="N127" s="23" t="s">
        <v>9379</v>
      </c>
      <c r="O127" s="23"/>
      <c r="P127" s="23"/>
      <c r="Q127" s="23" t="s">
        <v>9701</v>
      </c>
      <c r="R127" s="23" t="s">
        <v>9383</v>
      </c>
    </row>
    <row r="128" spans="2:18" ht="15" customHeight="1" x14ac:dyDescent="0.25">
      <c r="B128" s="33" t="str">
        <f t="shared" si="2"/>
        <v>cs</v>
      </c>
      <c r="C128" s="33" t="str">
        <f t="shared" si="3"/>
        <v>c0cs</v>
      </c>
      <c r="D128" s="23" t="s">
        <v>9702</v>
      </c>
      <c r="E128" s="23" t="s">
        <v>653</v>
      </c>
      <c r="F128" s="23" t="s">
        <v>9374</v>
      </c>
      <c r="G128" s="23" t="s">
        <v>9375</v>
      </c>
      <c r="H128" s="23" t="s">
        <v>121</v>
      </c>
      <c r="I128" s="23" t="s">
        <v>9376</v>
      </c>
      <c r="J128" s="23" t="s">
        <v>3276</v>
      </c>
      <c r="K128" s="23" t="s">
        <v>3275</v>
      </c>
      <c r="L128" s="23" t="s">
        <v>9695</v>
      </c>
      <c r="M128" s="23" t="s">
        <v>9393</v>
      </c>
      <c r="N128" s="23" t="s">
        <v>9394</v>
      </c>
      <c r="O128" s="23" t="s">
        <v>9696</v>
      </c>
      <c r="P128" s="23" t="s">
        <v>9697</v>
      </c>
      <c r="Q128" s="23" t="s">
        <v>9703</v>
      </c>
      <c r="R128" s="23" t="s">
        <v>9383</v>
      </c>
    </row>
    <row r="129" spans="2:18" ht="15" customHeight="1" x14ac:dyDescent="0.25">
      <c r="B129" s="33" t="str">
        <f t="shared" si="2"/>
        <v>ct</v>
      </c>
      <c r="C129" s="33" t="str">
        <f t="shared" si="3"/>
        <v>c0ct</v>
      </c>
      <c r="D129" s="23" t="s">
        <v>9704</v>
      </c>
      <c r="E129" s="23" t="s">
        <v>655</v>
      </c>
      <c r="F129" s="23" t="s">
        <v>9374</v>
      </c>
      <c r="G129" s="23" t="s">
        <v>9403</v>
      </c>
      <c r="H129" s="23" t="s">
        <v>121</v>
      </c>
      <c r="I129" s="23" t="s">
        <v>9376</v>
      </c>
      <c r="J129" s="23"/>
      <c r="K129" s="23"/>
      <c r="L129" s="23"/>
      <c r="M129" s="23" t="s">
        <v>9378</v>
      </c>
      <c r="N129" s="23" t="s">
        <v>9379</v>
      </c>
      <c r="O129" s="23"/>
      <c r="P129" s="23"/>
      <c r="Q129" s="23" t="s">
        <v>9705</v>
      </c>
      <c r="R129" s="23" t="s">
        <v>9418</v>
      </c>
    </row>
    <row r="130" spans="2:18" ht="15" customHeight="1" x14ac:dyDescent="0.25">
      <c r="B130" s="33" t="str">
        <f t="shared" si="2"/>
        <v>cu</v>
      </c>
      <c r="C130" s="33" t="str">
        <f t="shared" si="3"/>
        <v>c0cu</v>
      </c>
      <c r="D130" s="23" t="s">
        <v>9706</v>
      </c>
      <c r="E130" s="23" t="s">
        <v>657</v>
      </c>
      <c r="F130" s="23" t="s">
        <v>9374</v>
      </c>
      <c r="G130" s="23" t="s">
        <v>9403</v>
      </c>
      <c r="H130" s="23" t="s">
        <v>121</v>
      </c>
      <c r="I130" s="23" t="s">
        <v>9376</v>
      </c>
      <c r="J130" s="23"/>
      <c r="K130" s="23"/>
      <c r="L130" s="23"/>
      <c r="M130" s="23" t="s">
        <v>9378</v>
      </c>
      <c r="N130" s="23" t="s">
        <v>9379</v>
      </c>
      <c r="O130" s="23"/>
      <c r="P130" s="23"/>
      <c r="Q130" s="23" t="s">
        <v>9707</v>
      </c>
      <c r="R130" s="23" t="s">
        <v>9418</v>
      </c>
    </row>
    <row r="131" spans="2:18" ht="15" customHeight="1" x14ac:dyDescent="0.25">
      <c r="B131" s="33" t="str">
        <f t="shared" si="2"/>
        <v>cv</v>
      </c>
      <c r="C131" s="33" t="str">
        <f t="shared" si="3"/>
        <v>c0cv</v>
      </c>
      <c r="D131" s="23" t="s">
        <v>9708</v>
      </c>
      <c r="E131" s="23" t="s">
        <v>659</v>
      </c>
      <c r="F131" s="23" t="s">
        <v>9374</v>
      </c>
      <c r="G131" s="23" t="s">
        <v>9403</v>
      </c>
      <c r="H131" s="23" t="s">
        <v>121</v>
      </c>
      <c r="I131" s="23" t="s">
        <v>9376</v>
      </c>
      <c r="J131" s="23"/>
      <c r="K131" s="23"/>
      <c r="L131" s="23"/>
      <c r="M131" s="23" t="s">
        <v>9378</v>
      </c>
      <c r="N131" s="23" t="s">
        <v>9379</v>
      </c>
      <c r="O131" s="23"/>
      <c r="P131" s="23"/>
      <c r="Q131" s="23" t="s">
        <v>9709</v>
      </c>
      <c r="R131" s="23" t="s">
        <v>9418</v>
      </c>
    </row>
    <row r="132" spans="2:18" ht="15" customHeight="1" x14ac:dyDescent="0.25">
      <c r="B132" s="33" t="str">
        <f t="shared" si="2"/>
        <v>cw</v>
      </c>
      <c r="C132" s="33" t="str">
        <f t="shared" si="3"/>
        <v>c0cw</v>
      </c>
      <c r="D132" s="23" t="s">
        <v>9710</v>
      </c>
      <c r="E132" s="23" t="s">
        <v>661</v>
      </c>
      <c r="F132" s="23" t="s">
        <v>9374</v>
      </c>
      <c r="G132" s="23" t="s">
        <v>9403</v>
      </c>
      <c r="H132" s="23" t="s">
        <v>121</v>
      </c>
      <c r="I132" s="23" t="s">
        <v>9376</v>
      </c>
      <c r="J132" s="23"/>
      <c r="K132" s="23"/>
      <c r="L132" s="23"/>
      <c r="M132" s="23" t="s">
        <v>9378</v>
      </c>
      <c r="N132" s="23" t="s">
        <v>9379</v>
      </c>
      <c r="O132" s="23"/>
      <c r="P132" s="23"/>
      <c r="Q132" s="23" t="s">
        <v>9711</v>
      </c>
      <c r="R132" s="23" t="s">
        <v>9418</v>
      </c>
    </row>
    <row r="133" spans="2:18" ht="15" customHeight="1" x14ac:dyDescent="0.25">
      <c r="B133" s="33" t="str">
        <f t="shared" si="2"/>
        <v>cx</v>
      </c>
      <c r="C133" s="33" t="str">
        <f t="shared" si="3"/>
        <v>c0cx</v>
      </c>
      <c r="D133" s="23" t="s">
        <v>9712</v>
      </c>
      <c r="E133" s="23" t="s">
        <v>663</v>
      </c>
      <c r="F133" s="23" t="s">
        <v>9374</v>
      </c>
      <c r="G133" s="23" t="s">
        <v>9403</v>
      </c>
      <c r="H133" s="23" t="s">
        <v>121</v>
      </c>
      <c r="I133" s="23" t="s">
        <v>9376</v>
      </c>
      <c r="J133" s="23"/>
      <c r="K133" s="23"/>
      <c r="L133" s="23"/>
      <c r="M133" s="23" t="s">
        <v>9378</v>
      </c>
      <c r="N133" s="23" t="s">
        <v>9379</v>
      </c>
      <c r="O133" s="23"/>
      <c r="P133" s="23"/>
      <c r="Q133" s="23"/>
      <c r="R133" s="23" t="s">
        <v>9586</v>
      </c>
    </row>
    <row r="134" spans="2:18" ht="15" customHeight="1" x14ac:dyDescent="0.25">
      <c r="B134" s="33" t="str">
        <f t="shared" ref="B134:B197" si="4">RIGHT($C134,2)</f>
        <v>cy</v>
      </c>
      <c r="C134" s="33" t="str">
        <f t="shared" ref="C134:C197" si="5">"c0"&amp;RIGHT($D134,2)</f>
        <v>c0cy</v>
      </c>
      <c r="D134" s="23" t="s">
        <v>9713</v>
      </c>
      <c r="E134" s="23" t="s">
        <v>665</v>
      </c>
      <c r="F134" s="23" t="s">
        <v>9374</v>
      </c>
      <c r="G134" s="23" t="s">
        <v>9403</v>
      </c>
      <c r="H134" s="23" t="s">
        <v>121</v>
      </c>
      <c r="I134" s="23" t="s">
        <v>9376</v>
      </c>
      <c r="J134" s="23"/>
      <c r="K134" s="23"/>
      <c r="L134" s="23"/>
      <c r="M134" s="23" t="s">
        <v>9378</v>
      </c>
      <c r="N134" s="23" t="s">
        <v>9379</v>
      </c>
      <c r="O134" s="23"/>
      <c r="P134" s="23"/>
      <c r="Q134" s="23"/>
      <c r="R134" s="23" t="s">
        <v>9586</v>
      </c>
    </row>
    <row r="135" spans="2:18" ht="15" customHeight="1" x14ac:dyDescent="0.25">
      <c r="B135" s="33" t="str">
        <f t="shared" si="4"/>
        <v>d1</v>
      </c>
      <c r="C135" s="33" t="str">
        <f t="shared" si="5"/>
        <v>c0d1</v>
      </c>
      <c r="D135" s="23" t="s">
        <v>9714</v>
      </c>
      <c r="E135" s="23" t="s">
        <v>9715</v>
      </c>
      <c r="F135" s="23" t="s">
        <v>9374</v>
      </c>
      <c r="G135" s="23" t="s">
        <v>9403</v>
      </c>
      <c r="H135" s="23" t="s">
        <v>121</v>
      </c>
      <c r="I135" s="23" t="s">
        <v>9376</v>
      </c>
      <c r="J135" s="23"/>
      <c r="K135" s="23"/>
      <c r="L135" s="23"/>
      <c r="M135" s="23" t="s">
        <v>9378</v>
      </c>
      <c r="N135" s="23" t="s">
        <v>9379</v>
      </c>
      <c r="O135" s="23"/>
      <c r="P135" s="23"/>
      <c r="Q135" s="23" t="s">
        <v>9716</v>
      </c>
      <c r="R135" s="23" t="s">
        <v>9383</v>
      </c>
    </row>
    <row r="136" spans="2:18" ht="15" customHeight="1" x14ac:dyDescent="0.25">
      <c r="B136" s="33" t="str">
        <f t="shared" si="4"/>
        <v>d2</v>
      </c>
      <c r="C136" s="33" t="str">
        <f t="shared" si="5"/>
        <v>c0d2</v>
      </c>
      <c r="D136" s="23" t="s">
        <v>9717</v>
      </c>
      <c r="E136" s="23" t="s">
        <v>9718</v>
      </c>
      <c r="F136" s="23" t="s">
        <v>9374</v>
      </c>
      <c r="G136" s="23" t="s">
        <v>9403</v>
      </c>
      <c r="H136" s="23" t="s">
        <v>121</v>
      </c>
      <c r="I136" s="23" t="s">
        <v>9376</v>
      </c>
      <c r="J136" s="23"/>
      <c r="K136" s="23"/>
      <c r="L136" s="23"/>
      <c r="M136" s="23" t="s">
        <v>9378</v>
      </c>
      <c r="N136" s="23" t="s">
        <v>9379</v>
      </c>
      <c r="O136" s="23"/>
      <c r="P136" s="23"/>
      <c r="Q136" s="23" t="s">
        <v>9719</v>
      </c>
      <c r="R136" s="23" t="s">
        <v>9383</v>
      </c>
    </row>
    <row r="137" spans="2:18" ht="15" customHeight="1" x14ac:dyDescent="0.25">
      <c r="B137" s="33" t="str">
        <f t="shared" si="4"/>
        <v>d3</v>
      </c>
      <c r="C137" s="33" t="str">
        <f t="shared" si="5"/>
        <v>c0d3</v>
      </c>
      <c r="D137" s="23" t="s">
        <v>9720</v>
      </c>
      <c r="E137" s="23" t="s">
        <v>9721</v>
      </c>
      <c r="F137" s="23" t="s">
        <v>9374</v>
      </c>
      <c r="G137" s="23" t="s">
        <v>9403</v>
      </c>
      <c r="H137" s="23" t="s">
        <v>121</v>
      </c>
      <c r="I137" s="23" t="s">
        <v>9376</v>
      </c>
      <c r="J137" s="23"/>
      <c r="K137" s="23"/>
      <c r="L137" s="23"/>
      <c r="M137" s="23" t="s">
        <v>9425</v>
      </c>
      <c r="N137" s="23" t="s">
        <v>9394</v>
      </c>
      <c r="O137" s="23"/>
      <c r="P137" s="23"/>
      <c r="Q137" s="23" t="s">
        <v>9722</v>
      </c>
      <c r="R137" s="23" t="s">
        <v>9383</v>
      </c>
    </row>
    <row r="138" spans="2:18" ht="15" customHeight="1" x14ac:dyDescent="0.25">
      <c r="B138" s="33" t="str">
        <f t="shared" si="4"/>
        <v>d4</v>
      </c>
      <c r="C138" s="33" t="str">
        <f t="shared" si="5"/>
        <v>c0d4</v>
      </c>
      <c r="D138" s="23" t="s">
        <v>9723</v>
      </c>
      <c r="E138" s="23" t="s">
        <v>673</v>
      </c>
      <c r="F138" s="23" t="s">
        <v>9374</v>
      </c>
      <c r="G138" s="23" t="s">
        <v>9403</v>
      </c>
      <c r="H138" s="23" t="s">
        <v>121</v>
      </c>
      <c r="I138" s="23" t="s">
        <v>9376</v>
      </c>
      <c r="J138" s="23"/>
      <c r="K138" s="23"/>
      <c r="L138" s="23"/>
      <c r="M138" s="23" t="s">
        <v>9378</v>
      </c>
      <c r="N138" s="23" t="s">
        <v>9379</v>
      </c>
      <c r="O138" s="23"/>
      <c r="P138" s="23"/>
      <c r="Q138" s="23" t="s">
        <v>9724</v>
      </c>
      <c r="R138" s="23" t="s">
        <v>9383</v>
      </c>
    </row>
    <row r="139" spans="2:18" ht="15" customHeight="1" x14ac:dyDescent="0.25">
      <c r="B139" s="33" t="str">
        <f t="shared" si="4"/>
        <v>d5</v>
      </c>
      <c r="C139" s="33" t="str">
        <f t="shared" si="5"/>
        <v>c0d5</v>
      </c>
      <c r="D139" s="23" t="s">
        <v>9725</v>
      </c>
      <c r="E139" s="23" t="s">
        <v>675</v>
      </c>
      <c r="F139" s="23" t="s">
        <v>9374</v>
      </c>
      <c r="G139" s="23" t="s">
        <v>9403</v>
      </c>
      <c r="H139" s="23" t="s">
        <v>121</v>
      </c>
      <c r="I139" s="23" t="s">
        <v>9376</v>
      </c>
      <c r="J139" s="23"/>
      <c r="K139" s="23"/>
      <c r="L139" s="23"/>
      <c r="M139" s="23" t="s">
        <v>9378</v>
      </c>
      <c r="N139" s="23" t="s">
        <v>9379</v>
      </c>
      <c r="O139" s="23"/>
      <c r="P139" s="23"/>
      <c r="Q139" s="23" t="s">
        <v>9726</v>
      </c>
      <c r="R139" s="23" t="s">
        <v>9383</v>
      </c>
    </row>
    <row r="140" spans="2:18" ht="15" customHeight="1" x14ac:dyDescent="0.25">
      <c r="B140" s="33" t="str">
        <f t="shared" si="4"/>
        <v>d6</v>
      </c>
      <c r="C140" s="33" t="str">
        <f t="shared" si="5"/>
        <v>c0d6</v>
      </c>
      <c r="D140" s="23" t="s">
        <v>9727</v>
      </c>
      <c r="E140" s="23" t="s">
        <v>9728</v>
      </c>
      <c r="F140" s="23" t="s">
        <v>9374</v>
      </c>
      <c r="G140" s="23" t="s">
        <v>9403</v>
      </c>
      <c r="H140" s="23" t="s">
        <v>121</v>
      </c>
      <c r="I140" s="23" t="s">
        <v>9376</v>
      </c>
      <c r="J140" s="23"/>
      <c r="K140" s="23"/>
      <c r="L140" s="23"/>
      <c r="M140" s="23" t="s">
        <v>9378</v>
      </c>
      <c r="N140" s="23" t="s">
        <v>9379</v>
      </c>
      <c r="O140" s="23"/>
      <c r="P140" s="23"/>
      <c r="Q140" s="23" t="s">
        <v>9729</v>
      </c>
      <c r="R140" s="23" t="s">
        <v>9383</v>
      </c>
    </row>
    <row r="141" spans="2:18" ht="15" customHeight="1" x14ac:dyDescent="0.25">
      <c r="B141" s="33" t="str">
        <f t="shared" si="4"/>
        <v>d7</v>
      </c>
      <c r="C141" s="33" t="str">
        <f t="shared" si="5"/>
        <v>c0d7</v>
      </c>
      <c r="D141" s="23" t="s">
        <v>9730</v>
      </c>
      <c r="E141" s="23" t="s">
        <v>679</v>
      </c>
      <c r="F141" s="23" t="s">
        <v>9374</v>
      </c>
      <c r="G141" s="23" t="s">
        <v>9403</v>
      </c>
      <c r="H141" s="23" t="s">
        <v>121</v>
      </c>
      <c r="I141" s="23" t="s">
        <v>9376</v>
      </c>
      <c r="J141" s="23"/>
      <c r="K141" s="23"/>
      <c r="L141" s="23"/>
      <c r="M141" s="23" t="s">
        <v>9378</v>
      </c>
      <c r="N141" s="23" t="s">
        <v>9379</v>
      </c>
      <c r="O141" s="23"/>
      <c r="P141" s="23"/>
      <c r="Q141" s="23" t="s">
        <v>9731</v>
      </c>
      <c r="R141" s="23" t="s">
        <v>9383</v>
      </c>
    </row>
    <row r="142" spans="2:18" ht="15" customHeight="1" x14ac:dyDescent="0.25">
      <c r="B142" s="33" t="str">
        <f t="shared" si="4"/>
        <v>d8</v>
      </c>
      <c r="C142" s="33" t="str">
        <f t="shared" si="5"/>
        <v>c0d8</v>
      </c>
      <c r="D142" s="23" t="s">
        <v>9732</v>
      </c>
      <c r="E142" s="23" t="s">
        <v>681</v>
      </c>
      <c r="F142" s="23" t="s">
        <v>9374</v>
      </c>
      <c r="G142" s="23" t="s">
        <v>9403</v>
      </c>
      <c r="H142" s="23" t="s">
        <v>121</v>
      </c>
      <c r="I142" s="23" t="s">
        <v>9376</v>
      </c>
      <c r="J142" s="23"/>
      <c r="K142" s="23"/>
      <c r="L142" s="23"/>
      <c r="M142" s="23" t="s">
        <v>9378</v>
      </c>
      <c r="N142" s="23" t="s">
        <v>9379</v>
      </c>
      <c r="O142" s="23"/>
      <c r="P142" s="23"/>
      <c r="Q142" s="23" t="s">
        <v>9733</v>
      </c>
      <c r="R142" s="23" t="s">
        <v>9383</v>
      </c>
    </row>
    <row r="143" spans="2:18" ht="15" customHeight="1" x14ac:dyDescent="0.25">
      <c r="B143" s="33" t="str">
        <f t="shared" si="4"/>
        <v>d9</v>
      </c>
      <c r="C143" s="33" t="str">
        <f t="shared" si="5"/>
        <v>c0d9</v>
      </c>
      <c r="D143" s="23" t="s">
        <v>9734</v>
      </c>
      <c r="E143" s="23" t="s">
        <v>9735</v>
      </c>
      <c r="F143" s="23" t="s">
        <v>9374</v>
      </c>
      <c r="G143" s="23" t="s">
        <v>9403</v>
      </c>
      <c r="H143" s="23" t="s">
        <v>121</v>
      </c>
      <c r="I143" s="23" t="s">
        <v>9376</v>
      </c>
      <c r="J143" s="23"/>
      <c r="K143" s="23"/>
      <c r="L143" s="23"/>
      <c r="M143" s="23" t="s">
        <v>9378</v>
      </c>
      <c r="N143" s="23" t="s">
        <v>9379</v>
      </c>
      <c r="O143" s="23"/>
      <c r="P143" s="23"/>
      <c r="Q143" s="23" t="s">
        <v>9736</v>
      </c>
      <c r="R143" s="23" t="s">
        <v>9383</v>
      </c>
    </row>
    <row r="144" spans="2:18" ht="15" customHeight="1" x14ac:dyDescent="0.25">
      <c r="B144" s="33" t="str">
        <f t="shared" si="4"/>
        <v>da</v>
      </c>
      <c r="C144" s="33" t="str">
        <f t="shared" si="5"/>
        <v>c0da</v>
      </c>
      <c r="D144" s="23" t="s">
        <v>9737</v>
      </c>
      <c r="E144" s="23" t="s">
        <v>685</v>
      </c>
      <c r="F144" s="23" t="s">
        <v>9374</v>
      </c>
      <c r="G144" s="23" t="s">
        <v>9403</v>
      </c>
      <c r="H144" s="23" t="s">
        <v>121</v>
      </c>
      <c r="I144" s="23" t="s">
        <v>9376</v>
      </c>
      <c r="J144" s="23"/>
      <c r="K144" s="23"/>
      <c r="L144" s="23"/>
      <c r="M144" s="23" t="s">
        <v>9378</v>
      </c>
      <c r="N144" s="23" t="s">
        <v>9379</v>
      </c>
      <c r="O144" s="23"/>
      <c r="P144" s="23"/>
      <c r="Q144" s="23" t="s">
        <v>9738</v>
      </c>
      <c r="R144" s="23" t="s">
        <v>9383</v>
      </c>
    </row>
    <row r="145" spans="2:18" ht="15" customHeight="1" x14ac:dyDescent="0.25">
      <c r="B145" s="33" t="str">
        <f t="shared" si="4"/>
        <v>db</v>
      </c>
      <c r="C145" s="33" t="str">
        <f t="shared" si="5"/>
        <v>c0db</v>
      </c>
      <c r="D145" s="23" t="s">
        <v>9739</v>
      </c>
      <c r="E145" s="23" t="s">
        <v>9740</v>
      </c>
      <c r="F145" s="23" t="s">
        <v>9374</v>
      </c>
      <c r="G145" s="23" t="s">
        <v>9403</v>
      </c>
      <c r="H145" s="23" t="s">
        <v>121</v>
      </c>
      <c r="I145" s="23" t="s">
        <v>9376</v>
      </c>
      <c r="J145" s="23"/>
      <c r="K145" s="23"/>
      <c r="L145" s="23"/>
      <c r="M145" s="23" t="s">
        <v>9378</v>
      </c>
      <c r="N145" s="23" t="s">
        <v>9379</v>
      </c>
      <c r="O145" s="23"/>
      <c r="P145" s="23"/>
      <c r="Q145" s="23" t="s">
        <v>9741</v>
      </c>
      <c r="R145" s="23" t="s">
        <v>9383</v>
      </c>
    </row>
    <row r="146" spans="2:18" ht="15" customHeight="1" x14ac:dyDescent="0.25">
      <c r="B146" s="33" t="str">
        <f t="shared" si="4"/>
        <v>dc</v>
      </c>
      <c r="C146" s="33" t="str">
        <f t="shared" si="5"/>
        <v>c0dc</v>
      </c>
      <c r="D146" s="23" t="s">
        <v>9742</v>
      </c>
      <c r="E146" s="23" t="s">
        <v>9743</v>
      </c>
      <c r="F146" s="23" t="s">
        <v>9374</v>
      </c>
      <c r="G146" s="23" t="s">
        <v>9403</v>
      </c>
      <c r="H146" s="23" t="s">
        <v>121</v>
      </c>
      <c r="I146" s="23" t="s">
        <v>9376</v>
      </c>
      <c r="J146" s="23"/>
      <c r="K146" s="23"/>
      <c r="L146" s="23"/>
      <c r="M146" s="23" t="s">
        <v>9378</v>
      </c>
      <c r="N146" s="23" t="s">
        <v>9379</v>
      </c>
      <c r="O146" s="23"/>
      <c r="P146" s="23"/>
      <c r="Q146" s="23" t="s">
        <v>9744</v>
      </c>
      <c r="R146" s="23" t="s">
        <v>9383</v>
      </c>
    </row>
    <row r="147" spans="2:18" ht="15" customHeight="1" x14ac:dyDescent="0.25">
      <c r="B147" s="33" t="str">
        <f t="shared" si="4"/>
        <v>dd</v>
      </c>
      <c r="C147" s="33" t="str">
        <f t="shared" si="5"/>
        <v>c0dd</v>
      </c>
      <c r="D147" s="23" t="s">
        <v>9745</v>
      </c>
      <c r="E147" s="23" t="s">
        <v>691</v>
      </c>
      <c r="F147" s="23" t="s">
        <v>9374</v>
      </c>
      <c r="G147" s="23" t="s">
        <v>9375</v>
      </c>
      <c r="H147" s="23" t="s">
        <v>121</v>
      </c>
      <c r="I147" s="23" t="s">
        <v>9376</v>
      </c>
      <c r="J147" s="23" t="s">
        <v>3276</v>
      </c>
      <c r="K147" s="23" t="s">
        <v>3275</v>
      </c>
      <c r="L147" s="23" t="s">
        <v>9746</v>
      </c>
      <c r="M147" s="23" t="s">
        <v>9378</v>
      </c>
      <c r="N147" s="23" t="s">
        <v>9394</v>
      </c>
      <c r="O147" s="23"/>
      <c r="P147" s="23"/>
      <c r="Q147" s="23" t="s">
        <v>9747</v>
      </c>
      <c r="R147" s="23" t="s">
        <v>9383</v>
      </c>
    </row>
    <row r="148" spans="2:18" ht="15" customHeight="1" x14ac:dyDescent="0.25">
      <c r="B148" s="33" t="str">
        <f t="shared" si="4"/>
        <v>de</v>
      </c>
      <c r="C148" s="33" t="str">
        <f t="shared" si="5"/>
        <v>c0de</v>
      </c>
      <c r="D148" s="23" t="s">
        <v>9748</v>
      </c>
      <c r="E148" s="23" t="s">
        <v>693</v>
      </c>
      <c r="F148" s="23" t="s">
        <v>9374</v>
      </c>
      <c r="G148" s="23" t="s">
        <v>9375</v>
      </c>
      <c r="H148" s="23" t="s">
        <v>121</v>
      </c>
      <c r="I148" s="23" t="s">
        <v>9376</v>
      </c>
      <c r="J148" s="23" t="s">
        <v>3276</v>
      </c>
      <c r="K148" s="23" t="s">
        <v>3275</v>
      </c>
      <c r="L148" s="23" t="s">
        <v>9749</v>
      </c>
      <c r="M148" s="23" t="s">
        <v>9378</v>
      </c>
      <c r="N148" s="23" t="s">
        <v>9394</v>
      </c>
      <c r="O148" s="23"/>
      <c r="P148" s="23"/>
      <c r="Q148" s="23" t="s">
        <v>9750</v>
      </c>
      <c r="R148" s="23" t="s">
        <v>9383</v>
      </c>
    </row>
    <row r="149" spans="2:18" ht="15" customHeight="1" x14ac:dyDescent="0.25">
      <c r="B149" s="33" t="str">
        <f t="shared" si="4"/>
        <v>df</v>
      </c>
      <c r="C149" s="33" t="str">
        <f t="shared" si="5"/>
        <v>c0df</v>
      </c>
      <c r="D149" s="23" t="s">
        <v>9751</v>
      </c>
      <c r="E149" s="23" t="s">
        <v>695</v>
      </c>
      <c r="F149" s="23" t="s">
        <v>9374</v>
      </c>
      <c r="G149" s="23" t="s">
        <v>9375</v>
      </c>
      <c r="H149" s="23" t="s">
        <v>121</v>
      </c>
      <c r="I149" s="23" t="s">
        <v>9376</v>
      </c>
      <c r="J149" s="23" t="s">
        <v>3276</v>
      </c>
      <c r="K149" s="23" t="s">
        <v>3275</v>
      </c>
      <c r="L149" s="23" t="s">
        <v>9752</v>
      </c>
      <c r="M149" s="23" t="s">
        <v>9378</v>
      </c>
      <c r="N149" s="23" t="s">
        <v>9379</v>
      </c>
      <c r="O149" s="23" t="s">
        <v>9753</v>
      </c>
      <c r="P149" s="23" t="s">
        <v>9754</v>
      </c>
      <c r="Q149" s="23" t="s">
        <v>9755</v>
      </c>
      <c r="R149" s="23" t="s">
        <v>9383</v>
      </c>
    </row>
    <row r="150" spans="2:18" ht="15" customHeight="1" x14ac:dyDescent="0.25">
      <c r="B150" s="33" t="str">
        <f t="shared" si="4"/>
        <v>dh</v>
      </c>
      <c r="C150" s="33" t="str">
        <f t="shared" si="5"/>
        <v>c0dh</v>
      </c>
      <c r="D150" s="23" t="s">
        <v>9756</v>
      </c>
      <c r="E150" s="23" t="s">
        <v>697</v>
      </c>
      <c r="F150" s="23" t="s">
        <v>9374</v>
      </c>
      <c r="G150" s="23" t="s">
        <v>9375</v>
      </c>
      <c r="H150" s="23" t="s">
        <v>121</v>
      </c>
      <c r="I150" s="23" t="s">
        <v>9376</v>
      </c>
      <c r="J150" s="23" t="s">
        <v>3276</v>
      </c>
      <c r="K150" s="23" t="s">
        <v>3275</v>
      </c>
      <c r="L150" s="23" t="s">
        <v>9757</v>
      </c>
      <c r="M150" s="23" t="s">
        <v>9378</v>
      </c>
      <c r="N150" s="23" t="s">
        <v>9394</v>
      </c>
      <c r="O150" s="23"/>
      <c r="P150" s="23"/>
      <c r="Q150" s="23" t="s">
        <v>9758</v>
      </c>
      <c r="R150" s="23" t="s">
        <v>9383</v>
      </c>
    </row>
    <row r="151" spans="2:18" ht="15" customHeight="1" x14ac:dyDescent="0.25">
      <c r="B151" s="33" t="str">
        <f t="shared" si="4"/>
        <v>dj</v>
      </c>
      <c r="C151" s="33" t="str">
        <f t="shared" si="5"/>
        <v>c0dj</v>
      </c>
      <c r="D151" s="23" t="s">
        <v>9759</v>
      </c>
      <c r="E151" s="23" t="s">
        <v>699</v>
      </c>
      <c r="F151" s="23" t="s">
        <v>9374</v>
      </c>
      <c r="G151" s="23" t="s">
        <v>9375</v>
      </c>
      <c r="H151" s="23" t="s">
        <v>121</v>
      </c>
      <c r="I151" s="23" t="s">
        <v>9376</v>
      </c>
      <c r="J151" s="23" t="s">
        <v>3276</v>
      </c>
      <c r="K151" s="23" t="s">
        <v>3275</v>
      </c>
      <c r="L151" s="23" t="s">
        <v>9760</v>
      </c>
      <c r="M151" s="23" t="s">
        <v>9378</v>
      </c>
      <c r="N151" s="23" t="s">
        <v>9394</v>
      </c>
      <c r="O151" s="23"/>
      <c r="P151" s="23"/>
      <c r="Q151" s="23" t="s">
        <v>9761</v>
      </c>
      <c r="R151" s="23" t="s">
        <v>9383</v>
      </c>
    </row>
    <row r="152" spans="2:18" ht="15" customHeight="1" x14ac:dyDescent="0.25">
      <c r="B152" s="33" t="str">
        <f t="shared" si="4"/>
        <v>dk</v>
      </c>
      <c r="C152" s="33" t="str">
        <f t="shared" si="5"/>
        <v>c0dk</v>
      </c>
      <c r="D152" s="23" t="s">
        <v>9762</v>
      </c>
      <c r="E152" s="23" t="s">
        <v>701</v>
      </c>
      <c r="F152" s="23" t="s">
        <v>9374</v>
      </c>
      <c r="G152" s="23" t="s">
        <v>9403</v>
      </c>
      <c r="H152" s="23" t="s">
        <v>121</v>
      </c>
      <c r="I152" s="23" t="s">
        <v>9376</v>
      </c>
      <c r="J152" s="23"/>
      <c r="K152" s="23"/>
      <c r="L152" s="23"/>
      <c r="M152" s="23" t="s">
        <v>9378</v>
      </c>
      <c r="N152" s="23" t="s">
        <v>9379</v>
      </c>
      <c r="O152" s="23"/>
      <c r="P152" s="23"/>
      <c r="Q152" s="23" t="s">
        <v>9763</v>
      </c>
      <c r="R152" s="23" t="s">
        <v>9586</v>
      </c>
    </row>
    <row r="153" spans="2:18" ht="15" customHeight="1" x14ac:dyDescent="0.25">
      <c r="B153" s="33" t="str">
        <f t="shared" si="4"/>
        <v>dl</v>
      </c>
      <c r="C153" s="33" t="str">
        <f t="shared" si="5"/>
        <v>c0dl</v>
      </c>
      <c r="D153" s="23" t="s">
        <v>9764</v>
      </c>
      <c r="E153" s="23" t="s">
        <v>703</v>
      </c>
      <c r="F153" s="23" t="s">
        <v>9374</v>
      </c>
      <c r="G153" s="23" t="s">
        <v>9403</v>
      </c>
      <c r="H153" s="23" t="s">
        <v>121</v>
      </c>
      <c r="I153" s="23" t="s">
        <v>9376</v>
      </c>
      <c r="J153" s="23"/>
      <c r="K153" s="23"/>
      <c r="L153" s="23"/>
      <c r="M153" s="23" t="s">
        <v>9378</v>
      </c>
      <c r="N153" s="23" t="s">
        <v>9379</v>
      </c>
      <c r="O153" s="23"/>
      <c r="P153" s="23"/>
      <c r="Q153" s="23"/>
      <c r="R153" s="23" t="s">
        <v>9586</v>
      </c>
    </row>
    <row r="154" spans="2:18" ht="15" customHeight="1" x14ac:dyDescent="0.25">
      <c r="B154" s="33" t="str">
        <f t="shared" si="4"/>
        <v>dn</v>
      </c>
      <c r="C154" s="33" t="str">
        <f t="shared" si="5"/>
        <v>c0dn</v>
      </c>
      <c r="D154" s="23" t="s">
        <v>9765</v>
      </c>
      <c r="E154" s="23" t="s">
        <v>705</v>
      </c>
      <c r="F154" s="23" t="s">
        <v>9374</v>
      </c>
      <c r="G154" s="23" t="s">
        <v>9375</v>
      </c>
      <c r="H154" s="23" t="s">
        <v>121</v>
      </c>
      <c r="I154" s="23" t="s">
        <v>9376</v>
      </c>
      <c r="J154" s="23" t="s">
        <v>3276</v>
      </c>
      <c r="K154" s="23" t="s">
        <v>3275</v>
      </c>
      <c r="L154" s="23" t="s">
        <v>9752</v>
      </c>
      <c r="M154" s="23" t="s">
        <v>9378</v>
      </c>
      <c r="N154" s="23" t="s">
        <v>9379</v>
      </c>
      <c r="O154" s="23" t="s">
        <v>9753</v>
      </c>
      <c r="P154" s="23" t="s">
        <v>9754</v>
      </c>
      <c r="Q154" s="23" t="s">
        <v>9766</v>
      </c>
      <c r="R154" s="23" t="s">
        <v>9383</v>
      </c>
    </row>
    <row r="155" spans="2:18" ht="15" customHeight="1" x14ac:dyDescent="0.25">
      <c r="B155" s="33" t="str">
        <f t="shared" si="4"/>
        <v>dp</v>
      </c>
      <c r="C155" s="33" t="str">
        <f t="shared" si="5"/>
        <v>c0dp</v>
      </c>
      <c r="D155" s="23" t="s">
        <v>9767</v>
      </c>
      <c r="E155" s="23" t="s">
        <v>708</v>
      </c>
      <c r="F155" s="23" t="s">
        <v>9374</v>
      </c>
      <c r="G155" s="23" t="s">
        <v>9403</v>
      </c>
      <c r="H155" s="23" t="s">
        <v>121</v>
      </c>
      <c r="I155" s="23" t="s">
        <v>9376</v>
      </c>
      <c r="J155" s="23"/>
      <c r="K155" s="23"/>
      <c r="L155" s="23"/>
      <c r="M155" s="23" t="s">
        <v>9378</v>
      </c>
      <c r="N155" s="23" t="s">
        <v>9379</v>
      </c>
      <c r="O155" s="23"/>
      <c r="P155" s="23"/>
      <c r="Q155" s="23" t="s">
        <v>9768</v>
      </c>
      <c r="R155" s="23" t="s">
        <v>9383</v>
      </c>
    </row>
    <row r="156" spans="2:18" ht="15" customHeight="1" x14ac:dyDescent="0.25">
      <c r="B156" s="33" t="str">
        <f t="shared" si="4"/>
        <v>dq</v>
      </c>
      <c r="C156" s="33" t="str">
        <f t="shared" si="5"/>
        <v>c0dq</v>
      </c>
      <c r="D156" s="23" t="s">
        <v>9769</v>
      </c>
      <c r="E156" s="23" t="s">
        <v>710</v>
      </c>
      <c r="F156" s="23" t="s">
        <v>9374</v>
      </c>
      <c r="G156" s="23" t="s">
        <v>9403</v>
      </c>
      <c r="H156" s="23" t="s">
        <v>121</v>
      </c>
      <c r="I156" s="23" t="s">
        <v>9376</v>
      </c>
      <c r="J156" s="23"/>
      <c r="K156" s="23"/>
      <c r="L156" s="23"/>
      <c r="M156" s="23" t="s">
        <v>9378</v>
      </c>
      <c r="N156" s="23" t="s">
        <v>9379</v>
      </c>
      <c r="O156" s="23"/>
      <c r="P156" s="23"/>
      <c r="Q156" s="23" t="s">
        <v>9770</v>
      </c>
      <c r="R156" s="23" t="s">
        <v>9383</v>
      </c>
    </row>
    <row r="157" spans="2:18" ht="15" customHeight="1" x14ac:dyDescent="0.25">
      <c r="B157" s="33" t="str">
        <f t="shared" si="4"/>
        <v>dr</v>
      </c>
      <c r="C157" s="33" t="str">
        <f t="shared" si="5"/>
        <v>c0dr</v>
      </c>
      <c r="D157" s="23" t="s">
        <v>9771</v>
      </c>
      <c r="E157" s="23" t="s">
        <v>712</v>
      </c>
      <c r="F157" s="23" t="s">
        <v>9374</v>
      </c>
      <c r="G157" s="23" t="s">
        <v>9375</v>
      </c>
      <c r="H157" s="23" t="s">
        <v>121</v>
      </c>
      <c r="I157" s="23" t="s">
        <v>9376</v>
      </c>
      <c r="J157" s="23" t="s">
        <v>3276</v>
      </c>
      <c r="K157" s="23" t="s">
        <v>3275</v>
      </c>
      <c r="L157" s="23" t="s">
        <v>9772</v>
      </c>
      <c r="M157" s="23" t="s">
        <v>9378</v>
      </c>
      <c r="N157" s="23" t="s">
        <v>9379</v>
      </c>
      <c r="O157" s="23"/>
      <c r="P157" s="23"/>
      <c r="Q157" s="23" t="s">
        <v>9773</v>
      </c>
      <c r="R157" s="23" t="s">
        <v>9383</v>
      </c>
    </row>
    <row r="158" spans="2:18" ht="15" customHeight="1" x14ac:dyDescent="0.25">
      <c r="B158" s="33" t="str">
        <f t="shared" si="4"/>
        <v>du</v>
      </c>
      <c r="C158" s="33" t="str">
        <f t="shared" si="5"/>
        <v>c0du</v>
      </c>
      <c r="D158" s="23" t="s">
        <v>9774</v>
      </c>
      <c r="E158" s="23" t="s">
        <v>714</v>
      </c>
      <c r="F158" s="23" t="s">
        <v>9374</v>
      </c>
      <c r="G158" s="23" t="s">
        <v>9375</v>
      </c>
      <c r="H158" s="23" t="s">
        <v>121</v>
      </c>
      <c r="I158" s="23" t="s">
        <v>9376</v>
      </c>
      <c r="J158" s="23" t="s">
        <v>3276</v>
      </c>
      <c r="K158" s="23" t="s">
        <v>3275</v>
      </c>
      <c r="L158" s="23" t="s">
        <v>9775</v>
      </c>
      <c r="M158" s="23" t="s">
        <v>9378</v>
      </c>
      <c r="N158" s="23" t="s">
        <v>9394</v>
      </c>
      <c r="O158" s="23"/>
      <c r="P158" s="23"/>
      <c r="Q158" s="23" t="s">
        <v>9776</v>
      </c>
      <c r="R158" s="23" t="s">
        <v>9383</v>
      </c>
    </row>
    <row r="159" spans="2:18" ht="15" customHeight="1" x14ac:dyDescent="0.25">
      <c r="B159" s="33" t="str">
        <f t="shared" si="4"/>
        <v>dw</v>
      </c>
      <c r="C159" s="33" t="str">
        <f t="shared" si="5"/>
        <v>c0dw</v>
      </c>
      <c r="D159" s="23" t="s">
        <v>9777</v>
      </c>
      <c r="E159" s="23" t="s">
        <v>716</v>
      </c>
      <c r="F159" s="23" t="s">
        <v>9374</v>
      </c>
      <c r="G159" s="23" t="s">
        <v>9375</v>
      </c>
      <c r="H159" s="23" t="s">
        <v>121</v>
      </c>
      <c r="I159" s="23" t="s">
        <v>9376</v>
      </c>
      <c r="J159" s="23" t="s">
        <v>3276</v>
      </c>
      <c r="K159" s="23" t="s">
        <v>3275</v>
      </c>
      <c r="L159" s="23" t="s">
        <v>9778</v>
      </c>
      <c r="M159" s="23" t="s">
        <v>9425</v>
      </c>
      <c r="N159" s="23" t="s">
        <v>9394</v>
      </c>
      <c r="O159" s="23"/>
      <c r="P159" s="23"/>
      <c r="Q159" s="23" t="s">
        <v>9779</v>
      </c>
      <c r="R159" s="23" t="s">
        <v>9383</v>
      </c>
    </row>
    <row r="160" spans="2:18" ht="15" customHeight="1" x14ac:dyDescent="0.25">
      <c r="B160" s="33" t="str">
        <f t="shared" si="4"/>
        <v>e2</v>
      </c>
      <c r="C160" s="33" t="str">
        <f t="shared" si="5"/>
        <v>c0e2</v>
      </c>
      <c r="D160" s="23" t="s">
        <v>9780</v>
      </c>
      <c r="E160" s="23" t="s">
        <v>718</v>
      </c>
      <c r="F160" s="23" t="s">
        <v>9374</v>
      </c>
      <c r="G160" s="23" t="s">
        <v>9375</v>
      </c>
      <c r="H160" s="23" t="s">
        <v>121</v>
      </c>
      <c r="I160" s="23" t="s">
        <v>9376</v>
      </c>
      <c r="J160" s="23" t="s">
        <v>3276</v>
      </c>
      <c r="K160" s="23" t="s">
        <v>3275</v>
      </c>
      <c r="L160" s="23" t="s">
        <v>9781</v>
      </c>
      <c r="M160" s="23" t="s">
        <v>9393</v>
      </c>
      <c r="N160" s="23" t="s">
        <v>9394</v>
      </c>
      <c r="O160" s="23" t="s">
        <v>9782</v>
      </c>
      <c r="P160" s="23" t="s">
        <v>9783</v>
      </c>
      <c r="Q160" s="23" t="s">
        <v>9784</v>
      </c>
      <c r="R160" s="23" t="s">
        <v>9383</v>
      </c>
    </row>
    <row r="161" spans="2:18" ht="15" customHeight="1" x14ac:dyDescent="0.25">
      <c r="B161" s="33" t="str">
        <f t="shared" si="4"/>
        <v>e4</v>
      </c>
      <c r="C161" s="33" t="str">
        <f t="shared" si="5"/>
        <v>c0e4</v>
      </c>
      <c r="D161" s="23" t="s">
        <v>9785</v>
      </c>
      <c r="E161" s="23" t="s">
        <v>9786</v>
      </c>
      <c r="F161" s="23" t="s">
        <v>9374</v>
      </c>
      <c r="G161" s="23" t="s">
        <v>9403</v>
      </c>
      <c r="H161" s="23" t="s">
        <v>121</v>
      </c>
      <c r="I161" s="23" t="s">
        <v>9376</v>
      </c>
      <c r="J161" s="23"/>
      <c r="K161" s="23"/>
      <c r="L161" s="23"/>
      <c r="M161" s="23" t="s">
        <v>9378</v>
      </c>
      <c r="N161" s="23" t="s">
        <v>9379</v>
      </c>
      <c r="O161" s="23"/>
      <c r="P161" s="23"/>
      <c r="Q161" s="23" t="s">
        <v>9787</v>
      </c>
      <c r="R161" s="23" t="s">
        <v>9383</v>
      </c>
    </row>
    <row r="162" spans="2:18" ht="15" customHeight="1" x14ac:dyDescent="0.25">
      <c r="B162" s="33" t="str">
        <f t="shared" si="4"/>
        <v>e5</v>
      </c>
      <c r="C162" s="33" t="str">
        <f t="shared" si="5"/>
        <v>c0e5</v>
      </c>
      <c r="D162" s="23" t="s">
        <v>9788</v>
      </c>
      <c r="E162" s="23" t="s">
        <v>9789</v>
      </c>
      <c r="F162" s="23" t="s">
        <v>9374</v>
      </c>
      <c r="G162" s="23" t="s">
        <v>9403</v>
      </c>
      <c r="H162" s="23" t="s">
        <v>121</v>
      </c>
      <c r="I162" s="23" t="s">
        <v>9376</v>
      </c>
      <c r="J162" s="23"/>
      <c r="K162" s="23"/>
      <c r="L162" s="23"/>
      <c r="M162" s="23" t="s">
        <v>9378</v>
      </c>
      <c r="N162" s="23" t="s">
        <v>9379</v>
      </c>
      <c r="O162" s="23"/>
      <c r="P162" s="23"/>
      <c r="Q162" s="23" t="s">
        <v>9790</v>
      </c>
      <c r="R162" s="23" t="s">
        <v>9383</v>
      </c>
    </row>
    <row r="163" spans="2:18" ht="15" customHeight="1" x14ac:dyDescent="0.25">
      <c r="B163" s="33" t="str">
        <f t="shared" si="4"/>
        <v>ea</v>
      </c>
      <c r="C163" s="33" t="str">
        <f t="shared" si="5"/>
        <v>c0ea</v>
      </c>
      <c r="D163" s="23" t="s">
        <v>9791</v>
      </c>
      <c r="E163" s="23" t="s">
        <v>724</v>
      </c>
      <c r="F163" s="23" t="s">
        <v>9374</v>
      </c>
      <c r="G163" s="23" t="s">
        <v>9403</v>
      </c>
      <c r="H163" s="23" t="s">
        <v>121</v>
      </c>
      <c r="I163" s="23" t="s">
        <v>9376</v>
      </c>
      <c r="J163" s="23"/>
      <c r="K163" s="23"/>
      <c r="L163" s="23"/>
      <c r="M163" s="23" t="s">
        <v>9378</v>
      </c>
      <c r="N163" s="23" t="s">
        <v>9379</v>
      </c>
      <c r="O163" s="23"/>
      <c r="P163" s="23"/>
      <c r="Q163" s="23" t="s">
        <v>9792</v>
      </c>
      <c r="R163" s="23" t="s">
        <v>9383</v>
      </c>
    </row>
    <row r="164" spans="2:18" ht="15" customHeight="1" x14ac:dyDescent="0.25">
      <c r="B164" s="33" t="str">
        <f t="shared" si="4"/>
        <v>eb</v>
      </c>
      <c r="C164" s="33" t="str">
        <f t="shared" si="5"/>
        <v>c0eb</v>
      </c>
      <c r="D164" s="23" t="s">
        <v>9793</v>
      </c>
      <c r="E164" s="23" t="s">
        <v>726</v>
      </c>
      <c r="F164" s="23" t="s">
        <v>9374</v>
      </c>
      <c r="G164" s="23" t="s">
        <v>9375</v>
      </c>
      <c r="H164" s="23" t="s">
        <v>121</v>
      </c>
      <c r="I164" s="23" t="s">
        <v>9376</v>
      </c>
      <c r="J164" s="23" t="s">
        <v>3276</v>
      </c>
      <c r="K164" s="23" t="s">
        <v>3275</v>
      </c>
      <c r="L164" s="23" t="s">
        <v>9794</v>
      </c>
      <c r="M164" s="23" t="s">
        <v>9378</v>
      </c>
      <c r="N164" s="23" t="s">
        <v>9379</v>
      </c>
      <c r="O164" s="23"/>
      <c r="P164" s="23"/>
      <c r="Q164" s="23" t="s">
        <v>9795</v>
      </c>
      <c r="R164" s="23" t="s">
        <v>9383</v>
      </c>
    </row>
    <row r="165" spans="2:18" ht="15" customHeight="1" x14ac:dyDescent="0.25">
      <c r="B165" s="33" t="str">
        <f t="shared" si="4"/>
        <v>ec</v>
      </c>
      <c r="C165" s="33" t="str">
        <f t="shared" si="5"/>
        <v>c0ec</v>
      </c>
      <c r="D165" s="23" t="s">
        <v>9796</v>
      </c>
      <c r="E165" s="23" t="s">
        <v>9797</v>
      </c>
      <c r="F165" s="23" t="s">
        <v>9374</v>
      </c>
      <c r="G165" s="23" t="s">
        <v>9403</v>
      </c>
      <c r="H165" s="23" t="s">
        <v>121</v>
      </c>
      <c r="I165" s="23" t="s">
        <v>9376</v>
      </c>
      <c r="J165" s="23"/>
      <c r="K165" s="23"/>
      <c r="L165" s="23"/>
      <c r="M165" s="23" t="s">
        <v>9378</v>
      </c>
      <c r="N165" s="23" t="s">
        <v>9379</v>
      </c>
      <c r="O165" s="23"/>
      <c r="P165" s="23"/>
      <c r="Q165" s="23" t="s">
        <v>9798</v>
      </c>
      <c r="R165" s="23" t="s">
        <v>9383</v>
      </c>
    </row>
    <row r="166" spans="2:18" ht="15" customHeight="1" x14ac:dyDescent="0.25">
      <c r="B166" s="33" t="str">
        <f t="shared" si="4"/>
        <v>ed</v>
      </c>
      <c r="C166" s="33" t="str">
        <f t="shared" si="5"/>
        <v>c0ed</v>
      </c>
      <c r="D166" s="23" t="s">
        <v>9799</v>
      </c>
      <c r="E166" s="23" t="s">
        <v>9800</v>
      </c>
      <c r="F166" s="23" t="s">
        <v>9374</v>
      </c>
      <c r="G166" s="23" t="s">
        <v>9403</v>
      </c>
      <c r="H166" s="23" t="s">
        <v>121</v>
      </c>
      <c r="I166" s="23" t="s">
        <v>9376</v>
      </c>
      <c r="J166" s="23"/>
      <c r="K166" s="23"/>
      <c r="L166" s="23"/>
      <c r="M166" s="23" t="s">
        <v>9378</v>
      </c>
      <c r="N166" s="23" t="s">
        <v>9379</v>
      </c>
      <c r="O166" s="23"/>
      <c r="P166" s="23"/>
      <c r="Q166" s="23" t="s">
        <v>9801</v>
      </c>
      <c r="R166" s="23" t="s">
        <v>9383</v>
      </c>
    </row>
    <row r="167" spans="2:18" ht="15" customHeight="1" x14ac:dyDescent="0.25">
      <c r="B167" s="33" t="str">
        <f t="shared" si="4"/>
        <v>ee</v>
      </c>
      <c r="C167" s="33" t="str">
        <f t="shared" si="5"/>
        <v>c0ee</v>
      </c>
      <c r="D167" s="23" t="s">
        <v>9802</v>
      </c>
      <c r="E167" s="23" t="s">
        <v>732</v>
      </c>
      <c r="F167" s="23" t="s">
        <v>9374</v>
      </c>
      <c r="G167" s="23" t="s">
        <v>9375</v>
      </c>
      <c r="H167" s="23" t="s">
        <v>121</v>
      </c>
      <c r="I167" s="23" t="s">
        <v>9376</v>
      </c>
      <c r="J167" s="23" t="s">
        <v>3276</v>
      </c>
      <c r="K167" s="23" t="s">
        <v>3275</v>
      </c>
      <c r="L167" s="23" t="s">
        <v>9803</v>
      </c>
      <c r="M167" s="23" t="s">
        <v>9425</v>
      </c>
      <c r="N167" s="23" t="s">
        <v>9394</v>
      </c>
      <c r="O167" s="23"/>
      <c r="P167" s="23"/>
      <c r="Q167" s="23" t="s">
        <v>9804</v>
      </c>
      <c r="R167" s="23" t="s">
        <v>9383</v>
      </c>
    </row>
    <row r="168" spans="2:18" ht="15" customHeight="1" x14ac:dyDescent="0.25">
      <c r="B168" s="33" t="str">
        <f t="shared" si="4"/>
        <v>ef</v>
      </c>
      <c r="C168" s="33" t="str">
        <f t="shared" si="5"/>
        <v>c0ef</v>
      </c>
      <c r="D168" s="23" t="s">
        <v>9805</v>
      </c>
      <c r="E168" s="23" t="s">
        <v>734</v>
      </c>
      <c r="F168" s="23" t="s">
        <v>9374</v>
      </c>
      <c r="G168" s="23" t="s">
        <v>9403</v>
      </c>
      <c r="H168" s="23" t="s">
        <v>121</v>
      </c>
      <c r="I168" s="23" t="s">
        <v>9376</v>
      </c>
      <c r="J168" s="23"/>
      <c r="K168" s="23"/>
      <c r="L168" s="23"/>
      <c r="M168" s="23" t="s">
        <v>9378</v>
      </c>
      <c r="N168" s="23" t="s">
        <v>9379</v>
      </c>
      <c r="O168" s="23"/>
      <c r="P168" s="23"/>
      <c r="Q168" s="23" t="s">
        <v>9806</v>
      </c>
      <c r="R168" s="23" t="s">
        <v>9383</v>
      </c>
    </row>
    <row r="169" spans="2:18" ht="15" customHeight="1" x14ac:dyDescent="0.25">
      <c r="B169" s="33" t="str">
        <f t="shared" si="4"/>
        <v>eg</v>
      </c>
      <c r="C169" s="33" t="str">
        <f t="shared" si="5"/>
        <v>c0eg</v>
      </c>
      <c r="D169" s="23" t="s">
        <v>9807</v>
      </c>
      <c r="E169" s="23" t="s">
        <v>737</v>
      </c>
      <c r="F169" s="23" t="s">
        <v>9374</v>
      </c>
      <c r="G169" s="23" t="s">
        <v>9375</v>
      </c>
      <c r="H169" s="23" t="s">
        <v>121</v>
      </c>
      <c r="I169" s="23" t="s">
        <v>9376</v>
      </c>
      <c r="J169" s="23" t="s">
        <v>3276</v>
      </c>
      <c r="K169" s="23" t="s">
        <v>3275</v>
      </c>
      <c r="L169" s="23" t="s">
        <v>9808</v>
      </c>
      <c r="M169" s="23" t="s">
        <v>9425</v>
      </c>
      <c r="N169" s="23" t="s">
        <v>9394</v>
      </c>
      <c r="O169" s="23"/>
      <c r="P169" s="23"/>
      <c r="Q169" s="23" t="s">
        <v>9809</v>
      </c>
      <c r="R169" s="23" t="s">
        <v>9383</v>
      </c>
    </row>
    <row r="170" spans="2:18" ht="15" customHeight="1" x14ac:dyDescent="0.25">
      <c r="B170" s="33" t="str">
        <f t="shared" si="4"/>
        <v>eh</v>
      </c>
      <c r="C170" s="33" t="str">
        <f t="shared" si="5"/>
        <v>c0eh</v>
      </c>
      <c r="D170" s="23" t="s">
        <v>9810</v>
      </c>
      <c r="E170" s="23" t="s">
        <v>740</v>
      </c>
      <c r="F170" s="23" t="s">
        <v>9374</v>
      </c>
      <c r="G170" s="23" t="s">
        <v>9403</v>
      </c>
      <c r="H170" s="23" t="s">
        <v>121</v>
      </c>
      <c r="I170" s="23" t="s">
        <v>9376</v>
      </c>
      <c r="J170" s="23"/>
      <c r="K170" s="23"/>
      <c r="L170" s="23"/>
      <c r="M170" s="23" t="s">
        <v>9378</v>
      </c>
      <c r="N170" s="23" t="s">
        <v>9379</v>
      </c>
      <c r="O170" s="23"/>
      <c r="P170" s="23"/>
      <c r="Q170" s="23" t="s">
        <v>9811</v>
      </c>
      <c r="R170" s="23" t="s">
        <v>9383</v>
      </c>
    </row>
    <row r="171" spans="2:18" ht="15" customHeight="1" x14ac:dyDescent="0.25">
      <c r="B171" s="33" t="str">
        <f t="shared" si="4"/>
        <v>ej</v>
      </c>
      <c r="C171" s="33" t="str">
        <f t="shared" si="5"/>
        <v>c0ej</v>
      </c>
      <c r="D171" s="23" t="s">
        <v>9812</v>
      </c>
      <c r="E171" s="23" t="s">
        <v>742</v>
      </c>
      <c r="F171" s="23" t="s">
        <v>9374</v>
      </c>
      <c r="G171" s="23" t="s">
        <v>9375</v>
      </c>
      <c r="H171" s="23" t="s">
        <v>121</v>
      </c>
      <c r="I171" s="23" t="s">
        <v>9376</v>
      </c>
      <c r="J171" s="23" t="s">
        <v>3276</v>
      </c>
      <c r="K171" s="23" t="s">
        <v>3275</v>
      </c>
      <c r="L171" s="23" t="s">
        <v>9781</v>
      </c>
      <c r="M171" s="23" t="s">
        <v>9393</v>
      </c>
      <c r="N171" s="23" t="s">
        <v>9394</v>
      </c>
      <c r="O171" s="23" t="s">
        <v>9782</v>
      </c>
      <c r="P171" s="23" t="s">
        <v>9783</v>
      </c>
      <c r="Q171" s="23" t="s">
        <v>9813</v>
      </c>
      <c r="R171" s="23" t="s">
        <v>9383</v>
      </c>
    </row>
    <row r="172" spans="2:18" ht="15" customHeight="1" x14ac:dyDescent="0.25">
      <c r="B172" s="33" t="str">
        <f t="shared" si="4"/>
        <v>ek</v>
      </c>
      <c r="C172" s="33" t="str">
        <f t="shared" si="5"/>
        <v>c0ek</v>
      </c>
      <c r="D172" s="23" t="s">
        <v>9814</v>
      </c>
      <c r="E172" s="23" t="s">
        <v>744</v>
      </c>
      <c r="F172" s="23" t="s">
        <v>9374</v>
      </c>
      <c r="G172" s="23" t="s">
        <v>9403</v>
      </c>
      <c r="H172" s="23" t="s">
        <v>121</v>
      </c>
      <c r="I172" s="23" t="s">
        <v>9376</v>
      </c>
      <c r="J172" s="23"/>
      <c r="K172" s="23"/>
      <c r="L172" s="23"/>
      <c r="M172" s="23" t="s">
        <v>9378</v>
      </c>
      <c r="N172" s="23" t="s">
        <v>9379</v>
      </c>
      <c r="O172" s="23"/>
      <c r="P172" s="23"/>
      <c r="Q172" s="23" t="s">
        <v>9815</v>
      </c>
      <c r="R172" s="23" t="s">
        <v>9383</v>
      </c>
    </row>
    <row r="173" spans="2:18" ht="15" customHeight="1" x14ac:dyDescent="0.25">
      <c r="B173" s="33" t="str">
        <f t="shared" si="4"/>
        <v>el</v>
      </c>
      <c r="C173" s="33" t="str">
        <f t="shared" si="5"/>
        <v>c0el</v>
      </c>
      <c r="D173" s="23" t="s">
        <v>9816</v>
      </c>
      <c r="E173" s="23" t="s">
        <v>9817</v>
      </c>
      <c r="F173" s="23" t="s">
        <v>9374</v>
      </c>
      <c r="G173" s="23" t="s">
        <v>9403</v>
      </c>
      <c r="H173" s="23" t="s">
        <v>121</v>
      </c>
      <c r="I173" s="23" t="s">
        <v>9376</v>
      </c>
      <c r="J173" s="23"/>
      <c r="K173" s="23"/>
      <c r="L173" s="23"/>
      <c r="M173" s="23" t="s">
        <v>9378</v>
      </c>
      <c r="N173" s="23" t="s">
        <v>9379</v>
      </c>
      <c r="O173" s="23"/>
      <c r="P173" s="23"/>
      <c r="Q173" s="23" t="s">
        <v>9818</v>
      </c>
      <c r="R173" s="23" t="s">
        <v>9383</v>
      </c>
    </row>
    <row r="174" spans="2:18" ht="15" customHeight="1" x14ac:dyDescent="0.25">
      <c r="B174" s="33" t="str">
        <f t="shared" si="4"/>
        <v>em</v>
      </c>
      <c r="C174" s="33" t="str">
        <f t="shared" si="5"/>
        <v>c0em</v>
      </c>
      <c r="D174" s="23" t="s">
        <v>9819</v>
      </c>
      <c r="E174" s="23" t="s">
        <v>748</v>
      </c>
      <c r="F174" s="23" t="s">
        <v>9374</v>
      </c>
      <c r="G174" s="23" t="s">
        <v>9403</v>
      </c>
      <c r="H174" s="23" t="s">
        <v>121</v>
      </c>
      <c r="I174" s="23" t="s">
        <v>9376</v>
      </c>
      <c r="J174" s="23"/>
      <c r="K174" s="23"/>
      <c r="L174" s="23"/>
      <c r="M174" s="23" t="s">
        <v>9378</v>
      </c>
      <c r="N174" s="23" t="s">
        <v>9379</v>
      </c>
      <c r="O174" s="23"/>
      <c r="P174" s="23"/>
      <c r="Q174" s="23" t="s">
        <v>9820</v>
      </c>
      <c r="R174" s="23" t="s">
        <v>9383</v>
      </c>
    </row>
    <row r="175" spans="2:18" ht="15" customHeight="1" x14ac:dyDescent="0.25">
      <c r="B175" s="33" t="str">
        <f t="shared" si="4"/>
        <v>en</v>
      </c>
      <c r="C175" s="33" t="str">
        <f t="shared" si="5"/>
        <v>c0en</v>
      </c>
      <c r="D175" s="23" t="s">
        <v>9821</v>
      </c>
      <c r="E175" s="23" t="s">
        <v>750</v>
      </c>
      <c r="F175" s="23" t="s">
        <v>9374</v>
      </c>
      <c r="G175" s="23" t="s">
        <v>9403</v>
      </c>
      <c r="H175" s="23" t="s">
        <v>121</v>
      </c>
      <c r="I175" s="23" t="s">
        <v>9376</v>
      </c>
      <c r="J175" s="23"/>
      <c r="K175" s="23"/>
      <c r="L175" s="23"/>
      <c r="M175" s="23" t="s">
        <v>9378</v>
      </c>
      <c r="N175" s="23" t="s">
        <v>9379</v>
      </c>
      <c r="O175" s="23"/>
      <c r="P175" s="23"/>
      <c r="Q175" s="23" t="s">
        <v>9822</v>
      </c>
      <c r="R175" s="23" t="s">
        <v>9383</v>
      </c>
    </row>
    <row r="176" spans="2:18" ht="15" customHeight="1" x14ac:dyDescent="0.25">
      <c r="B176" s="33" t="str">
        <f t="shared" si="4"/>
        <v>ep</v>
      </c>
      <c r="C176" s="33" t="str">
        <f t="shared" si="5"/>
        <v>c0ep</v>
      </c>
      <c r="D176" s="23" t="s">
        <v>9823</v>
      </c>
      <c r="E176" s="23" t="s">
        <v>752</v>
      </c>
      <c r="F176" s="23" t="s">
        <v>9374</v>
      </c>
      <c r="G176" s="23" t="s">
        <v>9375</v>
      </c>
      <c r="H176" s="23" t="s">
        <v>121</v>
      </c>
      <c r="I176" s="23" t="s">
        <v>9376</v>
      </c>
      <c r="J176" s="23" t="s">
        <v>3276</v>
      </c>
      <c r="K176" s="23" t="s">
        <v>3275</v>
      </c>
      <c r="L176" s="23" t="s">
        <v>9824</v>
      </c>
      <c r="M176" s="23" t="s">
        <v>9378</v>
      </c>
      <c r="N176" s="23" t="s">
        <v>9379</v>
      </c>
      <c r="O176" s="23" t="s">
        <v>9825</v>
      </c>
      <c r="P176" s="23" t="s">
        <v>9826</v>
      </c>
      <c r="Q176" s="23" t="s">
        <v>9827</v>
      </c>
      <c r="R176" s="23" t="s">
        <v>9383</v>
      </c>
    </row>
    <row r="177" spans="2:18" ht="15" customHeight="1" x14ac:dyDescent="0.25">
      <c r="B177" s="33" t="str">
        <f t="shared" si="4"/>
        <v>eq</v>
      </c>
      <c r="C177" s="33" t="str">
        <f t="shared" si="5"/>
        <v>c0eq</v>
      </c>
      <c r="D177" s="23" t="s">
        <v>9828</v>
      </c>
      <c r="E177" s="23" t="s">
        <v>755</v>
      </c>
      <c r="F177" s="23" t="s">
        <v>9374</v>
      </c>
      <c r="G177" s="23" t="s">
        <v>9375</v>
      </c>
      <c r="H177" s="23" t="s">
        <v>121</v>
      </c>
      <c r="I177" s="23" t="s">
        <v>9376</v>
      </c>
      <c r="J177" s="23" t="s">
        <v>3276</v>
      </c>
      <c r="K177" s="23" t="s">
        <v>3275</v>
      </c>
      <c r="L177" s="23" t="s">
        <v>9829</v>
      </c>
      <c r="M177" s="23" t="s">
        <v>9393</v>
      </c>
      <c r="N177" s="23" t="s">
        <v>9394</v>
      </c>
      <c r="O177" s="23"/>
      <c r="P177" s="23"/>
      <c r="Q177" s="23" t="s">
        <v>9830</v>
      </c>
      <c r="R177" s="23" t="s">
        <v>9383</v>
      </c>
    </row>
    <row r="178" spans="2:18" ht="15" customHeight="1" x14ac:dyDescent="0.25">
      <c r="B178" s="33" t="str">
        <f t="shared" si="4"/>
        <v>er</v>
      </c>
      <c r="C178" s="33" t="str">
        <f t="shared" si="5"/>
        <v>c0er</v>
      </c>
      <c r="D178" s="23" t="s">
        <v>9831</v>
      </c>
      <c r="E178" s="23" t="s">
        <v>757</v>
      </c>
      <c r="F178" s="23" t="s">
        <v>9374</v>
      </c>
      <c r="G178" s="23" t="s">
        <v>9375</v>
      </c>
      <c r="H178" s="23" t="s">
        <v>121</v>
      </c>
      <c r="I178" s="23" t="s">
        <v>9376</v>
      </c>
      <c r="J178" s="23" t="s">
        <v>3276</v>
      </c>
      <c r="K178" s="23" t="s">
        <v>3275</v>
      </c>
      <c r="L178" s="23" t="s">
        <v>9832</v>
      </c>
      <c r="M178" s="23" t="s">
        <v>9378</v>
      </c>
      <c r="N178" s="23" t="s">
        <v>9394</v>
      </c>
      <c r="O178" s="23"/>
      <c r="P178" s="23"/>
      <c r="Q178" s="23" t="s">
        <v>9833</v>
      </c>
      <c r="R178" s="23" t="s">
        <v>9383</v>
      </c>
    </row>
    <row r="179" spans="2:18" ht="15" customHeight="1" x14ac:dyDescent="0.25">
      <c r="B179" s="33" t="str">
        <f t="shared" si="4"/>
        <v>es</v>
      </c>
      <c r="C179" s="33" t="str">
        <f t="shared" si="5"/>
        <v>c0es</v>
      </c>
      <c r="D179" s="23" t="s">
        <v>9834</v>
      </c>
      <c r="E179" s="23" t="s">
        <v>759</v>
      </c>
      <c r="F179" s="23" t="s">
        <v>9374</v>
      </c>
      <c r="G179" s="23" t="s">
        <v>9403</v>
      </c>
      <c r="H179" s="23" t="s">
        <v>121</v>
      </c>
      <c r="I179" s="23" t="s">
        <v>9376</v>
      </c>
      <c r="J179" s="23"/>
      <c r="K179" s="23"/>
      <c r="L179" s="23"/>
      <c r="M179" s="23" t="s">
        <v>9378</v>
      </c>
      <c r="N179" s="23" t="s">
        <v>9379</v>
      </c>
      <c r="O179" s="23"/>
      <c r="P179" s="23"/>
      <c r="Q179" s="23" t="s">
        <v>9835</v>
      </c>
      <c r="R179" s="23" t="s">
        <v>9383</v>
      </c>
    </row>
    <row r="180" spans="2:18" ht="15" customHeight="1" x14ac:dyDescent="0.25">
      <c r="B180" s="33" t="str">
        <f t="shared" si="4"/>
        <v>et</v>
      </c>
      <c r="C180" s="33" t="str">
        <f t="shared" si="5"/>
        <v>c0et</v>
      </c>
      <c r="D180" s="23" t="s">
        <v>9836</v>
      </c>
      <c r="E180" s="23" t="s">
        <v>760</v>
      </c>
      <c r="F180" s="23" t="s">
        <v>9374</v>
      </c>
      <c r="G180" s="23" t="s">
        <v>9375</v>
      </c>
      <c r="H180" s="23" t="s">
        <v>121</v>
      </c>
      <c r="I180" s="23" t="s">
        <v>9376</v>
      </c>
      <c r="J180" s="23" t="s">
        <v>3276</v>
      </c>
      <c r="K180" s="23" t="s">
        <v>3275</v>
      </c>
      <c r="L180" s="23" t="s">
        <v>9837</v>
      </c>
      <c r="M180" s="23" t="s">
        <v>9393</v>
      </c>
      <c r="N180" s="23" t="s">
        <v>9394</v>
      </c>
      <c r="O180" s="23"/>
      <c r="P180" s="23"/>
      <c r="Q180" s="23" t="s">
        <v>9838</v>
      </c>
      <c r="R180" s="23" t="s">
        <v>9383</v>
      </c>
    </row>
    <row r="181" spans="2:18" ht="15" customHeight="1" x14ac:dyDescent="0.25">
      <c r="B181" s="33" t="str">
        <f t="shared" si="4"/>
        <v>ev</v>
      </c>
      <c r="C181" s="33" t="str">
        <f t="shared" si="5"/>
        <v>c0ev</v>
      </c>
      <c r="D181" s="23" t="s">
        <v>9839</v>
      </c>
      <c r="E181" s="23" t="s">
        <v>763</v>
      </c>
      <c r="F181" s="23" t="s">
        <v>9374</v>
      </c>
      <c r="G181" s="23" t="s">
        <v>9403</v>
      </c>
      <c r="H181" s="23" t="s">
        <v>121</v>
      </c>
      <c r="I181" s="23" t="s">
        <v>9376</v>
      </c>
      <c r="J181" s="23"/>
      <c r="K181" s="23"/>
      <c r="L181" s="23"/>
      <c r="M181" s="23" t="s">
        <v>9378</v>
      </c>
      <c r="N181" s="23" t="s">
        <v>9379</v>
      </c>
      <c r="O181" s="23"/>
      <c r="P181" s="23"/>
      <c r="Q181" s="23" t="s">
        <v>9840</v>
      </c>
      <c r="R181" s="23" t="s">
        <v>9383</v>
      </c>
    </row>
    <row r="182" spans="2:18" ht="15" customHeight="1" x14ac:dyDescent="0.25">
      <c r="B182" s="33" t="str">
        <f t="shared" si="4"/>
        <v>ew</v>
      </c>
      <c r="C182" s="33" t="str">
        <f t="shared" si="5"/>
        <v>c0ew</v>
      </c>
      <c r="D182" s="23" t="s">
        <v>9841</v>
      </c>
      <c r="E182" s="23" t="s">
        <v>765</v>
      </c>
      <c r="F182" s="23" t="s">
        <v>9374</v>
      </c>
      <c r="G182" s="23" t="s">
        <v>9403</v>
      </c>
      <c r="H182" s="23" t="s">
        <v>121</v>
      </c>
      <c r="I182" s="23" t="s">
        <v>9376</v>
      </c>
      <c r="J182" s="23"/>
      <c r="K182" s="23"/>
      <c r="L182" s="23"/>
      <c r="M182" s="23" t="s">
        <v>9378</v>
      </c>
      <c r="N182" s="23" t="s">
        <v>9379</v>
      </c>
      <c r="O182" s="23"/>
      <c r="P182" s="23"/>
      <c r="Q182" s="23" t="s">
        <v>9842</v>
      </c>
      <c r="R182" s="23" t="s">
        <v>9383</v>
      </c>
    </row>
    <row r="183" spans="2:18" ht="15" customHeight="1" x14ac:dyDescent="0.25">
      <c r="B183" s="33" t="str">
        <f t="shared" si="4"/>
        <v>ex</v>
      </c>
      <c r="C183" s="33" t="str">
        <f t="shared" si="5"/>
        <v>c0ex</v>
      </c>
      <c r="D183" s="23" t="s">
        <v>9843</v>
      </c>
      <c r="E183" s="23" t="s">
        <v>767</v>
      </c>
      <c r="F183" s="23" t="s">
        <v>9374</v>
      </c>
      <c r="G183" s="23" t="s">
        <v>9403</v>
      </c>
      <c r="H183" s="23" t="s">
        <v>121</v>
      </c>
      <c r="I183" s="23" t="s">
        <v>9376</v>
      </c>
      <c r="J183" s="23"/>
      <c r="K183" s="23"/>
      <c r="L183" s="23"/>
      <c r="M183" s="23" t="s">
        <v>9378</v>
      </c>
      <c r="N183" s="23" t="s">
        <v>9379</v>
      </c>
      <c r="O183" s="23"/>
      <c r="P183" s="23"/>
      <c r="Q183" s="23" t="s">
        <v>9844</v>
      </c>
      <c r="R183" s="23" t="s">
        <v>9418</v>
      </c>
    </row>
    <row r="184" spans="2:18" ht="15" customHeight="1" x14ac:dyDescent="0.25">
      <c r="B184" s="33" t="str">
        <f t="shared" si="4"/>
        <v>ey</v>
      </c>
      <c r="C184" s="33" t="str">
        <f t="shared" si="5"/>
        <v>c0ey</v>
      </c>
      <c r="D184" s="23" t="s">
        <v>9845</v>
      </c>
      <c r="E184" s="23" t="s">
        <v>769</v>
      </c>
      <c r="F184" s="23" t="s">
        <v>9374</v>
      </c>
      <c r="G184" s="23" t="s">
        <v>9403</v>
      </c>
      <c r="H184" s="23" t="s">
        <v>121</v>
      </c>
      <c r="I184" s="23" t="s">
        <v>9376</v>
      </c>
      <c r="J184" s="23"/>
      <c r="K184" s="23"/>
      <c r="L184" s="23"/>
      <c r="M184" s="23" t="s">
        <v>9378</v>
      </c>
      <c r="N184" s="23" t="s">
        <v>9379</v>
      </c>
      <c r="O184" s="23"/>
      <c r="P184" s="23"/>
      <c r="Q184" s="23" t="s">
        <v>9846</v>
      </c>
      <c r="R184" s="23" t="s">
        <v>9418</v>
      </c>
    </row>
    <row r="185" spans="2:18" ht="15" customHeight="1" x14ac:dyDescent="0.25">
      <c r="B185" s="33" t="str">
        <f t="shared" si="4"/>
        <v>ez</v>
      </c>
      <c r="C185" s="33" t="str">
        <f t="shared" si="5"/>
        <v>c0ez</v>
      </c>
      <c r="D185" s="23" t="s">
        <v>9847</v>
      </c>
      <c r="E185" s="23" t="s">
        <v>9848</v>
      </c>
      <c r="F185" s="23" t="s">
        <v>9374</v>
      </c>
      <c r="G185" s="23" t="s">
        <v>9403</v>
      </c>
      <c r="H185" s="23" t="s">
        <v>121</v>
      </c>
      <c r="I185" s="23" t="s">
        <v>9376</v>
      </c>
      <c r="J185" s="23"/>
      <c r="K185" s="23"/>
      <c r="L185" s="23"/>
      <c r="M185" s="23" t="s">
        <v>9378</v>
      </c>
      <c r="N185" s="23" t="s">
        <v>9379</v>
      </c>
      <c r="O185" s="23"/>
      <c r="P185" s="23"/>
      <c r="Q185" s="23" t="s">
        <v>9849</v>
      </c>
      <c r="R185" s="23" t="s">
        <v>9383</v>
      </c>
    </row>
    <row r="186" spans="2:18" ht="15" customHeight="1" x14ac:dyDescent="0.25">
      <c r="B186" s="33" t="str">
        <f t="shared" si="4"/>
        <v>f2</v>
      </c>
      <c r="C186" s="33" t="str">
        <f t="shared" si="5"/>
        <v>c0f2</v>
      </c>
      <c r="D186" s="23" t="s">
        <v>9850</v>
      </c>
      <c r="E186" s="23" t="s">
        <v>773</v>
      </c>
      <c r="F186" s="23" t="s">
        <v>9374</v>
      </c>
      <c r="G186" s="23" t="s">
        <v>9403</v>
      </c>
      <c r="H186" s="23" t="s">
        <v>121</v>
      </c>
      <c r="I186" s="23" t="s">
        <v>9376</v>
      </c>
      <c r="J186" s="23"/>
      <c r="K186" s="23"/>
      <c r="L186" s="23"/>
      <c r="M186" s="23" t="s">
        <v>9378</v>
      </c>
      <c r="N186" s="23" t="s">
        <v>9379</v>
      </c>
      <c r="O186" s="23"/>
      <c r="P186" s="23"/>
      <c r="Q186" s="23" t="s">
        <v>9851</v>
      </c>
      <c r="R186" s="23" t="s">
        <v>9383</v>
      </c>
    </row>
    <row r="187" spans="2:18" ht="15" customHeight="1" x14ac:dyDescent="0.25">
      <c r="B187" s="33" t="str">
        <f t="shared" si="4"/>
        <v>f4</v>
      </c>
      <c r="C187" s="33" t="str">
        <f t="shared" si="5"/>
        <v>c0f4</v>
      </c>
      <c r="D187" s="23" t="s">
        <v>9852</v>
      </c>
      <c r="E187" s="23" t="s">
        <v>9853</v>
      </c>
      <c r="F187" s="23" t="s">
        <v>9374</v>
      </c>
      <c r="G187" s="23" t="s">
        <v>9403</v>
      </c>
      <c r="H187" s="23" t="s">
        <v>121</v>
      </c>
      <c r="I187" s="23" t="s">
        <v>9376</v>
      </c>
      <c r="J187" s="23"/>
      <c r="K187" s="23"/>
      <c r="L187" s="23"/>
      <c r="M187" s="23" t="s">
        <v>9378</v>
      </c>
      <c r="N187" s="23" t="s">
        <v>9379</v>
      </c>
      <c r="O187" s="23"/>
      <c r="P187" s="23"/>
      <c r="Q187" s="23" t="s">
        <v>9854</v>
      </c>
      <c r="R187" s="23" t="s">
        <v>9383</v>
      </c>
    </row>
    <row r="188" spans="2:18" ht="15" customHeight="1" x14ac:dyDescent="0.25">
      <c r="B188" s="33" t="str">
        <f t="shared" si="4"/>
        <v>f5</v>
      </c>
      <c r="C188" s="33" t="str">
        <f t="shared" si="5"/>
        <v>c0f5</v>
      </c>
      <c r="D188" s="23" t="s">
        <v>9855</v>
      </c>
      <c r="E188" s="23" t="s">
        <v>9856</v>
      </c>
      <c r="F188" s="23" t="s">
        <v>9374</v>
      </c>
      <c r="G188" s="23" t="s">
        <v>9403</v>
      </c>
      <c r="H188" s="23" t="s">
        <v>121</v>
      </c>
      <c r="I188" s="23" t="s">
        <v>9376</v>
      </c>
      <c r="J188" s="23"/>
      <c r="K188" s="23"/>
      <c r="L188" s="23"/>
      <c r="M188" s="23" t="s">
        <v>9378</v>
      </c>
      <c r="N188" s="23" t="s">
        <v>9379</v>
      </c>
      <c r="O188" s="23"/>
      <c r="P188" s="23"/>
      <c r="Q188" s="23" t="s">
        <v>9857</v>
      </c>
      <c r="R188" s="23" t="s">
        <v>9383</v>
      </c>
    </row>
    <row r="189" spans="2:18" ht="15" customHeight="1" x14ac:dyDescent="0.25">
      <c r="B189" s="33" t="str">
        <f t="shared" si="4"/>
        <v>f7</v>
      </c>
      <c r="C189" s="33" t="str">
        <f t="shared" si="5"/>
        <v>c0f7</v>
      </c>
      <c r="D189" s="23" t="s">
        <v>9858</v>
      </c>
      <c r="E189" s="23" t="s">
        <v>9859</v>
      </c>
      <c r="F189" s="23" t="s">
        <v>9374</v>
      </c>
      <c r="G189" s="23" t="s">
        <v>9403</v>
      </c>
      <c r="H189" s="23" t="s">
        <v>121</v>
      </c>
      <c r="I189" s="23" t="s">
        <v>9376</v>
      </c>
      <c r="J189" s="23"/>
      <c r="K189" s="23"/>
      <c r="L189" s="23"/>
      <c r="M189" s="23" t="s">
        <v>9378</v>
      </c>
      <c r="N189" s="23" t="s">
        <v>9379</v>
      </c>
      <c r="O189" s="23"/>
      <c r="P189" s="23"/>
      <c r="Q189" s="23" t="s">
        <v>9860</v>
      </c>
      <c r="R189" s="23" t="s">
        <v>9383</v>
      </c>
    </row>
    <row r="190" spans="2:18" ht="15" customHeight="1" x14ac:dyDescent="0.25">
      <c r="B190" s="33" t="str">
        <f t="shared" si="4"/>
        <v>f8</v>
      </c>
      <c r="C190" s="33" t="str">
        <f t="shared" si="5"/>
        <v>c0f8</v>
      </c>
      <c r="D190" s="23" t="s">
        <v>9861</v>
      </c>
      <c r="E190" s="23" t="s">
        <v>9862</v>
      </c>
      <c r="F190" s="23" t="s">
        <v>9374</v>
      </c>
      <c r="G190" s="23" t="s">
        <v>9403</v>
      </c>
      <c r="H190" s="23" t="s">
        <v>121</v>
      </c>
      <c r="I190" s="23" t="s">
        <v>9376</v>
      </c>
      <c r="J190" s="23"/>
      <c r="K190" s="23"/>
      <c r="L190" s="23"/>
      <c r="M190" s="23" t="s">
        <v>9378</v>
      </c>
      <c r="N190" s="23" t="s">
        <v>9379</v>
      </c>
      <c r="O190" s="23"/>
      <c r="P190" s="23"/>
      <c r="Q190" s="23" t="s">
        <v>9863</v>
      </c>
      <c r="R190" s="23" t="s">
        <v>9383</v>
      </c>
    </row>
    <row r="191" spans="2:18" ht="15" customHeight="1" x14ac:dyDescent="0.25">
      <c r="B191" s="33" t="str">
        <f t="shared" si="4"/>
        <v>f9</v>
      </c>
      <c r="C191" s="33" t="str">
        <f t="shared" si="5"/>
        <v>c0f9</v>
      </c>
      <c r="D191" s="23" t="s">
        <v>9864</v>
      </c>
      <c r="E191" s="23" t="s">
        <v>9865</v>
      </c>
      <c r="F191" s="23" t="s">
        <v>9374</v>
      </c>
      <c r="G191" s="23" t="s">
        <v>9403</v>
      </c>
      <c r="H191" s="23" t="s">
        <v>121</v>
      </c>
      <c r="I191" s="23" t="s">
        <v>9376</v>
      </c>
      <c r="J191" s="23"/>
      <c r="K191" s="23"/>
      <c r="L191" s="23"/>
      <c r="M191" s="23" t="s">
        <v>9378</v>
      </c>
      <c r="N191" s="23" t="s">
        <v>9379</v>
      </c>
      <c r="O191" s="23"/>
      <c r="P191" s="23"/>
      <c r="Q191" s="23" t="s">
        <v>9866</v>
      </c>
      <c r="R191" s="23" t="s">
        <v>9383</v>
      </c>
    </row>
    <row r="192" spans="2:18" ht="15" customHeight="1" x14ac:dyDescent="0.25">
      <c r="B192" s="33" t="str">
        <f t="shared" si="4"/>
        <v>fa</v>
      </c>
      <c r="C192" s="33" t="str">
        <f t="shared" si="5"/>
        <v>c0fa</v>
      </c>
      <c r="D192" s="23" t="s">
        <v>9867</v>
      </c>
      <c r="E192" s="23" t="s">
        <v>785</v>
      </c>
      <c r="F192" s="23" t="s">
        <v>9374</v>
      </c>
      <c r="G192" s="23" t="s">
        <v>9375</v>
      </c>
      <c r="H192" s="23" t="s">
        <v>121</v>
      </c>
      <c r="I192" s="23" t="s">
        <v>9376</v>
      </c>
      <c r="J192" s="23" t="s">
        <v>3276</v>
      </c>
      <c r="K192" s="23" t="s">
        <v>3275</v>
      </c>
      <c r="L192" s="23" t="s">
        <v>9868</v>
      </c>
      <c r="M192" s="23" t="s">
        <v>9378</v>
      </c>
      <c r="N192" s="23" t="s">
        <v>9379</v>
      </c>
      <c r="O192" s="23"/>
      <c r="P192" s="23"/>
      <c r="Q192" s="23" t="s">
        <v>9869</v>
      </c>
      <c r="R192" s="23" t="s">
        <v>9586</v>
      </c>
    </row>
    <row r="193" spans="2:18" ht="15" customHeight="1" x14ac:dyDescent="0.25">
      <c r="B193" s="33" t="str">
        <f t="shared" si="4"/>
        <v>fb</v>
      </c>
      <c r="C193" s="33" t="str">
        <f t="shared" si="5"/>
        <v>c0fb</v>
      </c>
      <c r="D193" s="23" t="s">
        <v>9870</v>
      </c>
      <c r="E193" s="23" t="s">
        <v>787</v>
      </c>
      <c r="F193" s="23" t="s">
        <v>9374</v>
      </c>
      <c r="G193" s="23" t="s">
        <v>9403</v>
      </c>
      <c r="H193" s="23" t="s">
        <v>121</v>
      </c>
      <c r="I193" s="23" t="s">
        <v>9376</v>
      </c>
      <c r="J193" s="23"/>
      <c r="K193" s="23"/>
      <c r="L193" s="23"/>
      <c r="M193" s="23" t="s">
        <v>9378</v>
      </c>
      <c r="N193" s="23" t="s">
        <v>9379</v>
      </c>
      <c r="O193" s="23"/>
      <c r="P193" s="23"/>
      <c r="Q193" s="23" t="s">
        <v>9871</v>
      </c>
      <c r="R193" s="23" t="s">
        <v>9586</v>
      </c>
    </row>
    <row r="194" spans="2:18" ht="15" customHeight="1" x14ac:dyDescent="0.25">
      <c r="B194" s="33" t="str">
        <f t="shared" si="4"/>
        <v>fc</v>
      </c>
      <c r="C194" s="33" t="str">
        <f t="shared" si="5"/>
        <v>c0fc</v>
      </c>
      <c r="D194" s="23" t="s">
        <v>9872</v>
      </c>
      <c r="E194" s="23" t="s">
        <v>789</v>
      </c>
      <c r="F194" s="23" t="s">
        <v>9374</v>
      </c>
      <c r="G194" s="23" t="s">
        <v>9403</v>
      </c>
      <c r="H194" s="23" t="s">
        <v>121</v>
      </c>
      <c r="I194" s="23" t="s">
        <v>9376</v>
      </c>
      <c r="J194" s="23"/>
      <c r="K194" s="23"/>
      <c r="L194" s="23"/>
      <c r="M194" s="23" t="s">
        <v>9378</v>
      </c>
      <c r="N194" s="23" t="s">
        <v>9379</v>
      </c>
      <c r="O194" s="23"/>
      <c r="P194" s="23"/>
      <c r="Q194" s="23" t="s">
        <v>9873</v>
      </c>
      <c r="R194" s="23" t="s">
        <v>9586</v>
      </c>
    </row>
    <row r="195" spans="2:18" ht="15" customHeight="1" x14ac:dyDescent="0.25">
      <c r="B195" s="33" t="str">
        <f t="shared" si="4"/>
        <v>fd</v>
      </c>
      <c r="C195" s="33" t="str">
        <f t="shared" si="5"/>
        <v>c0fd</v>
      </c>
      <c r="D195" s="23" t="s">
        <v>9874</v>
      </c>
      <c r="E195" s="23" t="s">
        <v>791</v>
      </c>
      <c r="F195" s="23" t="s">
        <v>9374</v>
      </c>
      <c r="G195" s="23" t="s">
        <v>9403</v>
      </c>
      <c r="H195" s="23" t="s">
        <v>121</v>
      </c>
      <c r="I195" s="23" t="s">
        <v>9376</v>
      </c>
      <c r="J195" s="23"/>
      <c r="K195" s="23"/>
      <c r="L195" s="23"/>
      <c r="M195" s="23" t="s">
        <v>9378</v>
      </c>
      <c r="N195" s="23" t="s">
        <v>9379</v>
      </c>
      <c r="O195" s="23"/>
      <c r="P195" s="23"/>
      <c r="Q195" s="23" t="s">
        <v>9875</v>
      </c>
      <c r="R195" s="23" t="s">
        <v>9586</v>
      </c>
    </row>
    <row r="196" spans="2:18" ht="15" customHeight="1" x14ac:dyDescent="0.25">
      <c r="B196" s="33" t="str">
        <f t="shared" si="4"/>
        <v>fh</v>
      </c>
      <c r="C196" s="33" t="str">
        <f t="shared" si="5"/>
        <v>c0fh</v>
      </c>
      <c r="D196" s="23" t="s">
        <v>9876</v>
      </c>
      <c r="E196" s="23" t="s">
        <v>9877</v>
      </c>
      <c r="F196" s="23" t="s">
        <v>9374</v>
      </c>
      <c r="G196" s="23" t="s">
        <v>9403</v>
      </c>
      <c r="H196" s="23" t="s">
        <v>121</v>
      </c>
      <c r="I196" s="23" t="s">
        <v>9376</v>
      </c>
      <c r="J196" s="23"/>
      <c r="K196" s="23"/>
      <c r="L196" s="23"/>
      <c r="M196" s="23" t="s">
        <v>9378</v>
      </c>
      <c r="N196" s="23" t="s">
        <v>9394</v>
      </c>
      <c r="O196" s="23"/>
      <c r="P196" s="23"/>
      <c r="Q196" s="23" t="s">
        <v>9878</v>
      </c>
      <c r="R196" s="23" t="s">
        <v>9383</v>
      </c>
    </row>
    <row r="197" spans="2:18" ht="15" customHeight="1" x14ac:dyDescent="0.25">
      <c r="B197" s="33" t="str">
        <f t="shared" si="4"/>
        <v>fm</v>
      </c>
      <c r="C197" s="33" t="str">
        <f t="shared" si="5"/>
        <v>c0fm</v>
      </c>
      <c r="D197" s="23" t="s">
        <v>9879</v>
      </c>
      <c r="E197" s="23" t="s">
        <v>9880</v>
      </c>
      <c r="F197" s="23" t="s">
        <v>9374</v>
      </c>
      <c r="G197" s="23" t="s">
        <v>9403</v>
      </c>
      <c r="H197" s="23" t="s">
        <v>121</v>
      </c>
      <c r="I197" s="23" t="s">
        <v>9376</v>
      </c>
      <c r="J197" s="23"/>
      <c r="K197" s="23"/>
      <c r="L197" s="23"/>
      <c r="M197" s="23" t="s">
        <v>9378</v>
      </c>
      <c r="N197" s="23" t="s">
        <v>9379</v>
      </c>
      <c r="O197" s="23"/>
      <c r="P197" s="23"/>
      <c r="Q197" s="23" t="s">
        <v>9881</v>
      </c>
      <c r="R197" s="23" t="s">
        <v>9383</v>
      </c>
    </row>
    <row r="198" spans="2:18" ht="15" customHeight="1" x14ac:dyDescent="0.25">
      <c r="B198" s="33" t="str">
        <f t="shared" ref="B198:B261" si="6">RIGHT($C198,2)</f>
        <v>fn</v>
      </c>
      <c r="C198" s="33" t="str">
        <f t="shared" ref="C198:C261" si="7">"c0"&amp;RIGHT($D198,2)</f>
        <v>c0fn</v>
      </c>
      <c r="D198" s="23" t="s">
        <v>9882</v>
      </c>
      <c r="E198" s="23" t="s">
        <v>797</v>
      </c>
      <c r="F198" s="23" t="s">
        <v>9374</v>
      </c>
      <c r="G198" s="23" t="s">
        <v>9403</v>
      </c>
      <c r="H198" s="23" t="s">
        <v>121</v>
      </c>
      <c r="I198" s="23" t="s">
        <v>9376</v>
      </c>
      <c r="J198" s="23"/>
      <c r="K198" s="23"/>
      <c r="L198" s="23"/>
      <c r="M198" s="23" t="s">
        <v>9378</v>
      </c>
      <c r="N198" s="23" t="s">
        <v>9379</v>
      </c>
      <c r="O198" s="23"/>
      <c r="P198" s="23"/>
      <c r="Q198" s="23" t="s">
        <v>9883</v>
      </c>
      <c r="R198" s="23" t="s">
        <v>9383</v>
      </c>
    </row>
    <row r="199" spans="2:18" ht="15" customHeight="1" x14ac:dyDescent="0.25">
      <c r="B199" s="33" t="str">
        <f t="shared" si="6"/>
        <v>fp</v>
      </c>
      <c r="C199" s="33" t="str">
        <f t="shared" si="7"/>
        <v>c0fp</v>
      </c>
      <c r="D199" s="23" t="s">
        <v>9884</v>
      </c>
      <c r="E199" s="23" t="s">
        <v>9885</v>
      </c>
      <c r="F199" s="23" t="s">
        <v>9374</v>
      </c>
      <c r="G199" s="23" t="s">
        <v>9403</v>
      </c>
      <c r="H199" s="23" t="s">
        <v>121</v>
      </c>
      <c r="I199" s="23" t="s">
        <v>9376</v>
      </c>
      <c r="J199" s="23"/>
      <c r="K199" s="23"/>
      <c r="L199" s="23"/>
      <c r="M199" s="23" t="s">
        <v>9378</v>
      </c>
      <c r="N199" s="23" t="s">
        <v>9379</v>
      </c>
      <c r="O199" s="23"/>
      <c r="P199" s="23"/>
      <c r="Q199" s="23" t="s">
        <v>9886</v>
      </c>
      <c r="R199" s="23" t="s">
        <v>9586</v>
      </c>
    </row>
    <row r="200" spans="2:18" ht="15" customHeight="1" x14ac:dyDescent="0.25">
      <c r="B200" s="33" t="str">
        <f t="shared" si="6"/>
        <v>fq</v>
      </c>
      <c r="C200" s="33" t="str">
        <f t="shared" si="7"/>
        <v>c0fq</v>
      </c>
      <c r="D200" s="23" t="s">
        <v>9887</v>
      </c>
      <c r="E200" s="23" t="s">
        <v>9888</v>
      </c>
      <c r="F200" s="23" t="s">
        <v>9374</v>
      </c>
      <c r="G200" s="23" t="s">
        <v>9403</v>
      </c>
      <c r="H200" s="23" t="s">
        <v>121</v>
      </c>
      <c r="I200" s="23" t="s">
        <v>9376</v>
      </c>
      <c r="J200" s="23"/>
      <c r="K200" s="23"/>
      <c r="L200" s="23"/>
      <c r="M200" s="23" t="s">
        <v>9378</v>
      </c>
      <c r="N200" s="23" t="s">
        <v>9379</v>
      </c>
      <c r="O200" s="23"/>
      <c r="P200" s="23"/>
      <c r="Q200" s="23" t="s">
        <v>9889</v>
      </c>
      <c r="R200" s="23" t="s">
        <v>9383</v>
      </c>
    </row>
    <row r="201" spans="2:18" ht="15" customHeight="1" x14ac:dyDescent="0.25">
      <c r="B201" s="33" t="str">
        <f t="shared" si="6"/>
        <v>fr</v>
      </c>
      <c r="C201" s="33" t="str">
        <f t="shared" si="7"/>
        <v>c0fr</v>
      </c>
      <c r="D201" s="23" t="s">
        <v>9890</v>
      </c>
      <c r="E201" s="23" t="s">
        <v>803</v>
      </c>
      <c r="F201" s="23" t="s">
        <v>9374</v>
      </c>
      <c r="G201" s="23" t="s">
        <v>9403</v>
      </c>
      <c r="H201" s="23" t="s">
        <v>121</v>
      </c>
      <c r="I201" s="23" t="s">
        <v>9376</v>
      </c>
      <c r="J201" s="23"/>
      <c r="K201" s="23"/>
      <c r="L201" s="23"/>
      <c r="M201" s="23" t="s">
        <v>9378</v>
      </c>
      <c r="N201" s="23" t="s">
        <v>9379</v>
      </c>
      <c r="O201" s="23"/>
      <c r="P201" s="23"/>
      <c r="Q201" s="23" t="s">
        <v>9891</v>
      </c>
      <c r="R201" s="23" t="s">
        <v>9383</v>
      </c>
    </row>
    <row r="202" spans="2:18" ht="15" customHeight="1" x14ac:dyDescent="0.25">
      <c r="B202" s="33" t="str">
        <f t="shared" si="6"/>
        <v>fs</v>
      </c>
      <c r="C202" s="33" t="str">
        <f t="shared" si="7"/>
        <v>c0fs</v>
      </c>
      <c r="D202" s="23" t="s">
        <v>9892</v>
      </c>
      <c r="E202" s="23" t="s">
        <v>9893</v>
      </c>
      <c r="F202" s="23" t="s">
        <v>9374</v>
      </c>
      <c r="G202" s="23" t="s">
        <v>9403</v>
      </c>
      <c r="H202" s="23" t="s">
        <v>121</v>
      </c>
      <c r="I202" s="23" t="s">
        <v>9376</v>
      </c>
      <c r="J202" s="23"/>
      <c r="K202" s="23"/>
      <c r="L202" s="23"/>
      <c r="M202" s="23" t="s">
        <v>9378</v>
      </c>
      <c r="N202" s="23" t="s">
        <v>9379</v>
      </c>
      <c r="O202" s="23"/>
      <c r="P202" s="23"/>
      <c r="Q202" s="23" t="s">
        <v>9894</v>
      </c>
      <c r="R202" s="23" t="s">
        <v>9586</v>
      </c>
    </row>
    <row r="203" spans="2:18" ht="15" customHeight="1" x14ac:dyDescent="0.25">
      <c r="B203" s="33" t="str">
        <f t="shared" si="6"/>
        <v>ft</v>
      </c>
      <c r="C203" s="33" t="str">
        <f t="shared" si="7"/>
        <v>c0ft</v>
      </c>
      <c r="D203" s="23" t="s">
        <v>9895</v>
      </c>
      <c r="E203" s="23" t="s">
        <v>9896</v>
      </c>
      <c r="F203" s="23" t="s">
        <v>9374</v>
      </c>
      <c r="G203" s="23" t="s">
        <v>9403</v>
      </c>
      <c r="H203" s="23" t="s">
        <v>121</v>
      </c>
      <c r="I203" s="23" t="s">
        <v>9376</v>
      </c>
      <c r="J203" s="23"/>
      <c r="K203" s="23"/>
      <c r="L203" s="23"/>
      <c r="M203" s="23" t="s">
        <v>9378</v>
      </c>
      <c r="N203" s="23" t="s">
        <v>9379</v>
      </c>
      <c r="O203" s="23"/>
      <c r="P203" s="23"/>
      <c r="Q203" s="23" t="s">
        <v>9897</v>
      </c>
      <c r="R203" s="23" t="s">
        <v>9586</v>
      </c>
    </row>
    <row r="204" spans="2:18" ht="15" customHeight="1" x14ac:dyDescent="0.25">
      <c r="B204" s="33" t="str">
        <f t="shared" si="6"/>
        <v>fx</v>
      </c>
      <c r="C204" s="33" t="str">
        <f t="shared" si="7"/>
        <v>c0fx</v>
      </c>
      <c r="D204" s="23" t="s">
        <v>9898</v>
      </c>
      <c r="E204" s="23" t="s">
        <v>9899</v>
      </c>
      <c r="F204" s="23" t="s">
        <v>9374</v>
      </c>
      <c r="G204" s="23" t="s">
        <v>9403</v>
      </c>
      <c r="H204" s="23" t="s">
        <v>121</v>
      </c>
      <c r="I204" s="23" t="s">
        <v>9376</v>
      </c>
      <c r="J204" s="23"/>
      <c r="K204" s="23"/>
      <c r="L204" s="23"/>
      <c r="M204" s="23" t="s">
        <v>9378</v>
      </c>
      <c r="N204" s="23" t="s">
        <v>9379</v>
      </c>
      <c r="O204" s="23"/>
      <c r="P204" s="23"/>
      <c r="Q204" s="23" t="s">
        <v>9900</v>
      </c>
      <c r="R204" s="23" t="s">
        <v>9383</v>
      </c>
    </row>
    <row r="205" spans="2:18" ht="15" customHeight="1" x14ac:dyDescent="0.25">
      <c r="B205" s="33" t="str">
        <f t="shared" si="6"/>
        <v>fy</v>
      </c>
      <c r="C205" s="33" t="str">
        <f t="shared" si="7"/>
        <v>c0fy</v>
      </c>
      <c r="D205" s="23" t="s">
        <v>9901</v>
      </c>
      <c r="E205" s="23" t="s">
        <v>9902</v>
      </c>
      <c r="F205" s="23" t="s">
        <v>9374</v>
      </c>
      <c r="G205" s="23" t="s">
        <v>9403</v>
      </c>
      <c r="H205" s="23" t="s">
        <v>121</v>
      </c>
      <c r="I205" s="23" t="s">
        <v>9376</v>
      </c>
      <c r="J205" s="23"/>
      <c r="K205" s="23"/>
      <c r="L205" s="23"/>
      <c r="M205" s="23" t="s">
        <v>9378</v>
      </c>
      <c r="N205" s="23" t="s">
        <v>9379</v>
      </c>
      <c r="O205" s="23"/>
      <c r="P205" s="23"/>
      <c r="Q205" s="23" t="s">
        <v>9903</v>
      </c>
      <c r="R205" s="23" t="s">
        <v>9383</v>
      </c>
    </row>
    <row r="206" spans="2:18" ht="15" customHeight="1" x14ac:dyDescent="0.25">
      <c r="B206" s="33" t="str">
        <f t="shared" si="6"/>
        <v>g2</v>
      </c>
      <c r="C206" s="33" t="str">
        <f t="shared" si="7"/>
        <v>c0g2</v>
      </c>
      <c r="D206" s="23" t="s">
        <v>9904</v>
      </c>
      <c r="E206" s="23" t="s">
        <v>813</v>
      </c>
      <c r="F206" s="23" t="s">
        <v>9374</v>
      </c>
      <c r="G206" s="23" t="s">
        <v>9403</v>
      </c>
      <c r="H206" s="23" t="s">
        <v>121</v>
      </c>
      <c r="I206" s="23" t="s">
        <v>9376</v>
      </c>
      <c r="J206" s="23"/>
      <c r="K206" s="23"/>
      <c r="L206" s="23"/>
      <c r="M206" s="23" t="s">
        <v>9378</v>
      </c>
      <c r="N206" s="23" t="s">
        <v>9379</v>
      </c>
      <c r="O206" s="23"/>
      <c r="P206" s="23"/>
      <c r="Q206" s="23" t="s">
        <v>9905</v>
      </c>
      <c r="R206" s="23" t="s">
        <v>9383</v>
      </c>
    </row>
    <row r="207" spans="2:18" ht="15" customHeight="1" x14ac:dyDescent="0.25">
      <c r="B207" s="33" t="str">
        <f t="shared" si="6"/>
        <v>g3</v>
      </c>
      <c r="C207" s="33" t="str">
        <f t="shared" si="7"/>
        <v>c0g3</v>
      </c>
      <c r="D207" s="23" t="s">
        <v>9906</v>
      </c>
      <c r="E207" s="23" t="s">
        <v>9907</v>
      </c>
      <c r="F207" s="23" t="s">
        <v>9374</v>
      </c>
      <c r="G207" s="23" t="s">
        <v>9403</v>
      </c>
      <c r="H207" s="23" t="s">
        <v>121</v>
      </c>
      <c r="I207" s="23" t="s">
        <v>9376</v>
      </c>
      <c r="J207" s="23"/>
      <c r="K207" s="23"/>
      <c r="L207" s="23"/>
      <c r="M207" s="23" t="s">
        <v>9378</v>
      </c>
      <c r="N207" s="23" t="s">
        <v>9379</v>
      </c>
      <c r="O207" s="23"/>
      <c r="P207" s="23"/>
      <c r="Q207" s="23" t="s">
        <v>9908</v>
      </c>
      <c r="R207" s="23" t="s">
        <v>9383</v>
      </c>
    </row>
    <row r="208" spans="2:18" ht="15" customHeight="1" x14ac:dyDescent="0.25">
      <c r="B208" s="33" t="str">
        <f t="shared" si="6"/>
        <v>g4</v>
      </c>
      <c r="C208" s="33" t="str">
        <f t="shared" si="7"/>
        <v>c0g4</v>
      </c>
      <c r="D208" s="23" t="s">
        <v>9909</v>
      </c>
      <c r="E208" s="23" t="s">
        <v>817</v>
      </c>
      <c r="F208" s="23" t="s">
        <v>9374</v>
      </c>
      <c r="G208" s="23" t="s">
        <v>9403</v>
      </c>
      <c r="H208" s="23" t="s">
        <v>121</v>
      </c>
      <c r="I208" s="23" t="s">
        <v>9376</v>
      </c>
      <c r="J208" s="23"/>
      <c r="K208" s="23"/>
      <c r="L208" s="23"/>
      <c r="M208" s="23" t="s">
        <v>9378</v>
      </c>
      <c r="N208" s="23" t="s">
        <v>9379</v>
      </c>
      <c r="O208" s="23"/>
      <c r="P208" s="23"/>
      <c r="Q208" s="23" t="s">
        <v>9910</v>
      </c>
      <c r="R208" s="23" t="s">
        <v>9383</v>
      </c>
    </row>
    <row r="209" spans="2:18" ht="15" customHeight="1" x14ac:dyDescent="0.25">
      <c r="B209" s="33" t="str">
        <f t="shared" si="6"/>
        <v>g5</v>
      </c>
      <c r="C209" s="33" t="str">
        <f t="shared" si="7"/>
        <v>c0g5</v>
      </c>
      <c r="D209" s="23" t="s">
        <v>9911</v>
      </c>
      <c r="E209" s="23" t="s">
        <v>819</v>
      </c>
      <c r="F209" s="23" t="s">
        <v>9374</v>
      </c>
      <c r="G209" s="23" t="s">
        <v>9403</v>
      </c>
      <c r="H209" s="23" t="s">
        <v>121</v>
      </c>
      <c r="I209" s="23" t="s">
        <v>9376</v>
      </c>
      <c r="J209" s="23"/>
      <c r="K209" s="23"/>
      <c r="L209" s="23"/>
      <c r="M209" s="23" t="s">
        <v>9378</v>
      </c>
      <c r="N209" s="23" t="s">
        <v>9379</v>
      </c>
      <c r="O209" s="23"/>
      <c r="P209" s="23"/>
      <c r="Q209" s="23" t="s">
        <v>9912</v>
      </c>
      <c r="R209" s="23" t="s">
        <v>9383</v>
      </c>
    </row>
    <row r="210" spans="2:18" ht="15" customHeight="1" x14ac:dyDescent="0.25">
      <c r="B210" s="33" t="str">
        <f t="shared" si="6"/>
        <v>g8</v>
      </c>
      <c r="C210" s="33" t="str">
        <f t="shared" si="7"/>
        <v>c0g8</v>
      </c>
      <c r="D210" s="23" t="s">
        <v>9913</v>
      </c>
      <c r="E210" s="23" t="s">
        <v>821</v>
      </c>
      <c r="F210" s="23" t="s">
        <v>9374</v>
      </c>
      <c r="G210" s="23" t="s">
        <v>9375</v>
      </c>
      <c r="H210" s="23" t="s">
        <v>121</v>
      </c>
      <c r="I210" s="23" t="s">
        <v>9376</v>
      </c>
      <c r="J210" s="23" t="s">
        <v>3276</v>
      </c>
      <c r="K210" s="23" t="s">
        <v>3275</v>
      </c>
      <c r="L210" s="23" t="s">
        <v>9914</v>
      </c>
      <c r="M210" s="23" t="s">
        <v>9393</v>
      </c>
      <c r="N210" s="23" t="s">
        <v>9394</v>
      </c>
      <c r="O210" s="23"/>
      <c r="P210" s="23"/>
      <c r="Q210" s="23" t="s">
        <v>9915</v>
      </c>
      <c r="R210" s="23" t="s">
        <v>9383</v>
      </c>
    </row>
    <row r="211" spans="2:18" ht="15" customHeight="1" x14ac:dyDescent="0.25">
      <c r="B211" s="33" t="str">
        <f t="shared" si="6"/>
        <v>g9</v>
      </c>
      <c r="C211" s="33" t="str">
        <f t="shared" si="7"/>
        <v>c0g9</v>
      </c>
      <c r="D211" s="23" t="s">
        <v>9916</v>
      </c>
      <c r="E211" s="23" t="s">
        <v>823</v>
      </c>
      <c r="F211" s="23" t="s">
        <v>9374</v>
      </c>
      <c r="G211" s="23" t="s">
        <v>9403</v>
      </c>
      <c r="H211" s="23" t="s">
        <v>121</v>
      </c>
      <c r="I211" s="23" t="s">
        <v>9376</v>
      </c>
      <c r="J211" s="23"/>
      <c r="K211" s="23"/>
      <c r="L211" s="23"/>
      <c r="M211" s="23" t="s">
        <v>9378</v>
      </c>
      <c r="N211" s="23" t="s">
        <v>9379</v>
      </c>
      <c r="O211" s="23"/>
      <c r="P211" s="23"/>
      <c r="Q211" s="23" t="s">
        <v>9917</v>
      </c>
      <c r="R211" s="23" t="s">
        <v>9383</v>
      </c>
    </row>
    <row r="212" spans="2:18" ht="15" customHeight="1" x14ac:dyDescent="0.25">
      <c r="B212" s="33" t="str">
        <f t="shared" si="6"/>
        <v>ga</v>
      </c>
      <c r="C212" s="33" t="str">
        <f t="shared" si="7"/>
        <v>c0ga</v>
      </c>
      <c r="D212" s="23" t="s">
        <v>9918</v>
      </c>
      <c r="E212" s="23" t="s">
        <v>825</v>
      </c>
      <c r="F212" s="23" t="s">
        <v>9374</v>
      </c>
      <c r="G212" s="23" t="s">
        <v>9403</v>
      </c>
      <c r="H212" s="23" t="s">
        <v>121</v>
      </c>
      <c r="I212" s="23" t="s">
        <v>9376</v>
      </c>
      <c r="J212" s="23"/>
      <c r="K212" s="23"/>
      <c r="L212" s="23"/>
      <c r="M212" s="23" t="s">
        <v>9425</v>
      </c>
      <c r="N212" s="23" t="s">
        <v>9394</v>
      </c>
      <c r="O212" s="23"/>
      <c r="P212" s="23"/>
      <c r="Q212" s="23" t="s">
        <v>9919</v>
      </c>
      <c r="R212" s="23" t="s">
        <v>9920</v>
      </c>
    </row>
    <row r="213" spans="2:18" ht="15" customHeight="1" x14ac:dyDescent="0.25">
      <c r="B213" s="33" t="str">
        <f t="shared" si="6"/>
        <v>gb</v>
      </c>
      <c r="C213" s="33" t="str">
        <f t="shared" si="7"/>
        <v>c0gb</v>
      </c>
      <c r="D213" s="23" t="s">
        <v>9921</v>
      </c>
      <c r="E213" s="23" t="s">
        <v>827</v>
      </c>
      <c r="F213" s="23" t="s">
        <v>9374</v>
      </c>
      <c r="G213" s="23" t="s">
        <v>9403</v>
      </c>
      <c r="H213" s="23" t="s">
        <v>121</v>
      </c>
      <c r="I213" s="23" t="s">
        <v>9376</v>
      </c>
      <c r="J213" s="23"/>
      <c r="K213" s="23"/>
      <c r="L213" s="23"/>
      <c r="M213" s="23" t="s">
        <v>9393</v>
      </c>
      <c r="N213" s="23" t="s">
        <v>9394</v>
      </c>
      <c r="O213" s="23"/>
      <c r="P213" s="23"/>
      <c r="Q213" s="23" t="s">
        <v>9922</v>
      </c>
      <c r="R213" s="23" t="s">
        <v>9920</v>
      </c>
    </row>
    <row r="214" spans="2:18" ht="15" customHeight="1" x14ac:dyDescent="0.25">
      <c r="B214" s="33" t="str">
        <f t="shared" si="6"/>
        <v>gc</v>
      </c>
      <c r="C214" s="33" t="str">
        <f t="shared" si="7"/>
        <v>c0gc</v>
      </c>
      <c r="D214" s="23" t="s">
        <v>9923</v>
      </c>
      <c r="E214" s="23" t="s">
        <v>829</v>
      </c>
      <c r="F214" s="23" t="s">
        <v>9374</v>
      </c>
      <c r="G214" s="23" t="s">
        <v>9403</v>
      </c>
      <c r="H214" s="23" t="s">
        <v>121</v>
      </c>
      <c r="I214" s="23" t="s">
        <v>9376</v>
      </c>
      <c r="J214" s="23"/>
      <c r="K214" s="23"/>
      <c r="L214" s="23"/>
      <c r="M214" s="23" t="s">
        <v>9393</v>
      </c>
      <c r="N214" s="23" t="s">
        <v>9394</v>
      </c>
      <c r="O214" s="23"/>
      <c r="P214" s="23"/>
      <c r="Q214" s="23" t="s">
        <v>9924</v>
      </c>
      <c r="R214" s="23" t="s">
        <v>9383</v>
      </c>
    </row>
    <row r="215" spans="2:18" ht="15" customHeight="1" x14ac:dyDescent="0.25">
      <c r="B215" s="33" t="str">
        <f t="shared" si="6"/>
        <v>gd</v>
      </c>
      <c r="C215" s="33" t="str">
        <f t="shared" si="7"/>
        <v>c0gd</v>
      </c>
      <c r="D215" s="23" t="s">
        <v>9925</v>
      </c>
      <c r="E215" s="23" t="s">
        <v>831</v>
      </c>
      <c r="F215" s="23" t="s">
        <v>9374</v>
      </c>
      <c r="G215" s="23" t="s">
        <v>9403</v>
      </c>
      <c r="H215" s="23" t="s">
        <v>121</v>
      </c>
      <c r="I215" s="23" t="s">
        <v>9376</v>
      </c>
      <c r="J215" s="23"/>
      <c r="K215" s="23"/>
      <c r="L215" s="23"/>
      <c r="M215" s="23" t="s">
        <v>9378</v>
      </c>
      <c r="N215" s="23" t="s">
        <v>9379</v>
      </c>
      <c r="O215" s="23"/>
      <c r="P215" s="23"/>
      <c r="Q215" s="23" t="s">
        <v>9926</v>
      </c>
      <c r="R215" s="23" t="s">
        <v>9920</v>
      </c>
    </row>
    <row r="216" spans="2:18" ht="15" customHeight="1" x14ac:dyDescent="0.25">
      <c r="B216" s="33" t="str">
        <f t="shared" si="6"/>
        <v>ge</v>
      </c>
      <c r="C216" s="33" t="str">
        <f t="shared" si="7"/>
        <v>c0ge</v>
      </c>
      <c r="D216" s="23" t="s">
        <v>9927</v>
      </c>
      <c r="E216" s="23" t="s">
        <v>833</v>
      </c>
      <c r="F216" s="23" t="s">
        <v>9374</v>
      </c>
      <c r="G216" s="23" t="s">
        <v>9403</v>
      </c>
      <c r="H216" s="23" t="s">
        <v>121</v>
      </c>
      <c r="I216" s="23" t="s">
        <v>9376</v>
      </c>
      <c r="J216" s="23"/>
      <c r="K216" s="23"/>
      <c r="L216" s="23"/>
      <c r="M216" s="23" t="s">
        <v>9378</v>
      </c>
      <c r="N216" s="23" t="s">
        <v>9379</v>
      </c>
      <c r="O216" s="23"/>
      <c r="P216" s="23"/>
      <c r="Q216" s="23" t="s">
        <v>9928</v>
      </c>
      <c r="R216" s="23" t="s">
        <v>9383</v>
      </c>
    </row>
    <row r="217" spans="2:18" ht="15" customHeight="1" x14ac:dyDescent="0.25">
      <c r="B217" s="33" t="str">
        <f t="shared" si="6"/>
        <v>gf</v>
      </c>
      <c r="C217" s="33" t="str">
        <f t="shared" si="7"/>
        <v>c0gf</v>
      </c>
      <c r="D217" s="23" t="s">
        <v>9929</v>
      </c>
      <c r="E217" s="23" t="s">
        <v>835</v>
      </c>
      <c r="F217" s="23" t="s">
        <v>9374</v>
      </c>
      <c r="G217" s="23" t="s">
        <v>9375</v>
      </c>
      <c r="H217" s="23" t="s">
        <v>121</v>
      </c>
      <c r="I217" s="23" t="s">
        <v>9376</v>
      </c>
      <c r="J217" s="23" t="s">
        <v>3276</v>
      </c>
      <c r="K217" s="23" t="s">
        <v>3275</v>
      </c>
      <c r="L217" s="23" t="s">
        <v>9930</v>
      </c>
      <c r="M217" s="23" t="s">
        <v>9393</v>
      </c>
      <c r="N217" s="23" t="s">
        <v>9394</v>
      </c>
      <c r="O217" s="23"/>
      <c r="P217" s="23"/>
      <c r="Q217" s="23" t="s">
        <v>9931</v>
      </c>
      <c r="R217" s="23" t="s">
        <v>9383</v>
      </c>
    </row>
    <row r="218" spans="2:18" ht="15" customHeight="1" x14ac:dyDescent="0.25">
      <c r="B218" s="33" t="str">
        <f t="shared" si="6"/>
        <v>gh</v>
      </c>
      <c r="C218" s="33" t="str">
        <f t="shared" si="7"/>
        <v>c0gh</v>
      </c>
      <c r="D218" s="23" t="s">
        <v>9932</v>
      </c>
      <c r="E218" s="23" t="s">
        <v>9933</v>
      </c>
      <c r="F218" s="23" t="s">
        <v>9374</v>
      </c>
      <c r="G218" s="23" t="s">
        <v>9403</v>
      </c>
      <c r="H218" s="23" t="s">
        <v>121</v>
      </c>
      <c r="I218" s="23" t="s">
        <v>9376</v>
      </c>
      <c r="J218" s="23"/>
      <c r="K218" s="23"/>
      <c r="L218" s="23"/>
      <c r="M218" s="23" t="s">
        <v>9378</v>
      </c>
      <c r="N218" s="23" t="s">
        <v>9379</v>
      </c>
      <c r="O218" s="23"/>
      <c r="P218" s="23"/>
      <c r="Q218" s="23" t="s">
        <v>9934</v>
      </c>
      <c r="R218" s="23" t="s">
        <v>9383</v>
      </c>
    </row>
    <row r="219" spans="2:18" ht="15" customHeight="1" x14ac:dyDescent="0.25">
      <c r="B219" s="33" t="str">
        <f t="shared" si="6"/>
        <v>gj</v>
      </c>
      <c r="C219" s="33" t="str">
        <f t="shared" si="7"/>
        <v>c0gj</v>
      </c>
      <c r="D219" s="23" t="s">
        <v>9935</v>
      </c>
      <c r="E219" s="23" t="s">
        <v>839</v>
      </c>
      <c r="F219" s="23" t="s">
        <v>9374</v>
      </c>
      <c r="G219" s="23" t="s">
        <v>9375</v>
      </c>
      <c r="H219" s="23" t="s">
        <v>121</v>
      </c>
      <c r="I219" s="23" t="s">
        <v>9376</v>
      </c>
      <c r="J219" s="23" t="s">
        <v>3276</v>
      </c>
      <c r="K219" s="23" t="s">
        <v>3275</v>
      </c>
      <c r="L219" s="23" t="s">
        <v>9936</v>
      </c>
      <c r="M219" s="23" t="s">
        <v>9378</v>
      </c>
      <c r="N219" s="23" t="s">
        <v>9379</v>
      </c>
      <c r="O219" s="23"/>
      <c r="P219" s="23"/>
      <c r="Q219" s="23" t="s">
        <v>9937</v>
      </c>
      <c r="R219" s="23" t="s">
        <v>9383</v>
      </c>
    </row>
    <row r="220" spans="2:18" ht="15" customHeight="1" x14ac:dyDescent="0.25">
      <c r="B220" s="33" t="str">
        <f t="shared" si="6"/>
        <v>gk</v>
      </c>
      <c r="C220" s="33" t="str">
        <f t="shared" si="7"/>
        <v>c0gk</v>
      </c>
      <c r="D220" s="23" t="s">
        <v>9938</v>
      </c>
      <c r="E220" s="23" t="s">
        <v>841</v>
      </c>
      <c r="F220" s="23" t="s">
        <v>9374</v>
      </c>
      <c r="G220" s="23" t="s">
        <v>9375</v>
      </c>
      <c r="H220" s="23" t="s">
        <v>121</v>
      </c>
      <c r="I220" s="23" t="s">
        <v>9376</v>
      </c>
      <c r="J220" s="23" t="s">
        <v>3276</v>
      </c>
      <c r="K220" s="23" t="s">
        <v>3275</v>
      </c>
      <c r="L220" s="23" t="s">
        <v>9939</v>
      </c>
      <c r="M220" s="23" t="s">
        <v>9378</v>
      </c>
      <c r="N220" s="23" t="s">
        <v>9379</v>
      </c>
      <c r="O220" s="23"/>
      <c r="P220" s="23"/>
      <c r="Q220" s="23" t="s">
        <v>9940</v>
      </c>
      <c r="R220" s="23" t="s">
        <v>9383</v>
      </c>
    </row>
    <row r="221" spans="2:18" ht="15" customHeight="1" x14ac:dyDescent="0.25">
      <c r="B221" s="33" t="str">
        <f t="shared" si="6"/>
        <v>gl</v>
      </c>
      <c r="C221" s="33" t="str">
        <f t="shared" si="7"/>
        <v>c0gl</v>
      </c>
      <c r="D221" s="23" t="s">
        <v>9941</v>
      </c>
      <c r="E221" s="23" t="s">
        <v>843</v>
      </c>
      <c r="F221" s="23" t="s">
        <v>9374</v>
      </c>
      <c r="G221" s="23" t="s">
        <v>9375</v>
      </c>
      <c r="H221" s="23" t="s">
        <v>121</v>
      </c>
      <c r="I221" s="23" t="s">
        <v>9376</v>
      </c>
      <c r="J221" s="23" t="s">
        <v>3276</v>
      </c>
      <c r="K221" s="23" t="s">
        <v>3275</v>
      </c>
      <c r="L221" s="23" t="s">
        <v>9942</v>
      </c>
      <c r="M221" s="23" t="s">
        <v>9378</v>
      </c>
      <c r="N221" s="23" t="s">
        <v>9379</v>
      </c>
      <c r="O221" s="23" t="s">
        <v>9943</v>
      </c>
      <c r="P221" s="23" t="s">
        <v>9944</v>
      </c>
      <c r="Q221" s="23" t="s">
        <v>9945</v>
      </c>
      <c r="R221" s="23" t="s">
        <v>9383</v>
      </c>
    </row>
    <row r="222" spans="2:18" ht="15" customHeight="1" x14ac:dyDescent="0.25">
      <c r="B222" s="33" t="str">
        <f t="shared" si="6"/>
        <v>gm</v>
      </c>
      <c r="C222" s="33" t="str">
        <f t="shared" si="7"/>
        <v>c0gm</v>
      </c>
      <c r="D222" s="23" t="s">
        <v>9946</v>
      </c>
      <c r="E222" s="23" t="s">
        <v>9947</v>
      </c>
      <c r="F222" s="23" t="s">
        <v>9374</v>
      </c>
      <c r="G222" s="23" t="s">
        <v>9403</v>
      </c>
      <c r="H222" s="23" t="s">
        <v>121</v>
      </c>
      <c r="I222" s="23" t="s">
        <v>9376</v>
      </c>
      <c r="J222" s="23"/>
      <c r="K222" s="23"/>
      <c r="L222" s="23"/>
      <c r="M222" s="23" t="s">
        <v>9378</v>
      </c>
      <c r="N222" s="23" t="s">
        <v>9379</v>
      </c>
      <c r="O222" s="23"/>
      <c r="P222" s="23"/>
      <c r="Q222" s="23" t="s">
        <v>9948</v>
      </c>
      <c r="R222" s="23" t="s">
        <v>9383</v>
      </c>
    </row>
    <row r="223" spans="2:18" ht="15" customHeight="1" x14ac:dyDescent="0.25">
      <c r="B223" s="33" t="str">
        <f t="shared" si="6"/>
        <v>gn</v>
      </c>
      <c r="C223" s="33" t="str">
        <f t="shared" si="7"/>
        <v>c0gn</v>
      </c>
      <c r="D223" s="23" t="s">
        <v>9949</v>
      </c>
      <c r="E223" s="23" t="s">
        <v>9950</v>
      </c>
      <c r="F223" s="23" t="s">
        <v>9374</v>
      </c>
      <c r="G223" s="23" t="s">
        <v>9403</v>
      </c>
      <c r="H223" s="23" t="s">
        <v>121</v>
      </c>
      <c r="I223" s="23" t="s">
        <v>9376</v>
      </c>
      <c r="J223" s="23"/>
      <c r="K223" s="23"/>
      <c r="L223" s="23"/>
      <c r="M223" s="23" t="s">
        <v>9378</v>
      </c>
      <c r="N223" s="23" t="s">
        <v>9379</v>
      </c>
      <c r="O223" s="23"/>
      <c r="P223" s="23"/>
      <c r="Q223" s="23" t="s">
        <v>9951</v>
      </c>
      <c r="R223" s="23" t="s">
        <v>9383</v>
      </c>
    </row>
    <row r="224" spans="2:18" ht="15" customHeight="1" x14ac:dyDescent="0.25">
      <c r="B224" s="33" t="str">
        <f t="shared" si="6"/>
        <v>gp</v>
      </c>
      <c r="C224" s="33" t="str">
        <f t="shared" si="7"/>
        <v>c0gp</v>
      </c>
      <c r="D224" s="23" t="s">
        <v>9952</v>
      </c>
      <c r="E224" s="23" t="s">
        <v>849</v>
      </c>
      <c r="F224" s="23" t="s">
        <v>9374</v>
      </c>
      <c r="G224" s="23" t="s">
        <v>9375</v>
      </c>
      <c r="H224" s="23" t="s">
        <v>121</v>
      </c>
      <c r="I224" s="23" t="s">
        <v>9376</v>
      </c>
      <c r="J224" s="23" t="s">
        <v>3276</v>
      </c>
      <c r="K224" s="23" t="s">
        <v>3275</v>
      </c>
      <c r="L224" s="23" t="s">
        <v>9942</v>
      </c>
      <c r="M224" s="23" t="s">
        <v>9378</v>
      </c>
      <c r="N224" s="23" t="s">
        <v>9379</v>
      </c>
      <c r="O224" s="23" t="s">
        <v>9943</v>
      </c>
      <c r="P224" s="23" t="s">
        <v>9944</v>
      </c>
      <c r="Q224" s="23" t="s">
        <v>9953</v>
      </c>
      <c r="R224" s="23" t="s">
        <v>9383</v>
      </c>
    </row>
    <row r="225" spans="2:18" ht="15" customHeight="1" x14ac:dyDescent="0.25">
      <c r="B225" s="33" t="str">
        <f t="shared" si="6"/>
        <v>gq</v>
      </c>
      <c r="C225" s="33" t="str">
        <f t="shared" si="7"/>
        <v>c0gq</v>
      </c>
      <c r="D225" s="23" t="s">
        <v>9954</v>
      </c>
      <c r="E225" s="23" t="s">
        <v>851</v>
      </c>
      <c r="F225" s="23" t="s">
        <v>9374</v>
      </c>
      <c r="G225" s="23" t="s">
        <v>9403</v>
      </c>
      <c r="H225" s="23" t="s">
        <v>121</v>
      </c>
      <c r="I225" s="23" t="s">
        <v>9376</v>
      </c>
      <c r="J225" s="23"/>
      <c r="K225" s="23"/>
      <c r="L225" s="23"/>
      <c r="M225" s="23" t="s">
        <v>9378</v>
      </c>
      <c r="N225" s="23" t="s">
        <v>9379</v>
      </c>
      <c r="O225" s="23"/>
      <c r="P225" s="23"/>
      <c r="Q225" s="23"/>
      <c r="R225" s="23" t="s">
        <v>9586</v>
      </c>
    </row>
    <row r="226" spans="2:18" ht="15" customHeight="1" x14ac:dyDescent="0.25">
      <c r="B226" s="33" t="str">
        <f t="shared" si="6"/>
        <v>gr</v>
      </c>
      <c r="C226" s="33" t="str">
        <f t="shared" si="7"/>
        <v>c0gr</v>
      </c>
      <c r="D226" s="23" t="s">
        <v>9955</v>
      </c>
      <c r="E226" s="23" t="s">
        <v>853</v>
      </c>
      <c r="F226" s="23" t="s">
        <v>9374</v>
      </c>
      <c r="G226" s="23" t="s">
        <v>9375</v>
      </c>
      <c r="H226" s="23" t="s">
        <v>121</v>
      </c>
      <c r="I226" s="23" t="s">
        <v>9376</v>
      </c>
      <c r="J226" s="23" t="s">
        <v>3276</v>
      </c>
      <c r="K226" s="23" t="s">
        <v>3275</v>
      </c>
      <c r="L226" s="23" t="s">
        <v>9956</v>
      </c>
      <c r="M226" s="23" t="s">
        <v>9378</v>
      </c>
      <c r="N226" s="23" t="s">
        <v>9379</v>
      </c>
      <c r="O226" s="23"/>
      <c r="P226" s="23"/>
      <c r="Q226" s="23" t="s">
        <v>9957</v>
      </c>
      <c r="R226" s="23" t="s">
        <v>9383</v>
      </c>
    </row>
    <row r="227" spans="2:18" ht="15" customHeight="1" x14ac:dyDescent="0.25">
      <c r="B227" s="33" t="str">
        <f t="shared" si="6"/>
        <v>gs</v>
      </c>
      <c r="C227" s="33" t="str">
        <f t="shared" si="7"/>
        <v>c0gs</v>
      </c>
      <c r="D227" s="23" t="s">
        <v>9958</v>
      </c>
      <c r="E227" s="23" t="s">
        <v>855</v>
      </c>
      <c r="F227" s="23" t="s">
        <v>9374</v>
      </c>
      <c r="G227" s="23" t="s">
        <v>9375</v>
      </c>
      <c r="H227" s="23" t="s">
        <v>121</v>
      </c>
      <c r="I227" s="23" t="s">
        <v>9376</v>
      </c>
      <c r="J227" s="23" t="s">
        <v>3276</v>
      </c>
      <c r="K227" s="23" t="s">
        <v>3275</v>
      </c>
      <c r="L227" s="23" t="s">
        <v>9959</v>
      </c>
      <c r="M227" s="23" t="s">
        <v>9378</v>
      </c>
      <c r="N227" s="23" t="s">
        <v>9394</v>
      </c>
      <c r="O227" s="23"/>
      <c r="P227" s="23"/>
      <c r="Q227" s="23" t="s">
        <v>9960</v>
      </c>
      <c r="R227" s="23" t="s">
        <v>9383</v>
      </c>
    </row>
    <row r="228" spans="2:18" ht="15" customHeight="1" x14ac:dyDescent="0.25">
      <c r="B228" s="33" t="str">
        <f t="shared" si="6"/>
        <v>gt</v>
      </c>
      <c r="C228" s="33" t="str">
        <f t="shared" si="7"/>
        <v>c0gt</v>
      </c>
      <c r="D228" s="23" t="s">
        <v>9961</v>
      </c>
      <c r="E228" s="23" t="s">
        <v>9962</v>
      </c>
      <c r="F228" s="23" t="s">
        <v>9374</v>
      </c>
      <c r="G228" s="23" t="s">
        <v>9403</v>
      </c>
      <c r="H228" s="23" t="s">
        <v>121</v>
      </c>
      <c r="I228" s="23" t="s">
        <v>9376</v>
      </c>
      <c r="J228" s="23"/>
      <c r="K228" s="23"/>
      <c r="L228" s="23"/>
      <c r="M228" s="23" t="s">
        <v>9378</v>
      </c>
      <c r="N228" s="23" t="s">
        <v>9379</v>
      </c>
      <c r="O228" s="23"/>
      <c r="P228" s="23"/>
      <c r="Q228" s="23" t="s">
        <v>9963</v>
      </c>
      <c r="R228" s="23" t="s">
        <v>9383</v>
      </c>
    </row>
    <row r="229" spans="2:18" ht="15" customHeight="1" x14ac:dyDescent="0.25">
      <c r="B229" s="33" t="str">
        <f t="shared" si="6"/>
        <v>gu</v>
      </c>
      <c r="C229" s="33" t="str">
        <f t="shared" si="7"/>
        <v>c0gu</v>
      </c>
      <c r="D229" s="23" t="s">
        <v>9964</v>
      </c>
      <c r="E229" s="23" t="s">
        <v>859</v>
      </c>
      <c r="F229" s="23" t="s">
        <v>9374</v>
      </c>
      <c r="G229" s="23" t="s">
        <v>9403</v>
      </c>
      <c r="H229" s="23" t="s">
        <v>121</v>
      </c>
      <c r="I229" s="23" t="s">
        <v>9376</v>
      </c>
      <c r="J229" s="23"/>
      <c r="K229" s="23"/>
      <c r="L229" s="23"/>
      <c r="M229" s="23" t="s">
        <v>9378</v>
      </c>
      <c r="N229" s="23" t="s">
        <v>9379</v>
      </c>
      <c r="O229" s="23"/>
      <c r="P229" s="23"/>
      <c r="Q229" s="23" t="s">
        <v>9965</v>
      </c>
      <c r="R229" s="23" t="s">
        <v>9383</v>
      </c>
    </row>
    <row r="230" spans="2:18" ht="15" customHeight="1" x14ac:dyDescent="0.25">
      <c r="B230" s="33" t="str">
        <f t="shared" si="6"/>
        <v>gv</v>
      </c>
      <c r="C230" s="33" t="str">
        <f t="shared" si="7"/>
        <v>c0gv</v>
      </c>
      <c r="D230" s="23" t="s">
        <v>9966</v>
      </c>
      <c r="E230" s="23" t="s">
        <v>861</v>
      </c>
      <c r="F230" s="23" t="s">
        <v>9374</v>
      </c>
      <c r="G230" s="23" t="s">
        <v>9403</v>
      </c>
      <c r="H230" s="23" t="s">
        <v>121</v>
      </c>
      <c r="I230" s="23" t="s">
        <v>9376</v>
      </c>
      <c r="J230" s="23"/>
      <c r="K230" s="23"/>
      <c r="L230" s="23"/>
      <c r="M230" s="23" t="s">
        <v>9378</v>
      </c>
      <c r="N230" s="23" t="s">
        <v>9379</v>
      </c>
      <c r="O230" s="23"/>
      <c r="P230" s="23"/>
      <c r="Q230" s="23" t="s">
        <v>9967</v>
      </c>
      <c r="R230" s="23" t="s">
        <v>9586</v>
      </c>
    </row>
    <row r="231" spans="2:18" ht="15" customHeight="1" x14ac:dyDescent="0.25">
      <c r="B231" s="33" t="str">
        <f t="shared" si="6"/>
        <v>gw</v>
      </c>
      <c r="C231" s="33" t="str">
        <f t="shared" si="7"/>
        <v>c0gw</v>
      </c>
      <c r="D231" s="23" t="s">
        <v>9968</v>
      </c>
      <c r="E231" s="23" t="s">
        <v>863</v>
      </c>
      <c r="F231" s="23" t="s">
        <v>9374</v>
      </c>
      <c r="G231" s="23" t="s">
        <v>9403</v>
      </c>
      <c r="H231" s="23" t="s">
        <v>121</v>
      </c>
      <c r="I231" s="23" t="s">
        <v>9376</v>
      </c>
      <c r="J231" s="23"/>
      <c r="K231" s="23"/>
      <c r="L231" s="23"/>
      <c r="M231" s="23" t="s">
        <v>9378</v>
      </c>
      <c r="N231" s="23" t="s">
        <v>9379</v>
      </c>
      <c r="O231" s="23"/>
      <c r="P231" s="23"/>
      <c r="Q231" s="23" t="s">
        <v>9969</v>
      </c>
      <c r="R231" s="23" t="s">
        <v>9586</v>
      </c>
    </row>
    <row r="232" spans="2:18" ht="15" customHeight="1" x14ac:dyDescent="0.25">
      <c r="B232" s="33" t="str">
        <f t="shared" si="6"/>
        <v>gx</v>
      </c>
      <c r="C232" s="33" t="str">
        <f t="shared" si="7"/>
        <v>c0gx</v>
      </c>
      <c r="D232" s="23" t="s">
        <v>9970</v>
      </c>
      <c r="E232" s="23" t="s">
        <v>865</v>
      </c>
      <c r="F232" s="23" t="s">
        <v>9374</v>
      </c>
      <c r="G232" s="23" t="s">
        <v>9375</v>
      </c>
      <c r="H232" s="23" t="s">
        <v>121</v>
      </c>
      <c r="I232" s="23" t="s">
        <v>9376</v>
      </c>
      <c r="J232" s="23" t="s">
        <v>3276</v>
      </c>
      <c r="K232" s="23" t="s">
        <v>3275</v>
      </c>
      <c r="L232" s="23" t="s">
        <v>9971</v>
      </c>
      <c r="M232" s="23" t="s">
        <v>9425</v>
      </c>
      <c r="N232" s="23" t="s">
        <v>9394</v>
      </c>
      <c r="O232" s="23"/>
      <c r="P232" s="23"/>
      <c r="Q232" s="23" t="s">
        <v>9972</v>
      </c>
      <c r="R232" s="23" t="s">
        <v>9383</v>
      </c>
    </row>
    <row r="233" spans="2:18" ht="15" customHeight="1" x14ac:dyDescent="0.25">
      <c r="B233" s="33" t="str">
        <f t="shared" si="6"/>
        <v>gy</v>
      </c>
      <c r="C233" s="33" t="str">
        <f t="shared" si="7"/>
        <v>c0gy</v>
      </c>
      <c r="D233" s="23" t="s">
        <v>9973</v>
      </c>
      <c r="E233" s="23" t="s">
        <v>867</v>
      </c>
      <c r="F233" s="23" t="s">
        <v>9374</v>
      </c>
      <c r="G233" s="23" t="s">
        <v>9403</v>
      </c>
      <c r="H233" s="23" t="s">
        <v>121</v>
      </c>
      <c r="I233" s="23" t="s">
        <v>9376</v>
      </c>
      <c r="J233" s="23"/>
      <c r="K233" s="23"/>
      <c r="L233" s="23"/>
      <c r="M233" s="23" t="s">
        <v>9378</v>
      </c>
      <c r="N233" s="23" t="s">
        <v>9379</v>
      </c>
      <c r="O233" s="23"/>
      <c r="P233" s="23"/>
      <c r="Q233" s="23" t="s">
        <v>9974</v>
      </c>
      <c r="R233" s="23" t="s">
        <v>9383</v>
      </c>
    </row>
    <row r="234" spans="2:18" ht="15" customHeight="1" x14ac:dyDescent="0.25">
      <c r="B234" s="33" t="str">
        <f t="shared" si="6"/>
        <v>gz</v>
      </c>
      <c r="C234" s="33" t="str">
        <f t="shared" si="7"/>
        <v>c0gz</v>
      </c>
      <c r="D234" s="23" t="s">
        <v>9975</v>
      </c>
      <c r="E234" s="23" t="s">
        <v>869</v>
      </c>
      <c r="F234" s="23" t="s">
        <v>9374</v>
      </c>
      <c r="G234" s="23" t="s">
        <v>9375</v>
      </c>
      <c r="H234" s="23" t="s">
        <v>121</v>
      </c>
      <c r="I234" s="23" t="s">
        <v>9376</v>
      </c>
      <c r="J234" s="23" t="s">
        <v>3276</v>
      </c>
      <c r="K234" s="23" t="s">
        <v>3275</v>
      </c>
      <c r="L234" s="23" t="s">
        <v>9976</v>
      </c>
      <c r="M234" s="23" t="s">
        <v>9425</v>
      </c>
      <c r="N234" s="23" t="s">
        <v>9394</v>
      </c>
      <c r="O234" s="23"/>
      <c r="P234" s="23"/>
      <c r="Q234" s="23" t="s">
        <v>9977</v>
      </c>
      <c r="R234" s="23" t="s">
        <v>9383</v>
      </c>
    </row>
    <row r="235" spans="2:18" ht="15" customHeight="1" x14ac:dyDescent="0.25">
      <c r="B235" s="33" t="str">
        <f t="shared" si="6"/>
        <v>h6</v>
      </c>
      <c r="C235" s="33" t="str">
        <f t="shared" si="7"/>
        <v>c0h6</v>
      </c>
      <c r="D235" s="23" t="s">
        <v>9978</v>
      </c>
      <c r="E235" s="23" t="s">
        <v>9979</v>
      </c>
      <c r="F235" s="23" t="s">
        <v>9374</v>
      </c>
      <c r="G235" s="23" t="s">
        <v>9403</v>
      </c>
      <c r="H235" s="23" t="s">
        <v>121</v>
      </c>
      <c r="I235" s="23" t="s">
        <v>9376</v>
      </c>
      <c r="J235" s="23"/>
      <c r="K235" s="23"/>
      <c r="L235" s="23"/>
      <c r="M235" s="23" t="s">
        <v>9378</v>
      </c>
      <c r="N235" s="23" t="s">
        <v>9379</v>
      </c>
      <c r="O235" s="23"/>
      <c r="P235" s="23"/>
      <c r="Q235" s="23" t="s">
        <v>9980</v>
      </c>
      <c r="R235" s="23" t="s">
        <v>9383</v>
      </c>
    </row>
    <row r="236" spans="2:18" ht="15" customHeight="1" x14ac:dyDescent="0.25">
      <c r="B236" s="33" t="str">
        <f t="shared" si="6"/>
        <v>h7</v>
      </c>
      <c r="C236" s="33" t="str">
        <f t="shared" si="7"/>
        <v>c0h7</v>
      </c>
      <c r="D236" s="23" t="s">
        <v>9981</v>
      </c>
      <c r="E236" s="23" t="s">
        <v>9982</v>
      </c>
      <c r="F236" s="23" t="s">
        <v>9374</v>
      </c>
      <c r="G236" s="23" t="s">
        <v>9403</v>
      </c>
      <c r="H236" s="23" t="s">
        <v>121</v>
      </c>
      <c r="I236" s="23" t="s">
        <v>9376</v>
      </c>
      <c r="J236" s="23"/>
      <c r="K236" s="23"/>
      <c r="L236" s="23"/>
      <c r="M236" s="23" t="s">
        <v>9378</v>
      </c>
      <c r="N236" s="23" t="s">
        <v>9379</v>
      </c>
      <c r="O236" s="23"/>
      <c r="P236" s="23"/>
      <c r="Q236" s="23" t="s">
        <v>9983</v>
      </c>
      <c r="R236" s="23" t="s">
        <v>9383</v>
      </c>
    </row>
    <row r="237" spans="2:18" ht="15" customHeight="1" x14ac:dyDescent="0.25">
      <c r="B237" s="33" t="str">
        <f t="shared" si="6"/>
        <v>h8</v>
      </c>
      <c r="C237" s="33" t="str">
        <f t="shared" si="7"/>
        <v>c0h8</v>
      </c>
      <c r="D237" s="23" t="s">
        <v>9984</v>
      </c>
      <c r="E237" s="23" t="s">
        <v>9985</v>
      </c>
      <c r="F237" s="23" t="s">
        <v>9374</v>
      </c>
      <c r="G237" s="23" t="s">
        <v>9403</v>
      </c>
      <c r="H237" s="23" t="s">
        <v>121</v>
      </c>
      <c r="I237" s="23" t="s">
        <v>9376</v>
      </c>
      <c r="J237" s="23"/>
      <c r="K237" s="23"/>
      <c r="L237" s="23"/>
      <c r="M237" s="23" t="s">
        <v>9378</v>
      </c>
      <c r="N237" s="23" t="s">
        <v>9379</v>
      </c>
      <c r="O237" s="23"/>
      <c r="P237" s="23"/>
      <c r="Q237" s="23" t="s">
        <v>9986</v>
      </c>
      <c r="R237" s="23" t="s">
        <v>9383</v>
      </c>
    </row>
    <row r="238" spans="2:18" ht="15" customHeight="1" x14ac:dyDescent="0.25">
      <c r="B238" s="33" t="str">
        <f t="shared" si="6"/>
        <v>h9</v>
      </c>
      <c r="C238" s="33" t="str">
        <f t="shared" si="7"/>
        <v>c0h9</v>
      </c>
      <c r="D238" s="23" t="s">
        <v>9987</v>
      </c>
      <c r="E238" s="23" t="s">
        <v>877</v>
      </c>
      <c r="F238" s="23" t="s">
        <v>9374</v>
      </c>
      <c r="G238" s="23" t="s">
        <v>9375</v>
      </c>
      <c r="H238" s="23" t="s">
        <v>121</v>
      </c>
      <c r="I238" s="23" t="s">
        <v>9376</v>
      </c>
      <c r="J238" s="23" t="s">
        <v>3276</v>
      </c>
      <c r="K238" s="23" t="s">
        <v>3275</v>
      </c>
      <c r="L238" s="23" t="s">
        <v>9988</v>
      </c>
      <c r="M238" s="23" t="s">
        <v>9378</v>
      </c>
      <c r="N238" s="23" t="s">
        <v>9379</v>
      </c>
      <c r="O238" s="23"/>
      <c r="P238" s="23"/>
      <c r="Q238" s="23" t="s">
        <v>9989</v>
      </c>
      <c r="R238" s="23" t="s">
        <v>9383</v>
      </c>
    </row>
    <row r="239" spans="2:18" ht="15" customHeight="1" x14ac:dyDescent="0.25">
      <c r="B239" s="33" t="str">
        <f t="shared" si="6"/>
        <v>ha</v>
      </c>
      <c r="C239" s="33" t="str">
        <f t="shared" si="7"/>
        <v>c0ha</v>
      </c>
      <c r="D239" s="23" t="s">
        <v>9990</v>
      </c>
      <c r="E239" s="23" t="s">
        <v>879</v>
      </c>
      <c r="F239" s="23" t="s">
        <v>9374</v>
      </c>
      <c r="G239" s="23" t="s">
        <v>9375</v>
      </c>
      <c r="H239" s="23" t="s">
        <v>121</v>
      </c>
      <c r="I239" s="23" t="s">
        <v>9376</v>
      </c>
      <c r="J239" s="23" t="s">
        <v>3276</v>
      </c>
      <c r="K239" s="23" t="s">
        <v>3275</v>
      </c>
      <c r="L239" s="23" t="s">
        <v>9991</v>
      </c>
      <c r="M239" s="23" t="s">
        <v>9378</v>
      </c>
      <c r="N239" s="23" t="s">
        <v>9379</v>
      </c>
      <c r="O239" s="23"/>
      <c r="P239" s="23"/>
      <c r="Q239" s="23" t="s">
        <v>9992</v>
      </c>
      <c r="R239" s="23" t="s">
        <v>9383</v>
      </c>
    </row>
    <row r="240" spans="2:18" ht="15" customHeight="1" x14ac:dyDescent="0.25">
      <c r="B240" s="33" t="str">
        <f t="shared" si="6"/>
        <v>hb</v>
      </c>
      <c r="C240" s="33" t="str">
        <f t="shared" si="7"/>
        <v>c0hb</v>
      </c>
      <c r="D240" s="23" t="s">
        <v>9993</v>
      </c>
      <c r="E240" s="23" t="s">
        <v>9994</v>
      </c>
      <c r="F240" s="23" t="s">
        <v>9374</v>
      </c>
      <c r="G240" s="23" t="s">
        <v>9403</v>
      </c>
      <c r="H240" s="23" t="s">
        <v>121</v>
      </c>
      <c r="I240" s="23" t="s">
        <v>9376</v>
      </c>
      <c r="J240" s="23"/>
      <c r="K240" s="23"/>
      <c r="L240" s="23"/>
      <c r="M240" s="23" t="s">
        <v>9378</v>
      </c>
      <c r="N240" s="23" t="s">
        <v>9379</v>
      </c>
      <c r="O240" s="23"/>
      <c r="P240" s="23"/>
      <c r="Q240" s="23" t="s">
        <v>9995</v>
      </c>
      <c r="R240" s="23" t="s">
        <v>9383</v>
      </c>
    </row>
    <row r="241" spans="2:18" ht="15" customHeight="1" x14ac:dyDescent="0.25">
      <c r="B241" s="33" t="str">
        <f t="shared" si="6"/>
        <v>hc</v>
      </c>
      <c r="C241" s="33" t="str">
        <f t="shared" si="7"/>
        <v>c0hc</v>
      </c>
      <c r="D241" s="23" t="s">
        <v>9996</v>
      </c>
      <c r="E241" s="23" t="s">
        <v>883</v>
      </c>
      <c r="F241" s="23" t="s">
        <v>9374</v>
      </c>
      <c r="G241" s="23" t="s">
        <v>9375</v>
      </c>
      <c r="H241" s="23" t="s">
        <v>121</v>
      </c>
      <c r="I241" s="23" t="s">
        <v>9376</v>
      </c>
      <c r="J241" s="23" t="s">
        <v>3276</v>
      </c>
      <c r="K241" s="23" t="s">
        <v>3275</v>
      </c>
      <c r="L241" s="23" t="s">
        <v>9997</v>
      </c>
      <c r="M241" s="23" t="s">
        <v>9425</v>
      </c>
      <c r="N241" s="23" t="s">
        <v>9394</v>
      </c>
      <c r="O241" s="23"/>
      <c r="P241" s="23"/>
      <c r="Q241" s="23" t="s">
        <v>9998</v>
      </c>
      <c r="R241" s="23" t="s">
        <v>9383</v>
      </c>
    </row>
    <row r="242" spans="2:18" ht="15" customHeight="1" x14ac:dyDescent="0.25">
      <c r="B242" s="33" t="str">
        <f t="shared" si="6"/>
        <v>hd</v>
      </c>
      <c r="C242" s="33" t="str">
        <f t="shared" si="7"/>
        <v>c0hd</v>
      </c>
      <c r="D242" s="23" t="s">
        <v>9999</v>
      </c>
      <c r="E242" s="23" t="s">
        <v>10000</v>
      </c>
      <c r="F242" s="23" t="s">
        <v>9374</v>
      </c>
      <c r="G242" s="23" t="s">
        <v>9403</v>
      </c>
      <c r="H242" s="23" t="s">
        <v>121</v>
      </c>
      <c r="I242" s="23" t="s">
        <v>9376</v>
      </c>
      <c r="J242" s="23"/>
      <c r="K242" s="23"/>
      <c r="L242" s="23"/>
      <c r="M242" s="23" t="s">
        <v>9378</v>
      </c>
      <c r="N242" s="23" t="s">
        <v>9379</v>
      </c>
      <c r="O242" s="23" t="s">
        <v>10001</v>
      </c>
      <c r="P242" s="23" t="s">
        <v>10002</v>
      </c>
      <c r="Q242" s="23" t="s">
        <v>10003</v>
      </c>
      <c r="R242" s="23" t="s">
        <v>9383</v>
      </c>
    </row>
    <row r="243" spans="2:18" ht="15" customHeight="1" x14ac:dyDescent="0.25">
      <c r="B243" s="33" t="str">
        <f t="shared" si="6"/>
        <v>he</v>
      </c>
      <c r="C243" s="33" t="str">
        <f t="shared" si="7"/>
        <v>c0he</v>
      </c>
      <c r="D243" s="23" t="s">
        <v>10004</v>
      </c>
      <c r="E243" s="23" t="s">
        <v>887</v>
      </c>
      <c r="F243" s="23" t="s">
        <v>9374</v>
      </c>
      <c r="G243" s="23" t="s">
        <v>9403</v>
      </c>
      <c r="H243" s="23" t="s">
        <v>121</v>
      </c>
      <c r="I243" s="23" t="s">
        <v>9376</v>
      </c>
      <c r="J243" s="23"/>
      <c r="K243" s="23"/>
      <c r="L243" s="23"/>
      <c r="M243" s="23" t="s">
        <v>9378</v>
      </c>
      <c r="N243" s="23" t="s">
        <v>9379</v>
      </c>
      <c r="O243" s="23"/>
      <c r="P243" s="23"/>
      <c r="Q243" s="23" t="s">
        <v>10005</v>
      </c>
      <c r="R243" s="23" t="s">
        <v>9383</v>
      </c>
    </row>
    <row r="244" spans="2:18" ht="15" customHeight="1" x14ac:dyDescent="0.25">
      <c r="B244" s="33" t="str">
        <f t="shared" si="6"/>
        <v>hf</v>
      </c>
      <c r="C244" s="33" t="str">
        <f t="shared" si="7"/>
        <v>c0hf</v>
      </c>
      <c r="D244" s="23" t="s">
        <v>10006</v>
      </c>
      <c r="E244" s="23" t="s">
        <v>10007</v>
      </c>
      <c r="F244" s="23" t="s">
        <v>9374</v>
      </c>
      <c r="G244" s="23" t="s">
        <v>9403</v>
      </c>
      <c r="H244" s="23" t="s">
        <v>121</v>
      </c>
      <c r="I244" s="23" t="s">
        <v>9376</v>
      </c>
      <c r="J244" s="23"/>
      <c r="K244" s="23"/>
      <c r="L244" s="23"/>
      <c r="M244" s="23" t="s">
        <v>9378</v>
      </c>
      <c r="N244" s="23" t="s">
        <v>9379</v>
      </c>
      <c r="O244" s="23"/>
      <c r="P244" s="23"/>
      <c r="Q244" s="23" t="s">
        <v>10008</v>
      </c>
      <c r="R244" s="23" t="s">
        <v>9383</v>
      </c>
    </row>
    <row r="245" spans="2:18" ht="15" customHeight="1" x14ac:dyDescent="0.25">
      <c r="B245" s="33" t="str">
        <f t="shared" si="6"/>
        <v>hg</v>
      </c>
      <c r="C245" s="33" t="str">
        <f t="shared" si="7"/>
        <v>c0hg</v>
      </c>
      <c r="D245" s="23" t="s">
        <v>10009</v>
      </c>
      <c r="E245" s="23" t="s">
        <v>10010</v>
      </c>
      <c r="F245" s="23" t="s">
        <v>9374</v>
      </c>
      <c r="G245" s="23" t="s">
        <v>9403</v>
      </c>
      <c r="H245" s="23" t="s">
        <v>121</v>
      </c>
      <c r="I245" s="23" t="s">
        <v>9376</v>
      </c>
      <c r="J245" s="23"/>
      <c r="K245" s="23"/>
      <c r="L245" s="23"/>
      <c r="M245" s="23" t="s">
        <v>9378</v>
      </c>
      <c r="N245" s="23" t="s">
        <v>9379</v>
      </c>
      <c r="O245" s="23"/>
      <c r="P245" s="23"/>
      <c r="Q245" s="23" t="s">
        <v>10011</v>
      </c>
      <c r="R245" s="23" t="s">
        <v>9383</v>
      </c>
    </row>
    <row r="246" spans="2:18" ht="15" customHeight="1" x14ac:dyDescent="0.25">
      <c r="B246" s="33" t="str">
        <f t="shared" si="6"/>
        <v>hh</v>
      </c>
      <c r="C246" s="33" t="str">
        <f t="shared" si="7"/>
        <v>c0hh</v>
      </c>
      <c r="D246" s="23" t="s">
        <v>10012</v>
      </c>
      <c r="E246" s="23" t="s">
        <v>893</v>
      </c>
      <c r="F246" s="23" t="s">
        <v>9374</v>
      </c>
      <c r="G246" s="23" t="s">
        <v>9403</v>
      </c>
      <c r="H246" s="23" t="s">
        <v>121</v>
      </c>
      <c r="I246" s="23" t="s">
        <v>9376</v>
      </c>
      <c r="J246" s="23"/>
      <c r="K246" s="23"/>
      <c r="L246" s="23"/>
      <c r="M246" s="23" t="s">
        <v>9378</v>
      </c>
      <c r="N246" s="23" t="s">
        <v>9394</v>
      </c>
      <c r="O246" s="23" t="s">
        <v>10001</v>
      </c>
      <c r="P246" s="23" t="s">
        <v>10002</v>
      </c>
      <c r="Q246" s="23" t="s">
        <v>10013</v>
      </c>
      <c r="R246" s="23" t="s">
        <v>9383</v>
      </c>
    </row>
    <row r="247" spans="2:18" ht="15" customHeight="1" x14ac:dyDescent="0.25">
      <c r="B247" s="33" t="str">
        <f t="shared" si="6"/>
        <v>hj</v>
      </c>
      <c r="C247" s="33" t="str">
        <f t="shared" si="7"/>
        <v>c0hj</v>
      </c>
      <c r="D247" s="23" t="s">
        <v>10014</v>
      </c>
      <c r="E247" s="23" t="s">
        <v>895</v>
      </c>
      <c r="F247" s="23" t="s">
        <v>9374</v>
      </c>
      <c r="G247" s="23" t="s">
        <v>9403</v>
      </c>
      <c r="H247" s="23" t="s">
        <v>121</v>
      </c>
      <c r="I247" s="23" t="s">
        <v>9376</v>
      </c>
      <c r="J247" s="23"/>
      <c r="K247" s="23"/>
      <c r="L247" s="23"/>
      <c r="M247" s="23" t="s">
        <v>9378</v>
      </c>
      <c r="N247" s="23" t="s">
        <v>9379</v>
      </c>
      <c r="O247" s="23"/>
      <c r="P247" s="23"/>
      <c r="Q247" s="23" t="s">
        <v>10015</v>
      </c>
      <c r="R247" s="23" t="s">
        <v>9586</v>
      </c>
    </row>
    <row r="248" spans="2:18" ht="15" customHeight="1" x14ac:dyDescent="0.25">
      <c r="B248" s="33" t="str">
        <f t="shared" si="6"/>
        <v>hk</v>
      </c>
      <c r="C248" s="33" t="str">
        <f t="shared" si="7"/>
        <v>c0hk</v>
      </c>
      <c r="D248" s="23" t="s">
        <v>10016</v>
      </c>
      <c r="E248" s="23" t="s">
        <v>897</v>
      </c>
      <c r="F248" s="23" t="s">
        <v>9374</v>
      </c>
      <c r="G248" s="23" t="s">
        <v>9403</v>
      </c>
      <c r="H248" s="23" t="s">
        <v>121</v>
      </c>
      <c r="I248" s="23" t="s">
        <v>9376</v>
      </c>
      <c r="J248" s="23"/>
      <c r="K248" s="23"/>
      <c r="L248" s="23"/>
      <c r="M248" s="23" t="s">
        <v>9378</v>
      </c>
      <c r="N248" s="23" t="s">
        <v>9379</v>
      </c>
      <c r="O248" s="23"/>
      <c r="P248" s="23"/>
      <c r="Q248" s="23" t="s">
        <v>10017</v>
      </c>
      <c r="R248" s="23" t="s">
        <v>9383</v>
      </c>
    </row>
    <row r="249" spans="2:18" ht="15" customHeight="1" x14ac:dyDescent="0.25">
      <c r="B249" s="33" t="str">
        <f t="shared" si="6"/>
        <v>hl</v>
      </c>
      <c r="C249" s="33" t="str">
        <f t="shared" si="7"/>
        <v>c0hl</v>
      </c>
      <c r="D249" s="23" t="s">
        <v>10018</v>
      </c>
      <c r="E249" s="23" t="s">
        <v>899</v>
      </c>
      <c r="F249" s="23" t="s">
        <v>9374</v>
      </c>
      <c r="G249" s="23" t="s">
        <v>9375</v>
      </c>
      <c r="H249" s="23" t="s">
        <v>121</v>
      </c>
      <c r="I249" s="23" t="s">
        <v>9376</v>
      </c>
      <c r="J249" s="23" t="s">
        <v>3276</v>
      </c>
      <c r="K249" s="23" t="s">
        <v>3275</v>
      </c>
      <c r="L249" s="23" t="s">
        <v>10019</v>
      </c>
      <c r="M249" s="23" t="s">
        <v>9393</v>
      </c>
      <c r="N249" s="23" t="s">
        <v>9394</v>
      </c>
      <c r="O249" s="23"/>
      <c r="P249" s="23"/>
      <c r="Q249" s="23" t="s">
        <v>10020</v>
      </c>
      <c r="R249" s="23" t="s">
        <v>9383</v>
      </c>
    </row>
    <row r="250" spans="2:18" ht="15" customHeight="1" x14ac:dyDescent="0.25">
      <c r="B250" s="33" t="str">
        <f t="shared" si="6"/>
        <v>hm</v>
      </c>
      <c r="C250" s="33" t="str">
        <f t="shared" si="7"/>
        <v>c0hm</v>
      </c>
      <c r="D250" s="23" t="s">
        <v>10021</v>
      </c>
      <c r="E250" s="23" t="s">
        <v>902</v>
      </c>
      <c r="F250" s="23" t="s">
        <v>9374</v>
      </c>
      <c r="G250" s="23" t="s">
        <v>9375</v>
      </c>
      <c r="H250" s="23" t="s">
        <v>121</v>
      </c>
      <c r="I250" s="23" t="s">
        <v>9376</v>
      </c>
      <c r="J250" s="23" t="s">
        <v>3276</v>
      </c>
      <c r="K250" s="23" t="s">
        <v>3275</v>
      </c>
      <c r="L250" s="23" t="s">
        <v>10022</v>
      </c>
      <c r="M250" s="23" t="s">
        <v>9378</v>
      </c>
      <c r="N250" s="23" t="s">
        <v>9379</v>
      </c>
      <c r="O250" s="23"/>
      <c r="P250" s="23"/>
      <c r="Q250" s="23" t="s">
        <v>10023</v>
      </c>
      <c r="R250" s="23" t="s">
        <v>9383</v>
      </c>
    </row>
    <row r="251" spans="2:18" ht="15" customHeight="1" x14ac:dyDescent="0.25">
      <c r="B251" s="33" t="str">
        <f t="shared" si="6"/>
        <v>hn</v>
      </c>
      <c r="C251" s="33" t="str">
        <f t="shared" si="7"/>
        <v>c0hn</v>
      </c>
      <c r="D251" s="23" t="s">
        <v>10024</v>
      </c>
      <c r="E251" s="23" t="s">
        <v>904</v>
      </c>
      <c r="F251" s="23" t="s">
        <v>9374</v>
      </c>
      <c r="G251" s="23" t="s">
        <v>9403</v>
      </c>
      <c r="H251" s="23" t="s">
        <v>121</v>
      </c>
      <c r="I251" s="23" t="s">
        <v>9376</v>
      </c>
      <c r="J251" s="23"/>
      <c r="K251" s="23"/>
      <c r="L251" s="23"/>
      <c r="M251" s="23" t="s">
        <v>9378</v>
      </c>
      <c r="N251" s="23" t="s">
        <v>9379</v>
      </c>
      <c r="O251" s="23"/>
      <c r="P251" s="23"/>
      <c r="Q251" s="23" t="s">
        <v>10025</v>
      </c>
      <c r="R251" s="23" t="s">
        <v>9383</v>
      </c>
    </row>
    <row r="252" spans="2:18" ht="15" customHeight="1" x14ac:dyDescent="0.25">
      <c r="B252" s="33" t="str">
        <f t="shared" si="6"/>
        <v>hp</v>
      </c>
      <c r="C252" s="33" t="str">
        <f t="shared" si="7"/>
        <v>c0hp</v>
      </c>
      <c r="D252" s="23" t="s">
        <v>10026</v>
      </c>
      <c r="E252" s="23" t="s">
        <v>906</v>
      </c>
      <c r="F252" s="23" t="s">
        <v>9374</v>
      </c>
      <c r="G252" s="23" t="s">
        <v>9403</v>
      </c>
      <c r="H252" s="23" t="s">
        <v>121</v>
      </c>
      <c r="I252" s="23" t="s">
        <v>9376</v>
      </c>
      <c r="J252" s="23"/>
      <c r="K252" s="23"/>
      <c r="L252" s="23"/>
      <c r="M252" s="23" t="s">
        <v>9378</v>
      </c>
      <c r="N252" s="23" t="s">
        <v>9379</v>
      </c>
      <c r="O252" s="23"/>
      <c r="P252" s="23"/>
      <c r="Q252" s="23" t="s">
        <v>10027</v>
      </c>
      <c r="R252" s="23" t="s">
        <v>9383</v>
      </c>
    </row>
    <row r="253" spans="2:18" ht="15" customHeight="1" x14ac:dyDescent="0.25">
      <c r="B253" s="33" t="str">
        <f t="shared" si="6"/>
        <v>hq</v>
      </c>
      <c r="C253" s="33" t="str">
        <f t="shared" si="7"/>
        <v>c0hq</v>
      </c>
      <c r="D253" s="23" t="s">
        <v>10028</v>
      </c>
      <c r="E253" s="23" t="s">
        <v>908</v>
      </c>
      <c r="F253" s="23" t="s">
        <v>9374</v>
      </c>
      <c r="G253" s="23" t="s">
        <v>9403</v>
      </c>
      <c r="H253" s="23" t="s">
        <v>121</v>
      </c>
      <c r="I253" s="23" t="s">
        <v>9376</v>
      </c>
      <c r="J253" s="23"/>
      <c r="K253" s="23"/>
      <c r="L253" s="23"/>
      <c r="M253" s="23" t="s">
        <v>9378</v>
      </c>
      <c r="N253" s="23" t="s">
        <v>9379</v>
      </c>
      <c r="O253" s="23"/>
      <c r="P253" s="23"/>
      <c r="Q253" s="23" t="s">
        <v>10029</v>
      </c>
      <c r="R253" s="23" t="s">
        <v>9383</v>
      </c>
    </row>
    <row r="254" spans="2:18" ht="15" customHeight="1" x14ac:dyDescent="0.25">
      <c r="B254" s="33" t="str">
        <f t="shared" si="6"/>
        <v>hr</v>
      </c>
      <c r="C254" s="33" t="str">
        <f t="shared" si="7"/>
        <v>c0hr</v>
      </c>
      <c r="D254" s="23" t="s">
        <v>10030</v>
      </c>
      <c r="E254" s="23" t="s">
        <v>910</v>
      </c>
      <c r="F254" s="23" t="s">
        <v>9374</v>
      </c>
      <c r="G254" s="23" t="s">
        <v>9403</v>
      </c>
      <c r="H254" s="23" t="s">
        <v>121</v>
      </c>
      <c r="I254" s="23" t="s">
        <v>9376</v>
      </c>
      <c r="J254" s="23"/>
      <c r="K254" s="23"/>
      <c r="L254" s="23"/>
      <c r="M254" s="23" t="s">
        <v>9378</v>
      </c>
      <c r="N254" s="23" t="s">
        <v>9379</v>
      </c>
      <c r="O254" s="23"/>
      <c r="P254" s="23"/>
      <c r="Q254" s="23" t="s">
        <v>10031</v>
      </c>
      <c r="R254" s="23" t="s">
        <v>9383</v>
      </c>
    </row>
    <row r="255" spans="2:18" ht="15" customHeight="1" x14ac:dyDescent="0.25">
      <c r="B255" s="33" t="str">
        <f t="shared" si="6"/>
        <v>hs</v>
      </c>
      <c r="C255" s="33" t="str">
        <f t="shared" si="7"/>
        <v>c0hs</v>
      </c>
      <c r="D255" s="23" t="s">
        <v>10032</v>
      </c>
      <c r="E255" s="23" t="s">
        <v>912</v>
      </c>
      <c r="F255" s="23" t="s">
        <v>9374</v>
      </c>
      <c r="G255" s="23" t="s">
        <v>9403</v>
      </c>
      <c r="H255" s="23" t="s">
        <v>121</v>
      </c>
      <c r="I255" s="23" t="s">
        <v>9376</v>
      </c>
      <c r="J255" s="23"/>
      <c r="K255" s="23"/>
      <c r="L255" s="23"/>
      <c r="M255" s="23" t="s">
        <v>9378</v>
      </c>
      <c r="N255" s="23" t="s">
        <v>9379</v>
      </c>
      <c r="O255" s="23"/>
      <c r="P255" s="23"/>
      <c r="Q255" s="23" t="s">
        <v>10033</v>
      </c>
      <c r="R255" s="23" t="s">
        <v>9383</v>
      </c>
    </row>
    <row r="256" spans="2:18" ht="15" customHeight="1" x14ac:dyDescent="0.25">
      <c r="B256" s="33" t="str">
        <f t="shared" si="6"/>
        <v>ht</v>
      </c>
      <c r="C256" s="33" t="str">
        <f t="shared" si="7"/>
        <v>c0ht</v>
      </c>
      <c r="D256" s="23" t="s">
        <v>10034</v>
      </c>
      <c r="E256" s="23" t="s">
        <v>914</v>
      </c>
      <c r="F256" s="23" t="s">
        <v>9374</v>
      </c>
      <c r="G256" s="23" t="s">
        <v>9403</v>
      </c>
      <c r="H256" s="23" t="s">
        <v>121</v>
      </c>
      <c r="I256" s="23" t="s">
        <v>9376</v>
      </c>
      <c r="J256" s="23"/>
      <c r="K256" s="23"/>
      <c r="L256" s="23"/>
      <c r="M256" s="23" t="s">
        <v>9378</v>
      </c>
      <c r="N256" s="23" t="s">
        <v>9379</v>
      </c>
      <c r="O256" s="23"/>
      <c r="P256" s="23"/>
      <c r="Q256" s="23" t="s">
        <v>10035</v>
      </c>
      <c r="R256" s="23" t="s">
        <v>9586</v>
      </c>
    </row>
    <row r="257" spans="2:18" ht="15" customHeight="1" x14ac:dyDescent="0.25">
      <c r="B257" s="33" t="str">
        <f t="shared" si="6"/>
        <v>hu</v>
      </c>
      <c r="C257" s="33" t="str">
        <f t="shared" si="7"/>
        <v>c0hu</v>
      </c>
      <c r="D257" s="23" t="s">
        <v>10036</v>
      </c>
      <c r="E257" s="23" t="s">
        <v>10037</v>
      </c>
      <c r="F257" s="23" t="s">
        <v>9374</v>
      </c>
      <c r="G257" s="23" t="s">
        <v>9403</v>
      </c>
      <c r="H257" s="23" t="s">
        <v>121</v>
      </c>
      <c r="I257" s="23" t="s">
        <v>9376</v>
      </c>
      <c r="J257" s="23"/>
      <c r="K257" s="23"/>
      <c r="L257" s="23"/>
      <c r="M257" s="23" t="s">
        <v>9378</v>
      </c>
      <c r="N257" s="23" t="s">
        <v>9394</v>
      </c>
      <c r="O257" s="23"/>
      <c r="P257" s="23"/>
      <c r="Q257" s="23" t="s">
        <v>10038</v>
      </c>
      <c r="R257" s="23" t="s">
        <v>9383</v>
      </c>
    </row>
    <row r="258" spans="2:18" ht="15" customHeight="1" x14ac:dyDescent="0.25">
      <c r="B258" s="33" t="str">
        <f t="shared" si="6"/>
        <v>hv</v>
      </c>
      <c r="C258" s="33" t="str">
        <f t="shared" si="7"/>
        <v>c0hv</v>
      </c>
      <c r="D258" s="23" t="s">
        <v>10039</v>
      </c>
      <c r="E258" s="23" t="s">
        <v>918</v>
      </c>
      <c r="F258" s="23" t="s">
        <v>9374</v>
      </c>
      <c r="G258" s="23" t="s">
        <v>9375</v>
      </c>
      <c r="H258" s="23" t="s">
        <v>121</v>
      </c>
      <c r="I258" s="23" t="s">
        <v>9376</v>
      </c>
      <c r="J258" s="23" t="s">
        <v>3276</v>
      </c>
      <c r="K258" s="23" t="s">
        <v>3275</v>
      </c>
      <c r="L258" s="23" t="s">
        <v>10040</v>
      </c>
      <c r="M258" s="23" t="s">
        <v>9425</v>
      </c>
      <c r="N258" s="23" t="s">
        <v>9394</v>
      </c>
      <c r="O258" s="23"/>
      <c r="P258" s="23"/>
      <c r="Q258" s="23" t="s">
        <v>10041</v>
      </c>
      <c r="R258" s="23" t="s">
        <v>9383</v>
      </c>
    </row>
    <row r="259" spans="2:18" ht="15" customHeight="1" x14ac:dyDescent="0.25">
      <c r="B259" s="33" t="str">
        <f t="shared" si="6"/>
        <v>hw</v>
      </c>
      <c r="C259" s="33" t="str">
        <f t="shared" si="7"/>
        <v>c0hw</v>
      </c>
      <c r="D259" s="23" t="s">
        <v>10042</v>
      </c>
      <c r="E259" s="23" t="s">
        <v>10043</v>
      </c>
      <c r="F259" s="23" t="s">
        <v>9374</v>
      </c>
      <c r="G259" s="23" t="s">
        <v>9403</v>
      </c>
      <c r="H259" s="23" t="s">
        <v>121</v>
      </c>
      <c r="I259" s="23" t="s">
        <v>9376</v>
      </c>
      <c r="J259" s="23"/>
      <c r="K259" s="23"/>
      <c r="L259" s="23"/>
      <c r="M259" s="23" t="s">
        <v>9378</v>
      </c>
      <c r="N259" s="23" t="s">
        <v>9379</v>
      </c>
      <c r="O259" s="23"/>
      <c r="P259" s="23"/>
      <c r="Q259" s="23" t="s">
        <v>10044</v>
      </c>
      <c r="R259" s="23" t="s">
        <v>9383</v>
      </c>
    </row>
    <row r="260" spans="2:18" ht="15" customHeight="1" x14ac:dyDescent="0.25">
      <c r="B260" s="33" t="str">
        <f t="shared" si="6"/>
        <v>hx</v>
      </c>
      <c r="C260" s="33" t="str">
        <f t="shared" si="7"/>
        <v>c0hx</v>
      </c>
      <c r="D260" s="23" t="s">
        <v>10045</v>
      </c>
      <c r="E260" s="23" t="s">
        <v>10046</v>
      </c>
      <c r="F260" s="23" t="s">
        <v>9374</v>
      </c>
      <c r="G260" s="23" t="s">
        <v>9403</v>
      </c>
      <c r="H260" s="23" t="s">
        <v>121</v>
      </c>
      <c r="I260" s="23" t="s">
        <v>9376</v>
      </c>
      <c r="J260" s="23"/>
      <c r="K260" s="23"/>
      <c r="L260" s="23"/>
      <c r="M260" s="23" t="s">
        <v>9378</v>
      </c>
      <c r="N260" s="23" t="s">
        <v>9379</v>
      </c>
      <c r="O260" s="23"/>
      <c r="P260" s="23"/>
      <c r="Q260" s="23" t="s">
        <v>10047</v>
      </c>
      <c r="R260" s="23" t="s">
        <v>9383</v>
      </c>
    </row>
    <row r="261" spans="2:18" ht="15" customHeight="1" x14ac:dyDescent="0.25">
      <c r="B261" s="33" t="str">
        <f t="shared" si="6"/>
        <v>hy</v>
      </c>
      <c r="C261" s="33" t="str">
        <f t="shared" si="7"/>
        <v>c0hy</v>
      </c>
      <c r="D261" s="23" t="s">
        <v>10048</v>
      </c>
      <c r="E261" s="23" t="s">
        <v>924</v>
      </c>
      <c r="F261" s="23" t="s">
        <v>9374</v>
      </c>
      <c r="G261" s="23" t="s">
        <v>9375</v>
      </c>
      <c r="H261" s="23" t="s">
        <v>121</v>
      </c>
      <c r="I261" s="23" t="s">
        <v>9376</v>
      </c>
      <c r="J261" s="23" t="s">
        <v>3276</v>
      </c>
      <c r="K261" s="23" t="s">
        <v>3275</v>
      </c>
      <c r="L261" s="23" t="s">
        <v>10049</v>
      </c>
      <c r="M261" s="23" t="s">
        <v>9425</v>
      </c>
      <c r="N261" s="23" t="s">
        <v>9394</v>
      </c>
      <c r="O261" s="23"/>
      <c r="P261" s="23"/>
      <c r="Q261" s="23" t="s">
        <v>10050</v>
      </c>
      <c r="R261" s="23" t="s">
        <v>9383</v>
      </c>
    </row>
    <row r="262" spans="2:18" ht="15" customHeight="1" x14ac:dyDescent="0.25">
      <c r="B262" s="33" t="str">
        <f t="shared" ref="B262:B325" si="8">RIGHT($C262,2)</f>
        <v>j0</v>
      </c>
      <c r="C262" s="33" t="str">
        <f t="shared" ref="C262:C325" si="9">"c0"&amp;RIGHT($D262,2)</f>
        <v>c0j0</v>
      </c>
      <c r="D262" s="23" t="s">
        <v>10051</v>
      </c>
      <c r="E262" s="23" t="s">
        <v>10052</v>
      </c>
      <c r="F262" s="23" t="s">
        <v>9374</v>
      </c>
      <c r="G262" s="23" t="s">
        <v>9403</v>
      </c>
      <c r="H262" s="23" t="s">
        <v>121</v>
      </c>
      <c r="I262" s="23" t="s">
        <v>9376</v>
      </c>
      <c r="J262" s="23"/>
      <c r="K262" s="23"/>
      <c r="L262" s="23"/>
      <c r="M262" s="23" t="s">
        <v>9378</v>
      </c>
      <c r="N262" s="23" t="s">
        <v>9379</v>
      </c>
      <c r="O262" s="23"/>
      <c r="P262" s="23"/>
      <c r="Q262" s="23" t="s">
        <v>10053</v>
      </c>
      <c r="R262" s="23" t="s">
        <v>9383</v>
      </c>
    </row>
    <row r="263" spans="2:18" ht="15" customHeight="1" x14ac:dyDescent="0.25">
      <c r="B263" s="33" t="str">
        <f t="shared" si="8"/>
        <v>j1</v>
      </c>
      <c r="C263" s="33" t="str">
        <f t="shared" si="9"/>
        <v>c0j1</v>
      </c>
      <c r="D263" s="23" t="s">
        <v>10054</v>
      </c>
      <c r="E263" s="23" t="s">
        <v>10055</v>
      </c>
      <c r="F263" s="23" t="s">
        <v>9374</v>
      </c>
      <c r="G263" s="23" t="s">
        <v>9403</v>
      </c>
      <c r="H263" s="23" t="s">
        <v>121</v>
      </c>
      <c r="I263" s="23" t="s">
        <v>9376</v>
      </c>
      <c r="J263" s="23"/>
      <c r="K263" s="23"/>
      <c r="L263" s="23"/>
      <c r="M263" s="23" t="s">
        <v>9378</v>
      </c>
      <c r="N263" s="23" t="s">
        <v>9379</v>
      </c>
      <c r="O263" s="23"/>
      <c r="P263" s="23"/>
      <c r="Q263" s="23" t="s">
        <v>10056</v>
      </c>
      <c r="R263" s="23" t="s">
        <v>9383</v>
      </c>
    </row>
    <row r="264" spans="2:18" ht="15" customHeight="1" x14ac:dyDescent="0.25">
      <c r="B264" s="33" t="str">
        <f t="shared" si="8"/>
        <v>j2</v>
      </c>
      <c r="C264" s="33" t="str">
        <f t="shared" si="9"/>
        <v>c0j2</v>
      </c>
      <c r="D264" s="23" t="s">
        <v>10057</v>
      </c>
      <c r="E264" s="23" t="s">
        <v>10058</v>
      </c>
      <c r="F264" s="23" t="s">
        <v>9374</v>
      </c>
      <c r="G264" s="23" t="s">
        <v>9403</v>
      </c>
      <c r="H264" s="23" t="s">
        <v>121</v>
      </c>
      <c r="I264" s="23" t="s">
        <v>9376</v>
      </c>
      <c r="J264" s="23"/>
      <c r="K264" s="23"/>
      <c r="L264" s="23"/>
      <c r="M264" s="23" t="s">
        <v>9378</v>
      </c>
      <c r="N264" s="23" t="s">
        <v>9379</v>
      </c>
      <c r="O264" s="23"/>
      <c r="P264" s="23"/>
      <c r="Q264" s="23" t="s">
        <v>10059</v>
      </c>
      <c r="R264" s="23" t="s">
        <v>9383</v>
      </c>
    </row>
    <row r="265" spans="2:18" ht="15" customHeight="1" x14ac:dyDescent="0.25">
      <c r="B265" s="33" t="str">
        <f t="shared" si="8"/>
        <v>j3</v>
      </c>
      <c r="C265" s="33" t="str">
        <f t="shared" si="9"/>
        <v>c0j3</v>
      </c>
      <c r="D265" s="23" t="s">
        <v>10060</v>
      </c>
      <c r="E265" s="23" t="s">
        <v>10061</v>
      </c>
      <c r="F265" s="23" t="s">
        <v>9374</v>
      </c>
      <c r="G265" s="23" t="s">
        <v>9403</v>
      </c>
      <c r="H265" s="23" t="s">
        <v>121</v>
      </c>
      <c r="I265" s="23" t="s">
        <v>9376</v>
      </c>
      <c r="J265" s="23"/>
      <c r="K265" s="23"/>
      <c r="L265" s="23"/>
      <c r="M265" s="23" t="s">
        <v>9378</v>
      </c>
      <c r="N265" s="23" t="s">
        <v>9379</v>
      </c>
      <c r="O265" s="23"/>
      <c r="P265" s="23"/>
      <c r="Q265" s="23" t="s">
        <v>10062</v>
      </c>
      <c r="R265" s="23" t="s">
        <v>9383</v>
      </c>
    </row>
    <row r="266" spans="2:18" ht="15" customHeight="1" x14ac:dyDescent="0.25">
      <c r="B266" s="33" t="str">
        <f t="shared" si="8"/>
        <v>j4</v>
      </c>
      <c r="C266" s="33" t="str">
        <f t="shared" si="9"/>
        <v>c0j4</v>
      </c>
      <c r="D266" s="23" t="s">
        <v>10063</v>
      </c>
      <c r="E266" s="23" t="s">
        <v>10064</v>
      </c>
      <c r="F266" s="23" t="s">
        <v>9374</v>
      </c>
      <c r="G266" s="23" t="s">
        <v>9403</v>
      </c>
      <c r="H266" s="23" t="s">
        <v>121</v>
      </c>
      <c r="I266" s="23" t="s">
        <v>9376</v>
      </c>
      <c r="J266" s="23"/>
      <c r="K266" s="23"/>
      <c r="L266" s="23"/>
      <c r="M266" s="23" t="s">
        <v>9378</v>
      </c>
      <c r="N266" s="23" t="s">
        <v>9379</v>
      </c>
      <c r="O266" s="23"/>
      <c r="P266" s="23"/>
      <c r="Q266" s="23" t="s">
        <v>10065</v>
      </c>
      <c r="R266" s="23" t="s">
        <v>9383</v>
      </c>
    </row>
    <row r="267" spans="2:18" ht="15" customHeight="1" x14ac:dyDescent="0.25">
      <c r="B267" s="33" t="str">
        <f t="shared" si="8"/>
        <v>j5</v>
      </c>
      <c r="C267" s="33" t="str">
        <f t="shared" si="9"/>
        <v>c0j5</v>
      </c>
      <c r="D267" s="23" t="s">
        <v>10066</v>
      </c>
      <c r="E267" s="23" t="s">
        <v>10067</v>
      </c>
      <c r="F267" s="23" t="s">
        <v>9374</v>
      </c>
      <c r="G267" s="23" t="s">
        <v>9403</v>
      </c>
      <c r="H267" s="23" t="s">
        <v>121</v>
      </c>
      <c r="I267" s="23" t="s">
        <v>9376</v>
      </c>
      <c r="J267" s="23"/>
      <c r="K267" s="23"/>
      <c r="L267" s="23"/>
      <c r="M267" s="23" t="s">
        <v>9378</v>
      </c>
      <c r="N267" s="23" t="s">
        <v>9379</v>
      </c>
      <c r="O267" s="23"/>
      <c r="P267" s="23"/>
      <c r="Q267" s="23" t="s">
        <v>10068</v>
      </c>
      <c r="R267" s="23" t="s">
        <v>9383</v>
      </c>
    </row>
    <row r="268" spans="2:18" ht="15" customHeight="1" x14ac:dyDescent="0.25">
      <c r="B268" s="33" t="str">
        <f t="shared" si="8"/>
        <v>j6</v>
      </c>
      <c r="C268" s="33" t="str">
        <f t="shared" si="9"/>
        <v>c0j6</v>
      </c>
      <c r="D268" s="23" t="s">
        <v>10069</v>
      </c>
      <c r="E268" s="23" t="s">
        <v>10070</v>
      </c>
      <c r="F268" s="23" t="s">
        <v>9374</v>
      </c>
      <c r="G268" s="23" t="s">
        <v>9403</v>
      </c>
      <c r="H268" s="23" t="s">
        <v>121</v>
      </c>
      <c r="I268" s="23" t="s">
        <v>9376</v>
      </c>
      <c r="J268" s="23"/>
      <c r="K268" s="23"/>
      <c r="L268" s="23"/>
      <c r="M268" s="23" t="s">
        <v>9378</v>
      </c>
      <c r="N268" s="23" t="s">
        <v>9379</v>
      </c>
      <c r="O268" s="23"/>
      <c r="P268" s="23"/>
      <c r="Q268" s="23" t="s">
        <v>10071</v>
      </c>
      <c r="R268" s="23" t="s">
        <v>9383</v>
      </c>
    </row>
    <row r="269" spans="2:18" ht="15" customHeight="1" x14ac:dyDescent="0.25">
      <c r="B269" s="33" t="str">
        <f t="shared" si="8"/>
        <v>j7</v>
      </c>
      <c r="C269" s="33" t="str">
        <f t="shared" si="9"/>
        <v>c0j7</v>
      </c>
      <c r="D269" s="23" t="s">
        <v>10072</v>
      </c>
      <c r="E269" s="23" t="s">
        <v>10073</v>
      </c>
      <c r="F269" s="23" t="s">
        <v>9374</v>
      </c>
      <c r="G269" s="23" t="s">
        <v>9403</v>
      </c>
      <c r="H269" s="23" t="s">
        <v>121</v>
      </c>
      <c r="I269" s="23" t="s">
        <v>9376</v>
      </c>
      <c r="J269" s="23"/>
      <c r="K269" s="23"/>
      <c r="L269" s="23"/>
      <c r="M269" s="23" t="s">
        <v>9378</v>
      </c>
      <c r="N269" s="23" t="s">
        <v>9379</v>
      </c>
      <c r="O269" s="23"/>
      <c r="P269" s="23"/>
      <c r="Q269" s="23" t="s">
        <v>10074</v>
      </c>
      <c r="R269" s="23" t="s">
        <v>9383</v>
      </c>
    </row>
    <row r="270" spans="2:18" ht="15" customHeight="1" x14ac:dyDescent="0.25">
      <c r="B270" s="33" t="str">
        <f t="shared" si="8"/>
        <v>j8</v>
      </c>
      <c r="C270" s="33" t="str">
        <f t="shared" si="9"/>
        <v>c0j8</v>
      </c>
      <c r="D270" s="23" t="s">
        <v>10075</v>
      </c>
      <c r="E270" s="23" t="s">
        <v>10076</v>
      </c>
      <c r="F270" s="23" t="s">
        <v>9374</v>
      </c>
      <c r="G270" s="23" t="s">
        <v>9403</v>
      </c>
      <c r="H270" s="23" t="s">
        <v>121</v>
      </c>
      <c r="I270" s="23" t="s">
        <v>9376</v>
      </c>
      <c r="J270" s="23"/>
      <c r="K270" s="23"/>
      <c r="L270" s="23"/>
      <c r="M270" s="23" t="s">
        <v>9378</v>
      </c>
      <c r="N270" s="23" t="s">
        <v>9379</v>
      </c>
      <c r="O270" s="23"/>
      <c r="P270" s="23"/>
      <c r="Q270" s="23" t="s">
        <v>10077</v>
      </c>
      <c r="R270" s="23" t="s">
        <v>9383</v>
      </c>
    </row>
    <row r="271" spans="2:18" ht="15" customHeight="1" x14ac:dyDescent="0.25">
      <c r="B271" s="33" t="str">
        <f t="shared" si="8"/>
        <v>ja</v>
      </c>
      <c r="C271" s="33" t="str">
        <f t="shared" si="9"/>
        <v>c0ja</v>
      </c>
      <c r="D271" s="23" t="s">
        <v>10078</v>
      </c>
      <c r="E271" s="23" t="s">
        <v>944</v>
      </c>
      <c r="F271" s="23" t="s">
        <v>9374</v>
      </c>
      <c r="G271" s="23" t="s">
        <v>9375</v>
      </c>
      <c r="H271" s="23" t="s">
        <v>121</v>
      </c>
      <c r="I271" s="23" t="s">
        <v>9376</v>
      </c>
      <c r="J271" s="23" t="s">
        <v>3276</v>
      </c>
      <c r="K271" s="23" t="s">
        <v>3275</v>
      </c>
      <c r="L271" s="23" t="s">
        <v>9448</v>
      </c>
      <c r="M271" s="23" t="s">
        <v>9425</v>
      </c>
      <c r="N271" s="23" t="s">
        <v>9394</v>
      </c>
      <c r="O271" s="23" t="s">
        <v>9449</v>
      </c>
      <c r="P271" s="23" t="s">
        <v>9450</v>
      </c>
      <c r="Q271" s="23" t="s">
        <v>10079</v>
      </c>
      <c r="R271" s="23" t="s">
        <v>9383</v>
      </c>
    </row>
    <row r="272" spans="2:18" ht="15" customHeight="1" x14ac:dyDescent="0.25">
      <c r="B272" s="33" t="str">
        <f t="shared" si="8"/>
        <v>jb</v>
      </c>
      <c r="C272" s="33" t="str">
        <f t="shared" si="9"/>
        <v>c0jb</v>
      </c>
      <c r="D272" s="23" t="s">
        <v>10080</v>
      </c>
      <c r="E272" s="23" t="s">
        <v>946</v>
      </c>
      <c r="F272" s="23" t="s">
        <v>9374</v>
      </c>
      <c r="G272" s="23" t="s">
        <v>9375</v>
      </c>
      <c r="H272" s="23" t="s">
        <v>121</v>
      </c>
      <c r="I272" s="23" t="s">
        <v>9376</v>
      </c>
      <c r="J272" s="23" t="s">
        <v>3276</v>
      </c>
      <c r="K272" s="23" t="s">
        <v>3275</v>
      </c>
      <c r="L272" s="23" t="s">
        <v>10081</v>
      </c>
      <c r="M272" s="23" t="s">
        <v>9378</v>
      </c>
      <c r="N272" s="23" t="s">
        <v>9379</v>
      </c>
      <c r="O272" s="23" t="s">
        <v>10082</v>
      </c>
      <c r="P272" s="23" t="s">
        <v>10083</v>
      </c>
      <c r="Q272" s="23" t="s">
        <v>10084</v>
      </c>
      <c r="R272" s="23" t="s">
        <v>9383</v>
      </c>
    </row>
    <row r="273" spans="2:18" ht="15" customHeight="1" x14ac:dyDescent="0.25">
      <c r="B273" s="33" t="str">
        <f t="shared" si="8"/>
        <v>jc</v>
      </c>
      <c r="C273" s="33" t="str">
        <f t="shared" si="9"/>
        <v>c0jc</v>
      </c>
      <c r="D273" s="23" t="s">
        <v>10085</v>
      </c>
      <c r="E273" s="23" t="s">
        <v>10086</v>
      </c>
      <c r="F273" s="23" t="s">
        <v>9374</v>
      </c>
      <c r="G273" s="23" t="s">
        <v>9403</v>
      </c>
      <c r="H273" s="23" t="s">
        <v>121</v>
      </c>
      <c r="I273" s="23" t="s">
        <v>9376</v>
      </c>
      <c r="J273" s="23"/>
      <c r="K273" s="23"/>
      <c r="L273" s="23"/>
      <c r="M273" s="23" t="s">
        <v>9378</v>
      </c>
      <c r="N273" s="23" t="s">
        <v>9379</v>
      </c>
      <c r="O273" s="23"/>
      <c r="P273" s="23"/>
      <c r="Q273" s="23" t="s">
        <v>10087</v>
      </c>
      <c r="R273" s="23" t="s">
        <v>9383</v>
      </c>
    </row>
    <row r="274" spans="2:18" ht="15" customHeight="1" x14ac:dyDescent="0.25">
      <c r="B274" s="33" t="str">
        <f t="shared" si="8"/>
        <v>jd</v>
      </c>
      <c r="C274" s="33" t="str">
        <f t="shared" si="9"/>
        <v>c0jd</v>
      </c>
      <c r="D274" s="23" t="s">
        <v>10088</v>
      </c>
      <c r="E274" s="23" t="s">
        <v>950</v>
      </c>
      <c r="F274" s="23" t="s">
        <v>9374</v>
      </c>
      <c r="G274" s="23" t="s">
        <v>9375</v>
      </c>
      <c r="H274" s="23" t="s">
        <v>121</v>
      </c>
      <c r="I274" s="23" t="s">
        <v>9376</v>
      </c>
      <c r="J274" s="23" t="s">
        <v>3276</v>
      </c>
      <c r="K274" s="23" t="s">
        <v>3275</v>
      </c>
      <c r="L274" s="23" t="s">
        <v>10081</v>
      </c>
      <c r="M274" s="23" t="s">
        <v>9378</v>
      </c>
      <c r="N274" s="23" t="s">
        <v>9379</v>
      </c>
      <c r="O274" s="23" t="s">
        <v>10082</v>
      </c>
      <c r="P274" s="23" t="s">
        <v>10083</v>
      </c>
      <c r="Q274" s="23" t="s">
        <v>10089</v>
      </c>
      <c r="R274" s="23" t="s">
        <v>9383</v>
      </c>
    </row>
    <row r="275" spans="2:18" ht="15" customHeight="1" x14ac:dyDescent="0.25">
      <c r="B275" s="33" t="str">
        <f t="shared" si="8"/>
        <v>je</v>
      </c>
      <c r="C275" s="33" t="str">
        <f t="shared" si="9"/>
        <v>c0je</v>
      </c>
      <c r="D275" s="23" t="s">
        <v>10090</v>
      </c>
      <c r="E275" s="23" t="s">
        <v>10091</v>
      </c>
      <c r="F275" s="23" t="s">
        <v>9374</v>
      </c>
      <c r="G275" s="23" t="s">
        <v>9403</v>
      </c>
      <c r="H275" s="23" t="s">
        <v>121</v>
      </c>
      <c r="I275" s="23" t="s">
        <v>9376</v>
      </c>
      <c r="J275" s="23"/>
      <c r="K275" s="23"/>
      <c r="L275" s="23"/>
      <c r="M275" s="23" t="s">
        <v>9378</v>
      </c>
      <c r="N275" s="23" t="s">
        <v>9379</v>
      </c>
      <c r="O275" s="23"/>
      <c r="P275" s="23"/>
      <c r="Q275" s="23" t="s">
        <v>10092</v>
      </c>
      <c r="R275" s="23" t="s">
        <v>9383</v>
      </c>
    </row>
    <row r="276" spans="2:18" ht="15" customHeight="1" x14ac:dyDescent="0.25">
      <c r="B276" s="33" t="str">
        <f t="shared" si="8"/>
        <v>jf</v>
      </c>
      <c r="C276" s="33" t="str">
        <f t="shared" si="9"/>
        <v>c0jf</v>
      </c>
      <c r="D276" s="23" t="s">
        <v>10093</v>
      </c>
      <c r="E276" s="23" t="s">
        <v>10094</v>
      </c>
      <c r="F276" s="23" t="s">
        <v>9374</v>
      </c>
      <c r="G276" s="23" t="s">
        <v>9403</v>
      </c>
      <c r="H276" s="23" t="s">
        <v>121</v>
      </c>
      <c r="I276" s="23" t="s">
        <v>9376</v>
      </c>
      <c r="J276" s="23"/>
      <c r="K276" s="23"/>
      <c r="L276" s="23"/>
      <c r="M276" s="23" t="s">
        <v>9378</v>
      </c>
      <c r="N276" s="23" t="s">
        <v>9379</v>
      </c>
      <c r="O276" s="23"/>
      <c r="P276" s="23"/>
      <c r="Q276" s="23" t="s">
        <v>10095</v>
      </c>
      <c r="R276" s="23" t="s">
        <v>9383</v>
      </c>
    </row>
    <row r="277" spans="2:18" ht="15" customHeight="1" x14ac:dyDescent="0.25">
      <c r="B277" s="33" t="str">
        <f t="shared" si="8"/>
        <v>jg</v>
      </c>
      <c r="C277" s="33" t="str">
        <f t="shared" si="9"/>
        <v>c0jg</v>
      </c>
      <c r="D277" s="23" t="s">
        <v>10096</v>
      </c>
      <c r="E277" s="23" t="s">
        <v>956</v>
      </c>
      <c r="F277" s="23" t="s">
        <v>9374</v>
      </c>
      <c r="G277" s="23" t="s">
        <v>9375</v>
      </c>
      <c r="H277" s="23" t="s">
        <v>121</v>
      </c>
      <c r="I277" s="23" t="s">
        <v>9376</v>
      </c>
      <c r="J277" s="23" t="s">
        <v>3276</v>
      </c>
      <c r="K277" s="23" t="s">
        <v>3275</v>
      </c>
      <c r="L277" s="23" t="s">
        <v>9428</v>
      </c>
      <c r="M277" s="23" t="s">
        <v>9425</v>
      </c>
      <c r="N277" s="23" t="s">
        <v>9394</v>
      </c>
      <c r="O277" s="23" t="s">
        <v>9429</v>
      </c>
      <c r="P277" s="23" t="s">
        <v>9430</v>
      </c>
      <c r="Q277" s="23" t="s">
        <v>10097</v>
      </c>
      <c r="R277" s="23" t="s">
        <v>9383</v>
      </c>
    </row>
    <row r="278" spans="2:18" ht="15" customHeight="1" x14ac:dyDescent="0.25">
      <c r="B278" s="33" t="str">
        <f t="shared" si="8"/>
        <v>jh</v>
      </c>
      <c r="C278" s="33" t="str">
        <f t="shared" si="9"/>
        <v>c0jh</v>
      </c>
      <c r="D278" s="23" t="s">
        <v>10098</v>
      </c>
      <c r="E278" s="23" t="s">
        <v>10099</v>
      </c>
      <c r="F278" s="23" t="s">
        <v>9374</v>
      </c>
      <c r="G278" s="23" t="s">
        <v>9403</v>
      </c>
      <c r="H278" s="23" t="s">
        <v>121</v>
      </c>
      <c r="I278" s="23" t="s">
        <v>9376</v>
      </c>
      <c r="J278" s="23"/>
      <c r="K278" s="23"/>
      <c r="L278" s="23"/>
      <c r="M278" s="23" t="s">
        <v>9378</v>
      </c>
      <c r="N278" s="23" t="s">
        <v>9379</v>
      </c>
      <c r="O278" s="23"/>
      <c r="P278" s="23"/>
      <c r="Q278" s="23" t="s">
        <v>10100</v>
      </c>
      <c r="R278" s="23" t="s">
        <v>9383</v>
      </c>
    </row>
    <row r="279" spans="2:18" ht="15" customHeight="1" x14ac:dyDescent="0.25">
      <c r="B279" s="33" t="str">
        <f t="shared" si="8"/>
        <v>jj</v>
      </c>
      <c r="C279" s="33" t="str">
        <f t="shared" si="9"/>
        <v>c0jj</v>
      </c>
      <c r="D279" s="23" t="s">
        <v>10101</v>
      </c>
      <c r="E279" s="23" t="s">
        <v>960</v>
      </c>
      <c r="F279" s="23" t="s">
        <v>9374</v>
      </c>
      <c r="G279" s="23" t="s">
        <v>9375</v>
      </c>
      <c r="H279" s="23" t="s">
        <v>121</v>
      </c>
      <c r="I279" s="23" t="s">
        <v>9376</v>
      </c>
      <c r="J279" s="23" t="s">
        <v>3276</v>
      </c>
      <c r="K279" s="23" t="s">
        <v>3275</v>
      </c>
      <c r="L279" s="23" t="s">
        <v>9428</v>
      </c>
      <c r="M279" s="23" t="s">
        <v>9425</v>
      </c>
      <c r="N279" s="23" t="s">
        <v>9394</v>
      </c>
      <c r="O279" s="23" t="s">
        <v>9429</v>
      </c>
      <c r="P279" s="23" t="s">
        <v>9430</v>
      </c>
      <c r="Q279" s="23" t="s">
        <v>10102</v>
      </c>
      <c r="R279" s="23" t="s">
        <v>9383</v>
      </c>
    </row>
    <row r="280" spans="2:18" ht="15" customHeight="1" x14ac:dyDescent="0.25">
      <c r="B280" s="33" t="str">
        <f t="shared" si="8"/>
        <v>jk</v>
      </c>
      <c r="C280" s="33" t="str">
        <f t="shared" si="9"/>
        <v>c0jk</v>
      </c>
      <c r="D280" s="23" t="s">
        <v>10103</v>
      </c>
      <c r="E280" s="23" t="s">
        <v>10104</v>
      </c>
      <c r="F280" s="23" t="s">
        <v>9374</v>
      </c>
      <c r="G280" s="23" t="s">
        <v>9403</v>
      </c>
      <c r="H280" s="23" t="s">
        <v>121</v>
      </c>
      <c r="I280" s="23" t="s">
        <v>9376</v>
      </c>
      <c r="J280" s="23"/>
      <c r="K280" s="23"/>
      <c r="L280" s="23"/>
      <c r="M280" s="23" t="s">
        <v>9378</v>
      </c>
      <c r="N280" s="23" t="s">
        <v>9379</v>
      </c>
      <c r="O280" s="23"/>
      <c r="P280" s="23"/>
      <c r="Q280" s="23" t="s">
        <v>10105</v>
      </c>
      <c r="R280" s="23" t="s">
        <v>9383</v>
      </c>
    </row>
    <row r="281" spans="2:18" ht="15" customHeight="1" x14ac:dyDescent="0.25">
      <c r="B281" s="33" t="str">
        <f t="shared" si="8"/>
        <v>jl</v>
      </c>
      <c r="C281" s="33" t="str">
        <f t="shared" si="9"/>
        <v>c0jl</v>
      </c>
      <c r="D281" s="23" t="s">
        <v>10106</v>
      </c>
      <c r="E281" s="23" t="s">
        <v>10107</v>
      </c>
      <c r="F281" s="23" t="s">
        <v>9374</v>
      </c>
      <c r="G281" s="23" t="s">
        <v>9403</v>
      </c>
      <c r="H281" s="23" t="s">
        <v>121</v>
      </c>
      <c r="I281" s="23" t="s">
        <v>9376</v>
      </c>
      <c r="J281" s="23"/>
      <c r="K281" s="23"/>
      <c r="L281" s="23"/>
      <c r="M281" s="23" t="s">
        <v>9378</v>
      </c>
      <c r="N281" s="23" t="s">
        <v>9379</v>
      </c>
      <c r="O281" s="23"/>
      <c r="P281" s="23"/>
      <c r="Q281" s="23" t="s">
        <v>10108</v>
      </c>
      <c r="R281" s="23" t="s">
        <v>9383</v>
      </c>
    </row>
    <row r="282" spans="2:18" ht="15" customHeight="1" x14ac:dyDescent="0.25">
      <c r="B282" s="33" t="str">
        <f t="shared" si="8"/>
        <v>jm</v>
      </c>
      <c r="C282" s="33" t="str">
        <f t="shared" si="9"/>
        <v>c0jm</v>
      </c>
      <c r="D282" s="23" t="s">
        <v>10109</v>
      </c>
      <c r="E282" s="23" t="s">
        <v>966</v>
      </c>
      <c r="F282" s="23" t="s">
        <v>9374</v>
      </c>
      <c r="G282" s="23" t="s">
        <v>9375</v>
      </c>
      <c r="H282" s="23" t="s">
        <v>121</v>
      </c>
      <c r="I282" s="23" t="s">
        <v>9376</v>
      </c>
      <c r="J282" s="23" t="s">
        <v>3276</v>
      </c>
      <c r="K282" s="23" t="s">
        <v>3275</v>
      </c>
      <c r="L282" s="23" t="s">
        <v>9433</v>
      </c>
      <c r="M282" s="23" t="s">
        <v>9425</v>
      </c>
      <c r="N282" s="23" t="s">
        <v>9394</v>
      </c>
      <c r="O282" s="23" t="s">
        <v>9434</v>
      </c>
      <c r="P282" s="23" t="s">
        <v>9435</v>
      </c>
      <c r="Q282" s="23" t="s">
        <v>10110</v>
      </c>
      <c r="R282" s="23" t="s">
        <v>9383</v>
      </c>
    </row>
    <row r="283" spans="2:18" ht="15" customHeight="1" x14ac:dyDescent="0.25">
      <c r="B283" s="33" t="str">
        <f t="shared" si="8"/>
        <v>jn</v>
      </c>
      <c r="C283" s="33" t="str">
        <f t="shared" si="9"/>
        <v>c0jn</v>
      </c>
      <c r="D283" s="23" t="s">
        <v>10111</v>
      </c>
      <c r="E283" s="23" t="s">
        <v>10112</v>
      </c>
      <c r="F283" s="23" t="s">
        <v>9374</v>
      </c>
      <c r="G283" s="23" t="s">
        <v>9403</v>
      </c>
      <c r="H283" s="23" t="s">
        <v>121</v>
      </c>
      <c r="I283" s="23" t="s">
        <v>9376</v>
      </c>
      <c r="J283" s="23"/>
      <c r="K283" s="23"/>
      <c r="L283" s="23"/>
      <c r="M283" s="23" t="s">
        <v>9378</v>
      </c>
      <c r="N283" s="23" t="s">
        <v>9379</v>
      </c>
      <c r="O283" s="23"/>
      <c r="P283" s="23"/>
      <c r="Q283" s="23" t="s">
        <v>10113</v>
      </c>
      <c r="R283" s="23" t="s">
        <v>9383</v>
      </c>
    </row>
    <row r="284" spans="2:18" ht="15" customHeight="1" x14ac:dyDescent="0.25">
      <c r="B284" s="33" t="str">
        <f t="shared" si="8"/>
        <v>jp</v>
      </c>
      <c r="C284" s="33" t="str">
        <f t="shared" si="9"/>
        <v>c0jp</v>
      </c>
      <c r="D284" s="23" t="s">
        <v>10114</v>
      </c>
      <c r="E284" s="23" t="s">
        <v>970</v>
      </c>
      <c r="F284" s="23" t="s">
        <v>9374</v>
      </c>
      <c r="G284" s="23" t="s">
        <v>9375</v>
      </c>
      <c r="H284" s="23" t="s">
        <v>121</v>
      </c>
      <c r="I284" s="23" t="s">
        <v>9376</v>
      </c>
      <c r="J284" s="23" t="s">
        <v>3276</v>
      </c>
      <c r="K284" s="23" t="s">
        <v>3275</v>
      </c>
      <c r="L284" s="23" t="s">
        <v>9433</v>
      </c>
      <c r="M284" s="23" t="s">
        <v>9425</v>
      </c>
      <c r="N284" s="23" t="s">
        <v>9394</v>
      </c>
      <c r="O284" s="23" t="s">
        <v>9434</v>
      </c>
      <c r="P284" s="23" t="s">
        <v>9435</v>
      </c>
      <c r="Q284" s="23" t="s">
        <v>10115</v>
      </c>
      <c r="R284" s="23" t="s">
        <v>9383</v>
      </c>
    </row>
    <row r="285" spans="2:18" ht="15" customHeight="1" x14ac:dyDescent="0.25">
      <c r="B285" s="33" t="str">
        <f t="shared" si="8"/>
        <v>jq</v>
      </c>
      <c r="C285" s="33" t="str">
        <f t="shared" si="9"/>
        <v>c0jq</v>
      </c>
      <c r="D285" s="23" t="s">
        <v>10116</v>
      </c>
      <c r="E285" s="23" t="s">
        <v>10117</v>
      </c>
      <c r="F285" s="23" t="s">
        <v>9374</v>
      </c>
      <c r="G285" s="23" t="s">
        <v>9403</v>
      </c>
      <c r="H285" s="23" t="s">
        <v>121</v>
      </c>
      <c r="I285" s="23" t="s">
        <v>9376</v>
      </c>
      <c r="J285" s="23"/>
      <c r="K285" s="23"/>
      <c r="L285" s="23"/>
      <c r="M285" s="23" t="s">
        <v>9378</v>
      </c>
      <c r="N285" s="23" t="s">
        <v>9379</v>
      </c>
      <c r="O285" s="23"/>
      <c r="P285" s="23"/>
      <c r="Q285" s="23" t="s">
        <v>10118</v>
      </c>
      <c r="R285" s="23" t="s">
        <v>9383</v>
      </c>
    </row>
    <row r="286" spans="2:18" ht="15" customHeight="1" x14ac:dyDescent="0.25">
      <c r="B286" s="33" t="str">
        <f t="shared" si="8"/>
        <v>jr</v>
      </c>
      <c r="C286" s="33" t="str">
        <f t="shared" si="9"/>
        <v>c0jr</v>
      </c>
      <c r="D286" s="23" t="s">
        <v>10119</v>
      </c>
      <c r="E286" s="23" t="s">
        <v>10120</v>
      </c>
      <c r="F286" s="23" t="s">
        <v>9374</v>
      </c>
      <c r="G286" s="23" t="s">
        <v>9403</v>
      </c>
      <c r="H286" s="23" t="s">
        <v>121</v>
      </c>
      <c r="I286" s="23" t="s">
        <v>9376</v>
      </c>
      <c r="J286" s="23"/>
      <c r="K286" s="23"/>
      <c r="L286" s="23"/>
      <c r="M286" s="23" t="s">
        <v>9378</v>
      </c>
      <c r="N286" s="23" t="s">
        <v>9379</v>
      </c>
      <c r="O286" s="23"/>
      <c r="P286" s="23"/>
      <c r="Q286" s="23" t="s">
        <v>10121</v>
      </c>
      <c r="R286" s="23" t="s">
        <v>9383</v>
      </c>
    </row>
    <row r="287" spans="2:18" ht="15" customHeight="1" x14ac:dyDescent="0.25">
      <c r="B287" s="33" t="str">
        <f t="shared" si="8"/>
        <v>js</v>
      </c>
      <c r="C287" s="33" t="str">
        <f t="shared" si="9"/>
        <v>c0js</v>
      </c>
      <c r="D287" s="23" t="s">
        <v>10122</v>
      </c>
      <c r="E287" s="23" t="s">
        <v>976</v>
      </c>
      <c r="F287" s="23" t="s">
        <v>9374</v>
      </c>
      <c r="G287" s="23" t="s">
        <v>9375</v>
      </c>
      <c r="H287" s="23" t="s">
        <v>121</v>
      </c>
      <c r="I287" s="23" t="s">
        <v>9376</v>
      </c>
      <c r="J287" s="23" t="s">
        <v>3276</v>
      </c>
      <c r="K287" s="23" t="s">
        <v>3275</v>
      </c>
      <c r="L287" s="23" t="s">
        <v>9438</v>
      </c>
      <c r="M287" s="23" t="s">
        <v>9378</v>
      </c>
      <c r="N287" s="23" t="s">
        <v>9379</v>
      </c>
      <c r="O287" s="23" t="s">
        <v>9439</v>
      </c>
      <c r="P287" s="23" t="s">
        <v>9440</v>
      </c>
      <c r="Q287" s="23" t="s">
        <v>10123</v>
      </c>
      <c r="R287" s="23" t="s">
        <v>9383</v>
      </c>
    </row>
    <row r="288" spans="2:18" ht="15" customHeight="1" x14ac:dyDescent="0.25">
      <c r="B288" s="33" t="str">
        <f t="shared" si="8"/>
        <v>jt</v>
      </c>
      <c r="C288" s="33" t="str">
        <f t="shared" si="9"/>
        <v>c0jt</v>
      </c>
      <c r="D288" s="23" t="s">
        <v>10124</v>
      </c>
      <c r="E288" s="23" t="s">
        <v>10125</v>
      </c>
      <c r="F288" s="23" t="s">
        <v>9374</v>
      </c>
      <c r="G288" s="23" t="s">
        <v>9403</v>
      </c>
      <c r="H288" s="23" t="s">
        <v>121</v>
      </c>
      <c r="I288" s="23" t="s">
        <v>9376</v>
      </c>
      <c r="J288" s="23"/>
      <c r="K288" s="23"/>
      <c r="L288" s="23"/>
      <c r="M288" s="23" t="s">
        <v>9378</v>
      </c>
      <c r="N288" s="23" t="s">
        <v>9379</v>
      </c>
      <c r="O288" s="23"/>
      <c r="P288" s="23"/>
      <c r="Q288" s="23" t="s">
        <v>10126</v>
      </c>
      <c r="R288" s="23" t="s">
        <v>9383</v>
      </c>
    </row>
    <row r="289" spans="2:18" ht="15" customHeight="1" x14ac:dyDescent="0.25">
      <c r="B289" s="33" t="str">
        <f t="shared" si="8"/>
        <v>ju</v>
      </c>
      <c r="C289" s="33" t="str">
        <f t="shared" si="9"/>
        <v>c0ju</v>
      </c>
      <c r="D289" s="23" t="s">
        <v>10127</v>
      </c>
      <c r="E289" s="23" t="s">
        <v>980</v>
      </c>
      <c r="F289" s="23" t="s">
        <v>9374</v>
      </c>
      <c r="G289" s="23" t="s">
        <v>9375</v>
      </c>
      <c r="H289" s="23" t="s">
        <v>121</v>
      </c>
      <c r="I289" s="23" t="s">
        <v>9376</v>
      </c>
      <c r="J289" s="23" t="s">
        <v>3276</v>
      </c>
      <c r="K289" s="23" t="s">
        <v>3275</v>
      </c>
      <c r="L289" s="23" t="s">
        <v>9438</v>
      </c>
      <c r="M289" s="23" t="s">
        <v>9378</v>
      </c>
      <c r="N289" s="23" t="s">
        <v>9379</v>
      </c>
      <c r="O289" s="23" t="s">
        <v>9439</v>
      </c>
      <c r="P289" s="23" t="s">
        <v>9440</v>
      </c>
      <c r="Q289" s="23" t="s">
        <v>10128</v>
      </c>
      <c r="R289" s="23" t="s">
        <v>9383</v>
      </c>
    </row>
    <row r="290" spans="2:18" ht="15" customHeight="1" x14ac:dyDescent="0.25">
      <c r="B290" s="33" t="str">
        <f t="shared" si="8"/>
        <v>jv</v>
      </c>
      <c r="C290" s="33" t="str">
        <f t="shared" si="9"/>
        <v>c0jv</v>
      </c>
      <c r="D290" s="23" t="s">
        <v>10129</v>
      </c>
      <c r="E290" s="23" t="s">
        <v>10130</v>
      </c>
      <c r="F290" s="23" t="s">
        <v>9374</v>
      </c>
      <c r="G290" s="23" t="s">
        <v>9403</v>
      </c>
      <c r="H290" s="23" t="s">
        <v>121</v>
      </c>
      <c r="I290" s="23" t="s">
        <v>9376</v>
      </c>
      <c r="J290" s="23"/>
      <c r="K290" s="23"/>
      <c r="L290" s="23"/>
      <c r="M290" s="23" t="s">
        <v>9378</v>
      </c>
      <c r="N290" s="23" t="s">
        <v>9379</v>
      </c>
      <c r="O290" s="23"/>
      <c r="P290" s="23"/>
      <c r="Q290" s="23" t="s">
        <v>10131</v>
      </c>
      <c r="R290" s="23" t="s">
        <v>9383</v>
      </c>
    </row>
    <row r="291" spans="2:18" ht="15" customHeight="1" x14ac:dyDescent="0.25">
      <c r="B291" s="33" t="str">
        <f t="shared" si="8"/>
        <v>jw</v>
      </c>
      <c r="C291" s="33" t="str">
        <f t="shared" si="9"/>
        <v>c0jw</v>
      </c>
      <c r="D291" s="23" t="s">
        <v>10132</v>
      </c>
      <c r="E291" s="23" t="s">
        <v>10133</v>
      </c>
      <c r="F291" s="23" t="s">
        <v>9374</v>
      </c>
      <c r="G291" s="23" t="s">
        <v>9403</v>
      </c>
      <c r="H291" s="23" t="s">
        <v>121</v>
      </c>
      <c r="I291" s="23" t="s">
        <v>9376</v>
      </c>
      <c r="J291" s="23"/>
      <c r="K291" s="23"/>
      <c r="L291" s="23"/>
      <c r="M291" s="23" t="s">
        <v>9378</v>
      </c>
      <c r="N291" s="23" t="s">
        <v>9379</v>
      </c>
      <c r="O291" s="23"/>
      <c r="P291" s="23"/>
      <c r="Q291" s="23" t="s">
        <v>10134</v>
      </c>
      <c r="R291" s="23" t="s">
        <v>9383</v>
      </c>
    </row>
    <row r="292" spans="2:18" ht="15" customHeight="1" x14ac:dyDescent="0.25">
      <c r="B292" s="33" t="str">
        <f t="shared" si="8"/>
        <v>jx</v>
      </c>
      <c r="C292" s="33" t="str">
        <f t="shared" si="9"/>
        <v>c0jx</v>
      </c>
      <c r="D292" s="23" t="s">
        <v>10135</v>
      </c>
      <c r="E292" s="23" t="s">
        <v>986</v>
      </c>
      <c r="F292" s="23" t="s">
        <v>9374</v>
      </c>
      <c r="G292" s="23" t="s">
        <v>9375</v>
      </c>
      <c r="H292" s="23" t="s">
        <v>121</v>
      </c>
      <c r="I292" s="23" t="s">
        <v>9376</v>
      </c>
      <c r="J292" s="23" t="s">
        <v>3276</v>
      </c>
      <c r="K292" s="23" t="s">
        <v>3275</v>
      </c>
      <c r="L292" s="23" t="s">
        <v>9443</v>
      </c>
      <c r="M292" s="23" t="s">
        <v>9425</v>
      </c>
      <c r="N292" s="23" t="s">
        <v>9394</v>
      </c>
      <c r="O292" s="23" t="s">
        <v>9444</v>
      </c>
      <c r="P292" s="23" t="s">
        <v>9445</v>
      </c>
      <c r="Q292" s="23" t="s">
        <v>10136</v>
      </c>
      <c r="R292" s="23" t="s">
        <v>9383</v>
      </c>
    </row>
    <row r="293" spans="2:18" ht="15" customHeight="1" x14ac:dyDescent="0.25">
      <c r="B293" s="33" t="str">
        <f t="shared" si="8"/>
        <v>jy</v>
      </c>
      <c r="C293" s="33" t="str">
        <f t="shared" si="9"/>
        <v>c0jy</v>
      </c>
      <c r="D293" s="23" t="s">
        <v>10137</v>
      </c>
      <c r="E293" s="23" t="s">
        <v>10138</v>
      </c>
      <c r="F293" s="23" t="s">
        <v>9374</v>
      </c>
      <c r="G293" s="23" t="s">
        <v>9403</v>
      </c>
      <c r="H293" s="23" t="s">
        <v>121</v>
      </c>
      <c r="I293" s="23" t="s">
        <v>9376</v>
      </c>
      <c r="J293" s="23"/>
      <c r="K293" s="23"/>
      <c r="L293" s="23"/>
      <c r="M293" s="23" t="s">
        <v>9378</v>
      </c>
      <c r="N293" s="23" t="s">
        <v>9379</v>
      </c>
      <c r="O293" s="23"/>
      <c r="P293" s="23"/>
      <c r="Q293" s="23" t="s">
        <v>10139</v>
      </c>
      <c r="R293" s="23" t="s">
        <v>9383</v>
      </c>
    </row>
    <row r="294" spans="2:18" ht="15" customHeight="1" x14ac:dyDescent="0.25">
      <c r="B294" s="33" t="str">
        <f t="shared" si="8"/>
        <v>jz</v>
      </c>
      <c r="C294" s="33" t="str">
        <f t="shared" si="9"/>
        <v>c0jz</v>
      </c>
      <c r="D294" s="23" t="s">
        <v>10140</v>
      </c>
      <c r="E294" s="23" t="s">
        <v>990</v>
      </c>
      <c r="F294" s="23" t="s">
        <v>9374</v>
      </c>
      <c r="G294" s="23" t="s">
        <v>9375</v>
      </c>
      <c r="H294" s="23" t="s">
        <v>121</v>
      </c>
      <c r="I294" s="23" t="s">
        <v>9376</v>
      </c>
      <c r="J294" s="23" t="s">
        <v>3276</v>
      </c>
      <c r="K294" s="23" t="s">
        <v>3275</v>
      </c>
      <c r="L294" s="23" t="s">
        <v>9443</v>
      </c>
      <c r="M294" s="23" t="s">
        <v>9425</v>
      </c>
      <c r="N294" s="23" t="s">
        <v>9394</v>
      </c>
      <c r="O294" s="23" t="s">
        <v>9444</v>
      </c>
      <c r="P294" s="23" t="s">
        <v>9445</v>
      </c>
      <c r="Q294" s="23" t="s">
        <v>10141</v>
      </c>
      <c r="R294" s="23" t="s">
        <v>9383</v>
      </c>
    </row>
    <row r="295" spans="2:18" ht="15" customHeight="1" x14ac:dyDescent="0.25">
      <c r="B295" s="33" t="str">
        <f t="shared" si="8"/>
        <v>k0</v>
      </c>
      <c r="C295" s="33" t="str">
        <f t="shared" si="9"/>
        <v>c0k0</v>
      </c>
      <c r="D295" s="23" t="s">
        <v>10142</v>
      </c>
      <c r="E295" s="23" t="s">
        <v>993</v>
      </c>
      <c r="F295" s="23" t="s">
        <v>9374</v>
      </c>
      <c r="G295" s="23" t="s">
        <v>9403</v>
      </c>
      <c r="H295" s="23" t="s">
        <v>121</v>
      </c>
      <c r="I295" s="23" t="s">
        <v>9376</v>
      </c>
      <c r="J295" s="23"/>
      <c r="K295" s="23"/>
      <c r="L295" s="23"/>
      <c r="M295" s="23" t="s">
        <v>9378</v>
      </c>
      <c r="N295" s="23" t="s">
        <v>9379</v>
      </c>
      <c r="O295" s="23"/>
      <c r="P295" s="23"/>
      <c r="Q295" s="23" t="s">
        <v>10143</v>
      </c>
      <c r="R295" s="23" t="s">
        <v>9383</v>
      </c>
    </row>
    <row r="296" spans="2:18" ht="15" customHeight="1" x14ac:dyDescent="0.25">
      <c r="B296" s="33" t="str">
        <f t="shared" si="8"/>
        <v>k1</v>
      </c>
      <c r="C296" s="33" t="str">
        <f t="shared" si="9"/>
        <v>c0k1</v>
      </c>
      <c r="D296" s="23" t="s">
        <v>10144</v>
      </c>
      <c r="E296" s="23" t="s">
        <v>995</v>
      </c>
      <c r="F296" s="23" t="s">
        <v>9374</v>
      </c>
      <c r="G296" s="23" t="s">
        <v>9403</v>
      </c>
      <c r="H296" s="23" t="s">
        <v>121</v>
      </c>
      <c r="I296" s="23" t="s">
        <v>9376</v>
      </c>
      <c r="J296" s="23"/>
      <c r="K296" s="23"/>
      <c r="L296" s="23"/>
      <c r="M296" s="23" t="s">
        <v>9378</v>
      </c>
      <c r="N296" s="23" t="s">
        <v>9379</v>
      </c>
      <c r="O296" s="23"/>
      <c r="P296" s="23"/>
      <c r="Q296" s="23" t="s">
        <v>10145</v>
      </c>
      <c r="R296" s="23" t="s">
        <v>9383</v>
      </c>
    </row>
    <row r="297" spans="2:18" ht="15" customHeight="1" x14ac:dyDescent="0.25">
      <c r="B297" s="33" t="str">
        <f t="shared" si="8"/>
        <v>k4</v>
      </c>
      <c r="C297" s="33" t="str">
        <f t="shared" si="9"/>
        <v>c0k4</v>
      </c>
      <c r="D297" s="23" t="s">
        <v>10146</v>
      </c>
      <c r="E297" s="23" t="s">
        <v>997</v>
      </c>
      <c r="F297" s="23" t="s">
        <v>9374</v>
      </c>
      <c r="G297" s="23" t="s">
        <v>9403</v>
      </c>
      <c r="H297" s="23" t="s">
        <v>121</v>
      </c>
      <c r="I297" s="23" t="s">
        <v>9376</v>
      </c>
      <c r="J297" s="23"/>
      <c r="K297" s="23"/>
      <c r="L297" s="23"/>
      <c r="M297" s="23" t="s">
        <v>9378</v>
      </c>
      <c r="N297" s="23" t="s">
        <v>9379</v>
      </c>
      <c r="O297" s="23"/>
      <c r="P297" s="23"/>
      <c r="Q297" s="23" t="s">
        <v>10147</v>
      </c>
      <c r="R297" s="23" t="s">
        <v>9383</v>
      </c>
    </row>
    <row r="298" spans="2:18" ht="15" customHeight="1" x14ac:dyDescent="0.25">
      <c r="B298" s="33" t="str">
        <f t="shared" si="8"/>
        <v>k5</v>
      </c>
      <c r="C298" s="33" t="str">
        <f t="shared" si="9"/>
        <v>c0k5</v>
      </c>
      <c r="D298" s="23" t="s">
        <v>10148</v>
      </c>
      <c r="E298" s="23" t="s">
        <v>10149</v>
      </c>
      <c r="F298" s="23" t="s">
        <v>9374</v>
      </c>
      <c r="G298" s="23" t="s">
        <v>9403</v>
      </c>
      <c r="H298" s="23" t="s">
        <v>121</v>
      </c>
      <c r="I298" s="23" t="s">
        <v>9376</v>
      </c>
      <c r="J298" s="23"/>
      <c r="K298" s="23"/>
      <c r="L298" s="23"/>
      <c r="M298" s="23" t="s">
        <v>9378</v>
      </c>
      <c r="N298" s="23" t="s">
        <v>9379</v>
      </c>
      <c r="O298" s="23"/>
      <c r="P298" s="23"/>
      <c r="Q298" s="23" t="s">
        <v>10150</v>
      </c>
      <c r="R298" s="23" t="s">
        <v>9383</v>
      </c>
    </row>
    <row r="299" spans="2:18" ht="15" customHeight="1" x14ac:dyDescent="0.25">
      <c r="B299" s="33" t="str">
        <f t="shared" si="8"/>
        <v>k6</v>
      </c>
      <c r="C299" s="33" t="str">
        <f t="shared" si="9"/>
        <v>c0k6</v>
      </c>
      <c r="D299" s="23" t="s">
        <v>10151</v>
      </c>
      <c r="E299" s="23" t="s">
        <v>10152</v>
      </c>
      <c r="F299" s="23" t="s">
        <v>9374</v>
      </c>
      <c r="G299" s="23" t="s">
        <v>9403</v>
      </c>
      <c r="H299" s="23" t="s">
        <v>121</v>
      </c>
      <c r="I299" s="23" t="s">
        <v>9376</v>
      </c>
      <c r="J299" s="23"/>
      <c r="K299" s="23"/>
      <c r="L299" s="23"/>
      <c r="M299" s="23" t="s">
        <v>9378</v>
      </c>
      <c r="N299" s="23" t="s">
        <v>9379</v>
      </c>
      <c r="O299" s="23"/>
      <c r="P299" s="23"/>
      <c r="Q299" s="23" t="s">
        <v>10153</v>
      </c>
      <c r="R299" s="23" t="s">
        <v>9383</v>
      </c>
    </row>
    <row r="300" spans="2:18" ht="15" customHeight="1" x14ac:dyDescent="0.25">
      <c r="B300" s="33" t="str">
        <f t="shared" si="8"/>
        <v>k9</v>
      </c>
      <c r="C300" s="33" t="str">
        <f t="shared" si="9"/>
        <v>c0k9</v>
      </c>
      <c r="D300" s="23" t="s">
        <v>10154</v>
      </c>
      <c r="E300" s="23" t="s">
        <v>1003</v>
      </c>
      <c r="F300" s="23" t="s">
        <v>9374</v>
      </c>
      <c r="G300" s="23" t="s">
        <v>9403</v>
      </c>
      <c r="H300" s="23" t="s">
        <v>121</v>
      </c>
      <c r="I300" s="23" t="s">
        <v>9376</v>
      </c>
      <c r="J300" s="23"/>
      <c r="K300" s="23"/>
      <c r="L300" s="23"/>
      <c r="M300" s="23" t="s">
        <v>9378</v>
      </c>
      <c r="N300" s="23" t="s">
        <v>9379</v>
      </c>
      <c r="O300" s="23"/>
      <c r="P300" s="23"/>
      <c r="Q300" s="23" t="s">
        <v>10155</v>
      </c>
      <c r="R300" s="23" t="s">
        <v>9383</v>
      </c>
    </row>
    <row r="301" spans="2:18" ht="15" customHeight="1" x14ac:dyDescent="0.25">
      <c r="B301" s="33" t="str">
        <f t="shared" si="8"/>
        <v>ka</v>
      </c>
      <c r="C301" s="33" t="str">
        <f t="shared" si="9"/>
        <v>c0ka</v>
      </c>
      <c r="D301" s="23" t="s">
        <v>10156</v>
      </c>
      <c r="E301" s="23" t="s">
        <v>10157</v>
      </c>
      <c r="F301" s="23" t="s">
        <v>9374</v>
      </c>
      <c r="G301" s="23" t="s">
        <v>9403</v>
      </c>
      <c r="H301" s="23" t="s">
        <v>121</v>
      </c>
      <c r="I301" s="23" t="s">
        <v>9376</v>
      </c>
      <c r="J301" s="23"/>
      <c r="K301" s="23"/>
      <c r="L301" s="23"/>
      <c r="M301" s="23" t="s">
        <v>9378</v>
      </c>
      <c r="N301" s="23" t="s">
        <v>9379</v>
      </c>
      <c r="O301" s="23"/>
      <c r="P301" s="23"/>
      <c r="Q301" s="23" t="s">
        <v>10158</v>
      </c>
      <c r="R301" s="23" t="s">
        <v>9383</v>
      </c>
    </row>
    <row r="302" spans="2:18" ht="15" customHeight="1" x14ac:dyDescent="0.25">
      <c r="B302" s="33" t="str">
        <f t="shared" si="8"/>
        <v>kb</v>
      </c>
      <c r="C302" s="33" t="str">
        <f t="shared" si="9"/>
        <v>c0kb</v>
      </c>
      <c r="D302" s="23" t="s">
        <v>10159</v>
      </c>
      <c r="E302" s="23" t="s">
        <v>10160</v>
      </c>
      <c r="F302" s="23" t="s">
        <v>9374</v>
      </c>
      <c r="G302" s="23" t="s">
        <v>9403</v>
      </c>
      <c r="H302" s="23" t="s">
        <v>121</v>
      </c>
      <c r="I302" s="23" t="s">
        <v>9376</v>
      </c>
      <c r="J302" s="23"/>
      <c r="K302" s="23"/>
      <c r="L302" s="23"/>
      <c r="M302" s="23" t="s">
        <v>9378</v>
      </c>
      <c r="N302" s="23" t="s">
        <v>9379</v>
      </c>
      <c r="O302" s="23"/>
      <c r="P302" s="23"/>
      <c r="Q302" s="23" t="s">
        <v>10161</v>
      </c>
      <c r="R302" s="23" t="s">
        <v>9383</v>
      </c>
    </row>
    <row r="303" spans="2:18" ht="15" customHeight="1" x14ac:dyDescent="0.25">
      <c r="B303" s="33" t="str">
        <f t="shared" si="8"/>
        <v>kc</v>
      </c>
      <c r="C303" s="33" t="str">
        <f t="shared" si="9"/>
        <v>c0kc</v>
      </c>
      <c r="D303" s="23" t="s">
        <v>10162</v>
      </c>
      <c r="E303" s="23" t="s">
        <v>1009</v>
      </c>
      <c r="F303" s="23" t="s">
        <v>9374</v>
      </c>
      <c r="G303" s="23" t="s">
        <v>9375</v>
      </c>
      <c r="H303" s="23" t="s">
        <v>121</v>
      </c>
      <c r="I303" s="23" t="s">
        <v>9376</v>
      </c>
      <c r="J303" s="23" t="s">
        <v>3276</v>
      </c>
      <c r="K303" s="23" t="s">
        <v>3275</v>
      </c>
      <c r="L303" s="23" t="s">
        <v>9453</v>
      </c>
      <c r="M303" s="23" t="s">
        <v>9425</v>
      </c>
      <c r="N303" s="23" t="s">
        <v>9394</v>
      </c>
      <c r="O303" s="23" t="s">
        <v>9454</v>
      </c>
      <c r="P303" s="23" t="s">
        <v>9455</v>
      </c>
      <c r="Q303" s="23" t="s">
        <v>10163</v>
      </c>
      <c r="R303" s="23" t="s">
        <v>9383</v>
      </c>
    </row>
    <row r="304" spans="2:18" ht="15" customHeight="1" x14ac:dyDescent="0.25">
      <c r="B304" s="33" t="str">
        <f t="shared" si="8"/>
        <v>kd</v>
      </c>
      <c r="C304" s="33" t="str">
        <f t="shared" si="9"/>
        <v>c0kd</v>
      </c>
      <c r="D304" s="23" t="s">
        <v>10164</v>
      </c>
      <c r="E304" s="23" t="s">
        <v>1011</v>
      </c>
      <c r="F304" s="23" t="s">
        <v>9374</v>
      </c>
      <c r="G304" s="23" t="s">
        <v>9375</v>
      </c>
      <c r="H304" s="23" t="s">
        <v>121</v>
      </c>
      <c r="I304" s="23" t="s">
        <v>9376</v>
      </c>
      <c r="J304" s="23" t="s">
        <v>3276</v>
      </c>
      <c r="K304" s="23" t="s">
        <v>3275</v>
      </c>
      <c r="L304" s="23" t="s">
        <v>10165</v>
      </c>
      <c r="M304" s="23" t="s">
        <v>9425</v>
      </c>
      <c r="N304" s="23" t="s">
        <v>9394</v>
      </c>
      <c r="O304" s="23"/>
      <c r="P304" s="23"/>
      <c r="Q304" s="23" t="s">
        <v>10166</v>
      </c>
      <c r="R304" s="23" t="s">
        <v>9383</v>
      </c>
    </row>
    <row r="305" spans="2:18" ht="15" customHeight="1" x14ac:dyDescent="0.25">
      <c r="B305" s="33" t="str">
        <f t="shared" si="8"/>
        <v>ke</v>
      </c>
      <c r="C305" s="33" t="str">
        <f t="shared" si="9"/>
        <v>c0ke</v>
      </c>
      <c r="D305" s="23" t="s">
        <v>10167</v>
      </c>
      <c r="E305" s="23" t="s">
        <v>1013</v>
      </c>
      <c r="F305" s="23" t="s">
        <v>9374</v>
      </c>
      <c r="G305" s="23" t="s">
        <v>9375</v>
      </c>
      <c r="H305" s="23" t="s">
        <v>121</v>
      </c>
      <c r="I305" s="23" t="s">
        <v>9376</v>
      </c>
      <c r="J305" s="23" t="s">
        <v>3276</v>
      </c>
      <c r="K305" s="23" t="s">
        <v>3275</v>
      </c>
      <c r="L305" s="23" t="s">
        <v>10168</v>
      </c>
      <c r="M305" s="23" t="s">
        <v>9378</v>
      </c>
      <c r="N305" s="23" t="s">
        <v>9379</v>
      </c>
      <c r="O305" s="23"/>
      <c r="P305" s="23"/>
      <c r="Q305" s="23" t="s">
        <v>10169</v>
      </c>
      <c r="R305" s="23" t="s">
        <v>9383</v>
      </c>
    </row>
    <row r="306" spans="2:18" ht="15" customHeight="1" x14ac:dyDescent="0.25">
      <c r="B306" s="33" t="str">
        <f t="shared" si="8"/>
        <v>kg</v>
      </c>
      <c r="C306" s="33" t="str">
        <f t="shared" si="9"/>
        <v>c0kg</v>
      </c>
      <c r="D306" s="23" t="s">
        <v>10170</v>
      </c>
      <c r="E306" s="23" t="s">
        <v>1015</v>
      </c>
      <c r="F306" s="23" t="s">
        <v>9374</v>
      </c>
      <c r="G306" s="23" t="s">
        <v>9403</v>
      </c>
      <c r="H306" s="23" t="s">
        <v>121</v>
      </c>
      <c r="I306" s="23" t="s">
        <v>9376</v>
      </c>
      <c r="J306" s="23"/>
      <c r="K306" s="23"/>
      <c r="L306" s="23"/>
      <c r="M306" s="23" t="s">
        <v>9378</v>
      </c>
      <c r="N306" s="23" t="s">
        <v>9379</v>
      </c>
      <c r="O306" s="23"/>
      <c r="P306" s="23"/>
      <c r="Q306" s="23" t="s">
        <v>10171</v>
      </c>
      <c r="R306" s="23" t="s">
        <v>9383</v>
      </c>
    </row>
    <row r="307" spans="2:18" ht="15" customHeight="1" x14ac:dyDescent="0.25">
      <c r="B307" s="33" t="str">
        <f t="shared" si="8"/>
        <v>kh</v>
      </c>
      <c r="C307" s="33" t="str">
        <f t="shared" si="9"/>
        <v>c0kh</v>
      </c>
      <c r="D307" s="23" t="s">
        <v>10172</v>
      </c>
      <c r="E307" s="23" t="s">
        <v>1017</v>
      </c>
      <c r="F307" s="23" t="s">
        <v>9374</v>
      </c>
      <c r="G307" s="23" t="s">
        <v>9403</v>
      </c>
      <c r="H307" s="23" t="s">
        <v>121</v>
      </c>
      <c r="I307" s="23" t="s">
        <v>9376</v>
      </c>
      <c r="J307" s="23"/>
      <c r="K307" s="23"/>
      <c r="L307" s="23"/>
      <c r="M307" s="23" t="s">
        <v>9378</v>
      </c>
      <c r="N307" s="23" t="s">
        <v>9379</v>
      </c>
      <c r="O307" s="23"/>
      <c r="P307" s="23"/>
      <c r="Q307" s="23" t="s">
        <v>10173</v>
      </c>
      <c r="R307" s="23" t="s">
        <v>9383</v>
      </c>
    </row>
    <row r="308" spans="2:18" ht="15" customHeight="1" x14ac:dyDescent="0.25">
      <c r="B308" s="33" t="str">
        <f t="shared" si="8"/>
        <v>kj</v>
      </c>
      <c r="C308" s="33" t="str">
        <f t="shared" si="9"/>
        <v>c0kj</v>
      </c>
      <c r="D308" s="23" t="s">
        <v>10174</v>
      </c>
      <c r="E308" s="23" t="s">
        <v>1019</v>
      </c>
      <c r="F308" s="23" t="s">
        <v>9374</v>
      </c>
      <c r="G308" s="23" t="s">
        <v>9403</v>
      </c>
      <c r="H308" s="23" t="s">
        <v>121</v>
      </c>
      <c r="I308" s="23" t="s">
        <v>9376</v>
      </c>
      <c r="J308" s="23"/>
      <c r="K308" s="23"/>
      <c r="L308" s="23"/>
      <c r="M308" s="23" t="s">
        <v>9378</v>
      </c>
      <c r="N308" s="23" t="s">
        <v>9379</v>
      </c>
      <c r="O308" s="23"/>
      <c r="P308" s="23"/>
      <c r="Q308" s="23" t="s">
        <v>10175</v>
      </c>
      <c r="R308" s="23" t="s">
        <v>9383</v>
      </c>
    </row>
    <row r="309" spans="2:18" ht="15" customHeight="1" x14ac:dyDescent="0.25">
      <c r="B309" s="33" t="str">
        <f t="shared" si="8"/>
        <v>kk</v>
      </c>
      <c r="C309" s="33" t="str">
        <f t="shared" si="9"/>
        <v>c0kk</v>
      </c>
      <c r="D309" s="23" t="s">
        <v>10176</v>
      </c>
      <c r="E309" s="23" t="s">
        <v>1021</v>
      </c>
      <c r="F309" s="23" t="s">
        <v>9374</v>
      </c>
      <c r="G309" s="23" t="s">
        <v>9403</v>
      </c>
      <c r="H309" s="23" t="s">
        <v>121</v>
      </c>
      <c r="I309" s="23" t="s">
        <v>9376</v>
      </c>
      <c r="J309" s="23"/>
      <c r="K309" s="23"/>
      <c r="L309" s="23"/>
      <c r="M309" s="23" t="s">
        <v>9378</v>
      </c>
      <c r="N309" s="23" t="s">
        <v>9379</v>
      </c>
      <c r="O309" s="23"/>
      <c r="P309" s="23"/>
      <c r="Q309" s="23" t="s">
        <v>10177</v>
      </c>
      <c r="R309" s="23" t="s">
        <v>9383</v>
      </c>
    </row>
    <row r="310" spans="2:18" ht="15" customHeight="1" x14ac:dyDescent="0.25">
      <c r="B310" s="33" t="str">
        <f t="shared" si="8"/>
        <v>kl</v>
      </c>
      <c r="C310" s="33" t="str">
        <f t="shared" si="9"/>
        <v>c0kl</v>
      </c>
      <c r="D310" s="23" t="s">
        <v>10178</v>
      </c>
      <c r="E310" s="23" t="s">
        <v>1023</v>
      </c>
      <c r="F310" s="23" t="s">
        <v>9374</v>
      </c>
      <c r="G310" s="23" t="s">
        <v>9403</v>
      </c>
      <c r="H310" s="23" t="s">
        <v>121</v>
      </c>
      <c r="I310" s="23" t="s">
        <v>9376</v>
      </c>
      <c r="J310" s="23"/>
      <c r="K310" s="23"/>
      <c r="L310" s="23"/>
      <c r="M310" s="23" t="s">
        <v>9378</v>
      </c>
      <c r="N310" s="23" t="s">
        <v>9379</v>
      </c>
      <c r="O310" s="23"/>
      <c r="P310" s="23"/>
      <c r="Q310" s="23" t="s">
        <v>10179</v>
      </c>
      <c r="R310" s="23" t="s">
        <v>9383</v>
      </c>
    </row>
    <row r="311" spans="2:18" ht="15" customHeight="1" x14ac:dyDescent="0.25">
      <c r="B311" s="33" t="str">
        <f t="shared" si="8"/>
        <v>km</v>
      </c>
      <c r="C311" s="33" t="str">
        <f t="shared" si="9"/>
        <v>c0km</v>
      </c>
      <c r="D311" s="23" t="s">
        <v>10180</v>
      </c>
      <c r="E311" s="23" t="s">
        <v>1025</v>
      </c>
      <c r="F311" s="23" t="s">
        <v>9374</v>
      </c>
      <c r="G311" s="23" t="s">
        <v>9375</v>
      </c>
      <c r="H311" s="23" t="s">
        <v>121</v>
      </c>
      <c r="I311" s="23" t="s">
        <v>9376</v>
      </c>
      <c r="J311" s="23" t="s">
        <v>3276</v>
      </c>
      <c r="K311" s="23" t="s">
        <v>3275</v>
      </c>
      <c r="L311" s="23" t="s">
        <v>10181</v>
      </c>
      <c r="M311" s="23" t="s">
        <v>9378</v>
      </c>
      <c r="N311" s="23" t="s">
        <v>9394</v>
      </c>
      <c r="O311" s="23"/>
      <c r="P311" s="23"/>
      <c r="Q311" s="23" t="s">
        <v>10182</v>
      </c>
      <c r="R311" s="23" t="s">
        <v>9383</v>
      </c>
    </row>
    <row r="312" spans="2:18" ht="15" customHeight="1" x14ac:dyDescent="0.25">
      <c r="B312" s="33" t="str">
        <f t="shared" si="8"/>
        <v>kn</v>
      </c>
      <c r="C312" s="33" t="str">
        <f t="shared" si="9"/>
        <v>c0kn</v>
      </c>
      <c r="D312" s="23" t="s">
        <v>10183</v>
      </c>
      <c r="E312" s="23" t="s">
        <v>1027</v>
      </c>
      <c r="F312" s="23" t="s">
        <v>9374</v>
      </c>
      <c r="G312" s="23" t="s">
        <v>9403</v>
      </c>
      <c r="H312" s="23" t="s">
        <v>121</v>
      </c>
      <c r="I312" s="23" t="s">
        <v>9376</v>
      </c>
      <c r="J312" s="23"/>
      <c r="K312" s="23"/>
      <c r="L312" s="23"/>
      <c r="M312" s="23" t="s">
        <v>9378</v>
      </c>
      <c r="N312" s="23" t="s">
        <v>9379</v>
      </c>
      <c r="O312" s="23"/>
      <c r="P312" s="23"/>
      <c r="Q312" s="23" t="s">
        <v>10184</v>
      </c>
      <c r="R312" s="23" t="s">
        <v>9383</v>
      </c>
    </row>
    <row r="313" spans="2:18" ht="15" customHeight="1" x14ac:dyDescent="0.25">
      <c r="B313" s="33" t="str">
        <f t="shared" si="8"/>
        <v>kp</v>
      </c>
      <c r="C313" s="33" t="str">
        <f t="shared" si="9"/>
        <v>c0kp</v>
      </c>
      <c r="D313" s="23" t="s">
        <v>10185</v>
      </c>
      <c r="E313" s="23" t="s">
        <v>1029</v>
      </c>
      <c r="F313" s="23" t="s">
        <v>9374</v>
      </c>
      <c r="G313" s="23" t="s">
        <v>9375</v>
      </c>
      <c r="H313" s="23" t="s">
        <v>121</v>
      </c>
      <c r="I313" s="23" t="s">
        <v>9376</v>
      </c>
      <c r="J313" s="23" t="s">
        <v>3276</v>
      </c>
      <c r="K313" s="23" t="s">
        <v>3275</v>
      </c>
      <c r="L313" s="23" t="s">
        <v>10186</v>
      </c>
      <c r="M313" s="23" t="s">
        <v>9425</v>
      </c>
      <c r="N313" s="23" t="s">
        <v>9394</v>
      </c>
      <c r="O313" s="23"/>
      <c r="P313" s="23"/>
      <c r="Q313" s="23" t="s">
        <v>9963</v>
      </c>
      <c r="R313" s="23" t="s">
        <v>9383</v>
      </c>
    </row>
    <row r="314" spans="2:18" ht="15" customHeight="1" x14ac:dyDescent="0.25">
      <c r="B314" s="33" t="str">
        <f t="shared" si="8"/>
        <v>ks</v>
      </c>
      <c r="C314" s="33" t="str">
        <f t="shared" si="9"/>
        <v>c0ks</v>
      </c>
      <c r="D314" s="23" t="s">
        <v>10187</v>
      </c>
      <c r="E314" s="23" t="s">
        <v>1031</v>
      </c>
      <c r="F314" s="23" t="s">
        <v>9374</v>
      </c>
      <c r="G314" s="23" t="s">
        <v>9375</v>
      </c>
      <c r="H314" s="23" t="s">
        <v>121</v>
      </c>
      <c r="I314" s="23" t="s">
        <v>9376</v>
      </c>
      <c r="J314" s="23" t="s">
        <v>3276</v>
      </c>
      <c r="K314" s="23" t="s">
        <v>3275</v>
      </c>
      <c r="L314" s="23" t="s">
        <v>10188</v>
      </c>
      <c r="M314" s="23" t="s">
        <v>9425</v>
      </c>
      <c r="N314" s="23" t="s">
        <v>9394</v>
      </c>
      <c r="O314" s="23"/>
      <c r="P314" s="23"/>
      <c r="Q314" s="23" t="s">
        <v>10189</v>
      </c>
      <c r="R314" s="23" t="s">
        <v>9383</v>
      </c>
    </row>
    <row r="315" spans="2:18" ht="15" customHeight="1" x14ac:dyDescent="0.25">
      <c r="B315" s="33" t="str">
        <f t="shared" si="8"/>
        <v>kt</v>
      </c>
      <c r="C315" s="33" t="str">
        <f t="shared" si="9"/>
        <v>c0kt</v>
      </c>
      <c r="D315" s="23" t="s">
        <v>10190</v>
      </c>
      <c r="E315" s="23" t="s">
        <v>1034</v>
      </c>
      <c r="F315" s="23" t="s">
        <v>9374</v>
      </c>
      <c r="G315" s="23" t="s">
        <v>9375</v>
      </c>
      <c r="H315" s="23" t="s">
        <v>121</v>
      </c>
      <c r="I315" s="23" t="s">
        <v>9376</v>
      </c>
      <c r="J315" s="23" t="s">
        <v>3276</v>
      </c>
      <c r="K315" s="23" t="s">
        <v>3275</v>
      </c>
      <c r="L315" s="23" t="s">
        <v>10191</v>
      </c>
      <c r="M315" s="23" t="s">
        <v>9378</v>
      </c>
      <c r="N315" s="23" t="s">
        <v>9394</v>
      </c>
      <c r="O315" s="23" t="s">
        <v>10192</v>
      </c>
      <c r="P315" s="23" t="s">
        <v>10193</v>
      </c>
      <c r="Q315" s="23" t="s">
        <v>10194</v>
      </c>
      <c r="R315" s="23" t="s">
        <v>9383</v>
      </c>
    </row>
    <row r="316" spans="2:18" ht="15" customHeight="1" x14ac:dyDescent="0.25">
      <c r="B316" s="33" t="str">
        <f t="shared" si="8"/>
        <v>ku</v>
      </c>
      <c r="C316" s="33" t="str">
        <f t="shared" si="9"/>
        <v>c0ku</v>
      </c>
      <c r="D316" s="23" t="s">
        <v>10195</v>
      </c>
      <c r="E316" s="23" t="s">
        <v>10196</v>
      </c>
      <c r="F316" s="23" t="s">
        <v>9374</v>
      </c>
      <c r="G316" s="23" t="s">
        <v>9403</v>
      </c>
      <c r="H316" s="23" t="s">
        <v>121</v>
      </c>
      <c r="I316" s="23" t="s">
        <v>9376</v>
      </c>
      <c r="J316" s="23"/>
      <c r="K316" s="23"/>
      <c r="L316" s="23"/>
      <c r="M316" s="23" t="s">
        <v>9378</v>
      </c>
      <c r="N316" s="23" t="s">
        <v>9379</v>
      </c>
      <c r="O316" s="23"/>
      <c r="P316" s="23"/>
      <c r="Q316" s="23" t="s">
        <v>10197</v>
      </c>
      <c r="R316" s="23" t="s">
        <v>9383</v>
      </c>
    </row>
    <row r="317" spans="2:18" ht="15" customHeight="1" x14ac:dyDescent="0.25">
      <c r="B317" s="33" t="str">
        <f t="shared" si="8"/>
        <v>kv</v>
      </c>
      <c r="C317" s="33" t="str">
        <f t="shared" si="9"/>
        <v>c0kv</v>
      </c>
      <c r="D317" s="23" t="s">
        <v>10198</v>
      </c>
      <c r="E317" s="23" t="s">
        <v>10199</v>
      </c>
      <c r="F317" s="23" t="s">
        <v>9374</v>
      </c>
      <c r="G317" s="23" t="s">
        <v>9403</v>
      </c>
      <c r="H317" s="23" t="s">
        <v>121</v>
      </c>
      <c r="I317" s="23" t="s">
        <v>9376</v>
      </c>
      <c r="J317" s="23"/>
      <c r="K317" s="23"/>
      <c r="L317" s="23"/>
      <c r="M317" s="23" t="s">
        <v>9378</v>
      </c>
      <c r="N317" s="23" t="s">
        <v>9379</v>
      </c>
      <c r="O317" s="23"/>
      <c r="P317" s="23"/>
      <c r="Q317" s="23" t="s">
        <v>10200</v>
      </c>
      <c r="R317" s="23" t="s">
        <v>9383</v>
      </c>
    </row>
    <row r="318" spans="2:18" ht="15" customHeight="1" x14ac:dyDescent="0.25">
      <c r="B318" s="33" t="str">
        <f t="shared" si="8"/>
        <v>kw</v>
      </c>
      <c r="C318" s="33" t="str">
        <f t="shared" si="9"/>
        <v>c0kw</v>
      </c>
      <c r="D318" s="23" t="s">
        <v>10201</v>
      </c>
      <c r="E318" s="23" t="s">
        <v>10202</v>
      </c>
      <c r="F318" s="23" t="s">
        <v>9374</v>
      </c>
      <c r="G318" s="23" t="s">
        <v>9403</v>
      </c>
      <c r="H318" s="23" t="s">
        <v>121</v>
      </c>
      <c r="I318" s="23" t="s">
        <v>9376</v>
      </c>
      <c r="J318" s="23"/>
      <c r="K318" s="23"/>
      <c r="L318" s="23"/>
      <c r="M318" s="23" t="s">
        <v>9378</v>
      </c>
      <c r="N318" s="23" t="s">
        <v>9379</v>
      </c>
      <c r="O318" s="23"/>
      <c r="P318" s="23"/>
      <c r="Q318" s="23" t="s">
        <v>10203</v>
      </c>
      <c r="R318" s="23" t="s">
        <v>9383</v>
      </c>
    </row>
    <row r="319" spans="2:18" ht="15" customHeight="1" x14ac:dyDescent="0.25">
      <c r="B319" s="33" t="str">
        <f t="shared" si="8"/>
        <v>kx</v>
      </c>
      <c r="C319" s="33" t="str">
        <f t="shared" si="9"/>
        <v>c0kx</v>
      </c>
      <c r="D319" s="23" t="s">
        <v>10204</v>
      </c>
      <c r="E319" s="23" t="s">
        <v>1042</v>
      </c>
      <c r="F319" s="23" t="s">
        <v>9374</v>
      </c>
      <c r="G319" s="23" t="s">
        <v>9375</v>
      </c>
      <c r="H319" s="23" t="s">
        <v>121</v>
      </c>
      <c r="I319" s="23" t="s">
        <v>9376</v>
      </c>
      <c r="J319" s="23" t="s">
        <v>3276</v>
      </c>
      <c r="K319" s="23" t="s">
        <v>3275</v>
      </c>
      <c r="L319" s="23" t="s">
        <v>10191</v>
      </c>
      <c r="M319" s="23" t="s">
        <v>9378</v>
      </c>
      <c r="N319" s="23" t="s">
        <v>9394</v>
      </c>
      <c r="O319" s="23" t="s">
        <v>10192</v>
      </c>
      <c r="P319" s="23" t="s">
        <v>10193</v>
      </c>
      <c r="Q319" s="23" t="s">
        <v>10205</v>
      </c>
      <c r="R319" s="23" t="s">
        <v>9383</v>
      </c>
    </row>
    <row r="320" spans="2:18" ht="15" customHeight="1" x14ac:dyDescent="0.25">
      <c r="B320" s="33" t="str">
        <f t="shared" si="8"/>
        <v>l0</v>
      </c>
      <c r="C320" s="33" t="str">
        <f t="shared" si="9"/>
        <v>c0l0</v>
      </c>
      <c r="D320" s="23" t="s">
        <v>10206</v>
      </c>
      <c r="E320" s="23" t="s">
        <v>1044</v>
      </c>
      <c r="F320" s="23" t="s">
        <v>9374</v>
      </c>
      <c r="G320" s="23" t="s">
        <v>9403</v>
      </c>
      <c r="H320" s="23" t="s">
        <v>121</v>
      </c>
      <c r="I320" s="23" t="s">
        <v>9376</v>
      </c>
      <c r="J320" s="23"/>
      <c r="K320" s="23"/>
      <c r="L320" s="23"/>
      <c r="M320" s="23" t="s">
        <v>9378</v>
      </c>
      <c r="N320" s="23" t="s">
        <v>9379</v>
      </c>
      <c r="O320" s="23"/>
      <c r="P320" s="23"/>
      <c r="Q320" s="23" t="s">
        <v>10207</v>
      </c>
      <c r="R320" s="23" t="s">
        <v>9383</v>
      </c>
    </row>
    <row r="321" spans="2:18" ht="15" customHeight="1" x14ac:dyDescent="0.25">
      <c r="B321" s="33" t="str">
        <f t="shared" si="8"/>
        <v>l1</v>
      </c>
      <c r="C321" s="33" t="str">
        <f t="shared" si="9"/>
        <v>c0l1</v>
      </c>
      <c r="D321" s="23" t="s">
        <v>10208</v>
      </c>
      <c r="E321" s="23" t="s">
        <v>10209</v>
      </c>
      <c r="F321" s="23" t="s">
        <v>9374</v>
      </c>
      <c r="G321" s="23" t="s">
        <v>9403</v>
      </c>
      <c r="H321" s="23" t="s">
        <v>121</v>
      </c>
      <c r="I321" s="23" t="s">
        <v>9376</v>
      </c>
      <c r="J321" s="23"/>
      <c r="K321" s="23"/>
      <c r="L321" s="23"/>
      <c r="M321" s="23" t="s">
        <v>9378</v>
      </c>
      <c r="N321" s="23" t="s">
        <v>9379</v>
      </c>
      <c r="O321" s="23"/>
      <c r="P321" s="23"/>
      <c r="Q321" s="23" t="s">
        <v>10210</v>
      </c>
      <c r="R321" s="23" t="s">
        <v>9383</v>
      </c>
    </row>
    <row r="322" spans="2:18" ht="15" customHeight="1" x14ac:dyDescent="0.25">
      <c r="B322" s="33" t="str">
        <f t="shared" si="8"/>
        <v>l2</v>
      </c>
      <c r="C322" s="33" t="str">
        <f t="shared" si="9"/>
        <v>c0l2</v>
      </c>
      <c r="D322" s="23" t="s">
        <v>10211</v>
      </c>
      <c r="E322" s="23" t="s">
        <v>1048</v>
      </c>
      <c r="F322" s="23" t="s">
        <v>9374</v>
      </c>
      <c r="G322" s="23" t="s">
        <v>9375</v>
      </c>
      <c r="H322" s="23" t="s">
        <v>121</v>
      </c>
      <c r="I322" s="23" t="s">
        <v>9376</v>
      </c>
      <c r="J322" s="23" t="s">
        <v>3276</v>
      </c>
      <c r="K322" s="23" t="s">
        <v>3275</v>
      </c>
      <c r="L322" s="23" t="s">
        <v>10212</v>
      </c>
      <c r="M322" s="23" t="s">
        <v>9378</v>
      </c>
      <c r="N322" s="23" t="s">
        <v>9379</v>
      </c>
      <c r="O322" s="23"/>
      <c r="P322" s="23"/>
      <c r="Q322" s="23" t="s">
        <v>10213</v>
      </c>
      <c r="R322" s="23" t="s">
        <v>9383</v>
      </c>
    </row>
    <row r="323" spans="2:18" ht="15" customHeight="1" x14ac:dyDescent="0.25">
      <c r="B323" s="33" t="str">
        <f t="shared" si="8"/>
        <v>l3</v>
      </c>
      <c r="C323" s="33" t="str">
        <f t="shared" si="9"/>
        <v>c0l3</v>
      </c>
      <c r="D323" s="23" t="s">
        <v>10214</v>
      </c>
      <c r="E323" s="23" t="s">
        <v>1050</v>
      </c>
      <c r="F323" s="23" t="s">
        <v>9374</v>
      </c>
      <c r="G323" s="23" t="s">
        <v>9403</v>
      </c>
      <c r="H323" s="23" t="s">
        <v>121</v>
      </c>
      <c r="I323" s="23" t="s">
        <v>9376</v>
      </c>
      <c r="J323" s="23"/>
      <c r="K323" s="23"/>
      <c r="L323" s="23"/>
      <c r="M323" s="23" t="s">
        <v>9378</v>
      </c>
      <c r="N323" s="23" t="s">
        <v>9379</v>
      </c>
      <c r="O323" s="23"/>
      <c r="P323" s="23"/>
      <c r="Q323" s="23" t="s">
        <v>10215</v>
      </c>
      <c r="R323" s="23" t="s">
        <v>9586</v>
      </c>
    </row>
    <row r="324" spans="2:18" ht="15" customHeight="1" x14ac:dyDescent="0.25">
      <c r="B324" s="33" t="str">
        <f t="shared" si="8"/>
        <v>l5</v>
      </c>
      <c r="C324" s="33" t="str">
        <f t="shared" si="9"/>
        <v>c0l5</v>
      </c>
      <c r="D324" s="23" t="s">
        <v>10216</v>
      </c>
      <c r="E324" s="23" t="s">
        <v>1052</v>
      </c>
      <c r="F324" s="23" t="s">
        <v>9374</v>
      </c>
      <c r="G324" s="23" t="s">
        <v>9403</v>
      </c>
      <c r="H324" s="23" t="s">
        <v>121</v>
      </c>
      <c r="I324" s="23" t="s">
        <v>9376</v>
      </c>
      <c r="J324" s="23"/>
      <c r="K324" s="23"/>
      <c r="L324" s="23"/>
      <c r="M324" s="23" t="s">
        <v>9378</v>
      </c>
      <c r="N324" s="23" t="s">
        <v>9379</v>
      </c>
      <c r="O324" s="23"/>
      <c r="P324" s="23"/>
      <c r="Q324" s="23" t="s">
        <v>10217</v>
      </c>
      <c r="R324" s="23" t="s">
        <v>9383</v>
      </c>
    </row>
    <row r="325" spans="2:18" ht="15" customHeight="1" x14ac:dyDescent="0.25">
      <c r="B325" s="33" t="str">
        <f t="shared" si="8"/>
        <v>l6</v>
      </c>
      <c r="C325" s="33" t="str">
        <f t="shared" si="9"/>
        <v>c0l6</v>
      </c>
      <c r="D325" s="23" t="s">
        <v>10218</v>
      </c>
      <c r="E325" s="23" t="s">
        <v>10219</v>
      </c>
      <c r="F325" s="23" t="s">
        <v>9374</v>
      </c>
      <c r="G325" s="23" t="s">
        <v>9403</v>
      </c>
      <c r="H325" s="23" t="s">
        <v>121</v>
      </c>
      <c r="I325" s="23" t="s">
        <v>9376</v>
      </c>
      <c r="J325" s="23"/>
      <c r="K325" s="23"/>
      <c r="L325" s="23"/>
      <c r="M325" s="23" t="s">
        <v>9378</v>
      </c>
      <c r="N325" s="23" t="s">
        <v>9379</v>
      </c>
      <c r="O325" s="23"/>
      <c r="P325" s="23"/>
      <c r="Q325" s="23" t="s">
        <v>10220</v>
      </c>
      <c r="R325" s="23" t="s">
        <v>9383</v>
      </c>
    </row>
    <row r="326" spans="2:18" ht="15" customHeight="1" x14ac:dyDescent="0.25">
      <c r="B326" s="33" t="str">
        <f t="shared" ref="B326:B389" si="10">RIGHT($C326,2)</f>
        <v>l7</v>
      </c>
      <c r="C326" s="33" t="str">
        <f t="shared" ref="C326:C389" si="11">"c0"&amp;RIGHT($D326,2)</f>
        <v>c0l7</v>
      </c>
      <c r="D326" s="23" t="s">
        <v>10221</v>
      </c>
      <c r="E326" s="23" t="s">
        <v>1056</v>
      </c>
      <c r="F326" s="23" t="s">
        <v>9374</v>
      </c>
      <c r="G326" s="23" t="s">
        <v>9375</v>
      </c>
      <c r="H326" s="23" t="s">
        <v>121</v>
      </c>
      <c r="I326" s="23" t="s">
        <v>9376</v>
      </c>
      <c r="J326" s="23" t="s">
        <v>3276</v>
      </c>
      <c r="K326" s="23" t="s">
        <v>3275</v>
      </c>
      <c r="L326" s="23" t="s">
        <v>10222</v>
      </c>
      <c r="M326" s="23" t="s">
        <v>9378</v>
      </c>
      <c r="N326" s="23" t="s">
        <v>9379</v>
      </c>
      <c r="O326" s="23"/>
      <c r="P326" s="23"/>
      <c r="Q326" s="23" t="s">
        <v>10223</v>
      </c>
      <c r="R326" s="23" t="s">
        <v>9383</v>
      </c>
    </row>
    <row r="327" spans="2:18" ht="15" customHeight="1" x14ac:dyDescent="0.25">
      <c r="B327" s="33" t="str">
        <f t="shared" si="10"/>
        <v>l8</v>
      </c>
      <c r="C327" s="33" t="str">
        <f t="shared" si="11"/>
        <v>c0l8</v>
      </c>
      <c r="D327" s="23" t="s">
        <v>10224</v>
      </c>
      <c r="E327" s="23" t="s">
        <v>10225</v>
      </c>
      <c r="F327" s="23" t="s">
        <v>9374</v>
      </c>
      <c r="G327" s="23" t="s">
        <v>9403</v>
      </c>
      <c r="H327" s="23" t="s">
        <v>121</v>
      </c>
      <c r="I327" s="23" t="s">
        <v>9376</v>
      </c>
      <c r="J327" s="23"/>
      <c r="K327" s="23"/>
      <c r="L327" s="23"/>
      <c r="M327" s="23" t="s">
        <v>9378</v>
      </c>
      <c r="N327" s="23" t="s">
        <v>9379</v>
      </c>
      <c r="O327" s="23"/>
      <c r="P327" s="23"/>
      <c r="Q327" s="23" t="s">
        <v>10226</v>
      </c>
      <c r="R327" s="23" t="s">
        <v>9383</v>
      </c>
    </row>
    <row r="328" spans="2:18" ht="15" customHeight="1" x14ac:dyDescent="0.25">
      <c r="B328" s="33" t="str">
        <f t="shared" si="10"/>
        <v>l9</v>
      </c>
      <c r="C328" s="33" t="str">
        <f t="shared" si="11"/>
        <v>c0l9</v>
      </c>
      <c r="D328" s="23" t="s">
        <v>10227</v>
      </c>
      <c r="E328" s="23" t="s">
        <v>1060</v>
      </c>
      <c r="F328" s="23" t="s">
        <v>9374</v>
      </c>
      <c r="G328" s="23" t="s">
        <v>9403</v>
      </c>
      <c r="H328" s="23" t="s">
        <v>121</v>
      </c>
      <c r="I328" s="23" t="s">
        <v>9376</v>
      </c>
      <c r="J328" s="23"/>
      <c r="K328" s="23"/>
      <c r="L328" s="23"/>
      <c r="M328" s="23" t="s">
        <v>9378</v>
      </c>
      <c r="N328" s="23" t="s">
        <v>9379</v>
      </c>
      <c r="O328" s="23"/>
      <c r="P328" s="23"/>
      <c r="Q328" s="23" t="s">
        <v>10228</v>
      </c>
      <c r="R328" s="23" t="s">
        <v>9383</v>
      </c>
    </row>
    <row r="329" spans="2:18" ht="15" customHeight="1" x14ac:dyDescent="0.25">
      <c r="B329" s="33" t="str">
        <f t="shared" si="10"/>
        <v>la</v>
      </c>
      <c r="C329" s="33" t="str">
        <f t="shared" si="11"/>
        <v>c0la</v>
      </c>
      <c r="D329" s="23" t="s">
        <v>10229</v>
      </c>
      <c r="E329" s="23" t="s">
        <v>1062</v>
      </c>
      <c r="F329" s="23" t="s">
        <v>9374</v>
      </c>
      <c r="G329" s="23" t="s">
        <v>9403</v>
      </c>
      <c r="H329" s="23" t="s">
        <v>121</v>
      </c>
      <c r="I329" s="23" t="s">
        <v>9376</v>
      </c>
      <c r="J329" s="23"/>
      <c r="K329" s="23"/>
      <c r="L329" s="23"/>
      <c r="M329" s="23" t="s">
        <v>9378</v>
      </c>
      <c r="N329" s="23" t="s">
        <v>9379</v>
      </c>
      <c r="O329" s="23"/>
      <c r="P329" s="23"/>
      <c r="Q329" s="23" t="s">
        <v>10230</v>
      </c>
      <c r="R329" s="23" t="s">
        <v>9920</v>
      </c>
    </row>
    <row r="330" spans="2:18" ht="15" customHeight="1" x14ac:dyDescent="0.25">
      <c r="B330" s="33" t="str">
        <f t="shared" si="10"/>
        <v>lb</v>
      </c>
      <c r="C330" s="33" t="str">
        <f t="shared" si="11"/>
        <v>c0lb</v>
      </c>
      <c r="D330" s="23" t="s">
        <v>10231</v>
      </c>
      <c r="E330" s="23" t="s">
        <v>1064</v>
      </c>
      <c r="F330" s="23" t="s">
        <v>9374</v>
      </c>
      <c r="G330" s="23" t="s">
        <v>9403</v>
      </c>
      <c r="H330" s="23" t="s">
        <v>121</v>
      </c>
      <c r="I330" s="23" t="s">
        <v>9376</v>
      </c>
      <c r="J330" s="23"/>
      <c r="K330" s="23"/>
      <c r="L330" s="23"/>
      <c r="M330" s="23" t="s">
        <v>9378</v>
      </c>
      <c r="N330" s="23" t="s">
        <v>9379</v>
      </c>
      <c r="O330" s="23"/>
      <c r="P330" s="23"/>
      <c r="Q330" s="23" t="s">
        <v>10232</v>
      </c>
      <c r="R330" s="23" t="s">
        <v>9920</v>
      </c>
    </row>
    <row r="331" spans="2:18" ht="15" customHeight="1" x14ac:dyDescent="0.25">
      <c r="B331" s="33" t="str">
        <f t="shared" si="10"/>
        <v>lc</v>
      </c>
      <c r="C331" s="33" t="str">
        <f t="shared" si="11"/>
        <v>c0lc</v>
      </c>
      <c r="D331" s="23" t="s">
        <v>10233</v>
      </c>
      <c r="E331" s="23" t="s">
        <v>1066</v>
      </c>
      <c r="F331" s="23" t="s">
        <v>9374</v>
      </c>
      <c r="G331" s="23" t="s">
        <v>9403</v>
      </c>
      <c r="H331" s="23" t="s">
        <v>121</v>
      </c>
      <c r="I331" s="23" t="s">
        <v>9376</v>
      </c>
      <c r="J331" s="23"/>
      <c r="K331" s="23"/>
      <c r="L331" s="23"/>
      <c r="M331" s="23" t="s">
        <v>9378</v>
      </c>
      <c r="N331" s="23" t="s">
        <v>9379</v>
      </c>
      <c r="O331" s="23"/>
      <c r="P331" s="23"/>
      <c r="Q331" s="23" t="s">
        <v>10234</v>
      </c>
      <c r="R331" s="23" t="s">
        <v>9920</v>
      </c>
    </row>
    <row r="332" spans="2:18" ht="15" customHeight="1" x14ac:dyDescent="0.25">
      <c r="B332" s="33" t="str">
        <f t="shared" si="10"/>
        <v>m0</v>
      </c>
      <c r="C332" s="33" t="str">
        <f t="shared" si="11"/>
        <v>c0m0</v>
      </c>
      <c r="D332" s="23" t="s">
        <v>10235</v>
      </c>
      <c r="E332" s="23" t="s">
        <v>1068</v>
      </c>
      <c r="F332" s="23" t="s">
        <v>9374</v>
      </c>
      <c r="G332" s="23" t="s">
        <v>9375</v>
      </c>
      <c r="H332" s="23" t="s">
        <v>121</v>
      </c>
      <c r="I332" s="23" t="s">
        <v>9376</v>
      </c>
      <c r="J332" s="23" t="s">
        <v>3276</v>
      </c>
      <c r="K332" s="23" t="s">
        <v>3275</v>
      </c>
      <c r="L332" s="23" t="s">
        <v>10236</v>
      </c>
      <c r="M332" s="23" t="s">
        <v>9393</v>
      </c>
      <c r="N332" s="23" t="s">
        <v>9394</v>
      </c>
      <c r="O332" s="23"/>
      <c r="P332" s="23"/>
      <c r="Q332" s="23" t="s">
        <v>10237</v>
      </c>
      <c r="R332" s="23" t="s">
        <v>9383</v>
      </c>
    </row>
    <row r="333" spans="2:18" ht="15" customHeight="1" x14ac:dyDescent="0.25">
      <c r="B333" s="33" t="str">
        <f t="shared" si="10"/>
        <v>m1</v>
      </c>
      <c r="C333" s="33" t="str">
        <f t="shared" si="11"/>
        <v>c0m1</v>
      </c>
      <c r="D333" s="23" t="s">
        <v>10238</v>
      </c>
      <c r="E333" s="23" t="s">
        <v>10239</v>
      </c>
      <c r="F333" s="23" t="s">
        <v>9374</v>
      </c>
      <c r="G333" s="23" t="s">
        <v>9403</v>
      </c>
      <c r="H333" s="23" t="s">
        <v>121</v>
      </c>
      <c r="I333" s="23" t="s">
        <v>9376</v>
      </c>
      <c r="J333" s="23"/>
      <c r="K333" s="23"/>
      <c r="L333" s="23"/>
      <c r="M333" s="23" t="s">
        <v>9378</v>
      </c>
      <c r="N333" s="23" t="s">
        <v>9379</v>
      </c>
      <c r="O333" s="23"/>
      <c r="P333" s="23"/>
      <c r="Q333" s="23" t="s">
        <v>10240</v>
      </c>
      <c r="R333" s="23" t="s">
        <v>9383</v>
      </c>
    </row>
    <row r="334" spans="2:18" ht="15" customHeight="1" x14ac:dyDescent="0.25">
      <c r="B334" s="33" t="str">
        <f t="shared" si="10"/>
        <v>m2</v>
      </c>
      <c r="C334" s="33" t="str">
        <f t="shared" si="11"/>
        <v>c0m2</v>
      </c>
      <c r="D334" s="23" t="s">
        <v>10241</v>
      </c>
      <c r="E334" s="23" t="s">
        <v>10242</v>
      </c>
      <c r="F334" s="23" t="s">
        <v>9374</v>
      </c>
      <c r="G334" s="23" t="s">
        <v>9403</v>
      </c>
      <c r="H334" s="23" t="s">
        <v>121</v>
      </c>
      <c r="I334" s="23" t="s">
        <v>9376</v>
      </c>
      <c r="J334" s="23"/>
      <c r="K334" s="23"/>
      <c r="L334" s="23"/>
      <c r="M334" s="23" t="s">
        <v>9378</v>
      </c>
      <c r="N334" s="23" t="s">
        <v>9379</v>
      </c>
      <c r="O334" s="23"/>
      <c r="P334" s="23"/>
      <c r="Q334" s="23" t="s">
        <v>10243</v>
      </c>
      <c r="R334" s="23" t="s">
        <v>9383</v>
      </c>
    </row>
    <row r="335" spans="2:18" ht="15" customHeight="1" x14ac:dyDescent="0.25">
      <c r="B335" s="33" t="str">
        <f t="shared" si="10"/>
        <v>m3</v>
      </c>
      <c r="C335" s="33" t="str">
        <f t="shared" si="11"/>
        <v>c0m3</v>
      </c>
      <c r="D335" s="23" t="s">
        <v>10244</v>
      </c>
      <c r="E335" s="23" t="s">
        <v>1074</v>
      </c>
      <c r="F335" s="23" t="s">
        <v>9374</v>
      </c>
      <c r="G335" s="23" t="s">
        <v>9375</v>
      </c>
      <c r="H335" s="23" t="s">
        <v>121</v>
      </c>
      <c r="I335" s="23" t="s">
        <v>9376</v>
      </c>
      <c r="J335" s="23" t="s">
        <v>3276</v>
      </c>
      <c r="K335" s="23" t="s">
        <v>3275</v>
      </c>
      <c r="L335" s="23" t="s">
        <v>10245</v>
      </c>
      <c r="M335" s="23" t="s">
        <v>9393</v>
      </c>
      <c r="N335" s="23" t="s">
        <v>9394</v>
      </c>
      <c r="O335" s="23"/>
      <c r="P335" s="23"/>
      <c r="Q335" s="23" t="s">
        <v>10246</v>
      </c>
      <c r="R335" s="23" t="s">
        <v>9383</v>
      </c>
    </row>
    <row r="336" spans="2:18" ht="15" customHeight="1" x14ac:dyDescent="0.25">
      <c r="B336" s="33" t="str">
        <f t="shared" si="10"/>
        <v>m4</v>
      </c>
      <c r="C336" s="33" t="str">
        <f t="shared" si="11"/>
        <v>c0m4</v>
      </c>
      <c r="D336" s="23" t="s">
        <v>10247</v>
      </c>
      <c r="E336" s="23" t="s">
        <v>1076</v>
      </c>
      <c r="F336" s="23" t="s">
        <v>9374</v>
      </c>
      <c r="G336" s="23" t="s">
        <v>9403</v>
      </c>
      <c r="H336" s="23" t="s">
        <v>121</v>
      </c>
      <c r="I336" s="23" t="s">
        <v>9376</v>
      </c>
      <c r="J336" s="23"/>
      <c r="K336" s="23"/>
      <c r="L336" s="23"/>
      <c r="M336" s="23" t="s">
        <v>9378</v>
      </c>
      <c r="N336" s="23" t="s">
        <v>9379</v>
      </c>
      <c r="O336" s="23"/>
      <c r="P336" s="23"/>
      <c r="Q336" s="23" t="s">
        <v>10248</v>
      </c>
      <c r="R336" s="23" t="s">
        <v>9383</v>
      </c>
    </row>
    <row r="337" spans="2:18" ht="15" customHeight="1" x14ac:dyDescent="0.25">
      <c r="B337" s="33" t="str">
        <f t="shared" si="10"/>
        <v>m5</v>
      </c>
      <c r="C337" s="33" t="str">
        <f t="shared" si="11"/>
        <v>c0m5</v>
      </c>
      <c r="D337" s="23" t="s">
        <v>10249</v>
      </c>
      <c r="E337" s="23" t="s">
        <v>10250</v>
      </c>
      <c r="F337" s="23" t="s">
        <v>9374</v>
      </c>
      <c r="G337" s="23" t="s">
        <v>9403</v>
      </c>
      <c r="H337" s="23" t="s">
        <v>121</v>
      </c>
      <c r="I337" s="23" t="s">
        <v>9376</v>
      </c>
      <c r="J337" s="23"/>
      <c r="K337" s="23"/>
      <c r="L337" s="23"/>
      <c r="M337" s="23" t="s">
        <v>9378</v>
      </c>
      <c r="N337" s="23" t="s">
        <v>9379</v>
      </c>
      <c r="O337" s="23"/>
      <c r="P337" s="23"/>
      <c r="Q337" s="23" t="s">
        <v>10251</v>
      </c>
      <c r="R337" s="23" t="s">
        <v>9383</v>
      </c>
    </row>
    <row r="338" spans="2:18" ht="15" customHeight="1" x14ac:dyDescent="0.25">
      <c r="B338" s="33" t="str">
        <f t="shared" si="10"/>
        <v>m6</v>
      </c>
      <c r="C338" s="33" t="str">
        <f t="shared" si="11"/>
        <v>c0m6</v>
      </c>
      <c r="D338" s="23" t="s">
        <v>10252</v>
      </c>
      <c r="E338" s="23" t="s">
        <v>1080</v>
      </c>
      <c r="F338" s="23" t="s">
        <v>9374</v>
      </c>
      <c r="G338" s="23" t="s">
        <v>9375</v>
      </c>
      <c r="H338" s="23" t="s">
        <v>121</v>
      </c>
      <c r="I338" s="23" t="s">
        <v>9376</v>
      </c>
      <c r="J338" s="23" t="s">
        <v>3276</v>
      </c>
      <c r="K338" s="23" t="s">
        <v>3275</v>
      </c>
      <c r="L338" s="23" t="s">
        <v>10253</v>
      </c>
      <c r="M338" s="23" t="s">
        <v>9378</v>
      </c>
      <c r="N338" s="23" t="s">
        <v>9394</v>
      </c>
      <c r="O338" s="23"/>
      <c r="P338" s="23"/>
      <c r="Q338" s="23" t="s">
        <v>10254</v>
      </c>
      <c r="R338" s="23" t="s">
        <v>9383</v>
      </c>
    </row>
    <row r="339" spans="2:18" ht="15" customHeight="1" x14ac:dyDescent="0.25">
      <c r="B339" s="33" t="str">
        <f t="shared" si="10"/>
        <v>m7</v>
      </c>
      <c r="C339" s="33" t="str">
        <f t="shared" si="11"/>
        <v>c0m7</v>
      </c>
      <c r="D339" s="23" t="s">
        <v>10255</v>
      </c>
      <c r="E339" s="23" t="s">
        <v>10256</v>
      </c>
      <c r="F339" s="23" t="s">
        <v>9374</v>
      </c>
      <c r="G339" s="23" t="s">
        <v>9403</v>
      </c>
      <c r="H339" s="23" t="s">
        <v>121</v>
      </c>
      <c r="I339" s="23" t="s">
        <v>9376</v>
      </c>
      <c r="J339" s="23"/>
      <c r="K339" s="23"/>
      <c r="L339" s="23"/>
      <c r="M339" s="23" t="s">
        <v>9378</v>
      </c>
      <c r="N339" s="23" t="s">
        <v>9379</v>
      </c>
      <c r="O339" s="23"/>
      <c r="P339" s="23"/>
      <c r="Q339" s="23" t="s">
        <v>10257</v>
      </c>
      <c r="R339" s="23" t="s">
        <v>9383</v>
      </c>
    </row>
    <row r="340" spans="2:18" ht="15" customHeight="1" x14ac:dyDescent="0.25">
      <c r="B340" s="33" t="str">
        <f t="shared" si="10"/>
        <v>m8</v>
      </c>
      <c r="C340" s="33" t="str">
        <f t="shared" si="11"/>
        <v>c0m8</v>
      </c>
      <c r="D340" s="23" t="s">
        <v>10258</v>
      </c>
      <c r="E340" s="23" t="s">
        <v>10259</v>
      </c>
      <c r="F340" s="23" t="s">
        <v>9374</v>
      </c>
      <c r="G340" s="23" t="s">
        <v>9403</v>
      </c>
      <c r="H340" s="23" t="s">
        <v>121</v>
      </c>
      <c r="I340" s="23" t="s">
        <v>9376</v>
      </c>
      <c r="J340" s="23"/>
      <c r="K340" s="23"/>
      <c r="L340" s="23"/>
      <c r="M340" s="23" t="s">
        <v>9378</v>
      </c>
      <c r="N340" s="23" t="s">
        <v>9379</v>
      </c>
      <c r="O340" s="23"/>
      <c r="P340" s="23"/>
      <c r="Q340" s="23" t="s">
        <v>10260</v>
      </c>
      <c r="R340" s="23" t="s">
        <v>9383</v>
      </c>
    </row>
    <row r="341" spans="2:18" ht="15" customHeight="1" x14ac:dyDescent="0.25">
      <c r="B341" s="33" t="str">
        <f t="shared" si="10"/>
        <v>m9</v>
      </c>
      <c r="C341" s="33" t="str">
        <f t="shared" si="11"/>
        <v>c0m9</v>
      </c>
      <c r="D341" s="23" t="s">
        <v>10261</v>
      </c>
      <c r="E341" s="23" t="s">
        <v>10262</v>
      </c>
      <c r="F341" s="23" t="s">
        <v>9374</v>
      </c>
      <c r="G341" s="23" t="s">
        <v>9375</v>
      </c>
      <c r="H341" s="23" t="s">
        <v>121</v>
      </c>
      <c r="I341" s="23" t="s">
        <v>9376</v>
      </c>
      <c r="J341" s="23" t="s">
        <v>3276</v>
      </c>
      <c r="K341" s="23" t="s">
        <v>3275</v>
      </c>
      <c r="L341" s="23" t="s">
        <v>10263</v>
      </c>
      <c r="M341" s="23" t="s">
        <v>9378</v>
      </c>
      <c r="N341" s="23" t="s">
        <v>9394</v>
      </c>
      <c r="O341" s="23"/>
      <c r="P341" s="23"/>
      <c r="Q341" s="23" t="s">
        <v>10264</v>
      </c>
      <c r="R341" s="23" t="s">
        <v>9383</v>
      </c>
    </row>
    <row r="342" spans="2:18" ht="15" customHeight="1" x14ac:dyDescent="0.25">
      <c r="B342" s="33" t="str">
        <f t="shared" si="10"/>
        <v>n1</v>
      </c>
      <c r="C342" s="33" t="str">
        <f t="shared" si="11"/>
        <v>c0n1</v>
      </c>
      <c r="D342" s="23" t="s">
        <v>10265</v>
      </c>
      <c r="E342" s="23" t="s">
        <v>1088</v>
      </c>
      <c r="F342" s="23" t="s">
        <v>9374</v>
      </c>
      <c r="G342" s="23" t="s">
        <v>9375</v>
      </c>
      <c r="H342" s="23" t="s">
        <v>121</v>
      </c>
      <c r="I342" s="23" t="s">
        <v>9376</v>
      </c>
      <c r="J342" s="23" t="s">
        <v>3276</v>
      </c>
      <c r="K342" s="23" t="s">
        <v>3275</v>
      </c>
      <c r="L342" s="23" t="s">
        <v>10266</v>
      </c>
      <c r="M342" s="23" t="s">
        <v>9378</v>
      </c>
      <c r="N342" s="23" t="s">
        <v>9394</v>
      </c>
      <c r="O342" s="23"/>
      <c r="P342" s="23"/>
      <c r="Q342" s="23" t="s">
        <v>10267</v>
      </c>
      <c r="R342" s="23" t="s">
        <v>9383</v>
      </c>
    </row>
    <row r="343" spans="2:18" ht="15" customHeight="1" x14ac:dyDescent="0.25">
      <c r="B343" s="33" t="str">
        <f t="shared" si="10"/>
        <v>n2</v>
      </c>
      <c r="C343" s="33" t="str">
        <f t="shared" si="11"/>
        <v>c0n2</v>
      </c>
      <c r="D343" s="23" t="s">
        <v>10268</v>
      </c>
      <c r="E343" s="23" t="s">
        <v>1090</v>
      </c>
      <c r="F343" s="23" t="s">
        <v>9374</v>
      </c>
      <c r="G343" s="23" t="s">
        <v>9375</v>
      </c>
      <c r="H343" s="23" t="s">
        <v>121</v>
      </c>
      <c r="I343" s="23" t="s">
        <v>9376</v>
      </c>
      <c r="J343" s="23" t="s">
        <v>3276</v>
      </c>
      <c r="K343" s="23" t="s">
        <v>3275</v>
      </c>
      <c r="L343" s="23" t="s">
        <v>10269</v>
      </c>
      <c r="M343" s="23" t="s">
        <v>9378</v>
      </c>
      <c r="N343" s="23" t="s">
        <v>9394</v>
      </c>
      <c r="O343" s="23"/>
      <c r="P343" s="23"/>
      <c r="Q343" s="23" t="s">
        <v>10270</v>
      </c>
      <c r="R343" s="23" t="s">
        <v>9383</v>
      </c>
    </row>
    <row r="344" spans="2:18" ht="15" customHeight="1" x14ac:dyDescent="0.25">
      <c r="B344" s="33" t="str">
        <f t="shared" si="10"/>
        <v>n4</v>
      </c>
      <c r="C344" s="33" t="str">
        <f t="shared" si="11"/>
        <v>c0n4</v>
      </c>
      <c r="D344" s="23" t="s">
        <v>10271</v>
      </c>
      <c r="E344" s="23" t="s">
        <v>10272</v>
      </c>
      <c r="F344" s="23" t="s">
        <v>9374</v>
      </c>
      <c r="G344" s="23" t="s">
        <v>9403</v>
      </c>
      <c r="H344" s="23" t="s">
        <v>121</v>
      </c>
      <c r="I344" s="23" t="s">
        <v>9376</v>
      </c>
      <c r="J344" s="23"/>
      <c r="K344" s="23"/>
      <c r="L344" s="23"/>
      <c r="M344" s="23" t="s">
        <v>9378</v>
      </c>
      <c r="N344" s="23" t="s">
        <v>9379</v>
      </c>
      <c r="O344" s="23"/>
      <c r="P344" s="23"/>
      <c r="Q344" s="23" t="s">
        <v>10273</v>
      </c>
      <c r="R344" s="23" t="s">
        <v>9383</v>
      </c>
    </row>
    <row r="345" spans="2:18" ht="15" customHeight="1" x14ac:dyDescent="0.25">
      <c r="B345" s="33" t="str">
        <f t="shared" si="10"/>
        <v>n5</v>
      </c>
      <c r="C345" s="33" t="str">
        <f t="shared" si="11"/>
        <v>c0n5</v>
      </c>
      <c r="D345" s="23" t="s">
        <v>10274</v>
      </c>
      <c r="E345" s="23" t="s">
        <v>10275</v>
      </c>
      <c r="F345" s="23" t="s">
        <v>9374</v>
      </c>
      <c r="G345" s="23" t="s">
        <v>9403</v>
      </c>
      <c r="H345" s="23" t="s">
        <v>121</v>
      </c>
      <c r="I345" s="23" t="s">
        <v>9376</v>
      </c>
      <c r="J345" s="23"/>
      <c r="K345" s="23"/>
      <c r="L345" s="23"/>
      <c r="M345" s="23" t="s">
        <v>9378</v>
      </c>
      <c r="N345" s="23" t="s">
        <v>9379</v>
      </c>
      <c r="O345" s="23"/>
      <c r="P345" s="23"/>
      <c r="Q345" s="23" t="s">
        <v>10276</v>
      </c>
      <c r="R345" s="23" t="s">
        <v>9383</v>
      </c>
    </row>
    <row r="346" spans="2:18" ht="15" customHeight="1" x14ac:dyDescent="0.25">
      <c r="B346" s="33" t="str">
        <f t="shared" si="10"/>
        <v>n6</v>
      </c>
      <c r="C346" s="33" t="str">
        <f t="shared" si="11"/>
        <v>c0n6</v>
      </c>
      <c r="D346" s="23" t="s">
        <v>10277</v>
      </c>
      <c r="E346" s="23" t="s">
        <v>10278</v>
      </c>
      <c r="F346" s="23" t="s">
        <v>9374</v>
      </c>
      <c r="G346" s="23" t="s">
        <v>9403</v>
      </c>
      <c r="H346" s="23" t="s">
        <v>121</v>
      </c>
      <c r="I346" s="23" t="s">
        <v>9376</v>
      </c>
      <c r="J346" s="23"/>
      <c r="K346" s="23"/>
      <c r="L346" s="23"/>
      <c r="M346" s="23" t="s">
        <v>9378</v>
      </c>
      <c r="N346" s="23" t="s">
        <v>9379</v>
      </c>
      <c r="O346" s="23"/>
      <c r="P346" s="23"/>
      <c r="Q346" s="23" t="s">
        <v>10279</v>
      </c>
      <c r="R346" s="23" t="s">
        <v>9383</v>
      </c>
    </row>
    <row r="347" spans="2:18" ht="15" customHeight="1" x14ac:dyDescent="0.25">
      <c r="B347" s="33" t="str">
        <f t="shared" si="10"/>
        <v>n7</v>
      </c>
      <c r="C347" s="33" t="str">
        <f t="shared" si="11"/>
        <v>c0n7</v>
      </c>
      <c r="D347" s="23" t="s">
        <v>10280</v>
      </c>
      <c r="E347" s="23" t="s">
        <v>1098</v>
      </c>
      <c r="F347" s="23" t="s">
        <v>9374</v>
      </c>
      <c r="G347" s="23" t="s">
        <v>9403</v>
      </c>
      <c r="H347" s="23" t="s">
        <v>121</v>
      </c>
      <c r="I347" s="23" t="s">
        <v>9376</v>
      </c>
      <c r="J347" s="23"/>
      <c r="K347" s="23"/>
      <c r="L347" s="23"/>
      <c r="M347" s="23" t="s">
        <v>9378</v>
      </c>
      <c r="N347" s="23" t="s">
        <v>9379</v>
      </c>
      <c r="O347" s="23"/>
      <c r="P347" s="23"/>
      <c r="Q347" s="23" t="s">
        <v>10281</v>
      </c>
      <c r="R347" s="23" t="s">
        <v>9383</v>
      </c>
    </row>
    <row r="348" spans="2:18" ht="15" customHeight="1" x14ac:dyDescent="0.25">
      <c r="B348" s="33" t="str">
        <f t="shared" si="10"/>
        <v>p1</v>
      </c>
      <c r="C348" s="33" t="str">
        <f t="shared" si="11"/>
        <v>c0p1</v>
      </c>
      <c r="D348" s="23" t="s">
        <v>10282</v>
      </c>
      <c r="E348" s="23" t="s">
        <v>1100</v>
      </c>
      <c r="F348" s="23" t="s">
        <v>9374</v>
      </c>
      <c r="G348" s="23" t="s">
        <v>9375</v>
      </c>
      <c r="H348" s="23" t="s">
        <v>121</v>
      </c>
      <c r="I348" s="23" t="s">
        <v>9376</v>
      </c>
      <c r="J348" s="23" t="s">
        <v>3276</v>
      </c>
      <c r="K348" s="23" t="s">
        <v>3275</v>
      </c>
      <c r="L348" s="23" t="s">
        <v>10283</v>
      </c>
      <c r="M348" s="23" t="s">
        <v>9425</v>
      </c>
      <c r="N348" s="23" t="s">
        <v>9394</v>
      </c>
      <c r="O348" s="23"/>
      <c r="P348" s="23"/>
      <c r="Q348" s="23" t="s">
        <v>10284</v>
      </c>
      <c r="R348" s="23" t="s">
        <v>9383</v>
      </c>
    </row>
    <row r="349" spans="2:18" ht="15" customHeight="1" x14ac:dyDescent="0.25">
      <c r="B349" s="33" t="str">
        <f t="shared" si="10"/>
        <v>p2</v>
      </c>
      <c r="C349" s="33" t="str">
        <f t="shared" si="11"/>
        <v>c0p2</v>
      </c>
      <c r="D349" s="23" t="s">
        <v>10285</v>
      </c>
      <c r="E349" s="23" t="s">
        <v>1102</v>
      </c>
      <c r="F349" s="23" t="s">
        <v>9374</v>
      </c>
      <c r="G349" s="23" t="s">
        <v>9403</v>
      </c>
      <c r="H349" s="23" t="s">
        <v>121</v>
      </c>
      <c r="I349" s="23" t="s">
        <v>9376</v>
      </c>
      <c r="J349" s="23"/>
      <c r="K349" s="23"/>
      <c r="L349" s="23"/>
      <c r="M349" s="23" t="s">
        <v>9378</v>
      </c>
      <c r="N349" s="23" t="s">
        <v>9394</v>
      </c>
      <c r="O349" s="23"/>
      <c r="P349" s="23"/>
      <c r="Q349" s="23" t="s">
        <v>10286</v>
      </c>
      <c r="R349" s="23" t="s">
        <v>9383</v>
      </c>
    </row>
    <row r="350" spans="2:18" ht="15" customHeight="1" x14ac:dyDescent="0.25">
      <c r="B350" s="33" t="str">
        <f t="shared" si="10"/>
        <v>p3</v>
      </c>
      <c r="C350" s="33" t="str">
        <f t="shared" si="11"/>
        <v>c0p3</v>
      </c>
      <c r="D350" s="23" t="s">
        <v>10287</v>
      </c>
      <c r="E350" s="23" t="s">
        <v>1104</v>
      </c>
      <c r="F350" s="23" t="s">
        <v>9374</v>
      </c>
      <c r="G350" s="23" t="s">
        <v>9375</v>
      </c>
      <c r="H350" s="23" t="s">
        <v>121</v>
      </c>
      <c r="I350" s="23" t="s">
        <v>9376</v>
      </c>
      <c r="J350" s="23" t="s">
        <v>3276</v>
      </c>
      <c r="K350" s="23" t="s">
        <v>3275</v>
      </c>
      <c r="L350" s="23" t="s">
        <v>10288</v>
      </c>
      <c r="M350" s="23" t="s">
        <v>9425</v>
      </c>
      <c r="N350" s="23" t="s">
        <v>9394</v>
      </c>
      <c r="O350" s="23"/>
      <c r="P350" s="23"/>
      <c r="Q350" s="23" t="s">
        <v>10289</v>
      </c>
      <c r="R350" s="23" t="s">
        <v>9383</v>
      </c>
    </row>
    <row r="351" spans="2:18" ht="15" customHeight="1" x14ac:dyDescent="0.25">
      <c r="B351" s="33" t="str">
        <f t="shared" si="10"/>
        <v>p4</v>
      </c>
      <c r="C351" s="33" t="str">
        <f t="shared" si="11"/>
        <v>c0p4</v>
      </c>
      <c r="D351" s="23" t="s">
        <v>10290</v>
      </c>
      <c r="E351" s="23" t="s">
        <v>1106</v>
      </c>
      <c r="F351" s="23" t="s">
        <v>9374</v>
      </c>
      <c r="G351" s="23" t="s">
        <v>9375</v>
      </c>
      <c r="H351" s="23" t="s">
        <v>121</v>
      </c>
      <c r="I351" s="23" t="s">
        <v>9376</v>
      </c>
      <c r="J351" s="23" t="s">
        <v>3276</v>
      </c>
      <c r="K351" s="23" t="s">
        <v>3275</v>
      </c>
      <c r="L351" s="23" t="s">
        <v>10291</v>
      </c>
      <c r="M351" s="23" t="s">
        <v>9425</v>
      </c>
      <c r="N351" s="23" t="s">
        <v>9394</v>
      </c>
      <c r="O351" s="23"/>
      <c r="P351" s="23"/>
      <c r="Q351" s="23" t="s">
        <v>10292</v>
      </c>
      <c r="R351" s="23" t="s">
        <v>9383</v>
      </c>
    </row>
    <row r="352" spans="2:18" ht="15" customHeight="1" x14ac:dyDescent="0.25">
      <c r="B352" s="33" t="str">
        <f t="shared" si="10"/>
        <v>q1</v>
      </c>
      <c r="C352" s="33" t="str">
        <f t="shared" si="11"/>
        <v>c0q1</v>
      </c>
      <c r="D352" s="23" t="s">
        <v>10293</v>
      </c>
      <c r="E352" s="23" t="s">
        <v>1108</v>
      </c>
      <c r="F352" s="23" t="s">
        <v>9374</v>
      </c>
      <c r="G352" s="23" t="s">
        <v>9403</v>
      </c>
      <c r="H352" s="23" t="s">
        <v>121</v>
      </c>
      <c r="I352" s="23" t="s">
        <v>9376</v>
      </c>
      <c r="J352" s="23"/>
      <c r="K352" s="23"/>
      <c r="L352" s="23"/>
      <c r="M352" s="23" t="s">
        <v>9378</v>
      </c>
      <c r="N352" s="23" t="s">
        <v>9379</v>
      </c>
      <c r="O352" s="23"/>
      <c r="P352" s="23"/>
      <c r="Q352" s="23" t="s">
        <v>10294</v>
      </c>
      <c r="R352" s="23" t="s">
        <v>9383</v>
      </c>
    </row>
    <row r="353" spans="2:18" ht="15" customHeight="1" x14ac:dyDescent="0.25">
      <c r="B353" s="33" t="str">
        <f t="shared" si="10"/>
        <v>q2</v>
      </c>
      <c r="C353" s="33" t="str">
        <f t="shared" si="11"/>
        <v>c0q2</v>
      </c>
      <c r="D353" s="23" t="s">
        <v>10295</v>
      </c>
      <c r="E353" s="23" t="s">
        <v>1110</v>
      </c>
      <c r="F353" s="23" t="s">
        <v>9374</v>
      </c>
      <c r="G353" s="23" t="s">
        <v>9403</v>
      </c>
      <c r="H353" s="23" t="s">
        <v>121</v>
      </c>
      <c r="I353" s="23" t="s">
        <v>9376</v>
      </c>
      <c r="J353" s="23"/>
      <c r="K353" s="23"/>
      <c r="L353" s="23"/>
      <c r="M353" s="23" t="s">
        <v>9378</v>
      </c>
      <c r="N353" s="23" t="s">
        <v>9379</v>
      </c>
      <c r="O353" s="23"/>
      <c r="P353" s="23"/>
      <c r="Q353" s="23" t="s">
        <v>10296</v>
      </c>
      <c r="R353" s="23" t="s">
        <v>9383</v>
      </c>
    </row>
    <row r="354" spans="2:18" ht="15" customHeight="1" x14ac:dyDescent="0.25">
      <c r="B354" s="33" t="str">
        <f t="shared" si="10"/>
        <v>q3</v>
      </c>
      <c r="C354" s="33" t="str">
        <f t="shared" si="11"/>
        <v>c0q3</v>
      </c>
      <c r="D354" s="23" t="s">
        <v>10297</v>
      </c>
      <c r="E354" s="23" t="s">
        <v>1112</v>
      </c>
      <c r="F354" s="23" t="s">
        <v>9374</v>
      </c>
      <c r="G354" s="23" t="s">
        <v>9403</v>
      </c>
      <c r="H354" s="23" t="s">
        <v>121</v>
      </c>
      <c r="I354" s="23" t="s">
        <v>9376</v>
      </c>
      <c r="J354" s="23"/>
      <c r="K354" s="23"/>
      <c r="L354" s="23"/>
      <c r="M354" s="23" t="s">
        <v>9378</v>
      </c>
      <c r="N354" s="23" t="s">
        <v>9379</v>
      </c>
      <c r="O354" s="23"/>
      <c r="P354" s="23"/>
      <c r="Q354" s="23" t="s">
        <v>10298</v>
      </c>
      <c r="R354" s="23" t="s">
        <v>9383</v>
      </c>
    </row>
    <row r="355" spans="2:18" ht="15" customHeight="1" x14ac:dyDescent="0.25">
      <c r="B355" s="33" t="str">
        <f t="shared" si="10"/>
        <v>q4</v>
      </c>
      <c r="C355" s="33" t="str">
        <f t="shared" si="11"/>
        <v>c0q4</v>
      </c>
      <c r="D355" s="23" t="s">
        <v>10299</v>
      </c>
      <c r="E355" s="23" t="s">
        <v>1114</v>
      </c>
      <c r="F355" s="23" t="s">
        <v>9374</v>
      </c>
      <c r="G355" s="23" t="s">
        <v>9403</v>
      </c>
      <c r="H355" s="23" t="s">
        <v>121</v>
      </c>
      <c r="I355" s="23" t="s">
        <v>9376</v>
      </c>
      <c r="J355" s="23"/>
      <c r="K355" s="23"/>
      <c r="L355" s="23"/>
      <c r="M355" s="23" t="s">
        <v>9378</v>
      </c>
      <c r="N355" s="23" t="s">
        <v>9379</v>
      </c>
      <c r="O355" s="23"/>
      <c r="P355" s="23"/>
      <c r="Q355" s="23" t="s">
        <v>10300</v>
      </c>
      <c r="R355" s="23" t="s">
        <v>9383</v>
      </c>
    </row>
    <row r="356" spans="2:18" ht="15" customHeight="1" x14ac:dyDescent="0.25">
      <c r="B356" s="33" t="str">
        <f t="shared" si="10"/>
        <v>q5</v>
      </c>
      <c r="C356" s="33" t="str">
        <f t="shared" si="11"/>
        <v>c0q5</v>
      </c>
      <c r="D356" s="23" t="s">
        <v>10301</v>
      </c>
      <c r="E356" s="23" t="s">
        <v>1116</v>
      </c>
      <c r="F356" s="23" t="s">
        <v>9374</v>
      </c>
      <c r="G356" s="23" t="s">
        <v>9403</v>
      </c>
      <c r="H356" s="23" t="s">
        <v>121</v>
      </c>
      <c r="I356" s="23" t="s">
        <v>9376</v>
      </c>
      <c r="J356" s="23"/>
      <c r="K356" s="23"/>
      <c r="L356" s="23"/>
      <c r="M356" s="23" t="s">
        <v>9378</v>
      </c>
      <c r="N356" s="23" t="s">
        <v>9379</v>
      </c>
      <c r="O356" s="23"/>
      <c r="P356" s="23"/>
      <c r="Q356" s="23" t="s">
        <v>10302</v>
      </c>
      <c r="R356" s="23" t="s">
        <v>9383</v>
      </c>
    </row>
    <row r="357" spans="2:18" ht="15" customHeight="1" x14ac:dyDescent="0.25">
      <c r="B357" s="33" t="str">
        <f t="shared" si="10"/>
        <v>q6</v>
      </c>
      <c r="C357" s="33" t="str">
        <f t="shared" si="11"/>
        <v>c0q6</v>
      </c>
      <c r="D357" s="23" t="s">
        <v>10303</v>
      </c>
      <c r="E357" s="23" t="s">
        <v>1118</v>
      </c>
      <c r="F357" s="23" t="s">
        <v>9374</v>
      </c>
      <c r="G357" s="23" t="s">
        <v>9403</v>
      </c>
      <c r="H357" s="23" t="s">
        <v>121</v>
      </c>
      <c r="I357" s="23" t="s">
        <v>9376</v>
      </c>
      <c r="J357" s="23"/>
      <c r="K357" s="23"/>
      <c r="L357" s="23"/>
      <c r="M357" s="23" t="s">
        <v>9378</v>
      </c>
      <c r="N357" s="23" t="s">
        <v>9379</v>
      </c>
      <c r="O357" s="23"/>
      <c r="P357" s="23"/>
      <c r="Q357" s="23" t="s">
        <v>10304</v>
      </c>
      <c r="R357" s="23" t="s">
        <v>9383</v>
      </c>
    </row>
    <row r="358" spans="2:18" ht="15" customHeight="1" x14ac:dyDescent="0.25">
      <c r="B358" s="33" t="str">
        <f t="shared" si="10"/>
        <v>q7</v>
      </c>
      <c r="C358" s="33" t="str">
        <f t="shared" si="11"/>
        <v>c0q7</v>
      </c>
      <c r="D358" s="23" t="s">
        <v>10305</v>
      </c>
      <c r="E358" s="23" t="s">
        <v>10306</v>
      </c>
      <c r="F358" s="23" t="s">
        <v>9374</v>
      </c>
      <c r="G358" s="23" t="s">
        <v>9403</v>
      </c>
      <c r="H358" s="23" t="s">
        <v>121</v>
      </c>
      <c r="I358" s="23" t="s">
        <v>9376</v>
      </c>
      <c r="J358" s="23"/>
      <c r="K358" s="23"/>
      <c r="L358" s="23"/>
      <c r="M358" s="23" t="s">
        <v>9378</v>
      </c>
      <c r="N358" s="23" t="s">
        <v>9379</v>
      </c>
      <c r="O358" s="23"/>
      <c r="P358" s="23"/>
      <c r="Q358" s="23" t="s">
        <v>10307</v>
      </c>
      <c r="R358" s="23" t="s">
        <v>9383</v>
      </c>
    </row>
    <row r="359" spans="2:18" ht="15" customHeight="1" x14ac:dyDescent="0.25">
      <c r="B359" s="33" t="str">
        <f t="shared" si="10"/>
        <v>q8</v>
      </c>
      <c r="C359" s="33" t="str">
        <f t="shared" si="11"/>
        <v>c0q8</v>
      </c>
      <c r="D359" s="23" t="s">
        <v>10308</v>
      </c>
      <c r="E359" s="23" t="s">
        <v>10309</v>
      </c>
      <c r="F359" s="23" t="s">
        <v>9374</v>
      </c>
      <c r="G359" s="23" t="s">
        <v>9403</v>
      </c>
      <c r="H359" s="23" t="s">
        <v>121</v>
      </c>
      <c r="I359" s="23" t="s">
        <v>9376</v>
      </c>
      <c r="J359" s="23"/>
      <c r="K359" s="23"/>
      <c r="L359" s="23"/>
      <c r="M359" s="23" t="s">
        <v>9378</v>
      </c>
      <c r="N359" s="23" t="s">
        <v>9379</v>
      </c>
      <c r="O359" s="23"/>
      <c r="P359" s="23"/>
      <c r="Q359" s="23" t="s">
        <v>10310</v>
      </c>
      <c r="R359" s="23" t="s">
        <v>9383</v>
      </c>
    </row>
    <row r="360" spans="2:18" ht="15" customHeight="1" x14ac:dyDescent="0.25">
      <c r="B360" s="33" t="str">
        <f t="shared" si="10"/>
        <v>q9</v>
      </c>
      <c r="C360" s="33" t="str">
        <f t="shared" si="11"/>
        <v>c0q9</v>
      </c>
      <c r="D360" s="23" t="s">
        <v>10311</v>
      </c>
      <c r="E360" s="23" t="s">
        <v>1124</v>
      </c>
      <c r="F360" s="23" t="s">
        <v>9374</v>
      </c>
      <c r="G360" s="23" t="s">
        <v>9403</v>
      </c>
      <c r="H360" s="23" t="s">
        <v>121</v>
      </c>
      <c r="I360" s="23" t="s">
        <v>9376</v>
      </c>
      <c r="J360" s="23"/>
      <c r="K360" s="23"/>
      <c r="L360" s="23"/>
      <c r="M360" s="23" t="s">
        <v>9378</v>
      </c>
      <c r="N360" s="23" t="s">
        <v>9379</v>
      </c>
      <c r="O360" s="23"/>
      <c r="P360" s="23"/>
      <c r="Q360" s="23" t="s">
        <v>10312</v>
      </c>
      <c r="R360" s="23" t="s">
        <v>9383</v>
      </c>
    </row>
    <row r="361" spans="2:18" ht="15" customHeight="1" x14ac:dyDescent="0.25">
      <c r="B361" s="33" t="str">
        <f t="shared" si="10"/>
        <v>qa</v>
      </c>
      <c r="C361" s="33" t="str">
        <f t="shared" si="11"/>
        <v>c0qa</v>
      </c>
      <c r="D361" s="23" t="s">
        <v>10313</v>
      </c>
      <c r="E361" s="23" t="s">
        <v>1126</v>
      </c>
      <c r="F361" s="23" t="s">
        <v>9374</v>
      </c>
      <c r="G361" s="23" t="s">
        <v>9375</v>
      </c>
      <c r="H361" s="23" t="s">
        <v>121</v>
      </c>
      <c r="I361" s="23" t="s">
        <v>9376</v>
      </c>
      <c r="J361" s="23" t="s">
        <v>3276</v>
      </c>
      <c r="K361" s="23" t="s">
        <v>3275</v>
      </c>
      <c r="L361" s="23" t="s">
        <v>10314</v>
      </c>
      <c r="M361" s="23" t="s">
        <v>9378</v>
      </c>
      <c r="N361" s="23" t="s">
        <v>9394</v>
      </c>
      <c r="O361" s="23"/>
      <c r="P361" s="23"/>
      <c r="Q361" s="23" t="s">
        <v>10315</v>
      </c>
      <c r="R361" s="23" t="s">
        <v>9383</v>
      </c>
    </row>
    <row r="362" spans="2:18" ht="15" customHeight="1" x14ac:dyDescent="0.25">
      <c r="B362" s="33" t="str">
        <f t="shared" si="10"/>
        <v>r1</v>
      </c>
      <c r="C362" s="33" t="str">
        <f t="shared" si="11"/>
        <v>c0r1</v>
      </c>
      <c r="D362" s="23" t="s">
        <v>10316</v>
      </c>
      <c r="E362" s="23" t="s">
        <v>10317</v>
      </c>
      <c r="F362" s="23" t="s">
        <v>9374</v>
      </c>
      <c r="G362" s="23" t="s">
        <v>9403</v>
      </c>
      <c r="H362" s="23" t="s">
        <v>121</v>
      </c>
      <c r="I362" s="23" t="s">
        <v>9376</v>
      </c>
      <c r="J362" s="23"/>
      <c r="K362" s="23"/>
      <c r="L362" s="23"/>
      <c r="M362" s="23" t="s">
        <v>9378</v>
      </c>
      <c r="N362" s="23" t="s">
        <v>9379</v>
      </c>
      <c r="O362" s="23"/>
      <c r="P362" s="23"/>
      <c r="Q362" s="23" t="s">
        <v>10318</v>
      </c>
      <c r="R362" s="23" t="s">
        <v>9383</v>
      </c>
    </row>
    <row r="363" spans="2:18" ht="15" customHeight="1" x14ac:dyDescent="0.25">
      <c r="B363" s="33" t="str">
        <f t="shared" si="10"/>
        <v>r2</v>
      </c>
      <c r="C363" s="33" t="str">
        <f t="shared" si="11"/>
        <v>c0r2</v>
      </c>
      <c r="D363" s="23" t="s">
        <v>10319</v>
      </c>
      <c r="E363" s="23" t="s">
        <v>10320</v>
      </c>
      <c r="F363" s="23" t="s">
        <v>9374</v>
      </c>
      <c r="G363" s="23" t="s">
        <v>9403</v>
      </c>
      <c r="H363" s="23" t="s">
        <v>121</v>
      </c>
      <c r="I363" s="23" t="s">
        <v>9376</v>
      </c>
      <c r="J363" s="23"/>
      <c r="K363" s="23"/>
      <c r="L363" s="23"/>
      <c r="M363" s="23" t="s">
        <v>9378</v>
      </c>
      <c r="N363" s="23" t="s">
        <v>9379</v>
      </c>
      <c r="O363" s="23"/>
      <c r="P363" s="23"/>
      <c r="Q363" s="23" t="s">
        <v>10321</v>
      </c>
      <c r="R363" s="23" t="s">
        <v>9383</v>
      </c>
    </row>
    <row r="364" spans="2:18" ht="15" customHeight="1" x14ac:dyDescent="0.25">
      <c r="B364" s="33" t="str">
        <f t="shared" si="10"/>
        <v>r6</v>
      </c>
      <c r="C364" s="33" t="str">
        <f t="shared" si="11"/>
        <v>c0r6</v>
      </c>
      <c r="D364" s="23" t="s">
        <v>10322</v>
      </c>
      <c r="E364" s="23" t="s">
        <v>10323</v>
      </c>
      <c r="F364" s="23" t="s">
        <v>9374</v>
      </c>
      <c r="G364" s="23" t="s">
        <v>9403</v>
      </c>
      <c r="H364" s="23" t="s">
        <v>121</v>
      </c>
      <c r="I364" s="23" t="s">
        <v>9376</v>
      </c>
      <c r="J364" s="23"/>
      <c r="K364" s="23"/>
      <c r="L364" s="23"/>
      <c r="M364" s="23" t="s">
        <v>9378</v>
      </c>
      <c r="N364" s="23" t="s">
        <v>9379</v>
      </c>
      <c r="O364" s="23"/>
      <c r="P364" s="23"/>
      <c r="Q364" s="23" t="s">
        <v>10324</v>
      </c>
      <c r="R364" s="23" t="s">
        <v>9383</v>
      </c>
    </row>
    <row r="365" spans="2:18" ht="15" customHeight="1" x14ac:dyDescent="0.25">
      <c r="B365" s="33" t="str">
        <f t="shared" si="10"/>
        <v>r7</v>
      </c>
      <c r="C365" s="33" t="str">
        <f t="shared" si="11"/>
        <v>c0r7</v>
      </c>
      <c r="D365" s="23" t="s">
        <v>10325</v>
      </c>
      <c r="E365" s="23" t="s">
        <v>10326</v>
      </c>
      <c r="F365" s="23" t="s">
        <v>9374</v>
      </c>
      <c r="G365" s="23" t="s">
        <v>9403</v>
      </c>
      <c r="H365" s="23" t="s">
        <v>121</v>
      </c>
      <c r="I365" s="23" t="s">
        <v>9376</v>
      </c>
      <c r="J365" s="23"/>
      <c r="K365" s="23"/>
      <c r="L365" s="23"/>
      <c r="M365" s="23" t="s">
        <v>9378</v>
      </c>
      <c r="N365" s="23" t="s">
        <v>9379</v>
      </c>
      <c r="O365" s="23"/>
      <c r="P365" s="23"/>
      <c r="Q365" s="23" t="s">
        <v>10327</v>
      </c>
      <c r="R365" s="23" t="s">
        <v>9383</v>
      </c>
    </row>
    <row r="366" spans="2:18" ht="15" customHeight="1" x14ac:dyDescent="0.25">
      <c r="B366" s="33" t="str">
        <f t="shared" si="10"/>
        <v>r8</v>
      </c>
      <c r="C366" s="33" t="str">
        <f t="shared" si="11"/>
        <v>c0r8</v>
      </c>
      <c r="D366" s="23" t="s">
        <v>10328</v>
      </c>
      <c r="E366" s="23" t="s">
        <v>10329</v>
      </c>
      <c r="F366" s="23" t="s">
        <v>9374</v>
      </c>
      <c r="G366" s="23" t="s">
        <v>9403</v>
      </c>
      <c r="H366" s="23" t="s">
        <v>121</v>
      </c>
      <c r="I366" s="23" t="s">
        <v>9376</v>
      </c>
      <c r="J366" s="23"/>
      <c r="K366" s="23"/>
      <c r="L366" s="23"/>
      <c r="M366" s="23" t="s">
        <v>9378</v>
      </c>
      <c r="N366" s="23" t="s">
        <v>9379</v>
      </c>
      <c r="O366" s="23"/>
      <c r="P366" s="23"/>
      <c r="Q366" s="23" t="s">
        <v>10330</v>
      </c>
      <c r="R366" s="23" t="s">
        <v>9383</v>
      </c>
    </row>
    <row r="367" spans="2:18" ht="15" customHeight="1" x14ac:dyDescent="0.25">
      <c r="B367" s="33" t="str">
        <f t="shared" si="10"/>
        <v>r9</v>
      </c>
      <c r="C367" s="33" t="str">
        <f t="shared" si="11"/>
        <v>c0r9</v>
      </c>
      <c r="D367" s="23" t="s">
        <v>10331</v>
      </c>
      <c r="E367" s="23" t="s">
        <v>10332</v>
      </c>
      <c r="F367" s="23" t="s">
        <v>9374</v>
      </c>
      <c r="G367" s="23" t="s">
        <v>9403</v>
      </c>
      <c r="H367" s="23" t="s">
        <v>121</v>
      </c>
      <c r="I367" s="23" t="s">
        <v>9376</v>
      </c>
      <c r="J367" s="23"/>
      <c r="K367" s="23"/>
      <c r="L367" s="23"/>
      <c r="M367" s="23" t="s">
        <v>9378</v>
      </c>
      <c r="N367" s="23" t="s">
        <v>9379</v>
      </c>
      <c r="O367" s="23"/>
      <c r="P367" s="23"/>
      <c r="Q367" s="23" t="s">
        <v>10333</v>
      </c>
      <c r="R367" s="23" t="s">
        <v>9383</v>
      </c>
    </row>
    <row r="368" spans="2:18" ht="15" customHeight="1" x14ac:dyDescent="0.25">
      <c r="B368" s="33" t="str">
        <f t="shared" si="10"/>
        <v>ra</v>
      </c>
      <c r="C368" s="33" t="str">
        <f t="shared" si="11"/>
        <v>c0ra</v>
      </c>
      <c r="D368" s="23" t="s">
        <v>10334</v>
      </c>
      <c r="E368" s="23" t="s">
        <v>1140</v>
      </c>
      <c r="F368" s="23" t="s">
        <v>9374</v>
      </c>
      <c r="G368" s="23" t="s">
        <v>9403</v>
      </c>
      <c r="H368" s="23" t="s">
        <v>121</v>
      </c>
      <c r="I368" s="23" t="s">
        <v>9376</v>
      </c>
      <c r="J368" s="23"/>
      <c r="K368" s="23"/>
      <c r="L368" s="23"/>
      <c r="M368" s="23" t="s">
        <v>9378</v>
      </c>
      <c r="N368" s="23" t="s">
        <v>9379</v>
      </c>
      <c r="O368" s="23"/>
      <c r="P368" s="23"/>
      <c r="Q368" s="23" t="s">
        <v>10335</v>
      </c>
      <c r="R368" s="23" t="s">
        <v>9383</v>
      </c>
    </row>
    <row r="369" spans="2:18" ht="15" customHeight="1" x14ac:dyDescent="0.25">
      <c r="B369" s="33" t="str">
        <f t="shared" si="10"/>
        <v>rb</v>
      </c>
      <c r="C369" s="33" t="str">
        <f t="shared" si="11"/>
        <v>c0rb</v>
      </c>
      <c r="D369" s="23" t="s">
        <v>10336</v>
      </c>
      <c r="E369" s="23" t="s">
        <v>1142</v>
      </c>
      <c r="F369" s="23" t="s">
        <v>9374</v>
      </c>
      <c r="G369" s="23" t="s">
        <v>9375</v>
      </c>
      <c r="H369" s="23" t="s">
        <v>121</v>
      </c>
      <c r="I369" s="23" t="s">
        <v>9376</v>
      </c>
      <c r="J369" s="23" t="s">
        <v>3276</v>
      </c>
      <c r="K369" s="23" t="s">
        <v>3275</v>
      </c>
      <c r="L369" s="23" t="s">
        <v>9466</v>
      </c>
      <c r="M369" s="23" t="s">
        <v>9425</v>
      </c>
      <c r="N369" s="23" t="s">
        <v>9394</v>
      </c>
      <c r="O369" s="23" t="s">
        <v>9467</v>
      </c>
      <c r="P369" s="23" t="s">
        <v>9468</v>
      </c>
      <c r="Q369" s="23" t="s">
        <v>10337</v>
      </c>
      <c r="R369" s="23" t="s">
        <v>9383</v>
      </c>
    </row>
    <row r="370" spans="2:18" ht="15" customHeight="1" x14ac:dyDescent="0.25">
      <c r="B370" s="33" t="str">
        <f t="shared" si="10"/>
        <v>rc</v>
      </c>
      <c r="C370" s="33" t="str">
        <f t="shared" si="11"/>
        <v>c0rc</v>
      </c>
      <c r="D370" s="23" t="s">
        <v>10338</v>
      </c>
      <c r="E370" s="23" t="s">
        <v>1144</v>
      </c>
      <c r="F370" s="23" t="s">
        <v>9374</v>
      </c>
      <c r="G370" s="23" t="s">
        <v>9375</v>
      </c>
      <c r="H370" s="23" t="s">
        <v>121</v>
      </c>
      <c r="I370" s="23" t="s">
        <v>9376</v>
      </c>
      <c r="J370" s="23" t="s">
        <v>3276</v>
      </c>
      <c r="K370" s="23" t="s">
        <v>3275</v>
      </c>
      <c r="L370" s="23" t="s">
        <v>9461</v>
      </c>
      <c r="M370" s="23" t="s">
        <v>9425</v>
      </c>
      <c r="N370" s="23" t="s">
        <v>9394</v>
      </c>
      <c r="O370" s="23" t="s">
        <v>9462</v>
      </c>
      <c r="P370" s="23" t="s">
        <v>9463</v>
      </c>
      <c r="Q370" s="23" t="s">
        <v>10339</v>
      </c>
      <c r="R370" s="23" t="s">
        <v>9383</v>
      </c>
    </row>
    <row r="371" spans="2:18" ht="15" customHeight="1" x14ac:dyDescent="0.25">
      <c r="B371" s="33" t="str">
        <f t="shared" si="10"/>
        <v>rd</v>
      </c>
      <c r="C371" s="33" t="str">
        <f t="shared" si="11"/>
        <v>c0rd</v>
      </c>
      <c r="D371" s="23" t="s">
        <v>10340</v>
      </c>
      <c r="E371" s="23" t="s">
        <v>1146</v>
      </c>
      <c r="F371" s="23" t="s">
        <v>9374</v>
      </c>
      <c r="G371" s="23" t="s">
        <v>9375</v>
      </c>
      <c r="H371" s="23" t="s">
        <v>121</v>
      </c>
      <c r="I371" s="23" t="s">
        <v>9376</v>
      </c>
      <c r="J371" s="23" t="s">
        <v>3276</v>
      </c>
      <c r="K371" s="23" t="s">
        <v>3275</v>
      </c>
      <c r="L371" s="23" t="s">
        <v>9471</v>
      </c>
      <c r="M371" s="23" t="s">
        <v>9425</v>
      </c>
      <c r="N371" s="23" t="s">
        <v>9394</v>
      </c>
      <c r="O371" s="23" t="s">
        <v>9472</v>
      </c>
      <c r="P371" s="23" t="s">
        <v>9473</v>
      </c>
      <c r="Q371" s="23" t="s">
        <v>10341</v>
      </c>
      <c r="R371" s="23" t="s">
        <v>9383</v>
      </c>
    </row>
    <row r="372" spans="2:18" ht="15" customHeight="1" x14ac:dyDescent="0.25">
      <c r="B372" s="33" t="str">
        <f t="shared" si="10"/>
        <v>re</v>
      </c>
      <c r="C372" s="33" t="str">
        <f t="shared" si="11"/>
        <v>c0re</v>
      </c>
      <c r="D372" s="23" t="s">
        <v>10342</v>
      </c>
      <c r="E372" s="23" t="s">
        <v>1148</v>
      </c>
      <c r="F372" s="23" t="s">
        <v>9374</v>
      </c>
      <c r="G372" s="23" t="s">
        <v>9375</v>
      </c>
      <c r="H372" s="23" t="s">
        <v>121</v>
      </c>
      <c r="I372" s="23" t="s">
        <v>9376</v>
      </c>
      <c r="J372" s="23" t="s">
        <v>3276</v>
      </c>
      <c r="K372" s="23" t="s">
        <v>3275</v>
      </c>
      <c r="L372" s="23" t="s">
        <v>9466</v>
      </c>
      <c r="M372" s="23" t="s">
        <v>9425</v>
      </c>
      <c r="N372" s="23" t="s">
        <v>9394</v>
      </c>
      <c r="O372" s="23" t="s">
        <v>9467</v>
      </c>
      <c r="P372" s="23" t="s">
        <v>9468</v>
      </c>
      <c r="Q372" s="23" t="s">
        <v>10343</v>
      </c>
      <c r="R372" s="23" t="s">
        <v>9383</v>
      </c>
    </row>
    <row r="373" spans="2:18" ht="15" customHeight="1" x14ac:dyDescent="0.25">
      <c r="B373" s="33" t="str">
        <f t="shared" si="10"/>
        <v>rf</v>
      </c>
      <c r="C373" s="33" t="str">
        <f t="shared" si="11"/>
        <v>c0rf</v>
      </c>
      <c r="D373" s="23" t="s">
        <v>10344</v>
      </c>
      <c r="E373" s="23" t="s">
        <v>1150</v>
      </c>
      <c r="F373" s="23" t="s">
        <v>9374</v>
      </c>
      <c r="G373" s="23" t="s">
        <v>9375</v>
      </c>
      <c r="H373" s="23" t="s">
        <v>121</v>
      </c>
      <c r="I373" s="23" t="s">
        <v>9376</v>
      </c>
      <c r="J373" s="23" t="s">
        <v>3276</v>
      </c>
      <c r="K373" s="23" t="s">
        <v>3275</v>
      </c>
      <c r="L373" s="23" t="s">
        <v>9461</v>
      </c>
      <c r="M373" s="23" t="s">
        <v>9425</v>
      </c>
      <c r="N373" s="23" t="s">
        <v>9394</v>
      </c>
      <c r="O373" s="23" t="s">
        <v>9462</v>
      </c>
      <c r="P373" s="23" t="s">
        <v>9463</v>
      </c>
      <c r="Q373" s="23" t="s">
        <v>10345</v>
      </c>
      <c r="R373" s="23" t="s">
        <v>9383</v>
      </c>
    </row>
    <row r="374" spans="2:18" ht="15" customHeight="1" x14ac:dyDescent="0.25">
      <c r="B374" s="33" t="str">
        <f t="shared" si="10"/>
        <v>rg</v>
      </c>
      <c r="C374" s="33" t="str">
        <f t="shared" si="11"/>
        <v>c0rg</v>
      </c>
      <c r="D374" s="23" t="s">
        <v>10346</v>
      </c>
      <c r="E374" s="23" t="s">
        <v>1152</v>
      </c>
      <c r="F374" s="23" t="s">
        <v>9374</v>
      </c>
      <c r="G374" s="23" t="s">
        <v>9375</v>
      </c>
      <c r="H374" s="23" t="s">
        <v>121</v>
      </c>
      <c r="I374" s="23" t="s">
        <v>9376</v>
      </c>
      <c r="J374" s="23" t="s">
        <v>3276</v>
      </c>
      <c r="K374" s="23" t="s">
        <v>3275</v>
      </c>
      <c r="L374" s="23" t="s">
        <v>9481</v>
      </c>
      <c r="M374" s="23" t="s">
        <v>9425</v>
      </c>
      <c r="N374" s="23" t="s">
        <v>9394</v>
      </c>
      <c r="O374" s="23" t="s">
        <v>9482</v>
      </c>
      <c r="P374" s="23" t="s">
        <v>9483</v>
      </c>
      <c r="Q374" s="23" t="s">
        <v>10347</v>
      </c>
      <c r="R374" s="23" t="s">
        <v>9383</v>
      </c>
    </row>
    <row r="375" spans="2:18" ht="15" customHeight="1" x14ac:dyDescent="0.25">
      <c r="B375" s="33" t="str">
        <f t="shared" si="10"/>
        <v>s1</v>
      </c>
      <c r="C375" s="33" t="str">
        <f t="shared" si="11"/>
        <v>c0s1</v>
      </c>
      <c r="D375" s="23" t="s">
        <v>10348</v>
      </c>
      <c r="E375" s="23" t="s">
        <v>10349</v>
      </c>
      <c r="F375" s="23" t="s">
        <v>9374</v>
      </c>
      <c r="G375" s="23" t="s">
        <v>9403</v>
      </c>
      <c r="H375" s="23" t="s">
        <v>121</v>
      </c>
      <c r="I375" s="23" t="s">
        <v>9376</v>
      </c>
      <c r="J375" s="23"/>
      <c r="K375" s="23"/>
      <c r="L375" s="23"/>
      <c r="M375" s="23" t="s">
        <v>9425</v>
      </c>
      <c r="N375" s="23" t="s">
        <v>9394</v>
      </c>
      <c r="O375" s="23"/>
      <c r="P375" s="23"/>
      <c r="Q375" s="23" t="s">
        <v>10350</v>
      </c>
      <c r="R375" s="23" t="s">
        <v>9383</v>
      </c>
    </row>
    <row r="376" spans="2:18" ht="15" customHeight="1" x14ac:dyDescent="0.25">
      <c r="B376" s="33" t="str">
        <f t="shared" si="10"/>
        <v>s3</v>
      </c>
      <c r="C376" s="33" t="str">
        <f t="shared" si="11"/>
        <v>c0s3</v>
      </c>
      <c r="D376" s="23" t="s">
        <v>10351</v>
      </c>
      <c r="E376" s="23" t="s">
        <v>1156</v>
      </c>
      <c r="F376" s="23" t="s">
        <v>9374</v>
      </c>
      <c r="G376" s="23" t="s">
        <v>9375</v>
      </c>
      <c r="H376" s="23" t="s">
        <v>121</v>
      </c>
      <c r="I376" s="23" t="s">
        <v>9376</v>
      </c>
      <c r="J376" s="23" t="s">
        <v>3276</v>
      </c>
      <c r="K376" s="23" t="s">
        <v>3275</v>
      </c>
      <c r="L376" s="23" t="s">
        <v>10352</v>
      </c>
      <c r="M376" s="23" t="s">
        <v>9393</v>
      </c>
      <c r="N376" s="23" t="s">
        <v>9394</v>
      </c>
      <c r="O376" s="23"/>
      <c r="P376" s="23"/>
      <c r="Q376" s="23" t="s">
        <v>10353</v>
      </c>
      <c r="R376" s="23" t="s">
        <v>9383</v>
      </c>
    </row>
    <row r="377" spans="2:18" ht="15" customHeight="1" x14ac:dyDescent="0.25">
      <c r="B377" s="33" t="str">
        <f t="shared" si="10"/>
        <v>s4</v>
      </c>
      <c r="C377" s="33" t="str">
        <f t="shared" si="11"/>
        <v>c0s4</v>
      </c>
      <c r="D377" s="23" t="s">
        <v>10354</v>
      </c>
      <c r="E377" s="23" t="s">
        <v>10355</v>
      </c>
      <c r="F377" s="23" t="s">
        <v>9374</v>
      </c>
      <c r="G377" s="23" t="s">
        <v>9403</v>
      </c>
      <c r="H377" s="23" t="s">
        <v>121</v>
      </c>
      <c r="I377" s="23" t="s">
        <v>9376</v>
      </c>
      <c r="J377" s="23"/>
      <c r="K377" s="23"/>
      <c r="L377" s="23"/>
      <c r="M377" s="23" t="s">
        <v>9425</v>
      </c>
      <c r="N377" s="23" t="s">
        <v>9394</v>
      </c>
      <c r="O377" s="23"/>
      <c r="P377" s="23"/>
      <c r="Q377" s="23" t="s">
        <v>10356</v>
      </c>
      <c r="R377" s="23" t="s">
        <v>9383</v>
      </c>
    </row>
    <row r="378" spans="2:18" ht="15" customHeight="1" x14ac:dyDescent="0.25">
      <c r="B378" s="33" t="str">
        <f t="shared" si="10"/>
        <v>s5</v>
      </c>
      <c r="C378" s="33" t="str">
        <f t="shared" si="11"/>
        <v>c0s5</v>
      </c>
      <c r="D378" s="23" t="s">
        <v>10357</v>
      </c>
      <c r="E378" s="23" t="s">
        <v>10358</v>
      </c>
      <c r="F378" s="23" t="s">
        <v>9374</v>
      </c>
      <c r="G378" s="23" t="s">
        <v>9403</v>
      </c>
      <c r="H378" s="23" t="s">
        <v>121</v>
      </c>
      <c r="I378" s="23" t="s">
        <v>9376</v>
      </c>
      <c r="J378" s="23"/>
      <c r="K378" s="23"/>
      <c r="L378" s="23"/>
      <c r="M378" s="23" t="s">
        <v>9425</v>
      </c>
      <c r="N378" s="23" t="s">
        <v>9394</v>
      </c>
      <c r="O378" s="23"/>
      <c r="P378" s="23"/>
      <c r="Q378" s="23" t="s">
        <v>10359</v>
      </c>
      <c r="R378" s="23" t="s">
        <v>9383</v>
      </c>
    </row>
    <row r="379" spans="2:18" ht="15" customHeight="1" x14ac:dyDescent="0.25">
      <c r="B379" s="33" t="str">
        <f t="shared" si="10"/>
        <v>s6</v>
      </c>
      <c r="C379" s="33" t="str">
        <f t="shared" si="11"/>
        <v>c0s6</v>
      </c>
      <c r="D379" s="23" t="s">
        <v>10360</v>
      </c>
      <c r="E379" s="23" t="s">
        <v>10361</v>
      </c>
      <c r="F379" s="23" t="s">
        <v>9374</v>
      </c>
      <c r="G379" s="23" t="s">
        <v>9403</v>
      </c>
      <c r="H379" s="23" t="s">
        <v>121</v>
      </c>
      <c r="I379" s="23" t="s">
        <v>9376</v>
      </c>
      <c r="J379" s="23"/>
      <c r="K379" s="23"/>
      <c r="L379" s="23"/>
      <c r="M379" s="23" t="s">
        <v>9378</v>
      </c>
      <c r="N379" s="23" t="s">
        <v>9379</v>
      </c>
      <c r="O379" s="23"/>
      <c r="P379" s="23"/>
      <c r="Q379" s="23" t="s">
        <v>10362</v>
      </c>
      <c r="R379" s="23" t="s">
        <v>9383</v>
      </c>
    </row>
    <row r="380" spans="2:18" ht="15" customHeight="1" x14ac:dyDescent="0.25">
      <c r="B380" s="33" t="str">
        <f t="shared" si="10"/>
        <v>s7</v>
      </c>
      <c r="C380" s="33" t="str">
        <f t="shared" si="11"/>
        <v>c0s7</v>
      </c>
      <c r="D380" s="23" t="s">
        <v>10363</v>
      </c>
      <c r="E380" s="23" t="s">
        <v>10364</v>
      </c>
      <c r="F380" s="23" t="s">
        <v>9374</v>
      </c>
      <c r="G380" s="23" t="s">
        <v>9403</v>
      </c>
      <c r="H380" s="23" t="s">
        <v>121</v>
      </c>
      <c r="I380" s="23" t="s">
        <v>9376</v>
      </c>
      <c r="J380" s="23"/>
      <c r="K380" s="23"/>
      <c r="L380" s="23"/>
      <c r="M380" s="23" t="s">
        <v>9378</v>
      </c>
      <c r="N380" s="23" t="s">
        <v>9379</v>
      </c>
      <c r="O380" s="23"/>
      <c r="P380" s="23"/>
      <c r="Q380" s="23" t="s">
        <v>10365</v>
      </c>
      <c r="R380" s="23" t="s">
        <v>9383</v>
      </c>
    </row>
    <row r="381" spans="2:18" ht="15" customHeight="1" x14ac:dyDescent="0.25">
      <c r="B381" s="33" t="str">
        <f t="shared" si="10"/>
        <v>s8</v>
      </c>
      <c r="C381" s="33" t="str">
        <f t="shared" si="11"/>
        <v>c0s8</v>
      </c>
      <c r="D381" s="23" t="s">
        <v>10366</v>
      </c>
      <c r="E381" s="23" t="s">
        <v>10367</v>
      </c>
      <c r="F381" s="23" t="s">
        <v>9374</v>
      </c>
      <c r="G381" s="23" t="s">
        <v>9403</v>
      </c>
      <c r="H381" s="23" t="s">
        <v>121</v>
      </c>
      <c r="I381" s="23" t="s">
        <v>9376</v>
      </c>
      <c r="J381" s="23"/>
      <c r="K381" s="23"/>
      <c r="L381" s="23"/>
      <c r="M381" s="23" t="s">
        <v>9425</v>
      </c>
      <c r="N381" s="23" t="s">
        <v>9394</v>
      </c>
      <c r="O381" s="23"/>
      <c r="P381" s="23"/>
      <c r="Q381" s="23" t="s">
        <v>10368</v>
      </c>
      <c r="R381" s="23" t="s">
        <v>9383</v>
      </c>
    </row>
    <row r="382" spans="2:18" ht="15" customHeight="1" x14ac:dyDescent="0.25">
      <c r="B382" s="33" t="str">
        <f t="shared" si="10"/>
        <v>sa</v>
      </c>
      <c r="C382" s="33" t="str">
        <f t="shared" si="11"/>
        <v>c0sa</v>
      </c>
      <c r="D382" s="23" t="s">
        <v>10369</v>
      </c>
      <c r="E382" s="23" t="s">
        <v>10370</v>
      </c>
      <c r="F382" s="23" t="s">
        <v>9374</v>
      </c>
      <c r="G382" s="23" t="s">
        <v>9403</v>
      </c>
      <c r="H382" s="23" t="s">
        <v>121</v>
      </c>
      <c r="I382" s="23" t="s">
        <v>9376</v>
      </c>
      <c r="J382" s="23"/>
      <c r="K382" s="23"/>
      <c r="L382" s="23"/>
      <c r="M382" s="23" t="s">
        <v>9378</v>
      </c>
      <c r="N382" s="23" t="s">
        <v>9379</v>
      </c>
      <c r="O382" s="23"/>
      <c r="P382" s="23"/>
      <c r="Q382" s="23" t="s">
        <v>10371</v>
      </c>
      <c r="R382" s="23" t="s">
        <v>9383</v>
      </c>
    </row>
    <row r="383" spans="2:18" ht="15" customHeight="1" x14ac:dyDescent="0.25">
      <c r="B383" s="33" t="str">
        <f t="shared" si="10"/>
        <v>sb</v>
      </c>
      <c r="C383" s="33" t="str">
        <f t="shared" si="11"/>
        <v>c0sb</v>
      </c>
      <c r="D383" s="23" t="s">
        <v>10372</v>
      </c>
      <c r="E383" s="23" t="s">
        <v>10373</v>
      </c>
      <c r="F383" s="23" t="s">
        <v>9374</v>
      </c>
      <c r="G383" s="23" t="s">
        <v>9403</v>
      </c>
      <c r="H383" s="23" t="s">
        <v>121</v>
      </c>
      <c r="I383" s="23" t="s">
        <v>9376</v>
      </c>
      <c r="J383" s="23"/>
      <c r="K383" s="23"/>
      <c r="L383" s="23"/>
      <c r="M383" s="23" t="s">
        <v>9378</v>
      </c>
      <c r="N383" s="23" t="s">
        <v>9379</v>
      </c>
      <c r="O383" s="23"/>
      <c r="P383" s="23"/>
      <c r="Q383" s="23" t="s">
        <v>10374</v>
      </c>
      <c r="R383" s="23" t="s">
        <v>9383</v>
      </c>
    </row>
    <row r="384" spans="2:18" ht="15" customHeight="1" x14ac:dyDescent="0.25">
      <c r="B384" s="33" t="str">
        <f t="shared" si="10"/>
        <v>se</v>
      </c>
      <c r="C384" s="33" t="str">
        <f t="shared" si="11"/>
        <v>c0se</v>
      </c>
      <c r="D384" s="23" t="s">
        <v>10375</v>
      </c>
      <c r="E384" s="23" t="s">
        <v>1172</v>
      </c>
      <c r="F384" s="23" t="s">
        <v>9374</v>
      </c>
      <c r="G384" s="23" t="s">
        <v>9403</v>
      </c>
      <c r="H384" s="23" t="s">
        <v>121</v>
      </c>
      <c r="I384" s="23" t="s">
        <v>9376</v>
      </c>
      <c r="J384" s="23"/>
      <c r="K384" s="23"/>
      <c r="L384" s="23"/>
      <c r="M384" s="23" t="s">
        <v>9425</v>
      </c>
      <c r="N384" s="23" t="s">
        <v>9394</v>
      </c>
      <c r="O384" s="23"/>
      <c r="P384" s="23"/>
      <c r="Q384" s="23" t="s">
        <v>10376</v>
      </c>
      <c r="R384" s="23" t="s">
        <v>9383</v>
      </c>
    </row>
    <row r="385" spans="2:18" ht="15" customHeight="1" x14ac:dyDescent="0.25">
      <c r="B385" s="33" t="str">
        <f t="shared" si="10"/>
        <v>sf</v>
      </c>
      <c r="C385" s="33" t="str">
        <f t="shared" si="11"/>
        <v>c0sf</v>
      </c>
      <c r="D385" s="23" t="s">
        <v>10377</v>
      </c>
      <c r="E385" s="23" t="s">
        <v>1174</v>
      </c>
      <c r="F385" s="23" t="s">
        <v>9374</v>
      </c>
      <c r="G385" s="23" t="s">
        <v>9403</v>
      </c>
      <c r="H385" s="23" t="s">
        <v>121</v>
      </c>
      <c r="I385" s="23" t="s">
        <v>9376</v>
      </c>
      <c r="J385" s="23"/>
      <c r="K385" s="23"/>
      <c r="L385" s="23"/>
      <c r="M385" s="23" t="s">
        <v>9378</v>
      </c>
      <c r="N385" s="23" t="s">
        <v>9379</v>
      </c>
      <c r="O385" s="23"/>
      <c r="P385" s="23"/>
      <c r="Q385" s="23" t="s">
        <v>10378</v>
      </c>
      <c r="R385" s="23" t="s">
        <v>9383</v>
      </c>
    </row>
    <row r="386" spans="2:18" ht="15" customHeight="1" x14ac:dyDescent="0.25">
      <c r="B386" s="33" t="str">
        <f t="shared" si="10"/>
        <v>sg</v>
      </c>
      <c r="C386" s="33" t="str">
        <f t="shared" si="11"/>
        <v>c0sg</v>
      </c>
      <c r="D386" s="23" t="s">
        <v>10379</v>
      </c>
      <c r="E386" s="23" t="s">
        <v>1176</v>
      </c>
      <c r="F386" s="23" t="s">
        <v>9374</v>
      </c>
      <c r="G386" s="23" t="s">
        <v>9403</v>
      </c>
      <c r="H386" s="23" t="s">
        <v>121</v>
      </c>
      <c r="I386" s="23" t="s">
        <v>9376</v>
      </c>
      <c r="J386" s="23"/>
      <c r="K386" s="23"/>
      <c r="L386" s="23"/>
      <c r="M386" s="23" t="s">
        <v>9378</v>
      </c>
      <c r="N386" s="23" t="s">
        <v>9379</v>
      </c>
      <c r="O386" s="23"/>
      <c r="P386" s="23"/>
      <c r="Q386" s="23" t="s">
        <v>10380</v>
      </c>
      <c r="R386" s="23" t="s">
        <v>9383</v>
      </c>
    </row>
    <row r="387" spans="2:18" ht="15" customHeight="1" x14ac:dyDescent="0.25">
      <c r="B387" s="33" t="str">
        <f t="shared" si="10"/>
        <v>sh</v>
      </c>
      <c r="C387" s="33" t="str">
        <f t="shared" si="11"/>
        <v>c0sh</v>
      </c>
      <c r="D387" s="23" t="s">
        <v>10381</v>
      </c>
      <c r="E387" s="23" t="s">
        <v>1178</v>
      </c>
      <c r="F387" s="23" t="s">
        <v>9374</v>
      </c>
      <c r="G387" s="23" t="s">
        <v>9403</v>
      </c>
      <c r="H387" s="23" t="s">
        <v>121</v>
      </c>
      <c r="I387" s="23" t="s">
        <v>9376</v>
      </c>
      <c r="J387" s="23"/>
      <c r="K387" s="23"/>
      <c r="L387" s="23"/>
      <c r="M387" s="23" t="s">
        <v>9378</v>
      </c>
      <c r="N387" s="23" t="s">
        <v>9379</v>
      </c>
      <c r="O387" s="23"/>
      <c r="P387" s="23"/>
      <c r="Q387" s="23" t="s">
        <v>10382</v>
      </c>
      <c r="R387" s="23" t="s">
        <v>9586</v>
      </c>
    </row>
    <row r="388" spans="2:18" ht="15" customHeight="1" x14ac:dyDescent="0.25">
      <c r="B388" s="33" t="str">
        <f t="shared" si="10"/>
        <v>sj</v>
      </c>
      <c r="C388" s="33" t="str">
        <f t="shared" si="11"/>
        <v>c0sj</v>
      </c>
      <c r="D388" s="23" t="s">
        <v>10383</v>
      </c>
      <c r="E388" s="23" t="s">
        <v>1180</v>
      </c>
      <c r="F388" s="23" t="s">
        <v>9374</v>
      </c>
      <c r="G388" s="23" t="s">
        <v>9403</v>
      </c>
      <c r="H388" s="23" t="s">
        <v>121</v>
      </c>
      <c r="I388" s="23" t="s">
        <v>9376</v>
      </c>
      <c r="J388" s="23"/>
      <c r="K388" s="23"/>
      <c r="L388" s="23"/>
      <c r="M388" s="23" t="s">
        <v>9378</v>
      </c>
      <c r="N388" s="23" t="s">
        <v>9379</v>
      </c>
      <c r="O388" s="23"/>
      <c r="P388" s="23"/>
      <c r="Q388" s="23"/>
      <c r="R388" s="23" t="s">
        <v>10384</v>
      </c>
    </row>
    <row r="389" spans="2:18" ht="15" customHeight="1" x14ac:dyDescent="0.25">
      <c r="B389" s="33" t="str">
        <f t="shared" si="10"/>
        <v>sk</v>
      </c>
      <c r="C389" s="33" t="str">
        <f t="shared" si="11"/>
        <v>c0sk</v>
      </c>
      <c r="D389" s="23" t="s">
        <v>10385</v>
      </c>
      <c r="E389" s="23" t="s">
        <v>10386</v>
      </c>
      <c r="F389" s="23" t="s">
        <v>9374</v>
      </c>
      <c r="G389" s="23" t="s">
        <v>9403</v>
      </c>
      <c r="H389" s="23" t="s">
        <v>121</v>
      </c>
      <c r="I389" s="23" t="s">
        <v>9376</v>
      </c>
      <c r="J389" s="23"/>
      <c r="K389" s="23"/>
      <c r="L389" s="23"/>
      <c r="M389" s="23" t="s">
        <v>9378</v>
      </c>
      <c r="N389" s="23" t="s">
        <v>9379</v>
      </c>
      <c r="O389" s="23"/>
      <c r="P389" s="23"/>
      <c r="Q389" s="23" t="s">
        <v>10387</v>
      </c>
      <c r="R389" s="23" t="s">
        <v>10384</v>
      </c>
    </row>
    <row r="390" spans="2:18" ht="15" customHeight="1" x14ac:dyDescent="0.25">
      <c r="B390" s="33" t="str">
        <f t="shared" ref="B390:B453" si="12">RIGHT($C390,2)</f>
        <v>sl</v>
      </c>
      <c r="C390" s="33" t="str">
        <f t="shared" ref="C390:C453" si="13">"c0"&amp;RIGHT($D390,2)</f>
        <v>c0sl</v>
      </c>
      <c r="D390" s="23" t="s">
        <v>10388</v>
      </c>
      <c r="E390" s="23" t="s">
        <v>1184</v>
      </c>
      <c r="F390" s="23" t="s">
        <v>9374</v>
      </c>
      <c r="G390" s="23" t="s">
        <v>9403</v>
      </c>
      <c r="H390" s="23" t="s">
        <v>121</v>
      </c>
      <c r="I390" s="23" t="s">
        <v>9376</v>
      </c>
      <c r="J390" s="23"/>
      <c r="K390" s="23"/>
      <c r="L390" s="23"/>
      <c r="M390" s="23" t="s">
        <v>9378</v>
      </c>
      <c r="N390" s="23" t="s">
        <v>9379</v>
      </c>
      <c r="O390" s="23"/>
      <c r="P390" s="23"/>
      <c r="Q390" s="23"/>
      <c r="R390" s="23" t="s">
        <v>10384</v>
      </c>
    </row>
    <row r="391" spans="2:18" ht="15" customHeight="1" x14ac:dyDescent="0.25">
      <c r="B391" s="33" t="str">
        <f t="shared" si="12"/>
        <v>sm</v>
      </c>
      <c r="C391" s="33" t="str">
        <f t="shared" si="13"/>
        <v>c0sm</v>
      </c>
      <c r="D391" s="23" t="s">
        <v>10389</v>
      </c>
      <c r="E391" s="23" t="s">
        <v>1186</v>
      </c>
      <c r="F391" s="23" t="s">
        <v>9374</v>
      </c>
      <c r="G391" s="23" t="s">
        <v>9403</v>
      </c>
      <c r="H391" s="23" t="s">
        <v>121</v>
      </c>
      <c r="I391" s="23" t="s">
        <v>9376</v>
      </c>
      <c r="J391" s="23"/>
      <c r="K391" s="23"/>
      <c r="L391" s="23"/>
      <c r="M391" s="23" t="s">
        <v>9378</v>
      </c>
      <c r="N391" s="23" t="s">
        <v>9379</v>
      </c>
      <c r="O391" s="23"/>
      <c r="P391" s="23"/>
      <c r="Q391" s="23"/>
      <c r="R391" s="23" t="s">
        <v>10384</v>
      </c>
    </row>
    <row r="392" spans="2:18" ht="15" customHeight="1" x14ac:dyDescent="0.25">
      <c r="B392" s="33" t="str">
        <f t="shared" si="12"/>
        <v>t4</v>
      </c>
      <c r="C392" s="33" t="str">
        <f t="shared" si="13"/>
        <v>c0t4</v>
      </c>
      <c r="D392" s="23" t="s">
        <v>10390</v>
      </c>
      <c r="E392" s="23" t="s">
        <v>10391</v>
      </c>
      <c r="F392" s="23" t="s">
        <v>9374</v>
      </c>
      <c r="G392" s="23" t="s">
        <v>9403</v>
      </c>
      <c r="H392" s="23" t="s">
        <v>121</v>
      </c>
      <c r="I392" s="23" t="s">
        <v>9376</v>
      </c>
      <c r="J392" s="23"/>
      <c r="K392" s="23"/>
      <c r="L392" s="23"/>
      <c r="M392" s="23" t="s">
        <v>9378</v>
      </c>
      <c r="N392" s="23" t="s">
        <v>9379</v>
      </c>
      <c r="O392" s="23"/>
      <c r="P392" s="23"/>
      <c r="Q392" s="23" t="s">
        <v>10392</v>
      </c>
      <c r="R392" s="23" t="s">
        <v>9383</v>
      </c>
    </row>
    <row r="393" spans="2:18" ht="15" customHeight="1" x14ac:dyDescent="0.25">
      <c r="B393" s="33" t="str">
        <f t="shared" si="12"/>
        <v>t5</v>
      </c>
      <c r="C393" s="33" t="str">
        <f t="shared" si="13"/>
        <v>c0t5</v>
      </c>
      <c r="D393" s="23" t="s">
        <v>10393</v>
      </c>
      <c r="E393" s="23" t="s">
        <v>10394</v>
      </c>
      <c r="F393" s="23" t="s">
        <v>9374</v>
      </c>
      <c r="G393" s="23" t="s">
        <v>9403</v>
      </c>
      <c r="H393" s="23" t="s">
        <v>121</v>
      </c>
      <c r="I393" s="23" t="s">
        <v>9376</v>
      </c>
      <c r="J393" s="23"/>
      <c r="K393" s="23"/>
      <c r="L393" s="23"/>
      <c r="M393" s="23" t="s">
        <v>9378</v>
      </c>
      <c r="N393" s="23" t="s">
        <v>9379</v>
      </c>
      <c r="O393" s="23"/>
      <c r="P393" s="23"/>
      <c r="Q393" s="23" t="s">
        <v>10395</v>
      </c>
      <c r="R393" s="23" t="s">
        <v>9383</v>
      </c>
    </row>
    <row r="394" spans="2:18" ht="15" customHeight="1" x14ac:dyDescent="0.25">
      <c r="B394" s="33" t="str">
        <f t="shared" si="12"/>
        <v>t7</v>
      </c>
      <c r="C394" s="33" t="str">
        <f t="shared" si="13"/>
        <v>c0t7</v>
      </c>
      <c r="D394" s="23" t="s">
        <v>10396</v>
      </c>
      <c r="E394" s="23" t="s">
        <v>10397</v>
      </c>
      <c r="F394" s="23" t="s">
        <v>9374</v>
      </c>
      <c r="G394" s="23" t="s">
        <v>9403</v>
      </c>
      <c r="H394" s="23" t="s">
        <v>121</v>
      </c>
      <c r="I394" s="23" t="s">
        <v>9376</v>
      </c>
      <c r="J394" s="23"/>
      <c r="K394" s="23"/>
      <c r="L394" s="23"/>
      <c r="M394" s="23" t="s">
        <v>9378</v>
      </c>
      <c r="N394" s="23" t="s">
        <v>9379</v>
      </c>
      <c r="O394" s="23"/>
      <c r="P394" s="23"/>
      <c r="Q394" s="23" t="s">
        <v>10398</v>
      </c>
      <c r="R394" s="23" t="s">
        <v>9383</v>
      </c>
    </row>
    <row r="395" spans="2:18" ht="15" customHeight="1" x14ac:dyDescent="0.25">
      <c r="B395" s="33" t="str">
        <f t="shared" si="12"/>
        <v>tt</v>
      </c>
      <c r="C395" s="33" t="str">
        <f t="shared" si="13"/>
        <v>c0tt</v>
      </c>
      <c r="D395" s="23" t="s">
        <v>10399</v>
      </c>
      <c r="E395" s="23" t="s">
        <v>1194</v>
      </c>
      <c r="F395" s="23" t="s">
        <v>9374</v>
      </c>
      <c r="G395" s="23" t="s">
        <v>9375</v>
      </c>
      <c r="H395" s="23" t="s">
        <v>121</v>
      </c>
      <c r="I395" s="23" t="s">
        <v>9376</v>
      </c>
      <c r="J395" s="23" t="s">
        <v>3276</v>
      </c>
      <c r="K395" s="23" t="s">
        <v>3275</v>
      </c>
      <c r="L395" s="23" t="s">
        <v>10400</v>
      </c>
      <c r="M395" s="23" t="s">
        <v>9378</v>
      </c>
      <c r="N395" s="23" t="s">
        <v>9379</v>
      </c>
      <c r="O395" s="23" t="s">
        <v>10401</v>
      </c>
      <c r="P395" s="23" t="s">
        <v>10402</v>
      </c>
      <c r="Q395" s="23" t="s">
        <v>10403</v>
      </c>
      <c r="R395" s="23" t="s">
        <v>9920</v>
      </c>
    </row>
    <row r="396" spans="2:18" ht="15" customHeight="1" x14ac:dyDescent="0.25">
      <c r="B396" s="33" t="str">
        <f t="shared" si="12"/>
        <v>tu</v>
      </c>
      <c r="C396" s="33" t="str">
        <f t="shared" si="13"/>
        <v>c0tu</v>
      </c>
      <c r="D396" s="23" t="s">
        <v>10404</v>
      </c>
      <c r="E396" s="23" t="s">
        <v>1196</v>
      </c>
      <c r="F396" s="23" t="s">
        <v>9374</v>
      </c>
      <c r="G396" s="23" t="s">
        <v>9375</v>
      </c>
      <c r="H396" s="23" t="s">
        <v>121</v>
      </c>
      <c r="I396" s="23" t="s">
        <v>9376</v>
      </c>
      <c r="J396" s="23" t="s">
        <v>3276</v>
      </c>
      <c r="K396" s="23" t="s">
        <v>3275</v>
      </c>
      <c r="L396" s="23" t="s">
        <v>10400</v>
      </c>
      <c r="M396" s="23" t="s">
        <v>9378</v>
      </c>
      <c r="N396" s="23" t="s">
        <v>9379</v>
      </c>
      <c r="O396" s="23" t="s">
        <v>10401</v>
      </c>
      <c r="P396" s="23" t="s">
        <v>10402</v>
      </c>
      <c r="Q396" s="23" t="s">
        <v>10405</v>
      </c>
      <c r="R396" s="23" t="s">
        <v>9920</v>
      </c>
    </row>
    <row r="397" spans="2:18" ht="15" customHeight="1" x14ac:dyDescent="0.25">
      <c r="B397" s="33" t="str">
        <f t="shared" si="12"/>
        <v>tv</v>
      </c>
      <c r="C397" s="33" t="str">
        <f t="shared" si="13"/>
        <v>c0tv</v>
      </c>
      <c r="D397" s="23" t="s">
        <v>10406</v>
      </c>
      <c r="E397" s="23" t="s">
        <v>1198</v>
      </c>
      <c r="F397" s="23" t="s">
        <v>9374</v>
      </c>
      <c r="G397" s="23" t="s">
        <v>9403</v>
      </c>
      <c r="H397" s="23" t="s">
        <v>121</v>
      </c>
      <c r="I397" s="23" t="s">
        <v>9376</v>
      </c>
      <c r="J397" s="23"/>
      <c r="K397" s="23"/>
      <c r="L397" s="23"/>
      <c r="M397" s="23" t="s">
        <v>9378</v>
      </c>
      <c r="N397" s="23" t="s">
        <v>9379</v>
      </c>
      <c r="O397" s="23"/>
      <c r="P397" s="23"/>
      <c r="Q397" s="23" t="s">
        <v>10407</v>
      </c>
      <c r="R397" s="23" t="s">
        <v>9920</v>
      </c>
    </row>
    <row r="398" spans="2:18" ht="15" customHeight="1" x14ac:dyDescent="0.25">
      <c r="B398" s="33" t="str">
        <f t="shared" si="12"/>
        <v>tw</v>
      </c>
      <c r="C398" s="33" t="str">
        <f t="shared" si="13"/>
        <v>c0tw</v>
      </c>
      <c r="D398" s="23" t="s">
        <v>10408</v>
      </c>
      <c r="E398" s="23" t="s">
        <v>1200</v>
      </c>
      <c r="F398" s="23" t="s">
        <v>9374</v>
      </c>
      <c r="G398" s="23" t="s">
        <v>9403</v>
      </c>
      <c r="H398" s="23" t="s">
        <v>121</v>
      </c>
      <c r="I398" s="23" t="s">
        <v>9376</v>
      </c>
      <c r="J398" s="23"/>
      <c r="K398" s="23"/>
      <c r="L398" s="23"/>
      <c r="M398" s="23" t="s">
        <v>9378</v>
      </c>
      <c r="N398" s="23" t="s">
        <v>9379</v>
      </c>
      <c r="O398" s="23"/>
      <c r="P398" s="23"/>
      <c r="Q398" s="23" t="s">
        <v>10409</v>
      </c>
      <c r="R398" s="23" t="s">
        <v>9383</v>
      </c>
    </row>
    <row r="399" spans="2:18" ht="15" customHeight="1" x14ac:dyDescent="0.25">
      <c r="B399" s="33" t="str">
        <f t="shared" si="12"/>
        <v>tx</v>
      </c>
      <c r="C399" s="33" t="str">
        <f t="shared" si="13"/>
        <v>c0tx</v>
      </c>
      <c r="D399" s="23" t="s">
        <v>10410</v>
      </c>
      <c r="E399" s="23" t="s">
        <v>1202</v>
      </c>
      <c r="F399" s="23" t="s">
        <v>9374</v>
      </c>
      <c r="G399" s="23" t="s">
        <v>9403</v>
      </c>
      <c r="H399" s="23" t="s">
        <v>121</v>
      </c>
      <c r="I399" s="23" t="s">
        <v>9376</v>
      </c>
      <c r="J399" s="23"/>
      <c r="K399" s="23"/>
      <c r="L399" s="23"/>
      <c r="M399" s="23" t="s">
        <v>9378</v>
      </c>
      <c r="N399" s="23" t="s">
        <v>9379</v>
      </c>
      <c r="O399" s="23"/>
      <c r="P399" s="23"/>
      <c r="Q399" s="23" t="s">
        <v>10411</v>
      </c>
      <c r="R399" s="23" t="s">
        <v>9383</v>
      </c>
    </row>
    <row r="400" spans="2:18" ht="15" customHeight="1" x14ac:dyDescent="0.25">
      <c r="B400" s="33" t="str">
        <f t="shared" si="12"/>
        <v>ty</v>
      </c>
      <c r="C400" s="33" t="str">
        <f t="shared" si="13"/>
        <v>c0ty</v>
      </c>
      <c r="D400" s="23" t="s">
        <v>10412</v>
      </c>
      <c r="E400" s="23" t="s">
        <v>1204</v>
      </c>
      <c r="F400" s="23" t="s">
        <v>9374</v>
      </c>
      <c r="G400" s="23" t="s">
        <v>9403</v>
      </c>
      <c r="H400" s="23" t="s">
        <v>121</v>
      </c>
      <c r="I400" s="23" t="s">
        <v>9376</v>
      </c>
      <c r="J400" s="23"/>
      <c r="K400" s="23"/>
      <c r="L400" s="23"/>
      <c r="M400" s="23" t="s">
        <v>9378</v>
      </c>
      <c r="N400" s="23" t="s">
        <v>9379</v>
      </c>
      <c r="O400" s="23"/>
      <c r="P400" s="23"/>
      <c r="Q400" s="23" t="s">
        <v>10413</v>
      </c>
      <c r="R400" s="23" t="s">
        <v>9383</v>
      </c>
    </row>
    <row r="401" spans="2:18" ht="15" customHeight="1" x14ac:dyDescent="0.25">
      <c r="B401" s="33" t="str">
        <f t="shared" si="12"/>
        <v>tz</v>
      </c>
      <c r="C401" s="33" t="str">
        <f t="shared" si="13"/>
        <v>c0tz</v>
      </c>
      <c r="D401" s="23" t="s">
        <v>10414</v>
      </c>
      <c r="E401" s="23" t="s">
        <v>10415</v>
      </c>
      <c r="F401" s="23" t="s">
        <v>9374</v>
      </c>
      <c r="G401" s="23" t="s">
        <v>9403</v>
      </c>
      <c r="H401" s="23" t="s">
        <v>121</v>
      </c>
      <c r="I401" s="23" t="s">
        <v>9376</v>
      </c>
      <c r="J401" s="23"/>
      <c r="K401" s="23"/>
      <c r="L401" s="23"/>
      <c r="M401" s="23" t="s">
        <v>9378</v>
      </c>
      <c r="N401" s="23" t="s">
        <v>9379</v>
      </c>
      <c r="O401" s="23"/>
      <c r="P401" s="23"/>
      <c r="Q401" s="23" t="s">
        <v>10416</v>
      </c>
      <c r="R401" s="23" t="s">
        <v>9383</v>
      </c>
    </row>
    <row r="402" spans="2:18" ht="15" customHeight="1" x14ac:dyDescent="0.25">
      <c r="B402" s="33" t="str">
        <f t="shared" si="12"/>
        <v>u1</v>
      </c>
      <c r="C402" s="33" t="str">
        <f t="shared" si="13"/>
        <v>c0u1</v>
      </c>
      <c r="D402" s="23" t="s">
        <v>10417</v>
      </c>
      <c r="E402" s="23" t="s">
        <v>1208</v>
      </c>
      <c r="F402" s="23" t="s">
        <v>9374</v>
      </c>
      <c r="G402" s="23" t="s">
        <v>9403</v>
      </c>
      <c r="H402" s="23" t="s">
        <v>121</v>
      </c>
      <c r="I402" s="23" t="s">
        <v>9376</v>
      </c>
      <c r="J402" s="23"/>
      <c r="K402" s="23"/>
      <c r="L402" s="23"/>
      <c r="M402" s="23" t="s">
        <v>9378</v>
      </c>
      <c r="N402" s="23" t="s">
        <v>9379</v>
      </c>
      <c r="O402" s="23"/>
      <c r="P402" s="23"/>
      <c r="Q402" s="23" t="s">
        <v>10418</v>
      </c>
      <c r="R402" s="23" t="s">
        <v>9383</v>
      </c>
    </row>
    <row r="403" spans="2:18" ht="15" customHeight="1" x14ac:dyDescent="0.25">
      <c r="B403" s="33" t="str">
        <f t="shared" si="12"/>
        <v>u8</v>
      </c>
      <c r="C403" s="33" t="str">
        <f t="shared" si="13"/>
        <v>c0u8</v>
      </c>
      <c r="D403" s="23" t="s">
        <v>10419</v>
      </c>
      <c r="E403" s="23" t="s">
        <v>1210</v>
      </c>
      <c r="F403" s="23" t="s">
        <v>9374</v>
      </c>
      <c r="G403" s="23" t="s">
        <v>9403</v>
      </c>
      <c r="H403" s="23" t="s">
        <v>121</v>
      </c>
      <c r="I403" s="23" t="s">
        <v>9376</v>
      </c>
      <c r="J403" s="23"/>
      <c r="K403" s="23"/>
      <c r="L403" s="23"/>
      <c r="M403" s="23" t="s">
        <v>9378</v>
      </c>
      <c r="N403" s="23" t="s">
        <v>9379</v>
      </c>
      <c r="O403" s="23"/>
      <c r="P403" s="23"/>
      <c r="Q403" s="23" t="s">
        <v>10420</v>
      </c>
      <c r="R403" s="23" t="s">
        <v>9383</v>
      </c>
    </row>
    <row r="404" spans="2:18" ht="15" customHeight="1" x14ac:dyDescent="0.25">
      <c r="B404" s="33" t="str">
        <f t="shared" si="12"/>
        <v>u9</v>
      </c>
      <c r="C404" s="33" t="str">
        <f t="shared" si="13"/>
        <v>c0u9</v>
      </c>
      <c r="D404" s="23" t="s">
        <v>10421</v>
      </c>
      <c r="E404" s="23" t="s">
        <v>10422</v>
      </c>
      <c r="F404" s="23" t="s">
        <v>9374</v>
      </c>
      <c r="G404" s="23" t="s">
        <v>9403</v>
      </c>
      <c r="H404" s="23" t="s">
        <v>121</v>
      </c>
      <c r="I404" s="23" t="s">
        <v>9376</v>
      </c>
      <c r="J404" s="23"/>
      <c r="K404" s="23"/>
      <c r="L404" s="23"/>
      <c r="M404" s="23" t="s">
        <v>9378</v>
      </c>
      <c r="N404" s="23" t="s">
        <v>9379</v>
      </c>
      <c r="O404" s="23"/>
      <c r="P404" s="23"/>
      <c r="Q404" s="23" t="s">
        <v>10423</v>
      </c>
      <c r="R404" s="23" t="s">
        <v>9383</v>
      </c>
    </row>
    <row r="405" spans="2:18" ht="15" customHeight="1" x14ac:dyDescent="0.25">
      <c r="B405" s="33" t="str">
        <f t="shared" si="12"/>
        <v>ua</v>
      </c>
      <c r="C405" s="33" t="str">
        <f t="shared" si="13"/>
        <v>c0ua</v>
      </c>
      <c r="D405" s="23" t="s">
        <v>10424</v>
      </c>
      <c r="E405" s="23" t="s">
        <v>10425</v>
      </c>
      <c r="F405" s="23" t="s">
        <v>9374</v>
      </c>
      <c r="G405" s="23" t="s">
        <v>9375</v>
      </c>
      <c r="H405" s="23" t="s">
        <v>121</v>
      </c>
      <c r="I405" s="23" t="s">
        <v>9376</v>
      </c>
      <c r="J405" s="23" t="s">
        <v>3276</v>
      </c>
      <c r="K405" s="23" t="s">
        <v>3275</v>
      </c>
      <c r="L405" s="23" t="s">
        <v>10426</v>
      </c>
      <c r="M405" s="23" t="s">
        <v>9378</v>
      </c>
      <c r="N405" s="23" t="s">
        <v>9379</v>
      </c>
      <c r="O405" s="23" t="s">
        <v>10427</v>
      </c>
      <c r="P405" s="23" t="s">
        <v>10428</v>
      </c>
      <c r="Q405" s="23" t="s">
        <v>10429</v>
      </c>
      <c r="R405" s="23" t="s">
        <v>9383</v>
      </c>
    </row>
    <row r="406" spans="2:18" ht="15" customHeight="1" x14ac:dyDescent="0.25">
      <c r="B406" s="33" t="str">
        <f t="shared" si="12"/>
        <v>ub</v>
      </c>
      <c r="C406" s="33" t="str">
        <f t="shared" si="13"/>
        <v>c0ub</v>
      </c>
      <c r="D406" s="23" t="s">
        <v>10430</v>
      </c>
      <c r="E406" s="23" t="s">
        <v>10431</v>
      </c>
      <c r="F406" s="23" t="s">
        <v>9374</v>
      </c>
      <c r="G406" s="23" t="s">
        <v>9403</v>
      </c>
      <c r="H406" s="23" t="s">
        <v>121</v>
      </c>
      <c r="I406" s="23" t="s">
        <v>9376</v>
      </c>
      <c r="J406" s="23"/>
      <c r="K406" s="23"/>
      <c r="L406" s="23"/>
      <c r="M406" s="23" t="s">
        <v>9378</v>
      </c>
      <c r="N406" s="23" t="s">
        <v>9379</v>
      </c>
      <c r="O406" s="23"/>
      <c r="P406" s="23"/>
      <c r="Q406" s="23" t="s">
        <v>10432</v>
      </c>
      <c r="R406" s="23" t="s">
        <v>9586</v>
      </c>
    </row>
    <row r="407" spans="2:18" ht="15" customHeight="1" x14ac:dyDescent="0.25">
      <c r="B407" s="33" t="str">
        <f t="shared" si="12"/>
        <v>uc</v>
      </c>
      <c r="C407" s="33" t="str">
        <f t="shared" si="13"/>
        <v>c0uc</v>
      </c>
      <c r="D407" s="23" t="s">
        <v>10433</v>
      </c>
      <c r="E407" s="23" t="s">
        <v>10434</v>
      </c>
      <c r="F407" s="23" t="s">
        <v>9374</v>
      </c>
      <c r="G407" s="23" t="s">
        <v>9403</v>
      </c>
      <c r="H407" s="23" t="s">
        <v>121</v>
      </c>
      <c r="I407" s="23" t="s">
        <v>9376</v>
      </c>
      <c r="J407" s="23"/>
      <c r="K407" s="23"/>
      <c r="L407" s="23"/>
      <c r="M407" s="23" t="s">
        <v>9378</v>
      </c>
      <c r="N407" s="23" t="s">
        <v>9379</v>
      </c>
      <c r="O407" s="23"/>
      <c r="P407" s="23"/>
      <c r="Q407" s="23" t="s">
        <v>10435</v>
      </c>
      <c r="R407" s="23" t="s">
        <v>9383</v>
      </c>
    </row>
    <row r="408" spans="2:18" ht="15" customHeight="1" x14ac:dyDescent="0.25">
      <c r="B408" s="33" t="str">
        <f t="shared" si="12"/>
        <v>ud</v>
      </c>
      <c r="C408" s="33" t="str">
        <f t="shared" si="13"/>
        <v>c0ud</v>
      </c>
      <c r="D408" s="23" t="s">
        <v>10436</v>
      </c>
      <c r="E408" s="23" t="s">
        <v>10437</v>
      </c>
      <c r="F408" s="23" t="s">
        <v>9374</v>
      </c>
      <c r="G408" s="23" t="s">
        <v>9375</v>
      </c>
      <c r="H408" s="23" t="s">
        <v>121</v>
      </c>
      <c r="I408" s="23" t="s">
        <v>9376</v>
      </c>
      <c r="J408" s="23" t="s">
        <v>3276</v>
      </c>
      <c r="K408" s="23" t="s">
        <v>3275</v>
      </c>
      <c r="L408" s="23" t="s">
        <v>10426</v>
      </c>
      <c r="M408" s="23" t="s">
        <v>9378</v>
      </c>
      <c r="N408" s="23" t="s">
        <v>9379</v>
      </c>
      <c r="O408" s="23" t="s">
        <v>10427</v>
      </c>
      <c r="P408" s="23" t="s">
        <v>10428</v>
      </c>
      <c r="Q408" s="23" t="s">
        <v>10438</v>
      </c>
      <c r="R408" s="23" t="s">
        <v>9383</v>
      </c>
    </row>
    <row r="409" spans="2:18" ht="15" customHeight="1" x14ac:dyDescent="0.25">
      <c r="B409" s="33" t="str">
        <f t="shared" si="12"/>
        <v>ue</v>
      </c>
      <c r="C409" s="33" t="str">
        <f t="shared" si="13"/>
        <v>c0ue</v>
      </c>
      <c r="D409" s="23" t="s">
        <v>10439</v>
      </c>
      <c r="E409" s="23" t="s">
        <v>10440</v>
      </c>
      <c r="F409" s="23" t="s">
        <v>9374</v>
      </c>
      <c r="G409" s="23" t="s">
        <v>9375</v>
      </c>
      <c r="H409" s="23" t="s">
        <v>121</v>
      </c>
      <c r="I409" s="23" t="s">
        <v>9376</v>
      </c>
      <c r="J409" s="23" t="s">
        <v>3276</v>
      </c>
      <c r="K409" s="23" t="s">
        <v>3275</v>
      </c>
      <c r="L409" s="23" t="s">
        <v>10441</v>
      </c>
      <c r="M409" s="23" t="s">
        <v>9378</v>
      </c>
      <c r="N409" s="23" t="s">
        <v>9379</v>
      </c>
      <c r="O409" s="23" t="s">
        <v>10442</v>
      </c>
      <c r="P409" s="23" t="s">
        <v>10443</v>
      </c>
      <c r="Q409" s="23" t="s">
        <v>10444</v>
      </c>
      <c r="R409" s="23" t="s">
        <v>9383</v>
      </c>
    </row>
    <row r="410" spans="2:18" ht="15" customHeight="1" x14ac:dyDescent="0.25">
      <c r="B410" s="33" t="str">
        <f t="shared" si="12"/>
        <v>uf</v>
      </c>
      <c r="C410" s="33" t="str">
        <f t="shared" si="13"/>
        <v>c0uf</v>
      </c>
      <c r="D410" s="23" t="s">
        <v>10445</v>
      </c>
      <c r="E410" s="23" t="s">
        <v>10446</v>
      </c>
      <c r="F410" s="23" t="s">
        <v>9374</v>
      </c>
      <c r="G410" s="23" t="s">
        <v>9403</v>
      </c>
      <c r="H410" s="23" t="s">
        <v>121</v>
      </c>
      <c r="I410" s="23" t="s">
        <v>9376</v>
      </c>
      <c r="J410" s="23"/>
      <c r="K410" s="23"/>
      <c r="L410" s="23"/>
      <c r="M410" s="23" t="s">
        <v>9378</v>
      </c>
      <c r="N410" s="23" t="s">
        <v>9379</v>
      </c>
      <c r="O410" s="23"/>
      <c r="P410" s="23"/>
      <c r="Q410" s="23" t="s">
        <v>10447</v>
      </c>
      <c r="R410" s="23" t="s">
        <v>9586</v>
      </c>
    </row>
    <row r="411" spans="2:18" ht="15" customHeight="1" x14ac:dyDescent="0.25">
      <c r="B411" s="33" t="str">
        <f t="shared" si="12"/>
        <v>ug</v>
      </c>
      <c r="C411" s="33" t="str">
        <f t="shared" si="13"/>
        <v>c0ug</v>
      </c>
      <c r="D411" s="23" t="s">
        <v>10448</v>
      </c>
      <c r="E411" s="23" t="s">
        <v>10449</v>
      </c>
      <c r="F411" s="23" t="s">
        <v>9374</v>
      </c>
      <c r="G411" s="23" t="s">
        <v>9403</v>
      </c>
      <c r="H411" s="23" t="s">
        <v>121</v>
      </c>
      <c r="I411" s="23" t="s">
        <v>9376</v>
      </c>
      <c r="J411" s="23"/>
      <c r="K411" s="23"/>
      <c r="L411" s="23"/>
      <c r="M411" s="23" t="s">
        <v>9378</v>
      </c>
      <c r="N411" s="23" t="s">
        <v>9379</v>
      </c>
      <c r="O411" s="23"/>
      <c r="P411" s="23"/>
      <c r="Q411" s="23" t="s">
        <v>10450</v>
      </c>
      <c r="R411" s="23" t="s">
        <v>9383</v>
      </c>
    </row>
    <row r="412" spans="2:18" ht="15" customHeight="1" x14ac:dyDescent="0.25">
      <c r="B412" s="33" t="str">
        <f t="shared" si="12"/>
        <v>uh</v>
      </c>
      <c r="C412" s="33" t="str">
        <f t="shared" si="13"/>
        <v>c0uh</v>
      </c>
      <c r="D412" s="23" t="s">
        <v>10451</v>
      </c>
      <c r="E412" s="23" t="s">
        <v>10452</v>
      </c>
      <c r="F412" s="23" t="s">
        <v>9374</v>
      </c>
      <c r="G412" s="23" t="s">
        <v>9375</v>
      </c>
      <c r="H412" s="23" t="s">
        <v>121</v>
      </c>
      <c r="I412" s="23" t="s">
        <v>9376</v>
      </c>
      <c r="J412" s="23" t="s">
        <v>3276</v>
      </c>
      <c r="K412" s="23" t="s">
        <v>3275</v>
      </c>
      <c r="L412" s="23" t="s">
        <v>10441</v>
      </c>
      <c r="M412" s="23" t="s">
        <v>9378</v>
      </c>
      <c r="N412" s="23" t="s">
        <v>9379</v>
      </c>
      <c r="O412" s="23" t="s">
        <v>10442</v>
      </c>
      <c r="P412" s="23" t="s">
        <v>10443</v>
      </c>
      <c r="Q412" s="23" t="s">
        <v>10453</v>
      </c>
      <c r="R412" s="23" t="s">
        <v>9383</v>
      </c>
    </row>
    <row r="413" spans="2:18" ht="15" customHeight="1" x14ac:dyDescent="0.25">
      <c r="B413" s="33" t="str">
        <f t="shared" si="12"/>
        <v>uj</v>
      </c>
      <c r="C413" s="33" t="str">
        <f t="shared" si="13"/>
        <v>c0uj</v>
      </c>
      <c r="D413" s="23" t="s">
        <v>10454</v>
      </c>
      <c r="E413" s="23" t="s">
        <v>10455</v>
      </c>
      <c r="F413" s="23" t="s">
        <v>9374</v>
      </c>
      <c r="G413" s="23" t="s">
        <v>9403</v>
      </c>
      <c r="H413" s="23" t="s">
        <v>121</v>
      </c>
      <c r="I413" s="23" t="s">
        <v>9376</v>
      </c>
      <c r="J413" s="23"/>
      <c r="K413" s="23"/>
      <c r="L413" s="23"/>
      <c r="M413" s="23" t="s">
        <v>9378</v>
      </c>
      <c r="N413" s="23" t="s">
        <v>9379</v>
      </c>
      <c r="O413" s="23"/>
      <c r="P413" s="23"/>
      <c r="Q413" s="23" t="s">
        <v>10456</v>
      </c>
      <c r="R413" s="23" t="s">
        <v>9586</v>
      </c>
    </row>
    <row r="414" spans="2:18" ht="15" customHeight="1" x14ac:dyDescent="0.25">
      <c r="B414" s="33" t="str">
        <f t="shared" si="12"/>
        <v>uk</v>
      </c>
      <c r="C414" s="33" t="str">
        <f t="shared" si="13"/>
        <v>c0uk</v>
      </c>
      <c r="D414" s="23" t="s">
        <v>10457</v>
      </c>
      <c r="E414" s="23" t="s">
        <v>1232</v>
      </c>
      <c r="F414" s="23" t="s">
        <v>9374</v>
      </c>
      <c r="G414" s="23" t="s">
        <v>9375</v>
      </c>
      <c r="H414" s="23" t="s">
        <v>121</v>
      </c>
      <c r="I414" s="23" t="s">
        <v>9376</v>
      </c>
      <c r="J414" s="23" t="s">
        <v>3276</v>
      </c>
      <c r="K414" s="23" t="s">
        <v>3275</v>
      </c>
      <c r="L414" s="23" t="s">
        <v>10458</v>
      </c>
      <c r="M414" s="23" t="s">
        <v>9378</v>
      </c>
      <c r="N414" s="23" t="s">
        <v>9379</v>
      </c>
      <c r="O414" s="23"/>
      <c r="P414" s="23"/>
      <c r="Q414" s="23" t="s">
        <v>10459</v>
      </c>
      <c r="R414" s="23" t="s">
        <v>9383</v>
      </c>
    </row>
    <row r="415" spans="2:18" ht="15" customHeight="1" x14ac:dyDescent="0.25">
      <c r="B415" s="33" t="str">
        <f t="shared" si="12"/>
        <v>ul</v>
      </c>
      <c r="C415" s="33" t="str">
        <f t="shared" si="13"/>
        <v>c0ul</v>
      </c>
      <c r="D415" s="23" t="s">
        <v>10460</v>
      </c>
      <c r="E415" s="23" t="s">
        <v>1234</v>
      </c>
      <c r="F415" s="23" t="s">
        <v>9374</v>
      </c>
      <c r="G415" s="23" t="s">
        <v>9375</v>
      </c>
      <c r="H415" s="23" t="s">
        <v>121</v>
      </c>
      <c r="I415" s="23" t="s">
        <v>9376</v>
      </c>
      <c r="J415" s="23" t="s">
        <v>3276</v>
      </c>
      <c r="K415" s="23" t="s">
        <v>3275</v>
      </c>
      <c r="L415" s="23" t="s">
        <v>10461</v>
      </c>
      <c r="M415" s="23" t="s">
        <v>9378</v>
      </c>
      <c r="N415" s="23" t="s">
        <v>9379</v>
      </c>
      <c r="O415" s="23"/>
      <c r="P415" s="23"/>
      <c r="Q415" s="23" t="s">
        <v>10462</v>
      </c>
      <c r="R415" s="23" t="s">
        <v>9383</v>
      </c>
    </row>
    <row r="416" spans="2:18" ht="15" customHeight="1" x14ac:dyDescent="0.25">
      <c r="B416" s="33" t="str">
        <f t="shared" si="12"/>
        <v>um</v>
      </c>
      <c r="C416" s="33" t="str">
        <f t="shared" si="13"/>
        <v>c0um</v>
      </c>
      <c r="D416" s="23" t="s">
        <v>10463</v>
      </c>
      <c r="E416" s="23" t="s">
        <v>1236</v>
      </c>
      <c r="F416" s="23" t="s">
        <v>9374</v>
      </c>
      <c r="G416" s="23" t="s">
        <v>9375</v>
      </c>
      <c r="H416" s="23" t="s">
        <v>121</v>
      </c>
      <c r="I416" s="23" t="s">
        <v>9376</v>
      </c>
      <c r="J416" s="23" t="s">
        <v>3276</v>
      </c>
      <c r="K416" s="23" t="s">
        <v>3275</v>
      </c>
      <c r="L416" s="23" t="s">
        <v>10464</v>
      </c>
      <c r="M416" s="23" t="s">
        <v>9378</v>
      </c>
      <c r="N416" s="23" t="s">
        <v>9379</v>
      </c>
      <c r="O416" s="23"/>
      <c r="P416" s="23"/>
      <c r="Q416" s="23" t="s">
        <v>10465</v>
      </c>
      <c r="R416" s="23" t="s">
        <v>9383</v>
      </c>
    </row>
    <row r="417" spans="2:18" ht="15" customHeight="1" x14ac:dyDescent="0.25">
      <c r="B417" s="33" t="str">
        <f t="shared" si="12"/>
        <v>un</v>
      </c>
      <c r="C417" s="33" t="str">
        <f t="shared" si="13"/>
        <v>c0un</v>
      </c>
      <c r="D417" s="23" t="s">
        <v>10466</v>
      </c>
      <c r="E417" s="23" t="s">
        <v>1238</v>
      </c>
      <c r="F417" s="23" t="s">
        <v>9374</v>
      </c>
      <c r="G417" s="23" t="s">
        <v>9375</v>
      </c>
      <c r="H417" s="23" t="s">
        <v>121</v>
      </c>
      <c r="I417" s="23" t="s">
        <v>9376</v>
      </c>
      <c r="J417" s="23" t="s">
        <v>3276</v>
      </c>
      <c r="K417" s="23" t="s">
        <v>3275</v>
      </c>
      <c r="L417" s="23" t="s">
        <v>10467</v>
      </c>
      <c r="M417" s="23" t="s">
        <v>9393</v>
      </c>
      <c r="N417" s="23" t="s">
        <v>9394</v>
      </c>
      <c r="O417" s="23"/>
      <c r="P417" s="23"/>
      <c r="Q417" s="23" t="s">
        <v>10468</v>
      </c>
      <c r="R417" s="23" t="s">
        <v>9383</v>
      </c>
    </row>
    <row r="418" spans="2:18" ht="15" customHeight="1" x14ac:dyDescent="0.25">
      <c r="B418" s="33" t="str">
        <f t="shared" si="12"/>
        <v>up</v>
      </c>
      <c r="C418" s="33" t="str">
        <f t="shared" si="13"/>
        <v>c0up</v>
      </c>
      <c r="D418" s="23" t="s">
        <v>10469</v>
      </c>
      <c r="E418" s="23" t="s">
        <v>10470</v>
      </c>
      <c r="F418" s="23" t="s">
        <v>9374</v>
      </c>
      <c r="G418" s="23" t="s">
        <v>9403</v>
      </c>
      <c r="H418" s="23" t="s">
        <v>121</v>
      </c>
      <c r="I418" s="23" t="s">
        <v>9376</v>
      </c>
      <c r="J418" s="23"/>
      <c r="K418" s="23"/>
      <c r="L418" s="23"/>
      <c r="M418" s="23" t="s">
        <v>9378</v>
      </c>
      <c r="N418" s="23" t="s">
        <v>9379</v>
      </c>
      <c r="O418" s="23"/>
      <c r="P418" s="23"/>
      <c r="Q418" s="23" t="s">
        <v>10471</v>
      </c>
      <c r="R418" s="23" t="s">
        <v>9383</v>
      </c>
    </row>
    <row r="419" spans="2:18" ht="15" customHeight="1" x14ac:dyDescent="0.25">
      <c r="B419" s="33" t="str">
        <f t="shared" si="12"/>
        <v>ur</v>
      </c>
      <c r="C419" s="33" t="str">
        <f t="shared" si="13"/>
        <v>c0ur</v>
      </c>
      <c r="D419" s="23" t="s">
        <v>10472</v>
      </c>
      <c r="E419" s="23" t="s">
        <v>10473</v>
      </c>
      <c r="F419" s="23" t="s">
        <v>9374</v>
      </c>
      <c r="G419" s="23" t="s">
        <v>9403</v>
      </c>
      <c r="H419" s="23" t="s">
        <v>121</v>
      </c>
      <c r="I419" s="23" t="s">
        <v>9376</v>
      </c>
      <c r="J419" s="23"/>
      <c r="K419" s="23"/>
      <c r="L419" s="23"/>
      <c r="M419" s="23" t="s">
        <v>9378</v>
      </c>
      <c r="N419" s="23" t="s">
        <v>9379</v>
      </c>
      <c r="O419" s="23"/>
      <c r="P419" s="23"/>
      <c r="Q419" s="23" t="s">
        <v>10474</v>
      </c>
      <c r="R419" s="23" t="s">
        <v>9383</v>
      </c>
    </row>
    <row r="420" spans="2:18" ht="15" customHeight="1" x14ac:dyDescent="0.25">
      <c r="B420" s="33" t="str">
        <f t="shared" si="12"/>
        <v>us</v>
      </c>
      <c r="C420" s="33" t="str">
        <f t="shared" si="13"/>
        <v>c0us</v>
      </c>
      <c r="D420" s="23" t="s">
        <v>10475</v>
      </c>
      <c r="E420" s="23" t="s">
        <v>1244</v>
      </c>
      <c r="F420" s="23" t="s">
        <v>9374</v>
      </c>
      <c r="G420" s="23" t="s">
        <v>9375</v>
      </c>
      <c r="H420" s="23" t="s">
        <v>121</v>
      </c>
      <c r="I420" s="23" t="s">
        <v>9376</v>
      </c>
      <c r="J420" s="23" t="s">
        <v>3276</v>
      </c>
      <c r="K420" s="23" t="s">
        <v>3275</v>
      </c>
      <c r="L420" s="23" t="s">
        <v>10476</v>
      </c>
      <c r="M420" s="23" t="s">
        <v>9393</v>
      </c>
      <c r="N420" s="23" t="s">
        <v>9394</v>
      </c>
      <c r="O420" s="23"/>
      <c r="P420" s="23"/>
      <c r="Q420" s="23" t="s">
        <v>10477</v>
      </c>
      <c r="R420" s="23" t="s">
        <v>9383</v>
      </c>
    </row>
    <row r="421" spans="2:18" ht="15" customHeight="1" x14ac:dyDescent="0.25">
      <c r="B421" s="33" t="str">
        <f t="shared" si="12"/>
        <v>ut</v>
      </c>
      <c r="C421" s="33" t="str">
        <f t="shared" si="13"/>
        <v>c0ut</v>
      </c>
      <c r="D421" s="23" t="s">
        <v>10478</v>
      </c>
      <c r="E421" s="23" t="s">
        <v>1246</v>
      </c>
      <c r="F421" s="23" t="s">
        <v>9374</v>
      </c>
      <c r="G421" s="23" t="s">
        <v>9375</v>
      </c>
      <c r="H421" s="23" t="s">
        <v>121</v>
      </c>
      <c r="I421" s="23" t="s">
        <v>9376</v>
      </c>
      <c r="J421" s="23" t="s">
        <v>3276</v>
      </c>
      <c r="K421" s="23" t="s">
        <v>3275</v>
      </c>
      <c r="L421" s="23" t="s">
        <v>10479</v>
      </c>
      <c r="M421" s="23" t="s">
        <v>9378</v>
      </c>
      <c r="N421" s="23" t="s">
        <v>9394</v>
      </c>
      <c r="O421" s="23"/>
      <c r="P421" s="23"/>
      <c r="Q421" s="23" t="s">
        <v>10480</v>
      </c>
      <c r="R421" s="23" t="s">
        <v>9383</v>
      </c>
    </row>
    <row r="422" spans="2:18" ht="15" customHeight="1" x14ac:dyDescent="0.25">
      <c r="B422" s="33" t="str">
        <f t="shared" si="12"/>
        <v>uu</v>
      </c>
      <c r="C422" s="33" t="str">
        <f t="shared" si="13"/>
        <v>c0uu</v>
      </c>
      <c r="D422" s="23" t="s">
        <v>10481</v>
      </c>
      <c r="E422" s="23" t="s">
        <v>1248</v>
      </c>
      <c r="F422" s="23" t="s">
        <v>9374</v>
      </c>
      <c r="G422" s="23" t="s">
        <v>9375</v>
      </c>
      <c r="H422" s="23" t="s">
        <v>121</v>
      </c>
      <c r="I422" s="23" t="s">
        <v>9376</v>
      </c>
      <c r="J422" s="23" t="s">
        <v>3276</v>
      </c>
      <c r="K422" s="23" t="s">
        <v>3275</v>
      </c>
      <c r="L422" s="23" t="s">
        <v>10482</v>
      </c>
      <c r="M422" s="23" t="s">
        <v>9378</v>
      </c>
      <c r="N422" s="23" t="s">
        <v>9379</v>
      </c>
      <c r="O422" s="23"/>
      <c r="P422" s="23"/>
      <c r="Q422" s="23" t="s">
        <v>10483</v>
      </c>
      <c r="R422" s="23" t="s">
        <v>9383</v>
      </c>
    </row>
    <row r="423" spans="2:18" ht="15" customHeight="1" x14ac:dyDescent="0.25">
      <c r="B423" s="33" t="str">
        <f t="shared" si="12"/>
        <v>uv</v>
      </c>
      <c r="C423" s="33" t="str">
        <f t="shared" si="13"/>
        <v>c0uv</v>
      </c>
      <c r="D423" s="23" t="s">
        <v>10484</v>
      </c>
      <c r="E423" s="23" t="s">
        <v>1250</v>
      </c>
      <c r="F423" s="23" t="s">
        <v>9374</v>
      </c>
      <c r="G423" s="23" t="s">
        <v>9375</v>
      </c>
      <c r="H423" s="23" t="s">
        <v>121</v>
      </c>
      <c r="I423" s="23" t="s">
        <v>9376</v>
      </c>
      <c r="J423" s="23" t="s">
        <v>3276</v>
      </c>
      <c r="K423" s="23" t="s">
        <v>3275</v>
      </c>
      <c r="L423" s="23" t="s">
        <v>10485</v>
      </c>
      <c r="M423" s="23" t="s">
        <v>9378</v>
      </c>
      <c r="N423" s="23" t="s">
        <v>9394</v>
      </c>
      <c r="O423" s="23"/>
      <c r="P423" s="23"/>
      <c r="Q423" s="23" t="s">
        <v>10486</v>
      </c>
      <c r="R423" s="23" t="s">
        <v>9383</v>
      </c>
    </row>
    <row r="424" spans="2:18" ht="15" customHeight="1" x14ac:dyDescent="0.25">
      <c r="B424" s="33" t="str">
        <f t="shared" si="12"/>
        <v>uw</v>
      </c>
      <c r="C424" s="33" t="str">
        <f t="shared" si="13"/>
        <v>c0uw</v>
      </c>
      <c r="D424" s="23" t="s">
        <v>10487</v>
      </c>
      <c r="E424" s="23" t="s">
        <v>1252</v>
      </c>
      <c r="F424" s="23" t="s">
        <v>9374</v>
      </c>
      <c r="G424" s="23" t="s">
        <v>9375</v>
      </c>
      <c r="H424" s="23" t="s">
        <v>121</v>
      </c>
      <c r="I424" s="23" t="s">
        <v>9376</v>
      </c>
      <c r="J424" s="23" t="s">
        <v>3276</v>
      </c>
      <c r="K424" s="23" t="s">
        <v>3275</v>
      </c>
      <c r="L424" s="23" t="s">
        <v>10488</v>
      </c>
      <c r="M424" s="23" t="s">
        <v>9378</v>
      </c>
      <c r="N424" s="23" t="s">
        <v>9379</v>
      </c>
      <c r="O424" s="23"/>
      <c r="P424" s="23"/>
      <c r="Q424" s="23" t="s">
        <v>10489</v>
      </c>
      <c r="R424" s="23" t="s">
        <v>9383</v>
      </c>
    </row>
    <row r="425" spans="2:18" ht="15" customHeight="1" x14ac:dyDescent="0.25">
      <c r="B425" s="33" t="str">
        <f t="shared" si="12"/>
        <v>ux</v>
      </c>
      <c r="C425" s="33" t="str">
        <f t="shared" si="13"/>
        <v>c0ux</v>
      </c>
      <c r="D425" s="23" t="s">
        <v>10490</v>
      </c>
      <c r="E425" s="23" t="s">
        <v>1254</v>
      </c>
      <c r="F425" s="23" t="s">
        <v>9374</v>
      </c>
      <c r="G425" s="23" t="s">
        <v>9375</v>
      </c>
      <c r="H425" s="23" t="s">
        <v>121</v>
      </c>
      <c r="I425" s="23" t="s">
        <v>9376</v>
      </c>
      <c r="J425" s="23" t="s">
        <v>3276</v>
      </c>
      <c r="K425" s="23" t="s">
        <v>3275</v>
      </c>
      <c r="L425" s="23" t="s">
        <v>10491</v>
      </c>
      <c r="M425" s="23" t="s">
        <v>9393</v>
      </c>
      <c r="N425" s="23" t="s">
        <v>9394</v>
      </c>
      <c r="O425" s="23"/>
      <c r="P425" s="23"/>
      <c r="Q425" s="23" t="s">
        <v>10492</v>
      </c>
      <c r="R425" s="23" t="s">
        <v>9383</v>
      </c>
    </row>
    <row r="426" spans="2:18" ht="15" customHeight="1" x14ac:dyDescent="0.25">
      <c r="B426" s="33" t="str">
        <f t="shared" si="12"/>
        <v>uy</v>
      </c>
      <c r="C426" s="33" t="str">
        <f t="shared" si="13"/>
        <v>c0uy</v>
      </c>
      <c r="D426" s="23" t="s">
        <v>10493</v>
      </c>
      <c r="E426" s="23" t="s">
        <v>1256</v>
      </c>
      <c r="F426" s="23" t="s">
        <v>9374</v>
      </c>
      <c r="G426" s="23" t="s">
        <v>9375</v>
      </c>
      <c r="H426" s="23" t="s">
        <v>121</v>
      </c>
      <c r="I426" s="23" t="s">
        <v>9376</v>
      </c>
      <c r="J426" s="23" t="s">
        <v>3276</v>
      </c>
      <c r="K426" s="23" t="s">
        <v>3275</v>
      </c>
      <c r="L426" s="23" t="s">
        <v>10494</v>
      </c>
      <c r="M426" s="23" t="s">
        <v>9378</v>
      </c>
      <c r="N426" s="23" t="s">
        <v>9379</v>
      </c>
      <c r="O426" s="23"/>
      <c r="P426" s="23"/>
      <c r="Q426" s="23" t="s">
        <v>10495</v>
      </c>
      <c r="R426" s="23" t="s">
        <v>9383</v>
      </c>
    </row>
    <row r="427" spans="2:18" ht="15" customHeight="1" x14ac:dyDescent="0.25">
      <c r="B427" s="33" t="str">
        <f t="shared" si="12"/>
        <v>uz</v>
      </c>
      <c r="C427" s="33" t="str">
        <f t="shared" si="13"/>
        <v>c0uz</v>
      </c>
      <c r="D427" s="23" t="s">
        <v>10496</v>
      </c>
      <c r="E427" s="23" t="s">
        <v>1258</v>
      </c>
      <c r="F427" s="23" t="s">
        <v>9374</v>
      </c>
      <c r="G427" s="23" t="s">
        <v>9403</v>
      </c>
      <c r="H427" s="23" t="s">
        <v>121</v>
      </c>
      <c r="I427" s="23" t="s">
        <v>9376</v>
      </c>
      <c r="J427" s="23"/>
      <c r="K427" s="23"/>
      <c r="L427" s="23"/>
      <c r="M427" s="23" t="s">
        <v>9378</v>
      </c>
      <c r="N427" s="23" t="s">
        <v>9379</v>
      </c>
      <c r="O427" s="23"/>
      <c r="P427" s="23"/>
      <c r="Q427" s="23" t="s">
        <v>10497</v>
      </c>
      <c r="R427" s="23" t="s">
        <v>9383</v>
      </c>
    </row>
    <row r="428" spans="2:18" ht="15" customHeight="1" x14ac:dyDescent="0.25">
      <c r="B428" s="33" t="str">
        <f t="shared" si="12"/>
        <v>v0</v>
      </c>
      <c r="C428" s="33" t="str">
        <f t="shared" si="13"/>
        <v>c0v0</v>
      </c>
      <c r="D428" s="23" t="s">
        <v>10498</v>
      </c>
      <c r="E428" s="23" t="s">
        <v>10499</v>
      </c>
      <c r="F428" s="23" t="s">
        <v>9374</v>
      </c>
      <c r="G428" s="23" t="s">
        <v>9403</v>
      </c>
      <c r="H428" s="23" t="s">
        <v>121</v>
      </c>
      <c r="I428" s="23" t="s">
        <v>9376</v>
      </c>
      <c r="J428" s="23"/>
      <c r="K428" s="23"/>
      <c r="L428" s="23"/>
      <c r="M428" s="23" t="s">
        <v>9378</v>
      </c>
      <c r="N428" s="23" t="s">
        <v>9379</v>
      </c>
      <c r="O428" s="23"/>
      <c r="P428" s="23"/>
      <c r="Q428" s="23" t="s">
        <v>10500</v>
      </c>
      <c r="R428" s="23" t="s">
        <v>9383</v>
      </c>
    </row>
    <row r="429" spans="2:18" ht="15" customHeight="1" x14ac:dyDescent="0.25">
      <c r="B429" s="33" t="str">
        <f t="shared" si="12"/>
        <v>v1</v>
      </c>
      <c r="C429" s="33" t="str">
        <f t="shared" si="13"/>
        <v>c0v1</v>
      </c>
      <c r="D429" s="23" t="s">
        <v>10501</v>
      </c>
      <c r="E429" s="23" t="s">
        <v>10502</v>
      </c>
      <c r="F429" s="23" t="s">
        <v>9374</v>
      </c>
      <c r="G429" s="23" t="s">
        <v>9403</v>
      </c>
      <c r="H429" s="23" t="s">
        <v>121</v>
      </c>
      <c r="I429" s="23" t="s">
        <v>9376</v>
      </c>
      <c r="J429" s="23"/>
      <c r="K429" s="23"/>
      <c r="L429" s="23"/>
      <c r="M429" s="23" t="s">
        <v>9378</v>
      </c>
      <c r="N429" s="23" t="s">
        <v>9379</v>
      </c>
      <c r="O429" s="23"/>
      <c r="P429" s="23"/>
      <c r="Q429" s="23" t="s">
        <v>10503</v>
      </c>
      <c r="R429" s="23" t="s">
        <v>9383</v>
      </c>
    </row>
    <row r="430" spans="2:18" ht="15" customHeight="1" x14ac:dyDescent="0.25">
      <c r="B430" s="33" t="str">
        <f t="shared" si="12"/>
        <v>v2</v>
      </c>
      <c r="C430" s="33" t="str">
        <f t="shared" si="13"/>
        <v>c0v2</v>
      </c>
      <c r="D430" s="23" t="s">
        <v>10504</v>
      </c>
      <c r="E430" s="23" t="s">
        <v>10505</v>
      </c>
      <c r="F430" s="23" t="s">
        <v>9374</v>
      </c>
      <c r="G430" s="23" t="s">
        <v>9403</v>
      </c>
      <c r="H430" s="23" t="s">
        <v>121</v>
      </c>
      <c r="I430" s="23" t="s">
        <v>9376</v>
      </c>
      <c r="J430" s="23"/>
      <c r="K430" s="23"/>
      <c r="L430" s="23"/>
      <c r="M430" s="23" t="s">
        <v>9378</v>
      </c>
      <c r="N430" s="23" t="s">
        <v>9379</v>
      </c>
      <c r="O430" s="23"/>
      <c r="P430" s="23"/>
      <c r="Q430" s="23" t="s">
        <v>10506</v>
      </c>
      <c r="R430" s="23" t="s">
        <v>9383</v>
      </c>
    </row>
    <row r="431" spans="2:18" ht="15" customHeight="1" x14ac:dyDescent="0.25">
      <c r="B431" s="33" t="str">
        <f t="shared" si="12"/>
        <v>v3</v>
      </c>
      <c r="C431" s="33" t="str">
        <f t="shared" si="13"/>
        <v>c0v3</v>
      </c>
      <c r="D431" s="23" t="s">
        <v>10507</v>
      </c>
      <c r="E431" s="23" t="s">
        <v>10508</v>
      </c>
      <c r="F431" s="23" t="s">
        <v>9374</v>
      </c>
      <c r="G431" s="23" t="s">
        <v>9403</v>
      </c>
      <c r="H431" s="23" t="s">
        <v>121</v>
      </c>
      <c r="I431" s="23" t="s">
        <v>9376</v>
      </c>
      <c r="J431" s="23"/>
      <c r="K431" s="23"/>
      <c r="L431" s="23"/>
      <c r="M431" s="23" t="s">
        <v>9378</v>
      </c>
      <c r="N431" s="23" t="s">
        <v>9379</v>
      </c>
      <c r="O431" s="23"/>
      <c r="P431" s="23"/>
      <c r="Q431" s="23" t="s">
        <v>10509</v>
      </c>
      <c r="R431" s="23" t="s">
        <v>9383</v>
      </c>
    </row>
    <row r="432" spans="2:18" ht="15" customHeight="1" x14ac:dyDescent="0.25">
      <c r="B432" s="33" t="str">
        <f t="shared" si="12"/>
        <v>v6</v>
      </c>
      <c r="C432" s="33" t="str">
        <f t="shared" si="13"/>
        <v>c0v6</v>
      </c>
      <c r="D432" s="23" t="s">
        <v>10510</v>
      </c>
      <c r="E432" s="23" t="s">
        <v>1268</v>
      </c>
      <c r="F432" s="23" t="s">
        <v>9374</v>
      </c>
      <c r="G432" s="23" t="s">
        <v>9403</v>
      </c>
      <c r="H432" s="23" t="s">
        <v>121</v>
      </c>
      <c r="I432" s="23" t="s">
        <v>9376</v>
      </c>
      <c r="J432" s="23"/>
      <c r="K432" s="23"/>
      <c r="L432" s="23"/>
      <c r="M432" s="23" t="s">
        <v>9378</v>
      </c>
      <c r="N432" s="23" t="s">
        <v>9379</v>
      </c>
      <c r="O432" s="23"/>
      <c r="P432" s="23"/>
      <c r="Q432" s="23" t="s">
        <v>10511</v>
      </c>
      <c r="R432" s="23" t="s">
        <v>9383</v>
      </c>
    </row>
    <row r="433" spans="2:18" ht="15" customHeight="1" x14ac:dyDescent="0.25">
      <c r="B433" s="33" t="str">
        <f t="shared" si="12"/>
        <v>v7</v>
      </c>
      <c r="C433" s="33" t="str">
        <f t="shared" si="13"/>
        <v>c0v7</v>
      </c>
      <c r="D433" s="23" t="s">
        <v>10512</v>
      </c>
      <c r="E433" s="23" t="s">
        <v>1270</v>
      </c>
      <c r="F433" s="23" t="s">
        <v>9374</v>
      </c>
      <c r="G433" s="23" t="s">
        <v>9403</v>
      </c>
      <c r="H433" s="23" t="s">
        <v>121</v>
      </c>
      <c r="I433" s="23" t="s">
        <v>9376</v>
      </c>
      <c r="J433" s="23"/>
      <c r="K433" s="23"/>
      <c r="L433" s="23"/>
      <c r="M433" s="23" t="s">
        <v>9378</v>
      </c>
      <c r="N433" s="23" t="s">
        <v>9379</v>
      </c>
      <c r="O433" s="23"/>
      <c r="P433" s="23"/>
      <c r="Q433" s="23" t="s">
        <v>10513</v>
      </c>
      <c r="R433" s="23" t="s">
        <v>9383</v>
      </c>
    </row>
    <row r="434" spans="2:18" ht="15" customHeight="1" x14ac:dyDescent="0.25">
      <c r="B434" s="33" t="str">
        <f t="shared" si="12"/>
        <v>v8</v>
      </c>
      <c r="C434" s="33" t="str">
        <f t="shared" si="13"/>
        <v>c0v8</v>
      </c>
      <c r="D434" s="23" t="s">
        <v>10514</v>
      </c>
      <c r="E434" s="23" t="s">
        <v>1272</v>
      </c>
      <c r="F434" s="23" t="s">
        <v>9374</v>
      </c>
      <c r="G434" s="23" t="s">
        <v>9403</v>
      </c>
      <c r="H434" s="23" t="s">
        <v>121</v>
      </c>
      <c r="I434" s="23" t="s">
        <v>9376</v>
      </c>
      <c r="J434" s="23"/>
      <c r="K434" s="23"/>
      <c r="L434" s="23"/>
      <c r="M434" s="23" t="s">
        <v>9378</v>
      </c>
      <c r="N434" s="23" t="s">
        <v>9379</v>
      </c>
      <c r="O434" s="23"/>
      <c r="P434" s="23"/>
      <c r="Q434" s="23" t="s">
        <v>10515</v>
      </c>
      <c r="R434" s="23" t="s">
        <v>9383</v>
      </c>
    </row>
    <row r="435" spans="2:18" ht="15" customHeight="1" x14ac:dyDescent="0.25">
      <c r="B435" s="33" t="str">
        <f t="shared" si="12"/>
        <v>va</v>
      </c>
      <c r="C435" s="33" t="str">
        <f t="shared" si="13"/>
        <v>c0va</v>
      </c>
      <c r="D435" s="23" t="s">
        <v>10516</v>
      </c>
      <c r="E435" s="23" t="s">
        <v>1274</v>
      </c>
      <c r="F435" s="23" t="s">
        <v>9374</v>
      </c>
      <c r="G435" s="23" t="s">
        <v>9375</v>
      </c>
      <c r="H435" s="23" t="s">
        <v>121</v>
      </c>
      <c r="I435" s="23" t="s">
        <v>9376</v>
      </c>
      <c r="J435" s="23" t="s">
        <v>3276</v>
      </c>
      <c r="K435" s="23" t="s">
        <v>3275</v>
      </c>
      <c r="L435" s="23" t="s">
        <v>10517</v>
      </c>
      <c r="M435" s="23" t="s">
        <v>9378</v>
      </c>
      <c r="N435" s="23" t="s">
        <v>9379</v>
      </c>
      <c r="O435" s="23"/>
      <c r="P435" s="23"/>
      <c r="Q435" s="23" t="s">
        <v>10518</v>
      </c>
      <c r="R435" s="23" t="s">
        <v>9383</v>
      </c>
    </row>
    <row r="436" spans="2:18" ht="15" customHeight="1" x14ac:dyDescent="0.25">
      <c r="B436" s="33" t="str">
        <f t="shared" si="12"/>
        <v>vb</v>
      </c>
      <c r="C436" s="33" t="str">
        <f t="shared" si="13"/>
        <v>c0vb</v>
      </c>
      <c r="D436" s="23" t="s">
        <v>10519</v>
      </c>
      <c r="E436" s="23" t="s">
        <v>1276</v>
      </c>
      <c r="F436" s="23" t="s">
        <v>9374</v>
      </c>
      <c r="G436" s="23" t="s">
        <v>9403</v>
      </c>
      <c r="H436" s="23" t="s">
        <v>121</v>
      </c>
      <c r="I436" s="23" t="s">
        <v>9376</v>
      </c>
      <c r="J436" s="23"/>
      <c r="K436" s="23"/>
      <c r="L436" s="23"/>
      <c r="M436" s="23" t="s">
        <v>9378</v>
      </c>
      <c r="N436" s="23" t="s">
        <v>9379</v>
      </c>
      <c r="O436" s="23"/>
      <c r="P436" s="23"/>
      <c r="Q436" s="23" t="s">
        <v>10520</v>
      </c>
      <c r="R436" s="23" t="s">
        <v>9383</v>
      </c>
    </row>
    <row r="437" spans="2:18" ht="15" customHeight="1" x14ac:dyDescent="0.25">
      <c r="B437" s="33" t="str">
        <f t="shared" si="12"/>
        <v>vd</v>
      </c>
      <c r="C437" s="33" t="str">
        <f t="shared" si="13"/>
        <v>c0vd</v>
      </c>
      <c r="D437" s="23" t="s">
        <v>10521</v>
      </c>
      <c r="E437" s="23" t="s">
        <v>1278</v>
      </c>
      <c r="F437" s="23" t="s">
        <v>9374</v>
      </c>
      <c r="G437" s="23" t="s">
        <v>9375</v>
      </c>
      <c r="H437" s="23" t="s">
        <v>121</v>
      </c>
      <c r="I437" s="23" t="s">
        <v>9376</v>
      </c>
      <c r="J437" s="23" t="s">
        <v>3276</v>
      </c>
      <c r="K437" s="23" t="s">
        <v>3275</v>
      </c>
      <c r="L437" s="23" t="s">
        <v>10522</v>
      </c>
      <c r="M437" s="23" t="s">
        <v>9393</v>
      </c>
      <c r="N437" s="23" t="s">
        <v>9394</v>
      </c>
      <c r="O437" s="23"/>
      <c r="P437" s="23"/>
      <c r="Q437" s="23" t="s">
        <v>10523</v>
      </c>
      <c r="R437" s="23" t="s">
        <v>9383</v>
      </c>
    </row>
    <row r="438" spans="2:18" ht="15" customHeight="1" x14ac:dyDescent="0.25">
      <c r="B438" s="33" t="str">
        <f t="shared" si="12"/>
        <v>ve</v>
      </c>
      <c r="C438" s="33" t="str">
        <f t="shared" si="13"/>
        <v>c0ve</v>
      </c>
      <c r="D438" s="23" t="s">
        <v>10524</v>
      </c>
      <c r="E438" s="23" t="s">
        <v>1280</v>
      </c>
      <c r="F438" s="23" t="s">
        <v>9374</v>
      </c>
      <c r="G438" s="23" t="s">
        <v>9375</v>
      </c>
      <c r="H438" s="23" t="s">
        <v>121</v>
      </c>
      <c r="I438" s="23" t="s">
        <v>9376</v>
      </c>
      <c r="J438" s="23" t="s">
        <v>3276</v>
      </c>
      <c r="K438" s="23" t="s">
        <v>3275</v>
      </c>
      <c r="L438" s="23" t="s">
        <v>10525</v>
      </c>
      <c r="M438" s="23" t="s">
        <v>9378</v>
      </c>
      <c r="N438" s="23" t="s">
        <v>9379</v>
      </c>
      <c r="O438" s="23"/>
      <c r="P438" s="23"/>
      <c r="Q438" s="23" t="s">
        <v>10526</v>
      </c>
      <c r="R438" s="23" t="s">
        <v>9383</v>
      </c>
    </row>
    <row r="439" spans="2:18" ht="15" customHeight="1" x14ac:dyDescent="0.25">
      <c r="B439" s="33" t="str">
        <f t="shared" si="12"/>
        <v>vf</v>
      </c>
      <c r="C439" s="33" t="str">
        <f t="shared" si="13"/>
        <v>c0vf</v>
      </c>
      <c r="D439" s="23" t="s">
        <v>10527</v>
      </c>
      <c r="E439" s="23" t="s">
        <v>1282</v>
      </c>
      <c r="F439" s="23" t="s">
        <v>9374</v>
      </c>
      <c r="G439" s="23" t="s">
        <v>9403</v>
      </c>
      <c r="H439" s="23" t="s">
        <v>121</v>
      </c>
      <c r="I439" s="23" t="s">
        <v>9376</v>
      </c>
      <c r="J439" s="23"/>
      <c r="K439" s="23"/>
      <c r="L439" s="23"/>
      <c r="M439" s="23" t="s">
        <v>9378</v>
      </c>
      <c r="N439" s="23" t="s">
        <v>9379</v>
      </c>
      <c r="O439" s="23"/>
      <c r="P439" s="23"/>
      <c r="Q439" s="23" t="s">
        <v>10528</v>
      </c>
      <c r="R439" s="23" t="s">
        <v>9383</v>
      </c>
    </row>
    <row r="440" spans="2:18" ht="15" customHeight="1" x14ac:dyDescent="0.25">
      <c r="B440" s="33" t="str">
        <f t="shared" si="12"/>
        <v>vg</v>
      </c>
      <c r="C440" s="33" t="str">
        <f t="shared" si="13"/>
        <v>c0vg</v>
      </c>
      <c r="D440" s="23" t="s">
        <v>10529</v>
      </c>
      <c r="E440" s="23" t="s">
        <v>1284</v>
      </c>
      <c r="F440" s="23" t="s">
        <v>9374</v>
      </c>
      <c r="G440" s="23" t="s">
        <v>9375</v>
      </c>
      <c r="H440" s="23" t="s">
        <v>121</v>
      </c>
      <c r="I440" s="23" t="s">
        <v>9376</v>
      </c>
      <c r="J440" s="23" t="s">
        <v>3276</v>
      </c>
      <c r="K440" s="23" t="s">
        <v>3275</v>
      </c>
      <c r="L440" s="23" t="s">
        <v>10530</v>
      </c>
      <c r="M440" s="23" t="s">
        <v>9378</v>
      </c>
      <c r="N440" s="23" t="s">
        <v>9379</v>
      </c>
      <c r="O440" s="23"/>
      <c r="P440" s="23"/>
      <c r="Q440" s="23" t="s">
        <v>10531</v>
      </c>
      <c r="R440" s="23" t="s">
        <v>9383</v>
      </c>
    </row>
    <row r="441" spans="2:18" ht="15" customHeight="1" x14ac:dyDescent="0.25">
      <c r="B441" s="33" t="str">
        <f t="shared" si="12"/>
        <v>vh</v>
      </c>
      <c r="C441" s="33" t="str">
        <f t="shared" si="13"/>
        <v>c0vh</v>
      </c>
      <c r="D441" s="23" t="s">
        <v>10532</v>
      </c>
      <c r="E441" s="23" t="s">
        <v>1286</v>
      </c>
      <c r="F441" s="23" t="s">
        <v>9374</v>
      </c>
      <c r="G441" s="23" t="s">
        <v>9403</v>
      </c>
      <c r="H441" s="23" t="s">
        <v>121</v>
      </c>
      <c r="I441" s="23" t="s">
        <v>9376</v>
      </c>
      <c r="J441" s="23"/>
      <c r="K441" s="23"/>
      <c r="L441" s="23"/>
      <c r="M441" s="23" t="s">
        <v>9378</v>
      </c>
      <c r="N441" s="23" t="s">
        <v>9379</v>
      </c>
      <c r="O441" s="23"/>
      <c r="P441" s="23"/>
      <c r="Q441" s="23" t="s">
        <v>10533</v>
      </c>
      <c r="R441" s="23" t="s">
        <v>9586</v>
      </c>
    </row>
    <row r="442" spans="2:18" ht="15" customHeight="1" x14ac:dyDescent="0.25">
      <c r="B442" s="33" t="str">
        <f t="shared" si="12"/>
        <v>vj</v>
      </c>
      <c r="C442" s="33" t="str">
        <f t="shared" si="13"/>
        <v>c0vj</v>
      </c>
      <c r="D442" s="23" t="s">
        <v>10534</v>
      </c>
      <c r="E442" s="23" t="s">
        <v>1288</v>
      </c>
      <c r="F442" s="23" t="s">
        <v>9374</v>
      </c>
      <c r="G442" s="23" t="s">
        <v>9375</v>
      </c>
      <c r="H442" s="23" t="s">
        <v>121</v>
      </c>
      <c r="I442" s="23" t="s">
        <v>9376</v>
      </c>
      <c r="J442" s="23" t="s">
        <v>3276</v>
      </c>
      <c r="K442" s="23" t="s">
        <v>3275</v>
      </c>
      <c r="L442" s="23" t="s">
        <v>10535</v>
      </c>
      <c r="M442" s="23" t="s">
        <v>9378</v>
      </c>
      <c r="N442" s="23" t="s">
        <v>9379</v>
      </c>
      <c r="O442" s="23"/>
      <c r="P442" s="23"/>
      <c r="Q442" s="23" t="s">
        <v>10536</v>
      </c>
      <c r="R442" s="23" t="s">
        <v>9383</v>
      </c>
    </row>
    <row r="443" spans="2:18" ht="15" customHeight="1" x14ac:dyDescent="0.25">
      <c r="B443" s="33" t="str">
        <f t="shared" si="12"/>
        <v>vk</v>
      </c>
      <c r="C443" s="33" t="str">
        <f t="shared" si="13"/>
        <v>c0vk</v>
      </c>
      <c r="D443" s="23" t="s">
        <v>10537</v>
      </c>
      <c r="E443" s="23" t="s">
        <v>1290</v>
      </c>
      <c r="F443" s="23" t="s">
        <v>9374</v>
      </c>
      <c r="G443" s="23" t="s">
        <v>9375</v>
      </c>
      <c r="H443" s="23" t="s">
        <v>121</v>
      </c>
      <c r="I443" s="23" t="s">
        <v>9376</v>
      </c>
      <c r="J443" s="23" t="s">
        <v>3276</v>
      </c>
      <c r="K443" s="23" t="s">
        <v>3275</v>
      </c>
      <c r="L443" s="23" t="s">
        <v>10538</v>
      </c>
      <c r="M443" s="23" t="s">
        <v>9378</v>
      </c>
      <c r="N443" s="23" t="s">
        <v>9379</v>
      </c>
      <c r="O443" s="23"/>
      <c r="P443" s="23"/>
      <c r="Q443" s="23" t="s">
        <v>10539</v>
      </c>
      <c r="R443" s="23" t="s">
        <v>9383</v>
      </c>
    </row>
    <row r="444" spans="2:18" ht="15" customHeight="1" x14ac:dyDescent="0.25">
      <c r="B444" s="33" t="str">
        <f t="shared" si="12"/>
        <v>vl</v>
      </c>
      <c r="C444" s="33" t="str">
        <f t="shared" si="13"/>
        <v>c0vl</v>
      </c>
      <c r="D444" s="23" t="s">
        <v>10540</v>
      </c>
      <c r="E444" s="23" t="s">
        <v>1292</v>
      </c>
      <c r="F444" s="23" t="s">
        <v>9374</v>
      </c>
      <c r="G444" s="23" t="s">
        <v>9375</v>
      </c>
      <c r="H444" s="23" t="s">
        <v>121</v>
      </c>
      <c r="I444" s="23" t="s">
        <v>9376</v>
      </c>
      <c r="J444" s="23" t="s">
        <v>3276</v>
      </c>
      <c r="K444" s="23" t="s">
        <v>3275</v>
      </c>
      <c r="L444" s="23" t="s">
        <v>10541</v>
      </c>
      <c r="M444" s="23" t="s">
        <v>9393</v>
      </c>
      <c r="N444" s="23" t="s">
        <v>9394</v>
      </c>
      <c r="O444" s="23"/>
      <c r="P444" s="23"/>
      <c r="Q444" s="23" t="s">
        <v>10542</v>
      </c>
      <c r="R444" s="23" t="s">
        <v>9383</v>
      </c>
    </row>
    <row r="445" spans="2:18" ht="15" customHeight="1" x14ac:dyDescent="0.25">
      <c r="B445" s="33" t="str">
        <f t="shared" si="12"/>
        <v>vm</v>
      </c>
      <c r="C445" s="33" t="str">
        <f t="shared" si="13"/>
        <v>c0vm</v>
      </c>
      <c r="D445" s="23" t="s">
        <v>10543</v>
      </c>
      <c r="E445" s="23" t="s">
        <v>1294</v>
      </c>
      <c r="F445" s="23" t="s">
        <v>9374</v>
      </c>
      <c r="G445" s="23" t="s">
        <v>9375</v>
      </c>
      <c r="H445" s="23" t="s">
        <v>121</v>
      </c>
      <c r="I445" s="23" t="s">
        <v>9376</v>
      </c>
      <c r="J445" s="23" t="s">
        <v>3276</v>
      </c>
      <c r="K445" s="23" t="s">
        <v>3275</v>
      </c>
      <c r="L445" s="23" t="s">
        <v>9471</v>
      </c>
      <c r="M445" s="23" t="s">
        <v>9425</v>
      </c>
      <c r="N445" s="23" t="s">
        <v>9394</v>
      </c>
      <c r="O445" s="23" t="s">
        <v>9472</v>
      </c>
      <c r="P445" s="23" t="s">
        <v>9473</v>
      </c>
      <c r="Q445" s="23" t="s">
        <v>10544</v>
      </c>
      <c r="R445" s="23" t="s">
        <v>9383</v>
      </c>
    </row>
    <row r="446" spans="2:18" ht="15" customHeight="1" x14ac:dyDescent="0.25">
      <c r="B446" s="33" t="str">
        <f t="shared" si="12"/>
        <v>vn</v>
      </c>
      <c r="C446" s="33" t="str">
        <f t="shared" si="13"/>
        <v>c0vn</v>
      </c>
      <c r="D446" s="23" t="s">
        <v>10545</v>
      </c>
      <c r="E446" s="23" t="s">
        <v>1297</v>
      </c>
      <c r="F446" s="23" t="s">
        <v>9374</v>
      </c>
      <c r="G446" s="23" t="s">
        <v>9375</v>
      </c>
      <c r="H446" s="23" t="s">
        <v>121</v>
      </c>
      <c r="I446" s="23" t="s">
        <v>9376</v>
      </c>
      <c r="J446" s="23" t="s">
        <v>3276</v>
      </c>
      <c r="K446" s="23" t="s">
        <v>3275</v>
      </c>
      <c r="L446" s="23" t="s">
        <v>10546</v>
      </c>
      <c r="M446" s="23" t="s">
        <v>9378</v>
      </c>
      <c r="N446" s="23" t="s">
        <v>9379</v>
      </c>
      <c r="O446" s="23"/>
      <c r="P446" s="23"/>
      <c r="Q446" s="23" t="s">
        <v>10547</v>
      </c>
      <c r="R446" s="23" t="s">
        <v>9383</v>
      </c>
    </row>
    <row r="447" spans="2:18" ht="15" customHeight="1" x14ac:dyDescent="0.25">
      <c r="B447" s="33" t="str">
        <f t="shared" si="12"/>
        <v>vp</v>
      </c>
      <c r="C447" s="33" t="str">
        <f t="shared" si="13"/>
        <v>c0vp</v>
      </c>
      <c r="D447" s="23" t="s">
        <v>10548</v>
      </c>
      <c r="E447" s="23" t="s">
        <v>1299</v>
      </c>
      <c r="F447" s="23" t="s">
        <v>9374</v>
      </c>
      <c r="G447" s="23" t="s">
        <v>9403</v>
      </c>
      <c r="H447" s="23" t="s">
        <v>121</v>
      </c>
      <c r="I447" s="23" t="s">
        <v>9376</v>
      </c>
      <c r="J447" s="23"/>
      <c r="K447" s="23"/>
      <c r="L447" s="23"/>
      <c r="M447" s="23" t="s">
        <v>9378</v>
      </c>
      <c r="N447" s="23" t="s">
        <v>9379</v>
      </c>
      <c r="O447" s="23"/>
      <c r="P447" s="23"/>
      <c r="Q447" s="23" t="s">
        <v>10549</v>
      </c>
      <c r="R447" s="23" t="s">
        <v>9383</v>
      </c>
    </row>
    <row r="448" spans="2:18" ht="15" customHeight="1" x14ac:dyDescent="0.25">
      <c r="B448" s="33" t="str">
        <f t="shared" si="12"/>
        <v>vr</v>
      </c>
      <c r="C448" s="33" t="str">
        <f t="shared" si="13"/>
        <v>c0vr</v>
      </c>
      <c r="D448" s="23" t="s">
        <v>10550</v>
      </c>
      <c r="E448" s="23" t="s">
        <v>1301</v>
      </c>
      <c r="F448" s="23" t="s">
        <v>9374</v>
      </c>
      <c r="G448" s="23" t="s">
        <v>9403</v>
      </c>
      <c r="H448" s="23" t="s">
        <v>121</v>
      </c>
      <c r="I448" s="23" t="s">
        <v>9376</v>
      </c>
      <c r="J448" s="23"/>
      <c r="K448" s="23"/>
      <c r="L448" s="23"/>
      <c r="M448" s="23" t="s">
        <v>9378</v>
      </c>
      <c r="N448" s="23" t="s">
        <v>9379</v>
      </c>
      <c r="O448" s="23"/>
      <c r="P448" s="23"/>
      <c r="Q448" s="23" t="s">
        <v>10551</v>
      </c>
      <c r="R448" s="23" t="s">
        <v>9383</v>
      </c>
    </row>
    <row r="449" spans="2:18" ht="15" customHeight="1" x14ac:dyDescent="0.25">
      <c r="B449" s="33" t="str">
        <f t="shared" si="12"/>
        <v>vw</v>
      </c>
      <c r="C449" s="33" t="str">
        <f t="shared" si="13"/>
        <v>c0vw</v>
      </c>
      <c r="D449" s="23" t="s">
        <v>10552</v>
      </c>
      <c r="E449" s="23" t="s">
        <v>1303</v>
      </c>
      <c r="F449" s="23" t="s">
        <v>9374</v>
      </c>
      <c r="G449" s="23" t="s">
        <v>9403</v>
      </c>
      <c r="H449" s="23" t="s">
        <v>121</v>
      </c>
      <c r="I449" s="23" t="s">
        <v>9376</v>
      </c>
      <c r="J449" s="23"/>
      <c r="K449" s="23"/>
      <c r="L449" s="23"/>
      <c r="M449" s="23" t="s">
        <v>9378</v>
      </c>
      <c r="N449" s="23" t="s">
        <v>9379</v>
      </c>
      <c r="O449" s="23"/>
      <c r="P449" s="23"/>
      <c r="Q449" s="23" t="s">
        <v>10553</v>
      </c>
      <c r="R449" s="23" t="s">
        <v>9383</v>
      </c>
    </row>
    <row r="450" spans="2:18" ht="15" customHeight="1" x14ac:dyDescent="0.25">
      <c r="B450" s="33" t="str">
        <f t="shared" si="12"/>
        <v>w2</v>
      </c>
      <c r="C450" s="33" t="str">
        <f t="shared" si="13"/>
        <v>c0w2</v>
      </c>
      <c r="D450" s="23" t="s">
        <v>10554</v>
      </c>
      <c r="E450" s="23" t="s">
        <v>1305</v>
      </c>
      <c r="F450" s="23" t="s">
        <v>9374</v>
      </c>
      <c r="G450" s="23" t="s">
        <v>9375</v>
      </c>
      <c r="H450" s="23" t="s">
        <v>121</v>
      </c>
      <c r="I450" s="23" t="s">
        <v>9376</v>
      </c>
      <c r="J450" s="23" t="s">
        <v>3276</v>
      </c>
      <c r="K450" s="23" t="s">
        <v>3275</v>
      </c>
      <c r="L450" s="23" t="s">
        <v>9377</v>
      </c>
      <c r="M450" s="23" t="s">
        <v>9378</v>
      </c>
      <c r="N450" s="23" t="s">
        <v>9379</v>
      </c>
      <c r="O450" s="23" t="s">
        <v>9380</v>
      </c>
      <c r="P450" s="23" t="s">
        <v>9381</v>
      </c>
      <c r="Q450" s="23" t="s">
        <v>10555</v>
      </c>
      <c r="R450" s="23" t="s">
        <v>9383</v>
      </c>
    </row>
    <row r="451" spans="2:18" ht="15" customHeight="1" x14ac:dyDescent="0.25">
      <c r="B451" s="33" t="str">
        <f t="shared" si="12"/>
        <v>w4</v>
      </c>
      <c r="C451" s="33" t="str">
        <f t="shared" si="13"/>
        <v>c0w4</v>
      </c>
      <c r="D451" s="23" t="s">
        <v>10556</v>
      </c>
      <c r="E451" s="23" t="s">
        <v>1308</v>
      </c>
      <c r="F451" s="23" t="s">
        <v>9374</v>
      </c>
      <c r="G451" s="23" t="s">
        <v>9403</v>
      </c>
      <c r="H451" s="23" t="s">
        <v>121</v>
      </c>
      <c r="I451" s="23" t="s">
        <v>9376</v>
      </c>
      <c r="J451" s="23"/>
      <c r="K451" s="23"/>
      <c r="L451" s="23"/>
      <c r="M451" s="23" t="s">
        <v>9378</v>
      </c>
      <c r="N451" s="23" t="s">
        <v>9379</v>
      </c>
      <c r="O451" s="23"/>
      <c r="P451" s="23"/>
      <c r="Q451" s="23" t="s">
        <v>10557</v>
      </c>
      <c r="R451" s="23" t="s">
        <v>9383</v>
      </c>
    </row>
    <row r="452" spans="2:18" ht="15" customHeight="1" x14ac:dyDescent="0.25">
      <c r="B452" s="33" t="str">
        <f t="shared" si="12"/>
        <v>w6</v>
      </c>
      <c r="C452" s="33" t="str">
        <f t="shared" si="13"/>
        <v>c0w6</v>
      </c>
      <c r="D452" s="23" t="s">
        <v>10558</v>
      </c>
      <c r="E452" s="23" t="s">
        <v>1310</v>
      </c>
      <c r="F452" s="23" t="s">
        <v>9374</v>
      </c>
      <c r="G452" s="23" t="s">
        <v>9403</v>
      </c>
      <c r="H452" s="23" t="s">
        <v>121</v>
      </c>
      <c r="I452" s="23" t="s">
        <v>9376</v>
      </c>
      <c r="J452" s="23"/>
      <c r="K452" s="23"/>
      <c r="L452" s="23"/>
      <c r="M452" s="23" t="s">
        <v>9378</v>
      </c>
      <c r="N452" s="23" t="s">
        <v>9379</v>
      </c>
      <c r="O452" s="23"/>
      <c r="P452" s="23"/>
      <c r="Q452" s="23" t="s">
        <v>10559</v>
      </c>
      <c r="R452" s="23" t="s">
        <v>9383</v>
      </c>
    </row>
    <row r="453" spans="2:18" ht="15" customHeight="1" x14ac:dyDescent="0.25">
      <c r="B453" s="33" t="str">
        <f t="shared" si="12"/>
        <v>w7</v>
      </c>
      <c r="C453" s="33" t="str">
        <f t="shared" si="13"/>
        <v>c0w7</v>
      </c>
      <c r="D453" s="23" t="s">
        <v>10560</v>
      </c>
      <c r="E453" s="23" t="s">
        <v>1312</v>
      </c>
      <c r="F453" s="23" t="s">
        <v>9374</v>
      </c>
      <c r="G453" s="23" t="s">
        <v>9403</v>
      </c>
      <c r="H453" s="23" t="s">
        <v>121</v>
      </c>
      <c r="I453" s="23" t="s">
        <v>9376</v>
      </c>
      <c r="J453" s="23"/>
      <c r="K453" s="23"/>
      <c r="L453" s="23"/>
      <c r="M453" s="23" t="s">
        <v>9378</v>
      </c>
      <c r="N453" s="23" t="s">
        <v>9379</v>
      </c>
      <c r="O453" s="23"/>
      <c r="P453" s="23"/>
      <c r="Q453" s="23" t="s">
        <v>10561</v>
      </c>
      <c r="R453" s="23" t="s">
        <v>9383</v>
      </c>
    </row>
    <row r="454" spans="2:18" ht="15" customHeight="1" x14ac:dyDescent="0.25">
      <c r="B454" s="33" t="str">
        <f t="shared" ref="B454:B517" si="14">RIGHT($C454,2)</f>
        <v>w8</v>
      </c>
      <c r="C454" s="33" t="str">
        <f t="shared" ref="C454:C517" si="15">"c0"&amp;RIGHT($D454,2)</f>
        <v>c0w8</v>
      </c>
      <c r="D454" s="23" t="s">
        <v>10562</v>
      </c>
      <c r="E454" s="23" t="s">
        <v>1314</v>
      </c>
      <c r="F454" s="23" t="s">
        <v>9374</v>
      </c>
      <c r="G454" s="23" t="s">
        <v>9403</v>
      </c>
      <c r="H454" s="23" t="s">
        <v>121</v>
      </c>
      <c r="I454" s="23" t="s">
        <v>9376</v>
      </c>
      <c r="J454" s="23"/>
      <c r="K454" s="23"/>
      <c r="L454" s="23"/>
      <c r="M454" s="23" t="s">
        <v>9378</v>
      </c>
      <c r="N454" s="23" t="s">
        <v>9379</v>
      </c>
      <c r="O454" s="23"/>
      <c r="P454" s="23"/>
      <c r="Q454" s="23" t="s">
        <v>10563</v>
      </c>
      <c r="R454" s="23" t="s">
        <v>9383</v>
      </c>
    </row>
    <row r="455" spans="2:18" ht="15" customHeight="1" x14ac:dyDescent="0.25">
      <c r="B455" s="33" t="str">
        <f t="shared" si="14"/>
        <v>wa</v>
      </c>
      <c r="C455" s="33" t="str">
        <f t="shared" si="15"/>
        <v>c0wa</v>
      </c>
      <c r="D455" s="23" t="s">
        <v>10564</v>
      </c>
      <c r="E455" s="23" t="s">
        <v>1316</v>
      </c>
      <c r="F455" s="23" t="s">
        <v>9374</v>
      </c>
      <c r="G455" s="23" t="s">
        <v>9375</v>
      </c>
      <c r="H455" s="23" t="s">
        <v>121</v>
      </c>
      <c r="I455" s="23" t="s">
        <v>9376</v>
      </c>
      <c r="J455" s="23" t="s">
        <v>3276</v>
      </c>
      <c r="K455" s="23" t="s">
        <v>3275</v>
      </c>
      <c r="L455" s="23" t="s">
        <v>9481</v>
      </c>
      <c r="M455" s="23" t="s">
        <v>9425</v>
      </c>
      <c r="N455" s="23" t="s">
        <v>9394</v>
      </c>
      <c r="O455" s="23" t="s">
        <v>9482</v>
      </c>
      <c r="P455" s="23" t="s">
        <v>9483</v>
      </c>
      <c r="Q455" s="23" t="s">
        <v>10565</v>
      </c>
      <c r="R455" s="23" t="s">
        <v>9383</v>
      </c>
    </row>
    <row r="456" spans="2:18" ht="15" customHeight="1" x14ac:dyDescent="0.25">
      <c r="B456" s="33" t="str">
        <f t="shared" si="14"/>
        <v>wb</v>
      </c>
      <c r="C456" s="33" t="str">
        <f t="shared" si="15"/>
        <v>c0wb</v>
      </c>
      <c r="D456" s="23" t="s">
        <v>10566</v>
      </c>
      <c r="E456" s="23" t="s">
        <v>10567</v>
      </c>
      <c r="F456" s="23" t="s">
        <v>9374</v>
      </c>
      <c r="G456" s="23" t="s">
        <v>9375</v>
      </c>
      <c r="H456" s="23" t="s">
        <v>121</v>
      </c>
      <c r="I456" s="23" t="s">
        <v>9376</v>
      </c>
      <c r="J456" s="23" t="s">
        <v>3276</v>
      </c>
      <c r="K456" s="23" t="s">
        <v>3275</v>
      </c>
      <c r="L456" s="23" t="s">
        <v>10568</v>
      </c>
      <c r="M456" s="23" t="s">
        <v>9378</v>
      </c>
      <c r="N456" s="23" t="s">
        <v>9379</v>
      </c>
      <c r="O456" s="23"/>
      <c r="P456" s="23"/>
      <c r="Q456" s="23" t="s">
        <v>10569</v>
      </c>
      <c r="R456" s="23" t="s">
        <v>9383</v>
      </c>
    </row>
    <row r="457" spans="2:18" ht="15" customHeight="1" x14ac:dyDescent="0.25">
      <c r="B457" s="33" t="str">
        <f t="shared" si="14"/>
        <v>wc</v>
      </c>
      <c r="C457" s="33" t="str">
        <f t="shared" si="15"/>
        <v>c0wc</v>
      </c>
      <c r="D457" s="23" t="s">
        <v>10570</v>
      </c>
      <c r="E457" s="23" t="s">
        <v>1320</v>
      </c>
      <c r="F457" s="23" t="s">
        <v>9374</v>
      </c>
      <c r="G457" s="23" t="s">
        <v>9375</v>
      </c>
      <c r="H457" s="23" t="s">
        <v>121</v>
      </c>
      <c r="I457" s="23" t="s">
        <v>9376</v>
      </c>
      <c r="J457" s="23" t="s">
        <v>3276</v>
      </c>
      <c r="K457" s="23" t="s">
        <v>3275</v>
      </c>
      <c r="L457" s="23" t="s">
        <v>9481</v>
      </c>
      <c r="M457" s="23" t="s">
        <v>9425</v>
      </c>
      <c r="N457" s="23" t="s">
        <v>9394</v>
      </c>
      <c r="O457" s="23" t="s">
        <v>9482</v>
      </c>
      <c r="P457" s="23" t="s">
        <v>9483</v>
      </c>
      <c r="Q457" s="23" t="s">
        <v>10571</v>
      </c>
      <c r="R457" s="23" t="s">
        <v>9383</v>
      </c>
    </row>
    <row r="458" spans="2:18" ht="15" customHeight="1" x14ac:dyDescent="0.25">
      <c r="B458" s="33" t="str">
        <f t="shared" si="14"/>
        <v>wd</v>
      </c>
      <c r="C458" s="33" t="str">
        <f t="shared" si="15"/>
        <v>c0wd</v>
      </c>
      <c r="D458" s="23" t="s">
        <v>10572</v>
      </c>
      <c r="E458" s="23" t="s">
        <v>10573</v>
      </c>
      <c r="F458" s="23" t="s">
        <v>9374</v>
      </c>
      <c r="G458" s="23" t="s">
        <v>9375</v>
      </c>
      <c r="H458" s="23" t="s">
        <v>121</v>
      </c>
      <c r="I458" s="23" t="s">
        <v>9376</v>
      </c>
      <c r="J458" s="23" t="s">
        <v>3276</v>
      </c>
      <c r="K458" s="23" t="s">
        <v>3275</v>
      </c>
      <c r="L458" s="23" t="s">
        <v>10574</v>
      </c>
      <c r="M458" s="23" t="s">
        <v>9378</v>
      </c>
      <c r="N458" s="23" t="s">
        <v>9379</v>
      </c>
      <c r="O458" s="23"/>
      <c r="P458" s="23"/>
      <c r="Q458" s="23" t="s">
        <v>10575</v>
      </c>
      <c r="R458" s="23" t="s">
        <v>9383</v>
      </c>
    </row>
    <row r="459" spans="2:18" ht="15" customHeight="1" x14ac:dyDescent="0.25">
      <c r="B459" s="33" t="str">
        <f t="shared" si="14"/>
        <v>we</v>
      </c>
      <c r="C459" s="33" t="str">
        <f t="shared" si="15"/>
        <v>c0we</v>
      </c>
      <c r="D459" s="23" t="s">
        <v>10576</v>
      </c>
      <c r="E459" s="23" t="s">
        <v>1324</v>
      </c>
      <c r="F459" s="23" t="s">
        <v>9374</v>
      </c>
      <c r="G459" s="23" t="s">
        <v>9375</v>
      </c>
      <c r="H459" s="23" t="s">
        <v>121</v>
      </c>
      <c r="I459" s="23" t="s">
        <v>9376</v>
      </c>
      <c r="J459" s="23" t="s">
        <v>3276</v>
      </c>
      <c r="K459" s="23" t="s">
        <v>3275</v>
      </c>
      <c r="L459" s="23" t="s">
        <v>9476</v>
      </c>
      <c r="M459" s="23" t="s">
        <v>9425</v>
      </c>
      <c r="N459" s="23" t="s">
        <v>9394</v>
      </c>
      <c r="O459" s="23"/>
      <c r="P459" s="23"/>
      <c r="Q459" s="23" t="s">
        <v>10577</v>
      </c>
      <c r="R459" s="23" t="s">
        <v>9383</v>
      </c>
    </row>
    <row r="460" spans="2:18" ht="15" customHeight="1" x14ac:dyDescent="0.25">
      <c r="B460" s="33" t="str">
        <f t="shared" si="14"/>
        <v>wf</v>
      </c>
      <c r="C460" s="33" t="str">
        <f t="shared" si="15"/>
        <v>c0wf</v>
      </c>
      <c r="D460" s="23" t="s">
        <v>10578</v>
      </c>
      <c r="E460" s="23" t="s">
        <v>1326</v>
      </c>
      <c r="F460" s="23" t="s">
        <v>9374</v>
      </c>
      <c r="G460" s="23" t="s">
        <v>9403</v>
      </c>
      <c r="H460" s="23" t="s">
        <v>121</v>
      </c>
      <c r="I460" s="23" t="s">
        <v>9376</v>
      </c>
      <c r="J460" s="23"/>
      <c r="K460" s="23"/>
      <c r="L460" s="23"/>
      <c r="M460" s="23" t="s">
        <v>9378</v>
      </c>
      <c r="N460" s="23" t="s">
        <v>9379</v>
      </c>
      <c r="O460" s="23"/>
      <c r="P460" s="23"/>
      <c r="Q460" s="23" t="s">
        <v>10579</v>
      </c>
      <c r="R460" s="23" t="s">
        <v>9383</v>
      </c>
    </row>
    <row r="461" spans="2:18" ht="15" customHeight="1" x14ac:dyDescent="0.25">
      <c r="B461" s="33" t="str">
        <f t="shared" si="14"/>
        <v>wg</v>
      </c>
      <c r="C461" s="33" t="str">
        <f t="shared" si="15"/>
        <v>c0wg</v>
      </c>
      <c r="D461" s="23" t="s">
        <v>10580</v>
      </c>
      <c r="E461" s="23" t="s">
        <v>1328</v>
      </c>
      <c r="F461" s="23" t="s">
        <v>9374</v>
      </c>
      <c r="G461" s="23" t="s">
        <v>9375</v>
      </c>
      <c r="H461" s="23" t="s">
        <v>121</v>
      </c>
      <c r="I461" s="23" t="s">
        <v>9376</v>
      </c>
      <c r="J461" s="23" t="s">
        <v>3276</v>
      </c>
      <c r="K461" s="23" t="s">
        <v>3275</v>
      </c>
      <c r="L461" s="23" t="s">
        <v>10581</v>
      </c>
      <c r="M461" s="23" t="s">
        <v>9378</v>
      </c>
      <c r="N461" s="23" t="s">
        <v>9379</v>
      </c>
      <c r="O461" s="23"/>
      <c r="P461" s="23"/>
      <c r="Q461" s="23" t="s">
        <v>10582</v>
      </c>
      <c r="R461" s="23" t="s">
        <v>9383</v>
      </c>
    </row>
    <row r="462" spans="2:18" ht="15" customHeight="1" x14ac:dyDescent="0.25">
      <c r="B462" s="33" t="str">
        <f t="shared" si="14"/>
        <v>wh</v>
      </c>
      <c r="C462" s="33" t="str">
        <f t="shared" si="15"/>
        <v>c0wh</v>
      </c>
      <c r="D462" s="23" t="s">
        <v>10583</v>
      </c>
      <c r="E462" s="23" t="s">
        <v>1330</v>
      </c>
      <c r="F462" s="23" t="s">
        <v>9374</v>
      </c>
      <c r="G462" s="23" t="s">
        <v>9403</v>
      </c>
      <c r="H462" s="23" t="s">
        <v>121</v>
      </c>
      <c r="I462" s="23" t="s">
        <v>9376</v>
      </c>
      <c r="J462" s="23"/>
      <c r="K462" s="23"/>
      <c r="L462" s="23"/>
      <c r="M462" s="23" t="s">
        <v>9378</v>
      </c>
      <c r="N462" s="23" t="s">
        <v>9379</v>
      </c>
      <c r="O462" s="23"/>
      <c r="P462" s="23"/>
      <c r="Q462" s="23" t="s">
        <v>10584</v>
      </c>
      <c r="R462" s="23" t="s">
        <v>9383</v>
      </c>
    </row>
    <row r="463" spans="2:18" ht="15" customHeight="1" x14ac:dyDescent="0.25">
      <c r="B463" s="33" t="str">
        <f t="shared" si="14"/>
        <v>wj</v>
      </c>
      <c r="C463" s="33" t="str">
        <f t="shared" si="15"/>
        <v>c0wj</v>
      </c>
      <c r="D463" s="23" t="s">
        <v>10585</v>
      </c>
      <c r="E463" s="23" t="s">
        <v>1332</v>
      </c>
      <c r="F463" s="23" t="s">
        <v>9374</v>
      </c>
      <c r="G463" s="23" t="s">
        <v>9403</v>
      </c>
      <c r="H463" s="23" t="s">
        <v>121</v>
      </c>
      <c r="I463" s="23" t="s">
        <v>9376</v>
      </c>
      <c r="J463" s="23"/>
      <c r="K463" s="23"/>
      <c r="L463" s="23"/>
      <c r="M463" s="23" t="s">
        <v>9425</v>
      </c>
      <c r="N463" s="23" t="s">
        <v>9394</v>
      </c>
      <c r="O463" s="23"/>
      <c r="P463" s="23"/>
      <c r="Q463" s="23" t="s">
        <v>10586</v>
      </c>
      <c r="R463" s="23" t="s">
        <v>9383</v>
      </c>
    </row>
    <row r="464" spans="2:18" ht="15" customHeight="1" x14ac:dyDescent="0.25">
      <c r="B464" s="33" t="str">
        <f t="shared" si="14"/>
        <v>wk</v>
      </c>
      <c r="C464" s="33" t="str">
        <f t="shared" si="15"/>
        <v>c0wk</v>
      </c>
      <c r="D464" s="23" t="s">
        <v>10587</v>
      </c>
      <c r="E464" s="23" t="s">
        <v>1334</v>
      </c>
      <c r="F464" s="23" t="s">
        <v>9374</v>
      </c>
      <c r="G464" s="23" t="s">
        <v>9403</v>
      </c>
      <c r="H464" s="23" t="s">
        <v>121</v>
      </c>
      <c r="I464" s="23" t="s">
        <v>9376</v>
      </c>
      <c r="J464" s="23"/>
      <c r="K464" s="23"/>
      <c r="L464" s="23"/>
      <c r="M464" s="23" t="s">
        <v>9378</v>
      </c>
      <c r="N464" s="23" t="s">
        <v>9379</v>
      </c>
      <c r="O464" s="23"/>
      <c r="P464" s="23"/>
      <c r="Q464" s="23" t="s">
        <v>10588</v>
      </c>
      <c r="R464" s="23" t="s">
        <v>9383</v>
      </c>
    </row>
    <row r="465" spans="2:18" ht="15" customHeight="1" x14ac:dyDescent="0.25">
      <c r="B465" s="33" t="str">
        <f t="shared" si="14"/>
        <v>wl</v>
      </c>
      <c r="C465" s="33" t="str">
        <f t="shared" si="15"/>
        <v>c0wl</v>
      </c>
      <c r="D465" s="23" t="s">
        <v>10589</v>
      </c>
      <c r="E465" s="23" t="s">
        <v>1336</v>
      </c>
      <c r="F465" s="23" t="s">
        <v>9374</v>
      </c>
      <c r="G465" s="23" t="s">
        <v>9403</v>
      </c>
      <c r="H465" s="23" t="s">
        <v>121</v>
      </c>
      <c r="I465" s="23" t="s">
        <v>9376</v>
      </c>
      <c r="J465" s="23"/>
      <c r="K465" s="23"/>
      <c r="L465" s="23"/>
      <c r="M465" s="23" t="s">
        <v>9425</v>
      </c>
      <c r="N465" s="23" t="s">
        <v>9394</v>
      </c>
      <c r="O465" s="23"/>
      <c r="P465" s="23"/>
      <c r="Q465" s="23" t="s">
        <v>10590</v>
      </c>
      <c r="R465" s="23" t="s">
        <v>9383</v>
      </c>
    </row>
    <row r="466" spans="2:18" ht="15" customHeight="1" x14ac:dyDescent="0.25">
      <c r="B466" s="33" t="str">
        <f t="shared" si="14"/>
        <v>wm</v>
      </c>
      <c r="C466" s="33" t="str">
        <f t="shared" si="15"/>
        <v>c0wm</v>
      </c>
      <c r="D466" s="23" t="s">
        <v>10591</v>
      </c>
      <c r="E466" s="23" t="s">
        <v>1338</v>
      </c>
      <c r="F466" s="23" t="s">
        <v>9374</v>
      </c>
      <c r="G466" s="23" t="s">
        <v>9403</v>
      </c>
      <c r="H466" s="23" t="s">
        <v>121</v>
      </c>
      <c r="I466" s="23" t="s">
        <v>9376</v>
      </c>
      <c r="J466" s="23"/>
      <c r="K466" s="23"/>
      <c r="L466" s="23"/>
      <c r="M466" s="23" t="s">
        <v>9378</v>
      </c>
      <c r="N466" s="23" t="s">
        <v>9394</v>
      </c>
      <c r="O466" s="23"/>
      <c r="P466" s="23"/>
      <c r="Q466" s="23" t="s">
        <v>10592</v>
      </c>
      <c r="R466" s="23" t="s">
        <v>9383</v>
      </c>
    </row>
    <row r="467" spans="2:18" ht="15" customHeight="1" x14ac:dyDescent="0.25">
      <c r="B467" s="33" t="str">
        <f t="shared" si="14"/>
        <v>wn</v>
      </c>
      <c r="C467" s="33" t="str">
        <f t="shared" si="15"/>
        <v>c0wn</v>
      </c>
      <c r="D467" s="23" t="s">
        <v>10593</v>
      </c>
      <c r="E467" s="23" t="s">
        <v>1340</v>
      </c>
      <c r="F467" s="23" t="s">
        <v>9374</v>
      </c>
      <c r="G467" s="23" t="s">
        <v>9403</v>
      </c>
      <c r="H467" s="23" t="s">
        <v>121</v>
      </c>
      <c r="I467" s="23" t="s">
        <v>9376</v>
      </c>
      <c r="J467" s="23"/>
      <c r="K467" s="23"/>
      <c r="L467" s="23"/>
      <c r="M467" s="23" t="s">
        <v>9378</v>
      </c>
      <c r="N467" s="23" t="s">
        <v>9379</v>
      </c>
      <c r="O467" s="23"/>
      <c r="P467" s="23"/>
      <c r="Q467" s="23" t="s">
        <v>10594</v>
      </c>
      <c r="R467" s="23" t="s">
        <v>9383</v>
      </c>
    </row>
    <row r="468" spans="2:18" ht="15" customHeight="1" x14ac:dyDescent="0.25">
      <c r="B468" s="33" t="str">
        <f t="shared" si="14"/>
        <v>wq</v>
      </c>
      <c r="C468" s="33" t="str">
        <f t="shared" si="15"/>
        <v>c0wq</v>
      </c>
      <c r="D468" s="23" t="s">
        <v>10595</v>
      </c>
      <c r="E468" s="23" t="s">
        <v>10596</v>
      </c>
      <c r="F468" s="23" t="s">
        <v>9374</v>
      </c>
      <c r="G468" s="23" t="s">
        <v>9375</v>
      </c>
      <c r="H468" s="23" t="s">
        <v>121</v>
      </c>
      <c r="I468" s="23" t="s">
        <v>9376</v>
      </c>
      <c r="J468" s="23" t="s">
        <v>3276</v>
      </c>
      <c r="K468" s="23" t="s">
        <v>3275</v>
      </c>
      <c r="L468" s="23" t="s">
        <v>9824</v>
      </c>
      <c r="M468" s="23" t="s">
        <v>9378</v>
      </c>
      <c r="N468" s="23" t="s">
        <v>9379</v>
      </c>
      <c r="O468" s="23" t="s">
        <v>9825</v>
      </c>
      <c r="P468" s="23" t="s">
        <v>9826</v>
      </c>
      <c r="Q468" s="23" t="s">
        <v>10597</v>
      </c>
      <c r="R468" s="23" t="s">
        <v>9383</v>
      </c>
    </row>
    <row r="469" spans="2:18" ht="15" customHeight="1" x14ac:dyDescent="0.25">
      <c r="B469" s="33" t="str">
        <f t="shared" si="14"/>
        <v>wr</v>
      </c>
      <c r="C469" s="33" t="str">
        <f t="shared" si="15"/>
        <v>c0wr</v>
      </c>
      <c r="D469" s="23" t="s">
        <v>10598</v>
      </c>
      <c r="E469" s="23" t="s">
        <v>1344</v>
      </c>
      <c r="F469" s="23" t="s">
        <v>9374</v>
      </c>
      <c r="G469" s="23" t="s">
        <v>9403</v>
      </c>
      <c r="H469" s="23" t="s">
        <v>121</v>
      </c>
      <c r="I469" s="23" t="s">
        <v>9376</v>
      </c>
      <c r="J469" s="23"/>
      <c r="K469" s="23"/>
      <c r="L469" s="23"/>
      <c r="M469" s="23" t="s">
        <v>9378</v>
      </c>
      <c r="N469" s="23" t="s">
        <v>9379</v>
      </c>
      <c r="O469" s="23"/>
      <c r="P469" s="23"/>
      <c r="Q469" s="23" t="s">
        <v>10599</v>
      </c>
      <c r="R469" s="23" t="s">
        <v>9383</v>
      </c>
    </row>
    <row r="470" spans="2:18" ht="15" customHeight="1" x14ac:dyDescent="0.25">
      <c r="B470" s="33" t="str">
        <f t="shared" si="14"/>
        <v>ws</v>
      </c>
      <c r="C470" s="33" t="str">
        <f t="shared" si="15"/>
        <v>c0ws</v>
      </c>
      <c r="D470" s="23" t="s">
        <v>10600</v>
      </c>
      <c r="E470" s="23" t="s">
        <v>1346</v>
      </c>
      <c r="F470" s="23" t="s">
        <v>9374</v>
      </c>
      <c r="G470" s="23" t="s">
        <v>9403</v>
      </c>
      <c r="H470" s="23" t="s">
        <v>121</v>
      </c>
      <c r="I470" s="23" t="s">
        <v>9376</v>
      </c>
      <c r="J470" s="23"/>
      <c r="K470" s="23"/>
      <c r="L470" s="23"/>
      <c r="M470" s="23" t="s">
        <v>9378</v>
      </c>
      <c r="N470" s="23" t="s">
        <v>9379</v>
      </c>
      <c r="O470" s="23"/>
      <c r="P470" s="23"/>
      <c r="Q470" s="23" t="s">
        <v>10601</v>
      </c>
      <c r="R470" s="23" t="s">
        <v>9383</v>
      </c>
    </row>
    <row r="471" spans="2:18" ht="15" customHeight="1" x14ac:dyDescent="0.25">
      <c r="B471" s="33" t="str">
        <f t="shared" si="14"/>
        <v>wt</v>
      </c>
      <c r="C471" s="33" t="str">
        <f t="shared" si="15"/>
        <v>c0wt</v>
      </c>
      <c r="D471" s="23" t="s">
        <v>10602</v>
      </c>
      <c r="E471" s="23" t="s">
        <v>1348</v>
      </c>
      <c r="F471" s="23" t="s">
        <v>9374</v>
      </c>
      <c r="G471" s="23" t="s">
        <v>9403</v>
      </c>
      <c r="H471" s="23" t="s">
        <v>121</v>
      </c>
      <c r="I471" s="23" t="s">
        <v>9376</v>
      </c>
      <c r="J471" s="23"/>
      <c r="K471" s="23"/>
      <c r="L471" s="23"/>
      <c r="M471" s="23" t="s">
        <v>9378</v>
      </c>
      <c r="N471" s="23" t="s">
        <v>9379</v>
      </c>
      <c r="O471" s="23"/>
      <c r="P471" s="23"/>
      <c r="Q471" s="23"/>
      <c r="R471" s="23" t="s">
        <v>9586</v>
      </c>
    </row>
    <row r="472" spans="2:18" ht="15" customHeight="1" x14ac:dyDescent="0.25">
      <c r="B472" s="33" t="str">
        <f t="shared" si="14"/>
        <v>wu</v>
      </c>
      <c r="C472" s="33" t="str">
        <f t="shared" si="15"/>
        <v>c0wu</v>
      </c>
      <c r="D472" s="23" t="s">
        <v>10603</v>
      </c>
      <c r="E472" s="23" t="s">
        <v>1350</v>
      </c>
      <c r="F472" s="23" t="s">
        <v>9374</v>
      </c>
      <c r="G472" s="23" t="s">
        <v>9403</v>
      </c>
      <c r="H472" s="23" t="s">
        <v>121</v>
      </c>
      <c r="I472" s="23" t="s">
        <v>9376</v>
      </c>
      <c r="J472" s="23"/>
      <c r="K472" s="23"/>
      <c r="L472" s="23"/>
      <c r="M472" s="23" t="s">
        <v>9378</v>
      </c>
      <c r="N472" s="23" t="s">
        <v>9379</v>
      </c>
      <c r="O472" s="23"/>
      <c r="P472" s="23"/>
      <c r="Q472" s="23" t="s">
        <v>10604</v>
      </c>
      <c r="R472" s="23" t="s">
        <v>9383</v>
      </c>
    </row>
    <row r="473" spans="2:18" ht="15" customHeight="1" x14ac:dyDescent="0.25">
      <c r="B473" s="33" t="str">
        <f t="shared" si="14"/>
        <v>wv</v>
      </c>
      <c r="C473" s="33" t="str">
        <f t="shared" si="15"/>
        <v>c0wv</v>
      </c>
      <c r="D473" s="23" t="s">
        <v>10605</v>
      </c>
      <c r="E473" s="23" t="s">
        <v>1352</v>
      </c>
      <c r="F473" s="23" t="s">
        <v>9374</v>
      </c>
      <c r="G473" s="23" t="s">
        <v>9375</v>
      </c>
      <c r="H473" s="23" t="s">
        <v>121</v>
      </c>
      <c r="I473" s="23" t="s">
        <v>9376</v>
      </c>
      <c r="J473" s="23" t="s">
        <v>3276</v>
      </c>
      <c r="K473" s="23" t="s">
        <v>3275</v>
      </c>
      <c r="L473" s="23" t="s">
        <v>10606</v>
      </c>
      <c r="M473" s="23" t="s">
        <v>9393</v>
      </c>
      <c r="N473" s="23" t="s">
        <v>9394</v>
      </c>
      <c r="O473" s="23" t="s">
        <v>10607</v>
      </c>
      <c r="P473" s="23" t="s">
        <v>10608</v>
      </c>
      <c r="Q473" s="23" t="s">
        <v>10609</v>
      </c>
      <c r="R473" s="23" t="s">
        <v>9383</v>
      </c>
    </row>
    <row r="474" spans="2:18" ht="15" customHeight="1" x14ac:dyDescent="0.25">
      <c r="B474" s="33" t="str">
        <f t="shared" si="14"/>
        <v>ww</v>
      </c>
      <c r="C474" s="33" t="str">
        <f t="shared" si="15"/>
        <v>c0ww</v>
      </c>
      <c r="D474" s="23" t="s">
        <v>10610</v>
      </c>
      <c r="E474" s="23" t="s">
        <v>1354</v>
      </c>
      <c r="F474" s="23" t="s">
        <v>9374</v>
      </c>
      <c r="G474" s="23" t="s">
        <v>9375</v>
      </c>
      <c r="H474" s="23" t="s">
        <v>121</v>
      </c>
      <c r="I474" s="23" t="s">
        <v>9376</v>
      </c>
      <c r="J474" s="23" t="s">
        <v>3276</v>
      </c>
      <c r="K474" s="23" t="s">
        <v>3275</v>
      </c>
      <c r="L474" s="23" t="s">
        <v>9824</v>
      </c>
      <c r="M474" s="23" t="s">
        <v>9378</v>
      </c>
      <c r="N474" s="23" t="s">
        <v>9379</v>
      </c>
      <c r="O474" s="23" t="s">
        <v>9825</v>
      </c>
      <c r="P474" s="23" t="s">
        <v>9826</v>
      </c>
      <c r="Q474" s="23" t="s">
        <v>10611</v>
      </c>
      <c r="R474" s="23" t="s">
        <v>9383</v>
      </c>
    </row>
    <row r="475" spans="2:18" ht="15" customHeight="1" x14ac:dyDescent="0.25">
      <c r="B475" s="33" t="str">
        <f t="shared" si="14"/>
        <v>wx</v>
      </c>
      <c r="C475" s="33" t="str">
        <f t="shared" si="15"/>
        <v>c0wx</v>
      </c>
      <c r="D475" s="23" t="s">
        <v>10612</v>
      </c>
      <c r="E475" s="23" t="s">
        <v>1356</v>
      </c>
      <c r="F475" s="23" t="s">
        <v>9374</v>
      </c>
      <c r="G475" s="23" t="s">
        <v>9403</v>
      </c>
      <c r="H475" s="23" t="s">
        <v>121</v>
      </c>
      <c r="I475" s="23" t="s">
        <v>9376</v>
      </c>
      <c r="J475" s="23"/>
      <c r="K475" s="23"/>
      <c r="L475" s="23"/>
      <c r="M475" s="23" t="s">
        <v>9378</v>
      </c>
      <c r="N475" s="23" t="s">
        <v>9379</v>
      </c>
      <c r="O475" s="23"/>
      <c r="P475" s="23"/>
      <c r="Q475" s="23" t="s">
        <v>10613</v>
      </c>
      <c r="R475" s="23" t="s">
        <v>9383</v>
      </c>
    </row>
    <row r="476" spans="2:18" ht="15" customHeight="1" x14ac:dyDescent="0.25">
      <c r="B476" s="33" t="str">
        <f t="shared" si="14"/>
        <v>wy</v>
      </c>
      <c r="C476" s="33" t="str">
        <f t="shared" si="15"/>
        <v>c0wy</v>
      </c>
      <c r="D476" s="23" t="s">
        <v>10614</v>
      </c>
      <c r="E476" s="23" t="s">
        <v>1358</v>
      </c>
      <c r="F476" s="23" t="s">
        <v>9374</v>
      </c>
      <c r="G476" s="23" t="s">
        <v>9375</v>
      </c>
      <c r="H476" s="23" t="s">
        <v>121</v>
      </c>
      <c r="I476" s="23" t="s">
        <v>9376</v>
      </c>
      <c r="J476" s="23" t="s">
        <v>3276</v>
      </c>
      <c r="K476" s="23" t="s">
        <v>3275</v>
      </c>
      <c r="L476" s="23" t="s">
        <v>10606</v>
      </c>
      <c r="M476" s="23" t="s">
        <v>9393</v>
      </c>
      <c r="N476" s="23" t="s">
        <v>9394</v>
      </c>
      <c r="O476" s="23" t="s">
        <v>10607</v>
      </c>
      <c r="P476" s="23" t="s">
        <v>10608</v>
      </c>
      <c r="Q476" s="23" t="s">
        <v>10615</v>
      </c>
      <c r="R476" s="23" t="s">
        <v>9383</v>
      </c>
    </row>
    <row r="477" spans="2:18" ht="15" customHeight="1" x14ac:dyDescent="0.25">
      <c r="B477" s="33" t="str">
        <f t="shared" si="14"/>
        <v>wz</v>
      </c>
      <c r="C477" s="33" t="str">
        <f t="shared" si="15"/>
        <v>c0wz</v>
      </c>
      <c r="D477" s="23" t="s">
        <v>10616</v>
      </c>
      <c r="E477" s="23" t="s">
        <v>1360</v>
      </c>
      <c r="F477" s="23" t="s">
        <v>9374</v>
      </c>
      <c r="G477" s="23" t="s">
        <v>9403</v>
      </c>
      <c r="H477" s="23" t="s">
        <v>121</v>
      </c>
      <c r="I477" s="23" t="s">
        <v>9376</v>
      </c>
      <c r="J477" s="23"/>
      <c r="K477" s="23"/>
      <c r="L477" s="23"/>
      <c r="M477" s="23" t="s">
        <v>9378</v>
      </c>
      <c r="N477" s="23" t="s">
        <v>9379</v>
      </c>
      <c r="O477" s="23"/>
      <c r="P477" s="23"/>
      <c r="Q477" s="23" t="s">
        <v>10617</v>
      </c>
      <c r="R477" s="23" t="s">
        <v>9383</v>
      </c>
    </row>
    <row r="478" spans="2:18" ht="15" customHeight="1" x14ac:dyDescent="0.25">
      <c r="B478" s="33" t="str">
        <f t="shared" si="14"/>
        <v>x1</v>
      </c>
      <c r="C478" s="33" t="str">
        <f t="shared" si="15"/>
        <v>c0x1</v>
      </c>
      <c r="D478" s="23" t="s">
        <v>10618</v>
      </c>
      <c r="E478" s="23" t="s">
        <v>1362</v>
      </c>
      <c r="F478" s="23" t="s">
        <v>9374</v>
      </c>
      <c r="G478" s="23" t="s">
        <v>9403</v>
      </c>
      <c r="H478" s="23" t="s">
        <v>121</v>
      </c>
      <c r="I478" s="23" t="s">
        <v>9376</v>
      </c>
      <c r="J478" s="23"/>
      <c r="K478" s="23"/>
      <c r="L478" s="23"/>
      <c r="M478" s="23" t="s">
        <v>9378</v>
      </c>
      <c r="N478" s="23" t="s">
        <v>9379</v>
      </c>
      <c r="O478" s="23"/>
      <c r="P478" s="23"/>
      <c r="Q478" s="23" t="s">
        <v>10619</v>
      </c>
      <c r="R478" s="23" t="s">
        <v>9383</v>
      </c>
    </row>
    <row r="479" spans="2:18" ht="15" customHeight="1" x14ac:dyDescent="0.25">
      <c r="B479" s="33" t="str">
        <f t="shared" si="14"/>
        <v>x4</v>
      </c>
      <c r="C479" s="33" t="str">
        <f t="shared" si="15"/>
        <v>c0x4</v>
      </c>
      <c r="D479" s="23" t="s">
        <v>10620</v>
      </c>
      <c r="E479" s="23" t="s">
        <v>1364</v>
      </c>
      <c r="F479" s="23" t="s">
        <v>9374</v>
      </c>
      <c r="G479" s="23" t="s">
        <v>9403</v>
      </c>
      <c r="H479" s="23" t="s">
        <v>121</v>
      </c>
      <c r="I479" s="23" t="s">
        <v>9376</v>
      </c>
      <c r="J479" s="23"/>
      <c r="K479" s="23"/>
      <c r="L479" s="23"/>
      <c r="M479" s="23" t="s">
        <v>9425</v>
      </c>
      <c r="N479" s="23" t="s">
        <v>9394</v>
      </c>
      <c r="O479" s="23"/>
      <c r="P479" s="23"/>
      <c r="Q479" s="23" t="s">
        <v>10621</v>
      </c>
      <c r="R479" s="23" t="s">
        <v>9383</v>
      </c>
    </row>
    <row r="480" spans="2:18" ht="15" customHeight="1" x14ac:dyDescent="0.25">
      <c r="B480" s="33" t="str">
        <f t="shared" si="14"/>
        <v>x5</v>
      </c>
      <c r="C480" s="33" t="str">
        <f t="shared" si="15"/>
        <v>c0x5</v>
      </c>
      <c r="D480" s="23" t="s">
        <v>10622</v>
      </c>
      <c r="E480" s="23" t="s">
        <v>1366</v>
      </c>
      <c r="F480" s="23" t="s">
        <v>9374</v>
      </c>
      <c r="G480" s="23" t="s">
        <v>9375</v>
      </c>
      <c r="H480" s="23" t="s">
        <v>121</v>
      </c>
      <c r="I480" s="23" t="s">
        <v>9376</v>
      </c>
      <c r="J480" s="23" t="s">
        <v>3276</v>
      </c>
      <c r="K480" s="23" t="s">
        <v>3275</v>
      </c>
      <c r="L480" s="23" t="s">
        <v>10623</v>
      </c>
      <c r="M480" s="23" t="s">
        <v>9378</v>
      </c>
      <c r="N480" s="23" t="s">
        <v>9394</v>
      </c>
      <c r="O480" s="23"/>
      <c r="P480" s="23"/>
      <c r="Q480" s="23" t="s">
        <v>10624</v>
      </c>
      <c r="R480" s="23" t="s">
        <v>9383</v>
      </c>
    </row>
    <row r="481" spans="2:18" ht="15" customHeight="1" x14ac:dyDescent="0.25">
      <c r="B481" s="33" t="str">
        <f t="shared" si="14"/>
        <v>x6</v>
      </c>
      <c r="C481" s="33" t="str">
        <f t="shared" si="15"/>
        <v>c0x6</v>
      </c>
      <c r="D481" s="23" t="s">
        <v>10625</v>
      </c>
      <c r="E481" s="23" t="s">
        <v>1368</v>
      </c>
      <c r="F481" s="23" t="s">
        <v>9374</v>
      </c>
      <c r="G481" s="23" t="s">
        <v>9403</v>
      </c>
      <c r="H481" s="23" t="s">
        <v>121</v>
      </c>
      <c r="I481" s="23" t="s">
        <v>9376</v>
      </c>
      <c r="J481" s="23"/>
      <c r="K481" s="23"/>
      <c r="L481" s="23"/>
      <c r="M481" s="23" t="s">
        <v>9378</v>
      </c>
      <c r="N481" s="23" t="s">
        <v>9379</v>
      </c>
      <c r="O481" s="23"/>
      <c r="P481" s="23"/>
      <c r="Q481" s="23" t="s">
        <v>10626</v>
      </c>
      <c r="R481" s="23" t="s">
        <v>9383</v>
      </c>
    </row>
    <row r="482" spans="2:18" ht="15" customHeight="1" x14ac:dyDescent="0.25">
      <c r="B482" s="33" t="str">
        <f t="shared" si="14"/>
        <v>x7</v>
      </c>
      <c r="C482" s="33" t="str">
        <f t="shared" si="15"/>
        <v>c0x7</v>
      </c>
      <c r="D482" s="23" t="s">
        <v>10627</v>
      </c>
      <c r="E482" s="23" t="s">
        <v>10628</v>
      </c>
      <c r="F482" s="23" t="s">
        <v>9374</v>
      </c>
      <c r="G482" s="23" t="s">
        <v>9403</v>
      </c>
      <c r="H482" s="23" t="s">
        <v>121</v>
      </c>
      <c r="I482" s="23" t="s">
        <v>9376</v>
      </c>
      <c r="J482" s="23"/>
      <c r="K482" s="23"/>
      <c r="L482" s="23"/>
      <c r="M482" s="23" t="s">
        <v>9378</v>
      </c>
      <c r="N482" s="23" t="s">
        <v>9379</v>
      </c>
      <c r="O482" s="23"/>
      <c r="P482" s="23"/>
      <c r="Q482" s="23" t="s">
        <v>10629</v>
      </c>
      <c r="R482" s="23" t="s">
        <v>9383</v>
      </c>
    </row>
    <row r="483" spans="2:18" ht="15" customHeight="1" x14ac:dyDescent="0.25">
      <c r="B483" s="33" t="str">
        <f t="shared" si="14"/>
        <v>x8</v>
      </c>
      <c r="C483" s="33" t="str">
        <f t="shared" si="15"/>
        <v>c0x8</v>
      </c>
      <c r="D483" s="23" t="s">
        <v>10630</v>
      </c>
      <c r="E483" s="23" t="s">
        <v>1372</v>
      </c>
      <c r="F483" s="23" t="s">
        <v>9374</v>
      </c>
      <c r="G483" s="23" t="s">
        <v>9403</v>
      </c>
      <c r="H483" s="23" t="s">
        <v>121</v>
      </c>
      <c r="I483" s="23" t="s">
        <v>9376</v>
      </c>
      <c r="J483" s="23"/>
      <c r="K483" s="23"/>
      <c r="L483" s="23"/>
      <c r="M483" s="23" t="s">
        <v>9378</v>
      </c>
      <c r="N483" s="23" t="s">
        <v>9379</v>
      </c>
      <c r="O483" s="23"/>
      <c r="P483" s="23"/>
      <c r="Q483" s="23" t="s">
        <v>10631</v>
      </c>
      <c r="R483" s="23" t="s">
        <v>9383</v>
      </c>
    </row>
    <row r="484" spans="2:18" ht="15" customHeight="1" x14ac:dyDescent="0.25">
      <c r="B484" s="33" t="str">
        <f t="shared" si="14"/>
        <v>x9</v>
      </c>
      <c r="C484" s="33" t="str">
        <f t="shared" si="15"/>
        <v>c0x9</v>
      </c>
      <c r="D484" s="23" t="s">
        <v>10632</v>
      </c>
      <c r="E484" s="23" t="s">
        <v>1375</v>
      </c>
      <c r="F484" s="23" t="s">
        <v>9374</v>
      </c>
      <c r="G484" s="23" t="s">
        <v>9403</v>
      </c>
      <c r="H484" s="23" t="s">
        <v>121</v>
      </c>
      <c r="I484" s="23" t="s">
        <v>9376</v>
      </c>
      <c r="J484" s="23"/>
      <c r="K484" s="23"/>
      <c r="L484" s="23"/>
      <c r="M484" s="23" t="s">
        <v>9378</v>
      </c>
      <c r="N484" s="23" t="s">
        <v>9379</v>
      </c>
      <c r="O484" s="23"/>
      <c r="P484" s="23"/>
      <c r="Q484" s="23" t="s">
        <v>10633</v>
      </c>
      <c r="R484" s="23" t="s">
        <v>9383</v>
      </c>
    </row>
    <row r="485" spans="2:18" ht="15" customHeight="1" x14ac:dyDescent="0.25">
      <c r="B485" s="33" t="str">
        <f t="shared" si="14"/>
        <v>xd</v>
      </c>
      <c r="C485" s="33" t="str">
        <f t="shared" si="15"/>
        <v>c0xd</v>
      </c>
      <c r="D485" s="23" t="s">
        <v>10634</v>
      </c>
      <c r="E485" s="23" t="s">
        <v>1377</v>
      </c>
      <c r="F485" s="23" t="s">
        <v>9374</v>
      </c>
      <c r="G485" s="23" t="s">
        <v>9403</v>
      </c>
      <c r="H485" s="23" t="s">
        <v>121</v>
      </c>
      <c r="I485" s="23" t="s">
        <v>9376</v>
      </c>
      <c r="J485" s="23"/>
      <c r="K485" s="23"/>
      <c r="L485" s="23"/>
      <c r="M485" s="23" t="s">
        <v>9378</v>
      </c>
      <c r="N485" s="23" t="s">
        <v>9379</v>
      </c>
      <c r="O485" s="23"/>
      <c r="P485" s="23"/>
      <c r="Q485" s="23" t="s">
        <v>10635</v>
      </c>
      <c r="R485" s="23" t="s">
        <v>9383</v>
      </c>
    </row>
    <row r="486" spans="2:18" ht="15" customHeight="1" x14ac:dyDescent="0.25">
      <c r="B486" s="33" t="str">
        <f t="shared" si="14"/>
        <v>xe</v>
      </c>
      <c r="C486" s="33" t="str">
        <f t="shared" si="15"/>
        <v>c0xe</v>
      </c>
      <c r="D486" s="23" t="s">
        <v>10636</v>
      </c>
      <c r="E486" s="23" t="s">
        <v>1379</v>
      </c>
      <c r="F486" s="23" t="s">
        <v>9374</v>
      </c>
      <c r="G486" s="23" t="s">
        <v>9403</v>
      </c>
      <c r="H486" s="23" t="s">
        <v>121</v>
      </c>
      <c r="I486" s="23" t="s">
        <v>9376</v>
      </c>
      <c r="J486" s="23"/>
      <c r="K486" s="23"/>
      <c r="L486" s="23"/>
      <c r="M486" s="23" t="s">
        <v>9378</v>
      </c>
      <c r="N486" s="23" t="s">
        <v>9379</v>
      </c>
      <c r="O486" s="23"/>
      <c r="P486" s="23"/>
      <c r="Q486" s="23" t="s">
        <v>10637</v>
      </c>
      <c r="R486" s="23" t="s">
        <v>9383</v>
      </c>
    </row>
    <row r="487" spans="2:18" ht="15" customHeight="1" x14ac:dyDescent="0.25">
      <c r="B487" s="33" t="str">
        <f t="shared" si="14"/>
        <v>xf</v>
      </c>
      <c r="C487" s="33" t="str">
        <f t="shared" si="15"/>
        <v>c0xf</v>
      </c>
      <c r="D487" s="23" t="s">
        <v>10638</v>
      </c>
      <c r="E487" s="23" t="s">
        <v>1381</v>
      </c>
      <c r="F487" s="23" t="s">
        <v>9374</v>
      </c>
      <c r="G487" s="23" t="s">
        <v>9403</v>
      </c>
      <c r="H487" s="23" t="s">
        <v>121</v>
      </c>
      <c r="I487" s="23" t="s">
        <v>9376</v>
      </c>
      <c r="J487" s="23"/>
      <c r="K487" s="23"/>
      <c r="L487" s="23"/>
      <c r="M487" s="23" t="s">
        <v>9378</v>
      </c>
      <c r="N487" s="23" t="s">
        <v>9379</v>
      </c>
      <c r="O487" s="23"/>
      <c r="P487" s="23"/>
      <c r="Q487" s="23" t="s">
        <v>10639</v>
      </c>
      <c r="R487" s="23" t="s">
        <v>9383</v>
      </c>
    </row>
    <row r="488" spans="2:18" ht="15" customHeight="1" x14ac:dyDescent="0.25">
      <c r="B488" s="33" t="str">
        <f t="shared" si="14"/>
        <v>xg</v>
      </c>
      <c r="C488" s="33" t="str">
        <f t="shared" si="15"/>
        <v>c0xg</v>
      </c>
      <c r="D488" s="23" t="s">
        <v>10640</v>
      </c>
      <c r="E488" s="23" t="s">
        <v>1383</v>
      </c>
      <c r="F488" s="23" t="s">
        <v>9374</v>
      </c>
      <c r="G488" s="23" t="s">
        <v>9403</v>
      </c>
      <c r="H488" s="23" t="s">
        <v>121</v>
      </c>
      <c r="I488" s="23" t="s">
        <v>9376</v>
      </c>
      <c r="J488" s="23"/>
      <c r="K488" s="23"/>
      <c r="L488" s="23"/>
      <c r="M488" s="23" t="s">
        <v>9378</v>
      </c>
      <c r="N488" s="23" t="s">
        <v>9379</v>
      </c>
      <c r="O488" s="23"/>
      <c r="P488" s="23"/>
      <c r="Q488" s="23" t="s">
        <v>10641</v>
      </c>
      <c r="R488" s="23" t="s">
        <v>9383</v>
      </c>
    </row>
    <row r="489" spans="2:18" ht="15" customHeight="1" x14ac:dyDescent="0.25">
      <c r="B489" s="33" t="str">
        <f t="shared" si="14"/>
        <v>xh</v>
      </c>
      <c r="C489" s="33" t="str">
        <f t="shared" si="15"/>
        <v>c0xh</v>
      </c>
      <c r="D489" s="23" t="s">
        <v>10642</v>
      </c>
      <c r="E489" s="23" t="s">
        <v>1385</v>
      </c>
      <c r="F489" s="23" t="s">
        <v>9374</v>
      </c>
      <c r="G489" s="23" t="s">
        <v>9403</v>
      </c>
      <c r="H489" s="23" t="s">
        <v>121</v>
      </c>
      <c r="I489" s="23" t="s">
        <v>9376</v>
      </c>
      <c r="J489" s="23"/>
      <c r="K489" s="23"/>
      <c r="L489" s="23"/>
      <c r="M489" s="23" t="s">
        <v>9378</v>
      </c>
      <c r="N489" s="23" t="s">
        <v>9379</v>
      </c>
      <c r="O489" s="23"/>
      <c r="P489" s="23"/>
      <c r="Q489" s="23" t="s">
        <v>10643</v>
      </c>
      <c r="R489" s="23" t="s">
        <v>9383</v>
      </c>
    </row>
    <row r="490" spans="2:18" ht="15" customHeight="1" x14ac:dyDescent="0.25">
      <c r="B490" s="33" t="str">
        <f t="shared" si="14"/>
        <v>xj</v>
      </c>
      <c r="C490" s="33" t="str">
        <f t="shared" si="15"/>
        <v>c0xj</v>
      </c>
      <c r="D490" s="23" t="s">
        <v>10644</v>
      </c>
      <c r="E490" s="23" t="s">
        <v>1387</v>
      </c>
      <c r="F490" s="23" t="s">
        <v>9374</v>
      </c>
      <c r="G490" s="23" t="s">
        <v>9403</v>
      </c>
      <c r="H490" s="23" t="s">
        <v>121</v>
      </c>
      <c r="I490" s="23" t="s">
        <v>9376</v>
      </c>
      <c r="J490" s="23"/>
      <c r="K490" s="23"/>
      <c r="L490" s="23"/>
      <c r="M490" s="23" t="s">
        <v>9378</v>
      </c>
      <c r="N490" s="23" t="s">
        <v>9379</v>
      </c>
      <c r="O490" s="23"/>
      <c r="P490" s="23"/>
      <c r="Q490" s="23" t="s">
        <v>10645</v>
      </c>
      <c r="R490" s="23" t="s">
        <v>9383</v>
      </c>
    </row>
    <row r="491" spans="2:18" ht="15" customHeight="1" x14ac:dyDescent="0.25">
      <c r="B491" s="33" t="str">
        <f t="shared" si="14"/>
        <v>xk</v>
      </c>
      <c r="C491" s="33" t="str">
        <f t="shared" si="15"/>
        <v>c0xk</v>
      </c>
      <c r="D491" s="23" t="s">
        <v>10646</v>
      </c>
      <c r="E491" s="23" t="s">
        <v>1389</v>
      </c>
      <c r="F491" s="23" t="s">
        <v>9374</v>
      </c>
      <c r="G491" s="23" t="s">
        <v>9403</v>
      </c>
      <c r="H491" s="23" t="s">
        <v>121</v>
      </c>
      <c r="I491" s="23" t="s">
        <v>9376</v>
      </c>
      <c r="J491" s="23"/>
      <c r="K491" s="23"/>
      <c r="L491" s="23"/>
      <c r="M491" s="23" t="s">
        <v>9378</v>
      </c>
      <c r="N491" s="23" t="s">
        <v>9379</v>
      </c>
      <c r="O491" s="23"/>
      <c r="P491" s="23"/>
      <c r="Q491" s="23" t="s">
        <v>10647</v>
      </c>
      <c r="R491" s="23" t="s">
        <v>9383</v>
      </c>
    </row>
    <row r="492" spans="2:18" ht="15" customHeight="1" x14ac:dyDescent="0.25">
      <c r="B492" s="33" t="str">
        <f t="shared" si="14"/>
        <v>xl</v>
      </c>
      <c r="C492" s="33" t="str">
        <f t="shared" si="15"/>
        <v>c0xl</v>
      </c>
      <c r="D492" s="23" t="s">
        <v>10648</v>
      </c>
      <c r="E492" s="23" t="s">
        <v>1391</v>
      </c>
      <c r="F492" s="23" t="s">
        <v>9374</v>
      </c>
      <c r="G492" s="23" t="s">
        <v>9403</v>
      </c>
      <c r="H492" s="23" t="s">
        <v>121</v>
      </c>
      <c r="I492" s="23" t="s">
        <v>9376</v>
      </c>
      <c r="J492" s="23"/>
      <c r="K492" s="23"/>
      <c r="L492" s="23"/>
      <c r="M492" s="23" t="s">
        <v>9378</v>
      </c>
      <c r="N492" s="23" t="s">
        <v>9379</v>
      </c>
      <c r="O492" s="23"/>
      <c r="P492" s="23"/>
      <c r="Q492" s="23" t="s">
        <v>10649</v>
      </c>
      <c r="R492" s="23" t="s">
        <v>9383</v>
      </c>
    </row>
    <row r="493" spans="2:18" ht="15" customHeight="1" x14ac:dyDescent="0.25">
      <c r="B493" s="33" t="str">
        <f t="shared" si="14"/>
        <v>xm</v>
      </c>
      <c r="C493" s="33" t="str">
        <f t="shared" si="15"/>
        <v>c0xm</v>
      </c>
      <c r="D493" s="23" t="s">
        <v>10650</v>
      </c>
      <c r="E493" s="23" t="s">
        <v>1393</v>
      </c>
      <c r="F493" s="23" t="s">
        <v>9374</v>
      </c>
      <c r="G493" s="23" t="s">
        <v>9375</v>
      </c>
      <c r="H493" s="23" t="s">
        <v>121</v>
      </c>
      <c r="I493" s="23" t="s">
        <v>9376</v>
      </c>
      <c r="J493" s="23" t="s">
        <v>3276</v>
      </c>
      <c r="K493" s="23" t="s">
        <v>3275</v>
      </c>
      <c r="L493" s="23" t="s">
        <v>10651</v>
      </c>
      <c r="M493" s="23" t="s">
        <v>9378</v>
      </c>
      <c r="N493" s="23" t="s">
        <v>9379</v>
      </c>
      <c r="O493" s="23" t="s">
        <v>10652</v>
      </c>
      <c r="P493" s="23" t="s">
        <v>10653</v>
      </c>
      <c r="Q493" s="23" t="s">
        <v>10654</v>
      </c>
      <c r="R493" s="23" t="s">
        <v>9383</v>
      </c>
    </row>
    <row r="494" spans="2:18" ht="15" customHeight="1" x14ac:dyDescent="0.25">
      <c r="B494" s="33" t="str">
        <f t="shared" si="14"/>
        <v>xp</v>
      </c>
      <c r="C494" s="33" t="str">
        <f t="shared" si="15"/>
        <v>c0xp</v>
      </c>
      <c r="D494" s="23" t="s">
        <v>10655</v>
      </c>
      <c r="E494" s="23" t="s">
        <v>1395</v>
      </c>
      <c r="F494" s="23" t="s">
        <v>9374</v>
      </c>
      <c r="G494" s="23" t="s">
        <v>9375</v>
      </c>
      <c r="H494" s="23" t="s">
        <v>121</v>
      </c>
      <c r="I494" s="23" t="s">
        <v>9376</v>
      </c>
      <c r="J494" s="23" t="s">
        <v>3276</v>
      </c>
      <c r="K494" s="23" t="s">
        <v>3275</v>
      </c>
      <c r="L494" s="23" t="s">
        <v>10656</v>
      </c>
      <c r="M494" s="23" t="s">
        <v>9378</v>
      </c>
      <c r="N494" s="23" t="s">
        <v>9379</v>
      </c>
      <c r="O494" s="23" t="s">
        <v>10657</v>
      </c>
      <c r="P494" s="23" t="s">
        <v>10658</v>
      </c>
      <c r="Q494" s="23" t="s">
        <v>10659</v>
      </c>
      <c r="R494" s="23" t="s">
        <v>9383</v>
      </c>
    </row>
    <row r="495" spans="2:18" ht="15" customHeight="1" x14ac:dyDescent="0.25">
      <c r="B495" s="33" t="str">
        <f t="shared" si="14"/>
        <v>xr</v>
      </c>
      <c r="C495" s="33" t="str">
        <f t="shared" si="15"/>
        <v>c0xr</v>
      </c>
      <c r="D495" s="23" t="s">
        <v>10660</v>
      </c>
      <c r="E495" s="23" t="s">
        <v>1397</v>
      </c>
      <c r="F495" s="23" t="s">
        <v>9374</v>
      </c>
      <c r="G495" s="23" t="s">
        <v>9375</v>
      </c>
      <c r="H495" s="23" t="s">
        <v>121</v>
      </c>
      <c r="I495" s="23" t="s">
        <v>9376</v>
      </c>
      <c r="J495" s="23" t="s">
        <v>3276</v>
      </c>
      <c r="K495" s="23" t="s">
        <v>3275</v>
      </c>
      <c r="L495" s="23" t="s">
        <v>10661</v>
      </c>
      <c r="M495" s="23" t="s">
        <v>9378</v>
      </c>
      <c r="N495" s="23" t="s">
        <v>9379</v>
      </c>
      <c r="O495" s="23"/>
      <c r="P495" s="23"/>
      <c r="Q495" s="23" t="s">
        <v>10662</v>
      </c>
      <c r="R495" s="23" t="s">
        <v>9383</v>
      </c>
    </row>
    <row r="496" spans="2:18" ht="15" customHeight="1" x14ac:dyDescent="0.25">
      <c r="B496" s="33" t="str">
        <f t="shared" si="14"/>
        <v>xs</v>
      </c>
      <c r="C496" s="33" t="str">
        <f t="shared" si="15"/>
        <v>c0xs</v>
      </c>
      <c r="D496" s="23" t="s">
        <v>10663</v>
      </c>
      <c r="E496" s="23" t="s">
        <v>1399</v>
      </c>
      <c r="F496" s="23" t="s">
        <v>9374</v>
      </c>
      <c r="G496" s="23" t="s">
        <v>9375</v>
      </c>
      <c r="H496" s="23" t="s">
        <v>121</v>
      </c>
      <c r="I496" s="23" t="s">
        <v>9376</v>
      </c>
      <c r="J496" s="23" t="s">
        <v>3276</v>
      </c>
      <c r="K496" s="23" t="s">
        <v>3275</v>
      </c>
      <c r="L496" s="23" t="s">
        <v>10664</v>
      </c>
      <c r="M496" s="23" t="s">
        <v>9378</v>
      </c>
      <c r="N496" s="23" t="s">
        <v>9379</v>
      </c>
      <c r="O496" s="23"/>
      <c r="P496" s="23"/>
      <c r="Q496" s="23" t="s">
        <v>10665</v>
      </c>
      <c r="R496" s="23" t="s">
        <v>9383</v>
      </c>
    </row>
    <row r="497" spans="2:18" ht="15" customHeight="1" x14ac:dyDescent="0.25">
      <c r="B497" s="33" t="str">
        <f t="shared" si="14"/>
        <v>xu</v>
      </c>
      <c r="C497" s="33" t="str">
        <f t="shared" si="15"/>
        <v>c0xu</v>
      </c>
      <c r="D497" s="23" t="s">
        <v>10666</v>
      </c>
      <c r="E497" s="23" t="s">
        <v>1401</v>
      </c>
      <c r="F497" s="23" t="s">
        <v>9374</v>
      </c>
      <c r="G497" s="23" t="s">
        <v>9375</v>
      </c>
      <c r="H497" s="23" t="s">
        <v>121</v>
      </c>
      <c r="I497" s="23" t="s">
        <v>9376</v>
      </c>
      <c r="J497" s="23" t="s">
        <v>3276</v>
      </c>
      <c r="K497" s="23" t="s">
        <v>3275</v>
      </c>
      <c r="L497" s="23" t="s">
        <v>10667</v>
      </c>
      <c r="M497" s="23" t="s">
        <v>9393</v>
      </c>
      <c r="N497" s="23" t="s">
        <v>9394</v>
      </c>
      <c r="O497" s="23"/>
      <c r="P497" s="23"/>
      <c r="Q497" s="23" t="s">
        <v>10668</v>
      </c>
      <c r="R497" s="23" t="s">
        <v>9383</v>
      </c>
    </row>
    <row r="498" spans="2:18" ht="15" customHeight="1" x14ac:dyDescent="0.25">
      <c r="B498" s="33" t="str">
        <f t="shared" si="14"/>
        <v>xv</v>
      </c>
      <c r="C498" s="33" t="str">
        <f t="shared" si="15"/>
        <v>c0xv</v>
      </c>
      <c r="D498" s="23" t="s">
        <v>10669</v>
      </c>
      <c r="E498" s="23" t="s">
        <v>1403</v>
      </c>
      <c r="F498" s="23" t="s">
        <v>9374</v>
      </c>
      <c r="G498" s="23" t="s">
        <v>9375</v>
      </c>
      <c r="H498" s="23" t="s">
        <v>121</v>
      </c>
      <c r="I498" s="23" t="s">
        <v>9376</v>
      </c>
      <c r="J498" s="23" t="s">
        <v>3276</v>
      </c>
      <c r="K498" s="23" t="s">
        <v>3275</v>
      </c>
      <c r="L498" s="23" t="s">
        <v>10670</v>
      </c>
      <c r="M498" s="23" t="s">
        <v>9378</v>
      </c>
      <c r="N498" s="23" t="s">
        <v>9379</v>
      </c>
      <c r="O498" s="23"/>
      <c r="P498" s="23"/>
      <c r="Q498" s="23" t="s">
        <v>10671</v>
      </c>
      <c r="R498" s="23" t="s">
        <v>9383</v>
      </c>
    </row>
    <row r="499" spans="2:18" ht="15" customHeight="1" x14ac:dyDescent="0.25">
      <c r="B499" s="33" t="str">
        <f t="shared" si="14"/>
        <v>xw</v>
      </c>
      <c r="C499" s="33" t="str">
        <f t="shared" si="15"/>
        <v>c0xw</v>
      </c>
      <c r="D499" s="23" t="s">
        <v>10672</v>
      </c>
      <c r="E499" s="23" t="s">
        <v>1405</v>
      </c>
      <c r="F499" s="23" t="s">
        <v>9374</v>
      </c>
      <c r="G499" s="23" t="s">
        <v>9375</v>
      </c>
      <c r="H499" s="23" t="s">
        <v>121</v>
      </c>
      <c r="I499" s="23" t="s">
        <v>9376</v>
      </c>
      <c r="J499" s="23" t="s">
        <v>3276</v>
      </c>
      <c r="K499" s="23" t="s">
        <v>3275</v>
      </c>
      <c r="L499" s="23" t="s">
        <v>10673</v>
      </c>
      <c r="M499" s="23" t="s">
        <v>9393</v>
      </c>
      <c r="N499" s="23" t="s">
        <v>9394</v>
      </c>
      <c r="O499" s="23"/>
      <c r="P499" s="23"/>
      <c r="Q499" s="23" t="s">
        <v>10674</v>
      </c>
      <c r="R499" s="23" t="s">
        <v>9383</v>
      </c>
    </row>
    <row r="500" spans="2:18" ht="15" customHeight="1" x14ac:dyDescent="0.25">
      <c r="B500" s="33" t="str">
        <f t="shared" si="14"/>
        <v>xx</v>
      </c>
      <c r="C500" s="33" t="str">
        <f t="shared" si="15"/>
        <v>c0xx</v>
      </c>
      <c r="D500" s="23" t="s">
        <v>10675</v>
      </c>
      <c r="E500" s="23" t="s">
        <v>1407</v>
      </c>
      <c r="F500" s="23" t="s">
        <v>9374</v>
      </c>
      <c r="G500" s="23" t="s">
        <v>9375</v>
      </c>
      <c r="H500" s="23" t="s">
        <v>121</v>
      </c>
      <c r="I500" s="23" t="s">
        <v>9376</v>
      </c>
      <c r="J500" s="23" t="s">
        <v>3276</v>
      </c>
      <c r="K500" s="23" t="s">
        <v>3275</v>
      </c>
      <c r="L500" s="23" t="s">
        <v>10676</v>
      </c>
      <c r="M500" s="23" t="s">
        <v>9393</v>
      </c>
      <c r="N500" s="23" t="s">
        <v>9394</v>
      </c>
      <c r="O500" s="23"/>
      <c r="P500" s="23"/>
      <c r="Q500" s="23" t="s">
        <v>10677</v>
      </c>
      <c r="R500" s="23" t="s">
        <v>9383</v>
      </c>
    </row>
    <row r="501" spans="2:18" ht="15" customHeight="1" x14ac:dyDescent="0.25">
      <c r="B501" s="33" t="str">
        <f t="shared" si="14"/>
        <v>xy</v>
      </c>
      <c r="C501" s="33" t="str">
        <f t="shared" si="15"/>
        <v>c0xy</v>
      </c>
      <c r="D501" s="23" t="s">
        <v>10678</v>
      </c>
      <c r="E501" s="23" t="s">
        <v>1409</v>
      </c>
      <c r="F501" s="23" t="s">
        <v>9374</v>
      </c>
      <c r="G501" s="23" t="s">
        <v>9403</v>
      </c>
      <c r="H501" s="23" t="s">
        <v>121</v>
      </c>
      <c r="I501" s="23" t="s">
        <v>9376</v>
      </c>
      <c r="J501" s="23"/>
      <c r="K501" s="23"/>
      <c r="L501" s="23"/>
      <c r="M501" s="23" t="s">
        <v>9393</v>
      </c>
      <c r="N501" s="23" t="s">
        <v>9394</v>
      </c>
      <c r="O501" s="23"/>
      <c r="P501" s="23"/>
      <c r="Q501" s="23" t="s">
        <v>10679</v>
      </c>
      <c r="R501" s="23" t="s">
        <v>9383</v>
      </c>
    </row>
    <row r="502" spans="2:18" ht="15" customHeight="1" x14ac:dyDescent="0.25">
      <c r="B502" s="33" t="str">
        <f t="shared" si="14"/>
        <v>y1</v>
      </c>
      <c r="C502" s="33" t="str">
        <f t="shared" si="15"/>
        <v>c0y1</v>
      </c>
      <c r="D502" s="23" t="s">
        <v>10680</v>
      </c>
      <c r="E502" s="23" t="s">
        <v>1411</v>
      </c>
      <c r="F502" s="23" t="s">
        <v>9374</v>
      </c>
      <c r="G502" s="23" t="s">
        <v>9403</v>
      </c>
      <c r="H502" s="23" t="s">
        <v>121</v>
      </c>
      <c r="I502" s="23" t="s">
        <v>9376</v>
      </c>
      <c r="J502" s="23"/>
      <c r="K502" s="23"/>
      <c r="L502" s="23"/>
      <c r="M502" s="23" t="s">
        <v>9378</v>
      </c>
      <c r="N502" s="23" t="s">
        <v>9379</v>
      </c>
      <c r="O502" s="23"/>
      <c r="P502" s="23"/>
      <c r="Q502" s="23" t="s">
        <v>10681</v>
      </c>
      <c r="R502" s="23" t="s">
        <v>9383</v>
      </c>
    </row>
    <row r="503" spans="2:18" ht="15" customHeight="1" x14ac:dyDescent="0.25">
      <c r="B503" s="33" t="str">
        <f t="shared" si="14"/>
        <v>y2</v>
      </c>
      <c r="C503" s="33" t="str">
        <f t="shared" si="15"/>
        <v>c0y2</v>
      </c>
      <c r="D503" s="23" t="s">
        <v>10682</v>
      </c>
      <c r="E503" s="23" t="s">
        <v>1413</v>
      </c>
      <c r="F503" s="23" t="s">
        <v>9374</v>
      </c>
      <c r="G503" s="23" t="s">
        <v>9403</v>
      </c>
      <c r="H503" s="23" t="s">
        <v>121</v>
      </c>
      <c r="I503" s="23" t="s">
        <v>9376</v>
      </c>
      <c r="J503" s="23"/>
      <c r="K503" s="23"/>
      <c r="L503" s="23"/>
      <c r="M503" s="23" t="s">
        <v>9378</v>
      </c>
      <c r="N503" s="23" t="s">
        <v>9379</v>
      </c>
      <c r="O503" s="23"/>
      <c r="P503" s="23"/>
      <c r="Q503" s="23" t="s">
        <v>10683</v>
      </c>
      <c r="R503" s="23" t="s">
        <v>9383</v>
      </c>
    </row>
    <row r="504" spans="2:18" ht="15" customHeight="1" x14ac:dyDescent="0.25">
      <c r="B504" s="33" t="str">
        <f t="shared" si="14"/>
        <v>y3</v>
      </c>
      <c r="C504" s="33" t="str">
        <f t="shared" si="15"/>
        <v>c0y3</v>
      </c>
      <c r="D504" s="23" t="s">
        <v>10684</v>
      </c>
      <c r="E504" s="23" t="s">
        <v>1415</v>
      </c>
      <c r="F504" s="23" t="s">
        <v>9374</v>
      </c>
      <c r="G504" s="23" t="s">
        <v>9375</v>
      </c>
      <c r="H504" s="23" t="s">
        <v>121</v>
      </c>
      <c r="I504" s="23" t="s">
        <v>9376</v>
      </c>
      <c r="J504" s="23" t="s">
        <v>3276</v>
      </c>
      <c r="K504" s="23" t="s">
        <v>3275</v>
      </c>
      <c r="L504" s="23" t="s">
        <v>10685</v>
      </c>
      <c r="M504" s="23" t="s">
        <v>9378</v>
      </c>
      <c r="N504" s="23" t="s">
        <v>9394</v>
      </c>
      <c r="O504" s="23"/>
      <c r="P504" s="23"/>
      <c r="Q504" s="23" t="s">
        <v>10686</v>
      </c>
      <c r="R504" s="23" t="s">
        <v>9383</v>
      </c>
    </row>
    <row r="505" spans="2:18" ht="15" customHeight="1" x14ac:dyDescent="0.25">
      <c r="B505" s="33" t="str">
        <f t="shared" si="14"/>
        <v>y4</v>
      </c>
      <c r="C505" s="33" t="str">
        <f t="shared" si="15"/>
        <v>c0y4</v>
      </c>
      <c r="D505" s="23" t="s">
        <v>10687</v>
      </c>
      <c r="E505" s="23" t="s">
        <v>1417</v>
      </c>
      <c r="F505" s="23" t="s">
        <v>9374</v>
      </c>
      <c r="G505" s="23" t="s">
        <v>9403</v>
      </c>
      <c r="H505" s="23" t="s">
        <v>121</v>
      </c>
      <c r="I505" s="23" t="s">
        <v>9376</v>
      </c>
      <c r="J505" s="23"/>
      <c r="K505" s="23"/>
      <c r="L505" s="23"/>
      <c r="M505" s="23" t="s">
        <v>9378</v>
      </c>
      <c r="N505" s="23" t="s">
        <v>9379</v>
      </c>
      <c r="O505" s="23"/>
      <c r="P505" s="23"/>
      <c r="Q505" s="23" t="s">
        <v>10688</v>
      </c>
      <c r="R505" s="23" t="s">
        <v>9383</v>
      </c>
    </row>
    <row r="506" spans="2:18" ht="15" customHeight="1" x14ac:dyDescent="0.25">
      <c r="B506" s="33" t="str">
        <f t="shared" si="14"/>
        <v>y5</v>
      </c>
      <c r="C506" s="33" t="str">
        <f t="shared" si="15"/>
        <v>c0y5</v>
      </c>
      <c r="D506" s="23" t="s">
        <v>10689</v>
      </c>
      <c r="E506" s="23" t="s">
        <v>1419</v>
      </c>
      <c r="F506" s="23" t="s">
        <v>9374</v>
      </c>
      <c r="G506" s="23" t="s">
        <v>9403</v>
      </c>
      <c r="H506" s="23" t="s">
        <v>121</v>
      </c>
      <c r="I506" s="23" t="s">
        <v>9376</v>
      </c>
      <c r="J506" s="23"/>
      <c r="K506" s="23"/>
      <c r="L506" s="23"/>
      <c r="M506" s="23" t="s">
        <v>9378</v>
      </c>
      <c r="N506" s="23" t="s">
        <v>9379</v>
      </c>
      <c r="O506" s="23"/>
      <c r="P506" s="23"/>
      <c r="Q506" s="23" t="s">
        <v>10690</v>
      </c>
      <c r="R506" s="23" t="s">
        <v>9383</v>
      </c>
    </row>
    <row r="507" spans="2:18" ht="15" customHeight="1" x14ac:dyDescent="0.25">
      <c r="B507" s="33" t="str">
        <f t="shared" si="14"/>
        <v>y6</v>
      </c>
      <c r="C507" s="33" t="str">
        <f t="shared" si="15"/>
        <v>c0y6</v>
      </c>
      <c r="D507" s="23" t="s">
        <v>10691</v>
      </c>
      <c r="E507" s="23" t="s">
        <v>1421</v>
      </c>
      <c r="F507" s="23" t="s">
        <v>9374</v>
      </c>
      <c r="G507" s="23" t="s">
        <v>9403</v>
      </c>
      <c r="H507" s="23" t="s">
        <v>121</v>
      </c>
      <c r="I507" s="23" t="s">
        <v>9376</v>
      </c>
      <c r="J507" s="23"/>
      <c r="K507" s="23"/>
      <c r="L507" s="23"/>
      <c r="M507" s="23" t="s">
        <v>9378</v>
      </c>
      <c r="N507" s="23" t="s">
        <v>9379</v>
      </c>
      <c r="O507" s="23"/>
      <c r="P507" s="23"/>
      <c r="Q507" s="23" t="s">
        <v>10692</v>
      </c>
      <c r="R507" s="23" t="s">
        <v>9383</v>
      </c>
    </row>
    <row r="508" spans="2:18" ht="15" customHeight="1" x14ac:dyDescent="0.25">
      <c r="B508" s="33" t="str">
        <f t="shared" si="14"/>
        <v>y8</v>
      </c>
      <c r="C508" s="33" t="str">
        <f t="shared" si="15"/>
        <v>c0y8</v>
      </c>
      <c r="D508" s="23" t="s">
        <v>10693</v>
      </c>
      <c r="E508" s="23" t="s">
        <v>10694</v>
      </c>
      <c r="F508" s="23" t="s">
        <v>9374</v>
      </c>
      <c r="G508" s="23" t="s">
        <v>9403</v>
      </c>
      <c r="H508" s="23" t="s">
        <v>121</v>
      </c>
      <c r="I508" s="23" t="s">
        <v>9376</v>
      </c>
      <c r="J508" s="23"/>
      <c r="K508" s="23"/>
      <c r="L508" s="23"/>
      <c r="M508" s="23" t="s">
        <v>9378</v>
      </c>
      <c r="N508" s="23" t="s">
        <v>9379</v>
      </c>
      <c r="O508" s="23"/>
      <c r="P508" s="23"/>
      <c r="Q508" s="23" t="s">
        <v>10695</v>
      </c>
      <c r="R508" s="23" t="s">
        <v>9383</v>
      </c>
    </row>
    <row r="509" spans="2:18" ht="15" customHeight="1" x14ac:dyDescent="0.25">
      <c r="B509" s="33" t="str">
        <f t="shared" si="14"/>
        <v>y9</v>
      </c>
      <c r="C509" s="33" t="str">
        <f t="shared" si="15"/>
        <v>c0y9</v>
      </c>
      <c r="D509" s="23" t="s">
        <v>10696</v>
      </c>
      <c r="E509" s="23" t="s">
        <v>1425</v>
      </c>
      <c r="F509" s="23" t="s">
        <v>9374</v>
      </c>
      <c r="G509" s="23" t="s">
        <v>9375</v>
      </c>
      <c r="H509" s="23" t="s">
        <v>121</v>
      </c>
      <c r="I509" s="23" t="s">
        <v>9376</v>
      </c>
      <c r="J509" s="23" t="s">
        <v>3276</v>
      </c>
      <c r="K509" s="23" t="s">
        <v>3275</v>
      </c>
      <c r="L509" s="23" t="s">
        <v>10697</v>
      </c>
      <c r="M509" s="23" t="s">
        <v>9378</v>
      </c>
      <c r="N509" s="23" t="s">
        <v>9394</v>
      </c>
      <c r="O509" s="23"/>
      <c r="P509" s="23"/>
      <c r="Q509" s="23" t="s">
        <v>10698</v>
      </c>
      <c r="R509" s="23" t="s">
        <v>9383</v>
      </c>
    </row>
    <row r="510" spans="2:18" ht="15" customHeight="1" x14ac:dyDescent="0.25">
      <c r="B510" s="33" t="str">
        <f t="shared" si="14"/>
        <v>ya</v>
      </c>
      <c r="C510" s="33" t="str">
        <f t="shared" si="15"/>
        <v>c0ya</v>
      </c>
      <c r="D510" s="23" t="s">
        <v>10699</v>
      </c>
      <c r="E510" s="23" t="s">
        <v>1427</v>
      </c>
      <c r="F510" s="23" t="s">
        <v>9374</v>
      </c>
      <c r="G510" s="23" t="s">
        <v>9375</v>
      </c>
      <c r="H510" s="23" t="s">
        <v>121</v>
      </c>
      <c r="I510" s="23" t="s">
        <v>9376</v>
      </c>
      <c r="J510" s="23" t="s">
        <v>3276</v>
      </c>
      <c r="K510" s="23" t="s">
        <v>3275</v>
      </c>
      <c r="L510" s="23" t="s">
        <v>10700</v>
      </c>
      <c r="M510" s="23" t="s">
        <v>9378</v>
      </c>
      <c r="N510" s="23" t="s">
        <v>9379</v>
      </c>
      <c r="O510" s="23"/>
      <c r="P510" s="23"/>
      <c r="Q510" s="23" t="s">
        <v>10701</v>
      </c>
      <c r="R510" s="23" t="s">
        <v>9383</v>
      </c>
    </row>
    <row r="511" spans="2:18" ht="15" customHeight="1" x14ac:dyDescent="0.25">
      <c r="B511" s="33" t="str">
        <f t="shared" si="14"/>
        <v>yb</v>
      </c>
      <c r="C511" s="33" t="str">
        <f t="shared" si="15"/>
        <v>c0yb</v>
      </c>
      <c r="D511" s="23" t="s">
        <v>10702</v>
      </c>
      <c r="E511" s="23" t="s">
        <v>1429</v>
      </c>
      <c r="F511" s="23" t="s">
        <v>9374</v>
      </c>
      <c r="G511" s="23" t="s">
        <v>9375</v>
      </c>
      <c r="H511" s="23" t="s">
        <v>121</v>
      </c>
      <c r="I511" s="23" t="s">
        <v>9376</v>
      </c>
      <c r="J511" s="23" t="s">
        <v>3276</v>
      </c>
      <c r="K511" s="23" t="s">
        <v>3275</v>
      </c>
      <c r="L511" s="23" t="s">
        <v>10703</v>
      </c>
      <c r="M511" s="23" t="s">
        <v>9378</v>
      </c>
      <c r="N511" s="23" t="s">
        <v>9379</v>
      </c>
      <c r="O511" s="23"/>
      <c r="P511" s="23"/>
      <c r="Q511" s="23" t="s">
        <v>10704</v>
      </c>
      <c r="R511" s="23" t="s">
        <v>9920</v>
      </c>
    </row>
    <row r="512" spans="2:18" ht="15" customHeight="1" x14ac:dyDescent="0.25">
      <c r="B512" s="33" t="str">
        <f t="shared" si="14"/>
        <v>yc</v>
      </c>
      <c r="C512" s="33" t="str">
        <f t="shared" si="15"/>
        <v>c0yc</v>
      </c>
      <c r="D512" s="23" t="s">
        <v>10705</v>
      </c>
      <c r="E512" s="23" t="s">
        <v>1431</v>
      </c>
      <c r="F512" s="23" t="s">
        <v>9374</v>
      </c>
      <c r="G512" s="23" t="s">
        <v>9375</v>
      </c>
      <c r="H512" s="23" t="s">
        <v>121</v>
      </c>
      <c r="I512" s="23" t="s">
        <v>9376</v>
      </c>
      <c r="J512" s="23" t="s">
        <v>3276</v>
      </c>
      <c r="K512" s="23" t="s">
        <v>3275</v>
      </c>
      <c r="L512" s="23" t="s">
        <v>10706</v>
      </c>
      <c r="M512" s="23" t="s">
        <v>9378</v>
      </c>
      <c r="N512" s="23" t="s">
        <v>9379</v>
      </c>
      <c r="O512" s="23"/>
      <c r="P512" s="23"/>
      <c r="Q512" s="23" t="s">
        <v>10707</v>
      </c>
      <c r="R512" s="23" t="s">
        <v>9920</v>
      </c>
    </row>
    <row r="513" spans="2:18" ht="15" customHeight="1" x14ac:dyDescent="0.25">
      <c r="B513" s="33" t="str">
        <f t="shared" si="14"/>
        <v>yd</v>
      </c>
      <c r="C513" s="33" t="str">
        <f t="shared" si="15"/>
        <v>c0yd</v>
      </c>
      <c r="D513" s="23" t="s">
        <v>10708</v>
      </c>
      <c r="E513" s="23" t="s">
        <v>1433</v>
      </c>
      <c r="F513" s="23" t="s">
        <v>9374</v>
      </c>
      <c r="G513" s="23" t="s">
        <v>9375</v>
      </c>
      <c r="H513" s="23" t="s">
        <v>121</v>
      </c>
      <c r="I513" s="23" t="s">
        <v>9376</v>
      </c>
      <c r="J513" s="23" t="s">
        <v>3276</v>
      </c>
      <c r="K513" s="23" t="s">
        <v>3275</v>
      </c>
      <c r="L513" s="23" t="s">
        <v>10709</v>
      </c>
      <c r="M513" s="23" t="s">
        <v>9378</v>
      </c>
      <c r="N513" s="23" t="s">
        <v>9379</v>
      </c>
      <c r="O513" s="23"/>
      <c r="P513" s="23"/>
      <c r="Q513" s="23" t="s">
        <v>10710</v>
      </c>
      <c r="R513" s="23" t="s">
        <v>9920</v>
      </c>
    </row>
    <row r="514" spans="2:18" ht="15" customHeight="1" x14ac:dyDescent="0.25">
      <c r="B514" s="33" t="str">
        <f t="shared" si="14"/>
        <v>ye</v>
      </c>
      <c r="C514" s="33" t="str">
        <f t="shared" si="15"/>
        <v>c0ye</v>
      </c>
      <c r="D514" s="23" t="s">
        <v>10711</v>
      </c>
      <c r="E514" s="23" t="s">
        <v>1435</v>
      </c>
      <c r="F514" s="23" t="s">
        <v>9374</v>
      </c>
      <c r="G514" s="23" t="s">
        <v>9375</v>
      </c>
      <c r="H514" s="23" t="s">
        <v>121</v>
      </c>
      <c r="I514" s="23" t="s">
        <v>9376</v>
      </c>
      <c r="J514" s="23" t="s">
        <v>3276</v>
      </c>
      <c r="K514" s="23" t="s">
        <v>3275</v>
      </c>
      <c r="L514" s="23" t="s">
        <v>10712</v>
      </c>
      <c r="M514" s="23" t="s">
        <v>9378</v>
      </c>
      <c r="N514" s="23" t="s">
        <v>9379</v>
      </c>
      <c r="O514" s="23"/>
      <c r="P514" s="23"/>
      <c r="Q514" s="23" t="s">
        <v>10713</v>
      </c>
      <c r="R514" s="23" t="s">
        <v>9920</v>
      </c>
    </row>
    <row r="515" spans="2:18" ht="15" customHeight="1" x14ac:dyDescent="0.25">
      <c r="B515" s="33" t="str">
        <f t="shared" si="14"/>
        <v>yf</v>
      </c>
      <c r="C515" s="33" t="str">
        <f t="shared" si="15"/>
        <v>c0yf</v>
      </c>
      <c r="D515" s="23" t="s">
        <v>10714</v>
      </c>
      <c r="E515" s="23" t="s">
        <v>1437</v>
      </c>
      <c r="F515" s="23" t="s">
        <v>9374</v>
      </c>
      <c r="G515" s="23" t="s">
        <v>9375</v>
      </c>
      <c r="H515" s="23" t="s">
        <v>121</v>
      </c>
      <c r="I515" s="23" t="s">
        <v>9376</v>
      </c>
      <c r="J515" s="23" t="s">
        <v>3276</v>
      </c>
      <c r="K515" s="23" t="s">
        <v>3275</v>
      </c>
      <c r="L515" s="23" t="s">
        <v>10715</v>
      </c>
      <c r="M515" s="23" t="s">
        <v>9393</v>
      </c>
      <c r="N515" s="23" t="s">
        <v>9394</v>
      </c>
      <c r="O515" s="23"/>
      <c r="P515" s="23"/>
      <c r="Q515" s="23" t="s">
        <v>10716</v>
      </c>
      <c r="R515" s="23" t="s">
        <v>9920</v>
      </c>
    </row>
    <row r="516" spans="2:18" ht="15" customHeight="1" x14ac:dyDescent="0.25">
      <c r="B516" s="33" t="str">
        <f t="shared" si="14"/>
        <v>yg</v>
      </c>
      <c r="C516" s="33" t="str">
        <f t="shared" si="15"/>
        <v>c0yg</v>
      </c>
      <c r="D516" s="23" t="s">
        <v>10717</v>
      </c>
      <c r="E516" s="23" t="s">
        <v>1439</v>
      </c>
      <c r="F516" s="23" t="s">
        <v>9374</v>
      </c>
      <c r="G516" s="23" t="s">
        <v>9403</v>
      </c>
      <c r="H516" s="23" t="s">
        <v>121</v>
      </c>
      <c r="I516" s="23" t="s">
        <v>9376</v>
      </c>
      <c r="J516" s="23"/>
      <c r="K516" s="23"/>
      <c r="L516" s="23"/>
      <c r="M516" s="23" t="s">
        <v>9378</v>
      </c>
      <c r="N516" s="23" t="s">
        <v>9394</v>
      </c>
      <c r="O516" s="23"/>
      <c r="P516" s="23"/>
      <c r="Q516" s="23" t="s">
        <v>10718</v>
      </c>
      <c r="R516" s="23" t="s">
        <v>9920</v>
      </c>
    </row>
    <row r="517" spans="2:18" ht="15" customHeight="1" x14ac:dyDescent="0.25">
      <c r="B517" s="33" t="str">
        <f t="shared" si="14"/>
        <v>yh</v>
      </c>
      <c r="C517" s="33" t="str">
        <f t="shared" si="15"/>
        <v>c0yh</v>
      </c>
      <c r="D517" s="23" t="s">
        <v>10719</v>
      </c>
      <c r="E517" s="23" t="s">
        <v>1441</v>
      </c>
      <c r="F517" s="23" t="s">
        <v>9374</v>
      </c>
      <c r="G517" s="23" t="s">
        <v>9375</v>
      </c>
      <c r="H517" s="23" t="s">
        <v>121</v>
      </c>
      <c r="I517" s="23" t="s">
        <v>9376</v>
      </c>
      <c r="J517" s="23" t="s">
        <v>3276</v>
      </c>
      <c r="K517" s="23" t="s">
        <v>3275</v>
      </c>
      <c r="L517" s="23" t="s">
        <v>10720</v>
      </c>
      <c r="M517" s="23" t="s">
        <v>9378</v>
      </c>
      <c r="N517" s="23" t="s">
        <v>9379</v>
      </c>
      <c r="O517" s="23"/>
      <c r="P517" s="23"/>
      <c r="Q517" s="23" t="s">
        <v>10721</v>
      </c>
      <c r="R517" s="23" t="s">
        <v>9920</v>
      </c>
    </row>
    <row r="518" spans="2:18" ht="15" customHeight="1" x14ac:dyDescent="0.25">
      <c r="B518" s="33" t="str">
        <f t="shared" ref="B518:B527" si="16">RIGHT($C518,2)</f>
        <v>yj</v>
      </c>
      <c r="C518" s="33" t="str">
        <f t="shared" ref="C518:C525" si="17">"c0"&amp;RIGHT($D518,2)</f>
        <v>c0yj</v>
      </c>
      <c r="D518" s="23" t="s">
        <v>10722</v>
      </c>
      <c r="E518" s="23" t="s">
        <v>1443</v>
      </c>
      <c r="F518" s="23" t="s">
        <v>9374</v>
      </c>
      <c r="G518" s="23" t="s">
        <v>9375</v>
      </c>
      <c r="H518" s="23" t="s">
        <v>121</v>
      </c>
      <c r="I518" s="23" t="s">
        <v>9376</v>
      </c>
      <c r="J518" s="23" t="s">
        <v>3276</v>
      </c>
      <c r="K518" s="23" t="s">
        <v>3275</v>
      </c>
      <c r="L518" s="23" t="s">
        <v>10723</v>
      </c>
      <c r="M518" s="23" t="s">
        <v>9393</v>
      </c>
      <c r="N518" s="23" t="s">
        <v>9394</v>
      </c>
      <c r="O518" s="23"/>
      <c r="P518" s="23"/>
      <c r="Q518" s="23" t="s">
        <v>10724</v>
      </c>
      <c r="R518" s="23" t="s">
        <v>9383</v>
      </c>
    </row>
    <row r="519" spans="2:18" ht="15" customHeight="1" x14ac:dyDescent="0.25">
      <c r="B519" s="33" t="str">
        <f t="shared" si="16"/>
        <v>z5</v>
      </c>
      <c r="C519" s="33" t="str">
        <f t="shared" si="17"/>
        <v>c0z5</v>
      </c>
      <c r="D519" s="23" t="s">
        <v>10725</v>
      </c>
      <c r="E519" s="23" t="s">
        <v>10726</v>
      </c>
      <c r="F519" s="23" t="s">
        <v>9374</v>
      </c>
      <c r="G519" s="23" t="s">
        <v>9403</v>
      </c>
      <c r="H519" s="23" t="s">
        <v>121</v>
      </c>
      <c r="I519" s="23" t="s">
        <v>9376</v>
      </c>
      <c r="J519" s="23"/>
      <c r="K519" s="23"/>
      <c r="L519" s="23"/>
      <c r="M519" s="23" t="s">
        <v>9378</v>
      </c>
      <c r="N519" s="23" t="s">
        <v>9379</v>
      </c>
      <c r="O519" s="23"/>
      <c r="P519" s="23"/>
      <c r="Q519" s="23" t="s">
        <v>10727</v>
      </c>
      <c r="R519" s="23" t="s">
        <v>9383</v>
      </c>
    </row>
    <row r="520" spans="2:18" ht="15" customHeight="1" x14ac:dyDescent="0.25">
      <c r="B520" s="33" t="str">
        <f t="shared" si="16"/>
        <v>z6</v>
      </c>
      <c r="C520" s="33" t="str">
        <f t="shared" si="17"/>
        <v>c0z6</v>
      </c>
      <c r="D520" s="23" t="s">
        <v>10728</v>
      </c>
      <c r="E520" s="23" t="s">
        <v>10729</v>
      </c>
      <c r="F520" s="23" t="s">
        <v>9374</v>
      </c>
      <c r="G520" s="23" t="s">
        <v>9403</v>
      </c>
      <c r="H520" s="23" t="s">
        <v>121</v>
      </c>
      <c r="I520" s="23" t="s">
        <v>9376</v>
      </c>
      <c r="J520" s="23"/>
      <c r="K520" s="23"/>
      <c r="L520" s="23"/>
      <c r="M520" s="23" t="s">
        <v>9378</v>
      </c>
      <c r="N520" s="23" t="s">
        <v>9379</v>
      </c>
      <c r="O520" s="23"/>
      <c r="P520" s="23"/>
      <c r="Q520" s="23" t="s">
        <v>10730</v>
      </c>
      <c r="R520" s="23" t="s">
        <v>9383</v>
      </c>
    </row>
    <row r="521" spans="2:18" ht="15" customHeight="1" x14ac:dyDescent="0.25">
      <c r="B521" s="33" t="str">
        <f t="shared" si="16"/>
        <v>z7</v>
      </c>
      <c r="C521" s="33" t="str">
        <f t="shared" si="17"/>
        <v>c0z7</v>
      </c>
      <c r="D521" s="23" t="s">
        <v>10731</v>
      </c>
      <c r="E521" s="23" t="s">
        <v>1449</v>
      </c>
      <c r="F521" s="23" t="s">
        <v>9374</v>
      </c>
      <c r="G521" s="23" t="s">
        <v>9403</v>
      </c>
      <c r="H521" s="23" t="s">
        <v>121</v>
      </c>
      <c r="I521" s="23" t="s">
        <v>9376</v>
      </c>
      <c r="J521" s="23"/>
      <c r="K521" s="23"/>
      <c r="L521" s="23"/>
      <c r="M521" s="23" t="s">
        <v>9378</v>
      </c>
      <c r="N521" s="23" t="s">
        <v>9379</v>
      </c>
      <c r="O521" s="23"/>
      <c r="P521" s="23"/>
      <c r="Q521" s="23" t="s">
        <v>10732</v>
      </c>
      <c r="R521" s="23" t="s">
        <v>9383</v>
      </c>
    </row>
    <row r="522" spans="2:18" ht="15" customHeight="1" x14ac:dyDescent="0.25">
      <c r="B522" s="33" t="str">
        <f t="shared" si="16"/>
        <v>z8</v>
      </c>
      <c r="C522" s="33" t="str">
        <f t="shared" si="17"/>
        <v>c0z8</v>
      </c>
      <c r="D522" s="23" t="s">
        <v>10733</v>
      </c>
      <c r="E522" s="23" t="s">
        <v>1451</v>
      </c>
      <c r="F522" s="23" t="s">
        <v>9374</v>
      </c>
      <c r="G522" s="23" t="s">
        <v>9403</v>
      </c>
      <c r="H522" s="23" t="s">
        <v>121</v>
      </c>
      <c r="I522" s="23" t="s">
        <v>9376</v>
      </c>
      <c r="J522" s="23"/>
      <c r="K522" s="23"/>
      <c r="L522" s="23"/>
      <c r="M522" s="23" t="s">
        <v>9378</v>
      </c>
      <c r="N522" s="23" t="s">
        <v>9379</v>
      </c>
      <c r="O522" s="23"/>
      <c r="P522" s="23"/>
      <c r="Q522" s="23" t="s">
        <v>10734</v>
      </c>
      <c r="R522" s="23" t="s">
        <v>9383</v>
      </c>
    </row>
    <row r="523" spans="2:18" ht="15" customHeight="1" x14ac:dyDescent="0.25">
      <c r="B523" s="33" t="str">
        <f t="shared" si="16"/>
        <v>z9</v>
      </c>
      <c r="C523" s="33" t="str">
        <f t="shared" si="17"/>
        <v>c0z9</v>
      </c>
      <c r="D523" s="23" t="s">
        <v>10735</v>
      </c>
      <c r="E523" s="23" t="s">
        <v>1453</v>
      </c>
      <c r="F523" s="23" t="s">
        <v>9374</v>
      </c>
      <c r="G523" s="23" t="s">
        <v>9375</v>
      </c>
      <c r="H523" s="23" t="s">
        <v>121</v>
      </c>
      <c r="I523" s="23" t="s">
        <v>9376</v>
      </c>
      <c r="J523" s="23" t="s">
        <v>3276</v>
      </c>
      <c r="K523" s="23" t="s">
        <v>3275</v>
      </c>
      <c r="L523" s="23" t="s">
        <v>9471</v>
      </c>
      <c r="M523" s="23" t="s">
        <v>9425</v>
      </c>
      <c r="N523" s="23" t="s">
        <v>9394</v>
      </c>
      <c r="O523" s="23" t="s">
        <v>9472</v>
      </c>
      <c r="P523" s="23" t="s">
        <v>9473</v>
      </c>
      <c r="Q523" s="23" t="s">
        <v>10736</v>
      </c>
      <c r="R523" s="23" t="s">
        <v>9383</v>
      </c>
    </row>
    <row r="524" spans="2:18" ht="15" customHeight="1" x14ac:dyDescent="0.25">
      <c r="B524" s="33" t="str">
        <f t="shared" si="16"/>
        <v>zs</v>
      </c>
      <c r="C524" s="33" t="str">
        <f t="shared" si="17"/>
        <v>c0zs</v>
      </c>
      <c r="D524" s="23" t="s">
        <v>10737</v>
      </c>
      <c r="E524" s="23" t="s">
        <v>1455</v>
      </c>
      <c r="F524" s="23" t="s">
        <v>9374</v>
      </c>
      <c r="G524" s="23" t="s">
        <v>9403</v>
      </c>
      <c r="H524" s="23" t="s">
        <v>121</v>
      </c>
      <c r="I524" s="23"/>
      <c r="J524" s="23"/>
      <c r="K524" s="23"/>
      <c r="L524" s="23"/>
      <c r="M524" s="23"/>
      <c r="N524" s="23" t="s">
        <v>9394</v>
      </c>
      <c r="O524" s="23"/>
      <c r="P524" s="23"/>
      <c r="Q524" s="23" t="s">
        <v>10738</v>
      </c>
      <c r="R524" s="23" t="s">
        <v>9586</v>
      </c>
    </row>
    <row r="525" spans="2:18" ht="15" customHeight="1" x14ac:dyDescent="0.25">
      <c r="B525" s="33" t="str">
        <f t="shared" si="16"/>
        <v>zt</v>
      </c>
      <c r="C525" s="33" t="str">
        <f t="shared" si="17"/>
        <v>c0zt</v>
      </c>
      <c r="D525" s="23" t="s">
        <v>10739</v>
      </c>
      <c r="E525" s="23" t="s">
        <v>1457</v>
      </c>
      <c r="F525" s="23" t="s">
        <v>9374</v>
      </c>
      <c r="G525" s="23" t="s">
        <v>9403</v>
      </c>
      <c r="H525" s="23" t="s">
        <v>121</v>
      </c>
      <c r="I525" s="23" t="s">
        <v>9376</v>
      </c>
      <c r="J525" s="23"/>
      <c r="K525" s="23"/>
      <c r="L525" s="23"/>
      <c r="M525" s="23" t="s">
        <v>9378</v>
      </c>
      <c r="N525" s="23" t="s">
        <v>9379</v>
      </c>
      <c r="O525" s="23"/>
      <c r="P525" s="23"/>
      <c r="Q525" s="23" t="s">
        <v>10740</v>
      </c>
      <c r="R525" s="23" t="s">
        <v>9383</v>
      </c>
    </row>
    <row r="526" spans="2:18" ht="15" customHeight="1" x14ac:dyDescent="0.25">
      <c r="B526" s="33" t="str">
        <f t="shared" si="16"/>
        <v>zw</v>
      </c>
      <c r="C526" s="33" t="str">
        <f t="shared" ref="C526:C583" si="18">"c"&amp;RIGHT($D526,3)</f>
        <v>c0zw</v>
      </c>
      <c r="D526" s="23" t="s">
        <v>10741</v>
      </c>
      <c r="E526" s="23" t="s">
        <v>1459</v>
      </c>
      <c r="F526" s="23" t="s">
        <v>9374</v>
      </c>
      <c r="G526" s="23" t="s">
        <v>9403</v>
      </c>
      <c r="H526" s="23" t="s">
        <v>121</v>
      </c>
      <c r="I526" s="23" t="s">
        <v>9376</v>
      </c>
      <c r="J526" s="23"/>
      <c r="K526" s="23"/>
      <c r="L526" s="23"/>
      <c r="M526" s="23" t="s">
        <v>9378</v>
      </c>
      <c r="N526" s="23" t="s">
        <v>9379</v>
      </c>
      <c r="O526" s="23"/>
      <c r="P526" s="23"/>
      <c r="Q526" s="23"/>
      <c r="R526" s="23"/>
    </row>
    <row r="527" spans="2:18" ht="15" customHeight="1" x14ac:dyDescent="0.25">
      <c r="B527" s="33" t="str">
        <f t="shared" si="16"/>
        <v>zx</v>
      </c>
      <c r="C527" s="33" t="str">
        <f t="shared" si="18"/>
        <v>c0zx</v>
      </c>
      <c r="D527" s="23" t="s">
        <v>10742</v>
      </c>
      <c r="E527" s="23" t="s">
        <v>1461</v>
      </c>
      <c r="F527" s="23" t="s">
        <v>9374</v>
      </c>
      <c r="G527" s="23" t="s">
        <v>9375</v>
      </c>
      <c r="H527" s="23" t="s">
        <v>121</v>
      </c>
      <c r="I527" s="23"/>
      <c r="J527" s="23" t="s">
        <v>3276</v>
      </c>
      <c r="K527" s="23" t="s">
        <v>3275</v>
      </c>
      <c r="L527" s="23" t="s">
        <v>10743</v>
      </c>
      <c r="M527" s="23" t="s">
        <v>9378</v>
      </c>
      <c r="N527" s="23" t="s">
        <v>9379</v>
      </c>
      <c r="O527" s="23"/>
      <c r="P527" s="23"/>
      <c r="Q527" s="23" t="s">
        <v>10744</v>
      </c>
      <c r="R527" s="23" t="s">
        <v>9374</v>
      </c>
    </row>
    <row r="528" spans="2:18" ht="15" customHeight="1" x14ac:dyDescent="0.25">
      <c r="C528" s="33" t="str">
        <f t="shared" si="18"/>
        <v>c100</v>
      </c>
      <c r="D528" s="23" t="s">
        <v>10745</v>
      </c>
      <c r="E528" s="23" t="s">
        <v>10746</v>
      </c>
      <c r="F528" s="23" t="s">
        <v>9374</v>
      </c>
      <c r="G528" s="23" t="s">
        <v>9403</v>
      </c>
      <c r="H528" s="23" t="s">
        <v>121</v>
      </c>
      <c r="I528" s="23" t="s">
        <v>9376</v>
      </c>
      <c r="J528" s="23"/>
      <c r="K528" s="23"/>
      <c r="L528" s="23"/>
      <c r="M528" s="23" t="s">
        <v>9378</v>
      </c>
      <c r="N528" s="23" t="s">
        <v>9379</v>
      </c>
      <c r="O528" s="23"/>
      <c r="P528" s="23"/>
      <c r="Q528" s="23" t="s">
        <v>10747</v>
      </c>
      <c r="R528" s="23" t="s">
        <v>9374</v>
      </c>
    </row>
    <row r="529" spans="3:18" ht="15" customHeight="1" x14ac:dyDescent="0.25">
      <c r="C529" s="33" t="str">
        <f t="shared" si="18"/>
        <v>c101</v>
      </c>
      <c r="D529" s="23" t="s">
        <v>10748</v>
      </c>
      <c r="E529" s="23" t="s">
        <v>1465</v>
      </c>
      <c r="F529" s="23" t="s">
        <v>9374</v>
      </c>
      <c r="G529" s="23" t="s">
        <v>9375</v>
      </c>
      <c r="H529" s="23" t="s">
        <v>121</v>
      </c>
      <c r="I529" s="23" t="s">
        <v>9376</v>
      </c>
      <c r="J529" s="23" t="s">
        <v>3276</v>
      </c>
      <c r="K529" s="23" t="s">
        <v>3275</v>
      </c>
      <c r="L529" s="23" t="s">
        <v>10749</v>
      </c>
      <c r="M529" s="23" t="s">
        <v>9378</v>
      </c>
      <c r="N529" s="23" t="s">
        <v>9394</v>
      </c>
      <c r="O529" s="23"/>
      <c r="P529" s="23"/>
      <c r="Q529" s="23" t="s">
        <v>10750</v>
      </c>
      <c r="R529" s="23" t="s">
        <v>9374</v>
      </c>
    </row>
    <row r="530" spans="3:18" ht="15" customHeight="1" x14ac:dyDescent="0.25">
      <c r="C530" s="33" t="str">
        <f t="shared" si="18"/>
        <v>c102</v>
      </c>
      <c r="D530" s="23" t="s">
        <v>10751</v>
      </c>
      <c r="E530" s="23" t="s">
        <v>10752</v>
      </c>
      <c r="F530" s="23" t="s">
        <v>9374</v>
      </c>
      <c r="G530" s="23" t="s">
        <v>9375</v>
      </c>
      <c r="H530" s="23" t="s">
        <v>121</v>
      </c>
      <c r="I530" s="23" t="s">
        <v>9376</v>
      </c>
      <c r="J530" s="23" t="s">
        <v>3276</v>
      </c>
      <c r="K530" s="23" t="s">
        <v>3275</v>
      </c>
      <c r="L530" s="23" t="s">
        <v>10753</v>
      </c>
      <c r="M530" s="23" t="s">
        <v>9393</v>
      </c>
      <c r="N530" s="23" t="s">
        <v>9394</v>
      </c>
      <c r="O530" s="23"/>
      <c r="P530" s="23"/>
      <c r="Q530" s="23" t="s">
        <v>10754</v>
      </c>
      <c r="R530" s="23" t="s">
        <v>9374</v>
      </c>
    </row>
    <row r="531" spans="3:18" ht="15" customHeight="1" x14ac:dyDescent="0.25">
      <c r="C531" s="33" t="str">
        <f t="shared" si="18"/>
        <v>c103</v>
      </c>
      <c r="D531" s="23" t="s">
        <v>10755</v>
      </c>
      <c r="E531" s="23" t="s">
        <v>1469</v>
      </c>
      <c r="F531" s="23" t="s">
        <v>9374</v>
      </c>
      <c r="G531" s="23" t="s">
        <v>9375</v>
      </c>
      <c r="H531" s="23" t="s">
        <v>121</v>
      </c>
      <c r="I531" s="23" t="s">
        <v>9376</v>
      </c>
      <c r="J531" s="23" t="s">
        <v>3276</v>
      </c>
      <c r="K531" s="23" t="s">
        <v>3275</v>
      </c>
      <c r="L531" s="23" t="s">
        <v>10756</v>
      </c>
      <c r="M531" s="23" t="s">
        <v>9378</v>
      </c>
      <c r="N531" s="23" t="s">
        <v>9379</v>
      </c>
      <c r="O531" s="23"/>
      <c r="P531" s="23"/>
      <c r="Q531" s="23" t="s">
        <v>10757</v>
      </c>
      <c r="R531" s="23" t="s">
        <v>9374</v>
      </c>
    </row>
    <row r="532" spans="3:18" ht="15" customHeight="1" x14ac:dyDescent="0.25">
      <c r="C532" s="33" t="str">
        <f t="shared" si="18"/>
        <v>c104</v>
      </c>
      <c r="D532" s="23" t="s">
        <v>10758</v>
      </c>
      <c r="E532" s="23" t="s">
        <v>1472</v>
      </c>
      <c r="F532" s="23" t="s">
        <v>9374</v>
      </c>
      <c r="G532" s="23" t="s">
        <v>9375</v>
      </c>
      <c r="H532" s="23" t="s">
        <v>121</v>
      </c>
      <c r="I532" s="23" t="s">
        <v>9376</v>
      </c>
      <c r="J532" s="23" t="s">
        <v>3276</v>
      </c>
      <c r="K532" s="23" t="s">
        <v>3275</v>
      </c>
      <c r="L532" s="23" t="s">
        <v>10759</v>
      </c>
      <c r="M532" s="23" t="s">
        <v>9378</v>
      </c>
      <c r="N532" s="23" t="s">
        <v>9379</v>
      </c>
      <c r="O532" s="23"/>
      <c r="P532" s="23"/>
      <c r="Q532" s="23" t="s">
        <v>10760</v>
      </c>
      <c r="R532" s="23" t="s">
        <v>9374</v>
      </c>
    </row>
    <row r="533" spans="3:18" ht="15" customHeight="1" x14ac:dyDescent="0.25">
      <c r="C533" s="33" t="str">
        <f t="shared" si="18"/>
        <v>c105</v>
      </c>
      <c r="D533" s="23" t="s">
        <v>10761</v>
      </c>
      <c r="E533" s="23" t="s">
        <v>1474</v>
      </c>
      <c r="F533" s="23" t="s">
        <v>9374</v>
      </c>
      <c r="G533" s="23" t="s">
        <v>9375</v>
      </c>
      <c r="H533" s="23" t="s">
        <v>121</v>
      </c>
      <c r="I533" s="23" t="s">
        <v>9376</v>
      </c>
      <c r="J533" s="23" t="s">
        <v>3276</v>
      </c>
      <c r="K533" s="23" t="s">
        <v>3275</v>
      </c>
      <c r="L533" s="23" t="s">
        <v>10762</v>
      </c>
      <c r="M533" s="23" t="s">
        <v>9378</v>
      </c>
      <c r="N533" s="23" t="s">
        <v>9379</v>
      </c>
      <c r="O533" s="23"/>
      <c r="P533" s="23"/>
      <c r="Q533" s="23" t="s">
        <v>10763</v>
      </c>
      <c r="R533" s="23" t="s">
        <v>9374</v>
      </c>
    </row>
    <row r="534" spans="3:18" ht="15" customHeight="1" x14ac:dyDescent="0.25">
      <c r="C534" s="33" t="str">
        <f t="shared" si="18"/>
        <v>c106</v>
      </c>
      <c r="D534" s="23" t="s">
        <v>10764</v>
      </c>
      <c r="E534" s="23" t="s">
        <v>1476</v>
      </c>
      <c r="F534" s="23" t="s">
        <v>9374</v>
      </c>
      <c r="G534" s="23" t="s">
        <v>9375</v>
      </c>
      <c r="H534" s="23" t="s">
        <v>121</v>
      </c>
      <c r="I534" s="23" t="s">
        <v>9376</v>
      </c>
      <c r="J534" s="23" t="s">
        <v>3276</v>
      </c>
      <c r="K534" s="23" t="s">
        <v>3275</v>
      </c>
      <c r="L534" s="23" t="s">
        <v>10765</v>
      </c>
      <c r="M534" s="23" t="s">
        <v>9378</v>
      </c>
      <c r="N534" s="23" t="s">
        <v>9379</v>
      </c>
      <c r="O534" s="23"/>
      <c r="P534" s="23"/>
      <c r="Q534" s="23" t="s">
        <v>10766</v>
      </c>
      <c r="R534" s="23" t="s">
        <v>9374</v>
      </c>
    </row>
    <row r="535" spans="3:18" ht="15" customHeight="1" x14ac:dyDescent="0.25">
      <c r="C535" s="33" t="str">
        <f t="shared" si="18"/>
        <v>c107</v>
      </c>
      <c r="D535" s="23" t="s">
        <v>10767</v>
      </c>
      <c r="E535" s="23" t="s">
        <v>1478</v>
      </c>
      <c r="F535" s="23" t="s">
        <v>9374</v>
      </c>
      <c r="G535" s="23" t="s">
        <v>9403</v>
      </c>
      <c r="H535" s="23" t="s">
        <v>121</v>
      </c>
      <c r="I535" s="23" t="s">
        <v>9376</v>
      </c>
      <c r="J535" s="23"/>
      <c r="K535" s="23"/>
      <c r="L535" s="23"/>
      <c r="M535" s="23" t="s">
        <v>9378</v>
      </c>
      <c r="N535" s="23" t="s">
        <v>9379</v>
      </c>
      <c r="O535" s="23"/>
      <c r="P535" s="23"/>
      <c r="Q535" s="23" t="s">
        <v>10768</v>
      </c>
      <c r="R535" s="23" t="s">
        <v>9374</v>
      </c>
    </row>
    <row r="536" spans="3:18" ht="15" customHeight="1" x14ac:dyDescent="0.25">
      <c r="C536" s="33" t="str">
        <f t="shared" si="18"/>
        <v>c108</v>
      </c>
      <c r="D536" s="23" t="s">
        <v>10769</v>
      </c>
      <c r="E536" s="23" t="s">
        <v>1480</v>
      </c>
      <c r="F536" s="23" t="s">
        <v>9374</v>
      </c>
      <c r="G536" s="23" t="s">
        <v>9375</v>
      </c>
      <c r="H536" s="23" t="s">
        <v>121</v>
      </c>
      <c r="I536" s="23" t="s">
        <v>9376</v>
      </c>
      <c r="J536" s="23" t="s">
        <v>3276</v>
      </c>
      <c r="K536" s="23" t="s">
        <v>3275</v>
      </c>
      <c r="L536" s="23" t="s">
        <v>10770</v>
      </c>
      <c r="M536" s="23" t="s">
        <v>9378</v>
      </c>
      <c r="N536" s="23" t="s">
        <v>9379</v>
      </c>
      <c r="O536" s="23"/>
      <c r="P536" s="23"/>
      <c r="Q536" s="23" t="s">
        <v>10771</v>
      </c>
      <c r="R536" s="23" t="s">
        <v>9374</v>
      </c>
    </row>
    <row r="537" spans="3:18" ht="15" customHeight="1" x14ac:dyDescent="0.25">
      <c r="C537" s="33" t="str">
        <f t="shared" si="18"/>
        <v>c109</v>
      </c>
      <c r="D537" s="23" t="s">
        <v>10772</v>
      </c>
      <c r="E537" s="23" t="s">
        <v>1483</v>
      </c>
      <c r="F537" s="23" t="s">
        <v>9374</v>
      </c>
      <c r="G537" s="23" t="s">
        <v>9403</v>
      </c>
      <c r="H537" s="23" t="s">
        <v>121</v>
      </c>
      <c r="I537" s="23" t="s">
        <v>9376</v>
      </c>
      <c r="J537" s="23"/>
      <c r="K537" s="23"/>
      <c r="L537" s="23"/>
      <c r="M537" s="23" t="s">
        <v>9378</v>
      </c>
      <c r="N537" s="23" t="s">
        <v>9379</v>
      </c>
      <c r="O537" s="23"/>
      <c r="P537" s="23"/>
      <c r="Q537" s="23" t="s">
        <v>10773</v>
      </c>
      <c r="R537" s="23" t="s">
        <v>9374</v>
      </c>
    </row>
    <row r="538" spans="3:18" ht="15" customHeight="1" x14ac:dyDescent="0.25">
      <c r="C538" s="33" t="str">
        <f t="shared" si="18"/>
        <v>c110</v>
      </c>
      <c r="D538" s="23" t="s">
        <v>10774</v>
      </c>
      <c r="E538" s="23" t="s">
        <v>1485</v>
      </c>
      <c r="F538" s="23" t="s">
        <v>9374</v>
      </c>
      <c r="G538" s="23" t="s">
        <v>9403</v>
      </c>
      <c r="H538" s="23" t="s">
        <v>121</v>
      </c>
      <c r="I538" s="23" t="s">
        <v>9376</v>
      </c>
      <c r="J538" s="23"/>
      <c r="K538" s="23"/>
      <c r="L538" s="23"/>
      <c r="M538" s="23" t="s">
        <v>9378</v>
      </c>
      <c r="N538" s="23" t="s">
        <v>9379</v>
      </c>
      <c r="O538" s="23"/>
      <c r="P538" s="23"/>
      <c r="Q538" s="23" t="s">
        <v>10775</v>
      </c>
      <c r="R538" s="23" t="s">
        <v>9374</v>
      </c>
    </row>
    <row r="539" spans="3:18" ht="15" customHeight="1" x14ac:dyDescent="0.25">
      <c r="C539" s="33" t="str">
        <f t="shared" si="18"/>
        <v>c111</v>
      </c>
      <c r="D539" s="23" t="s">
        <v>10776</v>
      </c>
      <c r="E539" s="23" t="s">
        <v>1487</v>
      </c>
      <c r="F539" s="23" t="s">
        <v>9374</v>
      </c>
      <c r="G539" s="23" t="s">
        <v>9403</v>
      </c>
      <c r="H539" s="23" t="s">
        <v>121</v>
      </c>
      <c r="I539" s="23" t="s">
        <v>9376</v>
      </c>
      <c r="J539" s="23"/>
      <c r="K539" s="23"/>
      <c r="L539" s="23"/>
      <c r="M539" s="23" t="s">
        <v>9378</v>
      </c>
      <c r="N539" s="23" t="s">
        <v>9379</v>
      </c>
      <c r="O539" s="23"/>
      <c r="P539" s="23"/>
      <c r="Q539" s="23" t="s">
        <v>10777</v>
      </c>
      <c r="R539" s="23" t="s">
        <v>9374</v>
      </c>
    </row>
    <row r="540" spans="3:18" ht="15" customHeight="1" x14ac:dyDescent="0.25">
      <c r="C540" s="33" t="str">
        <f t="shared" si="18"/>
        <v>c112</v>
      </c>
      <c r="D540" s="23" t="s">
        <v>10778</v>
      </c>
      <c r="E540" s="23" t="s">
        <v>1489</v>
      </c>
      <c r="F540" s="23" t="s">
        <v>9374</v>
      </c>
      <c r="G540" s="23" t="s">
        <v>9403</v>
      </c>
      <c r="H540" s="23" t="s">
        <v>121</v>
      </c>
      <c r="I540" s="23" t="s">
        <v>9376</v>
      </c>
      <c r="J540" s="23"/>
      <c r="K540" s="23"/>
      <c r="L540" s="23"/>
      <c r="M540" s="23" t="s">
        <v>9378</v>
      </c>
      <c r="N540" s="23" t="s">
        <v>9379</v>
      </c>
      <c r="O540" s="23"/>
      <c r="P540" s="23"/>
      <c r="Q540" s="23" t="s">
        <v>10779</v>
      </c>
      <c r="R540" s="23" t="s">
        <v>9374</v>
      </c>
    </row>
    <row r="541" spans="3:18" ht="15" customHeight="1" x14ac:dyDescent="0.25">
      <c r="C541" s="33" t="str">
        <f t="shared" si="18"/>
        <v>c113</v>
      </c>
      <c r="D541" s="23" t="s">
        <v>10780</v>
      </c>
      <c r="E541" s="23" t="s">
        <v>1491</v>
      </c>
      <c r="F541" s="23" t="s">
        <v>9374</v>
      </c>
      <c r="G541" s="23" t="s">
        <v>9375</v>
      </c>
      <c r="H541" s="23" t="s">
        <v>121</v>
      </c>
      <c r="I541" s="23" t="s">
        <v>9376</v>
      </c>
      <c r="J541" s="23" t="s">
        <v>3276</v>
      </c>
      <c r="K541" s="23" t="s">
        <v>3275</v>
      </c>
      <c r="L541" s="23" t="s">
        <v>10781</v>
      </c>
      <c r="M541" s="23" t="s">
        <v>9378</v>
      </c>
      <c r="N541" s="23" t="s">
        <v>9379</v>
      </c>
      <c r="O541" s="23"/>
      <c r="P541" s="23"/>
      <c r="Q541" s="23" t="s">
        <v>10782</v>
      </c>
      <c r="R541" s="23" t="s">
        <v>9374</v>
      </c>
    </row>
    <row r="542" spans="3:18" ht="15" customHeight="1" x14ac:dyDescent="0.25">
      <c r="C542" s="33" t="str">
        <f t="shared" si="18"/>
        <v>c114</v>
      </c>
      <c r="D542" s="23" t="s">
        <v>10783</v>
      </c>
      <c r="E542" s="23" t="s">
        <v>1493</v>
      </c>
      <c r="F542" s="23" t="s">
        <v>9374</v>
      </c>
      <c r="G542" s="23" t="s">
        <v>9375</v>
      </c>
      <c r="H542" s="23" t="s">
        <v>121</v>
      </c>
      <c r="I542" s="23" t="s">
        <v>9376</v>
      </c>
      <c r="J542" s="23" t="s">
        <v>3276</v>
      </c>
      <c r="K542" s="23" t="s">
        <v>3275</v>
      </c>
      <c r="L542" s="23" t="s">
        <v>10784</v>
      </c>
      <c r="M542" s="23" t="s">
        <v>9378</v>
      </c>
      <c r="N542" s="23" t="s">
        <v>9394</v>
      </c>
      <c r="O542" s="23"/>
      <c r="P542" s="23"/>
      <c r="Q542" s="23" t="s">
        <v>10785</v>
      </c>
      <c r="R542" s="23" t="s">
        <v>9374</v>
      </c>
    </row>
    <row r="543" spans="3:18" ht="15" customHeight="1" x14ac:dyDescent="0.25">
      <c r="C543" s="33" t="str">
        <f t="shared" si="18"/>
        <v>c115</v>
      </c>
      <c r="D543" s="23" t="s">
        <v>10786</v>
      </c>
      <c r="E543" s="23" t="s">
        <v>10787</v>
      </c>
      <c r="F543" s="23" t="s">
        <v>9374</v>
      </c>
      <c r="G543" s="23" t="s">
        <v>9403</v>
      </c>
      <c r="H543" s="23" t="s">
        <v>121</v>
      </c>
      <c r="I543" s="23" t="s">
        <v>9376</v>
      </c>
      <c r="J543" s="23"/>
      <c r="K543" s="23"/>
      <c r="L543" s="23"/>
      <c r="M543" s="23" t="s">
        <v>9378</v>
      </c>
      <c r="N543" s="23" t="s">
        <v>9379</v>
      </c>
      <c r="O543" s="23"/>
      <c r="P543" s="23"/>
      <c r="Q543" s="23"/>
      <c r="R543" s="23" t="s">
        <v>9374</v>
      </c>
    </row>
    <row r="544" spans="3:18" ht="15" customHeight="1" x14ac:dyDescent="0.25">
      <c r="C544" s="33" t="str">
        <f t="shared" si="18"/>
        <v>c116</v>
      </c>
      <c r="D544" s="23" t="s">
        <v>10788</v>
      </c>
      <c r="E544" s="23" t="s">
        <v>1495</v>
      </c>
      <c r="F544" s="23" t="s">
        <v>9374</v>
      </c>
      <c r="G544" s="23" t="s">
        <v>9403</v>
      </c>
      <c r="H544" s="23" t="s">
        <v>121</v>
      </c>
      <c r="I544" s="23" t="s">
        <v>9376</v>
      </c>
      <c r="J544" s="23"/>
      <c r="K544" s="23"/>
      <c r="L544" s="23"/>
      <c r="M544" s="23" t="s">
        <v>9378</v>
      </c>
      <c r="N544" s="23" t="s">
        <v>9379</v>
      </c>
      <c r="O544" s="23"/>
      <c r="P544" s="23"/>
      <c r="Q544" s="23" t="s">
        <v>10789</v>
      </c>
      <c r="R544" s="23" t="s">
        <v>9374</v>
      </c>
    </row>
    <row r="545" spans="3:18" ht="15" customHeight="1" x14ac:dyDescent="0.25">
      <c r="C545" s="33" t="str">
        <f t="shared" si="18"/>
        <v>c117</v>
      </c>
      <c r="D545" s="23" t="s">
        <v>10790</v>
      </c>
      <c r="E545" s="23" t="s">
        <v>1497</v>
      </c>
      <c r="F545" s="23" t="s">
        <v>9374</v>
      </c>
      <c r="G545" s="23" t="s">
        <v>9403</v>
      </c>
      <c r="H545" s="23" t="s">
        <v>121</v>
      </c>
      <c r="I545" s="23" t="s">
        <v>9376</v>
      </c>
      <c r="J545" s="23"/>
      <c r="K545" s="23"/>
      <c r="L545" s="23"/>
      <c r="M545" s="23" t="s">
        <v>9425</v>
      </c>
      <c r="N545" s="23" t="s">
        <v>9394</v>
      </c>
      <c r="O545" s="23"/>
      <c r="P545" s="23"/>
      <c r="Q545" s="23" t="s">
        <v>10791</v>
      </c>
      <c r="R545" s="23" t="s">
        <v>9374</v>
      </c>
    </row>
    <row r="546" spans="3:18" ht="15" customHeight="1" x14ac:dyDescent="0.25">
      <c r="C546" s="33" t="str">
        <f t="shared" si="18"/>
        <v>c118</v>
      </c>
      <c r="D546" s="23" t="s">
        <v>10792</v>
      </c>
      <c r="E546" s="23" t="s">
        <v>1499</v>
      </c>
      <c r="F546" s="23" t="s">
        <v>9374</v>
      </c>
      <c r="G546" s="23" t="s">
        <v>9403</v>
      </c>
      <c r="H546" s="23" t="s">
        <v>121</v>
      </c>
      <c r="I546" s="23" t="s">
        <v>9376</v>
      </c>
      <c r="J546" s="23"/>
      <c r="K546" s="23"/>
      <c r="L546" s="23"/>
      <c r="M546" s="23" t="s">
        <v>9378</v>
      </c>
      <c r="N546" s="23" t="s">
        <v>9379</v>
      </c>
      <c r="O546" s="23"/>
      <c r="P546" s="23"/>
      <c r="Q546" s="23" t="s">
        <v>10793</v>
      </c>
      <c r="R546" s="23" t="s">
        <v>9374</v>
      </c>
    </row>
    <row r="547" spans="3:18" ht="15" customHeight="1" x14ac:dyDescent="0.25">
      <c r="C547" s="33" t="str">
        <f t="shared" si="18"/>
        <v>c119</v>
      </c>
      <c r="D547" s="23" t="s">
        <v>10794</v>
      </c>
      <c r="E547" s="23" t="s">
        <v>1501</v>
      </c>
      <c r="F547" s="23" t="s">
        <v>9374</v>
      </c>
      <c r="G547" s="23" t="s">
        <v>9403</v>
      </c>
      <c r="H547" s="23" t="s">
        <v>121</v>
      </c>
      <c r="I547" s="23" t="s">
        <v>9376</v>
      </c>
      <c r="J547" s="23"/>
      <c r="K547" s="23"/>
      <c r="L547" s="23"/>
      <c r="M547" s="23" t="s">
        <v>9378</v>
      </c>
      <c r="N547" s="23" t="s">
        <v>9379</v>
      </c>
      <c r="O547" s="23"/>
      <c r="P547" s="23"/>
      <c r="Q547" s="23" t="s">
        <v>10795</v>
      </c>
      <c r="R547" s="23" t="s">
        <v>9920</v>
      </c>
    </row>
    <row r="548" spans="3:18" ht="15" customHeight="1" x14ac:dyDescent="0.25">
      <c r="C548" s="33" t="str">
        <f t="shared" si="18"/>
        <v>c120</v>
      </c>
      <c r="D548" s="23" t="s">
        <v>10796</v>
      </c>
      <c r="E548" s="23" t="s">
        <v>1503</v>
      </c>
      <c r="F548" s="23" t="s">
        <v>9374</v>
      </c>
      <c r="G548" s="23" t="s">
        <v>9403</v>
      </c>
      <c r="H548" s="23" t="s">
        <v>121</v>
      </c>
      <c r="I548" s="23" t="s">
        <v>9376</v>
      </c>
      <c r="J548" s="23"/>
      <c r="K548" s="23"/>
      <c r="L548" s="23"/>
      <c r="M548" s="23" t="s">
        <v>9378</v>
      </c>
      <c r="N548" s="23" t="s">
        <v>9379</v>
      </c>
      <c r="O548" s="23"/>
      <c r="P548" s="23"/>
      <c r="Q548" s="23" t="s">
        <v>10797</v>
      </c>
      <c r="R548" s="23" t="s">
        <v>9374</v>
      </c>
    </row>
    <row r="549" spans="3:18" ht="15" customHeight="1" x14ac:dyDescent="0.25">
      <c r="C549" s="33" t="str">
        <f t="shared" si="18"/>
        <v>c121</v>
      </c>
      <c r="D549" s="23" t="s">
        <v>10798</v>
      </c>
      <c r="E549" s="23" t="s">
        <v>1505</v>
      </c>
      <c r="F549" s="23" t="s">
        <v>9374</v>
      </c>
      <c r="G549" s="23" t="s">
        <v>9375</v>
      </c>
      <c r="H549" s="23" t="s">
        <v>121</v>
      </c>
      <c r="I549" s="23" t="s">
        <v>9376</v>
      </c>
      <c r="J549" s="23" t="s">
        <v>3276</v>
      </c>
      <c r="K549" s="23" t="s">
        <v>3275</v>
      </c>
      <c r="L549" s="23" t="s">
        <v>10799</v>
      </c>
      <c r="M549" s="23" t="s">
        <v>9393</v>
      </c>
      <c r="N549" s="23" t="s">
        <v>9394</v>
      </c>
      <c r="O549" s="23" t="s">
        <v>10800</v>
      </c>
      <c r="P549" s="23" t="s">
        <v>10801</v>
      </c>
      <c r="Q549" s="23" t="s">
        <v>10802</v>
      </c>
      <c r="R549" s="23" t="s">
        <v>9374</v>
      </c>
    </row>
    <row r="550" spans="3:18" ht="15" customHeight="1" x14ac:dyDescent="0.25">
      <c r="C550" s="33" t="str">
        <f t="shared" si="18"/>
        <v>c122</v>
      </c>
      <c r="D550" s="23" t="s">
        <v>10803</v>
      </c>
      <c r="E550" s="23" t="s">
        <v>1507</v>
      </c>
      <c r="F550" s="23" t="s">
        <v>9374</v>
      </c>
      <c r="G550" s="23" t="s">
        <v>9375</v>
      </c>
      <c r="H550" s="23" t="s">
        <v>121</v>
      </c>
      <c r="I550" s="23" t="s">
        <v>9376</v>
      </c>
      <c r="J550" s="23" t="s">
        <v>3276</v>
      </c>
      <c r="K550" s="23" t="s">
        <v>3275</v>
      </c>
      <c r="L550" s="23" t="s">
        <v>10799</v>
      </c>
      <c r="M550" s="23" t="s">
        <v>9393</v>
      </c>
      <c r="N550" s="23" t="s">
        <v>9394</v>
      </c>
      <c r="O550" s="23" t="s">
        <v>10800</v>
      </c>
      <c r="P550" s="23" t="s">
        <v>10801</v>
      </c>
      <c r="Q550" s="23" t="s">
        <v>10804</v>
      </c>
      <c r="R550" s="23" t="s">
        <v>9374</v>
      </c>
    </row>
    <row r="551" spans="3:18" ht="15" customHeight="1" x14ac:dyDescent="0.25">
      <c r="C551" s="33" t="str">
        <f t="shared" si="18"/>
        <v>c123</v>
      </c>
      <c r="D551" s="23" t="s">
        <v>10805</v>
      </c>
      <c r="E551" s="23" t="s">
        <v>1509</v>
      </c>
      <c r="F551" s="23" t="s">
        <v>9374</v>
      </c>
      <c r="G551" s="23" t="s">
        <v>9375</v>
      </c>
      <c r="H551" s="23" t="s">
        <v>121</v>
      </c>
      <c r="I551" s="23" t="s">
        <v>9376</v>
      </c>
      <c r="J551" s="23" t="s">
        <v>3276</v>
      </c>
      <c r="K551" s="23" t="s">
        <v>3275</v>
      </c>
      <c r="L551" s="23" t="s">
        <v>10806</v>
      </c>
      <c r="M551" s="23" t="s">
        <v>9393</v>
      </c>
      <c r="N551" s="23" t="s">
        <v>9394</v>
      </c>
      <c r="O551" s="23" t="s">
        <v>10807</v>
      </c>
      <c r="P551" s="23" t="s">
        <v>10808</v>
      </c>
      <c r="Q551" s="23" t="s">
        <v>10809</v>
      </c>
      <c r="R551" s="23" t="s">
        <v>9374</v>
      </c>
    </row>
    <row r="552" spans="3:18" ht="15" customHeight="1" x14ac:dyDescent="0.25">
      <c r="C552" s="33" t="str">
        <f t="shared" si="18"/>
        <v>c124</v>
      </c>
      <c r="D552" s="23" t="s">
        <v>10810</v>
      </c>
      <c r="E552" s="23" t="s">
        <v>1511</v>
      </c>
      <c r="F552" s="23" t="s">
        <v>9374</v>
      </c>
      <c r="G552" s="23" t="s">
        <v>9375</v>
      </c>
      <c r="H552" s="23" t="s">
        <v>121</v>
      </c>
      <c r="I552" s="23" t="s">
        <v>9376</v>
      </c>
      <c r="J552" s="23" t="s">
        <v>3276</v>
      </c>
      <c r="K552" s="23" t="s">
        <v>3275</v>
      </c>
      <c r="L552" s="23" t="s">
        <v>10806</v>
      </c>
      <c r="M552" s="23" t="s">
        <v>9393</v>
      </c>
      <c r="N552" s="23" t="s">
        <v>9394</v>
      </c>
      <c r="O552" s="23" t="s">
        <v>10807</v>
      </c>
      <c r="P552" s="23" t="s">
        <v>10808</v>
      </c>
      <c r="Q552" s="23" t="s">
        <v>10811</v>
      </c>
      <c r="R552" s="23" t="s">
        <v>9374</v>
      </c>
    </row>
    <row r="553" spans="3:18" ht="15" customHeight="1" x14ac:dyDescent="0.25">
      <c r="C553" s="33" t="str">
        <f t="shared" si="18"/>
        <v>c125</v>
      </c>
      <c r="D553" s="23" t="s">
        <v>10812</v>
      </c>
      <c r="E553" s="23" t="s">
        <v>1513</v>
      </c>
      <c r="F553" s="23" t="s">
        <v>9374</v>
      </c>
      <c r="G553" s="23" t="s">
        <v>9375</v>
      </c>
      <c r="H553" s="23" t="s">
        <v>121</v>
      </c>
      <c r="I553" s="23" t="s">
        <v>9376</v>
      </c>
      <c r="J553" s="23" t="s">
        <v>3276</v>
      </c>
      <c r="K553" s="23" t="s">
        <v>3275</v>
      </c>
      <c r="L553" s="23" t="s">
        <v>10813</v>
      </c>
      <c r="M553" s="23" t="s">
        <v>9378</v>
      </c>
      <c r="N553" s="23" t="s">
        <v>9379</v>
      </c>
      <c r="O553" s="23"/>
      <c r="P553" s="23"/>
      <c r="Q553" s="23" t="s">
        <v>10814</v>
      </c>
      <c r="R553" s="23" t="s">
        <v>9374</v>
      </c>
    </row>
    <row r="554" spans="3:18" ht="15" customHeight="1" x14ac:dyDescent="0.25">
      <c r="C554" s="33" t="str">
        <f t="shared" si="18"/>
        <v>c126</v>
      </c>
      <c r="D554" s="23" t="s">
        <v>10815</v>
      </c>
      <c r="E554" s="23" t="s">
        <v>1515</v>
      </c>
      <c r="F554" s="23" t="s">
        <v>9374</v>
      </c>
      <c r="G554" s="23" t="s">
        <v>9403</v>
      </c>
      <c r="H554" s="23" t="s">
        <v>121</v>
      </c>
      <c r="I554" s="23" t="s">
        <v>9376</v>
      </c>
      <c r="J554" s="23"/>
      <c r="K554" s="23"/>
      <c r="L554" s="23"/>
      <c r="M554" s="23" t="s">
        <v>9425</v>
      </c>
      <c r="N554" s="23" t="s">
        <v>9394</v>
      </c>
      <c r="O554" s="23"/>
      <c r="P554" s="23"/>
      <c r="Q554" s="23" t="s">
        <v>10816</v>
      </c>
      <c r="R554" s="23" t="s">
        <v>9374</v>
      </c>
    </row>
    <row r="555" spans="3:18" ht="15" customHeight="1" x14ac:dyDescent="0.25">
      <c r="C555" s="33" t="str">
        <f t="shared" si="18"/>
        <v>c127</v>
      </c>
      <c r="D555" s="23" t="s">
        <v>10817</v>
      </c>
      <c r="E555" s="23" t="s">
        <v>1517</v>
      </c>
      <c r="F555" s="23" t="s">
        <v>9374</v>
      </c>
      <c r="G555" s="23" t="s">
        <v>9375</v>
      </c>
      <c r="H555" s="23" t="s">
        <v>121</v>
      </c>
      <c r="I555" s="23" t="s">
        <v>9376</v>
      </c>
      <c r="J555" s="23" t="s">
        <v>3276</v>
      </c>
      <c r="K555" s="23" t="s">
        <v>3275</v>
      </c>
      <c r="L555" s="23" t="s">
        <v>10818</v>
      </c>
      <c r="M555" s="23" t="s">
        <v>9378</v>
      </c>
      <c r="N555" s="23" t="s">
        <v>9379</v>
      </c>
      <c r="O555" s="23"/>
      <c r="P555" s="23"/>
      <c r="Q555" s="23" t="s">
        <v>10819</v>
      </c>
      <c r="R555" s="23" t="s">
        <v>9374</v>
      </c>
    </row>
    <row r="556" spans="3:18" ht="15" customHeight="1" x14ac:dyDescent="0.25">
      <c r="C556" s="33" t="str">
        <f t="shared" si="18"/>
        <v>c128</v>
      </c>
      <c r="D556" s="23" t="s">
        <v>10820</v>
      </c>
      <c r="E556" s="23" t="s">
        <v>1519</v>
      </c>
      <c r="F556" s="23" t="s">
        <v>9374</v>
      </c>
      <c r="G556" s="23" t="s">
        <v>9403</v>
      </c>
      <c r="H556" s="23" t="s">
        <v>121</v>
      </c>
      <c r="I556" s="23" t="s">
        <v>9376</v>
      </c>
      <c r="J556" s="23"/>
      <c r="K556" s="23"/>
      <c r="L556" s="23"/>
      <c r="M556" s="23" t="s">
        <v>9425</v>
      </c>
      <c r="N556" s="23" t="s">
        <v>9394</v>
      </c>
      <c r="O556" s="23"/>
      <c r="P556" s="23"/>
      <c r="Q556" s="23" t="s">
        <v>10821</v>
      </c>
      <c r="R556" s="23" t="s">
        <v>9374</v>
      </c>
    </row>
    <row r="557" spans="3:18" ht="15" customHeight="1" x14ac:dyDescent="0.25">
      <c r="C557" s="33" t="str">
        <f t="shared" si="18"/>
        <v>c129</v>
      </c>
      <c r="D557" s="23" t="s">
        <v>10822</v>
      </c>
      <c r="E557" s="23" t="s">
        <v>1521</v>
      </c>
      <c r="F557" s="23" t="s">
        <v>9374</v>
      </c>
      <c r="G557" s="23" t="s">
        <v>9403</v>
      </c>
      <c r="H557" s="23" t="s">
        <v>121</v>
      </c>
      <c r="I557" s="23" t="s">
        <v>9376</v>
      </c>
      <c r="J557" s="23"/>
      <c r="K557" s="23"/>
      <c r="L557" s="23"/>
      <c r="M557" s="23" t="s">
        <v>9378</v>
      </c>
      <c r="N557" s="23" t="s">
        <v>9379</v>
      </c>
      <c r="O557" s="23"/>
      <c r="P557" s="23"/>
      <c r="Q557" s="23" t="s">
        <v>10823</v>
      </c>
      <c r="R557" s="23" t="s">
        <v>9374</v>
      </c>
    </row>
    <row r="558" spans="3:18" ht="15" customHeight="1" x14ac:dyDescent="0.25">
      <c r="C558" s="33" t="str">
        <f t="shared" si="18"/>
        <v>c130</v>
      </c>
      <c r="D558" s="23" t="s">
        <v>10824</v>
      </c>
      <c r="E558" s="23" t="s">
        <v>1523</v>
      </c>
      <c r="F558" s="23" t="s">
        <v>9374</v>
      </c>
      <c r="G558" s="23" t="s">
        <v>9403</v>
      </c>
      <c r="H558" s="23" t="s">
        <v>121</v>
      </c>
      <c r="I558" s="23" t="s">
        <v>9376</v>
      </c>
      <c r="J558" s="23"/>
      <c r="K558" s="23"/>
      <c r="L558" s="23"/>
      <c r="M558" s="23" t="s">
        <v>9378</v>
      </c>
      <c r="N558" s="23" t="s">
        <v>9379</v>
      </c>
      <c r="O558" s="23"/>
      <c r="P558" s="23"/>
      <c r="Q558" s="23" t="s">
        <v>10825</v>
      </c>
      <c r="R558" s="23" t="s">
        <v>9383</v>
      </c>
    </row>
    <row r="559" spans="3:18" ht="15" customHeight="1" x14ac:dyDescent="0.25">
      <c r="C559" s="33" t="str">
        <f t="shared" si="18"/>
        <v>c131</v>
      </c>
      <c r="D559" s="23" t="s">
        <v>10826</v>
      </c>
      <c r="E559" s="23" t="s">
        <v>1525</v>
      </c>
      <c r="F559" s="23" t="s">
        <v>9374</v>
      </c>
      <c r="G559" s="23" t="s">
        <v>9403</v>
      </c>
      <c r="H559" s="23" t="s">
        <v>121</v>
      </c>
      <c r="I559" s="23" t="s">
        <v>9376</v>
      </c>
      <c r="J559" s="23"/>
      <c r="K559" s="23"/>
      <c r="L559" s="23"/>
      <c r="M559" s="23" t="s">
        <v>9425</v>
      </c>
      <c r="N559" s="23" t="s">
        <v>9394</v>
      </c>
      <c r="O559" s="23"/>
      <c r="P559" s="23"/>
      <c r="Q559" s="23" t="s">
        <v>10827</v>
      </c>
      <c r="R559" s="23" t="s">
        <v>9920</v>
      </c>
    </row>
    <row r="560" spans="3:18" ht="15" customHeight="1" x14ac:dyDescent="0.25">
      <c r="C560" s="33" t="str">
        <f t="shared" si="18"/>
        <v>c132</v>
      </c>
      <c r="D560" s="23" t="s">
        <v>10828</v>
      </c>
      <c r="E560" s="23" t="s">
        <v>1527</v>
      </c>
      <c r="F560" s="23" t="s">
        <v>9374</v>
      </c>
      <c r="G560" s="23" t="s">
        <v>9403</v>
      </c>
      <c r="H560" s="23" t="s">
        <v>121</v>
      </c>
      <c r="I560" s="23" t="s">
        <v>9376</v>
      </c>
      <c r="J560" s="23"/>
      <c r="K560" s="23"/>
      <c r="L560" s="23"/>
      <c r="M560" s="23" t="s">
        <v>9378</v>
      </c>
      <c r="N560" s="23" t="s">
        <v>9379</v>
      </c>
      <c r="O560" s="23"/>
      <c r="P560" s="23"/>
      <c r="Q560" s="23" t="s">
        <v>10829</v>
      </c>
      <c r="R560" s="23" t="s">
        <v>9586</v>
      </c>
    </row>
    <row r="561" spans="3:18" ht="15" customHeight="1" x14ac:dyDescent="0.25">
      <c r="C561" s="33" t="str">
        <f t="shared" si="18"/>
        <v>c133</v>
      </c>
      <c r="D561" s="23" t="s">
        <v>10830</v>
      </c>
      <c r="E561" s="23" t="s">
        <v>1529</v>
      </c>
      <c r="F561" s="23" t="s">
        <v>9374</v>
      </c>
      <c r="G561" s="23" t="s">
        <v>9403</v>
      </c>
      <c r="H561" s="23" t="s">
        <v>121</v>
      </c>
      <c r="I561" s="23" t="s">
        <v>9376</v>
      </c>
      <c r="J561" s="23"/>
      <c r="K561" s="23"/>
      <c r="L561" s="23"/>
      <c r="M561" s="23" t="s">
        <v>9425</v>
      </c>
      <c r="N561" s="23" t="s">
        <v>9394</v>
      </c>
      <c r="O561" s="23"/>
      <c r="P561" s="23"/>
      <c r="Q561" s="23" t="s">
        <v>10831</v>
      </c>
      <c r="R561" s="23" t="s">
        <v>9383</v>
      </c>
    </row>
    <row r="562" spans="3:18" ht="15" customHeight="1" x14ac:dyDescent="0.25">
      <c r="C562" s="33" t="str">
        <f t="shared" si="18"/>
        <v>c134</v>
      </c>
      <c r="D562" s="23" t="s">
        <v>10832</v>
      </c>
      <c r="E562" s="23" t="s">
        <v>1531</v>
      </c>
      <c r="F562" s="23" t="s">
        <v>9374</v>
      </c>
      <c r="G562" s="23" t="s">
        <v>9375</v>
      </c>
      <c r="H562" s="23" t="s">
        <v>121</v>
      </c>
      <c r="I562" s="23" t="s">
        <v>9376</v>
      </c>
      <c r="J562" s="23" t="s">
        <v>3276</v>
      </c>
      <c r="K562" s="23" t="s">
        <v>3275</v>
      </c>
      <c r="L562" s="23" t="s">
        <v>10651</v>
      </c>
      <c r="M562" s="23" t="s">
        <v>9378</v>
      </c>
      <c r="N562" s="23" t="s">
        <v>9379</v>
      </c>
      <c r="O562" s="23" t="s">
        <v>10652</v>
      </c>
      <c r="P562" s="23" t="s">
        <v>10653</v>
      </c>
      <c r="Q562" s="23" t="s">
        <v>10833</v>
      </c>
      <c r="R562" s="23" t="s">
        <v>9374</v>
      </c>
    </row>
    <row r="563" spans="3:18" ht="15" customHeight="1" x14ac:dyDescent="0.25">
      <c r="C563" s="33" t="str">
        <f t="shared" si="18"/>
        <v>c135</v>
      </c>
      <c r="D563" s="23" t="s">
        <v>10834</v>
      </c>
      <c r="E563" s="23" t="s">
        <v>1533</v>
      </c>
      <c r="F563" s="23" t="s">
        <v>9374</v>
      </c>
      <c r="G563" s="23" t="s">
        <v>9375</v>
      </c>
      <c r="H563" s="23" t="s">
        <v>121</v>
      </c>
      <c r="I563" s="23" t="s">
        <v>9376</v>
      </c>
      <c r="J563" s="23" t="s">
        <v>3276</v>
      </c>
      <c r="K563" s="23" t="s">
        <v>3275</v>
      </c>
      <c r="L563" s="23" t="s">
        <v>10656</v>
      </c>
      <c r="M563" s="23" t="s">
        <v>9378</v>
      </c>
      <c r="N563" s="23" t="s">
        <v>9379</v>
      </c>
      <c r="O563" s="23" t="s">
        <v>10657</v>
      </c>
      <c r="P563" s="23" t="s">
        <v>10658</v>
      </c>
      <c r="Q563" s="23" t="s">
        <v>10835</v>
      </c>
      <c r="R563" s="23" t="s">
        <v>9374</v>
      </c>
    </row>
    <row r="564" spans="3:18" ht="15" customHeight="1" x14ac:dyDescent="0.25">
      <c r="C564" s="33" t="str">
        <f t="shared" si="18"/>
        <v>c136</v>
      </c>
      <c r="D564" s="23" t="s">
        <v>10836</v>
      </c>
      <c r="E564" s="23" t="s">
        <v>1535</v>
      </c>
      <c r="F564" s="23" t="s">
        <v>9374</v>
      </c>
      <c r="G564" s="23" t="s">
        <v>9375</v>
      </c>
      <c r="H564" s="23" t="s">
        <v>121</v>
      </c>
      <c r="I564" s="23" t="s">
        <v>9376</v>
      </c>
      <c r="J564" s="23" t="s">
        <v>3276</v>
      </c>
      <c r="K564" s="23" t="s">
        <v>3275</v>
      </c>
      <c r="L564" s="23" t="s">
        <v>10837</v>
      </c>
      <c r="M564" s="23" t="s">
        <v>9393</v>
      </c>
      <c r="N564" s="23" t="s">
        <v>9394</v>
      </c>
      <c r="O564" s="23"/>
      <c r="P564" s="23"/>
      <c r="Q564" s="23" t="s">
        <v>10838</v>
      </c>
      <c r="R564" s="23" t="s">
        <v>9374</v>
      </c>
    </row>
    <row r="565" spans="3:18" ht="15" customHeight="1" x14ac:dyDescent="0.25">
      <c r="C565" s="33" t="str">
        <f t="shared" si="18"/>
        <v>c137</v>
      </c>
      <c r="D565" s="23" t="s">
        <v>10839</v>
      </c>
      <c r="E565" s="23" t="s">
        <v>1537</v>
      </c>
      <c r="F565" s="23" t="s">
        <v>9374</v>
      </c>
      <c r="G565" s="23" t="s">
        <v>9403</v>
      </c>
      <c r="H565" s="23" t="s">
        <v>121</v>
      </c>
      <c r="I565" s="23" t="s">
        <v>9376</v>
      </c>
      <c r="J565" s="23"/>
      <c r="K565" s="23"/>
      <c r="L565" s="23"/>
      <c r="M565" s="23" t="s">
        <v>9425</v>
      </c>
      <c r="N565" s="23" t="s">
        <v>9394</v>
      </c>
      <c r="O565" s="23"/>
      <c r="P565" s="23"/>
      <c r="Q565" s="23" t="s">
        <v>10840</v>
      </c>
      <c r="R565" s="23" t="s">
        <v>9374</v>
      </c>
    </row>
    <row r="566" spans="3:18" ht="15" customHeight="1" x14ac:dyDescent="0.25">
      <c r="C566" s="33" t="str">
        <f t="shared" si="18"/>
        <v>c138</v>
      </c>
      <c r="D566" s="23" t="s">
        <v>10841</v>
      </c>
      <c r="E566" s="23" t="s">
        <v>1539</v>
      </c>
      <c r="F566" s="23" t="s">
        <v>9374</v>
      </c>
      <c r="G566" s="23" t="s">
        <v>9375</v>
      </c>
      <c r="H566" s="23" t="s">
        <v>121</v>
      </c>
      <c r="I566" s="23" t="s">
        <v>9376</v>
      </c>
      <c r="J566" s="23" t="s">
        <v>3276</v>
      </c>
      <c r="K566" s="23" t="s">
        <v>3275</v>
      </c>
      <c r="L566" s="23" t="s">
        <v>10842</v>
      </c>
      <c r="M566" s="23" t="s">
        <v>9393</v>
      </c>
      <c r="N566" s="23" t="s">
        <v>9394</v>
      </c>
      <c r="O566" s="23"/>
      <c r="P566" s="23"/>
      <c r="Q566" s="23" t="s">
        <v>10843</v>
      </c>
      <c r="R566" s="23" t="s">
        <v>9374</v>
      </c>
    </row>
    <row r="567" spans="3:18" ht="15" customHeight="1" x14ac:dyDescent="0.25">
      <c r="C567" s="33" t="str">
        <f t="shared" si="18"/>
        <v>c139</v>
      </c>
      <c r="D567" s="23" t="s">
        <v>10844</v>
      </c>
      <c r="E567" s="23" t="s">
        <v>1541</v>
      </c>
      <c r="F567" s="23" t="s">
        <v>9374</v>
      </c>
      <c r="G567" s="23" t="s">
        <v>9375</v>
      </c>
      <c r="H567" s="23" t="s">
        <v>121</v>
      </c>
      <c r="I567" s="23" t="s">
        <v>9376</v>
      </c>
      <c r="J567" s="23" t="s">
        <v>3276</v>
      </c>
      <c r="K567" s="23" t="s">
        <v>3275</v>
      </c>
      <c r="L567" s="23" t="s">
        <v>10845</v>
      </c>
      <c r="M567" s="23" t="s">
        <v>9393</v>
      </c>
      <c r="N567" s="23" t="s">
        <v>9394</v>
      </c>
      <c r="O567" s="23"/>
      <c r="P567" s="23"/>
      <c r="Q567" s="23" t="s">
        <v>10846</v>
      </c>
      <c r="R567" s="23" t="s">
        <v>9374</v>
      </c>
    </row>
    <row r="568" spans="3:18" ht="15" customHeight="1" x14ac:dyDescent="0.25">
      <c r="C568" s="33" t="str">
        <f t="shared" si="18"/>
        <v>c140</v>
      </c>
      <c r="D568" s="23" t="s">
        <v>10847</v>
      </c>
      <c r="E568" s="23" t="s">
        <v>1543</v>
      </c>
      <c r="F568" s="23" t="s">
        <v>9374</v>
      </c>
      <c r="G568" s="23" t="s">
        <v>9375</v>
      </c>
      <c r="H568" s="23" t="s">
        <v>121</v>
      </c>
      <c r="I568" s="23" t="s">
        <v>9376</v>
      </c>
      <c r="J568" s="23" t="s">
        <v>3276</v>
      </c>
      <c r="K568" s="23" t="s">
        <v>3275</v>
      </c>
      <c r="L568" s="23" t="s">
        <v>10848</v>
      </c>
      <c r="M568" s="23" t="s">
        <v>9393</v>
      </c>
      <c r="N568" s="23" t="s">
        <v>9394</v>
      </c>
      <c r="O568" s="23"/>
      <c r="P568" s="23"/>
      <c r="Q568" s="23" t="s">
        <v>10849</v>
      </c>
      <c r="R568" s="23" t="s">
        <v>9374</v>
      </c>
    </row>
    <row r="569" spans="3:18" ht="15" customHeight="1" x14ac:dyDescent="0.25">
      <c r="C569" s="33" t="str">
        <f t="shared" si="18"/>
        <v>c141</v>
      </c>
      <c r="D569" s="23" t="s">
        <v>10850</v>
      </c>
      <c r="E569" s="23" t="s">
        <v>1545</v>
      </c>
      <c r="F569" s="23" t="s">
        <v>9374</v>
      </c>
      <c r="G569" s="23" t="s">
        <v>9375</v>
      </c>
      <c r="H569" s="23" t="s">
        <v>121</v>
      </c>
      <c r="I569" s="23" t="s">
        <v>9376</v>
      </c>
      <c r="J569" s="23" t="s">
        <v>3276</v>
      </c>
      <c r="K569" s="23" t="s">
        <v>3275</v>
      </c>
      <c r="L569" s="23" t="s">
        <v>9781</v>
      </c>
      <c r="M569" s="23" t="s">
        <v>9393</v>
      </c>
      <c r="N569" s="23" t="s">
        <v>9394</v>
      </c>
      <c r="O569" s="23" t="s">
        <v>9782</v>
      </c>
      <c r="P569" s="23" t="s">
        <v>9783</v>
      </c>
      <c r="Q569" s="23" t="s">
        <v>10851</v>
      </c>
      <c r="R569" s="23" t="s">
        <v>9374</v>
      </c>
    </row>
    <row r="570" spans="3:18" ht="15" customHeight="1" x14ac:dyDescent="0.25">
      <c r="C570" s="33" t="str">
        <f t="shared" si="18"/>
        <v>c142</v>
      </c>
      <c r="D570" s="23" t="s">
        <v>10852</v>
      </c>
      <c r="E570" s="23" t="s">
        <v>1547</v>
      </c>
      <c r="F570" s="23" t="s">
        <v>9374</v>
      </c>
      <c r="G570" s="23" t="s">
        <v>9375</v>
      </c>
      <c r="H570" s="23" t="s">
        <v>121</v>
      </c>
      <c r="I570" s="23" t="s">
        <v>9376</v>
      </c>
      <c r="J570" s="23" t="s">
        <v>3276</v>
      </c>
      <c r="K570" s="23" t="s">
        <v>3275</v>
      </c>
      <c r="L570" s="23" t="s">
        <v>9781</v>
      </c>
      <c r="M570" s="23" t="s">
        <v>9393</v>
      </c>
      <c r="N570" s="23" t="s">
        <v>9394</v>
      </c>
      <c r="O570" s="23" t="s">
        <v>9782</v>
      </c>
      <c r="P570" s="23" t="s">
        <v>9783</v>
      </c>
      <c r="Q570" s="23" t="s">
        <v>10853</v>
      </c>
      <c r="R570" s="23" t="s">
        <v>9374</v>
      </c>
    </row>
    <row r="571" spans="3:18" ht="15" customHeight="1" x14ac:dyDescent="0.25">
      <c r="C571" s="33" t="str">
        <f t="shared" si="18"/>
        <v>c143</v>
      </c>
      <c r="D571" s="23" t="s">
        <v>10854</v>
      </c>
      <c r="E571" s="23" t="s">
        <v>1549</v>
      </c>
      <c r="F571" s="23" t="s">
        <v>9374</v>
      </c>
      <c r="G571" s="23" t="s">
        <v>9375</v>
      </c>
      <c r="H571" s="23" t="s">
        <v>121</v>
      </c>
      <c r="I571" s="23" t="s">
        <v>9376</v>
      </c>
      <c r="J571" s="23" t="s">
        <v>3276</v>
      </c>
      <c r="K571" s="23" t="s">
        <v>3275</v>
      </c>
      <c r="L571" s="23" t="s">
        <v>9781</v>
      </c>
      <c r="M571" s="23" t="s">
        <v>9393</v>
      </c>
      <c r="N571" s="23" t="s">
        <v>9394</v>
      </c>
      <c r="O571" s="23" t="s">
        <v>9782</v>
      </c>
      <c r="P571" s="23" t="s">
        <v>9783</v>
      </c>
      <c r="Q571" s="23" t="s">
        <v>10855</v>
      </c>
      <c r="R571" s="23" t="s">
        <v>9374</v>
      </c>
    </row>
    <row r="572" spans="3:18" ht="15" customHeight="1" x14ac:dyDescent="0.25">
      <c r="C572" s="33" t="str">
        <f t="shared" si="18"/>
        <v>c144</v>
      </c>
      <c r="D572" s="23" t="s">
        <v>10856</v>
      </c>
      <c r="E572" s="23" t="s">
        <v>10857</v>
      </c>
      <c r="F572" s="23" t="s">
        <v>9374</v>
      </c>
      <c r="G572" s="23" t="s">
        <v>9375</v>
      </c>
      <c r="H572" s="23" t="s">
        <v>121</v>
      </c>
      <c r="I572" s="23" t="s">
        <v>9376</v>
      </c>
      <c r="J572" s="23" t="s">
        <v>3276</v>
      </c>
      <c r="K572" s="23" t="s">
        <v>3275</v>
      </c>
      <c r="L572" s="23" t="s">
        <v>9781</v>
      </c>
      <c r="M572" s="23" t="s">
        <v>9393</v>
      </c>
      <c r="N572" s="23" t="s">
        <v>9394</v>
      </c>
      <c r="O572" s="23" t="s">
        <v>9782</v>
      </c>
      <c r="P572" s="23" t="s">
        <v>9783</v>
      </c>
      <c r="Q572" s="23" t="s">
        <v>10858</v>
      </c>
      <c r="R572" s="23" t="s">
        <v>9374</v>
      </c>
    </row>
    <row r="573" spans="3:18" ht="15" customHeight="1" x14ac:dyDescent="0.25">
      <c r="C573" s="33" t="str">
        <f t="shared" si="18"/>
        <v>c145</v>
      </c>
      <c r="D573" s="23" t="s">
        <v>10859</v>
      </c>
      <c r="E573" s="23" t="s">
        <v>1553</v>
      </c>
      <c r="F573" s="23" t="s">
        <v>9374</v>
      </c>
      <c r="G573" s="23" t="s">
        <v>9375</v>
      </c>
      <c r="H573" s="23" t="s">
        <v>121</v>
      </c>
      <c r="I573" s="23" t="s">
        <v>9376</v>
      </c>
      <c r="J573" s="23" t="s">
        <v>3276</v>
      </c>
      <c r="K573" s="23" t="s">
        <v>3275</v>
      </c>
      <c r="L573" s="23" t="s">
        <v>9781</v>
      </c>
      <c r="M573" s="23" t="s">
        <v>9393</v>
      </c>
      <c r="N573" s="23" t="s">
        <v>9394</v>
      </c>
      <c r="O573" s="23" t="s">
        <v>9782</v>
      </c>
      <c r="P573" s="23" t="s">
        <v>9783</v>
      </c>
      <c r="Q573" s="23" t="s">
        <v>10860</v>
      </c>
      <c r="R573" s="23" t="s">
        <v>9374</v>
      </c>
    </row>
    <row r="574" spans="3:18" ht="15" customHeight="1" x14ac:dyDescent="0.25">
      <c r="C574" s="33" t="str">
        <f t="shared" si="18"/>
        <v>c146</v>
      </c>
      <c r="D574" s="23" t="s">
        <v>10861</v>
      </c>
      <c r="E574" s="23" t="s">
        <v>1555</v>
      </c>
      <c r="F574" s="23" t="s">
        <v>9374</v>
      </c>
      <c r="G574" s="23" t="s">
        <v>9375</v>
      </c>
      <c r="H574" s="23" t="s">
        <v>121</v>
      </c>
      <c r="I574" s="23" t="s">
        <v>9376</v>
      </c>
      <c r="J574" s="23" t="s">
        <v>3276</v>
      </c>
      <c r="K574" s="23" t="s">
        <v>3275</v>
      </c>
      <c r="L574" s="23" t="s">
        <v>9781</v>
      </c>
      <c r="M574" s="23" t="s">
        <v>9393</v>
      </c>
      <c r="N574" s="23" t="s">
        <v>9394</v>
      </c>
      <c r="O574" s="23" t="s">
        <v>9782</v>
      </c>
      <c r="P574" s="23" t="s">
        <v>9783</v>
      </c>
      <c r="Q574" s="23" t="s">
        <v>10862</v>
      </c>
      <c r="R574" s="23" t="s">
        <v>9374</v>
      </c>
    </row>
    <row r="575" spans="3:18" ht="15" customHeight="1" x14ac:dyDescent="0.25">
      <c r="C575" s="33" t="str">
        <f t="shared" si="18"/>
        <v>c147</v>
      </c>
      <c r="D575" s="23" t="s">
        <v>10863</v>
      </c>
      <c r="E575" s="23" t="s">
        <v>1557</v>
      </c>
      <c r="F575" s="23" t="s">
        <v>9374</v>
      </c>
      <c r="G575" s="23" t="s">
        <v>9403</v>
      </c>
      <c r="H575" s="23" t="s">
        <v>121</v>
      </c>
      <c r="I575" s="23"/>
      <c r="J575" s="23"/>
      <c r="K575" s="23"/>
      <c r="L575" s="23"/>
      <c r="M575" s="23" t="s">
        <v>9425</v>
      </c>
      <c r="N575" s="23" t="s">
        <v>9394</v>
      </c>
      <c r="O575" s="23"/>
      <c r="P575" s="23"/>
      <c r="Q575" s="23" t="s">
        <v>10864</v>
      </c>
      <c r="R575" s="23" t="s">
        <v>9374</v>
      </c>
    </row>
    <row r="576" spans="3:18" ht="15" customHeight="1" x14ac:dyDescent="0.25">
      <c r="C576" s="33" t="str">
        <f t="shared" si="18"/>
        <v>c148</v>
      </c>
      <c r="D576" s="23" t="s">
        <v>10865</v>
      </c>
      <c r="E576" s="23" t="s">
        <v>1559</v>
      </c>
      <c r="F576" s="23" t="s">
        <v>9374</v>
      </c>
      <c r="G576" s="23" t="s">
        <v>9403</v>
      </c>
      <c r="H576" s="23" t="s">
        <v>121</v>
      </c>
      <c r="I576" s="23"/>
      <c r="J576" s="23"/>
      <c r="K576" s="23"/>
      <c r="L576" s="23"/>
      <c r="M576" s="23" t="s">
        <v>9378</v>
      </c>
      <c r="N576" s="23" t="s">
        <v>9379</v>
      </c>
      <c r="O576" s="23"/>
      <c r="P576" s="23"/>
      <c r="Q576" s="23" t="s">
        <v>10866</v>
      </c>
      <c r="R576" s="23" t="s">
        <v>9374</v>
      </c>
    </row>
    <row r="577" spans="3:18" ht="15" customHeight="1" x14ac:dyDescent="0.25">
      <c r="C577" s="33" t="str">
        <f t="shared" si="18"/>
        <v>c149</v>
      </c>
      <c r="D577" s="23" t="s">
        <v>10867</v>
      </c>
      <c r="E577" s="23" t="s">
        <v>1561</v>
      </c>
      <c r="F577" s="23" t="s">
        <v>9374</v>
      </c>
      <c r="G577" s="23" t="s">
        <v>9375</v>
      </c>
      <c r="H577" s="23" t="s">
        <v>121</v>
      </c>
      <c r="I577" s="23"/>
      <c r="J577" s="23" t="s">
        <v>3276</v>
      </c>
      <c r="K577" s="23" t="s">
        <v>3275</v>
      </c>
      <c r="L577" s="23" t="s">
        <v>10868</v>
      </c>
      <c r="M577" s="23" t="s">
        <v>9393</v>
      </c>
      <c r="N577" s="23" t="s">
        <v>9394</v>
      </c>
      <c r="O577" s="23"/>
      <c r="P577" s="23"/>
      <c r="Q577" s="23" t="s">
        <v>10869</v>
      </c>
      <c r="R577" s="23" t="s">
        <v>9374</v>
      </c>
    </row>
    <row r="578" spans="3:18" ht="15" customHeight="1" x14ac:dyDescent="0.25">
      <c r="C578" s="33" t="str">
        <f t="shared" si="18"/>
        <v>czxz</v>
      </c>
      <c r="D578" s="23" t="s">
        <v>10870</v>
      </c>
      <c r="E578" s="23" t="s">
        <v>1563</v>
      </c>
      <c r="F578" s="23" t="s">
        <v>9374</v>
      </c>
      <c r="G578" s="23" t="s">
        <v>9403</v>
      </c>
      <c r="H578" s="23" t="s">
        <v>121</v>
      </c>
      <c r="I578" s="23" t="s">
        <v>9376</v>
      </c>
      <c r="J578" s="23"/>
      <c r="K578" s="23"/>
      <c r="L578" s="23"/>
      <c r="M578" s="23" t="s">
        <v>9378</v>
      </c>
      <c r="N578" s="23" t="s">
        <v>9379</v>
      </c>
      <c r="O578" s="23"/>
      <c r="P578" s="23"/>
      <c r="Q578" s="23"/>
      <c r="R578" s="23"/>
    </row>
    <row r="579" spans="3:18" ht="15" customHeight="1" x14ac:dyDescent="0.25">
      <c r="C579" s="33" t="str">
        <f t="shared" si="18"/>
        <v>czyw</v>
      </c>
      <c r="D579" s="23" t="s">
        <v>10871</v>
      </c>
      <c r="E579" s="23" t="s">
        <v>1565</v>
      </c>
      <c r="F579" s="23" t="s">
        <v>9374</v>
      </c>
      <c r="G579" s="23" t="s">
        <v>9403</v>
      </c>
      <c r="H579" s="23" t="s">
        <v>121</v>
      </c>
      <c r="I579" s="23" t="s">
        <v>9376</v>
      </c>
      <c r="J579" s="23"/>
      <c r="K579" s="23"/>
      <c r="L579" s="23"/>
      <c r="M579" s="23" t="s">
        <v>9378</v>
      </c>
      <c r="N579" s="23" t="s">
        <v>9379</v>
      </c>
      <c r="O579" s="23"/>
      <c r="P579" s="23"/>
      <c r="Q579" s="23"/>
      <c r="R579" s="23"/>
    </row>
    <row r="580" spans="3:18" ht="15" customHeight="1" x14ac:dyDescent="0.25">
      <c r="C580" s="33" t="str">
        <f t="shared" si="18"/>
        <v>czyx</v>
      </c>
      <c r="D580" s="23" t="s">
        <v>10872</v>
      </c>
      <c r="E580" s="23" t="s">
        <v>1567</v>
      </c>
      <c r="F580" s="23" t="s">
        <v>9374</v>
      </c>
      <c r="G580" s="23" t="s">
        <v>9403</v>
      </c>
      <c r="H580" s="23" t="s">
        <v>121</v>
      </c>
      <c r="I580" s="23" t="s">
        <v>9376</v>
      </c>
      <c r="J580" s="23"/>
      <c r="K580" s="23"/>
      <c r="L580" s="23"/>
      <c r="M580" s="23" t="s">
        <v>9378</v>
      </c>
      <c r="N580" s="23" t="s">
        <v>9379</v>
      </c>
      <c r="O580" s="23"/>
      <c r="P580" s="23"/>
      <c r="Q580" s="23"/>
      <c r="R580" s="23"/>
    </row>
    <row r="581" spans="3:18" ht="15" customHeight="1" x14ac:dyDescent="0.25">
      <c r="C581" s="33" t="str">
        <f t="shared" si="18"/>
        <v>czyy</v>
      </c>
      <c r="D581" s="23" t="s">
        <v>10873</v>
      </c>
      <c r="E581" s="23" t="s">
        <v>1569</v>
      </c>
      <c r="F581" s="23" t="s">
        <v>9374</v>
      </c>
      <c r="G581" s="23" t="s">
        <v>9403</v>
      </c>
      <c r="H581" s="23" t="s">
        <v>121</v>
      </c>
      <c r="I581" s="23" t="s">
        <v>9376</v>
      </c>
      <c r="J581" s="23"/>
      <c r="K581" s="23"/>
      <c r="L581" s="23"/>
      <c r="M581" s="23" t="s">
        <v>9378</v>
      </c>
      <c r="N581" s="23" t="s">
        <v>9379</v>
      </c>
      <c r="O581" s="23"/>
      <c r="P581" s="23"/>
      <c r="Q581" s="23"/>
      <c r="R581" s="23"/>
    </row>
    <row r="582" spans="3:18" ht="15" customHeight="1" x14ac:dyDescent="0.25">
      <c r="C582" s="33" t="str">
        <f t="shared" si="18"/>
        <v>czyz</v>
      </c>
      <c r="D582" s="23" t="s">
        <v>10874</v>
      </c>
      <c r="E582" s="23" t="s">
        <v>1571</v>
      </c>
      <c r="F582" s="23" t="s">
        <v>9374</v>
      </c>
      <c r="G582" s="23" t="s">
        <v>9403</v>
      </c>
      <c r="H582" s="23" t="s">
        <v>121</v>
      </c>
      <c r="I582" s="23" t="s">
        <v>9376</v>
      </c>
      <c r="J582" s="23"/>
      <c r="K582" s="23"/>
      <c r="L582" s="23"/>
      <c r="M582" s="23" t="s">
        <v>9425</v>
      </c>
      <c r="N582" s="23" t="s">
        <v>9394</v>
      </c>
      <c r="O582" s="23"/>
      <c r="P582" s="23"/>
      <c r="Q582" s="23"/>
      <c r="R582" s="23"/>
    </row>
    <row r="583" spans="3:18" ht="15" customHeight="1" x14ac:dyDescent="0.25">
      <c r="C583" s="33" t="str">
        <f t="shared" si="18"/>
        <v>czzy</v>
      </c>
      <c r="D583" s="23" t="s">
        <v>10875</v>
      </c>
      <c r="E583" s="23" t="s">
        <v>10876</v>
      </c>
      <c r="F583" s="23" t="s">
        <v>9374</v>
      </c>
      <c r="G583" s="23" t="s">
        <v>9375</v>
      </c>
      <c r="H583" s="23" t="s">
        <v>121</v>
      </c>
      <c r="I583" s="23" t="s">
        <v>9376</v>
      </c>
      <c r="J583" s="23" t="s">
        <v>3276</v>
      </c>
      <c r="K583" s="23" t="s">
        <v>3275</v>
      </c>
      <c r="L583" s="23" t="s">
        <v>10877</v>
      </c>
      <c r="M583" s="23" t="s">
        <v>9425</v>
      </c>
      <c r="N583" s="23" t="s">
        <v>9394</v>
      </c>
      <c r="O583" s="23"/>
      <c r="P583" s="23"/>
      <c r="Q583" s="23"/>
      <c r="R583" s="23"/>
    </row>
    <row r="584" spans="3:18" ht="15" customHeight="1" x14ac:dyDescent="0.25">
      <c r="D584" s="23" t="s">
        <v>1577</v>
      </c>
      <c r="E584" s="23" t="s">
        <v>1578</v>
      </c>
      <c r="F584" s="23" t="s">
        <v>9374</v>
      </c>
      <c r="G584" s="23" t="s">
        <v>9403</v>
      </c>
      <c r="H584" s="23" t="s">
        <v>121</v>
      </c>
      <c r="I584" s="23" t="s">
        <v>9376</v>
      </c>
      <c r="J584" s="23"/>
      <c r="K584" s="23"/>
      <c r="L584" s="23"/>
      <c r="M584" s="23" t="s">
        <v>9378</v>
      </c>
      <c r="N584" s="23" t="s">
        <v>9379</v>
      </c>
      <c r="O584" s="23"/>
      <c r="P584" s="23"/>
      <c r="Q584" s="23"/>
      <c r="R584" s="23"/>
    </row>
    <row r="585" spans="3:18" ht="15" customHeight="1" x14ac:dyDescent="0.25">
      <c r="D585" s="23" t="s">
        <v>9380</v>
      </c>
      <c r="E585" s="23" t="s">
        <v>9381</v>
      </c>
      <c r="F585" s="23" t="s">
        <v>9374</v>
      </c>
      <c r="G585" s="23" t="s">
        <v>9375</v>
      </c>
      <c r="H585" s="23" t="s">
        <v>121</v>
      </c>
      <c r="I585" s="23" t="s">
        <v>9376</v>
      </c>
      <c r="J585" s="23" t="s">
        <v>3276</v>
      </c>
      <c r="K585" s="23" t="s">
        <v>3275</v>
      </c>
      <c r="L585" s="23" t="s">
        <v>9377</v>
      </c>
      <c r="M585" s="23" t="s">
        <v>9378</v>
      </c>
      <c r="N585" s="23" t="s">
        <v>9379</v>
      </c>
      <c r="O585" s="23"/>
      <c r="P585" s="23"/>
      <c r="Q585" s="23"/>
      <c r="R585" s="23"/>
    </row>
    <row r="586" spans="3:18" ht="15" customHeight="1" x14ac:dyDescent="0.25">
      <c r="D586" s="23" t="s">
        <v>9696</v>
      </c>
      <c r="E586" s="23" t="s">
        <v>9697</v>
      </c>
      <c r="F586" s="23" t="s">
        <v>9374</v>
      </c>
      <c r="G586" s="23" t="s">
        <v>9375</v>
      </c>
      <c r="H586" s="23" t="s">
        <v>121</v>
      </c>
      <c r="I586" s="23" t="s">
        <v>9376</v>
      </c>
      <c r="J586" s="23" t="s">
        <v>3276</v>
      </c>
      <c r="K586" s="23" t="s">
        <v>3275</v>
      </c>
      <c r="L586" s="23" t="s">
        <v>9695</v>
      </c>
      <c r="M586" s="23" t="s">
        <v>9393</v>
      </c>
      <c r="N586" s="23" t="s">
        <v>9394</v>
      </c>
      <c r="O586" s="23"/>
      <c r="P586" s="23"/>
      <c r="Q586" s="23"/>
      <c r="R586" s="23"/>
    </row>
    <row r="587" spans="3:18" ht="15" customHeight="1" x14ac:dyDescent="0.25">
      <c r="D587" s="23" t="s">
        <v>9753</v>
      </c>
      <c r="E587" s="23" t="s">
        <v>9754</v>
      </c>
      <c r="F587" s="23" t="s">
        <v>9374</v>
      </c>
      <c r="G587" s="23" t="s">
        <v>9375</v>
      </c>
      <c r="H587" s="23" t="s">
        <v>121</v>
      </c>
      <c r="I587" s="23" t="s">
        <v>9376</v>
      </c>
      <c r="J587" s="23" t="s">
        <v>3276</v>
      </c>
      <c r="K587" s="23" t="s">
        <v>3275</v>
      </c>
      <c r="L587" s="23" t="s">
        <v>9752</v>
      </c>
      <c r="M587" s="23" t="s">
        <v>9378</v>
      </c>
      <c r="N587" s="23" t="s">
        <v>9379</v>
      </c>
      <c r="O587" s="23"/>
      <c r="P587" s="23"/>
      <c r="Q587" s="23"/>
      <c r="R587" s="23"/>
    </row>
    <row r="588" spans="3:18" ht="15" customHeight="1" x14ac:dyDescent="0.25">
      <c r="D588" s="23" t="s">
        <v>9782</v>
      </c>
      <c r="E588" s="23" t="s">
        <v>9783</v>
      </c>
      <c r="F588" s="23" t="s">
        <v>9374</v>
      </c>
      <c r="G588" s="23" t="s">
        <v>9375</v>
      </c>
      <c r="H588" s="23" t="s">
        <v>121</v>
      </c>
      <c r="I588" s="23" t="s">
        <v>9376</v>
      </c>
      <c r="J588" s="23" t="s">
        <v>3276</v>
      </c>
      <c r="K588" s="23" t="s">
        <v>3275</v>
      </c>
      <c r="L588" s="23" t="s">
        <v>9781</v>
      </c>
      <c r="M588" s="23" t="s">
        <v>9393</v>
      </c>
      <c r="N588" s="23" t="s">
        <v>9394</v>
      </c>
      <c r="O588" s="23"/>
      <c r="P588" s="23"/>
      <c r="Q588" s="23"/>
      <c r="R588" s="23"/>
    </row>
    <row r="589" spans="3:18" ht="15" customHeight="1" x14ac:dyDescent="0.25">
      <c r="D589" s="23" t="s">
        <v>9825</v>
      </c>
      <c r="E589" s="23" t="s">
        <v>9826</v>
      </c>
      <c r="F589" s="23" t="s">
        <v>9374</v>
      </c>
      <c r="G589" s="23" t="s">
        <v>9375</v>
      </c>
      <c r="H589" s="23" t="s">
        <v>121</v>
      </c>
      <c r="I589" s="23" t="s">
        <v>9376</v>
      </c>
      <c r="J589" s="23" t="s">
        <v>3276</v>
      </c>
      <c r="K589" s="23" t="s">
        <v>3275</v>
      </c>
      <c r="L589" s="23" t="s">
        <v>9824</v>
      </c>
      <c r="M589" s="23" t="s">
        <v>9378</v>
      </c>
      <c r="N589" s="23" t="s">
        <v>9379</v>
      </c>
      <c r="O589" s="23"/>
      <c r="P589" s="23"/>
      <c r="Q589" s="23"/>
      <c r="R589" s="23"/>
    </row>
    <row r="590" spans="3:18" ht="15" customHeight="1" x14ac:dyDescent="0.25">
      <c r="D590" s="23" t="s">
        <v>9943</v>
      </c>
      <c r="E590" s="23" t="s">
        <v>9944</v>
      </c>
      <c r="F590" s="23" t="s">
        <v>9374</v>
      </c>
      <c r="G590" s="23" t="s">
        <v>9375</v>
      </c>
      <c r="H590" s="23" t="s">
        <v>121</v>
      </c>
      <c r="I590" s="23" t="s">
        <v>9376</v>
      </c>
      <c r="J590" s="23" t="s">
        <v>3276</v>
      </c>
      <c r="K590" s="23" t="s">
        <v>3275</v>
      </c>
      <c r="L590" s="23" t="s">
        <v>9942</v>
      </c>
      <c r="M590" s="23" t="s">
        <v>9378</v>
      </c>
      <c r="N590" s="23" t="s">
        <v>9379</v>
      </c>
      <c r="O590" s="23"/>
      <c r="P590" s="23"/>
      <c r="Q590" s="23"/>
      <c r="R590" s="23"/>
    </row>
    <row r="591" spans="3:18" ht="15" customHeight="1" x14ac:dyDescent="0.25">
      <c r="D591" s="23" t="s">
        <v>10001</v>
      </c>
      <c r="E591" s="23" t="s">
        <v>10002</v>
      </c>
      <c r="F591" s="23" t="s">
        <v>9374</v>
      </c>
      <c r="G591" s="23" t="s">
        <v>9375</v>
      </c>
      <c r="H591" s="23" t="s">
        <v>121</v>
      </c>
      <c r="I591" s="23" t="s">
        <v>9376</v>
      </c>
      <c r="J591" s="23" t="s">
        <v>3276</v>
      </c>
      <c r="K591" s="23" t="s">
        <v>3275</v>
      </c>
      <c r="L591" s="23" t="s">
        <v>10878</v>
      </c>
      <c r="M591" s="23" t="s">
        <v>9378</v>
      </c>
      <c r="N591" s="23" t="s">
        <v>9379</v>
      </c>
      <c r="O591" s="23"/>
      <c r="P591" s="23"/>
      <c r="Q591" s="23"/>
      <c r="R591" s="23"/>
    </row>
    <row r="592" spans="3:18" ht="15" customHeight="1" x14ac:dyDescent="0.25">
      <c r="D592" s="23" t="s">
        <v>9449</v>
      </c>
      <c r="E592" s="23" t="s">
        <v>9450</v>
      </c>
      <c r="F592" s="23" t="s">
        <v>9374</v>
      </c>
      <c r="G592" s="23" t="s">
        <v>9375</v>
      </c>
      <c r="H592" s="23" t="s">
        <v>121</v>
      </c>
      <c r="I592" s="23" t="s">
        <v>9376</v>
      </c>
      <c r="J592" s="23" t="s">
        <v>3276</v>
      </c>
      <c r="K592" s="23" t="s">
        <v>3275</v>
      </c>
      <c r="L592" s="23" t="s">
        <v>9448</v>
      </c>
      <c r="M592" s="23" t="s">
        <v>9425</v>
      </c>
      <c r="N592" s="23" t="s">
        <v>9394</v>
      </c>
      <c r="O592" s="23"/>
      <c r="P592" s="23"/>
      <c r="Q592" s="23"/>
      <c r="R592" s="23"/>
    </row>
    <row r="593" spans="4:18" x14ac:dyDescent="0.25">
      <c r="D593" s="23" t="s">
        <v>10082</v>
      </c>
      <c r="E593" s="23" t="s">
        <v>10083</v>
      </c>
      <c r="F593" s="23" t="s">
        <v>9374</v>
      </c>
      <c r="G593" s="23" t="s">
        <v>9375</v>
      </c>
      <c r="H593" s="23" t="s">
        <v>121</v>
      </c>
      <c r="I593" s="23" t="s">
        <v>9376</v>
      </c>
      <c r="J593" s="23" t="s">
        <v>3276</v>
      </c>
      <c r="K593" s="23" t="s">
        <v>3275</v>
      </c>
      <c r="L593" s="23" t="s">
        <v>10081</v>
      </c>
      <c r="M593" s="23" t="s">
        <v>9378</v>
      </c>
      <c r="N593" s="23" t="s">
        <v>9379</v>
      </c>
      <c r="O593" s="23"/>
      <c r="P593" s="23"/>
      <c r="Q593" s="23"/>
      <c r="R593" s="23"/>
    </row>
    <row r="594" spans="4:18" x14ac:dyDescent="0.25">
      <c r="D594" s="23" t="s">
        <v>9429</v>
      </c>
      <c r="E594" s="23" t="s">
        <v>9430</v>
      </c>
      <c r="F594" s="23" t="s">
        <v>9374</v>
      </c>
      <c r="G594" s="23" t="s">
        <v>9375</v>
      </c>
      <c r="H594" s="23" t="s">
        <v>121</v>
      </c>
      <c r="I594" s="23" t="s">
        <v>9376</v>
      </c>
      <c r="J594" s="23" t="s">
        <v>3276</v>
      </c>
      <c r="K594" s="23" t="s">
        <v>3275</v>
      </c>
      <c r="L594" s="23" t="s">
        <v>9428</v>
      </c>
      <c r="M594" s="23" t="s">
        <v>9425</v>
      </c>
      <c r="N594" s="23" t="s">
        <v>9394</v>
      </c>
      <c r="O594" s="23"/>
      <c r="P594" s="23"/>
      <c r="Q594" s="23"/>
      <c r="R594" s="23"/>
    </row>
    <row r="595" spans="4:18" x14ac:dyDescent="0.25">
      <c r="D595" s="23" t="s">
        <v>9434</v>
      </c>
      <c r="E595" s="23" t="s">
        <v>9435</v>
      </c>
      <c r="F595" s="23" t="s">
        <v>9374</v>
      </c>
      <c r="G595" s="23" t="s">
        <v>9375</v>
      </c>
      <c r="H595" s="23" t="s">
        <v>121</v>
      </c>
      <c r="I595" s="23" t="s">
        <v>9376</v>
      </c>
      <c r="J595" s="23" t="s">
        <v>3276</v>
      </c>
      <c r="K595" s="23" t="s">
        <v>3275</v>
      </c>
      <c r="L595" s="23" t="s">
        <v>9433</v>
      </c>
      <c r="M595" s="23" t="s">
        <v>9425</v>
      </c>
      <c r="N595" s="23" t="s">
        <v>9394</v>
      </c>
      <c r="O595" s="23"/>
      <c r="P595" s="23"/>
      <c r="Q595" s="23"/>
      <c r="R595" s="23"/>
    </row>
    <row r="596" spans="4:18" x14ac:dyDescent="0.25">
      <c r="D596" s="23" t="s">
        <v>9439</v>
      </c>
      <c r="E596" s="23" t="s">
        <v>9440</v>
      </c>
      <c r="F596" s="23" t="s">
        <v>9374</v>
      </c>
      <c r="G596" s="23" t="s">
        <v>9375</v>
      </c>
      <c r="H596" s="23" t="s">
        <v>121</v>
      </c>
      <c r="I596" s="23" t="s">
        <v>9376</v>
      </c>
      <c r="J596" s="23" t="s">
        <v>3276</v>
      </c>
      <c r="K596" s="23" t="s">
        <v>3275</v>
      </c>
      <c r="L596" s="23" t="s">
        <v>9438</v>
      </c>
      <c r="M596" s="23" t="s">
        <v>9378</v>
      </c>
      <c r="N596" s="23" t="s">
        <v>9379</v>
      </c>
      <c r="O596" s="23"/>
      <c r="P596" s="23"/>
      <c r="Q596" s="23"/>
      <c r="R596" s="23"/>
    </row>
    <row r="597" spans="4:18" x14ac:dyDescent="0.25">
      <c r="D597" s="23" t="s">
        <v>9444</v>
      </c>
      <c r="E597" s="23" t="s">
        <v>9445</v>
      </c>
      <c r="F597" s="23" t="s">
        <v>9374</v>
      </c>
      <c r="G597" s="23" t="s">
        <v>9375</v>
      </c>
      <c r="H597" s="23" t="s">
        <v>121</v>
      </c>
      <c r="I597" s="23" t="s">
        <v>9376</v>
      </c>
      <c r="J597" s="23" t="s">
        <v>3276</v>
      </c>
      <c r="K597" s="23" t="s">
        <v>3275</v>
      </c>
      <c r="L597" s="23" t="s">
        <v>9443</v>
      </c>
      <c r="M597" s="23" t="s">
        <v>9425</v>
      </c>
      <c r="N597" s="23" t="s">
        <v>9394</v>
      </c>
      <c r="O597" s="23"/>
      <c r="P597" s="23"/>
      <c r="Q597" s="23"/>
      <c r="R597" s="23"/>
    </row>
    <row r="598" spans="4:18" x14ac:dyDescent="0.25">
      <c r="D598" s="23" t="s">
        <v>9454</v>
      </c>
      <c r="E598" s="23" t="s">
        <v>9455</v>
      </c>
      <c r="F598" s="23" t="s">
        <v>9374</v>
      </c>
      <c r="G598" s="23" t="s">
        <v>9375</v>
      </c>
      <c r="H598" s="23" t="s">
        <v>121</v>
      </c>
      <c r="I598" s="23" t="s">
        <v>9376</v>
      </c>
      <c r="J598" s="23" t="s">
        <v>3276</v>
      </c>
      <c r="K598" s="23" t="s">
        <v>3275</v>
      </c>
      <c r="L598" s="23" t="s">
        <v>9453</v>
      </c>
      <c r="M598" s="23" t="s">
        <v>9425</v>
      </c>
      <c r="N598" s="23" t="s">
        <v>9394</v>
      </c>
      <c r="O598" s="23"/>
      <c r="P598" s="23"/>
      <c r="Q598" s="23"/>
      <c r="R598" s="23"/>
    </row>
    <row r="599" spans="4:18" x14ac:dyDescent="0.25">
      <c r="D599" s="23" t="s">
        <v>10192</v>
      </c>
      <c r="E599" s="23" t="s">
        <v>10193</v>
      </c>
      <c r="F599" s="23" t="s">
        <v>9374</v>
      </c>
      <c r="G599" s="23" t="s">
        <v>9375</v>
      </c>
      <c r="H599" s="23" t="s">
        <v>121</v>
      </c>
      <c r="I599" s="23" t="s">
        <v>9376</v>
      </c>
      <c r="J599" s="23" t="s">
        <v>3276</v>
      </c>
      <c r="K599" s="23" t="s">
        <v>3275</v>
      </c>
      <c r="L599" s="23" t="s">
        <v>10191</v>
      </c>
      <c r="M599" s="23" t="s">
        <v>9378</v>
      </c>
      <c r="N599" s="23" t="s">
        <v>9394</v>
      </c>
      <c r="O599" s="23"/>
      <c r="P599" s="23"/>
      <c r="Q599" s="23"/>
      <c r="R599" s="23"/>
    </row>
    <row r="600" spans="4:18" x14ac:dyDescent="0.25">
      <c r="D600" s="23" t="s">
        <v>9467</v>
      </c>
      <c r="E600" s="23" t="s">
        <v>9468</v>
      </c>
      <c r="F600" s="23" t="s">
        <v>9374</v>
      </c>
      <c r="G600" s="23" t="s">
        <v>9375</v>
      </c>
      <c r="H600" s="23" t="s">
        <v>121</v>
      </c>
      <c r="I600" s="23" t="s">
        <v>9376</v>
      </c>
      <c r="J600" s="23" t="s">
        <v>3276</v>
      </c>
      <c r="K600" s="23" t="s">
        <v>3275</v>
      </c>
      <c r="L600" s="23" t="s">
        <v>9466</v>
      </c>
      <c r="M600" s="23" t="s">
        <v>9425</v>
      </c>
      <c r="N600" s="23" t="s">
        <v>9394</v>
      </c>
      <c r="O600" s="23"/>
      <c r="P600" s="23"/>
      <c r="Q600" s="23"/>
      <c r="R600" s="23"/>
    </row>
    <row r="601" spans="4:18" x14ac:dyDescent="0.25">
      <c r="D601" s="23" t="s">
        <v>9462</v>
      </c>
      <c r="E601" s="23" t="s">
        <v>9463</v>
      </c>
      <c r="F601" s="23" t="s">
        <v>9374</v>
      </c>
      <c r="G601" s="23" t="s">
        <v>9375</v>
      </c>
      <c r="H601" s="23" t="s">
        <v>121</v>
      </c>
      <c r="I601" s="23" t="s">
        <v>9376</v>
      </c>
      <c r="J601" s="23" t="s">
        <v>3276</v>
      </c>
      <c r="K601" s="23" t="s">
        <v>3275</v>
      </c>
      <c r="L601" s="23" t="s">
        <v>9461</v>
      </c>
      <c r="M601" s="23" t="s">
        <v>9425</v>
      </c>
      <c r="N601" s="23" t="s">
        <v>9394</v>
      </c>
      <c r="O601" s="23"/>
      <c r="P601" s="23"/>
      <c r="Q601" s="23"/>
      <c r="R601" s="23"/>
    </row>
    <row r="602" spans="4:18" x14ac:dyDescent="0.25">
      <c r="D602" s="23" t="s">
        <v>9482</v>
      </c>
      <c r="E602" s="23" t="s">
        <v>9483</v>
      </c>
      <c r="F602" s="23" t="s">
        <v>9374</v>
      </c>
      <c r="G602" s="23" t="s">
        <v>9375</v>
      </c>
      <c r="H602" s="23" t="s">
        <v>121</v>
      </c>
      <c r="I602" s="23" t="s">
        <v>9376</v>
      </c>
      <c r="J602" s="23" t="s">
        <v>3276</v>
      </c>
      <c r="K602" s="23" t="s">
        <v>3275</v>
      </c>
      <c r="L602" s="23" t="s">
        <v>9481</v>
      </c>
      <c r="M602" s="23" t="s">
        <v>9425</v>
      </c>
      <c r="N602" s="23" t="s">
        <v>9394</v>
      </c>
      <c r="O602" s="23"/>
      <c r="P602" s="23"/>
      <c r="Q602" s="23"/>
      <c r="R602" s="23"/>
    </row>
    <row r="603" spans="4:18" x14ac:dyDescent="0.25">
      <c r="D603" s="23" t="s">
        <v>10401</v>
      </c>
      <c r="E603" s="23" t="s">
        <v>10402</v>
      </c>
      <c r="F603" s="23" t="s">
        <v>9374</v>
      </c>
      <c r="G603" s="23" t="s">
        <v>9375</v>
      </c>
      <c r="H603" s="23" t="s">
        <v>121</v>
      </c>
      <c r="I603" s="23" t="s">
        <v>9376</v>
      </c>
      <c r="J603" s="23" t="s">
        <v>3276</v>
      </c>
      <c r="K603" s="23" t="s">
        <v>3275</v>
      </c>
      <c r="L603" s="23" t="s">
        <v>10400</v>
      </c>
      <c r="M603" s="23" t="s">
        <v>9378</v>
      </c>
      <c r="N603" s="23" t="s">
        <v>9379</v>
      </c>
      <c r="O603" s="23"/>
      <c r="P603" s="23"/>
      <c r="Q603" s="23"/>
      <c r="R603" s="23"/>
    </row>
    <row r="604" spans="4:18" x14ac:dyDescent="0.25">
      <c r="D604" s="23" t="s">
        <v>10427</v>
      </c>
      <c r="E604" s="23" t="s">
        <v>10428</v>
      </c>
      <c r="F604" s="23" t="s">
        <v>9374</v>
      </c>
      <c r="G604" s="23" t="s">
        <v>9375</v>
      </c>
      <c r="H604" s="23" t="s">
        <v>121</v>
      </c>
      <c r="I604" s="23" t="s">
        <v>9376</v>
      </c>
      <c r="J604" s="23" t="s">
        <v>3276</v>
      </c>
      <c r="K604" s="23" t="s">
        <v>3275</v>
      </c>
      <c r="L604" s="23" t="s">
        <v>10426</v>
      </c>
      <c r="M604" s="23" t="s">
        <v>9378</v>
      </c>
      <c r="N604" s="23" t="s">
        <v>9379</v>
      </c>
      <c r="O604" s="23"/>
      <c r="P604" s="23"/>
      <c r="Q604" s="23"/>
      <c r="R604" s="23"/>
    </row>
    <row r="605" spans="4:18" x14ac:dyDescent="0.25">
      <c r="D605" s="23" t="s">
        <v>10442</v>
      </c>
      <c r="E605" s="23" t="s">
        <v>10443</v>
      </c>
      <c r="F605" s="23" t="s">
        <v>9374</v>
      </c>
      <c r="G605" s="23" t="s">
        <v>9375</v>
      </c>
      <c r="H605" s="23" t="s">
        <v>121</v>
      </c>
      <c r="I605" s="23" t="s">
        <v>9376</v>
      </c>
      <c r="J605" s="23" t="s">
        <v>3276</v>
      </c>
      <c r="K605" s="23" t="s">
        <v>3275</v>
      </c>
      <c r="L605" s="23" t="s">
        <v>10441</v>
      </c>
      <c r="M605" s="23" t="s">
        <v>9378</v>
      </c>
      <c r="N605" s="23" t="s">
        <v>9379</v>
      </c>
      <c r="O605" s="23"/>
      <c r="P605" s="23"/>
      <c r="Q605" s="23"/>
      <c r="R605" s="23"/>
    </row>
    <row r="606" spans="4:18" x14ac:dyDescent="0.25">
      <c r="D606" s="23" t="s">
        <v>9472</v>
      </c>
      <c r="E606" s="23" t="s">
        <v>9473</v>
      </c>
      <c r="F606" s="23" t="s">
        <v>9374</v>
      </c>
      <c r="G606" s="23" t="s">
        <v>9375</v>
      </c>
      <c r="H606" s="23" t="s">
        <v>121</v>
      </c>
      <c r="I606" s="23" t="s">
        <v>9376</v>
      </c>
      <c r="J606" s="23" t="s">
        <v>3276</v>
      </c>
      <c r="K606" s="23" t="s">
        <v>3275</v>
      </c>
      <c r="L606" s="23" t="s">
        <v>9471</v>
      </c>
      <c r="M606" s="23" t="s">
        <v>9425</v>
      </c>
      <c r="N606" s="23" t="s">
        <v>9394</v>
      </c>
      <c r="O606" s="23"/>
      <c r="P606" s="23"/>
      <c r="Q606" s="23"/>
      <c r="R606" s="23"/>
    </row>
    <row r="607" spans="4:18" x14ac:dyDescent="0.25">
      <c r="D607" s="23" t="s">
        <v>10607</v>
      </c>
      <c r="E607" s="23" t="s">
        <v>10608</v>
      </c>
      <c r="F607" s="23" t="s">
        <v>9374</v>
      </c>
      <c r="G607" s="23" t="s">
        <v>9375</v>
      </c>
      <c r="H607" s="23" t="s">
        <v>121</v>
      </c>
      <c r="I607" s="23" t="s">
        <v>9376</v>
      </c>
      <c r="J607" s="23" t="s">
        <v>3276</v>
      </c>
      <c r="K607" s="23" t="s">
        <v>3275</v>
      </c>
      <c r="L607" s="23" t="s">
        <v>10606</v>
      </c>
      <c r="M607" s="23" t="s">
        <v>9393</v>
      </c>
      <c r="N607" s="23" t="s">
        <v>9394</v>
      </c>
      <c r="O607" s="23"/>
      <c r="P607" s="23"/>
      <c r="Q607" s="23"/>
      <c r="R607" s="23"/>
    </row>
    <row r="608" spans="4:18" x14ac:dyDescent="0.25">
      <c r="D608" s="24" t="s">
        <v>10800</v>
      </c>
      <c r="E608" s="24" t="s">
        <v>10801</v>
      </c>
      <c r="F608" s="24" t="s">
        <v>9374</v>
      </c>
      <c r="G608" s="24" t="s">
        <v>9375</v>
      </c>
      <c r="H608" s="24" t="s">
        <v>121</v>
      </c>
      <c r="I608" s="24" t="s">
        <v>9376</v>
      </c>
      <c r="J608" s="24" t="s">
        <v>3276</v>
      </c>
      <c r="K608" s="24" t="s">
        <v>3275</v>
      </c>
      <c r="L608" s="24" t="s">
        <v>10799</v>
      </c>
      <c r="M608" s="24" t="s">
        <v>9393</v>
      </c>
      <c r="N608" s="24" t="s">
        <v>9394</v>
      </c>
      <c r="O608" s="24"/>
      <c r="P608" s="24"/>
      <c r="Q608" s="24"/>
      <c r="R608" s="24"/>
    </row>
    <row r="609" spans="4:18" x14ac:dyDescent="0.25">
      <c r="D609" s="24" t="s">
        <v>10807</v>
      </c>
      <c r="E609" s="24" t="s">
        <v>10808</v>
      </c>
      <c r="F609" s="24" t="s">
        <v>9374</v>
      </c>
      <c r="G609" s="24" t="s">
        <v>9375</v>
      </c>
      <c r="H609" s="24" t="s">
        <v>121</v>
      </c>
      <c r="I609" s="24" t="s">
        <v>9376</v>
      </c>
      <c r="J609" s="24" t="s">
        <v>3276</v>
      </c>
      <c r="K609" s="24" t="s">
        <v>3275</v>
      </c>
      <c r="L609" s="24" t="s">
        <v>10806</v>
      </c>
      <c r="M609" s="24" t="s">
        <v>9393</v>
      </c>
      <c r="N609" s="24" t="s">
        <v>9394</v>
      </c>
      <c r="O609" s="24"/>
      <c r="P609" s="24"/>
      <c r="Q609" s="24"/>
      <c r="R609" s="24"/>
    </row>
    <row r="610" spans="4:18" x14ac:dyDescent="0.25">
      <c r="D610" s="24" t="s">
        <v>10652</v>
      </c>
      <c r="E610" s="24" t="s">
        <v>10653</v>
      </c>
      <c r="F610" s="24" t="s">
        <v>9374</v>
      </c>
      <c r="G610" s="24" t="s">
        <v>9375</v>
      </c>
      <c r="H610" s="24" t="s">
        <v>121</v>
      </c>
      <c r="I610" s="24" t="s">
        <v>9376</v>
      </c>
      <c r="J610" s="24" t="s">
        <v>3276</v>
      </c>
      <c r="K610" s="24" t="s">
        <v>3275</v>
      </c>
      <c r="L610" s="24" t="s">
        <v>10651</v>
      </c>
      <c r="M610" s="24" t="s">
        <v>9378</v>
      </c>
      <c r="N610" s="24" t="s">
        <v>9379</v>
      </c>
      <c r="O610" s="24"/>
      <c r="P610" s="24"/>
      <c r="Q610" s="24"/>
      <c r="R610" s="24"/>
    </row>
    <row r="611" spans="4:18" x14ac:dyDescent="0.25">
      <c r="D611" s="24" t="s">
        <v>10657</v>
      </c>
      <c r="E611" s="24" t="s">
        <v>10658</v>
      </c>
      <c r="F611" s="24" t="s">
        <v>9374</v>
      </c>
      <c r="G611" s="24" t="s">
        <v>9375</v>
      </c>
      <c r="H611" s="24" t="s">
        <v>121</v>
      </c>
      <c r="I611" s="24" t="s">
        <v>9376</v>
      </c>
      <c r="J611" s="24" t="s">
        <v>3276</v>
      </c>
      <c r="K611" s="24" t="s">
        <v>3275</v>
      </c>
      <c r="L611" s="24" t="s">
        <v>10656</v>
      </c>
      <c r="M611" s="24" t="s">
        <v>9378</v>
      </c>
      <c r="N611" s="24" t="s">
        <v>9379</v>
      </c>
      <c r="O611" s="24"/>
      <c r="P611" s="24"/>
      <c r="Q611" s="24"/>
      <c r="R611" s="24"/>
    </row>
  </sheetData>
  <autoFilter ref="B5:R610" xr:uid="{611897DD-216C-4B51-A40D-2F59BAE86A5F}"/>
  <pageMargins left="0.7" right="0.7" top="0.7" bottom="0.7" header="0.5" footer="0.5"/>
  <pageSetup fitToHeight="990" orientation="landscape" useFirstPageNumber="1" r:id="rId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16A3B-847A-4F1D-8322-3D57B11B3BC9}">
  <sheetPr codeName="Sheet15">
    <pageSetUpPr fitToPage="1"/>
  </sheetPr>
  <dimension ref="B2:V2837"/>
  <sheetViews>
    <sheetView workbookViewId="0">
      <pane ySplit="4" topLeftCell="A5" activePane="bottomLeft" state="frozen"/>
      <selection pane="bottomLeft"/>
    </sheetView>
  </sheetViews>
  <sheetFormatPr defaultColWidth="9.109375" defaultRowHeight="10.199999999999999" x14ac:dyDescent="0.2"/>
  <cols>
    <col min="1" max="1" width="6.5546875" style="57" customWidth="1"/>
    <col min="2" max="2" width="9.109375" style="57" customWidth="1"/>
    <col min="3" max="3" width="13.109375" style="57" bestFit="1" customWidth="1"/>
    <col min="4" max="4" width="34.109375" style="57" customWidth="1"/>
    <col min="5" max="5" width="31.5546875" style="57" customWidth="1"/>
    <col min="6" max="6" width="8.5546875" style="57" customWidth="1"/>
    <col min="7" max="7" width="9.88671875" style="57" bestFit="1" customWidth="1"/>
    <col min="8" max="8" width="9.109375" style="57"/>
    <col min="9" max="9" width="60.88671875" style="57" customWidth="1"/>
    <col min="10" max="10" width="8.88671875" style="58" customWidth="1"/>
    <col min="11" max="11" width="9.109375" style="57"/>
    <col min="12" max="12" width="11.33203125" style="57" bestFit="1" customWidth="1"/>
    <col min="13" max="13" width="16.109375" style="57" bestFit="1" customWidth="1"/>
    <col min="14" max="14" width="28.5546875" style="57" hidden="1" customWidth="1"/>
    <col min="15" max="17" width="0" style="57" hidden="1" customWidth="1"/>
    <col min="18" max="18" width="42.88671875" style="57" hidden="1" customWidth="1"/>
    <col min="19" max="19" width="64.33203125" style="57" hidden="1" customWidth="1"/>
    <col min="20" max="22" width="0" style="57" hidden="1" customWidth="1"/>
    <col min="23" max="16384" width="9.109375" style="57"/>
  </cols>
  <sheetData>
    <row r="2" spans="2:22" ht="15" x14ac:dyDescent="0.2">
      <c r="N2" s="51"/>
      <c r="O2" s="51"/>
      <c r="P2" s="51"/>
      <c r="Q2" s="51"/>
      <c r="R2" s="51"/>
    </row>
    <row r="3" spans="2:22" ht="24.9" customHeight="1" x14ac:dyDescent="0.2">
      <c r="B3" s="43" t="s">
        <v>10879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</row>
    <row r="4" spans="2:22" s="71" customFormat="1" ht="20.399999999999999" x14ac:dyDescent="0.25">
      <c r="B4" s="117" t="s">
        <v>10880</v>
      </c>
      <c r="C4" s="118" t="s">
        <v>10881</v>
      </c>
      <c r="D4" s="118" t="s">
        <v>10882</v>
      </c>
      <c r="E4" s="118" t="s">
        <v>10883</v>
      </c>
      <c r="F4" s="118" t="s">
        <v>10884</v>
      </c>
      <c r="G4" s="118" t="s">
        <v>10885</v>
      </c>
      <c r="H4" s="118" t="s">
        <v>10886</v>
      </c>
      <c r="I4" s="118" t="s">
        <v>10887</v>
      </c>
      <c r="J4" s="118" t="s">
        <v>10888</v>
      </c>
      <c r="K4" s="118" t="s">
        <v>10889</v>
      </c>
      <c r="L4" s="118" t="s">
        <v>10890</v>
      </c>
      <c r="M4" s="118" t="s">
        <v>10891</v>
      </c>
      <c r="N4" s="118" t="s">
        <v>10892</v>
      </c>
      <c r="O4" s="118" t="s">
        <v>10893</v>
      </c>
      <c r="P4" s="118" t="s">
        <v>10894</v>
      </c>
      <c r="Q4" s="95" t="s">
        <v>10895</v>
      </c>
      <c r="R4" s="95" t="s">
        <v>10896</v>
      </c>
      <c r="S4" s="95" t="s">
        <v>10897</v>
      </c>
      <c r="T4" s="95" t="s">
        <v>10898</v>
      </c>
      <c r="U4" s="95" t="s">
        <v>10885</v>
      </c>
      <c r="V4" s="95" t="s">
        <v>10886</v>
      </c>
    </row>
    <row r="5" spans="2:22" s="72" customFormat="1" ht="11.4" x14ac:dyDescent="0.25">
      <c r="B5" s="167" t="s">
        <v>9373</v>
      </c>
      <c r="C5" s="167"/>
      <c r="D5" s="167"/>
      <c r="E5" s="167"/>
      <c r="F5" s="167"/>
      <c r="G5" s="167"/>
      <c r="H5" s="167"/>
      <c r="I5" s="167"/>
      <c r="J5" s="167"/>
      <c r="K5" s="167"/>
      <c r="L5" s="167"/>
      <c r="M5" s="167"/>
      <c r="N5" s="167"/>
      <c r="O5" s="167"/>
      <c r="P5" s="167"/>
      <c r="Q5" s="77"/>
      <c r="R5" s="77"/>
      <c r="S5" s="77"/>
      <c r="T5" s="77"/>
      <c r="U5" s="77"/>
      <c r="V5" s="77"/>
    </row>
    <row r="6" spans="2:22" s="72" customFormat="1" ht="11.4" x14ac:dyDescent="0.25">
      <c r="B6" s="73" t="s">
        <v>9373</v>
      </c>
      <c r="C6" s="33" t="s">
        <v>400</v>
      </c>
      <c r="D6" s="23" t="s">
        <v>401</v>
      </c>
      <c r="E6" s="73"/>
      <c r="F6" s="73"/>
      <c r="G6" s="73"/>
      <c r="H6" s="73"/>
      <c r="I6" s="73"/>
      <c r="J6" s="33" t="s">
        <v>9374</v>
      </c>
      <c r="K6" s="33" t="s">
        <v>9375</v>
      </c>
      <c r="L6" s="33" t="s">
        <v>121</v>
      </c>
      <c r="M6" s="33" t="s">
        <v>9376</v>
      </c>
      <c r="N6" s="73"/>
      <c r="O6" s="73"/>
      <c r="P6" s="73"/>
      <c r="Q6" s="73"/>
      <c r="R6" s="23"/>
      <c r="S6" s="23"/>
      <c r="T6" s="73"/>
      <c r="U6" s="73"/>
      <c r="V6" s="73"/>
    </row>
    <row r="7" spans="2:22" s="72" customFormat="1" ht="11.4" x14ac:dyDescent="0.25">
      <c r="B7" s="73" t="s">
        <v>9373</v>
      </c>
      <c r="C7" s="33" t="s">
        <v>1605</v>
      </c>
      <c r="D7" s="23" t="s">
        <v>1606</v>
      </c>
      <c r="E7" s="73"/>
      <c r="F7" s="73"/>
      <c r="G7" s="73"/>
      <c r="H7" s="73"/>
      <c r="I7" s="73" t="s">
        <v>10899</v>
      </c>
      <c r="J7" s="33" t="s">
        <v>9374</v>
      </c>
      <c r="K7" s="33" t="s">
        <v>9375</v>
      </c>
      <c r="L7" s="33" t="s">
        <v>121</v>
      </c>
      <c r="M7" s="33" t="s">
        <v>9376</v>
      </c>
      <c r="N7" s="73"/>
      <c r="O7" s="73"/>
      <c r="P7" s="73"/>
      <c r="Q7" s="73"/>
      <c r="R7" s="23"/>
      <c r="S7" s="23"/>
      <c r="T7" s="73"/>
      <c r="U7" s="73"/>
      <c r="V7" s="73"/>
    </row>
    <row r="8" spans="2:22" s="72" customFormat="1" ht="20.399999999999999" x14ac:dyDescent="0.25">
      <c r="B8" s="73" t="s">
        <v>9373</v>
      </c>
      <c r="C8" s="33" t="s">
        <v>1613</v>
      </c>
      <c r="D8" s="23" t="s">
        <v>1614</v>
      </c>
      <c r="E8" s="73"/>
      <c r="F8" s="73"/>
      <c r="G8" s="73"/>
      <c r="H8" s="73"/>
      <c r="I8" s="73" t="s">
        <v>10900</v>
      </c>
      <c r="J8" s="33" t="s">
        <v>9374</v>
      </c>
      <c r="K8" s="33" t="s">
        <v>9375</v>
      </c>
      <c r="L8" s="33" t="s">
        <v>121</v>
      </c>
      <c r="M8" s="33" t="s">
        <v>9376</v>
      </c>
      <c r="N8" s="73"/>
      <c r="O8" s="73"/>
      <c r="P8" s="73"/>
      <c r="Q8" s="73"/>
      <c r="R8" s="23"/>
      <c r="S8" s="23"/>
      <c r="T8" s="73"/>
      <c r="U8" s="73"/>
      <c r="V8" s="73"/>
    </row>
    <row r="9" spans="2:22" s="72" customFormat="1" ht="11.4" x14ac:dyDescent="0.25">
      <c r="B9" s="73" t="s">
        <v>9373</v>
      </c>
      <c r="C9" s="33" t="s">
        <v>1679</v>
      </c>
      <c r="D9" s="23" t="s">
        <v>1680</v>
      </c>
      <c r="E9" s="73" t="s">
        <v>10901</v>
      </c>
      <c r="F9" s="73" t="s">
        <v>10902</v>
      </c>
      <c r="G9" s="73"/>
      <c r="H9" s="73" t="s">
        <v>10903</v>
      </c>
      <c r="I9" s="73" t="s">
        <v>10904</v>
      </c>
      <c r="J9" s="33" t="s">
        <v>9374</v>
      </c>
      <c r="K9" s="33" t="s">
        <v>9375</v>
      </c>
      <c r="L9" s="33" t="s">
        <v>121</v>
      </c>
      <c r="M9" s="33" t="s">
        <v>9376</v>
      </c>
      <c r="N9" s="73"/>
      <c r="O9" s="73"/>
      <c r="P9" s="73"/>
      <c r="Q9" s="73"/>
      <c r="R9" s="23"/>
      <c r="S9" s="23"/>
      <c r="T9" s="73"/>
      <c r="U9" s="73"/>
      <c r="V9" s="73"/>
    </row>
    <row r="10" spans="2:22" s="72" customFormat="1" ht="11.4" x14ac:dyDescent="0.25">
      <c r="B10" s="73" t="s">
        <v>9373</v>
      </c>
      <c r="C10" s="33" t="s">
        <v>1703</v>
      </c>
      <c r="D10" s="23" t="s">
        <v>1704</v>
      </c>
      <c r="E10" s="73" t="s">
        <v>10905</v>
      </c>
      <c r="F10" s="73" t="s">
        <v>10902</v>
      </c>
      <c r="G10" s="73"/>
      <c r="H10" s="73" t="s">
        <v>10906</v>
      </c>
      <c r="I10" s="73" t="s">
        <v>10907</v>
      </c>
      <c r="J10" s="33" t="s">
        <v>9374</v>
      </c>
      <c r="K10" s="33" t="s">
        <v>9375</v>
      </c>
      <c r="L10" s="33" t="s">
        <v>121</v>
      </c>
      <c r="M10" s="33" t="s">
        <v>9376</v>
      </c>
      <c r="N10" s="73"/>
      <c r="O10" s="73"/>
      <c r="P10" s="73"/>
      <c r="Q10" s="73"/>
      <c r="R10" s="23"/>
      <c r="S10" s="23"/>
      <c r="T10" s="73"/>
      <c r="U10" s="73"/>
      <c r="V10" s="73"/>
    </row>
    <row r="11" spans="2:22" s="72" customFormat="1" ht="91.8" x14ac:dyDescent="0.25">
      <c r="B11" s="73" t="s">
        <v>9373</v>
      </c>
      <c r="C11" s="33" t="s">
        <v>1709</v>
      </c>
      <c r="D11" s="23" t="s">
        <v>1710</v>
      </c>
      <c r="E11" s="73" t="s">
        <v>10908</v>
      </c>
      <c r="F11" s="73" t="s">
        <v>10902</v>
      </c>
      <c r="G11" s="73"/>
      <c r="H11" s="73" t="s">
        <v>10909</v>
      </c>
      <c r="I11" s="73" t="s">
        <v>10910</v>
      </c>
      <c r="J11" s="33" t="s">
        <v>9374</v>
      </c>
      <c r="K11" s="33" t="s">
        <v>9375</v>
      </c>
      <c r="L11" s="33" t="s">
        <v>121</v>
      </c>
      <c r="M11" s="33" t="s">
        <v>9376</v>
      </c>
      <c r="N11" s="73"/>
      <c r="O11" s="73"/>
      <c r="P11" s="73"/>
      <c r="Q11" s="73"/>
      <c r="R11" s="23"/>
      <c r="S11" s="23"/>
      <c r="T11" s="73"/>
      <c r="U11" s="73"/>
      <c r="V11" s="73"/>
    </row>
    <row r="12" spans="2:22" s="72" customFormat="1" ht="40.799999999999997" x14ac:dyDescent="0.25">
      <c r="B12" s="73" t="s">
        <v>9373</v>
      </c>
      <c r="C12" s="33" t="s">
        <v>1728</v>
      </c>
      <c r="D12" s="23" t="s">
        <v>1729</v>
      </c>
      <c r="E12" s="73" t="s">
        <v>10911</v>
      </c>
      <c r="F12" s="73" t="s">
        <v>10902</v>
      </c>
      <c r="G12" s="73"/>
      <c r="H12" s="73" t="s">
        <v>10912</v>
      </c>
      <c r="I12" s="73" t="s">
        <v>10913</v>
      </c>
      <c r="J12" s="33" t="s">
        <v>9374</v>
      </c>
      <c r="K12" s="33" t="s">
        <v>9375</v>
      </c>
      <c r="L12" s="33" t="s">
        <v>121</v>
      </c>
      <c r="M12" s="33" t="s">
        <v>9376</v>
      </c>
      <c r="N12" s="73"/>
      <c r="O12" s="73"/>
      <c r="P12" s="73"/>
      <c r="Q12" s="73"/>
      <c r="R12" s="23"/>
      <c r="S12" s="23"/>
      <c r="T12" s="73"/>
      <c r="U12" s="73"/>
      <c r="V12" s="73"/>
    </row>
    <row r="13" spans="2:22" s="72" customFormat="1" ht="11.4" x14ac:dyDescent="0.25">
      <c r="B13" s="73" t="s">
        <v>9373</v>
      </c>
      <c r="C13" s="33" t="s">
        <v>1880</v>
      </c>
      <c r="D13" s="23" t="s">
        <v>1881</v>
      </c>
      <c r="E13" s="73" t="s">
        <v>10914</v>
      </c>
      <c r="F13" s="73" t="s">
        <v>10902</v>
      </c>
      <c r="G13" s="73"/>
      <c r="H13" s="73"/>
      <c r="I13" s="73" t="s">
        <v>10915</v>
      </c>
      <c r="J13" s="33" t="s">
        <v>9374</v>
      </c>
      <c r="K13" s="33" t="s">
        <v>9375</v>
      </c>
      <c r="L13" s="33" t="s">
        <v>121</v>
      </c>
      <c r="M13" s="33" t="s">
        <v>9376</v>
      </c>
      <c r="N13" s="73"/>
      <c r="O13" s="73"/>
      <c r="P13" s="73"/>
      <c r="Q13" s="73"/>
      <c r="R13" s="23"/>
      <c r="S13" s="23"/>
      <c r="T13" s="73"/>
      <c r="U13" s="73"/>
      <c r="V13" s="73"/>
    </row>
    <row r="14" spans="2:22" s="72" customFormat="1" ht="30.6" x14ac:dyDescent="0.25">
      <c r="B14" s="73" t="s">
        <v>9373</v>
      </c>
      <c r="C14" s="33" t="s">
        <v>1917</v>
      </c>
      <c r="D14" s="23" t="s">
        <v>1918</v>
      </c>
      <c r="E14" s="73" t="s">
        <v>10916</v>
      </c>
      <c r="F14" s="73" t="s">
        <v>10902</v>
      </c>
      <c r="G14" s="73"/>
      <c r="H14" s="73" t="s">
        <v>10917</v>
      </c>
      <c r="I14" s="73" t="s">
        <v>10918</v>
      </c>
      <c r="J14" s="33" t="s">
        <v>9374</v>
      </c>
      <c r="K14" s="33" t="s">
        <v>9375</v>
      </c>
      <c r="L14" s="33" t="s">
        <v>121</v>
      </c>
      <c r="M14" s="33" t="s">
        <v>9376</v>
      </c>
      <c r="N14" s="73"/>
      <c r="O14" s="73"/>
      <c r="P14" s="73"/>
      <c r="Q14" s="73" t="s">
        <v>10919</v>
      </c>
      <c r="R14" s="23"/>
      <c r="S14" s="23"/>
      <c r="T14" s="73"/>
      <c r="U14" s="73"/>
      <c r="V14" s="73"/>
    </row>
    <row r="15" spans="2:22" s="72" customFormat="1" ht="11.4" x14ac:dyDescent="0.25">
      <c r="B15" s="73" t="s">
        <v>9373</v>
      </c>
      <c r="C15" s="33" t="s">
        <v>2048</v>
      </c>
      <c r="D15" s="23" t="s">
        <v>2049</v>
      </c>
      <c r="E15" s="73" t="s">
        <v>10905</v>
      </c>
      <c r="F15" s="73" t="s">
        <v>10902</v>
      </c>
      <c r="G15" s="73"/>
      <c r="H15" s="73" t="s">
        <v>10906</v>
      </c>
      <c r="I15" s="73"/>
      <c r="J15" s="33" t="s">
        <v>9374</v>
      </c>
      <c r="K15" s="33" t="s">
        <v>9375</v>
      </c>
      <c r="L15" s="33" t="s">
        <v>121</v>
      </c>
      <c r="M15" s="33" t="s">
        <v>9376</v>
      </c>
      <c r="N15" s="73"/>
      <c r="O15" s="73"/>
      <c r="P15" s="73"/>
      <c r="Q15" s="73"/>
      <c r="R15" s="23"/>
      <c r="S15" s="23"/>
      <c r="T15" s="73"/>
      <c r="U15" s="73"/>
      <c r="V15" s="73"/>
    </row>
    <row r="16" spans="2:22" s="72" customFormat="1" ht="11.4" x14ac:dyDescent="0.25">
      <c r="B16" s="73" t="s">
        <v>9373</v>
      </c>
      <c r="C16" s="33" t="s">
        <v>2050</v>
      </c>
      <c r="D16" s="23" t="s">
        <v>2051</v>
      </c>
      <c r="E16" s="73" t="s">
        <v>10908</v>
      </c>
      <c r="F16" s="73" t="s">
        <v>10902</v>
      </c>
      <c r="G16" s="73"/>
      <c r="H16" s="73" t="s">
        <v>10909</v>
      </c>
      <c r="I16" s="73"/>
      <c r="J16" s="33" t="s">
        <v>9374</v>
      </c>
      <c r="K16" s="33" t="s">
        <v>9375</v>
      </c>
      <c r="L16" s="33" t="s">
        <v>121</v>
      </c>
      <c r="M16" s="33" t="s">
        <v>9376</v>
      </c>
      <c r="N16" s="73"/>
      <c r="O16" s="73"/>
      <c r="P16" s="73"/>
      <c r="Q16" s="73"/>
      <c r="R16" s="23"/>
      <c r="S16" s="23"/>
      <c r="T16" s="73"/>
      <c r="U16" s="73"/>
      <c r="V16" s="73"/>
    </row>
    <row r="17" spans="2:22" s="72" customFormat="1" ht="11.4" x14ac:dyDescent="0.25">
      <c r="B17" s="73" t="s">
        <v>9373</v>
      </c>
      <c r="C17" s="33" t="s">
        <v>2151</v>
      </c>
      <c r="D17" s="23" t="s">
        <v>2152</v>
      </c>
      <c r="E17" s="73"/>
      <c r="F17" s="73"/>
      <c r="G17" s="73"/>
      <c r="H17" s="73"/>
      <c r="I17" s="73" t="s">
        <v>10920</v>
      </c>
      <c r="J17" s="33" t="s">
        <v>9374</v>
      </c>
      <c r="K17" s="33" t="s">
        <v>9375</v>
      </c>
      <c r="L17" s="33" t="s">
        <v>121</v>
      </c>
      <c r="M17" s="33" t="s">
        <v>9376</v>
      </c>
      <c r="N17" s="73"/>
      <c r="O17" s="73"/>
      <c r="P17" s="73"/>
      <c r="Q17" s="73"/>
      <c r="R17" s="23"/>
      <c r="S17" s="23"/>
      <c r="T17" s="73"/>
      <c r="U17" s="73"/>
      <c r="V17" s="73"/>
    </row>
    <row r="18" spans="2:22" s="72" customFormat="1" ht="11.4" x14ac:dyDescent="0.25">
      <c r="B18" s="166"/>
      <c r="C18" s="166"/>
      <c r="D18" s="166"/>
      <c r="E18" s="166"/>
      <c r="F18" s="166"/>
      <c r="G18" s="166"/>
      <c r="H18" s="166"/>
      <c r="I18" s="166"/>
      <c r="J18" s="166"/>
      <c r="K18" s="166"/>
      <c r="L18" s="166"/>
      <c r="M18" s="166"/>
      <c r="N18" s="166"/>
      <c r="O18" s="166"/>
      <c r="P18" s="166"/>
      <c r="Q18" s="75"/>
      <c r="R18" s="75"/>
      <c r="S18" s="75"/>
      <c r="T18" s="75"/>
      <c r="U18" s="75"/>
      <c r="V18" s="75"/>
    </row>
    <row r="19" spans="2:22" s="72" customFormat="1" ht="11.4" x14ac:dyDescent="0.25">
      <c r="B19" s="165" t="s">
        <v>9384</v>
      </c>
      <c r="C19" s="165"/>
      <c r="D19" s="165"/>
      <c r="E19" s="165"/>
      <c r="F19" s="165"/>
      <c r="G19" s="165"/>
      <c r="H19" s="165"/>
      <c r="I19" s="165"/>
      <c r="J19" s="165"/>
      <c r="K19" s="165"/>
      <c r="L19" s="165"/>
      <c r="M19" s="165"/>
      <c r="N19" s="165"/>
      <c r="O19" s="165"/>
      <c r="P19" s="165"/>
      <c r="Q19" s="76"/>
      <c r="R19" s="76"/>
      <c r="S19" s="76"/>
      <c r="T19" s="76"/>
      <c r="U19" s="76"/>
      <c r="V19" s="76"/>
    </row>
    <row r="20" spans="2:22" s="72" customFormat="1" ht="11.4" x14ac:dyDescent="0.25">
      <c r="B20" s="73" t="s">
        <v>9384</v>
      </c>
      <c r="C20" s="33" t="s">
        <v>403</v>
      </c>
      <c r="D20" s="23" t="s">
        <v>404</v>
      </c>
      <c r="E20" s="73"/>
      <c r="F20" s="73"/>
      <c r="G20" s="73"/>
      <c r="H20" s="73"/>
      <c r="I20" s="73"/>
      <c r="J20" s="33" t="s">
        <v>9374</v>
      </c>
      <c r="K20" s="33" t="s">
        <v>9375</v>
      </c>
      <c r="L20" s="33" t="s">
        <v>121</v>
      </c>
      <c r="M20" s="33" t="s">
        <v>9376</v>
      </c>
      <c r="N20" s="73"/>
      <c r="O20" s="73"/>
      <c r="P20" s="73"/>
      <c r="Q20" s="73"/>
      <c r="R20" s="23"/>
      <c r="S20" s="23"/>
      <c r="T20" s="73"/>
      <c r="U20" s="73"/>
      <c r="V20" s="73"/>
    </row>
    <row r="21" spans="2:22" s="72" customFormat="1" ht="11.4" x14ac:dyDescent="0.25">
      <c r="B21" s="166"/>
      <c r="C21" s="166"/>
      <c r="D21" s="166"/>
      <c r="E21" s="166"/>
      <c r="F21" s="166"/>
      <c r="G21" s="166"/>
      <c r="H21" s="166"/>
      <c r="I21" s="166"/>
      <c r="J21" s="166"/>
      <c r="K21" s="166"/>
      <c r="L21" s="166"/>
      <c r="M21" s="166"/>
      <c r="N21" s="166"/>
      <c r="O21" s="166"/>
      <c r="P21" s="166"/>
      <c r="Q21" s="73"/>
      <c r="R21" s="23"/>
      <c r="S21" s="23"/>
      <c r="T21" s="73"/>
      <c r="U21" s="73"/>
      <c r="V21" s="73"/>
    </row>
    <row r="22" spans="2:22" s="72" customFormat="1" ht="11.4" x14ac:dyDescent="0.25">
      <c r="B22" s="165" t="s">
        <v>9387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75"/>
      <c r="R22" s="75"/>
      <c r="S22" s="75"/>
      <c r="T22" s="75"/>
      <c r="U22" s="75"/>
      <c r="V22" s="75"/>
    </row>
    <row r="23" spans="2:22" s="72" customFormat="1" ht="11.4" x14ac:dyDescent="0.25">
      <c r="B23" s="73" t="s">
        <v>9387</v>
      </c>
      <c r="C23" s="33" t="s">
        <v>406</v>
      </c>
      <c r="D23" s="23" t="s">
        <v>407</v>
      </c>
      <c r="E23" s="73"/>
      <c r="F23" s="73"/>
      <c r="G23" s="73"/>
      <c r="H23" s="73"/>
      <c r="I23" s="73"/>
      <c r="J23" s="33" t="s">
        <v>9374</v>
      </c>
      <c r="K23" s="33" t="s">
        <v>9375</v>
      </c>
      <c r="L23" s="33" t="s">
        <v>121</v>
      </c>
      <c r="M23" s="33" t="s">
        <v>9376</v>
      </c>
      <c r="N23" s="73"/>
      <c r="O23" s="73"/>
      <c r="P23" s="73"/>
      <c r="Q23" s="76"/>
      <c r="R23" s="76"/>
      <c r="S23" s="76"/>
      <c r="T23" s="76"/>
      <c r="U23" s="76"/>
      <c r="V23" s="76"/>
    </row>
    <row r="24" spans="2:22" s="72" customFormat="1" ht="11.4" x14ac:dyDescent="0.25">
      <c r="B24" s="73" t="s">
        <v>9387</v>
      </c>
      <c r="C24" s="33" t="s">
        <v>1658</v>
      </c>
      <c r="D24" s="23" t="s">
        <v>1659</v>
      </c>
      <c r="E24" s="73" t="s">
        <v>10921</v>
      </c>
      <c r="F24" s="73" t="s">
        <v>10902</v>
      </c>
      <c r="G24" s="73"/>
      <c r="H24" s="73" t="s">
        <v>10922</v>
      </c>
      <c r="I24" s="73" t="s">
        <v>10923</v>
      </c>
      <c r="J24" s="33" t="s">
        <v>9374</v>
      </c>
      <c r="K24" s="33" t="s">
        <v>9375</v>
      </c>
      <c r="L24" s="33" t="s">
        <v>121</v>
      </c>
      <c r="M24" s="33" t="s">
        <v>9376</v>
      </c>
      <c r="N24" s="73"/>
      <c r="O24" s="73"/>
      <c r="P24" s="73"/>
      <c r="Q24" s="73"/>
      <c r="R24" s="23"/>
      <c r="S24" s="23"/>
      <c r="T24" s="73"/>
      <c r="U24" s="73"/>
      <c r="V24" s="73"/>
    </row>
    <row r="25" spans="2:22" s="72" customFormat="1" ht="11.4" x14ac:dyDescent="0.25">
      <c r="B25" s="73" t="s">
        <v>9387</v>
      </c>
      <c r="C25" s="33" t="s">
        <v>1661</v>
      </c>
      <c r="D25" s="23" t="s">
        <v>1662</v>
      </c>
      <c r="E25" s="73" t="s">
        <v>10924</v>
      </c>
      <c r="F25" s="73" t="s">
        <v>10902</v>
      </c>
      <c r="G25" s="73"/>
      <c r="H25" s="73" t="s">
        <v>10925</v>
      </c>
      <c r="I25" s="73" t="s">
        <v>10926</v>
      </c>
      <c r="J25" s="33" t="s">
        <v>9374</v>
      </c>
      <c r="K25" s="33" t="s">
        <v>9375</v>
      </c>
      <c r="L25" s="33" t="s">
        <v>121</v>
      </c>
      <c r="M25" s="33" t="s">
        <v>9376</v>
      </c>
      <c r="N25" s="73"/>
      <c r="O25" s="73"/>
      <c r="P25" s="73"/>
      <c r="Q25" s="73"/>
      <c r="R25" s="23"/>
      <c r="S25" s="23"/>
      <c r="T25" s="73"/>
      <c r="U25" s="73"/>
      <c r="V25" s="73"/>
    </row>
    <row r="26" spans="2:22" s="72" customFormat="1" ht="11.4" x14ac:dyDescent="0.25">
      <c r="B26" s="73" t="s">
        <v>9387</v>
      </c>
      <c r="C26" s="33" t="s">
        <v>1883</v>
      </c>
      <c r="D26" s="23" t="s">
        <v>1884</v>
      </c>
      <c r="E26" s="73" t="s">
        <v>10927</v>
      </c>
      <c r="F26" s="73" t="s">
        <v>10902</v>
      </c>
      <c r="G26" s="73"/>
      <c r="H26" s="73" t="s">
        <v>10928</v>
      </c>
      <c r="I26" s="73" t="s">
        <v>10929</v>
      </c>
      <c r="J26" s="33" t="s">
        <v>9374</v>
      </c>
      <c r="K26" s="33" t="s">
        <v>9375</v>
      </c>
      <c r="L26" s="33" t="s">
        <v>121</v>
      </c>
      <c r="M26" s="33" t="s">
        <v>9376</v>
      </c>
      <c r="N26" s="73"/>
      <c r="O26" s="73"/>
      <c r="P26" s="73"/>
      <c r="Q26" s="73"/>
      <c r="R26" s="23"/>
      <c r="S26" s="23"/>
      <c r="T26" s="73"/>
      <c r="U26" s="73"/>
      <c r="V26" s="73"/>
    </row>
    <row r="27" spans="2:22" s="72" customFormat="1" ht="11.4" x14ac:dyDescent="0.25">
      <c r="B27" s="166"/>
      <c r="C27" s="166"/>
      <c r="D27" s="166"/>
      <c r="E27" s="166"/>
      <c r="F27" s="166"/>
      <c r="G27" s="166"/>
      <c r="H27" s="166"/>
      <c r="I27" s="166"/>
      <c r="J27" s="166"/>
      <c r="K27" s="166"/>
      <c r="L27" s="166"/>
      <c r="M27" s="166"/>
      <c r="N27" s="166"/>
      <c r="O27" s="166"/>
      <c r="P27" s="166"/>
      <c r="Q27" s="73"/>
      <c r="R27" s="23"/>
      <c r="S27" s="23"/>
      <c r="T27" s="73"/>
      <c r="U27" s="73"/>
      <c r="V27" s="73"/>
    </row>
    <row r="28" spans="2:22" s="72" customFormat="1" ht="30.6" x14ac:dyDescent="0.25">
      <c r="B28" s="165" t="s">
        <v>9389</v>
      </c>
      <c r="C28" s="165"/>
      <c r="D28" s="165"/>
      <c r="E28" s="165"/>
      <c r="F28" s="165"/>
      <c r="G28" s="165"/>
      <c r="H28" s="165"/>
      <c r="I28" s="165"/>
      <c r="J28" s="165"/>
      <c r="K28" s="165"/>
      <c r="L28" s="165"/>
      <c r="M28" s="165"/>
      <c r="N28" s="165"/>
      <c r="O28" s="165"/>
      <c r="P28" s="165"/>
      <c r="Q28" s="73" t="s">
        <v>10919</v>
      </c>
      <c r="R28" s="23"/>
      <c r="S28" s="23"/>
      <c r="T28" s="73"/>
      <c r="U28" s="73"/>
      <c r="V28" s="73"/>
    </row>
    <row r="29" spans="2:22" s="72" customFormat="1" ht="11.4" x14ac:dyDescent="0.25">
      <c r="B29" s="73" t="s">
        <v>9389</v>
      </c>
      <c r="C29" s="33" t="s">
        <v>409</v>
      </c>
      <c r="D29" s="23" t="s">
        <v>410</v>
      </c>
      <c r="E29" s="73"/>
      <c r="F29" s="73"/>
      <c r="G29" s="73"/>
      <c r="H29" s="73"/>
      <c r="I29" s="73"/>
      <c r="J29" s="33" t="s">
        <v>9374</v>
      </c>
      <c r="K29" s="33" t="s">
        <v>9375</v>
      </c>
      <c r="L29" s="33" t="s">
        <v>121</v>
      </c>
      <c r="M29" s="33" t="s">
        <v>9376</v>
      </c>
      <c r="N29" s="73"/>
      <c r="O29" s="73"/>
      <c r="P29" s="73"/>
      <c r="Q29" s="75"/>
      <c r="R29" s="75"/>
      <c r="S29" s="75"/>
      <c r="T29" s="75"/>
      <c r="U29" s="75"/>
      <c r="V29" s="75"/>
    </row>
    <row r="30" spans="2:22" s="72" customFormat="1" ht="11.4" x14ac:dyDescent="0.25">
      <c r="B30" s="73" t="s">
        <v>9389</v>
      </c>
      <c r="C30" s="33" t="s">
        <v>1630</v>
      </c>
      <c r="D30" s="23" t="s">
        <v>1631</v>
      </c>
      <c r="E30" s="73"/>
      <c r="F30" s="73"/>
      <c r="G30" s="73"/>
      <c r="H30" s="73"/>
      <c r="I30" s="73" t="s">
        <v>10930</v>
      </c>
      <c r="J30" s="33" t="s">
        <v>9374</v>
      </c>
      <c r="K30" s="33" t="s">
        <v>9375</v>
      </c>
      <c r="L30" s="33" t="s">
        <v>121</v>
      </c>
      <c r="M30" s="33" t="s">
        <v>9376</v>
      </c>
      <c r="N30" s="73"/>
      <c r="O30" s="73"/>
      <c r="P30" s="73"/>
      <c r="Q30" s="76"/>
      <c r="R30" s="76"/>
      <c r="S30" s="76"/>
      <c r="T30" s="76"/>
      <c r="U30" s="76"/>
      <c r="V30" s="76"/>
    </row>
    <row r="31" spans="2:22" s="72" customFormat="1" ht="11.4" x14ac:dyDescent="0.25">
      <c r="B31" s="73" t="s">
        <v>9389</v>
      </c>
      <c r="C31" s="33" t="s">
        <v>1633</v>
      </c>
      <c r="D31" s="23" t="s">
        <v>1634</v>
      </c>
      <c r="E31" s="73"/>
      <c r="F31" s="73"/>
      <c r="G31" s="73"/>
      <c r="H31" s="73"/>
      <c r="I31" s="73" t="s">
        <v>10931</v>
      </c>
      <c r="J31" s="33" t="s">
        <v>9374</v>
      </c>
      <c r="K31" s="33" t="s">
        <v>9375</v>
      </c>
      <c r="L31" s="33" t="s">
        <v>121</v>
      </c>
      <c r="M31" s="33" t="s">
        <v>9376</v>
      </c>
      <c r="N31" s="73"/>
      <c r="O31" s="73"/>
      <c r="P31" s="73"/>
      <c r="Q31" s="73"/>
      <c r="R31" s="23"/>
      <c r="S31" s="23"/>
      <c r="T31" s="73"/>
      <c r="U31" s="73"/>
      <c r="V31" s="73"/>
    </row>
    <row r="32" spans="2:22" s="72" customFormat="1" ht="11.4" x14ac:dyDescent="0.25">
      <c r="B32" s="73" t="s">
        <v>9389</v>
      </c>
      <c r="C32" s="33" t="s">
        <v>1638</v>
      </c>
      <c r="D32" s="23" t="s">
        <v>1639</v>
      </c>
      <c r="E32" s="73" t="s">
        <v>10932</v>
      </c>
      <c r="F32" s="73" t="s">
        <v>10902</v>
      </c>
      <c r="G32" s="73"/>
      <c r="H32" s="73" t="s">
        <v>10933</v>
      </c>
      <c r="I32" s="73" t="s">
        <v>10934</v>
      </c>
      <c r="J32" s="33" t="s">
        <v>9374</v>
      </c>
      <c r="K32" s="33" t="s">
        <v>9375</v>
      </c>
      <c r="L32" s="33" t="s">
        <v>121</v>
      </c>
      <c r="M32" s="33" t="s">
        <v>9376</v>
      </c>
      <c r="N32" s="73"/>
      <c r="O32" s="73"/>
      <c r="P32" s="73"/>
      <c r="Q32" s="73"/>
      <c r="R32" s="23"/>
      <c r="S32" s="23"/>
      <c r="T32" s="73"/>
      <c r="U32" s="73"/>
      <c r="V32" s="73"/>
    </row>
    <row r="33" spans="2:22" s="72" customFormat="1" ht="11.4" x14ac:dyDescent="0.25">
      <c r="B33" s="73" t="s">
        <v>9389</v>
      </c>
      <c r="C33" s="33" t="s">
        <v>1652</v>
      </c>
      <c r="D33" s="23" t="s">
        <v>1653</v>
      </c>
      <c r="E33" s="73" t="s">
        <v>10935</v>
      </c>
      <c r="F33" s="73" t="s">
        <v>10902</v>
      </c>
      <c r="G33" s="73"/>
      <c r="H33" s="73" t="s">
        <v>10917</v>
      </c>
      <c r="I33" s="73" t="s">
        <v>10936</v>
      </c>
      <c r="J33" s="33" t="s">
        <v>9374</v>
      </c>
      <c r="K33" s="33" t="s">
        <v>9375</v>
      </c>
      <c r="L33" s="33" t="s">
        <v>121</v>
      </c>
      <c r="M33" s="33" t="s">
        <v>9376</v>
      </c>
      <c r="N33" s="73"/>
      <c r="O33" s="73"/>
      <c r="P33" s="73"/>
      <c r="Q33" s="73"/>
      <c r="R33" s="23"/>
      <c r="S33" s="23"/>
      <c r="T33" s="73"/>
      <c r="U33" s="73"/>
      <c r="V33" s="73"/>
    </row>
    <row r="34" spans="2:22" s="72" customFormat="1" ht="11.4" x14ac:dyDescent="0.25">
      <c r="B34" s="73" t="s">
        <v>9389</v>
      </c>
      <c r="C34" s="33" t="s">
        <v>1666</v>
      </c>
      <c r="D34" s="23" t="s">
        <v>1667</v>
      </c>
      <c r="E34" s="73" t="s">
        <v>10937</v>
      </c>
      <c r="F34" s="73" t="s">
        <v>10902</v>
      </c>
      <c r="G34" s="73"/>
      <c r="H34" s="73" t="s">
        <v>10917</v>
      </c>
      <c r="I34" s="73"/>
      <c r="J34" s="33" t="s">
        <v>9374</v>
      </c>
      <c r="K34" s="33" t="s">
        <v>9375</v>
      </c>
      <c r="L34" s="33" t="s">
        <v>121</v>
      </c>
      <c r="M34" s="33" t="s">
        <v>9376</v>
      </c>
      <c r="N34" s="73"/>
      <c r="O34" s="73"/>
      <c r="P34" s="73"/>
      <c r="Q34" s="73"/>
      <c r="R34" s="23"/>
      <c r="S34" s="23"/>
      <c r="T34" s="73"/>
      <c r="U34" s="73"/>
      <c r="V34" s="73"/>
    </row>
    <row r="35" spans="2:22" s="72" customFormat="1" ht="11.4" x14ac:dyDescent="0.25">
      <c r="B35" s="73" t="s">
        <v>9389</v>
      </c>
      <c r="C35" s="33" t="s">
        <v>1675</v>
      </c>
      <c r="D35" s="23" t="s">
        <v>1676</v>
      </c>
      <c r="E35" s="73" t="s">
        <v>10938</v>
      </c>
      <c r="F35" s="73" t="s">
        <v>10902</v>
      </c>
      <c r="G35" s="73"/>
      <c r="H35" s="73" t="s">
        <v>10939</v>
      </c>
      <c r="I35" s="73" t="s">
        <v>10940</v>
      </c>
      <c r="J35" s="33" t="s">
        <v>9374</v>
      </c>
      <c r="K35" s="33" t="s">
        <v>9375</v>
      </c>
      <c r="L35" s="33" t="s">
        <v>121</v>
      </c>
      <c r="M35" s="33" t="s">
        <v>9376</v>
      </c>
      <c r="N35" s="73"/>
      <c r="O35" s="73"/>
      <c r="P35" s="73"/>
      <c r="Q35" s="73"/>
      <c r="R35" s="23"/>
      <c r="S35" s="23"/>
      <c r="T35" s="73"/>
      <c r="U35" s="73"/>
      <c r="V35" s="73"/>
    </row>
    <row r="36" spans="2:22" s="72" customFormat="1" ht="40.799999999999997" x14ac:dyDescent="0.25">
      <c r="B36" s="73" t="s">
        <v>9389</v>
      </c>
      <c r="C36" s="33" t="s">
        <v>1705</v>
      </c>
      <c r="D36" s="23" t="s">
        <v>1706</v>
      </c>
      <c r="E36" s="73" t="s">
        <v>10941</v>
      </c>
      <c r="F36" s="73" t="s">
        <v>10902</v>
      </c>
      <c r="G36" s="73"/>
      <c r="H36" s="73" t="s">
        <v>10942</v>
      </c>
      <c r="I36" s="73" t="s">
        <v>10943</v>
      </c>
      <c r="J36" s="33" t="s">
        <v>9374</v>
      </c>
      <c r="K36" s="33" t="s">
        <v>9375</v>
      </c>
      <c r="L36" s="33" t="s">
        <v>121</v>
      </c>
      <c r="M36" s="33" t="s">
        <v>9376</v>
      </c>
      <c r="N36" s="73"/>
      <c r="O36" s="73"/>
      <c r="P36" s="73"/>
      <c r="Q36" s="73"/>
      <c r="R36" s="23"/>
      <c r="S36" s="23"/>
      <c r="T36" s="73"/>
      <c r="U36" s="73"/>
      <c r="V36" s="73"/>
    </row>
    <row r="37" spans="2:22" s="72" customFormat="1" ht="30.6" x14ac:dyDescent="0.25">
      <c r="B37" s="73" t="s">
        <v>9389</v>
      </c>
      <c r="C37" s="33" t="s">
        <v>1707</v>
      </c>
      <c r="D37" s="23" t="s">
        <v>1708</v>
      </c>
      <c r="E37" s="73" t="s">
        <v>10944</v>
      </c>
      <c r="F37" s="73" t="s">
        <v>10902</v>
      </c>
      <c r="G37" s="73"/>
      <c r="H37" s="73" t="s">
        <v>10945</v>
      </c>
      <c r="I37" s="73" t="s">
        <v>10946</v>
      </c>
      <c r="J37" s="33" t="s">
        <v>9374</v>
      </c>
      <c r="K37" s="33" t="s">
        <v>9375</v>
      </c>
      <c r="L37" s="33" t="s">
        <v>121</v>
      </c>
      <c r="M37" s="33" t="s">
        <v>9376</v>
      </c>
      <c r="N37" s="73"/>
      <c r="O37" s="73"/>
      <c r="P37" s="73"/>
      <c r="Q37" s="73"/>
      <c r="R37" s="23"/>
      <c r="S37" s="23"/>
      <c r="T37" s="73"/>
      <c r="U37" s="73"/>
      <c r="V37" s="73"/>
    </row>
    <row r="38" spans="2:22" s="72" customFormat="1" ht="30.6" x14ac:dyDescent="0.25">
      <c r="B38" s="73" t="s">
        <v>9389</v>
      </c>
      <c r="C38" s="33" t="s">
        <v>1725</v>
      </c>
      <c r="D38" s="23" t="s">
        <v>1726</v>
      </c>
      <c r="E38" s="73" t="s">
        <v>10947</v>
      </c>
      <c r="F38" s="73" t="s">
        <v>10902</v>
      </c>
      <c r="G38" s="73"/>
      <c r="H38" s="73" t="s">
        <v>10948</v>
      </c>
      <c r="I38" s="73" t="s">
        <v>10949</v>
      </c>
      <c r="J38" s="33" t="s">
        <v>9374</v>
      </c>
      <c r="K38" s="33" t="s">
        <v>9375</v>
      </c>
      <c r="L38" s="33" t="s">
        <v>121</v>
      </c>
      <c r="M38" s="33" t="s">
        <v>9376</v>
      </c>
      <c r="N38" s="73"/>
      <c r="O38" s="73"/>
      <c r="P38" s="73"/>
      <c r="Q38" s="73"/>
      <c r="R38" s="23"/>
      <c r="S38" s="23"/>
      <c r="T38" s="73"/>
      <c r="U38" s="73"/>
      <c r="V38" s="73"/>
    </row>
    <row r="39" spans="2:22" s="72" customFormat="1" ht="11.4" x14ac:dyDescent="0.25">
      <c r="B39" s="73" t="s">
        <v>9389</v>
      </c>
      <c r="C39" s="33" t="s">
        <v>1782</v>
      </c>
      <c r="D39" s="23" t="s">
        <v>1783</v>
      </c>
      <c r="E39" s="73" t="s">
        <v>10950</v>
      </c>
      <c r="F39" s="73" t="s">
        <v>10902</v>
      </c>
      <c r="G39" s="73"/>
      <c r="H39" s="73" t="s">
        <v>10951</v>
      </c>
      <c r="I39" s="73"/>
      <c r="J39" s="33" t="s">
        <v>9374</v>
      </c>
      <c r="K39" s="33" t="s">
        <v>9375</v>
      </c>
      <c r="L39" s="33" t="s">
        <v>121</v>
      </c>
      <c r="M39" s="33" t="s">
        <v>9376</v>
      </c>
      <c r="N39" s="73"/>
      <c r="O39" s="73"/>
      <c r="P39" s="73"/>
      <c r="Q39" s="73"/>
      <c r="R39" s="23"/>
      <c r="S39" s="23"/>
      <c r="T39" s="73"/>
      <c r="U39" s="73"/>
      <c r="V39" s="73"/>
    </row>
    <row r="40" spans="2:22" s="72" customFormat="1" ht="11.4" x14ac:dyDescent="0.25">
      <c r="B40" s="73" t="s">
        <v>9389</v>
      </c>
      <c r="C40" s="33" t="s">
        <v>1784</v>
      </c>
      <c r="D40" s="23" t="s">
        <v>1785</v>
      </c>
      <c r="E40" s="73" t="s">
        <v>10952</v>
      </c>
      <c r="F40" s="73" t="s">
        <v>10902</v>
      </c>
      <c r="G40" s="73"/>
      <c r="H40" s="73" t="s">
        <v>10951</v>
      </c>
      <c r="I40" s="73"/>
      <c r="J40" s="33" t="s">
        <v>9374</v>
      </c>
      <c r="K40" s="33" t="s">
        <v>9375</v>
      </c>
      <c r="L40" s="33" t="s">
        <v>121</v>
      </c>
      <c r="M40" s="33" t="s">
        <v>9376</v>
      </c>
      <c r="N40" s="73"/>
      <c r="O40" s="73"/>
      <c r="P40" s="73"/>
      <c r="Q40" s="73"/>
      <c r="R40" s="23"/>
      <c r="S40" s="23"/>
      <c r="T40" s="73"/>
      <c r="U40" s="73"/>
      <c r="V40" s="73"/>
    </row>
    <row r="41" spans="2:22" s="72" customFormat="1" ht="11.4" x14ac:dyDescent="0.25">
      <c r="B41" s="73" t="s">
        <v>9389</v>
      </c>
      <c r="C41" s="33" t="s">
        <v>1786</v>
      </c>
      <c r="D41" s="23" t="s">
        <v>1787</v>
      </c>
      <c r="E41" s="73" t="s">
        <v>10953</v>
      </c>
      <c r="F41" s="73" t="s">
        <v>10902</v>
      </c>
      <c r="G41" s="73"/>
      <c r="H41" s="73" t="s">
        <v>10954</v>
      </c>
      <c r="I41" s="73"/>
      <c r="J41" s="33" t="s">
        <v>9374</v>
      </c>
      <c r="K41" s="33" t="s">
        <v>9375</v>
      </c>
      <c r="L41" s="33" t="s">
        <v>121</v>
      </c>
      <c r="M41" s="33" t="s">
        <v>9376</v>
      </c>
      <c r="N41" s="73"/>
      <c r="O41" s="73"/>
      <c r="P41" s="73"/>
      <c r="Q41" s="73"/>
      <c r="R41" s="23"/>
      <c r="S41" s="23"/>
      <c r="T41" s="73"/>
      <c r="U41" s="73"/>
      <c r="V41" s="73"/>
    </row>
    <row r="42" spans="2:22" s="72" customFormat="1" ht="11.4" x14ac:dyDescent="0.25">
      <c r="B42" s="73" t="s">
        <v>9389</v>
      </c>
      <c r="C42" s="33" t="s">
        <v>1788</v>
      </c>
      <c r="D42" s="23" t="s">
        <v>1789</v>
      </c>
      <c r="E42" s="73" t="s">
        <v>10955</v>
      </c>
      <c r="F42" s="73" t="s">
        <v>10902</v>
      </c>
      <c r="G42" s="73"/>
      <c r="H42" s="73" t="s">
        <v>10954</v>
      </c>
      <c r="I42" s="73"/>
      <c r="J42" s="33" t="s">
        <v>9374</v>
      </c>
      <c r="K42" s="33" t="s">
        <v>9375</v>
      </c>
      <c r="L42" s="33" t="s">
        <v>121</v>
      </c>
      <c r="M42" s="33" t="s">
        <v>9376</v>
      </c>
      <c r="N42" s="73"/>
      <c r="O42" s="73"/>
      <c r="P42" s="73"/>
      <c r="Q42" s="73"/>
      <c r="R42" s="23"/>
      <c r="S42" s="23"/>
      <c r="T42" s="73"/>
      <c r="U42" s="73"/>
      <c r="V42" s="73"/>
    </row>
    <row r="43" spans="2:22" s="72" customFormat="1" ht="11.4" x14ac:dyDescent="0.25">
      <c r="B43" s="73" t="s">
        <v>9389</v>
      </c>
      <c r="C43" s="33" t="s">
        <v>1790</v>
      </c>
      <c r="D43" s="23" t="s">
        <v>1791</v>
      </c>
      <c r="E43" s="73" t="s">
        <v>10956</v>
      </c>
      <c r="F43" s="73" t="s">
        <v>10902</v>
      </c>
      <c r="G43" s="73"/>
      <c r="H43" s="73" t="s">
        <v>10957</v>
      </c>
      <c r="I43" s="73"/>
      <c r="J43" s="33" t="s">
        <v>9374</v>
      </c>
      <c r="K43" s="33" t="s">
        <v>9375</v>
      </c>
      <c r="L43" s="33" t="s">
        <v>121</v>
      </c>
      <c r="M43" s="33" t="s">
        <v>9376</v>
      </c>
      <c r="N43" s="73"/>
      <c r="O43" s="73"/>
      <c r="P43" s="73"/>
      <c r="Q43" s="73"/>
      <c r="R43" s="23"/>
      <c r="S43" s="23"/>
      <c r="T43" s="73"/>
      <c r="U43" s="73"/>
      <c r="V43" s="73"/>
    </row>
    <row r="44" spans="2:22" s="72" customFormat="1" ht="11.4" x14ac:dyDescent="0.25">
      <c r="B44" s="73" t="s">
        <v>9389</v>
      </c>
      <c r="C44" s="33" t="s">
        <v>1792</v>
      </c>
      <c r="D44" s="23" t="s">
        <v>1793</v>
      </c>
      <c r="E44" s="73" t="s">
        <v>10958</v>
      </c>
      <c r="F44" s="73" t="s">
        <v>10902</v>
      </c>
      <c r="G44" s="73"/>
      <c r="H44" s="73" t="s">
        <v>10959</v>
      </c>
      <c r="I44" s="73"/>
      <c r="J44" s="33" t="s">
        <v>9374</v>
      </c>
      <c r="K44" s="33" t="s">
        <v>9375</v>
      </c>
      <c r="L44" s="33" t="s">
        <v>121</v>
      </c>
      <c r="M44" s="33" t="s">
        <v>9376</v>
      </c>
      <c r="N44" s="73"/>
      <c r="O44" s="73"/>
      <c r="P44" s="73"/>
      <c r="Q44" s="73"/>
      <c r="R44" s="23"/>
      <c r="S44" s="23"/>
      <c r="T44" s="73"/>
      <c r="U44" s="73"/>
      <c r="V44" s="73"/>
    </row>
    <row r="45" spans="2:22" s="72" customFormat="1" ht="11.4" x14ac:dyDescent="0.25">
      <c r="B45" s="73" t="s">
        <v>9389</v>
      </c>
      <c r="C45" s="33" t="s">
        <v>1886</v>
      </c>
      <c r="D45" s="23" t="s">
        <v>1887</v>
      </c>
      <c r="E45" s="73" t="s">
        <v>10960</v>
      </c>
      <c r="F45" s="73" t="s">
        <v>10902</v>
      </c>
      <c r="G45" s="73"/>
      <c r="H45" s="73" t="s">
        <v>10961</v>
      </c>
      <c r="I45" s="73" t="s">
        <v>10962</v>
      </c>
      <c r="J45" s="33" t="s">
        <v>9374</v>
      </c>
      <c r="K45" s="33" t="s">
        <v>9375</v>
      </c>
      <c r="L45" s="33" t="s">
        <v>121</v>
      </c>
      <c r="M45" s="33" t="s">
        <v>9376</v>
      </c>
      <c r="N45" s="73"/>
      <c r="O45" s="73"/>
      <c r="P45" s="73"/>
      <c r="Q45" s="73"/>
      <c r="R45" s="23"/>
      <c r="S45" s="23"/>
      <c r="T45" s="73"/>
      <c r="U45" s="73"/>
      <c r="V45" s="73"/>
    </row>
    <row r="46" spans="2:22" s="72" customFormat="1" ht="11.4" x14ac:dyDescent="0.25">
      <c r="B46" s="73" t="s">
        <v>9389</v>
      </c>
      <c r="C46" s="33" t="s">
        <v>1889</v>
      </c>
      <c r="D46" s="23" t="s">
        <v>1890</v>
      </c>
      <c r="E46" s="73" t="s">
        <v>10963</v>
      </c>
      <c r="F46" s="73" t="s">
        <v>10902</v>
      </c>
      <c r="G46" s="73"/>
      <c r="H46" s="73" t="s">
        <v>10964</v>
      </c>
      <c r="I46" s="73"/>
      <c r="J46" s="33" t="s">
        <v>9374</v>
      </c>
      <c r="K46" s="33" t="s">
        <v>9375</v>
      </c>
      <c r="L46" s="33" t="s">
        <v>121</v>
      </c>
      <c r="M46" s="33" t="s">
        <v>9376</v>
      </c>
      <c r="N46" s="73"/>
      <c r="O46" s="73"/>
      <c r="P46" s="73"/>
      <c r="Q46" s="73"/>
      <c r="R46" s="23"/>
      <c r="S46" s="23"/>
      <c r="T46" s="73"/>
      <c r="U46" s="73"/>
      <c r="V46" s="73"/>
    </row>
    <row r="47" spans="2:22" s="72" customFormat="1" ht="11.4" x14ac:dyDescent="0.25">
      <c r="B47" s="73" t="s">
        <v>9389</v>
      </c>
      <c r="C47" s="33" t="s">
        <v>1979</v>
      </c>
      <c r="D47" s="23" t="s">
        <v>1980</v>
      </c>
      <c r="E47" s="73" t="s">
        <v>10965</v>
      </c>
      <c r="F47" s="73"/>
      <c r="G47" s="73"/>
      <c r="H47" s="73" t="s">
        <v>10966</v>
      </c>
      <c r="I47" s="73" t="s">
        <v>10967</v>
      </c>
      <c r="J47" s="33" t="s">
        <v>9374</v>
      </c>
      <c r="K47" s="33" t="s">
        <v>9375</v>
      </c>
      <c r="L47" s="33" t="s">
        <v>121</v>
      </c>
      <c r="M47" s="33" t="s">
        <v>9376</v>
      </c>
      <c r="N47" s="73"/>
      <c r="O47" s="73"/>
      <c r="P47" s="73"/>
      <c r="Q47" s="73"/>
      <c r="R47" s="23"/>
      <c r="S47" s="23"/>
      <c r="T47" s="73"/>
      <c r="U47" s="73"/>
      <c r="V47" s="73"/>
    </row>
    <row r="48" spans="2:22" s="72" customFormat="1" ht="30.6" x14ac:dyDescent="0.25">
      <c r="B48" s="73" t="s">
        <v>9389</v>
      </c>
      <c r="C48" s="33" t="s">
        <v>1982</v>
      </c>
      <c r="D48" s="23" t="s">
        <v>1983</v>
      </c>
      <c r="E48" s="73" t="s">
        <v>10968</v>
      </c>
      <c r="F48" s="73" t="s">
        <v>10902</v>
      </c>
      <c r="G48" s="73"/>
      <c r="H48" s="73" t="s">
        <v>10966</v>
      </c>
      <c r="I48" s="73" t="s">
        <v>10969</v>
      </c>
      <c r="J48" s="33" t="s">
        <v>9374</v>
      </c>
      <c r="K48" s="33" t="s">
        <v>9375</v>
      </c>
      <c r="L48" s="33" t="s">
        <v>121</v>
      </c>
      <c r="M48" s="33" t="s">
        <v>9376</v>
      </c>
      <c r="N48" s="73"/>
      <c r="O48" s="73"/>
      <c r="P48" s="73"/>
      <c r="Q48" s="73" t="s">
        <v>10919</v>
      </c>
      <c r="R48" s="23"/>
      <c r="S48" s="23"/>
      <c r="T48" s="73"/>
      <c r="U48" s="73"/>
      <c r="V48" s="73"/>
    </row>
    <row r="49" spans="2:22" s="72" customFormat="1" ht="81.599999999999994" x14ac:dyDescent="0.25">
      <c r="B49" s="73" t="s">
        <v>9389</v>
      </c>
      <c r="C49" s="33" t="s">
        <v>2008</v>
      </c>
      <c r="D49" s="23" t="s">
        <v>2009</v>
      </c>
      <c r="E49" s="73" t="s">
        <v>10908</v>
      </c>
      <c r="F49" s="73" t="s">
        <v>10902</v>
      </c>
      <c r="G49" s="73"/>
      <c r="H49" s="73" t="s">
        <v>10909</v>
      </c>
      <c r="I49" s="73" t="s">
        <v>10970</v>
      </c>
      <c r="J49" s="33" t="s">
        <v>9374</v>
      </c>
      <c r="K49" s="33" t="s">
        <v>9375</v>
      </c>
      <c r="L49" s="33" t="s">
        <v>121</v>
      </c>
      <c r="M49" s="33" t="s">
        <v>9376</v>
      </c>
      <c r="N49" s="73"/>
      <c r="O49" s="73"/>
      <c r="P49" s="73"/>
      <c r="Q49" s="73"/>
      <c r="R49" s="23"/>
      <c r="S49" s="23"/>
      <c r="T49" s="73"/>
      <c r="U49" s="73"/>
      <c r="V49" s="73"/>
    </row>
    <row r="50" spans="2:22" s="72" customFormat="1" ht="11.4" x14ac:dyDescent="0.25">
      <c r="B50" s="73" t="s">
        <v>9389</v>
      </c>
      <c r="C50" s="33" t="s">
        <v>2044</v>
      </c>
      <c r="D50" s="23" t="s">
        <v>2045</v>
      </c>
      <c r="E50" s="73" t="s">
        <v>10938</v>
      </c>
      <c r="F50" s="73" t="s">
        <v>10902</v>
      </c>
      <c r="G50" s="73"/>
      <c r="H50" s="73" t="s">
        <v>10939</v>
      </c>
      <c r="I50" s="73"/>
      <c r="J50" s="33" t="s">
        <v>9374</v>
      </c>
      <c r="K50" s="33" t="s">
        <v>9375</v>
      </c>
      <c r="L50" s="33" t="s">
        <v>121</v>
      </c>
      <c r="M50" s="33" t="s">
        <v>9376</v>
      </c>
      <c r="N50" s="73"/>
      <c r="O50" s="73"/>
      <c r="P50" s="73"/>
      <c r="Q50" s="73"/>
      <c r="R50" s="23"/>
      <c r="S50" s="23"/>
      <c r="T50" s="73"/>
      <c r="U50" s="73"/>
      <c r="V50" s="73"/>
    </row>
    <row r="51" spans="2:22" s="72" customFormat="1" ht="11.4" x14ac:dyDescent="0.25">
      <c r="B51" s="73" t="s">
        <v>9389</v>
      </c>
      <c r="C51" s="33" t="s">
        <v>2140</v>
      </c>
      <c r="D51" s="23" t="s">
        <v>2141</v>
      </c>
      <c r="E51" s="73" t="s">
        <v>10911</v>
      </c>
      <c r="F51" s="73" t="s">
        <v>10902</v>
      </c>
      <c r="G51" s="73"/>
      <c r="H51" s="73" t="s">
        <v>10917</v>
      </c>
      <c r="I51" s="73" t="s">
        <v>10971</v>
      </c>
      <c r="J51" s="33" t="s">
        <v>9374</v>
      </c>
      <c r="K51" s="33" t="s">
        <v>9375</v>
      </c>
      <c r="L51" s="33" t="s">
        <v>121</v>
      </c>
      <c r="M51" s="33" t="s">
        <v>9376</v>
      </c>
      <c r="N51" s="73"/>
      <c r="O51" s="73"/>
      <c r="P51" s="73"/>
      <c r="Q51" s="73"/>
      <c r="R51" s="23"/>
      <c r="S51" s="23"/>
      <c r="T51" s="73"/>
      <c r="U51" s="73"/>
      <c r="V51" s="73"/>
    </row>
    <row r="52" spans="2:22" s="72" customFormat="1" ht="81.599999999999994" x14ac:dyDescent="0.25">
      <c r="B52" s="73" t="s">
        <v>9389</v>
      </c>
      <c r="C52" s="33" t="s">
        <v>2147</v>
      </c>
      <c r="D52" s="23" t="s">
        <v>2148</v>
      </c>
      <c r="E52" s="73" t="s">
        <v>10908</v>
      </c>
      <c r="F52" s="73" t="s">
        <v>10902</v>
      </c>
      <c r="G52" s="73"/>
      <c r="H52" s="73" t="s">
        <v>10909</v>
      </c>
      <c r="I52" s="73" t="s">
        <v>10970</v>
      </c>
      <c r="J52" s="33" t="s">
        <v>9374</v>
      </c>
      <c r="K52" s="33" t="s">
        <v>9375</v>
      </c>
      <c r="L52" s="33" t="s">
        <v>121</v>
      </c>
      <c r="M52" s="33" t="s">
        <v>9376</v>
      </c>
      <c r="N52" s="73"/>
      <c r="O52" s="73"/>
      <c r="P52" s="73"/>
      <c r="Q52" s="73"/>
      <c r="R52" s="23"/>
      <c r="S52" s="23"/>
      <c r="T52" s="73"/>
      <c r="U52" s="73"/>
      <c r="V52" s="73"/>
    </row>
    <row r="53" spans="2:22" s="72" customFormat="1" ht="11.4" x14ac:dyDescent="0.25">
      <c r="B53" s="73" t="s">
        <v>9389</v>
      </c>
      <c r="C53" s="33" t="s">
        <v>2149</v>
      </c>
      <c r="D53" s="23" t="s">
        <v>2150</v>
      </c>
      <c r="E53" s="73"/>
      <c r="F53" s="73"/>
      <c r="G53" s="73"/>
      <c r="H53" s="73"/>
      <c r="I53" s="73" t="s">
        <v>10931</v>
      </c>
      <c r="J53" s="33" t="s">
        <v>9374</v>
      </c>
      <c r="K53" s="33" t="s">
        <v>9375</v>
      </c>
      <c r="L53" s="33" t="s">
        <v>121</v>
      </c>
      <c r="M53" s="33" t="s">
        <v>9376</v>
      </c>
      <c r="N53" s="73"/>
      <c r="O53" s="73"/>
      <c r="P53" s="73"/>
      <c r="Q53" s="73"/>
      <c r="R53" s="23"/>
      <c r="S53" s="23"/>
      <c r="T53" s="73"/>
      <c r="U53" s="73"/>
      <c r="V53" s="73"/>
    </row>
    <row r="54" spans="2:22" s="72" customFormat="1" ht="11.4" x14ac:dyDescent="0.25">
      <c r="B54" s="166"/>
      <c r="C54" s="166"/>
      <c r="D54" s="166"/>
      <c r="E54" s="166"/>
      <c r="F54" s="166"/>
      <c r="G54" s="166"/>
      <c r="H54" s="166"/>
      <c r="I54" s="166"/>
      <c r="J54" s="166"/>
      <c r="K54" s="166"/>
      <c r="L54" s="166"/>
      <c r="M54" s="166"/>
      <c r="N54" s="166"/>
      <c r="O54" s="166"/>
      <c r="P54" s="166"/>
      <c r="Q54" s="75"/>
      <c r="R54" s="75"/>
      <c r="S54" s="75"/>
      <c r="T54" s="75"/>
      <c r="U54" s="75"/>
      <c r="V54" s="75"/>
    </row>
    <row r="55" spans="2:22" s="72" customFormat="1" ht="11.4" x14ac:dyDescent="0.25">
      <c r="B55" s="165" t="s">
        <v>9391</v>
      </c>
      <c r="C55" s="165"/>
      <c r="D55" s="165"/>
      <c r="E55" s="165"/>
      <c r="F55" s="165"/>
      <c r="G55" s="165"/>
      <c r="H55" s="165"/>
      <c r="I55" s="165"/>
      <c r="J55" s="165"/>
      <c r="K55" s="165"/>
      <c r="L55" s="165"/>
      <c r="M55" s="165"/>
      <c r="N55" s="165"/>
      <c r="O55" s="165"/>
      <c r="P55" s="165"/>
      <c r="Q55" s="76"/>
      <c r="R55" s="76"/>
      <c r="S55" s="76"/>
      <c r="T55" s="76"/>
      <c r="U55" s="76"/>
      <c r="V55" s="76"/>
    </row>
    <row r="56" spans="2:22" s="72" customFormat="1" ht="11.4" x14ac:dyDescent="0.25">
      <c r="B56" s="73" t="s">
        <v>9391</v>
      </c>
      <c r="C56" s="33" t="s">
        <v>412</v>
      </c>
      <c r="D56" s="23" t="s">
        <v>413</v>
      </c>
      <c r="E56" s="73"/>
      <c r="F56" s="73"/>
      <c r="G56" s="73"/>
      <c r="H56" s="73"/>
      <c r="I56" s="73"/>
      <c r="J56" s="33" t="s">
        <v>9374</v>
      </c>
      <c r="K56" s="33" t="s">
        <v>9375</v>
      </c>
      <c r="L56" s="33" t="s">
        <v>121</v>
      </c>
      <c r="M56" s="33" t="s">
        <v>9376</v>
      </c>
      <c r="N56" s="73"/>
      <c r="O56" s="73"/>
      <c r="P56" s="73"/>
      <c r="Q56" s="73"/>
      <c r="R56" s="23"/>
      <c r="S56" s="23"/>
      <c r="T56" s="73"/>
      <c r="U56" s="73"/>
      <c r="V56" s="73"/>
    </row>
    <row r="57" spans="2:22" s="72" customFormat="1" ht="234.6" x14ac:dyDescent="0.25">
      <c r="B57" s="73" t="s">
        <v>9391</v>
      </c>
      <c r="C57" s="33" t="s">
        <v>1616</v>
      </c>
      <c r="D57" s="23" t="s">
        <v>1617</v>
      </c>
      <c r="E57" s="73" t="s">
        <v>10972</v>
      </c>
      <c r="F57" s="73" t="s">
        <v>10902</v>
      </c>
      <c r="G57" s="73"/>
      <c r="H57" s="73" t="s">
        <v>10973</v>
      </c>
      <c r="I57" s="73" t="s">
        <v>10974</v>
      </c>
      <c r="J57" s="33" t="s">
        <v>9374</v>
      </c>
      <c r="K57" s="33" t="s">
        <v>9375</v>
      </c>
      <c r="L57" s="33" t="s">
        <v>121</v>
      </c>
      <c r="M57" s="33" t="s">
        <v>9376</v>
      </c>
      <c r="N57" s="73"/>
      <c r="O57" s="73"/>
      <c r="P57" s="73"/>
      <c r="Q57" s="73"/>
      <c r="R57" s="23"/>
      <c r="S57" s="23"/>
      <c r="T57" s="73"/>
      <c r="U57" s="73"/>
      <c r="V57" s="73"/>
    </row>
    <row r="58" spans="2:22" s="72" customFormat="1" ht="51" x14ac:dyDescent="0.25">
      <c r="B58" s="73" t="s">
        <v>9391</v>
      </c>
      <c r="C58" s="33" t="s">
        <v>1718</v>
      </c>
      <c r="D58" s="23" t="s">
        <v>1719</v>
      </c>
      <c r="E58" s="73" t="s">
        <v>10975</v>
      </c>
      <c r="F58" s="73" t="s">
        <v>10902</v>
      </c>
      <c r="G58" s="73"/>
      <c r="H58" s="73" t="s">
        <v>10976</v>
      </c>
      <c r="I58" s="73" t="s">
        <v>10977</v>
      </c>
      <c r="J58" s="33" t="s">
        <v>9374</v>
      </c>
      <c r="K58" s="33" t="s">
        <v>9375</v>
      </c>
      <c r="L58" s="33" t="s">
        <v>121</v>
      </c>
      <c r="M58" s="33" t="s">
        <v>9376</v>
      </c>
      <c r="N58" s="73"/>
      <c r="O58" s="73"/>
      <c r="P58" s="73"/>
      <c r="Q58" s="73"/>
      <c r="R58" s="23"/>
      <c r="S58" s="23"/>
      <c r="T58" s="73"/>
      <c r="U58" s="73"/>
      <c r="V58" s="73"/>
    </row>
    <row r="59" spans="2:22" s="72" customFormat="1" ht="11.4" x14ac:dyDescent="0.25">
      <c r="B59" s="166"/>
      <c r="C59" s="166"/>
      <c r="D59" s="166"/>
      <c r="E59" s="166"/>
      <c r="F59" s="166"/>
      <c r="G59" s="166"/>
      <c r="H59" s="166"/>
      <c r="I59" s="166"/>
      <c r="J59" s="166"/>
      <c r="K59" s="166"/>
      <c r="L59" s="166"/>
      <c r="M59" s="166"/>
      <c r="N59" s="166"/>
      <c r="O59" s="166"/>
      <c r="P59" s="166"/>
      <c r="Q59" s="73"/>
      <c r="R59" s="23"/>
      <c r="S59" s="23"/>
      <c r="T59" s="73"/>
      <c r="U59" s="73"/>
      <c r="V59" s="73"/>
    </row>
    <row r="60" spans="2:22" s="72" customFormat="1" ht="11.4" x14ac:dyDescent="0.25">
      <c r="B60" s="165" t="s">
        <v>9396</v>
      </c>
      <c r="C60" s="165"/>
      <c r="D60" s="165"/>
      <c r="E60" s="165"/>
      <c r="F60" s="165"/>
      <c r="G60" s="165"/>
      <c r="H60" s="165"/>
      <c r="I60" s="165"/>
      <c r="J60" s="165"/>
      <c r="K60" s="165"/>
      <c r="L60" s="165"/>
      <c r="M60" s="165"/>
      <c r="N60" s="165"/>
      <c r="O60" s="165"/>
      <c r="P60" s="165"/>
      <c r="Q60" s="75"/>
      <c r="R60" s="75"/>
      <c r="S60" s="75"/>
      <c r="T60" s="75"/>
      <c r="U60" s="75"/>
      <c r="V60" s="75"/>
    </row>
    <row r="61" spans="2:22" s="72" customFormat="1" ht="11.4" x14ac:dyDescent="0.25">
      <c r="B61" s="73" t="s">
        <v>9396</v>
      </c>
      <c r="C61" s="33" t="s">
        <v>414</v>
      </c>
      <c r="D61" s="23" t="s">
        <v>415</v>
      </c>
      <c r="E61" s="73"/>
      <c r="F61" s="73"/>
      <c r="G61" s="73"/>
      <c r="H61" s="73"/>
      <c r="I61" s="73"/>
      <c r="J61" s="33" t="s">
        <v>9374</v>
      </c>
      <c r="K61" s="33" t="s">
        <v>9375</v>
      </c>
      <c r="L61" s="33" t="s">
        <v>121</v>
      </c>
      <c r="M61" s="33" t="s">
        <v>9376</v>
      </c>
      <c r="N61" s="73"/>
      <c r="O61" s="73"/>
      <c r="P61" s="73"/>
      <c r="Q61" s="76"/>
      <c r="R61" s="76"/>
      <c r="S61" s="76"/>
      <c r="T61" s="76"/>
      <c r="U61" s="76"/>
      <c r="V61" s="76"/>
    </row>
    <row r="62" spans="2:22" s="72" customFormat="1" ht="11.4" x14ac:dyDescent="0.25">
      <c r="B62" s="73" t="s">
        <v>9396</v>
      </c>
      <c r="C62" s="33" t="s">
        <v>1572</v>
      </c>
      <c r="D62" s="23" t="s">
        <v>1573</v>
      </c>
      <c r="E62" s="73"/>
      <c r="F62" s="73"/>
      <c r="G62" s="73"/>
      <c r="H62" s="73"/>
      <c r="I62" s="73"/>
      <c r="J62" s="33" t="s">
        <v>9374</v>
      </c>
      <c r="K62" s="33" t="s">
        <v>9375</v>
      </c>
      <c r="L62" s="33" t="s">
        <v>121</v>
      </c>
      <c r="M62" s="33" t="s">
        <v>9376</v>
      </c>
      <c r="N62" s="73"/>
      <c r="O62" s="73"/>
      <c r="P62" s="73"/>
      <c r="Q62" s="73"/>
      <c r="R62" s="23"/>
      <c r="S62" s="23"/>
      <c r="T62" s="73"/>
      <c r="U62" s="73"/>
      <c r="V62" s="73"/>
    </row>
    <row r="63" spans="2:22" s="72" customFormat="1" ht="11.4" x14ac:dyDescent="0.25">
      <c r="B63" s="73" t="s">
        <v>9396</v>
      </c>
      <c r="C63" s="33" t="s">
        <v>1579</v>
      </c>
      <c r="D63" s="23" t="s">
        <v>1573</v>
      </c>
      <c r="E63" s="73"/>
      <c r="F63" s="73"/>
      <c r="G63" s="73"/>
      <c r="H63" s="73"/>
      <c r="I63" s="73" t="s">
        <v>10978</v>
      </c>
      <c r="J63" s="33" t="s">
        <v>9374</v>
      </c>
      <c r="K63" s="33" t="s">
        <v>9375</v>
      </c>
      <c r="L63" s="33" t="s">
        <v>121</v>
      </c>
      <c r="M63" s="33" t="s">
        <v>9376</v>
      </c>
      <c r="N63" s="73"/>
      <c r="O63" s="73"/>
      <c r="P63" s="73"/>
      <c r="Q63" s="73"/>
      <c r="R63" s="23"/>
      <c r="S63" s="23"/>
      <c r="T63" s="73"/>
      <c r="U63" s="73"/>
      <c r="V63" s="73"/>
    </row>
    <row r="64" spans="2:22" s="72" customFormat="1" ht="20.399999999999999" x14ac:dyDescent="0.25">
      <c r="B64" s="73" t="s">
        <v>9396</v>
      </c>
      <c r="C64" s="33" t="s">
        <v>1599</v>
      </c>
      <c r="D64" s="23" t="s">
        <v>1600</v>
      </c>
      <c r="E64" s="73"/>
      <c r="F64" s="73"/>
      <c r="G64" s="73"/>
      <c r="H64" s="73"/>
      <c r="I64" s="73" t="s">
        <v>10979</v>
      </c>
      <c r="J64" s="33" t="s">
        <v>9374</v>
      </c>
      <c r="K64" s="33" t="s">
        <v>9375</v>
      </c>
      <c r="L64" s="33" t="s">
        <v>121</v>
      </c>
      <c r="M64" s="33" t="s">
        <v>9376</v>
      </c>
      <c r="N64" s="73"/>
      <c r="O64" s="73"/>
      <c r="P64" s="73"/>
      <c r="Q64" s="73"/>
      <c r="R64" s="23"/>
      <c r="S64" s="23"/>
      <c r="T64" s="73"/>
      <c r="U64" s="73"/>
      <c r="V64" s="73"/>
    </row>
    <row r="65" spans="2:22" s="72" customFormat="1" ht="11.4" x14ac:dyDescent="0.25">
      <c r="B65" s="73" t="s">
        <v>9396</v>
      </c>
      <c r="C65" s="33" t="s">
        <v>1635</v>
      </c>
      <c r="D65" s="23" t="s">
        <v>1636</v>
      </c>
      <c r="E65" s="73" t="s">
        <v>10980</v>
      </c>
      <c r="F65" s="73" t="s">
        <v>10902</v>
      </c>
      <c r="G65" s="73"/>
      <c r="H65" s="73" t="s">
        <v>10981</v>
      </c>
      <c r="I65" s="73" t="s">
        <v>10982</v>
      </c>
      <c r="J65" s="33" t="s">
        <v>9374</v>
      </c>
      <c r="K65" s="33" t="s">
        <v>9375</v>
      </c>
      <c r="L65" s="33" t="s">
        <v>121</v>
      </c>
      <c r="M65" s="33" t="s">
        <v>9376</v>
      </c>
      <c r="N65" s="73"/>
      <c r="O65" s="73"/>
      <c r="P65" s="73"/>
      <c r="Q65" s="73"/>
      <c r="R65" s="23"/>
      <c r="S65" s="23"/>
      <c r="T65" s="73"/>
      <c r="U65" s="73"/>
      <c r="V65" s="73"/>
    </row>
    <row r="66" spans="2:22" s="72" customFormat="1" ht="11.4" x14ac:dyDescent="0.25">
      <c r="B66" s="73" t="s">
        <v>9396</v>
      </c>
      <c r="C66" s="33" t="s">
        <v>1682</v>
      </c>
      <c r="D66" s="23" t="s">
        <v>1683</v>
      </c>
      <c r="E66" s="73" t="s">
        <v>10983</v>
      </c>
      <c r="F66" s="73" t="s">
        <v>10902</v>
      </c>
      <c r="G66" s="73"/>
      <c r="H66" s="73" t="s">
        <v>10984</v>
      </c>
      <c r="I66" s="73" t="s">
        <v>10985</v>
      </c>
      <c r="J66" s="33" t="s">
        <v>9374</v>
      </c>
      <c r="K66" s="33" t="s">
        <v>9375</v>
      </c>
      <c r="L66" s="33" t="s">
        <v>121</v>
      </c>
      <c r="M66" s="33" t="s">
        <v>9376</v>
      </c>
      <c r="N66" s="73"/>
      <c r="O66" s="73"/>
      <c r="P66" s="73"/>
      <c r="Q66" s="73"/>
      <c r="R66" s="23"/>
      <c r="S66" s="23"/>
      <c r="T66" s="73"/>
      <c r="U66" s="73"/>
      <c r="V66" s="73"/>
    </row>
    <row r="67" spans="2:22" s="72" customFormat="1" ht="11.4" x14ac:dyDescent="0.25">
      <c r="B67" s="73" t="s">
        <v>9396</v>
      </c>
      <c r="C67" s="33" t="s">
        <v>1695</v>
      </c>
      <c r="D67" s="23" t="s">
        <v>1696</v>
      </c>
      <c r="E67" s="73" t="s">
        <v>10986</v>
      </c>
      <c r="F67" s="73" t="s">
        <v>10902</v>
      </c>
      <c r="G67" s="73"/>
      <c r="H67" s="73" t="s">
        <v>10917</v>
      </c>
      <c r="I67" s="73" t="s">
        <v>10987</v>
      </c>
      <c r="J67" s="33" t="s">
        <v>9374</v>
      </c>
      <c r="K67" s="33" t="s">
        <v>9375</v>
      </c>
      <c r="L67" s="33" t="s">
        <v>121</v>
      </c>
      <c r="M67" s="33" t="s">
        <v>9376</v>
      </c>
      <c r="N67" s="73"/>
      <c r="O67" s="73"/>
      <c r="P67" s="73"/>
      <c r="Q67" s="73"/>
      <c r="R67" s="23"/>
      <c r="S67" s="23"/>
      <c r="T67" s="73"/>
      <c r="U67" s="73"/>
      <c r="V67" s="73"/>
    </row>
    <row r="68" spans="2:22" s="72" customFormat="1" ht="11.4" x14ac:dyDescent="0.25">
      <c r="B68" s="73" t="s">
        <v>9396</v>
      </c>
      <c r="C68" s="33" t="s">
        <v>1900</v>
      </c>
      <c r="D68" s="23" t="s">
        <v>1901</v>
      </c>
      <c r="E68" s="73" t="s">
        <v>10988</v>
      </c>
      <c r="F68" s="73" t="s">
        <v>10902</v>
      </c>
      <c r="G68" s="73"/>
      <c r="H68" s="73" t="s">
        <v>10922</v>
      </c>
      <c r="I68" s="73"/>
      <c r="J68" s="33" t="s">
        <v>9374</v>
      </c>
      <c r="K68" s="33" t="s">
        <v>9375</v>
      </c>
      <c r="L68" s="33" t="s">
        <v>121</v>
      </c>
      <c r="M68" s="33" t="s">
        <v>9376</v>
      </c>
      <c r="N68" s="73"/>
      <c r="O68" s="73"/>
      <c r="P68" s="73"/>
      <c r="Q68" s="73"/>
      <c r="R68" s="23"/>
      <c r="S68" s="23"/>
      <c r="T68" s="73"/>
      <c r="U68" s="73"/>
      <c r="V68" s="73"/>
    </row>
    <row r="69" spans="2:22" s="72" customFormat="1" ht="11.4" x14ac:dyDescent="0.25">
      <c r="B69" s="73" t="s">
        <v>9396</v>
      </c>
      <c r="C69" s="33" t="s">
        <v>1903</v>
      </c>
      <c r="D69" s="23" t="s">
        <v>1904</v>
      </c>
      <c r="E69" s="73"/>
      <c r="F69" s="73"/>
      <c r="G69" s="73"/>
      <c r="H69" s="73"/>
      <c r="I69" s="73"/>
      <c r="J69" s="33" t="s">
        <v>9374</v>
      </c>
      <c r="K69" s="33" t="s">
        <v>9375</v>
      </c>
      <c r="L69" s="33" t="s">
        <v>121</v>
      </c>
      <c r="M69" s="33" t="s">
        <v>9376</v>
      </c>
      <c r="N69" s="73"/>
      <c r="O69" s="73"/>
      <c r="P69" s="73"/>
      <c r="Q69" s="73"/>
      <c r="R69" s="23"/>
      <c r="S69" s="23"/>
      <c r="T69" s="73"/>
      <c r="U69" s="73"/>
      <c r="V69" s="73"/>
    </row>
    <row r="70" spans="2:22" s="72" customFormat="1" ht="11.4" x14ac:dyDescent="0.25">
      <c r="B70" s="73" t="s">
        <v>9396</v>
      </c>
      <c r="C70" s="33" t="s">
        <v>2085</v>
      </c>
      <c r="D70" s="23" t="s">
        <v>2086</v>
      </c>
      <c r="E70" s="73" t="s">
        <v>10989</v>
      </c>
      <c r="F70" s="73" t="s">
        <v>10902</v>
      </c>
      <c r="G70" s="73"/>
      <c r="H70" s="73" t="s">
        <v>10990</v>
      </c>
      <c r="I70" s="73"/>
      <c r="J70" s="33" t="s">
        <v>9374</v>
      </c>
      <c r="K70" s="33" t="s">
        <v>9375</v>
      </c>
      <c r="L70" s="33" t="s">
        <v>121</v>
      </c>
      <c r="M70" s="33" t="s">
        <v>9376</v>
      </c>
      <c r="N70" s="73"/>
      <c r="O70" s="73"/>
      <c r="P70" s="73"/>
      <c r="Q70" s="73"/>
      <c r="R70" s="23"/>
      <c r="S70" s="23"/>
      <c r="T70" s="73"/>
      <c r="U70" s="73"/>
      <c r="V70" s="73"/>
    </row>
    <row r="71" spans="2:22" s="72" customFormat="1" ht="30.6" x14ac:dyDescent="0.25">
      <c r="B71" s="73" t="s">
        <v>9396</v>
      </c>
      <c r="C71" s="33" t="s">
        <v>2180</v>
      </c>
      <c r="D71" s="23" t="s">
        <v>2181</v>
      </c>
      <c r="E71" s="73" t="s">
        <v>10991</v>
      </c>
      <c r="F71" s="73" t="s">
        <v>10902</v>
      </c>
      <c r="G71" s="73"/>
      <c r="H71" s="73" t="s">
        <v>10992</v>
      </c>
      <c r="I71" s="73"/>
      <c r="J71" s="33" t="s">
        <v>9374</v>
      </c>
      <c r="K71" s="33" t="s">
        <v>9375</v>
      </c>
      <c r="L71" s="33" t="s">
        <v>121</v>
      </c>
      <c r="M71" s="33" t="s">
        <v>9376</v>
      </c>
      <c r="N71" s="73"/>
      <c r="O71" s="73"/>
      <c r="P71" s="73"/>
      <c r="Q71" s="73" t="s">
        <v>10993</v>
      </c>
      <c r="R71" s="23"/>
      <c r="S71" s="23"/>
      <c r="T71" s="73"/>
      <c r="U71" s="73"/>
      <c r="V71" s="73"/>
    </row>
    <row r="72" spans="2:22" s="72" customFormat="1" ht="11.4" x14ac:dyDescent="0.25">
      <c r="B72" s="73" t="s">
        <v>9396</v>
      </c>
      <c r="C72" s="33" t="s">
        <v>2182</v>
      </c>
      <c r="D72" s="23" t="s">
        <v>10994</v>
      </c>
      <c r="E72" s="73" t="s">
        <v>10963</v>
      </c>
      <c r="F72" s="73" t="s">
        <v>10902</v>
      </c>
      <c r="G72" s="73"/>
      <c r="H72" s="73" t="s">
        <v>10964</v>
      </c>
      <c r="I72" s="73"/>
      <c r="J72" s="33" t="s">
        <v>9374</v>
      </c>
      <c r="K72" s="33" t="s">
        <v>9375</v>
      </c>
      <c r="L72" s="33" t="s">
        <v>121</v>
      </c>
      <c r="M72" s="33" t="s">
        <v>9376</v>
      </c>
      <c r="N72" s="73"/>
      <c r="O72" s="73"/>
      <c r="P72" s="73"/>
      <c r="Q72" s="73"/>
      <c r="R72" s="23"/>
      <c r="S72" s="23"/>
      <c r="T72" s="73"/>
      <c r="U72" s="73"/>
      <c r="V72" s="73"/>
    </row>
    <row r="73" spans="2:22" s="72" customFormat="1" ht="11.4" x14ac:dyDescent="0.25">
      <c r="B73" s="73" t="s">
        <v>9396</v>
      </c>
      <c r="C73" s="33" t="s">
        <v>2184</v>
      </c>
      <c r="D73" s="23" t="s">
        <v>2185</v>
      </c>
      <c r="E73" s="73"/>
      <c r="F73" s="73"/>
      <c r="G73" s="73"/>
      <c r="H73" s="73"/>
      <c r="I73" s="73"/>
      <c r="J73" s="33" t="s">
        <v>9374</v>
      </c>
      <c r="K73" s="33" t="s">
        <v>9375</v>
      </c>
      <c r="L73" s="33" t="s">
        <v>121</v>
      </c>
      <c r="M73" s="33" t="s">
        <v>9376</v>
      </c>
      <c r="N73" s="73"/>
      <c r="O73" s="73"/>
      <c r="P73" s="73"/>
      <c r="Q73" s="73"/>
      <c r="R73" s="23"/>
      <c r="S73" s="23"/>
      <c r="T73" s="73"/>
      <c r="U73" s="73"/>
      <c r="V73" s="73"/>
    </row>
    <row r="74" spans="2:22" s="72" customFormat="1" ht="11.4" x14ac:dyDescent="0.25">
      <c r="B74" s="73" t="s">
        <v>9396</v>
      </c>
      <c r="C74" s="33" t="s">
        <v>2187</v>
      </c>
      <c r="D74" s="23" t="s">
        <v>2188</v>
      </c>
      <c r="E74" s="73"/>
      <c r="F74" s="73"/>
      <c r="G74" s="73"/>
      <c r="H74" s="73"/>
      <c r="I74" s="73"/>
      <c r="J74" s="33" t="s">
        <v>9374</v>
      </c>
      <c r="K74" s="33" t="s">
        <v>9375</v>
      </c>
      <c r="L74" s="33" t="s">
        <v>121</v>
      </c>
      <c r="M74" s="33" t="s">
        <v>9376</v>
      </c>
      <c r="N74" s="73"/>
      <c r="O74" s="73"/>
      <c r="P74" s="73"/>
      <c r="Q74" s="73"/>
      <c r="R74" s="23"/>
      <c r="S74" s="23"/>
      <c r="T74" s="73"/>
      <c r="U74" s="73"/>
      <c r="V74" s="73"/>
    </row>
    <row r="75" spans="2:22" s="72" customFormat="1" ht="30.6" x14ac:dyDescent="0.25">
      <c r="B75" s="73" t="s">
        <v>9396</v>
      </c>
      <c r="C75" s="33" t="s">
        <v>2189</v>
      </c>
      <c r="D75" s="23" t="s">
        <v>2190</v>
      </c>
      <c r="E75" s="73"/>
      <c r="F75" s="73"/>
      <c r="G75" s="73"/>
      <c r="H75" s="73"/>
      <c r="I75" s="73"/>
      <c r="J75" s="33" t="s">
        <v>9374</v>
      </c>
      <c r="K75" s="33" t="s">
        <v>9375</v>
      </c>
      <c r="L75" s="33" t="s">
        <v>121</v>
      </c>
      <c r="M75" s="33" t="s">
        <v>9376</v>
      </c>
      <c r="N75" s="73"/>
      <c r="O75" s="73"/>
      <c r="P75" s="73"/>
      <c r="Q75" s="73" t="s">
        <v>10995</v>
      </c>
      <c r="R75" s="23"/>
      <c r="S75" s="23"/>
      <c r="T75" s="73"/>
      <c r="U75" s="73"/>
      <c r="V75" s="73"/>
    </row>
    <row r="76" spans="2:22" s="72" customFormat="1" ht="11.4" x14ac:dyDescent="0.25">
      <c r="B76" s="73" t="s">
        <v>9396</v>
      </c>
      <c r="C76" s="33" t="s">
        <v>2192</v>
      </c>
      <c r="D76" s="23" t="s">
        <v>2193</v>
      </c>
      <c r="E76" s="73"/>
      <c r="F76" s="73"/>
      <c r="G76" s="73"/>
      <c r="H76" s="73"/>
      <c r="I76" s="73"/>
      <c r="J76" s="33" t="s">
        <v>9374</v>
      </c>
      <c r="K76" s="33" t="s">
        <v>9375</v>
      </c>
      <c r="L76" s="33" t="s">
        <v>121</v>
      </c>
      <c r="M76" s="33" t="s">
        <v>9376</v>
      </c>
      <c r="N76" s="73"/>
      <c r="O76" s="73"/>
      <c r="P76" s="73"/>
      <c r="Q76" s="73"/>
      <c r="R76" s="23"/>
      <c r="S76" s="23"/>
      <c r="T76" s="73"/>
      <c r="U76" s="73"/>
      <c r="V76" s="73"/>
    </row>
    <row r="77" spans="2:22" s="72" customFormat="1" ht="11.4" x14ac:dyDescent="0.25">
      <c r="B77" s="73" t="s">
        <v>9396</v>
      </c>
      <c r="C77" s="33" t="s">
        <v>2194</v>
      </c>
      <c r="D77" s="23" t="s">
        <v>2195</v>
      </c>
      <c r="E77" s="73"/>
      <c r="F77" s="73"/>
      <c r="G77" s="73"/>
      <c r="H77" s="73"/>
      <c r="I77" s="73"/>
      <c r="J77" s="33" t="s">
        <v>9374</v>
      </c>
      <c r="K77" s="33" t="s">
        <v>9375</v>
      </c>
      <c r="L77" s="33" t="s">
        <v>121</v>
      </c>
      <c r="M77" s="33" t="s">
        <v>9376</v>
      </c>
      <c r="N77" s="73"/>
      <c r="O77" s="73"/>
      <c r="P77" s="73"/>
      <c r="Q77" s="73"/>
      <c r="R77" s="23"/>
      <c r="S77" s="23"/>
      <c r="T77" s="73"/>
      <c r="U77" s="73"/>
      <c r="V77" s="73"/>
    </row>
    <row r="78" spans="2:22" s="72" customFormat="1" ht="40.799999999999997" x14ac:dyDescent="0.25">
      <c r="B78" s="73" t="s">
        <v>9396</v>
      </c>
      <c r="C78" s="33" t="s">
        <v>2196</v>
      </c>
      <c r="D78" s="23" t="s">
        <v>2197</v>
      </c>
      <c r="E78" s="73"/>
      <c r="F78" s="73"/>
      <c r="G78" s="73"/>
      <c r="H78" s="73"/>
      <c r="I78" s="73"/>
      <c r="J78" s="33" t="s">
        <v>9374</v>
      </c>
      <c r="K78" s="33" t="s">
        <v>9375</v>
      </c>
      <c r="L78" s="33" t="s">
        <v>121</v>
      </c>
      <c r="M78" s="33" t="s">
        <v>9376</v>
      </c>
      <c r="N78" s="73"/>
      <c r="O78" s="73"/>
      <c r="P78" s="73"/>
      <c r="Q78" s="73" t="s">
        <v>10996</v>
      </c>
      <c r="R78" s="23"/>
      <c r="S78" s="23"/>
      <c r="T78" s="73"/>
      <c r="U78" s="73"/>
      <c r="V78" s="73"/>
    </row>
    <row r="79" spans="2:22" s="72" customFormat="1" ht="11.4" x14ac:dyDescent="0.25">
      <c r="B79" s="73" t="s">
        <v>9396</v>
      </c>
      <c r="C79" s="33" t="s">
        <v>2198</v>
      </c>
      <c r="D79" s="23" t="s">
        <v>2199</v>
      </c>
      <c r="E79" s="73"/>
      <c r="F79" s="73"/>
      <c r="G79" s="73"/>
      <c r="H79" s="73"/>
      <c r="I79" s="73"/>
      <c r="J79" s="33" t="s">
        <v>9374</v>
      </c>
      <c r="K79" s="33" t="s">
        <v>9375</v>
      </c>
      <c r="L79" s="33" t="s">
        <v>121</v>
      </c>
      <c r="M79" s="33" t="s">
        <v>9376</v>
      </c>
      <c r="N79" s="73"/>
      <c r="O79" s="73"/>
      <c r="P79" s="73"/>
      <c r="Q79" s="73"/>
      <c r="R79" s="23"/>
      <c r="S79" s="23"/>
      <c r="T79" s="73"/>
      <c r="U79" s="73"/>
      <c r="V79" s="73"/>
    </row>
    <row r="80" spans="2:22" s="72" customFormat="1" ht="11.4" x14ac:dyDescent="0.25">
      <c r="B80" s="73" t="s">
        <v>9396</v>
      </c>
      <c r="C80" s="33" t="s">
        <v>2200</v>
      </c>
      <c r="D80" s="23" t="s">
        <v>2201</v>
      </c>
      <c r="E80" s="73" t="s">
        <v>10997</v>
      </c>
      <c r="F80" s="73" t="s">
        <v>10902</v>
      </c>
      <c r="G80" s="73"/>
      <c r="H80" s="73" t="s">
        <v>10998</v>
      </c>
      <c r="I80" s="73"/>
      <c r="J80" s="33" t="s">
        <v>9374</v>
      </c>
      <c r="K80" s="33" t="s">
        <v>9375</v>
      </c>
      <c r="L80" s="33" t="s">
        <v>121</v>
      </c>
      <c r="M80" s="33" t="s">
        <v>9376</v>
      </c>
      <c r="N80" s="73"/>
      <c r="O80" s="73"/>
      <c r="P80" s="73"/>
      <c r="Q80" s="73"/>
      <c r="R80" s="23"/>
      <c r="S80" s="23"/>
      <c r="T80" s="73"/>
      <c r="U80" s="73"/>
      <c r="V80" s="73"/>
    </row>
    <row r="81" spans="2:22" s="72" customFormat="1" ht="11.4" x14ac:dyDescent="0.25">
      <c r="B81" s="73" t="s">
        <v>9396</v>
      </c>
      <c r="C81" s="33" t="s">
        <v>2202</v>
      </c>
      <c r="D81" s="23" t="s">
        <v>2203</v>
      </c>
      <c r="E81" s="73"/>
      <c r="F81" s="73"/>
      <c r="G81" s="73"/>
      <c r="H81" s="73"/>
      <c r="I81" s="73"/>
      <c r="J81" s="33" t="s">
        <v>9374</v>
      </c>
      <c r="K81" s="33" t="s">
        <v>9375</v>
      </c>
      <c r="L81" s="33" t="s">
        <v>121</v>
      </c>
      <c r="M81" s="33" t="s">
        <v>9376</v>
      </c>
      <c r="N81" s="73"/>
      <c r="O81" s="73"/>
      <c r="P81" s="73"/>
      <c r="Q81" s="73"/>
      <c r="R81" s="23"/>
      <c r="S81" s="23"/>
      <c r="T81" s="73"/>
      <c r="U81" s="73"/>
      <c r="V81" s="73"/>
    </row>
    <row r="82" spans="2:22" s="72" customFormat="1" ht="20.399999999999999" x14ac:dyDescent="0.25">
      <c r="B82" s="73" t="s">
        <v>9396</v>
      </c>
      <c r="C82" s="33" t="s">
        <v>2204</v>
      </c>
      <c r="D82" s="23" t="s">
        <v>2205</v>
      </c>
      <c r="E82" s="73"/>
      <c r="F82" s="73"/>
      <c r="G82" s="73"/>
      <c r="H82" s="73"/>
      <c r="I82" s="73"/>
      <c r="J82" s="33" t="s">
        <v>9374</v>
      </c>
      <c r="K82" s="33" t="s">
        <v>9375</v>
      </c>
      <c r="L82" s="33" t="s">
        <v>121</v>
      </c>
      <c r="M82" s="33" t="s">
        <v>9376</v>
      </c>
      <c r="N82" s="73"/>
      <c r="O82" s="73"/>
      <c r="P82" s="73"/>
      <c r="Q82" s="73" t="s">
        <v>10999</v>
      </c>
      <c r="R82" s="23"/>
      <c r="S82" s="23"/>
      <c r="T82" s="73"/>
      <c r="U82" s="73"/>
      <c r="V82" s="73"/>
    </row>
    <row r="83" spans="2:22" s="72" customFormat="1" ht="11.4" x14ac:dyDescent="0.25">
      <c r="B83" s="73" t="s">
        <v>9396</v>
      </c>
      <c r="C83" s="33" t="s">
        <v>2206</v>
      </c>
      <c r="D83" s="23" t="s">
        <v>2207</v>
      </c>
      <c r="E83" s="73"/>
      <c r="F83" s="73"/>
      <c r="G83" s="73"/>
      <c r="H83" s="73"/>
      <c r="I83" s="73"/>
      <c r="J83" s="33" t="s">
        <v>9374</v>
      </c>
      <c r="K83" s="33" t="s">
        <v>9375</v>
      </c>
      <c r="L83" s="33" t="s">
        <v>121</v>
      </c>
      <c r="M83" s="33" t="s">
        <v>9376</v>
      </c>
      <c r="N83" s="73"/>
      <c r="O83" s="73"/>
      <c r="P83" s="73"/>
      <c r="Q83" s="73"/>
      <c r="R83" s="23"/>
      <c r="S83" s="23"/>
      <c r="T83" s="73"/>
      <c r="U83" s="73"/>
      <c r="V83" s="73"/>
    </row>
    <row r="84" spans="2:22" s="72" customFormat="1" ht="11.4" x14ac:dyDescent="0.25">
      <c r="B84" s="73" t="s">
        <v>9396</v>
      </c>
      <c r="C84" s="33" t="s">
        <v>2208</v>
      </c>
      <c r="D84" s="23" t="s">
        <v>2209</v>
      </c>
      <c r="E84" s="73"/>
      <c r="F84" s="73"/>
      <c r="G84" s="73"/>
      <c r="H84" s="73"/>
      <c r="I84" s="73"/>
      <c r="J84" s="33" t="s">
        <v>9374</v>
      </c>
      <c r="K84" s="33" t="s">
        <v>9375</v>
      </c>
      <c r="L84" s="33" t="s">
        <v>121</v>
      </c>
      <c r="M84" s="33" t="s">
        <v>9376</v>
      </c>
      <c r="N84" s="73"/>
      <c r="O84" s="73"/>
      <c r="P84" s="73"/>
      <c r="Q84" s="73"/>
      <c r="R84" s="23"/>
      <c r="S84" s="23"/>
      <c r="T84" s="73"/>
      <c r="U84" s="73"/>
      <c r="V84" s="73"/>
    </row>
    <row r="85" spans="2:22" s="72" customFormat="1" ht="20.399999999999999" x14ac:dyDescent="0.25">
      <c r="B85" s="73" t="s">
        <v>9396</v>
      </c>
      <c r="C85" s="33" t="s">
        <v>2210</v>
      </c>
      <c r="D85" s="23" t="s">
        <v>2211</v>
      </c>
      <c r="E85" s="73" t="s">
        <v>10921</v>
      </c>
      <c r="F85" s="73" t="s">
        <v>10902</v>
      </c>
      <c r="G85" s="73"/>
      <c r="H85" s="73" t="s">
        <v>10922</v>
      </c>
      <c r="I85" s="73"/>
      <c r="J85" s="33" t="s">
        <v>9374</v>
      </c>
      <c r="K85" s="33" t="s">
        <v>9375</v>
      </c>
      <c r="L85" s="33" t="s">
        <v>121</v>
      </c>
      <c r="M85" s="33" t="s">
        <v>9376</v>
      </c>
      <c r="N85" s="73"/>
      <c r="O85" s="73"/>
      <c r="P85" s="73"/>
      <c r="Q85" s="73" t="s">
        <v>10999</v>
      </c>
      <c r="R85" s="23"/>
      <c r="S85" s="23"/>
      <c r="T85" s="73"/>
      <c r="U85" s="73"/>
      <c r="V85" s="73"/>
    </row>
    <row r="86" spans="2:22" s="72" customFormat="1" ht="11.4" x14ac:dyDescent="0.25">
      <c r="B86" s="73" t="s">
        <v>9396</v>
      </c>
      <c r="C86" s="33" t="s">
        <v>2213</v>
      </c>
      <c r="D86" s="23" t="s">
        <v>2214</v>
      </c>
      <c r="E86" s="73"/>
      <c r="F86" s="73"/>
      <c r="G86" s="73"/>
      <c r="H86" s="73"/>
      <c r="I86" s="73"/>
      <c r="J86" s="33" t="s">
        <v>9374</v>
      </c>
      <c r="K86" s="33" t="s">
        <v>9375</v>
      </c>
      <c r="L86" s="33" t="s">
        <v>121</v>
      </c>
      <c r="M86" s="33" t="s">
        <v>9376</v>
      </c>
      <c r="N86" s="73"/>
      <c r="O86" s="73"/>
      <c r="P86" s="73"/>
      <c r="Q86" s="73"/>
      <c r="R86" s="23"/>
      <c r="S86" s="23"/>
      <c r="T86" s="73"/>
      <c r="U86" s="73"/>
      <c r="V86" s="73"/>
    </row>
    <row r="87" spans="2:22" s="72" customFormat="1" ht="11.4" x14ac:dyDescent="0.25">
      <c r="B87" s="73" t="s">
        <v>9396</v>
      </c>
      <c r="C87" s="33" t="s">
        <v>2215</v>
      </c>
      <c r="D87" s="23" t="s">
        <v>2216</v>
      </c>
      <c r="E87" s="73"/>
      <c r="F87" s="73"/>
      <c r="G87" s="73"/>
      <c r="H87" s="73"/>
      <c r="I87" s="73"/>
      <c r="J87" s="33" t="s">
        <v>9374</v>
      </c>
      <c r="K87" s="33" t="s">
        <v>9375</v>
      </c>
      <c r="L87" s="33" t="s">
        <v>121</v>
      </c>
      <c r="M87" s="33" t="s">
        <v>9376</v>
      </c>
      <c r="N87" s="73"/>
      <c r="O87" s="73"/>
      <c r="P87" s="73"/>
      <c r="Q87" s="73"/>
      <c r="R87" s="23"/>
      <c r="S87" s="23"/>
      <c r="T87" s="73"/>
      <c r="U87" s="73"/>
      <c r="V87" s="73"/>
    </row>
    <row r="88" spans="2:22" s="72" customFormat="1" ht="11.4" x14ac:dyDescent="0.25">
      <c r="B88" s="73" t="s">
        <v>9396</v>
      </c>
      <c r="C88" s="33" t="s">
        <v>2218</v>
      </c>
      <c r="D88" s="23" t="s">
        <v>2219</v>
      </c>
      <c r="E88" s="73"/>
      <c r="F88" s="73"/>
      <c r="G88" s="73"/>
      <c r="H88" s="73"/>
      <c r="I88" s="73"/>
      <c r="J88" s="33" t="s">
        <v>9374</v>
      </c>
      <c r="K88" s="33" t="s">
        <v>9375</v>
      </c>
      <c r="L88" s="33" t="s">
        <v>121</v>
      </c>
      <c r="M88" s="33" t="s">
        <v>9376</v>
      </c>
      <c r="N88" s="73"/>
      <c r="O88" s="73"/>
      <c r="P88" s="73"/>
      <c r="Q88" s="73"/>
      <c r="R88" s="23"/>
      <c r="S88" s="23"/>
      <c r="T88" s="73"/>
      <c r="U88" s="73"/>
      <c r="V88" s="73"/>
    </row>
    <row r="89" spans="2:22" s="72" customFormat="1" ht="11.4" x14ac:dyDescent="0.25">
      <c r="B89" s="73" t="s">
        <v>9396</v>
      </c>
      <c r="C89" s="33" t="s">
        <v>2220</v>
      </c>
      <c r="D89" s="23" t="s">
        <v>2221</v>
      </c>
      <c r="E89" s="73"/>
      <c r="F89" s="73"/>
      <c r="G89" s="73"/>
      <c r="H89" s="73"/>
      <c r="I89" s="73"/>
      <c r="J89" s="33" t="s">
        <v>9374</v>
      </c>
      <c r="K89" s="33" t="s">
        <v>9375</v>
      </c>
      <c r="L89" s="33" t="s">
        <v>121</v>
      </c>
      <c r="M89" s="33" t="s">
        <v>9376</v>
      </c>
      <c r="N89" s="73"/>
      <c r="O89" s="73"/>
      <c r="P89" s="73"/>
      <c r="Q89" s="73"/>
      <c r="R89" s="23"/>
      <c r="S89" s="23"/>
      <c r="T89" s="73"/>
      <c r="U89" s="73"/>
      <c r="V89" s="73"/>
    </row>
    <row r="90" spans="2:22" s="72" customFormat="1" ht="11.4" x14ac:dyDescent="0.25">
      <c r="B90" s="73" t="s">
        <v>9396</v>
      </c>
      <c r="C90" s="33" t="s">
        <v>2222</v>
      </c>
      <c r="D90" s="23" t="s">
        <v>2223</v>
      </c>
      <c r="E90" s="73"/>
      <c r="F90" s="73"/>
      <c r="G90" s="73"/>
      <c r="H90" s="73"/>
      <c r="I90" s="73"/>
      <c r="J90" s="33" t="s">
        <v>9374</v>
      </c>
      <c r="K90" s="33" t="s">
        <v>9375</v>
      </c>
      <c r="L90" s="33" t="s">
        <v>121</v>
      </c>
      <c r="M90" s="33" t="s">
        <v>9376</v>
      </c>
      <c r="N90" s="73"/>
      <c r="O90" s="73"/>
      <c r="P90" s="73"/>
      <c r="Q90" s="73"/>
      <c r="R90" s="23"/>
      <c r="S90" s="23"/>
      <c r="T90" s="73"/>
      <c r="U90" s="73"/>
      <c r="V90" s="73"/>
    </row>
    <row r="91" spans="2:22" s="72" customFormat="1" ht="11.4" x14ac:dyDescent="0.25">
      <c r="B91" s="73" t="s">
        <v>9396</v>
      </c>
      <c r="C91" s="33" t="s">
        <v>2224</v>
      </c>
      <c r="D91" s="23" t="s">
        <v>2225</v>
      </c>
      <c r="E91" s="73"/>
      <c r="F91" s="73"/>
      <c r="G91" s="73"/>
      <c r="H91" s="73"/>
      <c r="I91" s="73"/>
      <c r="J91" s="33" t="s">
        <v>9374</v>
      </c>
      <c r="K91" s="33" t="s">
        <v>9375</v>
      </c>
      <c r="L91" s="33" t="s">
        <v>121</v>
      </c>
      <c r="M91" s="33" t="s">
        <v>9376</v>
      </c>
      <c r="N91" s="73"/>
      <c r="O91" s="73"/>
      <c r="P91" s="73"/>
      <c r="Q91" s="73"/>
      <c r="R91" s="23"/>
      <c r="S91" s="23"/>
      <c r="T91" s="73"/>
      <c r="U91" s="73"/>
      <c r="V91" s="73"/>
    </row>
    <row r="92" spans="2:22" s="72" customFormat="1" ht="11.4" x14ac:dyDescent="0.25">
      <c r="B92" s="73" t="s">
        <v>9396</v>
      </c>
      <c r="C92" s="33" t="s">
        <v>2226</v>
      </c>
      <c r="D92" s="23" t="s">
        <v>2227</v>
      </c>
      <c r="E92" s="73"/>
      <c r="F92" s="73"/>
      <c r="G92" s="73"/>
      <c r="H92" s="73"/>
      <c r="I92" s="73"/>
      <c r="J92" s="33" t="s">
        <v>9374</v>
      </c>
      <c r="K92" s="33" t="s">
        <v>9375</v>
      </c>
      <c r="L92" s="33" t="s">
        <v>121</v>
      </c>
      <c r="M92" s="33" t="s">
        <v>9376</v>
      </c>
      <c r="N92" s="73"/>
      <c r="O92" s="73"/>
      <c r="P92" s="73"/>
      <c r="Q92" s="73"/>
      <c r="R92" s="23"/>
      <c r="S92" s="23"/>
      <c r="T92" s="73"/>
      <c r="U92" s="73"/>
      <c r="V92" s="73"/>
    </row>
    <row r="93" spans="2:22" s="72" customFormat="1" ht="11.4" x14ac:dyDescent="0.25">
      <c r="B93" s="73" t="s">
        <v>9396</v>
      </c>
      <c r="C93" s="33" t="s">
        <v>2228</v>
      </c>
      <c r="D93" s="23" t="s">
        <v>2229</v>
      </c>
      <c r="E93" s="73"/>
      <c r="F93" s="73"/>
      <c r="G93" s="73"/>
      <c r="H93" s="73"/>
      <c r="I93" s="73"/>
      <c r="J93" s="33" t="s">
        <v>9374</v>
      </c>
      <c r="K93" s="33" t="s">
        <v>9375</v>
      </c>
      <c r="L93" s="33" t="s">
        <v>121</v>
      </c>
      <c r="M93" s="33" t="s">
        <v>9376</v>
      </c>
      <c r="N93" s="73"/>
      <c r="O93" s="73"/>
      <c r="P93" s="73"/>
      <c r="Q93" s="73"/>
      <c r="R93" s="23"/>
      <c r="S93" s="23"/>
      <c r="T93" s="73"/>
      <c r="U93" s="73"/>
      <c r="V93" s="73"/>
    </row>
    <row r="94" spans="2:22" s="72" customFormat="1" ht="11.4" x14ac:dyDescent="0.25">
      <c r="B94" s="73" t="s">
        <v>9396</v>
      </c>
      <c r="C94" s="33" t="s">
        <v>2230</v>
      </c>
      <c r="D94" s="23" t="s">
        <v>1683</v>
      </c>
      <c r="E94" s="73"/>
      <c r="F94" s="73"/>
      <c r="G94" s="73"/>
      <c r="H94" s="73"/>
      <c r="I94" s="73"/>
      <c r="J94" s="33" t="s">
        <v>9374</v>
      </c>
      <c r="K94" s="33" t="s">
        <v>9375</v>
      </c>
      <c r="L94" s="33" t="s">
        <v>121</v>
      </c>
      <c r="M94" s="33" t="s">
        <v>9376</v>
      </c>
      <c r="N94" s="73"/>
      <c r="O94" s="73"/>
      <c r="P94" s="73"/>
      <c r="Q94" s="73"/>
      <c r="R94" s="23"/>
      <c r="S94" s="23"/>
      <c r="T94" s="73"/>
      <c r="U94" s="73"/>
      <c r="V94" s="73"/>
    </row>
    <row r="95" spans="2:22" s="72" customFormat="1" ht="11.4" x14ac:dyDescent="0.25">
      <c r="B95" s="73" t="s">
        <v>9396</v>
      </c>
      <c r="C95" s="33" t="s">
        <v>2231</v>
      </c>
      <c r="D95" s="23" t="s">
        <v>2232</v>
      </c>
      <c r="E95" s="73"/>
      <c r="F95" s="73"/>
      <c r="G95" s="73"/>
      <c r="H95" s="73"/>
      <c r="I95" s="73"/>
      <c r="J95" s="33" t="s">
        <v>9374</v>
      </c>
      <c r="K95" s="33" t="s">
        <v>9375</v>
      </c>
      <c r="L95" s="33" t="s">
        <v>121</v>
      </c>
      <c r="M95" s="33" t="s">
        <v>9376</v>
      </c>
      <c r="N95" s="73"/>
      <c r="O95" s="73"/>
      <c r="P95" s="73"/>
      <c r="Q95" s="73"/>
      <c r="R95" s="23"/>
      <c r="S95" s="23"/>
      <c r="T95" s="73"/>
      <c r="U95" s="73"/>
      <c r="V95" s="73"/>
    </row>
    <row r="96" spans="2:22" s="72" customFormat="1" ht="11.4" x14ac:dyDescent="0.25">
      <c r="B96" s="73" t="s">
        <v>9396</v>
      </c>
      <c r="C96" s="33" t="s">
        <v>2233</v>
      </c>
      <c r="D96" s="23" t="s">
        <v>2234</v>
      </c>
      <c r="E96" s="73"/>
      <c r="F96" s="73"/>
      <c r="G96" s="73"/>
      <c r="H96" s="73"/>
      <c r="I96" s="73"/>
      <c r="J96" s="33" t="s">
        <v>9374</v>
      </c>
      <c r="K96" s="33" t="s">
        <v>9375</v>
      </c>
      <c r="L96" s="33" t="s">
        <v>121</v>
      </c>
      <c r="M96" s="33" t="s">
        <v>9376</v>
      </c>
      <c r="N96" s="73"/>
      <c r="O96" s="73"/>
      <c r="P96" s="73"/>
      <c r="Q96" s="73"/>
      <c r="R96" s="23"/>
      <c r="S96" s="23"/>
      <c r="T96" s="73"/>
      <c r="U96" s="73"/>
      <c r="V96" s="73"/>
    </row>
    <row r="97" spans="2:22" s="72" customFormat="1" ht="20.399999999999999" x14ac:dyDescent="0.25">
      <c r="B97" s="73" t="s">
        <v>9396</v>
      </c>
      <c r="C97" s="33" t="s">
        <v>2235</v>
      </c>
      <c r="D97" s="23" t="s">
        <v>2236</v>
      </c>
      <c r="E97" s="73"/>
      <c r="F97" s="73"/>
      <c r="G97" s="73"/>
      <c r="H97" s="73"/>
      <c r="I97" s="73"/>
      <c r="J97" s="33" t="s">
        <v>9374</v>
      </c>
      <c r="K97" s="33" t="s">
        <v>9375</v>
      </c>
      <c r="L97" s="33" t="s">
        <v>121</v>
      </c>
      <c r="M97" s="33" t="s">
        <v>9376</v>
      </c>
      <c r="N97" s="73"/>
      <c r="O97" s="73"/>
      <c r="P97" s="73"/>
      <c r="Q97" s="73" t="s">
        <v>11000</v>
      </c>
      <c r="R97" s="23"/>
      <c r="S97" s="23"/>
      <c r="T97" s="73"/>
      <c r="U97" s="73"/>
      <c r="V97" s="73"/>
    </row>
    <row r="98" spans="2:22" s="72" customFormat="1" ht="11.4" x14ac:dyDescent="0.25">
      <c r="B98" s="73" t="s">
        <v>9396</v>
      </c>
      <c r="C98" s="33" t="s">
        <v>2237</v>
      </c>
      <c r="D98" s="23" t="s">
        <v>2238</v>
      </c>
      <c r="E98" s="73"/>
      <c r="F98" s="73"/>
      <c r="G98" s="73"/>
      <c r="H98" s="73"/>
      <c r="I98" s="73"/>
      <c r="J98" s="33" t="s">
        <v>9374</v>
      </c>
      <c r="K98" s="33" t="s">
        <v>9375</v>
      </c>
      <c r="L98" s="33" t="s">
        <v>121</v>
      </c>
      <c r="M98" s="33" t="s">
        <v>9376</v>
      </c>
      <c r="N98" s="73"/>
      <c r="O98" s="73"/>
      <c r="P98" s="73"/>
      <c r="Q98" s="73"/>
      <c r="R98" s="23"/>
      <c r="S98" s="23"/>
      <c r="T98" s="73"/>
      <c r="U98" s="73"/>
      <c r="V98" s="73"/>
    </row>
    <row r="99" spans="2:22" s="72" customFormat="1" ht="11.4" x14ac:dyDescent="0.25">
      <c r="B99" s="73" t="s">
        <v>9396</v>
      </c>
      <c r="C99" s="33" t="s">
        <v>2239</v>
      </c>
      <c r="D99" s="23" t="s">
        <v>2240</v>
      </c>
      <c r="E99" s="73"/>
      <c r="F99" s="73"/>
      <c r="G99" s="73"/>
      <c r="H99" s="73"/>
      <c r="I99" s="73"/>
      <c r="J99" s="33" t="s">
        <v>9374</v>
      </c>
      <c r="K99" s="33" t="s">
        <v>9375</v>
      </c>
      <c r="L99" s="33" t="s">
        <v>121</v>
      </c>
      <c r="M99" s="33" t="s">
        <v>9376</v>
      </c>
      <c r="N99" s="73"/>
      <c r="O99" s="73"/>
      <c r="P99" s="73"/>
      <c r="Q99" s="73"/>
      <c r="R99" s="23"/>
      <c r="S99" s="23"/>
      <c r="T99" s="73"/>
      <c r="U99" s="73"/>
      <c r="V99" s="73"/>
    </row>
    <row r="100" spans="2:22" s="72" customFormat="1" ht="11.4" x14ac:dyDescent="0.25">
      <c r="B100" s="73" t="s">
        <v>9396</v>
      </c>
      <c r="C100" s="33" t="s">
        <v>2241</v>
      </c>
      <c r="D100" s="23" t="s">
        <v>1696</v>
      </c>
      <c r="E100" s="73"/>
      <c r="F100" s="73"/>
      <c r="G100" s="73"/>
      <c r="H100" s="73"/>
      <c r="I100" s="73"/>
      <c r="J100" s="33" t="s">
        <v>9374</v>
      </c>
      <c r="K100" s="33" t="s">
        <v>9375</v>
      </c>
      <c r="L100" s="33" t="s">
        <v>121</v>
      </c>
      <c r="M100" s="33" t="s">
        <v>9376</v>
      </c>
      <c r="N100" s="73"/>
      <c r="O100" s="73"/>
      <c r="P100" s="73"/>
      <c r="Q100" s="73"/>
      <c r="R100" s="23"/>
      <c r="S100" s="23"/>
      <c r="T100" s="73"/>
      <c r="U100" s="73"/>
      <c r="V100" s="73"/>
    </row>
    <row r="101" spans="2:22" s="72" customFormat="1" ht="11.4" x14ac:dyDescent="0.25">
      <c r="B101" s="73" t="s">
        <v>9396</v>
      </c>
      <c r="C101" s="33" t="s">
        <v>2242</v>
      </c>
      <c r="D101" s="23" t="s">
        <v>2243</v>
      </c>
      <c r="E101" s="73"/>
      <c r="F101" s="73"/>
      <c r="G101" s="73"/>
      <c r="H101" s="73"/>
      <c r="I101" s="73"/>
      <c r="J101" s="33" t="s">
        <v>9374</v>
      </c>
      <c r="K101" s="33" t="s">
        <v>9375</v>
      </c>
      <c r="L101" s="33" t="s">
        <v>121</v>
      </c>
      <c r="M101" s="33" t="s">
        <v>9376</v>
      </c>
      <c r="N101" s="73"/>
      <c r="O101" s="73"/>
      <c r="P101" s="73"/>
      <c r="Q101" s="73"/>
      <c r="R101" s="23"/>
      <c r="S101" s="23"/>
      <c r="T101" s="73"/>
      <c r="U101" s="73"/>
      <c r="V101" s="73"/>
    </row>
    <row r="102" spans="2:22" s="72" customFormat="1" ht="11.4" x14ac:dyDescent="0.25">
      <c r="B102" s="73" t="s">
        <v>9396</v>
      </c>
      <c r="C102" s="33" t="s">
        <v>2244</v>
      </c>
      <c r="D102" s="23" t="s">
        <v>2245</v>
      </c>
      <c r="E102" s="73"/>
      <c r="F102" s="73"/>
      <c r="G102" s="73"/>
      <c r="H102" s="73"/>
      <c r="I102" s="73"/>
      <c r="J102" s="33" t="s">
        <v>9374</v>
      </c>
      <c r="K102" s="33" t="s">
        <v>9375</v>
      </c>
      <c r="L102" s="33" t="s">
        <v>121</v>
      </c>
      <c r="M102" s="33" t="s">
        <v>9376</v>
      </c>
      <c r="N102" s="73"/>
      <c r="O102" s="73"/>
      <c r="P102" s="73"/>
      <c r="Q102" s="73"/>
      <c r="R102" s="23"/>
      <c r="S102" s="23"/>
      <c r="T102" s="73"/>
      <c r="U102" s="73"/>
      <c r="V102" s="73"/>
    </row>
    <row r="103" spans="2:22" s="72" customFormat="1" ht="11.4" x14ac:dyDescent="0.25">
      <c r="B103" s="73" t="s">
        <v>9396</v>
      </c>
      <c r="C103" s="33" t="s">
        <v>2246</v>
      </c>
      <c r="D103" s="23" t="s">
        <v>2247</v>
      </c>
      <c r="E103" s="73"/>
      <c r="F103" s="73"/>
      <c r="G103" s="73"/>
      <c r="H103" s="73"/>
      <c r="I103" s="73"/>
      <c r="J103" s="33" t="s">
        <v>9374</v>
      </c>
      <c r="K103" s="33" t="s">
        <v>9375</v>
      </c>
      <c r="L103" s="33" t="s">
        <v>121</v>
      </c>
      <c r="M103" s="33" t="s">
        <v>9376</v>
      </c>
      <c r="N103" s="73"/>
      <c r="O103" s="73"/>
      <c r="P103" s="73"/>
      <c r="Q103" s="73"/>
      <c r="R103" s="23"/>
      <c r="S103" s="23"/>
      <c r="T103" s="73"/>
      <c r="U103" s="73"/>
      <c r="V103" s="73"/>
    </row>
    <row r="104" spans="2:22" s="72" customFormat="1" ht="11.4" x14ac:dyDescent="0.25">
      <c r="B104" s="73" t="s">
        <v>9396</v>
      </c>
      <c r="C104" s="33" t="s">
        <v>2248</v>
      </c>
      <c r="D104" s="23" t="s">
        <v>2249</v>
      </c>
      <c r="E104" s="73"/>
      <c r="F104" s="73"/>
      <c r="G104" s="73"/>
      <c r="H104" s="73"/>
      <c r="I104" s="73"/>
      <c r="J104" s="33" t="s">
        <v>9374</v>
      </c>
      <c r="K104" s="33" t="s">
        <v>9375</v>
      </c>
      <c r="L104" s="33" t="s">
        <v>121</v>
      </c>
      <c r="M104" s="33" t="s">
        <v>9376</v>
      </c>
      <c r="N104" s="73"/>
      <c r="O104" s="73"/>
      <c r="P104" s="73"/>
      <c r="Q104" s="73"/>
      <c r="R104" s="23"/>
      <c r="S104" s="23"/>
      <c r="T104" s="73"/>
      <c r="U104" s="73"/>
      <c r="V104" s="73"/>
    </row>
    <row r="105" spans="2:22" s="72" customFormat="1" ht="11.4" x14ac:dyDescent="0.25">
      <c r="B105" s="73" t="s">
        <v>9396</v>
      </c>
      <c r="C105" s="33" t="s">
        <v>2250</v>
      </c>
      <c r="D105" s="23" t="s">
        <v>2251</v>
      </c>
      <c r="E105" s="73"/>
      <c r="F105" s="73"/>
      <c r="G105" s="73"/>
      <c r="H105" s="73"/>
      <c r="I105" s="73"/>
      <c r="J105" s="33" t="s">
        <v>9374</v>
      </c>
      <c r="K105" s="33" t="s">
        <v>9375</v>
      </c>
      <c r="L105" s="33" t="s">
        <v>121</v>
      </c>
      <c r="M105" s="33" t="s">
        <v>9376</v>
      </c>
      <c r="N105" s="73"/>
      <c r="O105" s="73"/>
      <c r="P105" s="73"/>
      <c r="Q105" s="73"/>
      <c r="R105" s="23"/>
      <c r="S105" s="23"/>
      <c r="T105" s="73"/>
      <c r="U105" s="73"/>
      <c r="V105" s="73"/>
    </row>
    <row r="106" spans="2:22" s="72" customFormat="1" ht="11.4" x14ac:dyDescent="0.25">
      <c r="B106" s="73" t="s">
        <v>9396</v>
      </c>
      <c r="C106" s="33" t="s">
        <v>2252</v>
      </c>
      <c r="D106" s="23" t="s">
        <v>2253</v>
      </c>
      <c r="E106" s="73"/>
      <c r="F106" s="73"/>
      <c r="G106" s="73"/>
      <c r="H106" s="73"/>
      <c r="I106" s="73"/>
      <c r="J106" s="33" t="s">
        <v>9374</v>
      </c>
      <c r="K106" s="33" t="s">
        <v>9375</v>
      </c>
      <c r="L106" s="33" t="s">
        <v>121</v>
      </c>
      <c r="M106" s="33" t="s">
        <v>9376</v>
      </c>
      <c r="N106" s="73"/>
      <c r="O106" s="73"/>
      <c r="P106" s="73"/>
      <c r="Q106" s="73"/>
      <c r="R106" s="23"/>
      <c r="S106" s="23"/>
      <c r="T106" s="73"/>
      <c r="U106" s="73"/>
      <c r="V106" s="73"/>
    </row>
    <row r="107" spans="2:22" s="72" customFormat="1" ht="11.4" x14ac:dyDescent="0.25">
      <c r="B107" s="73" t="s">
        <v>9396</v>
      </c>
      <c r="C107" s="33" t="s">
        <v>2254</v>
      </c>
      <c r="D107" s="23" t="s">
        <v>2255</v>
      </c>
      <c r="E107" s="73"/>
      <c r="F107" s="73"/>
      <c r="G107" s="73"/>
      <c r="H107" s="73"/>
      <c r="I107" s="73"/>
      <c r="J107" s="33" t="s">
        <v>9374</v>
      </c>
      <c r="K107" s="33" t="s">
        <v>9375</v>
      </c>
      <c r="L107" s="33" t="s">
        <v>121</v>
      </c>
      <c r="M107" s="33" t="s">
        <v>9376</v>
      </c>
      <c r="N107" s="73"/>
      <c r="O107" s="73"/>
      <c r="P107" s="73"/>
      <c r="Q107" s="73"/>
      <c r="R107" s="23"/>
      <c r="S107" s="23"/>
      <c r="T107" s="73"/>
      <c r="U107" s="73"/>
      <c r="V107" s="73"/>
    </row>
    <row r="108" spans="2:22" s="72" customFormat="1" ht="11.4" x14ac:dyDescent="0.25">
      <c r="B108" s="73" t="s">
        <v>9396</v>
      </c>
      <c r="C108" s="33" t="s">
        <v>2256</v>
      </c>
      <c r="D108" s="23" t="s">
        <v>2257</v>
      </c>
      <c r="E108" s="73"/>
      <c r="F108" s="73"/>
      <c r="G108" s="73"/>
      <c r="H108" s="73"/>
      <c r="I108" s="73"/>
      <c r="J108" s="33" t="s">
        <v>9374</v>
      </c>
      <c r="K108" s="33" t="s">
        <v>9375</v>
      </c>
      <c r="L108" s="33" t="s">
        <v>121</v>
      </c>
      <c r="M108" s="33" t="s">
        <v>9376</v>
      </c>
      <c r="N108" s="73"/>
      <c r="O108" s="73"/>
      <c r="P108" s="73"/>
      <c r="Q108" s="73"/>
      <c r="R108" s="23"/>
      <c r="S108" s="23"/>
      <c r="T108" s="73"/>
      <c r="U108" s="73"/>
      <c r="V108" s="73"/>
    </row>
    <row r="109" spans="2:22" s="72" customFormat="1" ht="11.4" x14ac:dyDescent="0.25">
      <c r="B109" s="73" t="s">
        <v>9396</v>
      </c>
      <c r="C109" s="33" t="s">
        <v>2258</v>
      </c>
      <c r="D109" s="23" t="s">
        <v>2259</v>
      </c>
      <c r="E109" s="73"/>
      <c r="F109" s="73"/>
      <c r="G109" s="73"/>
      <c r="H109" s="73"/>
      <c r="I109" s="73"/>
      <c r="J109" s="33" t="s">
        <v>9374</v>
      </c>
      <c r="K109" s="33" t="s">
        <v>9375</v>
      </c>
      <c r="L109" s="33" t="s">
        <v>121</v>
      </c>
      <c r="M109" s="33" t="s">
        <v>9376</v>
      </c>
      <c r="N109" s="73"/>
      <c r="O109" s="73"/>
      <c r="P109" s="73"/>
      <c r="Q109" s="73"/>
      <c r="R109" s="23"/>
      <c r="S109" s="23"/>
      <c r="T109" s="73"/>
      <c r="U109" s="73"/>
      <c r="V109" s="73"/>
    </row>
    <row r="110" spans="2:22" s="72" customFormat="1" ht="11.4" x14ac:dyDescent="0.25">
      <c r="B110" s="73" t="s">
        <v>9396</v>
      </c>
      <c r="C110" s="33" t="s">
        <v>2260</v>
      </c>
      <c r="D110" s="23" t="s">
        <v>2261</v>
      </c>
      <c r="E110" s="73"/>
      <c r="F110" s="73"/>
      <c r="G110" s="73"/>
      <c r="H110" s="73"/>
      <c r="I110" s="73"/>
      <c r="J110" s="33" t="s">
        <v>9374</v>
      </c>
      <c r="K110" s="33" t="s">
        <v>9375</v>
      </c>
      <c r="L110" s="33" t="s">
        <v>121</v>
      </c>
      <c r="M110" s="33" t="s">
        <v>9376</v>
      </c>
      <c r="N110" s="73"/>
      <c r="O110" s="73"/>
      <c r="P110" s="73"/>
      <c r="Q110" s="73"/>
      <c r="R110" s="23"/>
      <c r="S110" s="23"/>
      <c r="T110" s="73"/>
      <c r="U110" s="73"/>
      <c r="V110" s="73"/>
    </row>
    <row r="111" spans="2:22" s="72" customFormat="1" ht="11.4" x14ac:dyDescent="0.25">
      <c r="B111" s="73" t="s">
        <v>9396</v>
      </c>
      <c r="C111" s="33" t="s">
        <v>2262</v>
      </c>
      <c r="D111" s="23" t="s">
        <v>2263</v>
      </c>
      <c r="E111" s="73"/>
      <c r="F111" s="73"/>
      <c r="G111" s="73"/>
      <c r="H111" s="73"/>
      <c r="I111" s="73"/>
      <c r="J111" s="33" t="s">
        <v>9374</v>
      </c>
      <c r="K111" s="33" t="s">
        <v>9375</v>
      </c>
      <c r="L111" s="33" t="s">
        <v>121</v>
      </c>
      <c r="M111" s="33" t="s">
        <v>9376</v>
      </c>
      <c r="N111" s="73"/>
      <c r="O111" s="73"/>
      <c r="P111" s="73"/>
      <c r="Q111" s="73"/>
      <c r="R111" s="23"/>
      <c r="S111" s="23"/>
      <c r="T111" s="73"/>
      <c r="U111" s="73"/>
      <c r="V111" s="73"/>
    </row>
    <row r="112" spans="2:22" s="72" customFormat="1" ht="30.6" x14ac:dyDescent="0.25">
      <c r="B112" s="73" t="s">
        <v>9396</v>
      </c>
      <c r="C112" s="33" t="s">
        <v>2264</v>
      </c>
      <c r="D112" s="23" t="s">
        <v>2265</v>
      </c>
      <c r="E112" s="73"/>
      <c r="F112" s="73"/>
      <c r="G112" s="73"/>
      <c r="H112" s="73"/>
      <c r="I112" s="73"/>
      <c r="J112" s="33" t="s">
        <v>9374</v>
      </c>
      <c r="K112" s="33" t="s">
        <v>9375</v>
      </c>
      <c r="L112" s="33" t="s">
        <v>121</v>
      </c>
      <c r="M112" s="33" t="s">
        <v>9376</v>
      </c>
      <c r="N112" s="73"/>
      <c r="O112" s="73"/>
      <c r="P112" s="73"/>
      <c r="Q112" s="73" t="s">
        <v>11001</v>
      </c>
      <c r="R112" s="23"/>
      <c r="S112" s="23"/>
      <c r="T112" s="73"/>
      <c r="U112" s="73"/>
      <c r="V112" s="73"/>
    </row>
    <row r="113" spans="2:22" s="72" customFormat="1" ht="11.4" x14ac:dyDescent="0.25">
      <c r="B113" s="73" t="s">
        <v>9396</v>
      </c>
      <c r="C113" s="33" t="s">
        <v>2266</v>
      </c>
      <c r="D113" s="23" t="s">
        <v>2267</v>
      </c>
      <c r="E113" s="73"/>
      <c r="F113" s="73"/>
      <c r="G113" s="73"/>
      <c r="H113" s="73"/>
      <c r="I113" s="73"/>
      <c r="J113" s="33" t="s">
        <v>9374</v>
      </c>
      <c r="K113" s="33" t="s">
        <v>9375</v>
      </c>
      <c r="L113" s="33" t="s">
        <v>121</v>
      </c>
      <c r="M113" s="33" t="s">
        <v>9376</v>
      </c>
      <c r="N113" s="73"/>
      <c r="O113" s="73"/>
      <c r="P113" s="73"/>
      <c r="Q113" s="73"/>
      <c r="R113" s="23"/>
      <c r="S113" s="23"/>
      <c r="T113" s="73"/>
      <c r="U113" s="73"/>
      <c r="V113" s="73"/>
    </row>
    <row r="114" spans="2:22" s="72" customFormat="1" ht="11.4" x14ac:dyDescent="0.25">
      <c r="B114" s="73" t="s">
        <v>9396</v>
      </c>
      <c r="C114" s="33" t="s">
        <v>2268</v>
      </c>
      <c r="D114" s="23" t="s">
        <v>2269</v>
      </c>
      <c r="E114" s="73"/>
      <c r="F114" s="73"/>
      <c r="G114" s="73"/>
      <c r="H114" s="73"/>
      <c r="I114" s="73"/>
      <c r="J114" s="33" t="s">
        <v>9374</v>
      </c>
      <c r="K114" s="33" t="s">
        <v>9375</v>
      </c>
      <c r="L114" s="33" t="s">
        <v>121</v>
      </c>
      <c r="M114" s="33" t="s">
        <v>9376</v>
      </c>
      <c r="N114" s="73"/>
      <c r="O114" s="73"/>
      <c r="P114" s="73"/>
      <c r="Q114" s="73"/>
      <c r="R114" s="23"/>
      <c r="S114" s="23"/>
      <c r="T114" s="73"/>
      <c r="U114" s="73"/>
      <c r="V114" s="73"/>
    </row>
    <row r="115" spans="2:22" s="72" customFormat="1" ht="11.4" x14ac:dyDescent="0.25">
      <c r="B115" s="73" t="s">
        <v>9396</v>
      </c>
      <c r="C115" s="33" t="s">
        <v>2270</v>
      </c>
      <c r="D115" s="23" t="s">
        <v>2271</v>
      </c>
      <c r="E115" s="73" t="s">
        <v>11002</v>
      </c>
      <c r="F115" s="73" t="s">
        <v>10902</v>
      </c>
      <c r="G115" s="73"/>
      <c r="H115" s="73" t="s">
        <v>10917</v>
      </c>
      <c r="I115" s="73"/>
      <c r="J115" s="33" t="s">
        <v>9374</v>
      </c>
      <c r="K115" s="33" t="s">
        <v>9375</v>
      </c>
      <c r="L115" s="33" t="s">
        <v>121</v>
      </c>
      <c r="M115" s="33" t="s">
        <v>9376</v>
      </c>
      <c r="N115" s="73"/>
      <c r="O115" s="73"/>
      <c r="P115" s="73"/>
      <c r="Q115" s="73"/>
      <c r="R115" s="23"/>
      <c r="S115" s="23"/>
      <c r="T115" s="73"/>
      <c r="U115" s="73"/>
      <c r="V115" s="73"/>
    </row>
    <row r="116" spans="2:22" s="72" customFormat="1" ht="11.4" x14ac:dyDescent="0.25">
      <c r="B116" s="73" t="s">
        <v>9396</v>
      </c>
      <c r="C116" s="33" t="s">
        <v>2273</v>
      </c>
      <c r="D116" s="23" t="s">
        <v>2274</v>
      </c>
      <c r="E116" s="73"/>
      <c r="F116" s="73"/>
      <c r="G116" s="73"/>
      <c r="H116" s="73"/>
      <c r="I116" s="73"/>
      <c r="J116" s="33" t="s">
        <v>9374</v>
      </c>
      <c r="K116" s="33" t="s">
        <v>9375</v>
      </c>
      <c r="L116" s="33" t="s">
        <v>121</v>
      </c>
      <c r="M116" s="33" t="s">
        <v>9376</v>
      </c>
      <c r="N116" s="73"/>
      <c r="O116" s="73"/>
      <c r="P116" s="73"/>
      <c r="Q116" s="73"/>
      <c r="R116" s="23"/>
      <c r="S116" s="23"/>
      <c r="T116" s="73"/>
      <c r="U116" s="73"/>
      <c r="V116" s="73"/>
    </row>
    <row r="117" spans="2:22" s="72" customFormat="1" ht="11.4" x14ac:dyDescent="0.25">
      <c r="B117" s="73" t="s">
        <v>9396</v>
      </c>
      <c r="C117" s="33" t="s">
        <v>2275</v>
      </c>
      <c r="D117" s="23" t="s">
        <v>2276</v>
      </c>
      <c r="E117" s="73"/>
      <c r="F117" s="73"/>
      <c r="G117" s="73"/>
      <c r="H117" s="73"/>
      <c r="I117" s="73"/>
      <c r="J117" s="33" t="s">
        <v>9374</v>
      </c>
      <c r="K117" s="33" t="s">
        <v>9375</v>
      </c>
      <c r="L117" s="33" t="s">
        <v>121</v>
      </c>
      <c r="M117" s="33" t="s">
        <v>9376</v>
      </c>
      <c r="N117" s="73"/>
      <c r="O117" s="73"/>
      <c r="P117" s="73"/>
      <c r="Q117" s="73"/>
      <c r="R117" s="23"/>
      <c r="S117" s="23"/>
      <c r="T117" s="73"/>
      <c r="U117" s="73"/>
      <c r="V117" s="73"/>
    </row>
    <row r="118" spans="2:22" s="72" customFormat="1" ht="11.4" x14ac:dyDescent="0.25">
      <c r="B118" s="73" t="s">
        <v>9396</v>
      </c>
      <c r="C118" s="33" t="s">
        <v>2277</v>
      </c>
      <c r="D118" s="23" t="s">
        <v>2278</v>
      </c>
      <c r="E118" s="73"/>
      <c r="F118" s="73"/>
      <c r="G118" s="73"/>
      <c r="H118" s="73"/>
      <c r="I118" s="73"/>
      <c r="J118" s="33" t="s">
        <v>9374</v>
      </c>
      <c r="K118" s="33" t="s">
        <v>9375</v>
      </c>
      <c r="L118" s="33" t="s">
        <v>121</v>
      </c>
      <c r="M118" s="33" t="s">
        <v>9376</v>
      </c>
      <c r="N118" s="73"/>
      <c r="O118" s="73"/>
      <c r="P118" s="73"/>
      <c r="Q118" s="73"/>
      <c r="R118" s="23"/>
      <c r="S118" s="23"/>
      <c r="T118" s="73"/>
      <c r="U118" s="73"/>
      <c r="V118" s="73"/>
    </row>
    <row r="119" spans="2:22" s="72" customFormat="1" ht="11.4" x14ac:dyDescent="0.25">
      <c r="B119" s="73" t="s">
        <v>9396</v>
      </c>
      <c r="C119" s="33" t="s">
        <v>2279</v>
      </c>
      <c r="D119" s="23" t="s">
        <v>2280</v>
      </c>
      <c r="E119" s="73"/>
      <c r="F119" s="73"/>
      <c r="G119" s="73"/>
      <c r="H119" s="73"/>
      <c r="I119" s="73"/>
      <c r="J119" s="33" t="s">
        <v>9374</v>
      </c>
      <c r="K119" s="33" t="s">
        <v>9375</v>
      </c>
      <c r="L119" s="33" t="s">
        <v>121</v>
      </c>
      <c r="M119" s="33" t="s">
        <v>9376</v>
      </c>
      <c r="N119" s="73"/>
      <c r="O119" s="73"/>
      <c r="P119" s="73"/>
      <c r="Q119" s="73"/>
      <c r="R119" s="23"/>
      <c r="S119" s="23"/>
      <c r="T119" s="73"/>
      <c r="U119" s="73"/>
      <c r="V119" s="73"/>
    </row>
    <row r="120" spans="2:22" s="72" customFormat="1" ht="11.4" x14ac:dyDescent="0.25">
      <c r="B120" s="73" t="s">
        <v>9396</v>
      </c>
      <c r="C120" s="33" t="s">
        <v>2281</v>
      </c>
      <c r="D120" s="23" t="s">
        <v>2282</v>
      </c>
      <c r="E120" s="73"/>
      <c r="F120" s="73"/>
      <c r="G120" s="73"/>
      <c r="H120" s="73"/>
      <c r="I120" s="73"/>
      <c r="J120" s="33" t="s">
        <v>9374</v>
      </c>
      <c r="K120" s="33" t="s">
        <v>9375</v>
      </c>
      <c r="L120" s="33" t="s">
        <v>121</v>
      </c>
      <c r="M120" s="33" t="s">
        <v>9376</v>
      </c>
      <c r="N120" s="73"/>
      <c r="O120" s="73"/>
      <c r="P120" s="73"/>
      <c r="Q120" s="73"/>
      <c r="R120" s="23"/>
      <c r="S120" s="23"/>
      <c r="T120" s="73"/>
      <c r="U120" s="73"/>
      <c r="V120" s="73"/>
    </row>
    <row r="121" spans="2:22" s="72" customFormat="1" ht="11.4" x14ac:dyDescent="0.25">
      <c r="B121" s="73" t="s">
        <v>9396</v>
      </c>
      <c r="C121" s="33" t="s">
        <v>2283</v>
      </c>
      <c r="D121" s="23" t="s">
        <v>2284</v>
      </c>
      <c r="E121" s="73"/>
      <c r="F121" s="73"/>
      <c r="G121" s="73"/>
      <c r="H121" s="73"/>
      <c r="I121" s="73"/>
      <c r="J121" s="33" t="s">
        <v>9374</v>
      </c>
      <c r="K121" s="33" t="s">
        <v>9375</v>
      </c>
      <c r="L121" s="33" t="s">
        <v>121</v>
      </c>
      <c r="M121" s="33" t="s">
        <v>9376</v>
      </c>
      <c r="N121" s="73"/>
      <c r="O121" s="73"/>
      <c r="P121" s="73"/>
      <c r="Q121" s="73"/>
      <c r="R121" s="23"/>
      <c r="S121" s="23"/>
      <c r="T121" s="73"/>
      <c r="U121" s="73"/>
      <c r="V121" s="73"/>
    </row>
    <row r="122" spans="2:22" s="72" customFormat="1" ht="11.4" x14ac:dyDescent="0.25">
      <c r="B122" s="73" t="s">
        <v>9396</v>
      </c>
      <c r="C122" s="33" t="s">
        <v>2285</v>
      </c>
      <c r="D122" s="23" t="s">
        <v>2286</v>
      </c>
      <c r="E122" s="73"/>
      <c r="F122" s="73"/>
      <c r="G122" s="73"/>
      <c r="H122" s="73"/>
      <c r="I122" s="73"/>
      <c r="J122" s="33" t="s">
        <v>9374</v>
      </c>
      <c r="K122" s="33" t="s">
        <v>9375</v>
      </c>
      <c r="L122" s="33" t="s">
        <v>121</v>
      </c>
      <c r="M122" s="33" t="s">
        <v>9376</v>
      </c>
      <c r="N122" s="73"/>
      <c r="O122" s="73"/>
      <c r="P122" s="73"/>
      <c r="Q122" s="73"/>
      <c r="R122" s="23"/>
      <c r="S122" s="23"/>
      <c r="T122" s="73"/>
      <c r="U122" s="73"/>
      <c r="V122" s="73"/>
    </row>
    <row r="123" spans="2:22" s="72" customFormat="1" ht="11.4" x14ac:dyDescent="0.25">
      <c r="B123" s="73" t="s">
        <v>9396</v>
      </c>
      <c r="C123" s="33" t="s">
        <v>2287</v>
      </c>
      <c r="D123" s="23" t="s">
        <v>2288</v>
      </c>
      <c r="E123" s="73"/>
      <c r="F123" s="73"/>
      <c r="G123" s="73"/>
      <c r="H123" s="73"/>
      <c r="I123" s="73"/>
      <c r="J123" s="33" t="s">
        <v>9374</v>
      </c>
      <c r="K123" s="33" t="s">
        <v>9375</v>
      </c>
      <c r="L123" s="33" t="s">
        <v>121</v>
      </c>
      <c r="M123" s="33" t="s">
        <v>9376</v>
      </c>
      <c r="N123" s="73"/>
      <c r="O123" s="73"/>
      <c r="P123" s="73"/>
      <c r="Q123" s="73"/>
      <c r="R123" s="23"/>
      <c r="S123" s="23"/>
      <c r="T123" s="73"/>
      <c r="U123" s="73"/>
      <c r="V123" s="73"/>
    </row>
    <row r="124" spans="2:22" s="72" customFormat="1" ht="11.4" x14ac:dyDescent="0.25">
      <c r="B124" s="73" t="s">
        <v>9396</v>
      </c>
      <c r="C124" s="33" t="s">
        <v>2289</v>
      </c>
      <c r="D124" s="23" t="s">
        <v>2290</v>
      </c>
      <c r="E124" s="73"/>
      <c r="F124" s="73"/>
      <c r="G124" s="73"/>
      <c r="H124" s="73"/>
      <c r="I124" s="73"/>
      <c r="J124" s="33" t="s">
        <v>9374</v>
      </c>
      <c r="K124" s="33" t="s">
        <v>9375</v>
      </c>
      <c r="L124" s="33" t="s">
        <v>121</v>
      </c>
      <c r="M124" s="33" t="s">
        <v>9376</v>
      </c>
      <c r="N124" s="73"/>
      <c r="O124" s="73"/>
      <c r="P124" s="73"/>
      <c r="Q124" s="73"/>
      <c r="R124" s="23"/>
      <c r="S124" s="23"/>
      <c r="T124" s="73"/>
      <c r="U124" s="73"/>
      <c r="V124" s="73"/>
    </row>
    <row r="125" spans="2:22" s="72" customFormat="1" ht="11.4" x14ac:dyDescent="0.25">
      <c r="B125" s="73" t="s">
        <v>9396</v>
      </c>
      <c r="C125" s="33" t="s">
        <v>2291</v>
      </c>
      <c r="D125" s="23" t="s">
        <v>2292</v>
      </c>
      <c r="E125" s="73"/>
      <c r="F125" s="73"/>
      <c r="G125" s="73"/>
      <c r="H125" s="73"/>
      <c r="I125" s="73"/>
      <c r="J125" s="33" t="s">
        <v>9374</v>
      </c>
      <c r="K125" s="33" t="s">
        <v>9375</v>
      </c>
      <c r="L125" s="33" t="s">
        <v>121</v>
      </c>
      <c r="M125" s="33" t="s">
        <v>9376</v>
      </c>
      <c r="N125" s="73"/>
      <c r="O125" s="73"/>
      <c r="P125" s="73"/>
      <c r="Q125" s="73"/>
      <c r="R125" s="23"/>
      <c r="S125" s="23"/>
      <c r="T125" s="73"/>
      <c r="U125" s="73"/>
      <c r="V125" s="73"/>
    </row>
    <row r="126" spans="2:22" s="72" customFormat="1" ht="11.4" x14ac:dyDescent="0.25">
      <c r="B126" s="73" t="s">
        <v>9396</v>
      </c>
      <c r="C126" s="33" t="s">
        <v>2293</v>
      </c>
      <c r="D126" s="23" t="s">
        <v>2294</v>
      </c>
      <c r="E126" s="73" t="s">
        <v>11003</v>
      </c>
      <c r="F126" s="73" t="s">
        <v>10902</v>
      </c>
      <c r="G126" s="73"/>
      <c r="H126" s="73" t="s">
        <v>11004</v>
      </c>
      <c r="I126" s="73"/>
      <c r="J126" s="33" t="s">
        <v>9374</v>
      </c>
      <c r="K126" s="33" t="s">
        <v>9375</v>
      </c>
      <c r="L126" s="33" t="s">
        <v>121</v>
      </c>
      <c r="M126" s="33" t="s">
        <v>9376</v>
      </c>
      <c r="N126" s="73"/>
      <c r="O126" s="73"/>
      <c r="P126" s="73"/>
      <c r="Q126" s="73"/>
      <c r="R126" s="23"/>
      <c r="S126" s="23"/>
      <c r="T126" s="73"/>
      <c r="U126" s="73"/>
      <c r="V126" s="73"/>
    </row>
    <row r="127" spans="2:22" s="72" customFormat="1" ht="11.4" x14ac:dyDescent="0.25">
      <c r="B127" s="73" t="s">
        <v>9396</v>
      </c>
      <c r="C127" s="33" t="s">
        <v>2295</v>
      </c>
      <c r="D127" s="23" t="s">
        <v>2296</v>
      </c>
      <c r="E127" s="73" t="s">
        <v>11005</v>
      </c>
      <c r="F127" s="73" t="s">
        <v>10902</v>
      </c>
      <c r="G127" s="73"/>
      <c r="H127" s="73" t="s">
        <v>11006</v>
      </c>
      <c r="I127" s="73"/>
      <c r="J127" s="33" t="s">
        <v>9374</v>
      </c>
      <c r="K127" s="33" t="s">
        <v>9375</v>
      </c>
      <c r="L127" s="33" t="s">
        <v>121</v>
      </c>
      <c r="M127" s="33" t="s">
        <v>9376</v>
      </c>
      <c r="N127" s="73"/>
      <c r="O127" s="73"/>
      <c r="P127" s="73"/>
      <c r="Q127" s="73"/>
      <c r="R127" s="23"/>
      <c r="S127" s="23"/>
      <c r="T127" s="73"/>
      <c r="U127" s="73"/>
      <c r="V127" s="73"/>
    </row>
    <row r="128" spans="2:22" s="72" customFormat="1" ht="11.4" x14ac:dyDescent="0.25">
      <c r="B128" s="73" t="s">
        <v>9396</v>
      </c>
      <c r="C128" s="33" t="s">
        <v>2298</v>
      </c>
      <c r="D128" s="23" t="s">
        <v>2299</v>
      </c>
      <c r="E128" s="73" t="s">
        <v>11007</v>
      </c>
      <c r="F128" s="73" t="s">
        <v>10902</v>
      </c>
      <c r="G128" s="73"/>
      <c r="H128" s="73" t="s">
        <v>10917</v>
      </c>
      <c r="I128" s="73"/>
      <c r="J128" s="33" t="s">
        <v>9374</v>
      </c>
      <c r="K128" s="33" t="s">
        <v>9375</v>
      </c>
      <c r="L128" s="33" t="s">
        <v>121</v>
      </c>
      <c r="M128" s="33" t="s">
        <v>9376</v>
      </c>
      <c r="N128" s="73"/>
      <c r="O128" s="73"/>
      <c r="P128" s="73"/>
      <c r="Q128" s="73"/>
      <c r="R128" s="23"/>
      <c r="S128" s="23"/>
      <c r="T128" s="73"/>
      <c r="U128" s="73"/>
      <c r="V128" s="73"/>
    </row>
    <row r="129" spans="2:22" s="72" customFormat="1" ht="11.4" x14ac:dyDescent="0.25">
      <c r="B129" s="73" t="s">
        <v>9396</v>
      </c>
      <c r="C129" s="33" t="s">
        <v>2301</v>
      </c>
      <c r="D129" s="23" t="s">
        <v>2302</v>
      </c>
      <c r="E129" s="73"/>
      <c r="F129" s="73"/>
      <c r="G129" s="73"/>
      <c r="H129" s="73"/>
      <c r="I129" s="73"/>
      <c r="J129" s="33" t="s">
        <v>9374</v>
      </c>
      <c r="K129" s="33" t="s">
        <v>9375</v>
      </c>
      <c r="L129" s="33" t="s">
        <v>121</v>
      </c>
      <c r="M129" s="33" t="s">
        <v>9376</v>
      </c>
      <c r="N129" s="73"/>
      <c r="O129" s="73"/>
      <c r="P129" s="73"/>
      <c r="Q129" s="73"/>
      <c r="R129" s="23"/>
      <c r="S129" s="23"/>
      <c r="T129" s="73"/>
      <c r="U129" s="73"/>
      <c r="V129" s="73"/>
    </row>
    <row r="130" spans="2:22" s="72" customFormat="1" ht="11.4" x14ac:dyDescent="0.25">
      <c r="B130" s="73" t="s">
        <v>9396</v>
      </c>
      <c r="C130" s="33" t="s">
        <v>2303</v>
      </c>
      <c r="D130" s="23" t="s">
        <v>2304</v>
      </c>
      <c r="E130" s="73" t="s">
        <v>10965</v>
      </c>
      <c r="F130" s="73"/>
      <c r="G130" s="73"/>
      <c r="H130" s="73" t="s">
        <v>10966</v>
      </c>
      <c r="I130" s="73"/>
      <c r="J130" s="33" t="s">
        <v>9374</v>
      </c>
      <c r="K130" s="33" t="s">
        <v>9375</v>
      </c>
      <c r="L130" s="33" t="s">
        <v>121</v>
      </c>
      <c r="M130" s="33" t="s">
        <v>9376</v>
      </c>
      <c r="N130" s="73"/>
      <c r="O130" s="73"/>
      <c r="P130" s="73"/>
      <c r="Q130" s="73"/>
      <c r="R130" s="23"/>
      <c r="S130" s="23"/>
      <c r="T130" s="73"/>
      <c r="U130" s="73"/>
      <c r="V130" s="73"/>
    </row>
    <row r="131" spans="2:22" s="72" customFormat="1" ht="11.4" x14ac:dyDescent="0.25">
      <c r="B131" s="73" t="s">
        <v>9396</v>
      </c>
      <c r="C131" s="33" t="s">
        <v>2306</v>
      </c>
      <c r="D131" s="23" t="s">
        <v>2307</v>
      </c>
      <c r="E131" s="73" t="s">
        <v>10968</v>
      </c>
      <c r="F131" s="73" t="s">
        <v>10902</v>
      </c>
      <c r="G131" s="73"/>
      <c r="H131" s="73" t="s">
        <v>10966</v>
      </c>
      <c r="I131" s="73"/>
      <c r="J131" s="33" t="s">
        <v>9374</v>
      </c>
      <c r="K131" s="33" t="s">
        <v>9375</v>
      </c>
      <c r="L131" s="33" t="s">
        <v>121</v>
      </c>
      <c r="M131" s="33" t="s">
        <v>9376</v>
      </c>
      <c r="N131" s="73"/>
      <c r="O131" s="73"/>
      <c r="P131" s="73"/>
      <c r="Q131" s="73"/>
      <c r="R131" s="23"/>
      <c r="S131" s="23"/>
      <c r="T131" s="73"/>
      <c r="U131" s="73"/>
      <c r="V131" s="73"/>
    </row>
    <row r="132" spans="2:22" s="72" customFormat="1" ht="11.4" x14ac:dyDescent="0.25">
      <c r="B132" s="73" t="s">
        <v>9396</v>
      </c>
      <c r="C132" s="33" t="s">
        <v>2309</v>
      </c>
      <c r="D132" s="23" t="s">
        <v>2310</v>
      </c>
      <c r="E132" s="73"/>
      <c r="F132" s="73"/>
      <c r="G132" s="73"/>
      <c r="H132" s="73"/>
      <c r="I132" s="73"/>
      <c r="J132" s="33" t="s">
        <v>9374</v>
      </c>
      <c r="K132" s="33" t="s">
        <v>9375</v>
      </c>
      <c r="L132" s="33" t="s">
        <v>121</v>
      </c>
      <c r="M132" s="33" t="s">
        <v>9376</v>
      </c>
      <c r="N132" s="73"/>
      <c r="O132" s="73"/>
      <c r="P132" s="73"/>
      <c r="Q132" s="73"/>
      <c r="R132" s="23"/>
      <c r="S132" s="23"/>
      <c r="T132" s="73"/>
      <c r="U132" s="73"/>
      <c r="V132" s="73"/>
    </row>
    <row r="133" spans="2:22" s="72" customFormat="1" ht="11.4" x14ac:dyDescent="0.25">
      <c r="B133" s="73" t="s">
        <v>9396</v>
      </c>
      <c r="C133" s="33" t="s">
        <v>2311</v>
      </c>
      <c r="D133" s="23" t="s">
        <v>2312</v>
      </c>
      <c r="E133" s="73"/>
      <c r="F133" s="73"/>
      <c r="G133" s="73"/>
      <c r="H133" s="73"/>
      <c r="I133" s="73"/>
      <c r="J133" s="33" t="s">
        <v>9374</v>
      </c>
      <c r="K133" s="33" t="s">
        <v>9375</v>
      </c>
      <c r="L133" s="33" t="s">
        <v>121</v>
      </c>
      <c r="M133" s="33" t="s">
        <v>9376</v>
      </c>
      <c r="N133" s="73"/>
      <c r="O133" s="73"/>
      <c r="P133" s="73"/>
      <c r="Q133" s="73"/>
      <c r="R133" s="23"/>
      <c r="S133" s="23"/>
      <c r="T133" s="73"/>
      <c r="U133" s="73"/>
      <c r="V133" s="73"/>
    </row>
    <row r="134" spans="2:22" s="72" customFormat="1" ht="11.4" x14ac:dyDescent="0.25">
      <c r="B134" s="73" t="s">
        <v>9396</v>
      </c>
      <c r="C134" s="33" t="s">
        <v>2313</v>
      </c>
      <c r="D134" s="23" t="s">
        <v>2314</v>
      </c>
      <c r="E134" s="73" t="s">
        <v>11008</v>
      </c>
      <c r="F134" s="73" t="s">
        <v>10902</v>
      </c>
      <c r="G134" s="73"/>
      <c r="H134" s="73" t="s">
        <v>10917</v>
      </c>
      <c r="I134" s="73"/>
      <c r="J134" s="33" t="s">
        <v>9374</v>
      </c>
      <c r="K134" s="33" t="s">
        <v>9375</v>
      </c>
      <c r="L134" s="33" t="s">
        <v>121</v>
      </c>
      <c r="M134" s="33" t="s">
        <v>9376</v>
      </c>
      <c r="N134" s="73"/>
      <c r="O134" s="73"/>
      <c r="P134" s="73"/>
      <c r="Q134" s="73"/>
      <c r="R134" s="23"/>
      <c r="S134" s="23"/>
      <c r="T134" s="73"/>
      <c r="U134" s="73"/>
      <c r="V134" s="73"/>
    </row>
    <row r="135" spans="2:22" s="72" customFormat="1" ht="11.4" x14ac:dyDescent="0.25">
      <c r="B135" s="73" t="s">
        <v>9396</v>
      </c>
      <c r="C135" s="33" t="s">
        <v>2315</v>
      </c>
      <c r="D135" s="23" t="s">
        <v>2316</v>
      </c>
      <c r="E135" s="73" t="s">
        <v>11009</v>
      </c>
      <c r="F135" s="73" t="s">
        <v>10902</v>
      </c>
      <c r="G135" s="73"/>
      <c r="H135" s="73" t="s">
        <v>10917</v>
      </c>
      <c r="I135" s="73"/>
      <c r="J135" s="33" t="s">
        <v>9374</v>
      </c>
      <c r="K135" s="33" t="s">
        <v>9375</v>
      </c>
      <c r="L135" s="33" t="s">
        <v>121</v>
      </c>
      <c r="M135" s="33" t="s">
        <v>9376</v>
      </c>
      <c r="N135" s="73"/>
      <c r="O135" s="73"/>
      <c r="P135" s="73"/>
      <c r="Q135" s="73"/>
      <c r="R135" s="23"/>
      <c r="S135" s="23"/>
      <c r="T135" s="73"/>
      <c r="U135" s="73"/>
      <c r="V135" s="73"/>
    </row>
    <row r="136" spans="2:22" s="72" customFormat="1" ht="11.4" x14ac:dyDescent="0.25">
      <c r="B136" s="73" t="s">
        <v>9396</v>
      </c>
      <c r="C136" s="33" t="s">
        <v>2318</v>
      </c>
      <c r="D136" s="23" t="s">
        <v>2319</v>
      </c>
      <c r="E136" s="73"/>
      <c r="F136" s="73"/>
      <c r="G136" s="73"/>
      <c r="H136" s="73"/>
      <c r="I136" s="73"/>
      <c r="J136" s="33" t="s">
        <v>9374</v>
      </c>
      <c r="K136" s="33" t="s">
        <v>9375</v>
      </c>
      <c r="L136" s="33" t="s">
        <v>121</v>
      </c>
      <c r="M136" s="33" t="s">
        <v>9376</v>
      </c>
      <c r="N136" s="73"/>
      <c r="O136" s="73"/>
      <c r="P136" s="73"/>
      <c r="Q136" s="73"/>
      <c r="R136" s="23"/>
      <c r="S136" s="23"/>
      <c r="T136" s="73"/>
      <c r="U136" s="73"/>
      <c r="V136" s="73"/>
    </row>
    <row r="137" spans="2:22" s="72" customFormat="1" ht="11.4" x14ac:dyDescent="0.25">
      <c r="B137" s="73" t="s">
        <v>9396</v>
      </c>
      <c r="C137" s="33" t="s">
        <v>2321</v>
      </c>
      <c r="D137" s="23" t="s">
        <v>2322</v>
      </c>
      <c r="E137" s="73"/>
      <c r="F137" s="73"/>
      <c r="G137" s="73"/>
      <c r="H137" s="73"/>
      <c r="I137" s="73"/>
      <c r="J137" s="33" t="s">
        <v>9374</v>
      </c>
      <c r="K137" s="33" t="s">
        <v>9375</v>
      </c>
      <c r="L137" s="33" t="s">
        <v>121</v>
      </c>
      <c r="M137" s="33" t="s">
        <v>9376</v>
      </c>
      <c r="N137" s="73"/>
      <c r="O137" s="73"/>
      <c r="P137" s="73"/>
      <c r="Q137" s="73"/>
      <c r="R137" s="23"/>
      <c r="S137" s="23"/>
      <c r="T137" s="73"/>
      <c r="U137" s="73"/>
      <c r="V137" s="73"/>
    </row>
    <row r="138" spans="2:22" s="72" customFormat="1" ht="11.4" x14ac:dyDescent="0.25">
      <c r="B138" s="73" t="s">
        <v>9396</v>
      </c>
      <c r="C138" s="33" t="s">
        <v>2323</v>
      </c>
      <c r="D138" s="23" t="s">
        <v>2324</v>
      </c>
      <c r="E138" s="73" t="s">
        <v>11010</v>
      </c>
      <c r="F138" s="73" t="s">
        <v>10902</v>
      </c>
      <c r="G138" s="73"/>
      <c r="H138" s="73"/>
      <c r="I138" s="73"/>
      <c r="J138" s="33" t="s">
        <v>9374</v>
      </c>
      <c r="K138" s="33" t="s">
        <v>9375</v>
      </c>
      <c r="L138" s="33" t="s">
        <v>121</v>
      </c>
      <c r="M138" s="33" t="s">
        <v>9376</v>
      </c>
      <c r="N138" s="73"/>
      <c r="O138" s="73"/>
      <c r="P138" s="73"/>
      <c r="Q138" s="73"/>
      <c r="R138" s="23"/>
      <c r="S138" s="23"/>
      <c r="T138" s="73"/>
      <c r="U138" s="73"/>
      <c r="V138" s="73"/>
    </row>
    <row r="139" spans="2:22" s="72" customFormat="1" ht="11.4" x14ac:dyDescent="0.25">
      <c r="B139" s="73" t="s">
        <v>9396</v>
      </c>
      <c r="C139" s="33" t="s">
        <v>2326</v>
      </c>
      <c r="D139" s="23" t="s">
        <v>2327</v>
      </c>
      <c r="E139" s="73" t="s">
        <v>11011</v>
      </c>
      <c r="F139" s="73" t="s">
        <v>10902</v>
      </c>
      <c r="G139" s="73"/>
      <c r="H139" s="73" t="s">
        <v>11012</v>
      </c>
      <c r="I139" s="73"/>
      <c r="J139" s="33" t="s">
        <v>9374</v>
      </c>
      <c r="K139" s="33" t="s">
        <v>9375</v>
      </c>
      <c r="L139" s="33" t="s">
        <v>121</v>
      </c>
      <c r="M139" s="33" t="s">
        <v>9376</v>
      </c>
      <c r="N139" s="73"/>
      <c r="O139" s="73"/>
      <c r="P139" s="73"/>
      <c r="Q139" s="73"/>
      <c r="R139" s="23"/>
      <c r="S139" s="23"/>
      <c r="T139" s="73"/>
      <c r="U139" s="73"/>
      <c r="V139" s="73"/>
    </row>
    <row r="140" spans="2:22" s="72" customFormat="1" ht="11.4" x14ac:dyDescent="0.25">
      <c r="B140" s="73" t="s">
        <v>9396</v>
      </c>
      <c r="C140" s="33" t="s">
        <v>2329</v>
      </c>
      <c r="D140" s="23" t="s">
        <v>2330</v>
      </c>
      <c r="E140" s="73" t="s">
        <v>11013</v>
      </c>
      <c r="F140" s="73" t="s">
        <v>10902</v>
      </c>
      <c r="G140" s="73"/>
      <c r="H140" s="73" t="s">
        <v>11014</v>
      </c>
      <c r="I140" s="73"/>
      <c r="J140" s="33" t="s">
        <v>9374</v>
      </c>
      <c r="K140" s="33" t="s">
        <v>9375</v>
      </c>
      <c r="L140" s="33" t="s">
        <v>121</v>
      </c>
      <c r="M140" s="33" t="s">
        <v>9376</v>
      </c>
      <c r="N140" s="73"/>
      <c r="O140" s="73"/>
      <c r="P140" s="73"/>
      <c r="Q140" s="73"/>
      <c r="R140" s="23"/>
      <c r="S140" s="23"/>
      <c r="T140" s="73"/>
      <c r="U140" s="73"/>
      <c r="V140" s="73"/>
    </row>
    <row r="141" spans="2:22" s="72" customFormat="1" ht="11.4" x14ac:dyDescent="0.25">
      <c r="B141" s="73" t="s">
        <v>9396</v>
      </c>
      <c r="C141" s="33" t="s">
        <v>2331</v>
      </c>
      <c r="D141" s="23" t="s">
        <v>2332</v>
      </c>
      <c r="E141" s="73"/>
      <c r="F141" s="73"/>
      <c r="G141" s="73"/>
      <c r="H141" s="73"/>
      <c r="I141" s="73"/>
      <c r="J141" s="33" t="s">
        <v>9374</v>
      </c>
      <c r="K141" s="33" t="s">
        <v>9375</v>
      </c>
      <c r="L141" s="33" t="s">
        <v>121</v>
      </c>
      <c r="M141" s="33" t="s">
        <v>9376</v>
      </c>
      <c r="N141" s="73"/>
      <c r="O141" s="73"/>
      <c r="P141" s="73"/>
      <c r="Q141" s="73"/>
      <c r="R141" s="23"/>
      <c r="S141" s="23"/>
      <c r="T141" s="73"/>
      <c r="U141" s="73"/>
      <c r="V141" s="73"/>
    </row>
    <row r="142" spans="2:22" s="72" customFormat="1" ht="11.4" x14ac:dyDescent="0.25">
      <c r="B142" s="73" t="s">
        <v>9396</v>
      </c>
      <c r="C142" s="33" t="s">
        <v>2333</v>
      </c>
      <c r="D142" s="23" t="s">
        <v>2334</v>
      </c>
      <c r="E142" s="73"/>
      <c r="F142" s="73"/>
      <c r="G142" s="73"/>
      <c r="H142" s="73"/>
      <c r="I142" s="73"/>
      <c r="J142" s="33" t="s">
        <v>9374</v>
      </c>
      <c r="K142" s="33" t="s">
        <v>9375</v>
      </c>
      <c r="L142" s="33" t="s">
        <v>121</v>
      </c>
      <c r="M142" s="33" t="s">
        <v>9376</v>
      </c>
      <c r="N142" s="73"/>
      <c r="O142" s="73"/>
      <c r="P142" s="73"/>
      <c r="Q142" s="73"/>
      <c r="R142" s="23"/>
      <c r="S142" s="23"/>
      <c r="T142" s="73"/>
      <c r="U142" s="73"/>
      <c r="V142" s="73"/>
    </row>
    <row r="143" spans="2:22" s="72" customFormat="1" ht="11.4" x14ac:dyDescent="0.25">
      <c r="B143" s="73" t="s">
        <v>9396</v>
      </c>
      <c r="C143" s="33" t="s">
        <v>2335</v>
      </c>
      <c r="D143" s="23" t="s">
        <v>2336</v>
      </c>
      <c r="E143" s="73"/>
      <c r="F143" s="73"/>
      <c r="G143" s="73"/>
      <c r="H143" s="73"/>
      <c r="I143" s="73"/>
      <c r="J143" s="33" t="s">
        <v>9374</v>
      </c>
      <c r="K143" s="33" t="s">
        <v>9375</v>
      </c>
      <c r="L143" s="33" t="s">
        <v>121</v>
      </c>
      <c r="M143" s="33" t="s">
        <v>9376</v>
      </c>
      <c r="N143" s="73"/>
      <c r="O143" s="73"/>
      <c r="P143" s="73"/>
      <c r="Q143" s="73"/>
      <c r="R143" s="23"/>
      <c r="S143" s="23"/>
      <c r="T143" s="73"/>
      <c r="U143" s="73"/>
      <c r="V143" s="73"/>
    </row>
    <row r="144" spans="2:22" s="72" customFormat="1" ht="11.4" x14ac:dyDescent="0.25">
      <c r="B144" s="73" t="s">
        <v>9396</v>
      </c>
      <c r="C144" s="33" t="s">
        <v>2337</v>
      </c>
      <c r="D144" s="23" t="s">
        <v>2338</v>
      </c>
      <c r="E144" s="73" t="s">
        <v>11015</v>
      </c>
      <c r="F144" s="73" t="s">
        <v>10902</v>
      </c>
      <c r="G144" s="73"/>
      <c r="H144" s="73" t="s">
        <v>11006</v>
      </c>
      <c r="I144" s="73"/>
      <c r="J144" s="33" t="s">
        <v>9374</v>
      </c>
      <c r="K144" s="33" t="s">
        <v>9375</v>
      </c>
      <c r="L144" s="33" t="s">
        <v>121</v>
      </c>
      <c r="M144" s="33" t="s">
        <v>9376</v>
      </c>
      <c r="N144" s="73"/>
      <c r="O144" s="73"/>
      <c r="P144" s="73"/>
      <c r="Q144" s="73"/>
      <c r="R144" s="23"/>
      <c r="S144" s="23"/>
      <c r="T144" s="73"/>
      <c r="U144" s="73"/>
      <c r="V144" s="73"/>
    </row>
    <row r="145" spans="2:22" s="72" customFormat="1" ht="11.4" x14ac:dyDescent="0.25">
      <c r="B145" s="166"/>
      <c r="C145" s="166"/>
      <c r="D145" s="166"/>
      <c r="E145" s="166"/>
      <c r="F145" s="166"/>
      <c r="G145" s="166"/>
      <c r="H145" s="166"/>
      <c r="I145" s="166"/>
      <c r="J145" s="166"/>
      <c r="K145" s="166"/>
      <c r="L145" s="166"/>
      <c r="M145" s="166"/>
      <c r="N145" s="166"/>
      <c r="O145" s="166"/>
      <c r="P145" s="166"/>
      <c r="Q145" s="73"/>
      <c r="R145" s="23"/>
      <c r="S145" s="23"/>
      <c r="T145" s="73"/>
      <c r="U145" s="73"/>
      <c r="V145" s="73"/>
    </row>
    <row r="146" spans="2:22" s="72" customFormat="1" ht="11.4" x14ac:dyDescent="0.25">
      <c r="B146" s="165" t="s">
        <v>9398</v>
      </c>
      <c r="C146" s="165"/>
      <c r="D146" s="165"/>
      <c r="E146" s="165"/>
      <c r="F146" s="165"/>
      <c r="G146" s="165"/>
      <c r="H146" s="165"/>
      <c r="I146" s="165"/>
      <c r="J146" s="165"/>
      <c r="K146" s="165"/>
      <c r="L146" s="165"/>
      <c r="M146" s="165"/>
      <c r="N146" s="165"/>
      <c r="O146" s="165"/>
      <c r="P146" s="165"/>
      <c r="Q146" s="73"/>
      <c r="R146" s="23"/>
      <c r="S146" s="23"/>
      <c r="T146" s="73"/>
      <c r="U146" s="73"/>
      <c r="V146" s="73"/>
    </row>
    <row r="147" spans="2:22" s="72" customFormat="1" ht="11.4" x14ac:dyDescent="0.25">
      <c r="B147" s="73" t="s">
        <v>9398</v>
      </c>
      <c r="C147" s="33" t="s">
        <v>417</v>
      </c>
      <c r="D147" s="23" t="s">
        <v>418</v>
      </c>
      <c r="E147" s="73"/>
      <c r="F147" s="73"/>
      <c r="G147" s="73"/>
      <c r="H147" s="73"/>
      <c r="I147" s="73"/>
      <c r="J147" s="33" t="s">
        <v>9374</v>
      </c>
      <c r="K147" s="33" t="s">
        <v>9375</v>
      </c>
      <c r="L147" s="33" t="s">
        <v>121</v>
      </c>
      <c r="M147" s="33" t="s">
        <v>9376</v>
      </c>
      <c r="N147" s="73"/>
      <c r="O147" s="73"/>
      <c r="P147" s="73"/>
      <c r="Q147" s="75"/>
      <c r="R147" s="75"/>
      <c r="S147" s="75"/>
      <c r="T147" s="75"/>
      <c r="U147" s="75"/>
      <c r="V147" s="75"/>
    </row>
    <row r="148" spans="2:22" s="72" customFormat="1" ht="11.4" x14ac:dyDescent="0.25">
      <c r="B148" s="166"/>
      <c r="C148" s="166"/>
      <c r="D148" s="166"/>
      <c r="E148" s="166"/>
      <c r="F148" s="166"/>
      <c r="G148" s="166"/>
      <c r="H148" s="166"/>
      <c r="I148" s="166"/>
      <c r="J148" s="166"/>
      <c r="K148" s="166"/>
      <c r="L148" s="166"/>
      <c r="M148" s="166"/>
      <c r="N148" s="166"/>
      <c r="O148" s="166"/>
      <c r="P148" s="166"/>
      <c r="Q148" s="76"/>
      <c r="R148" s="76"/>
      <c r="S148" s="76"/>
      <c r="T148" s="76"/>
      <c r="U148" s="76"/>
      <c r="V148" s="76"/>
    </row>
    <row r="149" spans="2:22" s="72" customFormat="1" ht="11.4" x14ac:dyDescent="0.25">
      <c r="B149" s="165" t="s">
        <v>9401</v>
      </c>
      <c r="C149" s="165"/>
      <c r="D149" s="165"/>
      <c r="E149" s="165"/>
      <c r="F149" s="165"/>
      <c r="G149" s="165"/>
      <c r="H149" s="165"/>
      <c r="I149" s="165"/>
      <c r="J149" s="165"/>
      <c r="K149" s="165"/>
      <c r="L149" s="165"/>
      <c r="M149" s="165"/>
      <c r="N149" s="165"/>
      <c r="O149" s="165"/>
      <c r="P149" s="165"/>
      <c r="Q149" s="73"/>
      <c r="R149" s="23"/>
      <c r="S149" s="23"/>
      <c r="T149" s="73"/>
      <c r="U149" s="73"/>
      <c r="V149" s="73"/>
    </row>
    <row r="150" spans="2:22" s="72" customFormat="1" ht="11.4" x14ac:dyDescent="0.25">
      <c r="B150" s="73" t="s">
        <v>9401</v>
      </c>
      <c r="C150" s="33" t="s">
        <v>420</v>
      </c>
      <c r="D150" s="23" t="s">
        <v>421</v>
      </c>
      <c r="E150" s="73"/>
      <c r="F150" s="73"/>
      <c r="G150" s="73"/>
      <c r="H150" s="73"/>
      <c r="I150" s="73"/>
      <c r="J150" s="33" t="s">
        <v>9374</v>
      </c>
      <c r="K150" s="33" t="s">
        <v>11016</v>
      </c>
      <c r="L150" s="33" t="s">
        <v>121</v>
      </c>
      <c r="M150" s="33" t="s">
        <v>9376</v>
      </c>
      <c r="N150" s="73"/>
      <c r="O150" s="73"/>
      <c r="P150" s="73"/>
      <c r="Q150" s="73"/>
      <c r="R150" s="23"/>
      <c r="S150" s="23"/>
      <c r="T150" s="73"/>
      <c r="U150" s="73"/>
      <c r="V150" s="73"/>
    </row>
    <row r="151" spans="2:22" s="72" customFormat="1" ht="11.4" x14ac:dyDescent="0.25">
      <c r="B151" s="166"/>
      <c r="C151" s="166"/>
      <c r="D151" s="166"/>
      <c r="E151" s="166"/>
      <c r="F151" s="166"/>
      <c r="G151" s="166"/>
      <c r="H151" s="166"/>
      <c r="I151" s="166"/>
      <c r="J151" s="166"/>
      <c r="K151" s="166"/>
      <c r="L151" s="166"/>
      <c r="M151" s="166"/>
      <c r="N151" s="166"/>
      <c r="O151" s="166"/>
      <c r="P151" s="166"/>
      <c r="Q151" s="75"/>
      <c r="R151" s="75"/>
      <c r="S151" s="75"/>
      <c r="T151" s="75"/>
      <c r="U151" s="75"/>
      <c r="V151" s="75"/>
    </row>
    <row r="152" spans="2:22" s="72" customFormat="1" ht="11.4" x14ac:dyDescent="0.25">
      <c r="B152" s="165" t="s">
        <v>9405</v>
      </c>
      <c r="C152" s="165"/>
      <c r="D152" s="165"/>
      <c r="E152" s="165"/>
      <c r="F152" s="165"/>
      <c r="G152" s="165"/>
      <c r="H152" s="165"/>
      <c r="I152" s="165"/>
      <c r="J152" s="165"/>
      <c r="K152" s="165"/>
      <c r="L152" s="165"/>
      <c r="M152" s="165"/>
      <c r="N152" s="165"/>
      <c r="O152" s="165"/>
      <c r="P152" s="165"/>
      <c r="Q152" s="76"/>
      <c r="R152" s="76"/>
      <c r="S152" s="76"/>
      <c r="T152" s="76"/>
      <c r="U152" s="76"/>
      <c r="V152" s="76"/>
    </row>
    <row r="153" spans="2:22" s="72" customFormat="1" ht="11.4" x14ac:dyDescent="0.25">
      <c r="B153" s="73" t="s">
        <v>9405</v>
      </c>
      <c r="C153" s="33" t="s">
        <v>422</v>
      </c>
      <c r="D153" s="23" t="s">
        <v>423</v>
      </c>
      <c r="E153" s="73"/>
      <c r="F153" s="73"/>
      <c r="G153" s="73"/>
      <c r="H153" s="73"/>
      <c r="I153" s="73"/>
      <c r="J153" s="33" t="s">
        <v>9374</v>
      </c>
      <c r="K153" s="33" t="s">
        <v>11016</v>
      </c>
      <c r="L153" s="33" t="s">
        <v>121</v>
      </c>
      <c r="M153" s="33" t="s">
        <v>9376</v>
      </c>
      <c r="N153" s="73"/>
      <c r="O153" s="73"/>
      <c r="P153" s="73"/>
      <c r="Q153" s="73"/>
      <c r="R153" s="23"/>
      <c r="S153" s="23"/>
      <c r="T153" s="73"/>
      <c r="U153" s="73"/>
      <c r="V153" s="73"/>
    </row>
    <row r="154" spans="2:22" s="72" customFormat="1" ht="11.4" x14ac:dyDescent="0.25">
      <c r="B154" s="166"/>
      <c r="C154" s="166"/>
      <c r="D154" s="166"/>
      <c r="E154" s="166"/>
      <c r="F154" s="166"/>
      <c r="G154" s="166"/>
      <c r="H154" s="166"/>
      <c r="I154" s="166"/>
      <c r="J154" s="166"/>
      <c r="K154" s="166"/>
      <c r="L154" s="166"/>
      <c r="M154" s="166"/>
      <c r="N154" s="166"/>
      <c r="O154" s="166"/>
      <c r="P154" s="166"/>
      <c r="Q154" s="75"/>
      <c r="R154" s="75"/>
      <c r="S154" s="75"/>
      <c r="T154" s="75"/>
      <c r="U154" s="75"/>
      <c r="V154" s="75"/>
    </row>
    <row r="155" spans="2:22" s="72" customFormat="1" ht="11.4" x14ac:dyDescent="0.25">
      <c r="B155" s="165" t="s">
        <v>9407</v>
      </c>
      <c r="C155" s="165"/>
      <c r="D155" s="165"/>
      <c r="E155" s="165"/>
      <c r="F155" s="165"/>
      <c r="G155" s="165"/>
      <c r="H155" s="165"/>
      <c r="I155" s="165"/>
      <c r="J155" s="165"/>
      <c r="K155" s="165"/>
      <c r="L155" s="165"/>
      <c r="M155" s="165"/>
      <c r="N155" s="165"/>
      <c r="O155" s="165"/>
      <c r="P155" s="165"/>
      <c r="Q155" s="76"/>
      <c r="R155" s="76"/>
      <c r="S155" s="76"/>
      <c r="T155" s="76"/>
      <c r="U155" s="76"/>
      <c r="V155" s="76"/>
    </row>
    <row r="156" spans="2:22" s="72" customFormat="1" ht="11.4" x14ac:dyDescent="0.25">
      <c r="B156" s="73" t="s">
        <v>9407</v>
      </c>
      <c r="C156" s="33" t="s">
        <v>424</v>
      </c>
      <c r="D156" s="23" t="s">
        <v>425</v>
      </c>
      <c r="E156" s="73"/>
      <c r="F156" s="73"/>
      <c r="G156" s="73"/>
      <c r="H156" s="73"/>
      <c r="I156" s="73"/>
      <c r="J156" s="33" t="s">
        <v>9374</v>
      </c>
      <c r="K156" s="33" t="s">
        <v>11016</v>
      </c>
      <c r="L156" s="33" t="s">
        <v>121</v>
      </c>
      <c r="M156" s="33" t="s">
        <v>9376</v>
      </c>
      <c r="N156" s="73"/>
      <c r="O156" s="73"/>
      <c r="P156" s="73"/>
      <c r="Q156" s="73"/>
      <c r="R156" s="23"/>
      <c r="S156" s="23"/>
      <c r="T156" s="73"/>
      <c r="U156" s="73"/>
      <c r="V156" s="73"/>
    </row>
    <row r="157" spans="2:22" s="72" customFormat="1" ht="11.4" x14ac:dyDescent="0.25">
      <c r="B157" s="166"/>
      <c r="C157" s="166"/>
      <c r="D157" s="166"/>
      <c r="E157" s="166"/>
      <c r="F157" s="166"/>
      <c r="G157" s="166"/>
      <c r="H157" s="166"/>
      <c r="I157" s="166"/>
      <c r="J157" s="166"/>
      <c r="K157" s="166"/>
      <c r="L157" s="166"/>
      <c r="M157" s="166"/>
      <c r="N157" s="166"/>
      <c r="O157" s="166"/>
      <c r="P157" s="166"/>
      <c r="Q157" s="73"/>
      <c r="R157" s="23"/>
      <c r="S157" s="23"/>
      <c r="T157" s="73"/>
      <c r="U157" s="73"/>
      <c r="V157" s="73"/>
    </row>
    <row r="158" spans="2:22" s="72" customFormat="1" ht="11.4" x14ac:dyDescent="0.25">
      <c r="B158" s="165" t="s">
        <v>9409</v>
      </c>
      <c r="C158" s="165"/>
      <c r="D158" s="165"/>
      <c r="E158" s="165"/>
      <c r="F158" s="165"/>
      <c r="G158" s="165"/>
      <c r="H158" s="165"/>
      <c r="I158" s="165"/>
      <c r="J158" s="165"/>
      <c r="K158" s="165"/>
      <c r="L158" s="165"/>
      <c r="M158" s="165"/>
      <c r="N158" s="165"/>
      <c r="O158" s="165"/>
      <c r="P158" s="165"/>
      <c r="Q158" s="75"/>
      <c r="R158" s="75"/>
      <c r="S158" s="75"/>
      <c r="T158" s="75"/>
      <c r="U158" s="75"/>
      <c r="V158" s="75"/>
    </row>
    <row r="159" spans="2:22" s="72" customFormat="1" ht="11.4" x14ac:dyDescent="0.25">
      <c r="B159" s="73" t="s">
        <v>9409</v>
      </c>
      <c r="C159" s="33" t="s">
        <v>426</v>
      </c>
      <c r="D159" s="23" t="s">
        <v>427</v>
      </c>
      <c r="E159" s="73"/>
      <c r="F159" s="73"/>
      <c r="G159" s="73"/>
      <c r="H159" s="73"/>
      <c r="I159" s="73"/>
      <c r="J159" s="33" t="s">
        <v>9374</v>
      </c>
      <c r="K159" s="33" t="s">
        <v>11016</v>
      </c>
      <c r="L159" s="33" t="s">
        <v>121</v>
      </c>
      <c r="M159" s="33" t="s">
        <v>9376</v>
      </c>
      <c r="N159" s="73"/>
      <c r="O159" s="73"/>
      <c r="P159" s="73"/>
      <c r="Q159" s="76"/>
      <c r="R159" s="76"/>
      <c r="S159" s="76"/>
      <c r="T159" s="76"/>
      <c r="U159" s="76"/>
      <c r="V159" s="76"/>
    </row>
    <row r="160" spans="2:22" s="72" customFormat="1" ht="11.4" x14ac:dyDescent="0.25">
      <c r="B160" s="166"/>
      <c r="C160" s="166"/>
      <c r="D160" s="166"/>
      <c r="E160" s="166"/>
      <c r="F160" s="166"/>
      <c r="G160" s="166"/>
      <c r="H160" s="166"/>
      <c r="I160" s="166"/>
      <c r="J160" s="166"/>
      <c r="K160" s="166"/>
      <c r="L160" s="166"/>
      <c r="M160" s="166"/>
      <c r="N160" s="166"/>
      <c r="O160" s="166"/>
      <c r="P160" s="166"/>
      <c r="Q160" s="73"/>
      <c r="R160" s="23"/>
      <c r="S160" s="23"/>
      <c r="T160" s="73"/>
      <c r="U160" s="73"/>
      <c r="V160" s="73"/>
    </row>
    <row r="161" spans="2:22" s="72" customFormat="1" ht="11.4" x14ac:dyDescent="0.25">
      <c r="B161" s="165" t="s">
        <v>9412</v>
      </c>
      <c r="C161" s="165"/>
      <c r="D161" s="165"/>
      <c r="E161" s="165"/>
      <c r="F161" s="165"/>
      <c r="G161" s="165"/>
      <c r="H161" s="165"/>
      <c r="I161" s="165"/>
      <c r="J161" s="165"/>
      <c r="K161" s="165"/>
      <c r="L161" s="165"/>
      <c r="M161" s="165"/>
      <c r="N161" s="165"/>
      <c r="O161" s="165"/>
      <c r="P161" s="165"/>
      <c r="Q161" s="73"/>
      <c r="R161" s="23"/>
      <c r="S161" s="23"/>
      <c r="T161" s="73"/>
      <c r="U161" s="73"/>
      <c r="V161" s="73"/>
    </row>
    <row r="162" spans="2:22" s="72" customFormat="1" ht="11.4" x14ac:dyDescent="0.25">
      <c r="B162" s="73" t="s">
        <v>9412</v>
      </c>
      <c r="C162" s="33" t="s">
        <v>428</v>
      </c>
      <c r="D162" s="23" t="s">
        <v>429</v>
      </c>
      <c r="E162" s="73"/>
      <c r="F162" s="73"/>
      <c r="G162" s="73"/>
      <c r="H162" s="73"/>
      <c r="I162" s="73"/>
      <c r="J162" s="33" t="s">
        <v>9374</v>
      </c>
      <c r="K162" s="33" t="s">
        <v>11016</v>
      </c>
      <c r="L162" s="33" t="s">
        <v>121</v>
      </c>
      <c r="M162" s="33" t="s">
        <v>9376</v>
      </c>
      <c r="N162" s="73"/>
      <c r="O162" s="73"/>
      <c r="P162" s="73"/>
      <c r="Q162" s="75"/>
      <c r="R162" s="75"/>
      <c r="S162" s="75"/>
      <c r="T162" s="75"/>
      <c r="U162" s="75"/>
      <c r="V162" s="75"/>
    </row>
    <row r="163" spans="2:22" s="72" customFormat="1" ht="11.4" x14ac:dyDescent="0.25">
      <c r="B163" s="166"/>
      <c r="C163" s="166"/>
      <c r="D163" s="166"/>
      <c r="E163" s="166"/>
      <c r="F163" s="166"/>
      <c r="G163" s="166"/>
      <c r="H163" s="166"/>
      <c r="I163" s="166"/>
      <c r="J163" s="166"/>
      <c r="K163" s="166"/>
      <c r="L163" s="166"/>
      <c r="M163" s="166"/>
      <c r="N163" s="166"/>
      <c r="O163" s="166"/>
      <c r="P163" s="166"/>
      <c r="Q163" s="76"/>
      <c r="R163" s="76"/>
      <c r="S163" s="76"/>
      <c r="T163" s="76"/>
      <c r="U163" s="76"/>
      <c r="V163" s="76"/>
    </row>
    <row r="164" spans="2:22" s="72" customFormat="1" ht="11.4" x14ac:dyDescent="0.25">
      <c r="B164" s="165" t="s">
        <v>9415</v>
      </c>
      <c r="C164" s="165"/>
      <c r="D164" s="165"/>
      <c r="E164" s="165"/>
      <c r="F164" s="165"/>
      <c r="G164" s="165"/>
      <c r="H164" s="165"/>
      <c r="I164" s="165"/>
      <c r="J164" s="165"/>
      <c r="K164" s="165"/>
      <c r="L164" s="165"/>
      <c r="M164" s="165"/>
      <c r="N164" s="165"/>
      <c r="O164" s="165"/>
      <c r="P164" s="165"/>
      <c r="Q164" s="73"/>
      <c r="R164" s="23"/>
      <c r="S164" s="23"/>
      <c r="T164" s="73"/>
      <c r="U164" s="73"/>
      <c r="V164" s="73"/>
    </row>
    <row r="165" spans="2:22" s="72" customFormat="1" ht="11.4" x14ac:dyDescent="0.25">
      <c r="B165" s="73" t="s">
        <v>9415</v>
      </c>
      <c r="C165" s="33" t="s">
        <v>430</v>
      </c>
      <c r="D165" s="23" t="s">
        <v>431</v>
      </c>
      <c r="E165" s="73"/>
      <c r="F165" s="73"/>
      <c r="G165" s="73"/>
      <c r="H165" s="73"/>
      <c r="I165" s="73"/>
      <c r="J165" s="33" t="s">
        <v>9374</v>
      </c>
      <c r="K165" s="33" t="s">
        <v>11016</v>
      </c>
      <c r="L165" s="33" t="s">
        <v>121</v>
      </c>
      <c r="M165" s="33" t="s">
        <v>9376</v>
      </c>
      <c r="N165" s="73"/>
      <c r="O165" s="73"/>
      <c r="P165" s="73"/>
      <c r="Q165" s="75"/>
      <c r="R165" s="75"/>
      <c r="S165" s="75"/>
      <c r="T165" s="75"/>
      <c r="U165" s="75"/>
      <c r="V165" s="75"/>
    </row>
    <row r="166" spans="2:22" s="72" customFormat="1" ht="11.4" x14ac:dyDescent="0.25">
      <c r="B166" s="166"/>
      <c r="C166" s="166"/>
      <c r="D166" s="166"/>
      <c r="E166" s="166"/>
      <c r="F166" s="166"/>
      <c r="G166" s="166"/>
      <c r="H166" s="166"/>
      <c r="I166" s="166"/>
      <c r="J166" s="166"/>
      <c r="K166" s="166"/>
      <c r="L166" s="166"/>
      <c r="M166" s="166"/>
      <c r="N166" s="166"/>
      <c r="O166" s="166"/>
      <c r="P166" s="166"/>
      <c r="Q166" s="76"/>
      <c r="R166" s="76"/>
      <c r="S166" s="76"/>
      <c r="T166" s="76"/>
      <c r="U166" s="76"/>
      <c r="V166" s="76"/>
    </row>
    <row r="167" spans="2:22" s="72" customFormat="1" ht="11.4" x14ac:dyDescent="0.25">
      <c r="B167" s="165" t="s">
        <v>9419</v>
      </c>
      <c r="C167" s="165"/>
      <c r="D167" s="165"/>
      <c r="E167" s="165"/>
      <c r="F167" s="165"/>
      <c r="G167" s="165"/>
      <c r="H167" s="165"/>
      <c r="I167" s="165"/>
      <c r="J167" s="165"/>
      <c r="K167" s="165"/>
      <c r="L167" s="165"/>
      <c r="M167" s="165"/>
      <c r="N167" s="165"/>
      <c r="O167" s="165"/>
      <c r="P167" s="165"/>
      <c r="Q167" s="73"/>
      <c r="R167" s="23"/>
      <c r="S167" s="23"/>
      <c r="T167" s="73"/>
      <c r="U167" s="73"/>
      <c r="V167" s="73"/>
    </row>
    <row r="168" spans="2:22" s="72" customFormat="1" ht="11.4" x14ac:dyDescent="0.25">
      <c r="B168" s="73" t="s">
        <v>9419</v>
      </c>
      <c r="C168" s="33" t="s">
        <v>432</v>
      </c>
      <c r="D168" s="23" t="s">
        <v>433</v>
      </c>
      <c r="E168" s="73"/>
      <c r="F168" s="73"/>
      <c r="G168" s="73"/>
      <c r="H168" s="73"/>
      <c r="I168" s="73"/>
      <c r="J168" s="33" t="s">
        <v>9374</v>
      </c>
      <c r="K168" s="33" t="s">
        <v>11016</v>
      </c>
      <c r="L168" s="33" t="s">
        <v>121</v>
      </c>
      <c r="M168" s="33" t="s">
        <v>9376</v>
      </c>
      <c r="N168" s="73"/>
      <c r="O168" s="73"/>
      <c r="P168" s="73"/>
      <c r="Q168" s="75"/>
      <c r="R168" s="75"/>
      <c r="S168" s="75"/>
      <c r="T168" s="75"/>
      <c r="U168" s="75"/>
      <c r="V168" s="75"/>
    </row>
    <row r="169" spans="2:22" s="72" customFormat="1" ht="11.4" x14ac:dyDescent="0.25">
      <c r="B169" s="166"/>
      <c r="C169" s="166"/>
      <c r="D169" s="166"/>
      <c r="E169" s="166"/>
      <c r="F169" s="166"/>
      <c r="G169" s="166"/>
      <c r="H169" s="166"/>
      <c r="I169" s="166"/>
      <c r="J169" s="166"/>
      <c r="K169" s="166"/>
      <c r="L169" s="166"/>
      <c r="M169" s="166"/>
      <c r="N169" s="166"/>
      <c r="O169" s="166"/>
      <c r="P169" s="166"/>
      <c r="Q169" s="76"/>
      <c r="R169" s="76"/>
      <c r="S169" s="76"/>
      <c r="T169" s="76"/>
      <c r="U169" s="76"/>
      <c r="V169" s="76"/>
    </row>
    <row r="170" spans="2:22" s="72" customFormat="1" ht="11.4" x14ac:dyDescent="0.25">
      <c r="B170" s="165" t="s">
        <v>9422</v>
      </c>
      <c r="C170" s="165"/>
      <c r="D170" s="165"/>
      <c r="E170" s="165"/>
      <c r="F170" s="165"/>
      <c r="G170" s="165"/>
      <c r="H170" s="165"/>
      <c r="I170" s="165"/>
      <c r="J170" s="165"/>
      <c r="K170" s="165"/>
      <c r="L170" s="165"/>
      <c r="M170" s="165"/>
      <c r="N170" s="165"/>
      <c r="O170" s="165"/>
      <c r="P170" s="165"/>
      <c r="Q170" s="73"/>
      <c r="R170" s="23"/>
      <c r="S170" s="23"/>
      <c r="T170" s="73"/>
      <c r="U170" s="73"/>
      <c r="V170" s="73"/>
    </row>
    <row r="171" spans="2:22" s="72" customFormat="1" ht="11.4" x14ac:dyDescent="0.25">
      <c r="B171" s="73" t="s">
        <v>9422</v>
      </c>
      <c r="C171" s="33" t="s">
        <v>434</v>
      </c>
      <c r="D171" s="23" t="s">
        <v>435</v>
      </c>
      <c r="E171" s="73"/>
      <c r="F171" s="73"/>
      <c r="G171" s="73"/>
      <c r="H171" s="73"/>
      <c r="I171" s="73"/>
      <c r="J171" s="33" t="s">
        <v>9374</v>
      </c>
      <c r="K171" s="33" t="s">
        <v>9375</v>
      </c>
      <c r="L171" s="33" t="s">
        <v>121</v>
      </c>
      <c r="M171" s="33" t="s">
        <v>9376</v>
      </c>
      <c r="N171" s="73"/>
      <c r="O171" s="73"/>
      <c r="P171" s="73"/>
      <c r="Q171" s="75"/>
      <c r="R171" s="75"/>
      <c r="S171" s="75"/>
      <c r="T171" s="75"/>
      <c r="U171" s="75"/>
      <c r="V171" s="75"/>
    </row>
    <row r="172" spans="2:22" s="72" customFormat="1" ht="20.399999999999999" x14ac:dyDescent="0.25">
      <c r="B172" s="73" t="s">
        <v>9422</v>
      </c>
      <c r="C172" s="33" t="s">
        <v>1937</v>
      </c>
      <c r="D172" s="23" t="s">
        <v>1938</v>
      </c>
      <c r="E172" s="73" t="s">
        <v>11017</v>
      </c>
      <c r="F172" s="73" t="s">
        <v>10902</v>
      </c>
      <c r="G172" s="73"/>
      <c r="H172" s="73" t="s">
        <v>11018</v>
      </c>
      <c r="I172" s="73" t="s">
        <v>11019</v>
      </c>
      <c r="J172" s="33" t="s">
        <v>9374</v>
      </c>
      <c r="K172" s="33" t="s">
        <v>9375</v>
      </c>
      <c r="L172" s="33" t="s">
        <v>121</v>
      </c>
      <c r="M172" s="33" t="s">
        <v>9376</v>
      </c>
      <c r="N172" s="73"/>
      <c r="O172" s="73"/>
      <c r="P172" s="73"/>
      <c r="Q172" s="76"/>
      <c r="R172" s="76"/>
      <c r="S172" s="76"/>
      <c r="T172" s="76"/>
      <c r="U172" s="76"/>
      <c r="V172" s="76"/>
    </row>
    <row r="173" spans="2:22" s="72" customFormat="1" ht="11.4" x14ac:dyDescent="0.25">
      <c r="B173" s="73" t="s">
        <v>9422</v>
      </c>
      <c r="C173" s="33" t="s">
        <v>1988</v>
      </c>
      <c r="D173" s="23" t="s">
        <v>1989</v>
      </c>
      <c r="E173" s="73" t="s">
        <v>11017</v>
      </c>
      <c r="F173" s="73" t="s">
        <v>10902</v>
      </c>
      <c r="G173" s="73"/>
      <c r="H173" s="73" t="s">
        <v>11018</v>
      </c>
      <c r="I173" s="73" t="s">
        <v>11020</v>
      </c>
      <c r="J173" s="33" t="s">
        <v>9374</v>
      </c>
      <c r="K173" s="33" t="s">
        <v>9375</v>
      </c>
      <c r="L173" s="33" t="s">
        <v>121</v>
      </c>
      <c r="M173" s="33" t="s">
        <v>9376</v>
      </c>
      <c r="N173" s="73"/>
      <c r="O173" s="73"/>
      <c r="P173" s="73"/>
      <c r="Q173" s="73"/>
      <c r="R173" s="23"/>
      <c r="S173" s="23"/>
      <c r="T173" s="73"/>
      <c r="U173" s="73"/>
      <c r="V173" s="73"/>
    </row>
    <row r="174" spans="2:22" s="72" customFormat="1" ht="11.4" x14ac:dyDescent="0.25">
      <c r="B174" s="166"/>
      <c r="C174" s="166"/>
      <c r="D174" s="166"/>
      <c r="E174" s="166"/>
      <c r="F174" s="166"/>
      <c r="G174" s="166"/>
      <c r="H174" s="166"/>
      <c r="I174" s="166"/>
      <c r="J174" s="166"/>
      <c r="K174" s="166"/>
      <c r="L174" s="166"/>
      <c r="M174" s="166"/>
      <c r="N174" s="166"/>
      <c r="O174" s="166"/>
      <c r="P174" s="166"/>
      <c r="Q174" s="75"/>
      <c r="R174" s="75"/>
      <c r="S174" s="75"/>
      <c r="T174" s="75"/>
      <c r="U174" s="75"/>
      <c r="V174" s="75"/>
    </row>
    <row r="175" spans="2:22" s="72" customFormat="1" ht="11.4" x14ac:dyDescent="0.25">
      <c r="B175" s="165" t="s">
        <v>9426</v>
      </c>
      <c r="C175" s="165"/>
      <c r="D175" s="165"/>
      <c r="E175" s="165"/>
      <c r="F175" s="165"/>
      <c r="G175" s="165"/>
      <c r="H175" s="165"/>
      <c r="I175" s="165"/>
      <c r="J175" s="165"/>
      <c r="K175" s="165"/>
      <c r="L175" s="165"/>
      <c r="M175" s="165"/>
      <c r="N175" s="165"/>
      <c r="O175" s="165"/>
      <c r="P175" s="165"/>
      <c r="Q175" s="76"/>
      <c r="R175" s="76"/>
      <c r="S175" s="76"/>
      <c r="T175" s="76"/>
      <c r="U175" s="76"/>
      <c r="V175" s="76"/>
    </row>
    <row r="176" spans="2:22" s="72" customFormat="1" ht="11.4" x14ac:dyDescent="0.25">
      <c r="B176" s="73" t="s">
        <v>9426</v>
      </c>
      <c r="C176" s="33" t="s">
        <v>436</v>
      </c>
      <c r="D176" s="23" t="s">
        <v>437</v>
      </c>
      <c r="E176" s="73"/>
      <c r="F176" s="73"/>
      <c r="G176" s="73"/>
      <c r="H176" s="73"/>
      <c r="I176" s="73"/>
      <c r="J176" s="33" t="s">
        <v>9374</v>
      </c>
      <c r="K176" s="33" t="s">
        <v>9375</v>
      </c>
      <c r="L176" s="33" t="s">
        <v>121</v>
      </c>
      <c r="M176" s="33" t="s">
        <v>9376</v>
      </c>
      <c r="N176" s="73"/>
      <c r="O176" s="73"/>
      <c r="P176" s="73"/>
      <c r="Q176" s="73"/>
      <c r="R176" s="23"/>
      <c r="S176" s="23"/>
      <c r="T176" s="73"/>
      <c r="U176" s="73"/>
      <c r="V176" s="73"/>
    </row>
    <row r="177" spans="2:22" s="72" customFormat="1" ht="11.4" x14ac:dyDescent="0.25">
      <c r="B177" s="166"/>
      <c r="C177" s="166"/>
      <c r="D177" s="166"/>
      <c r="E177" s="166"/>
      <c r="F177" s="166"/>
      <c r="G177" s="166"/>
      <c r="H177" s="166"/>
      <c r="I177" s="166"/>
      <c r="J177" s="166"/>
      <c r="K177" s="166"/>
      <c r="L177" s="166"/>
      <c r="M177" s="166"/>
      <c r="N177" s="166"/>
      <c r="O177" s="166"/>
      <c r="P177" s="166"/>
      <c r="Q177" s="73"/>
      <c r="R177" s="23"/>
      <c r="S177" s="23"/>
      <c r="T177" s="73"/>
      <c r="U177" s="73"/>
      <c r="V177" s="73"/>
    </row>
    <row r="178" spans="2:22" s="72" customFormat="1" ht="11.4" x14ac:dyDescent="0.25">
      <c r="B178" s="165" t="s">
        <v>9431</v>
      </c>
      <c r="C178" s="165"/>
      <c r="D178" s="165"/>
      <c r="E178" s="165"/>
      <c r="F178" s="165"/>
      <c r="G178" s="165"/>
      <c r="H178" s="165"/>
      <c r="I178" s="165"/>
      <c r="J178" s="165"/>
      <c r="K178" s="165"/>
      <c r="L178" s="165"/>
      <c r="M178" s="165"/>
      <c r="N178" s="165"/>
      <c r="O178" s="165"/>
      <c r="P178" s="165"/>
      <c r="Q178" s="73"/>
      <c r="R178" s="23"/>
      <c r="S178" s="23"/>
      <c r="T178" s="73"/>
      <c r="U178" s="73"/>
      <c r="V178" s="73"/>
    </row>
    <row r="179" spans="2:22" s="72" customFormat="1" ht="11.4" x14ac:dyDescent="0.25">
      <c r="B179" s="73" t="s">
        <v>9431</v>
      </c>
      <c r="C179" s="33" t="s">
        <v>438</v>
      </c>
      <c r="D179" s="23" t="s">
        <v>439</v>
      </c>
      <c r="E179" s="73"/>
      <c r="F179" s="73"/>
      <c r="G179" s="73"/>
      <c r="H179" s="73"/>
      <c r="I179" s="73"/>
      <c r="J179" s="33" t="s">
        <v>9374</v>
      </c>
      <c r="K179" s="33" t="s">
        <v>9375</v>
      </c>
      <c r="L179" s="33" t="s">
        <v>121</v>
      </c>
      <c r="M179" s="33" t="s">
        <v>9376</v>
      </c>
      <c r="N179" s="73"/>
      <c r="O179" s="73"/>
      <c r="P179" s="73"/>
      <c r="Q179" s="73"/>
      <c r="R179" s="23"/>
      <c r="S179" s="23"/>
      <c r="T179" s="73"/>
      <c r="U179" s="73"/>
      <c r="V179" s="73"/>
    </row>
    <row r="180" spans="2:22" s="72" customFormat="1" ht="11.4" x14ac:dyDescent="0.25">
      <c r="B180" s="166"/>
      <c r="C180" s="166"/>
      <c r="D180" s="166"/>
      <c r="E180" s="166"/>
      <c r="F180" s="166"/>
      <c r="G180" s="166"/>
      <c r="H180" s="166"/>
      <c r="I180" s="166"/>
      <c r="J180" s="166"/>
      <c r="K180" s="166"/>
      <c r="L180" s="166"/>
      <c r="M180" s="166"/>
      <c r="N180" s="166"/>
      <c r="O180" s="166"/>
      <c r="P180" s="166"/>
      <c r="Q180" s="75"/>
      <c r="R180" s="75"/>
      <c r="S180" s="75"/>
      <c r="T180" s="75"/>
      <c r="U180" s="75"/>
      <c r="V180" s="75"/>
    </row>
    <row r="181" spans="2:22" s="72" customFormat="1" ht="11.4" x14ac:dyDescent="0.25">
      <c r="B181" s="165" t="s">
        <v>9436</v>
      </c>
      <c r="C181" s="165"/>
      <c r="D181" s="165"/>
      <c r="E181" s="165"/>
      <c r="F181" s="165"/>
      <c r="G181" s="165"/>
      <c r="H181" s="165"/>
      <c r="I181" s="165"/>
      <c r="J181" s="165"/>
      <c r="K181" s="165"/>
      <c r="L181" s="165"/>
      <c r="M181" s="165"/>
      <c r="N181" s="165"/>
      <c r="O181" s="165"/>
      <c r="P181" s="165"/>
      <c r="Q181" s="76"/>
      <c r="R181" s="76"/>
      <c r="S181" s="76"/>
      <c r="T181" s="76"/>
      <c r="U181" s="76"/>
      <c r="V181" s="76"/>
    </row>
    <row r="182" spans="2:22" s="72" customFormat="1" ht="11.4" x14ac:dyDescent="0.25">
      <c r="B182" s="73" t="s">
        <v>9436</v>
      </c>
      <c r="C182" s="33" t="s">
        <v>441</v>
      </c>
      <c r="D182" s="23" t="s">
        <v>442</v>
      </c>
      <c r="E182" s="73"/>
      <c r="F182" s="73"/>
      <c r="G182" s="73"/>
      <c r="H182" s="73"/>
      <c r="I182" s="73"/>
      <c r="J182" s="33" t="s">
        <v>9374</v>
      </c>
      <c r="K182" s="33" t="s">
        <v>9375</v>
      </c>
      <c r="L182" s="33" t="s">
        <v>121</v>
      </c>
      <c r="M182" s="33" t="s">
        <v>9376</v>
      </c>
      <c r="N182" s="73"/>
      <c r="O182" s="73"/>
      <c r="P182" s="73"/>
      <c r="Q182" s="73"/>
      <c r="R182" s="23"/>
      <c r="S182" s="23"/>
      <c r="T182" s="73"/>
      <c r="U182" s="73"/>
      <c r="V182" s="73"/>
    </row>
    <row r="183" spans="2:22" s="72" customFormat="1" ht="11.4" x14ac:dyDescent="0.25">
      <c r="B183" s="166"/>
      <c r="C183" s="166"/>
      <c r="D183" s="166"/>
      <c r="E183" s="166"/>
      <c r="F183" s="166"/>
      <c r="G183" s="166"/>
      <c r="H183" s="166"/>
      <c r="I183" s="166"/>
      <c r="J183" s="166"/>
      <c r="K183" s="166"/>
      <c r="L183" s="166"/>
      <c r="M183" s="166"/>
      <c r="N183" s="166"/>
      <c r="O183" s="166"/>
      <c r="P183" s="166"/>
      <c r="Q183" s="75"/>
      <c r="R183" s="75"/>
      <c r="S183" s="75"/>
      <c r="T183" s="75"/>
      <c r="U183" s="75"/>
      <c r="V183" s="75"/>
    </row>
    <row r="184" spans="2:22" s="72" customFormat="1" ht="11.4" x14ac:dyDescent="0.25">
      <c r="B184" s="165" t="s">
        <v>9441</v>
      </c>
      <c r="C184" s="165"/>
      <c r="D184" s="165"/>
      <c r="E184" s="165"/>
      <c r="F184" s="165"/>
      <c r="G184" s="165"/>
      <c r="H184" s="165"/>
      <c r="I184" s="165"/>
      <c r="J184" s="165"/>
      <c r="K184" s="165"/>
      <c r="L184" s="165"/>
      <c r="M184" s="165"/>
      <c r="N184" s="165"/>
      <c r="O184" s="165"/>
      <c r="P184" s="165"/>
      <c r="Q184" s="76"/>
      <c r="R184" s="76"/>
      <c r="S184" s="76"/>
      <c r="T184" s="76"/>
      <c r="U184" s="76"/>
      <c r="V184" s="76"/>
    </row>
    <row r="185" spans="2:22" s="72" customFormat="1" ht="11.4" x14ac:dyDescent="0.25">
      <c r="B185" s="73" t="s">
        <v>9441</v>
      </c>
      <c r="C185" s="33" t="s">
        <v>443</v>
      </c>
      <c r="D185" s="23" t="s">
        <v>444</v>
      </c>
      <c r="E185" s="73"/>
      <c r="F185" s="73"/>
      <c r="G185" s="73"/>
      <c r="H185" s="73"/>
      <c r="I185" s="73"/>
      <c r="J185" s="33" t="s">
        <v>9374</v>
      </c>
      <c r="K185" s="33" t="s">
        <v>9375</v>
      </c>
      <c r="L185" s="33" t="s">
        <v>121</v>
      </c>
      <c r="M185" s="33" t="s">
        <v>9376</v>
      </c>
      <c r="N185" s="73"/>
      <c r="O185" s="73"/>
      <c r="P185" s="73"/>
      <c r="Q185" s="73"/>
      <c r="R185" s="23"/>
      <c r="S185" s="23"/>
      <c r="T185" s="73"/>
      <c r="U185" s="73"/>
      <c r="V185" s="73"/>
    </row>
    <row r="186" spans="2:22" s="72" customFormat="1" ht="11.4" x14ac:dyDescent="0.25">
      <c r="B186" s="166"/>
      <c r="C186" s="166"/>
      <c r="D186" s="166"/>
      <c r="E186" s="166"/>
      <c r="F186" s="166"/>
      <c r="G186" s="166"/>
      <c r="H186" s="166"/>
      <c r="I186" s="166"/>
      <c r="J186" s="166"/>
      <c r="K186" s="166"/>
      <c r="L186" s="166"/>
      <c r="M186" s="166"/>
      <c r="N186" s="166"/>
      <c r="O186" s="166"/>
      <c r="P186" s="166"/>
      <c r="Q186" s="75"/>
      <c r="R186" s="75"/>
      <c r="S186" s="75"/>
      <c r="T186" s="75"/>
      <c r="U186" s="75"/>
      <c r="V186" s="75"/>
    </row>
    <row r="187" spans="2:22" s="72" customFormat="1" ht="11.4" x14ac:dyDescent="0.25">
      <c r="B187" s="165" t="s">
        <v>9446</v>
      </c>
      <c r="C187" s="165"/>
      <c r="D187" s="165"/>
      <c r="E187" s="165"/>
      <c r="F187" s="165"/>
      <c r="G187" s="165"/>
      <c r="H187" s="165"/>
      <c r="I187" s="165"/>
      <c r="J187" s="165"/>
      <c r="K187" s="165"/>
      <c r="L187" s="165"/>
      <c r="M187" s="165"/>
      <c r="N187" s="165"/>
      <c r="O187" s="165"/>
      <c r="P187" s="165"/>
      <c r="Q187" s="76"/>
      <c r="R187" s="76"/>
      <c r="S187" s="76"/>
      <c r="T187" s="76"/>
      <c r="U187" s="76"/>
      <c r="V187" s="76"/>
    </row>
    <row r="188" spans="2:22" s="72" customFormat="1" ht="11.4" x14ac:dyDescent="0.25">
      <c r="B188" s="73" t="s">
        <v>9446</v>
      </c>
      <c r="C188" s="33" t="s">
        <v>445</v>
      </c>
      <c r="D188" s="23" t="s">
        <v>446</v>
      </c>
      <c r="E188" s="73"/>
      <c r="F188" s="73"/>
      <c r="G188" s="73"/>
      <c r="H188" s="73"/>
      <c r="I188" s="73"/>
      <c r="J188" s="33" t="s">
        <v>9374</v>
      </c>
      <c r="K188" s="33" t="s">
        <v>9375</v>
      </c>
      <c r="L188" s="33" t="s">
        <v>121</v>
      </c>
      <c r="M188" s="33" t="s">
        <v>9376</v>
      </c>
      <c r="N188" s="73"/>
      <c r="O188" s="73"/>
      <c r="P188" s="73"/>
      <c r="Q188" s="73"/>
      <c r="R188" s="23"/>
      <c r="S188" s="23"/>
      <c r="T188" s="73"/>
      <c r="U188" s="73"/>
      <c r="V188" s="73"/>
    </row>
    <row r="189" spans="2:22" s="72" customFormat="1" ht="11.4" x14ac:dyDescent="0.25">
      <c r="B189" s="166"/>
      <c r="C189" s="166"/>
      <c r="D189" s="166"/>
      <c r="E189" s="166"/>
      <c r="F189" s="166"/>
      <c r="G189" s="166"/>
      <c r="H189" s="166"/>
      <c r="I189" s="166"/>
      <c r="J189" s="166"/>
      <c r="K189" s="166"/>
      <c r="L189" s="166"/>
      <c r="M189" s="166"/>
      <c r="N189" s="166"/>
      <c r="O189" s="166"/>
      <c r="P189" s="166"/>
      <c r="Q189" s="75"/>
      <c r="R189" s="75"/>
      <c r="S189" s="75"/>
      <c r="T189" s="75"/>
      <c r="U189" s="75"/>
      <c r="V189" s="75"/>
    </row>
    <row r="190" spans="2:22" s="72" customFormat="1" ht="11.4" x14ac:dyDescent="0.25">
      <c r="B190" s="165" t="s">
        <v>9451</v>
      </c>
      <c r="C190" s="165"/>
      <c r="D190" s="165"/>
      <c r="E190" s="165"/>
      <c r="F190" s="165"/>
      <c r="G190" s="165"/>
      <c r="H190" s="165"/>
      <c r="I190" s="165"/>
      <c r="J190" s="165"/>
      <c r="K190" s="165"/>
      <c r="L190" s="165"/>
      <c r="M190" s="165"/>
      <c r="N190" s="165"/>
      <c r="O190" s="165"/>
      <c r="P190" s="165"/>
      <c r="Q190" s="76"/>
      <c r="R190" s="76"/>
      <c r="S190" s="76"/>
      <c r="T190" s="76"/>
      <c r="U190" s="76"/>
      <c r="V190" s="76"/>
    </row>
    <row r="191" spans="2:22" s="72" customFormat="1" ht="11.4" x14ac:dyDescent="0.25">
      <c r="B191" s="73" t="s">
        <v>9451</v>
      </c>
      <c r="C191" s="33" t="s">
        <v>447</v>
      </c>
      <c r="D191" s="23" t="s">
        <v>448</v>
      </c>
      <c r="E191" s="73"/>
      <c r="F191" s="73"/>
      <c r="G191" s="73"/>
      <c r="H191" s="73"/>
      <c r="I191" s="73"/>
      <c r="J191" s="33" t="s">
        <v>9374</v>
      </c>
      <c r="K191" s="33" t="s">
        <v>9375</v>
      </c>
      <c r="L191" s="33" t="s">
        <v>121</v>
      </c>
      <c r="M191" s="33" t="s">
        <v>9376</v>
      </c>
      <c r="N191" s="73"/>
      <c r="O191" s="73"/>
      <c r="P191" s="73"/>
      <c r="Q191" s="73"/>
      <c r="R191" s="23"/>
      <c r="S191" s="23"/>
      <c r="T191" s="73"/>
      <c r="U191" s="73"/>
      <c r="V191" s="73"/>
    </row>
    <row r="192" spans="2:22" s="72" customFormat="1" ht="11.4" x14ac:dyDescent="0.25">
      <c r="B192" s="166"/>
      <c r="C192" s="166"/>
      <c r="D192" s="166"/>
      <c r="E192" s="166"/>
      <c r="F192" s="166"/>
      <c r="G192" s="166"/>
      <c r="H192" s="166"/>
      <c r="I192" s="166"/>
      <c r="J192" s="166"/>
      <c r="K192" s="166"/>
      <c r="L192" s="166"/>
      <c r="M192" s="166"/>
      <c r="N192" s="166"/>
      <c r="O192" s="166"/>
      <c r="P192" s="166"/>
      <c r="Q192" s="75"/>
      <c r="R192" s="75"/>
      <c r="S192" s="75"/>
      <c r="T192" s="75"/>
      <c r="U192" s="75"/>
      <c r="V192" s="75"/>
    </row>
    <row r="193" spans="2:22" s="72" customFormat="1" ht="11.4" x14ac:dyDescent="0.25">
      <c r="B193" s="165" t="s">
        <v>9456</v>
      </c>
      <c r="C193" s="165"/>
      <c r="D193" s="165"/>
      <c r="E193" s="165"/>
      <c r="F193" s="165"/>
      <c r="G193" s="165"/>
      <c r="H193" s="165"/>
      <c r="I193" s="165"/>
      <c r="J193" s="165"/>
      <c r="K193" s="165"/>
      <c r="L193" s="165"/>
      <c r="M193" s="165"/>
      <c r="N193" s="165"/>
      <c r="O193" s="165"/>
      <c r="P193" s="165"/>
      <c r="Q193" s="76"/>
      <c r="R193" s="76"/>
      <c r="S193" s="76"/>
      <c r="T193" s="76"/>
      <c r="U193" s="76"/>
      <c r="V193" s="76"/>
    </row>
    <row r="194" spans="2:22" s="72" customFormat="1" ht="11.4" x14ac:dyDescent="0.25">
      <c r="B194" s="73" t="s">
        <v>9456</v>
      </c>
      <c r="C194" s="33" t="s">
        <v>449</v>
      </c>
      <c r="D194" s="23" t="s">
        <v>450</v>
      </c>
      <c r="E194" s="73"/>
      <c r="F194" s="73"/>
      <c r="G194" s="73"/>
      <c r="H194" s="73"/>
      <c r="I194" s="73"/>
      <c r="J194" s="33" t="s">
        <v>9374</v>
      </c>
      <c r="K194" s="33" t="s">
        <v>9375</v>
      </c>
      <c r="L194" s="33" t="s">
        <v>121</v>
      </c>
      <c r="M194" s="33" t="s">
        <v>9376</v>
      </c>
      <c r="N194" s="73"/>
      <c r="O194" s="73"/>
      <c r="P194" s="73"/>
      <c r="Q194" s="73"/>
      <c r="R194" s="23"/>
      <c r="S194" s="23"/>
      <c r="T194" s="73"/>
      <c r="U194" s="73"/>
      <c r="V194" s="73"/>
    </row>
    <row r="195" spans="2:22" s="72" customFormat="1" ht="11.4" x14ac:dyDescent="0.25">
      <c r="B195" s="73" t="s">
        <v>9456</v>
      </c>
      <c r="C195" s="33" t="s">
        <v>1935</v>
      </c>
      <c r="D195" s="23" t="s">
        <v>1936</v>
      </c>
      <c r="E195" s="73" t="s">
        <v>11021</v>
      </c>
      <c r="F195" s="73" t="s">
        <v>10902</v>
      </c>
      <c r="G195" s="73"/>
      <c r="H195" s="73" t="s">
        <v>11018</v>
      </c>
      <c r="I195" s="73" t="s">
        <v>11022</v>
      </c>
      <c r="J195" s="33" t="s">
        <v>9374</v>
      </c>
      <c r="K195" s="33" t="s">
        <v>9375</v>
      </c>
      <c r="L195" s="33" t="s">
        <v>121</v>
      </c>
      <c r="M195" s="33" t="s">
        <v>9376</v>
      </c>
      <c r="N195" s="73"/>
      <c r="O195" s="73"/>
      <c r="P195" s="73"/>
      <c r="Q195" s="75"/>
      <c r="R195" s="75"/>
      <c r="S195" s="75"/>
      <c r="T195" s="75"/>
      <c r="U195" s="75"/>
      <c r="V195" s="75"/>
    </row>
    <row r="196" spans="2:22" s="72" customFormat="1" ht="11.4" x14ac:dyDescent="0.25">
      <c r="B196" s="73" t="s">
        <v>9456</v>
      </c>
      <c r="C196" s="33" t="s">
        <v>1985</v>
      </c>
      <c r="D196" s="23" t="s">
        <v>1986</v>
      </c>
      <c r="E196" s="73" t="s">
        <v>11021</v>
      </c>
      <c r="F196" s="73" t="s">
        <v>10902</v>
      </c>
      <c r="G196" s="73"/>
      <c r="H196" s="73" t="s">
        <v>11018</v>
      </c>
      <c r="I196" s="73" t="s">
        <v>11023</v>
      </c>
      <c r="J196" s="33" t="s">
        <v>9374</v>
      </c>
      <c r="K196" s="33" t="s">
        <v>9375</v>
      </c>
      <c r="L196" s="33" t="s">
        <v>121</v>
      </c>
      <c r="M196" s="33" t="s">
        <v>9376</v>
      </c>
      <c r="N196" s="73"/>
      <c r="O196" s="73"/>
      <c r="P196" s="73"/>
      <c r="Q196" s="76"/>
      <c r="R196" s="76"/>
      <c r="S196" s="76"/>
      <c r="T196" s="76"/>
      <c r="U196" s="76"/>
      <c r="V196" s="76"/>
    </row>
    <row r="197" spans="2:22" s="72" customFormat="1" ht="11.4" x14ac:dyDescent="0.25">
      <c r="B197" s="166"/>
      <c r="C197" s="166"/>
      <c r="D197" s="166"/>
      <c r="E197" s="166"/>
      <c r="F197" s="166"/>
      <c r="G197" s="166"/>
      <c r="H197" s="166"/>
      <c r="I197" s="166"/>
      <c r="J197" s="166"/>
      <c r="K197" s="166"/>
      <c r="L197" s="166"/>
      <c r="M197" s="166"/>
      <c r="N197" s="166"/>
      <c r="O197" s="166"/>
      <c r="P197" s="166"/>
      <c r="Q197" s="73"/>
      <c r="R197" s="23"/>
      <c r="S197" s="23"/>
      <c r="T197" s="73"/>
      <c r="U197" s="73"/>
      <c r="V197" s="73"/>
    </row>
    <row r="198" spans="2:22" s="72" customFormat="1" ht="11.4" x14ac:dyDescent="0.25">
      <c r="B198" s="165" t="s">
        <v>9459</v>
      </c>
      <c r="C198" s="165"/>
      <c r="D198" s="165"/>
      <c r="E198" s="165"/>
      <c r="F198" s="165"/>
      <c r="G198" s="165"/>
      <c r="H198" s="165"/>
      <c r="I198" s="165"/>
      <c r="J198" s="165"/>
      <c r="K198" s="165"/>
      <c r="L198" s="165"/>
      <c r="M198" s="165"/>
      <c r="N198" s="165"/>
      <c r="O198" s="165"/>
      <c r="P198" s="165"/>
      <c r="Q198" s="75"/>
      <c r="R198" s="75"/>
      <c r="S198" s="75"/>
      <c r="T198" s="75"/>
      <c r="U198" s="75"/>
      <c r="V198" s="75"/>
    </row>
    <row r="199" spans="2:22" s="72" customFormat="1" ht="11.4" x14ac:dyDescent="0.25">
      <c r="B199" s="73" t="s">
        <v>9459</v>
      </c>
      <c r="C199" s="33" t="s">
        <v>451</v>
      </c>
      <c r="D199" s="23" t="s">
        <v>452</v>
      </c>
      <c r="E199" s="73"/>
      <c r="F199" s="73"/>
      <c r="G199" s="73"/>
      <c r="H199" s="73"/>
      <c r="I199" s="73"/>
      <c r="J199" s="33" t="s">
        <v>9374</v>
      </c>
      <c r="K199" s="33" t="s">
        <v>9375</v>
      </c>
      <c r="L199" s="33" t="s">
        <v>121</v>
      </c>
      <c r="M199" s="33" t="s">
        <v>9376</v>
      </c>
      <c r="N199" s="73"/>
      <c r="O199" s="73"/>
      <c r="P199" s="73"/>
      <c r="Q199" s="76"/>
      <c r="R199" s="76"/>
      <c r="S199" s="76"/>
      <c r="T199" s="76"/>
      <c r="U199" s="76"/>
      <c r="V199" s="76"/>
    </row>
    <row r="200" spans="2:22" s="72" customFormat="1" ht="11.4" x14ac:dyDescent="0.25">
      <c r="B200" s="166"/>
      <c r="C200" s="166"/>
      <c r="D200" s="166"/>
      <c r="E200" s="166"/>
      <c r="F200" s="166"/>
      <c r="G200" s="166"/>
      <c r="H200" s="166"/>
      <c r="I200" s="166"/>
      <c r="J200" s="166"/>
      <c r="K200" s="166"/>
      <c r="L200" s="166"/>
      <c r="M200" s="166"/>
      <c r="N200" s="166"/>
      <c r="O200" s="166"/>
      <c r="P200" s="166"/>
      <c r="Q200" s="73"/>
      <c r="R200" s="23"/>
      <c r="S200" s="23"/>
      <c r="T200" s="73"/>
      <c r="U200" s="73"/>
      <c r="V200" s="73"/>
    </row>
    <row r="201" spans="2:22" s="72" customFormat="1" ht="11.4" x14ac:dyDescent="0.25">
      <c r="B201" s="165" t="s">
        <v>9464</v>
      </c>
      <c r="C201" s="165"/>
      <c r="D201" s="165"/>
      <c r="E201" s="165"/>
      <c r="F201" s="165"/>
      <c r="G201" s="165"/>
      <c r="H201" s="165"/>
      <c r="I201" s="165"/>
      <c r="J201" s="165"/>
      <c r="K201" s="165"/>
      <c r="L201" s="165"/>
      <c r="M201" s="165"/>
      <c r="N201" s="165"/>
      <c r="O201" s="165"/>
      <c r="P201" s="165"/>
      <c r="Q201" s="73"/>
      <c r="R201" s="23"/>
      <c r="S201" s="23"/>
      <c r="T201" s="73"/>
      <c r="U201" s="73"/>
      <c r="V201" s="73"/>
    </row>
    <row r="202" spans="2:22" s="72" customFormat="1" ht="11.4" x14ac:dyDescent="0.25">
      <c r="B202" s="73" t="s">
        <v>9464</v>
      </c>
      <c r="C202" s="33" t="s">
        <v>453</v>
      </c>
      <c r="D202" s="23" t="s">
        <v>454</v>
      </c>
      <c r="E202" s="73"/>
      <c r="F202" s="73"/>
      <c r="G202" s="73"/>
      <c r="H202" s="73"/>
      <c r="I202" s="73"/>
      <c r="J202" s="33" t="s">
        <v>9374</v>
      </c>
      <c r="K202" s="33" t="s">
        <v>9375</v>
      </c>
      <c r="L202" s="33" t="s">
        <v>121</v>
      </c>
      <c r="M202" s="33" t="s">
        <v>9376</v>
      </c>
      <c r="N202" s="73"/>
      <c r="O202" s="73"/>
      <c r="P202" s="73"/>
      <c r="Q202" s="73"/>
      <c r="R202" s="23"/>
      <c r="S202" s="23"/>
      <c r="T202" s="73"/>
      <c r="U202" s="73"/>
      <c r="V202" s="73"/>
    </row>
    <row r="203" spans="2:22" s="72" customFormat="1" ht="11.4" x14ac:dyDescent="0.25">
      <c r="B203" s="166"/>
      <c r="C203" s="166"/>
      <c r="D203" s="166"/>
      <c r="E203" s="166"/>
      <c r="F203" s="166"/>
      <c r="G203" s="166"/>
      <c r="H203" s="166"/>
      <c r="I203" s="166"/>
      <c r="J203" s="166"/>
      <c r="K203" s="166"/>
      <c r="L203" s="166"/>
      <c r="M203" s="166"/>
      <c r="N203" s="166"/>
      <c r="O203" s="166"/>
      <c r="P203" s="166"/>
      <c r="Q203" s="73"/>
      <c r="R203" s="23"/>
      <c r="S203" s="23"/>
      <c r="T203" s="73"/>
      <c r="U203" s="73"/>
      <c r="V203" s="73"/>
    </row>
    <row r="204" spans="2:22" s="72" customFormat="1" ht="11.4" x14ac:dyDescent="0.25">
      <c r="B204" s="165" t="s">
        <v>9469</v>
      </c>
      <c r="C204" s="165"/>
      <c r="D204" s="165"/>
      <c r="E204" s="165"/>
      <c r="F204" s="165"/>
      <c r="G204" s="165"/>
      <c r="H204" s="165"/>
      <c r="I204" s="165"/>
      <c r="J204" s="165"/>
      <c r="K204" s="165"/>
      <c r="L204" s="165"/>
      <c r="M204" s="165"/>
      <c r="N204" s="165"/>
      <c r="O204" s="165"/>
      <c r="P204" s="165"/>
      <c r="Q204" s="75"/>
      <c r="R204" s="75"/>
      <c r="S204" s="75"/>
      <c r="T204" s="75"/>
      <c r="U204" s="75"/>
      <c r="V204" s="75"/>
    </row>
    <row r="205" spans="2:22" s="72" customFormat="1" ht="11.4" x14ac:dyDescent="0.25">
      <c r="B205" s="73" t="s">
        <v>9469</v>
      </c>
      <c r="C205" s="33" t="s">
        <v>455</v>
      </c>
      <c r="D205" s="23" t="s">
        <v>456</v>
      </c>
      <c r="E205" s="73"/>
      <c r="F205" s="73"/>
      <c r="G205" s="73"/>
      <c r="H205" s="73"/>
      <c r="I205" s="73"/>
      <c r="J205" s="33" t="s">
        <v>9374</v>
      </c>
      <c r="K205" s="33" t="s">
        <v>9375</v>
      </c>
      <c r="L205" s="33" t="s">
        <v>121</v>
      </c>
      <c r="M205" s="33" t="s">
        <v>9376</v>
      </c>
      <c r="N205" s="73"/>
      <c r="O205" s="73"/>
      <c r="P205" s="73"/>
      <c r="Q205" s="76"/>
      <c r="R205" s="76"/>
      <c r="S205" s="76"/>
      <c r="T205" s="76"/>
      <c r="U205" s="76"/>
      <c r="V205" s="76"/>
    </row>
    <row r="206" spans="2:22" s="72" customFormat="1" ht="11.4" x14ac:dyDescent="0.25">
      <c r="B206" s="166"/>
      <c r="C206" s="166"/>
      <c r="D206" s="166"/>
      <c r="E206" s="166"/>
      <c r="F206" s="166"/>
      <c r="G206" s="166"/>
      <c r="H206" s="166"/>
      <c r="I206" s="166"/>
      <c r="J206" s="166"/>
      <c r="K206" s="166"/>
      <c r="L206" s="166"/>
      <c r="M206" s="166"/>
      <c r="N206" s="166"/>
      <c r="O206" s="166"/>
      <c r="P206" s="166"/>
      <c r="Q206" s="73"/>
      <c r="R206" s="23"/>
      <c r="S206" s="23"/>
      <c r="T206" s="73"/>
      <c r="U206" s="73"/>
      <c r="V206" s="73"/>
    </row>
    <row r="207" spans="2:22" s="72" customFormat="1" ht="11.4" x14ac:dyDescent="0.25">
      <c r="B207" s="165" t="s">
        <v>9474</v>
      </c>
      <c r="C207" s="165"/>
      <c r="D207" s="165"/>
      <c r="E207" s="165"/>
      <c r="F207" s="165"/>
      <c r="G207" s="165"/>
      <c r="H207" s="165"/>
      <c r="I207" s="165"/>
      <c r="J207" s="165"/>
      <c r="K207" s="165"/>
      <c r="L207" s="165"/>
      <c r="M207" s="165"/>
      <c r="N207" s="165"/>
      <c r="O207" s="165"/>
      <c r="P207" s="165"/>
      <c r="Q207" s="75"/>
      <c r="R207" s="75"/>
      <c r="S207" s="75"/>
      <c r="T207" s="75"/>
      <c r="U207" s="75"/>
      <c r="V207" s="75"/>
    </row>
    <row r="208" spans="2:22" s="72" customFormat="1" ht="11.4" x14ac:dyDescent="0.25">
      <c r="B208" s="73" t="s">
        <v>9474</v>
      </c>
      <c r="C208" s="33" t="s">
        <v>457</v>
      </c>
      <c r="D208" s="23" t="s">
        <v>458</v>
      </c>
      <c r="E208" s="73"/>
      <c r="F208" s="73"/>
      <c r="G208" s="73"/>
      <c r="H208" s="73"/>
      <c r="I208" s="73"/>
      <c r="J208" s="33" t="s">
        <v>9374</v>
      </c>
      <c r="K208" s="33" t="s">
        <v>9375</v>
      </c>
      <c r="L208" s="33" t="s">
        <v>121</v>
      </c>
      <c r="M208" s="33" t="s">
        <v>9376</v>
      </c>
      <c r="N208" s="73"/>
      <c r="O208" s="73"/>
      <c r="P208" s="73"/>
      <c r="Q208" s="76"/>
      <c r="R208" s="76"/>
      <c r="S208" s="76"/>
      <c r="T208" s="76"/>
      <c r="U208" s="76"/>
      <c r="V208" s="76"/>
    </row>
    <row r="209" spans="2:22" s="72" customFormat="1" ht="11.4" x14ac:dyDescent="0.25">
      <c r="B209" s="166"/>
      <c r="C209" s="166"/>
      <c r="D209" s="166"/>
      <c r="E209" s="166"/>
      <c r="F209" s="166"/>
      <c r="G209" s="166"/>
      <c r="H209" s="166"/>
      <c r="I209" s="166"/>
      <c r="J209" s="166"/>
      <c r="K209" s="166"/>
      <c r="L209" s="166"/>
      <c r="M209" s="166"/>
      <c r="N209" s="166"/>
      <c r="O209" s="166"/>
      <c r="P209" s="166"/>
      <c r="Q209" s="73"/>
      <c r="R209" s="23"/>
      <c r="S209" s="23"/>
      <c r="T209" s="73"/>
      <c r="U209" s="73"/>
      <c r="V209" s="73"/>
    </row>
    <row r="210" spans="2:22" s="72" customFormat="1" ht="11.4" x14ac:dyDescent="0.25">
      <c r="B210" s="165" t="s">
        <v>9477</v>
      </c>
      <c r="C210" s="165"/>
      <c r="D210" s="165"/>
      <c r="E210" s="165"/>
      <c r="F210" s="165"/>
      <c r="G210" s="165"/>
      <c r="H210" s="165"/>
      <c r="I210" s="165"/>
      <c r="J210" s="165"/>
      <c r="K210" s="165"/>
      <c r="L210" s="165"/>
      <c r="M210" s="165"/>
      <c r="N210" s="165"/>
      <c r="O210" s="165"/>
      <c r="P210" s="165"/>
      <c r="Q210" s="75"/>
      <c r="R210" s="75"/>
      <c r="S210" s="75"/>
      <c r="T210" s="75"/>
      <c r="U210" s="75"/>
      <c r="V210" s="75"/>
    </row>
    <row r="211" spans="2:22" s="72" customFormat="1" ht="11.4" x14ac:dyDescent="0.25">
      <c r="B211" s="73" t="s">
        <v>9477</v>
      </c>
      <c r="C211" s="33" t="s">
        <v>459</v>
      </c>
      <c r="D211" s="23" t="s">
        <v>460</v>
      </c>
      <c r="E211" s="73"/>
      <c r="F211" s="73"/>
      <c r="G211" s="73"/>
      <c r="H211" s="73"/>
      <c r="I211" s="73"/>
      <c r="J211" s="33" t="s">
        <v>9374</v>
      </c>
      <c r="K211" s="33" t="s">
        <v>11016</v>
      </c>
      <c r="L211" s="33" t="s">
        <v>121</v>
      </c>
      <c r="M211" s="33" t="s">
        <v>9376</v>
      </c>
      <c r="N211" s="73"/>
      <c r="O211" s="73"/>
      <c r="P211" s="73"/>
      <c r="Q211" s="76"/>
      <c r="R211" s="76"/>
      <c r="S211" s="76"/>
      <c r="T211" s="76"/>
      <c r="U211" s="76"/>
      <c r="V211" s="76"/>
    </row>
    <row r="212" spans="2:22" s="72" customFormat="1" ht="11.4" x14ac:dyDescent="0.25">
      <c r="B212" s="166"/>
      <c r="C212" s="166"/>
      <c r="D212" s="166"/>
      <c r="E212" s="166"/>
      <c r="F212" s="166"/>
      <c r="G212" s="166"/>
      <c r="H212" s="166"/>
      <c r="I212" s="166"/>
      <c r="J212" s="166"/>
      <c r="K212" s="166"/>
      <c r="L212" s="166"/>
      <c r="M212" s="166"/>
      <c r="N212" s="166"/>
      <c r="O212" s="166"/>
      <c r="P212" s="166"/>
      <c r="Q212" s="73"/>
      <c r="R212" s="23"/>
      <c r="S212" s="23"/>
      <c r="T212" s="73"/>
      <c r="U212" s="73"/>
      <c r="V212" s="73"/>
    </row>
    <row r="213" spans="2:22" s="72" customFormat="1" ht="11.4" x14ac:dyDescent="0.25">
      <c r="B213" s="165" t="s">
        <v>9479</v>
      </c>
      <c r="C213" s="165"/>
      <c r="D213" s="165"/>
      <c r="E213" s="165"/>
      <c r="F213" s="165"/>
      <c r="G213" s="165"/>
      <c r="H213" s="165"/>
      <c r="I213" s="165"/>
      <c r="J213" s="165"/>
      <c r="K213" s="165"/>
      <c r="L213" s="165"/>
      <c r="M213" s="165"/>
      <c r="N213" s="165"/>
      <c r="O213" s="165"/>
      <c r="P213" s="165"/>
      <c r="Q213" s="75"/>
      <c r="R213" s="75"/>
      <c r="S213" s="75"/>
      <c r="T213" s="75"/>
      <c r="U213" s="75"/>
      <c r="V213" s="75"/>
    </row>
    <row r="214" spans="2:22" s="72" customFormat="1" ht="11.4" x14ac:dyDescent="0.25">
      <c r="B214" s="73" t="s">
        <v>9479</v>
      </c>
      <c r="C214" s="33" t="s">
        <v>461</v>
      </c>
      <c r="D214" s="23" t="s">
        <v>462</v>
      </c>
      <c r="E214" s="73"/>
      <c r="F214" s="73"/>
      <c r="G214" s="73"/>
      <c r="H214" s="73"/>
      <c r="I214" s="73"/>
      <c r="J214" s="33" t="s">
        <v>9374</v>
      </c>
      <c r="K214" s="33" t="s">
        <v>9375</v>
      </c>
      <c r="L214" s="33" t="s">
        <v>121</v>
      </c>
      <c r="M214" s="33" t="s">
        <v>9376</v>
      </c>
      <c r="N214" s="73"/>
      <c r="O214" s="73"/>
      <c r="P214" s="73"/>
      <c r="Q214" s="76"/>
      <c r="R214" s="76"/>
      <c r="S214" s="76"/>
      <c r="T214" s="76"/>
      <c r="U214" s="76"/>
      <c r="V214" s="76"/>
    </row>
    <row r="215" spans="2:22" s="72" customFormat="1" ht="11.4" x14ac:dyDescent="0.25">
      <c r="B215" s="166"/>
      <c r="C215" s="166"/>
      <c r="D215" s="166"/>
      <c r="E215" s="166"/>
      <c r="F215" s="166"/>
      <c r="G215" s="166"/>
      <c r="H215" s="166"/>
      <c r="I215" s="166"/>
      <c r="J215" s="166"/>
      <c r="K215" s="166"/>
      <c r="L215" s="166"/>
      <c r="M215" s="166"/>
      <c r="N215" s="166"/>
      <c r="O215" s="166"/>
      <c r="P215" s="166"/>
      <c r="Q215" s="73"/>
      <c r="R215" s="23"/>
      <c r="S215" s="23"/>
      <c r="T215" s="73"/>
      <c r="U215" s="73"/>
      <c r="V215" s="73"/>
    </row>
    <row r="216" spans="2:22" s="72" customFormat="1" ht="11.4" x14ac:dyDescent="0.25">
      <c r="B216" s="165" t="s">
        <v>9484</v>
      </c>
      <c r="C216" s="165"/>
      <c r="D216" s="165"/>
      <c r="E216" s="165"/>
      <c r="F216" s="165"/>
      <c r="G216" s="165"/>
      <c r="H216" s="165"/>
      <c r="I216" s="165"/>
      <c r="J216" s="165"/>
      <c r="K216" s="165"/>
      <c r="L216" s="165"/>
      <c r="M216" s="165"/>
      <c r="N216" s="165"/>
      <c r="O216" s="165"/>
      <c r="P216" s="165"/>
      <c r="Q216" s="73"/>
      <c r="R216" s="23"/>
      <c r="S216" s="23"/>
      <c r="T216" s="73"/>
      <c r="U216" s="73"/>
      <c r="V216" s="73"/>
    </row>
    <row r="217" spans="2:22" s="72" customFormat="1" ht="11.4" x14ac:dyDescent="0.25">
      <c r="B217" s="73" t="s">
        <v>9484</v>
      </c>
      <c r="C217" s="33" t="s">
        <v>463</v>
      </c>
      <c r="D217" s="23" t="s">
        <v>464</v>
      </c>
      <c r="E217" s="73"/>
      <c r="F217" s="73"/>
      <c r="G217" s="73"/>
      <c r="H217" s="73"/>
      <c r="I217" s="73"/>
      <c r="J217" s="33" t="s">
        <v>9374</v>
      </c>
      <c r="K217" s="33" t="s">
        <v>9375</v>
      </c>
      <c r="L217" s="33" t="s">
        <v>121</v>
      </c>
      <c r="M217" s="33" t="s">
        <v>9376</v>
      </c>
      <c r="N217" s="73"/>
      <c r="O217" s="73"/>
      <c r="P217" s="73"/>
      <c r="Q217" s="75"/>
      <c r="R217" s="75"/>
      <c r="S217" s="75"/>
      <c r="T217" s="75"/>
      <c r="U217" s="75"/>
      <c r="V217" s="75"/>
    </row>
    <row r="218" spans="2:22" s="72" customFormat="1" ht="11.4" x14ac:dyDescent="0.25">
      <c r="B218" s="166"/>
      <c r="C218" s="166"/>
      <c r="D218" s="166"/>
      <c r="E218" s="166"/>
      <c r="F218" s="166"/>
      <c r="G218" s="166"/>
      <c r="H218" s="166"/>
      <c r="I218" s="166"/>
      <c r="J218" s="166"/>
      <c r="K218" s="166"/>
      <c r="L218" s="166"/>
      <c r="M218" s="166"/>
      <c r="N218" s="166"/>
      <c r="O218" s="166"/>
      <c r="P218" s="166"/>
      <c r="Q218" s="76"/>
      <c r="R218" s="76"/>
      <c r="S218" s="76"/>
      <c r="T218" s="76"/>
      <c r="U218" s="76"/>
      <c r="V218" s="76"/>
    </row>
    <row r="219" spans="2:22" s="72" customFormat="1" ht="11.4" x14ac:dyDescent="0.25">
      <c r="B219" s="165" t="s">
        <v>9486</v>
      </c>
      <c r="C219" s="165"/>
      <c r="D219" s="165"/>
      <c r="E219" s="165"/>
      <c r="F219" s="165"/>
      <c r="G219" s="165"/>
      <c r="H219" s="165"/>
      <c r="I219" s="165"/>
      <c r="J219" s="165"/>
      <c r="K219" s="165"/>
      <c r="L219" s="165"/>
      <c r="M219" s="165"/>
      <c r="N219" s="165"/>
      <c r="O219" s="165"/>
      <c r="P219" s="165"/>
      <c r="Q219" s="73"/>
      <c r="R219" s="23"/>
      <c r="S219" s="23"/>
      <c r="T219" s="73"/>
      <c r="U219" s="73"/>
      <c r="V219" s="73"/>
    </row>
    <row r="220" spans="2:22" s="72" customFormat="1" ht="11.4" x14ac:dyDescent="0.25">
      <c r="B220" s="73" t="s">
        <v>9486</v>
      </c>
      <c r="C220" s="33" t="s">
        <v>465</v>
      </c>
      <c r="D220" s="23" t="s">
        <v>466</v>
      </c>
      <c r="E220" s="73"/>
      <c r="F220" s="73"/>
      <c r="G220" s="73"/>
      <c r="H220" s="73"/>
      <c r="I220" s="73"/>
      <c r="J220" s="33" t="s">
        <v>9374</v>
      </c>
      <c r="K220" s="33" t="s">
        <v>11016</v>
      </c>
      <c r="L220" s="33" t="s">
        <v>121</v>
      </c>
      <c r="M220" s="33" t="s">
        <v>9376</v>
      </c>
      <c r="N220" s="73"/>
      <c r="O220" s="73"/>
      <c r="P220" s="73"/>
      <c r="Q220" s="75"/>
      <c r="R220" s="75"/>
      <c r="S220" s="75"/>
      <c r="T220" s="75"/>
      <c r="U220" s="75"/>
      <c r="V220" s="75"/>
    </row>
    <row r="221" spans="2:22" s="72" customFormat="1" ht="11.4" x14ac:dyDescent="0.25">
      <c r="B221" s="166"/>
      <c r="C221" s="166"/>
      <c r="D221" s="166"/>
      <c r="E221" s="166"/>
      <c r="F221" s="166"/>
      <c r="G221" s="166"/>
      <c r="H221" s="166"/>
      <c r="I221" s="166"/>
      <c r="J221" s="166"/>
      <c r="K221" s="166"/>
      <c r="L221" s="166"/>
      <c r="M221" s="166"/>
      <c r="N221" s="166"/>
      <c r="O221" s="166"/>
      <c r="P221" s="166"/>
      <c r="Q221" s="76"/>
      <c r="R221" s="76"/>
      <c r="S221" s="76"/>
      <c r="T221" s="76"/>
      <c r="U221" s="76"/>
      <c r="V221" s="76"/>
    </row>
    <row r="222" spans="2:22" s="72" customFormat="1" ht="11.4" x14ac:dyDescent="0.25">
      <c r="B222" s="165" t="s">
        <v>9489</v>
      </c>
      <c r="C222" s="165"/>
      <c r="D222" s="165"/>
      <c r="E222" s="165"/>
      <c r="F222" s="165"/>
      <c r="G222" s="165"/>
      <c r="H222" s="165"/>
      <c r="I222" s="165"/>
      <c r="J222" s="165"/>
      <c r="K222" s="165"/>
      <c r="L222" s="165"/>
      <c r="M222" s="165"/>
      <c r="N222" s="165"/>
      <c r="O222" s="165"/>
      <c r="P222" s="165"/>
      <c r="Q222" s="73"/>
      <c r="R222" s="23"/>
      <c r="S222" s="23"/>
      <c r="T222" s="73"/>
      <c r="U222" s="73"/>
      <c r="V222" s="73"/>
    </row>
    <row r="223" spans="2:22" s="72" customFormat="1" ht="11.4" x14ac:dyDescent="0.25">
      <c r="B223" s="73" t="s">
        <v>9489</v>
      </c>
      <c r="C223" s="33" t="s">
        <v>467</v>
      </c>
      <c r="D223" s="23" t="s">
        <v>468</v>
      </c>
      <c r="E223" s="73"/>
      <c r="F223" s="73"/>
      <c r="G223" s="73"/>
      <c r="H223" s="73"/>
      <c r="I223" s="73"/>
      <c r="J223" s="33" t="s">
        <v>9374</v>
      </c>
      <c r="K223" s="33" t="s">
        <v>11016</v>
      </c>
      <c r="L223" s="33" t="s">
        <v>121</v>
      </c>
      <c r="M223" s="33" t="s">
        <v>9376</v>
      </c>
      <c r="N223" s="73"/>
      <c r="O223" s="73"/>
      <c r="P223" s="73"/>
      <c r="Q223" s="75"/>
      <c r="R223" s="75"/>
      <c r="S223" s="75"/>
      <c r="T223" s="75"/>
      <c r="U223" s="75"/>
      <c r="V223" s="75"/>
    </row>
    <row r="224" spans="2:22" s="72" customFormat="1" ht="11.4" x14ac:dyDescent="0.25">
      <c r="B224" s="166"/>
      <c r="C224" s="166"/>
      <c r="D224" s="166"/>
      <c r="E224" s="166"/>
      <c r="F224" s="166"/>
      <c r="G224" s="166"/>
      <c r="H224" s="166"/>
      <c r="I224" s="166"/>
      <c r="J224" s="166"/>
      <c r="K224" s="166"/>
      <c r="L224" s="166"/>
      <c r="M224" s="166"/>
      <c r="N224" s="166"/>
      <c r="O224" s="166"/>
      <c r="P224" s="166"/>
      <c r="Q224" s="76"/>
      <c r="R224" s="76"/>
      <c r="S224" s="76"/>
      <c r="T224" s="76"/>
      <c r="U224" s="76"/>
      <c r="V224" s="76"/>
    </row>
    <row r="225" spans="2:22" s="72" customFormat="1" ht="11.4" x14ac:dyDescent="0.25">
      <c r="B225" s="165" t="s">
        <v>9491</v>
      </c>
      <c r="C225" s="165"/>
      <c r="D225" s="165"/>
      <c r="E225" s="165"/>
      <c r="F225" s="165"/>
      <c r="G225" s="165"/>
      <c r="H225" s="165"/>
      <c r="I225" s="165"/>
      <c r="J225" s="165"/>
      <c r="K225" s="165"/>
      <c r="L225" s="165"/>
      <c r="M225" s="165"/>
      <c r="N225" s="165"/>
      <c r="O225" s="165"/>
      <c r="P225" s="165"/>
      <c r="Q225" s="73"/>
      <c r="R225" s="23"/>
      <c r="S225" s="23"/>
      <c r="T225" s="73"/>
      <c r="U225" s="73"/>
      <c r="V225" s="73"/>
    </row>
    <row r="226" spans="2:22" s="72" customFormat="1" ht="11.4" x14ac:dyDescent="0.25">
      <c r="B226" s="73" t="s">
        <v>9491</v>
      </c>
      <c r="C226" s="33" t="s">
        <v>469</v>
      </c>
      <c r="D226" s="23" t="s">
        <v>470</v>
      </c>
      <c r="E226" s="73"/>
      <c r="F226" s="73"/>
      <c r="G226" s="73"/>
      <c r="H226" s="73"/>
      <c r="I226" s="73"/>
      <c r="J226" s="33" t="s">
        <v>9374</v>
      </c>
      <c r="K226" s="33" t="s">
        <v>11016</v>
      </c>
      <c r="L226" s="33" t="s">
        <v>121</v>
      </c>
      <c r="M226" s="33" t="s">
        <v>9376</v>
      </c>
      <c r="N226" s="73"/>
      <c r="O226" s="73"/>
      <c r="P226" s="73"/>
      <c r="Q226" s="75"/>
      <c r="R226" s="75"/>
      <c r="S226" s="75"/>
      <c r="T226" s="75"/>
      <c r="U226" s="75"/>
      <c r="V226" s="75"/>
    </row>
    <row r="227" spans="2:22" s="72" customFormat="1" ht="11.4" x14ac:dyDescent="0.25">
      <c r="B227" s="166"/>
      <c r="C227" s="166"/>
      <c r="D227" s="166"/>
      <c r="E227" s="166"/>
      <c r="F227" s="166"/>
      <c r="G227" s="166"/>
      <c r="H227" s="166"/>
      <c r="I227" s="166"/>
      <c r="J227" s="166"/>
      <c r="K227" s="166"/>
      <c r="L227" s="166"/>
      <c r="M227" s="166"/>
      <c r="N227" s="166"/>
      <c r="O227" s="166"/>
      <c r="P227" s="166"/>
      <c r="Q227" s="76"/>
      <c r="R227" s="76"/>
      <c r="S227" s="76"/>
      <c r="T227" s="76"/>
      <c r="U227" s="76"/>
      <c r="V227" s="76"/>
    </row>
    <row r="228" spans="2:22" s="72" customFormat="1" ht="11.4" x14ac:dyDescent="0.25">
      <c r="B228" s="165" t="s">
        <v>9493</v>
      </c>
      <c r="C228" s="165"/>
      <c r="D228" s="165"/>
      <c r="E228" s="165"/>
      <c r="F228" s="165"/>
      <c r="G228" s="165"/>
      <c r="H228" s="165"/>
      <c r="I228" s="165"/>
      <c r="J228" s="165"/>
      <c r="K228" s="165"/>
      <c r="L228" s="165"/>
      <c r="M228" s="165"/>
      <c r="N228" s="165"/>
      <c r="O228" s="165"/>
      <c r="P228" s="165"/>
      <c r="Q228" s="73"/>
      <c r="R228" s="23"/>
      <c r="S228" s="23"/>
      <c r="T228" s="73"/>
      <c r="U228" s="73"/>
      <c r="V228" s="73"/>
    </row>
    <row r="229" spans="2:22" s="72" customFormat="1" ht="11.4" x14ac:dyDescent="0.25">
      <c r="B229" s="73" t="s">
        <v>9493</v>
      </c>
      <c r="C229" s="33" t="s">
        <v>471</v>
      </c>
      <c r="D229" s="23" t="s">
        <v>472</v>
      </c>
      <c r="E229" s="73"/>
      <c r="F229" s="73"/>
      <c r="G229" s="73"/>
      <c r="H229" s="73"/>
      <c r="I229" s="73"/>
      <c r="J229" s="33" t="s">
        <v>9374</v>
      </c>
      <c r="K229" s="33" t="s">
        <v>11016</v>
      </c>
      <c r="L229" s="33" t="s">
        <v>121</v>
      </c>
      <c r="M229" s="33" t="s">
        <v>9376</v>
      </c>
      <c r="N229" s="73"/>
      <c r="O229" s="73"/>
      <c r="P229" s="73"/>
      <c r="Q229" s="75"/>
      <c r="R229" s="75"/>
      <c r="S229" s="75"/>
      <c r="T229" s="75"/>
      <c r="U229" s="75"/>
      <c r="V229" s="75"/>
    </row>
    <row r="230" spans="2:22" s="72" customFormat="1" ht="11.4" x14ac:dyDescent="0.25">
      <c r="B230" s="166"/>
      <c r="C230" s="166"/>
      <c r="D230" s="166"/>
      <c r="E230" s="166"/>
      <c r="F230" s="166"/>
      <c r="G230" s="166"/>
      <c r="H230" s="166"/>
      <c r="I230" s="166"/>
      <c r="J230" s="166"/>
      <c r="K230" s="166"/>
      <c r="L230" s="166"/>
      <c r="M230" s="166"/>
      <c r="N230" s="166"/>
      <c r="O230" s="166"/>
      <c r="P230" s="166"/>
      <c r="Q230" s="76"/>
      <c r="R230" s="76"/>
      <c r="S230" s="76"/>
      <c r="T230" s="76"/>
      <c r="U230" s="76"/>
      <c r="V230" s="76"/>
    </row>
    <row r="231" spans="2:22" s="72" customFormat="1" ht="11.4" x14ac:dyDescent="0.25">
      <c r="B231" s="165" t="s">
        <v>9495</v>
      </c>
      <c r="C231" s="165"/>
      <c r="D231" s="165"/>
      <c r="E231" s="165"/>
      <c r="F231" s="165"/>
      <c r="G231" s="165"/>
      <c r="H231" s="165"/>
      <c r="I231" s="165"/>
      <c r="J231" s="165"/>
      <c r="K231" s="165"/>
      <c r="L231" s="165"/>
      <c r="M231" s="165"/>
      <c r="N231" s="165"/>
      <c r="O231" s="165"/>
      <c r="P231" s="165"/>
      <c r="Q231" s="73"/>
      <c r="R231" s="23"/>
      <c r="S231" s="23"/>
      <c r="T231" s="73"/>
      <c r="U231" s="73"/>
      <c r="V231" s="73"/>
    </row>
    <row r="232" spans="2:22" s="72" customFormat="1" ht="11.4" x14ac:dyDescent="0.25">
      <c r="B232" s="73" t="s">
        <v>9495</v>
      </c>
      <c r="C232" s="33" t="s">
        <v>473</v>
      </c>
      <c r="D232" s="23" t="s">
        <v>474</v>
      </c>
      <c r="E232" s="73"/>
      <c r="F232" s="73"/>
      <c r="G232" s="73"/>
      <c r="H232" s="73"/>
      <c r="I232" s="73"/>
      <c r="J232" s="33" t="s">
        <v>9374</v>
      </c>
      <c r="K232" s="33" t="s">
        <v>11016</v>
      </c>
      <c r="L232" s="33" t="s">
        <v>121</v>
      </c>
      <c r="M232" s="33" t="s">
        <v>9376</v>
      </c>
      <c r="N232" s="73"/>
      <c r="O232" s="73"/>
      <c r="P232" s="73"/>
      <c r="Q232" s="73"/>
      <c r="R232" s="23"/>
      <c r="S232" s="23"/>
      <c r="T232" s="73"/>
      <c r="U232" s="73"/>
      <c r="V232" s="73"/>
    </row>
    <row r="233" spans="2:22" s="72" customFormat="1" ht="11.4" x14ac:dyDescent="0.25">
      <c r="B233" s="166"/>
      <c r="C233" s="166"/>
      <c r="D233" s="166"/>
      <c r="E233" s="166"/>
      <c r="F233" s="166"/>
      <c r="G233" s="166"/>
      <c r="H233" s="166"/>
      <c r="I233" s="166"/>
      <c r="J233" s="166"/>
      <c r="K233" s="166"/>
      <c r="L233" s="166"/>
      <c r="M233" s="166"/>
      <c r="N233" s="166"/>
      <c r="O233" s="166"/>
      <c r="P233" s="166"/>
      <c r="Q233" s="75"/>
      <c r="R233" s="75"/>
      <c r="S233" s="75"/>
      <c r="T233" s="75"/>
      <c r="U233" s="75"/>
      <c r="V233" s="75"/>
    </row>
    <row r="234" spans="2:22" s="72" customFormat="1" ht="11.4" x14ac:dyDescent="0.25">
      <c r="B234" s="165" t="s">
        <v>9497</v>
      </c>
      <c r="C234" s="165"/>
      <c r="D234" s="165"/>
      <c r="E234" s="165"/>
      <c r="F234" s="165"/>
      <c r="G234" s="165"/>
      <c r="H234" s="165"/>
      <c r="I234" s="165"/>
      <c r="J234" s="165"/>
      <c r="K234" s="165"/>
      <c r="L234" s="165"/>
      <c r="M234" s="165"/>
      <c r="N234" s="165"/>
      <c r="O234" s="165"/>
      <c r="P234" s="165"/>
      <c r="Q234" s="76"/>
      <c r="R234" s="76"/>
      <c r="S234" s="76"/>
      <c r="T234" s="76"/>
      <c r="U234" s="76"/>
      <c r="V234" s="76"/>
    </row>
    <row r="235" spans="2:22" s="72" customFormat="1" ht="11.4" x14ac:dyDescent="0.25">
      <c r="B235" s="73" t="s">
        <v>9497</v>
      </c>
      <c r="C235" s="33" t="s">
        <v>476</v>
      </c>
      <c r="D235" s="23" t="s">
        <v>477</v>
      </c>
      <c r="E235" s="73"/>
      <c r="F235" s="73"/>
      <c r="G235" s="73"/>
      <c r="H235" s="73"/>
      <c r="I235" s="73"/>
      <c r="J235" s="33" t="s">
        <v>9374</v>
      </c>
      <c r="K235" s="33" t="s">
        <v>11016</v>
      </c>
      <c r="L235" s="33" t="s">
        <v>121</v>
      </c>
      <c r="M235" s="33" t="s">
        <v>9376</v>
      </c>
      <c r="N235" s="73"/>
      <c r="O235" s="73"/>
      <c r="P235" s="73"/>
      <c r="Q235" s="73"/>
      <c r="R235" s="23"/>
      <c r="S235" s="23"/>
      <c r="T235" s="73"/>
      <c r="U235" s="73"/>
      <c r="V235" s="73"/>
    </row>
    <row r="236" spans="2:22" s="72" customFormat="1" ht="11.4" x14ac:dyDescent="0.25">
      <c r="B236" s="166"/>
      <c r="C236" s="166"/>
      <c r="D236" s="166"/>
      <c r="E236" s="166"/>
      <c r="F236" s="166"/>
      <c r="G236" s="166"/>
      <c r="H236" s="166"/>
      <c r="I236" s="166"/>
      <c r="J236" s="166"/>
      <c r="K236" s="166"/>
      <c r="L236" s="166"/>
      <c r="M236" s="166"/>
      <c r="N236" s="166"/>
      <c r="O236" s="166"/>
      <c r="P236" s="166"/>
      <c r="Q236" s="73"/>
      <c r="R236" s="23"/>
      <c r="S236" s="23"/>
      <c r="T236" s="73"/>
      <c r="U236" s="73"/>
      <c r="V236" s="73"/>
    </row>
    <row r="237" spans="2:22" s="72" customFormat="1" ht="11.4" x14ac:dyDescent="0.25">
      <c r="B237" s="165" t="s">
        <v>9499</v>
      </c>
      <c r="C237" s="165"/>
      <c r="D237" s="165"/>
      <c r="E237" s="165"/>
      <c r="F237" s="165"/>
      <c r="G237" s="165"/>
      <c r="H237" s="165"/>
      <c r="I237" s="165"/>
      <c r="J237" s="165"/>
      <c r="K237" s="165"/>
      <c r="L237" s="165"/>
      <c r="M237" s="165"/>
      <c r="N237" s="165"/>
      <c r="O237" s="165"/>
      <c r="P237" s="165"/>
      <c r="Q237" s="75"/>
      <c r="R237" s="75"/>
      <c r="S237" s="75"/>
      <c r="T237" s="75"/>
      <c r="U237" s="75"/>
      <c r="V237" s="75"/>
    </row>
    <row r="238" spans="2:22" s="72" customFormat="1" ht="11.4" x14ac:dyDescent="0.25">
      <c r="B238" s="73" t="s">
        <v>9499</v>
      </c>
      <c r="C238" s="33" t="s">
        <v>478</v>
      </c>
      <c r="D238" s="23" t="s">
        <v>479</v>
      </c>
      <c r="E238" s="73"/>
      <c r="F238" s="73"/>
      <c r="G238" s="73"/>
      <c r="H238" s="73"/>
      <c r="I238" s="73"/>
      <c r="J238" s="33" t="s">
        <v>9374</v>
      </c>
      <c r="K238" s="33" t="s">
        <v>11016</v>
      </c>
      <c r="L238" s="33" t="s">
        <v>121</v>
      </c>
      <c r="M238" s="33" t="s">
        <v>9376</v>
      </c>
      <c r="N238" s="73"/>
      <c r="O238" s="73"/>
      <c r="P238" s="73"/>
      <c r="Q238" s="76"/>
      <c r="R238" s="76"/>
      <c r="S238" s="76"/>
      <c r="T238" s="76"/>
      <c r="U238" s="76"/>
      <c r="V238" s="76"/>
    </row>
    <row r="239" spans="2:22" s="72" customFormat="1" ht="40.799999999999997" x14ac:dyDescent="0.25">
      <c r="B239" s="73" t="s">
        <v>9499</v>
      </c>
      <c r="C239" s="33" t="s">
        <v>1697</v>
      </c>
      <c r="D239" s="23" t="s">
        <v>1698</v>
      </c>
      <c r="E239" s="73" t="s">
        <v>11024</v>
      </c>
      <c r="F239" s="73" t="s">
        <v>10902</v>
      </c>
      <c r="G239" s="73"/>
      <c r="H239" s="73" t="s">
        <v>11025</v>
      </c>
      <c r="I239" s="73" t="s">
        <v>11026</v>
      </c>
      <c r="J239" s="33" t="s">
        <v>9374</v>
      </c>
      <c r="K239" s="33" t="s">
        <v>11016</v>
      </c>
      <c r="L239" s="33" t="s">
        <v>121</v>
      </c>
      <c r="M239" s="33" t="s">
        <v>9376</v>
      </c>
      <c r="N239" s="73"/>
      <c r="O239" s="73"/>
      <c r="P239" s="73"/>
      <c r="Q239" s="73"/>
      <c r="R239" s="23"/>
      <c r="S239" s="23"/>
      <c r="T239" s="73"/>
      <c r="U239" s="73"/>
      <c r="V239" s="73"/>
    </row>
    <row r="240" spans="2:22" s="72" customFormat="1" ht="11.4" x14ac:dyDescent="0.25">
      <c r="B240" s="166"/>
      <c r="C240" s="166"/>
      <c r="D240" s="166"/>
      <c r="E240" s="166"/>
      <c r="F240" s="166"/>
      <c r="G240" s="166"/>
      <c r="H240" s="166"/>
      <c r="I240" s="166"/>
      <c r="J240" s="166"/>
      <c r="K240" s="166"/>
      <c r="L240" s="166"/>
      <c r="M240" s="166"/>
      <c r="N240" s="166"/>
      <c r="O240" s="166"/>
      <c r="P240" s="166"/>
      <c r="Q240" s="73"/>
      <c r="R240" s="23"/>
      <c r="S240" s="23"/>
      <c r="T240" s="73"/>
      <c r="U240" s="73"/>
      <c r="V240" s="73"/>
    </row>
    <row r="241" spans="2:22" s="72" customFormat="1" ht="11.4" x14ac:dyDescent="0.25">
      <c r="B241" s="165" t="s">
        <v>9501</v>
      </c>
      <c r="C241" s="165"/>
      <c r="D241" s="165"/>
      <c r="E241" s="165"/>
      <c r="F241" s="165"/>
      <c r="G241" s="165"/>
      <c r="H241" s="165"/>
      <c r="I241" s="165"/>
      <c r="J241" s="165"/>
      <c r="K241" s="165"/>
      <c r="L241" s="165"/>
      <c r="M241" s="165"/>
      <c r="N241" s="165"/>
      <c r="O241" s="165"/>
      <c r="P241" s="165"/>
      <c r="Q241" s="75"/>
      <c r="R241" s="75"/>
      <c r="S241" s="75"/>
      <c r="T241" s="75"/>
      <c r="U241" s="75"/>
      <c r="V241" s="75"/>
    </row>
    <row r="242" spans="2:22" s="72" customFormat="1" ht="11.4" x14ac:dyDescent="0.25">
      <c r="B242" s="73" t="s">
        <v>9501</v>
      </c>
      <c r="C242" s="33" t="s">
        <v>480</v>
      </c>
      <c r="D242" s="23" t="s">
        <v>481</v>
      </c>
      <c r="E242" s="73"/>
      <c r="F242" s="73"/>
      <c r="G242" s="73"/>
      <c r="H242" s="73"/>
      <c r="I242" s="73"/>
      <c r="J242" s="33" t="s">
        <v>9374</v>
      </c>
      <c r="K242" s="33" t="s">
        <v>11016</v>
      </c>
      <c r="L242" s="33" t="s">
        <v>121</v>
      </c>
      <c r="M242" s="33" t="s">
        <v>9376</v>
      </c>
      <c r="N242" s="73"/>
      <c r="O242" s="73"/>
      <c r="P242" s="73"/>
      <c r="Q242" s="76"/>
      <c r="R242" s="76"/>
      <c r="S242" s="76"/>
      <c r="T242" s="76"/>
      <c r="U242" s="76"/>
      <c r="V242" s="76"/>
    </row>
    <row r="243" spans="2:22" s="72" customFormat="1" ht="11.4" x14ac:dyDescent="0.25">
      <c r="B243" s="166"/>
      <c r="C243" s="166"/>
      <c r="D243" s="166"/>
      <c r="E243" s="166"/>
      <c r="F243" s="166"/>
      <c r="G243" s="166"/>
      <c r="H243" s="166"/>
      <c r="I243" s="166"/>
      <c r="J243" s="166"/>
      <c r="K243" s="166"/>
      <c r="L243" s="166"/>
      <c r="M243" s="166"/>
      <c r="N243" s="166"/>
      <c r="O243" s="166"/>
      <c r="P243" s="166"/>
      <c r="Q243" s="73"/>
      <c r="R243" s="23"/>
      <c r="S243" s="23"/>
      <c r="T243" s="73"/>
      <c r="U243" s="73"/>
      <c r="V243" s="73"/>
    </row>
    <row r="244" spans="2:22" s="72" customFormat="1" ht="11.4" x14ac:dyDescent="0.25">
      <c r="B244" s="165" t="s">
        <v>9504</v>
      </c>
      <c r="C244" s="165"/>
      <c r="D244" s="165"/>
      <c r="E244" s="165"/>
      <c r="F244" s="165"/>
      <c r="G244" s="165"/>
      <c r="H244" s="165"/>
      <c r="I244" s="165"/>
      <c r="J244" s="165"/>
      <c r="K244" s="165"/>
      <c r="L244" s="165"/>
      <c r="M244" s="165"/>
      <c r="N244" s="165"/>
      <c r="O244" s="165"/>
      <c r="P244" s="165"/>
      <c r="Q244" s="73"/>
      <c r="R244" s="23"/>
      <c r="S244" s="23"/>
      <c r="T244" s="73"/>
      <c r="U244" s="73"/>
      <c r="V244" s="73"/>
    </row>
    <row r="245" spans="2:22" s="72" customFormat="1" ht="11.4" x14ac:dyDescent="0.25">
      <c r="B245" s="73" t="s">
        <v>9504</v>
      </c>
      <c r="C245" s="33" t="s">
        <v>482</v>
      </c>
      <c r="D245" s="23" t="s">
        <v>483</v>
      </c>
      <c r="E245" s="73"/>
      <c r="F245" s="73"/>
      <c r="G245" s="73"/>
      <c r="H245" s="73"/>
      <c r="I245" s="73"/>
      <c r="J245" s="33" t="s">
        <v>9374</v>
      </c>
      <c r="K245" s="33" t="s">
        <v>9375</v>
      </c>
      <c r="L245" s="33" t="s">
        <v>121</v>
      </c>
      <c r="M245" s="33" t="s">
        <v>9376</v>
      </c>
      <c r="N245" s="73"/>
      <c r="O245" s="73"/>
      <c r="P245" s="73"/>
      <c r="Q245" s="75"/>
      <c r="R245" s="75"/>
      <c r="S245" s="75"/>
      <c r="T245" s="75"/>
      <c r="U245" s="75"/>
      <c r="V245" s="75"/>
    </row>
    <row r="246" spans="2:22" s="72" customFormat="1" ht="20.399999999999999" x14ac:dyDescent="0.25">
      <c r="B246" s="73" t="s">
        <v>9504</v>
      </c>
      <c r="C246" s="33" t="s">
        <v>1878</v>
      </c>
      <c r="D246" s="23" t="s">
        <v>1879</v>
      </c>
      <c r="E246" s="73" t="s">
        <v>11027</v>
      </c>
      <c r="F246" s="73" t="s">
        <v>10902</v>
      </c>
      <c r="G246" s="73"/>
      <c r="H246" s="73" t="s">
        <v>11028</v>
      </c>
      <c r="I246" s="73" t="s">
        <v>11029</v>
      </c>
      <c r="J246" s="33" t="s">
        <v>9374</v>
      </c>
      <c r="K246" s="33" t="s">
        <v>9375</v>
      </c>
      <c r="L246" s="33" t="s">
        <v>121</v>
      </c>
      <c r="M246" s="33" t="s">
        <v>9376</v>
      </c>
      <c r="N246" s="73"/>
      <c r="O246" s="73"/>
      <c r="P246" s="73"/>
      <c r="Q246" s="76"/>
      <c r="R246" s="76"/>
      <c r="S246" s="76"/>
      <c r="T246" s="76"/>
      <c r="U246" s="76"/>
      <c r="V246" s="76"/>
    </row>
    <row r="247" spans="2:22" s="72" customFormat="1" ht="11.4" x14ac:dyDescent="0.25">
      <c r="B247" s="166"/>
      <c r="C247" s="166"/>
      <c r="D247" s="166"/>
      <c r="E247" s="166"/>
      <c r="F247" s="166"/>
      <c r="G247" s="166"/>
      <c r="H247" s="166"/>
      <c r="I247" s="166"/>
      <c r="J247" s="166"/>
      <c r="K247" s="166"/>
      <c r="L247" s="166"/>
      <c r="M247" s="166"/>
      <c r="N247" s="166"/>
      <c r="O247" s="166"/>
      <c r="P247" s="166"/>
      <c r="Q247" s="73"/>
      <c r="R247" s="23"/>
      <c r="S247" s="23"/>
      <c r="T247" s="73"/>
      <c r="U247" s="73"/>
      <c r="V247" s="73"/>
    </row>
    <row r="248" spans="2:22" s="72" customFormat="1" ht="11.4" x14ac:dyDescent="0.25">
      <c r="B248" s="165" t="s">
        <v>9507</v>
      </c>
      <c r="C248" s="165"/>
      <c r="D248" s="165"/>
      <c r="E248" s="165"/>
      <c r="F248" s="165"/>
      <c r="G248" s="165"/>
      <c r="H248" s="165"/>
      <c r="I248" s="165"/>
      <c r="J248" s="165"/>
      <c r="K248" s="165"/>
      <c r="L248" s="165"/>
      <c r="M248" s="165"/>
      <c r="N248" s="165"/>
      <c r="O248" s="165"/>
      <c r="P248" s="165"/>
      <c r="Q248" s="73"/>
      <c r="R248" s="23"/>
      <c r="S248" s="23"/>
      <c r="T248" s="73"/>
      <c r="U248" s="73"/>
      <c r="V248" s="73"/>
    </row>
    <row r="249" spans="2:22" s="72" customFormat="1" ht="11.4" x14ac:dyDescent="0.25">
      <c r="B249" s="73" t="s">
        <v>9507</v>
      </c>
      <c r="C249" s="33" t="s">
        <v>484</v>
      </c>
      <c r="D249" s="23" t="s">
        <v>485</v>
      </c>
      <c r="E249" s="73"/>
      <c r="F249" s="73"/>
      <c r="G249" s="73"/>
      <c r="H249" s="73"/>
      <c r="I249" s="73"/>
      <c r="J249" s="33" t="s">
        <v>9374</v>
      </c>
      <c r="K249" s="33" t="s">
        <v>11016</v>
      </c>
      <c r="L249" s="33" t="s">
        <v>121</v>
      </c>
      <c r="M249" s="33" t="s">
        <v>9376</v>
      </c>
      <c r="N249" s="73"/>
      <c r="O249" s="73"/>
      <c r="P249" s="73"/>
      <c r="Q249" s="75"/>
      <c r="R249" s="75"/>
      <c r="S249" s="75"/>
      <c r="T249" s="75"/>
      <c r="U249" s="75"/>
      <c r="V249" s="75"/>
    </row>
    <row r="250" spans="2:22" s="72" customFormat="1" ht="11.4" x14ac:dyDescent="0.25">
      <c r="B250" s="166"/>
      <c r="C250" s="166"/>
      <c r="D250" s="166"/>
      <c r="E250" s="166"/>
      <c r="F250" s="166"/>
      <c r="G250" s="166"/>
      <c r="H250" s="166"/>
      <c r="I250" s="166"/>
      <c r="J250" s="166"/>
      <c r="K250" s="166"/>
      <c r="L250" s="166"/>
      <c r="M250" s="166"/>
      <c r="N250" s="166"/>
      <c r="O250" s="166"/>
      <c r="P250" s="166"/>
      <c r="Q250" s="76"/>
      <c r="R250" s="76"/>
      <c r="S250" s="76"/>
      <c r="T250" s="76"/>
      <c r="U250" s="76"/>
      <c r="V250" s="76"/>
    </row>
    <row r="251" spans="2:22" s="72" customFormat="1" ht="11.4" x14ac:dyDescent="0.25">
      <c r="B251" s="165" t="s">
        <v>9510</v>
      </c>
      <c r="C251" s="165"/>
      <c r="D251" s="165"/>
      <c r="E251" s="165"/>
      <c r="F251" s="165"/>
      <c r="G251" s="165"/>
      <c r="H251" s="165"/>
      <c r="I251" s="165"/>
      <c r="J251" s="165"/>
      <c r="K251" s="165"/>
      <c r="L251" s="165"/>
      <c r="M251" s="165"/>
      <c r="N251" s="165"/>
      <c r="O251" s="165"/>
      <c r="P251" s="165"/>
      <c r="Q251" s="73"/>
      <c r="R251" s="23"/>
      <c r="S251" s="23"/>
      <c r="T251" s="73"/>
      <c r="U251" s="73"/>
      <c r="V251" s="73"/>
    </row>
    <row r="252" spans="2:22" s="72" customFormat="1" ht="11.4" x14ac:dyDescent="0.25">
      <c r="B252" s="73" t="s">
        <v>9510</v>
      </c>
      <c r="C252" s="33" t="s">
        <v>486</v>
      </c>
      <c r="D252" s="23" t="s">
        <v>487</v>
      </c>
      <c r="E252" s="73"/>
      <c r="F252" s="73"/>
      <c r="G252" s="73"/>
      <c r="H252" s="73"/>
      <c r="I252" s="73"/>
      <c r="J252" s="33" t="s">
        <v>9374</v>
      </c>
      <c r="K252" s="33" t="s">
        <v>11016</v>
      </c>
      <c r="L252" s="33" t="s">
        <v>121</v>
      </c>
      <c r="M252" s="33" t="s">
        <v>9376</v>
      </c>
      <c r="N252" s="73"/>
      <c r="O252" s="73"/>
      <c r="P252" s="73"/>
      <c r="Q252" s="73"/>
      <c r="R252" s="23"/>
      <c r="S252" s="23"/>
      <c r="T252" s="73"/>
      <c r="U252" s="73"/>
      <c r="V252" s="73"/>
    </row>
    <row r="253" spans="2:22" s="72" customFormat="1" ht="51" x14ac:dyDescent="0.25">
      <c r="B253" s="73" t="s">
        <v>9510</v>
      </c>
      <c r="C253" s="33" t="s">
        <v>1689</v>
      </c>
      <c r="D253" s="23" t="s">
        <v>1690</v>
      </c>
      <c r="E253" s="73" t="s">
        <v>11030</v>
      </c>
      <c r="F253" s="73" t="s">
        <v>10902</v>
      </c>
      <c r="G253" s="73"/>
      <c r="H253" s="73" t="s">
        <v>11031</v>
      </c>
      <c r="I253" s="73" t="s">
        <v>11032</v>
      </c>
      <c r="J253" s="33" t="s">
        <v>9374</v>
      </c>
      <c r="K253" s="33" t="s">
        <v>11016</v>
      </c>
      <c r="L253" s="33" t="s">
        <v>121</v>
      </c>
      <c r="M253" s="33" t="s">
        <v>9376</v>
      </c>
      <c r="N253" s="73"/>
      <c r="O253" s="73"/>
      <c r="P253" s="73"/>
      <c r="Q253" s="73"/>
      <c r="R253" s="23"/>
      <c r="S253" s="23"/>
      <c r="T253" s="73"/>
      <c r="U253" s="73"/>
      <c r="V253" s="73"/>
    </row>
    <row r="254" spans="2:22" s="72" customFormat="1" ht="11.4" x14ac:dyDescent="0.25">
      <c r="B254" s="73" t="s">
        <v>9510</v>
      </c>
      <c r="C254" s="33" t="s">
        <v>2046</v>
      </c>
      <c r="D254" s="23" t="s">
        <v>2047</v>
      </c>
      <c r="E254" s="73" t="s">
        <v>11030</v>
      </c>
      <c r="F254" s="73" t="s">
        <v>10902</v>
      </c>
      <c r="G254" s="73"/>
      <c r="H254" s="73" t="s">
        <v>11031</v>
      </c>
      <c r="I254" s="73"/>
      <c r="J254" s="33" t="s">
        <v>9374</v>
      </c>
      <c r="K254" s="33" t="s">
        <v>11016</v>
      </c>
      <c r="L254" s="33" t="s">
        <v>121</v>
      </c>
      <c r="M254" s="33" t="s">
        <v>9376</v>
      </c>
      <c r="N254" s="73"/>
      <c r="O254" s="73"/>
      <c r="P254" s="73"/>
      <c r="Q254" s="75"/>
      <c r="R254" s="75"/>
      <c r="S254" s="75"/>
      <c r="T254" s="75"/>
      <c r="U254" s="75"/>
      <c r="V254" s="75"/>
    </row>
    <row r="255" spans="2:22" s="72" customFormat="1" ht="11.4" x14ac:dyDescent="0.25">
      <c r="B255" s="166"/>
      <c r="C255" s="166"/>
      <c r="D255" s="166"/>
      <c r="E255" s="166"/>
      <c r="F255" s="166"/>
      <c r="G255" s="166"/>
      <c r="H255" s="166"/>
      <c r="I255" s="166"/>
      <c r="J255" s="166"/>
      <c r="K255" s="166"/>
      <c r="L255" s="166"/>
      <c r="M255" s="166"/>
      <c r="N255" s="166"/>
      <c r="O255" s="166"/>
      <c r="P255" s="166"/>
      <c r="Q255" s="76"/>
      <c r="R255" s="76"/>
      <c r="S255" s="76"/>
      <c r="T255" s="76"/>
      <c r="U255" s="76"/>
      <c r="V255" s="76"/>
    </row>
    <row r="256" spans="2:22" s="72" customFormat="1" ht="11.4" x14ac:dyDescent="0.25">
      <c r="B256" s="165" t="s">
        <v>9512</v>
      </c>
      <c r="C256" s="165"/>
      <c r="D256" s="165"/>
      <c r="E256" s="165"/>
      <c r="F256" s="165"/>
      <c r="G256" s="165"/>
      <c r="H256" s="165"/>
      <c r="I256" s="165"/>
      <c r="J256" s="165"/>
      <c r="K256" s="165"/>
      <c r="L256" s="165"/>
      <c r="M256" s="165"/>
      <c r="N256" s="165"/>
      <c r="O256" s="165"/>
      <c r="P256" s="165"/>
      <c r="Q256" s="73"/>
      <c r="R256" s="23"/>
      <c r="S256" s="23"/>
      <c r="T256" s="73"/>
      <c r="U256" s="73"/>
      <c r="V256" s="73"/>
    </row>
    <row r="257" spans="2:22" s="72" customFormat="1" ht="11.4" x14ac:dyDescent="0.25">
      <c r="B257" s="73" t="s">
        <v>9512</v>
      </c>
      <c r="C257" s="33" t="s">
        <v>488</v>
      </c>
      <c r="D257" s="23" t="s">
        <v>489</v>
      </c>
      <c r="E257" s="73"/>
      <c r="F257" s="73"/>
      <c r="G257" s="73"/>
      <c r="H257" s="73"/>
      <c r="I257" s="73"/>
      <c r="J257" s="33" t="s">
        <v>9374</v>
      </c>
      <c r="K257" s="33" t="s">
        <v>11016</v>
      </c>
      <c r="L257" s="33" t="s">
        <v>121</v>
      </c>
      <c r="M257" s="33" t="s">
        <v>9376</v>
      </c>
      <c r="N257" s="73"/>
      <c r="O257" s="73"/>
      <c r="P257" s="73"/>
      <c r="Q257" s="75"/>
      <c r="R257" s="75"/>
      <c r="S257" s="75"/>
      <c r="T257" s="75"/>
      <c r="U257" s="75"/>
      <c r="V257" s="75"/>
    </row>
    <row r="258" spans="2:22" s="72" customFormat="1" ht="11.4" x14ac:dyDescent="0.25">
      <c r="B258" s="166"/>
      <c r="C258" s="166"/>
      <c r="D258" s="166"/>
      <c r="E258" s="166"/>
      <c r="F258" s="166"/>
      <c r="G258" s="166"/>
      <c r="H258" s="166"/>
      <c r="I258" s="166"/>
      <c r="J258" s="166"/>
      <c r="K258" s="166"/>
      <c r="L258" s="166"/>
      <c r="M258" s="166"/>
      <c r="N258" s="166"/>
      <c r="O258" s="166"/>
      <c r="P258" s="166"/>
      <c r="Q258" s="76"/>
      <c r="R258" s="76"/>
      <c r="S258" s="76"/>
      <c r="T258" s="76"/>
      <c r="U258" s="76"/>
      <c r="V258" s="76"/>
    </row>
    <row r="259" spans="2:22" s="72" customFormat="1" ht="11.4" x14ac:dyDescent="0.25">
      <c r="B259" s="165" t="s">
        <v>9514</v>
      </c>
      <c r="C259" s="165"/>
      <c r="D259" s="165"/>
      <c r="E259" s="165"/>
      <c r="F259" s="165"/>
      <c r="G259" s="165"/>
      <c r="H259" s="165"/>
      <c r="I259" s="165"/>
      <c r="J259" s="165"/>
      <c r="K259" s="165"/>
      <c r="L259" s="165"/>
      <c r="M259" s="165"/>
      <c r="N259" s="165"/>
      <c r="O259" s="165"/>
      <c r="P259" s="165"/>
      <c r="Q259" s="73"/>
      <c r="R259" s="23"/>
      <c r="S259" s="23"/>
      <c r="T259" s="73"/>
      <c r="U259" s="73"/>
      <c r="V259" s="73"/>
    </row>
    <row r="260" spans="2:22" s="72" customFormat="1" ht="11.4" x14ac:dyDescent="0.25">
      <c r="B260" s="73" t="s">
        <v>9514</v>
      </c>
      <c r="C260" s="33" t="s">
        <v>490</v>
      </c>
      <c r="D260" s="23" t="s">
        <v>491</v>
      </c>
      <c r="E260" s="73"/>
      <c r="F260" s="73"/>
      <c r="G260" s="73"/>
      <c r="H260" s="73"/>
      <c r="I260" s="73"/>
      <c r="J260" s="33" t="s">
        <v>9374</v>
      </c>
      <c r="K260" s="33" t="s">
        <v>11016</v>
      </c>
      <c r="L260" s="33" t="s">
        <v>121</v>
      </c>
      <c r="M260" s="33" t="s">
        <v>9376</v>
      </c>
      <c r="N260" s="73"/>
      <c r="O260" s="73"/>
      <c r="P260" s="73"/>
      <c r="Q260" s="73"/>
      <c r="R260" s="23"/>
      <c r="S260" s="23"/>
      <c r="T260" s="73"/>
      <c r="U260" s="73"/>
      <c r="V260" s="73"/>
    </row>
    <row r="261" spans="2:22" s="72" customFormat="1" ht="30.6" x14ac:dyDescent="0.25">
      <c r="B261" s="166"/>
      <c r="C261" s="166"/>
      <c r="D261" s="166"/>
      <c r="E261" s="166"/>
      <c r="F261" s="166"/>
      <c r="G261" s="166"/>
      <c r="H261" s="166"/>
      <c r="I261" s="166"/>
      <c r="J261" s="166"/>
      <c r="K261" s="166"/>
      <c r="L261" s="166"/>
      <c r="M261" s="166"/>
      <c r="N261" s="166"/>
      <c r="O261" s="166"/>
      <c r="P261" s="166"/>
      <c r="Q261" s="73" t="s">
        <v>10919</v>
      </c>
      <c r="R261" s="23"/>
      <c r="S261" s="23"/>
      <c r="T261" s="73"/>
      <c r="U261" s="73"/>
      <c r="V261" s="73"/>
    </row>
    <row r="262" spans="2:22" s="72" customFormat="1" ht="11.4" x14ac:dyDescent="0.25">
      <c r="B262" s="165" t="s">
        <v>9516</v>
      </c>
      <c r="C262" s="165"/>
      <c r="D262" s="165"/>
      <c r="E262" s="165"/>
      <c r="F262" s="165"/>
      <c r="G262" s="165"/>
      <c r="H262" s="165"/>
      <c r="I262" s="165"/>
      <c r="J262" s="165"/>
      <c r="K262" s="165"/>
      <c r="L262" s="165"/>
      <c r="M262" s="165"/>
      <c r="N262" s="165"/>
      <c r="O262" s="165"/>
      <c r="P262" s="165"/>
      <c r="Q262" s="75"/>
      <c r="R262" s="75"/>
      <c r="S262" s="75"/>
      <c r="T262" s="75"/>
      <c r="U262" s="75"/>
      <c r="V262" s="75"/>
    </row>
    <row r="263" spans="2:22" s="72" customFormat="1" ht="11.4" x14ac:dyDescent="0.25">
      <c r="B263" s="73" t="s">
        <v>9516</v>
      </c>
      <c r="C263" s="33" t="s">
        <v>492</v>
      </c>
      <c r="D263" s="23" t="s">
        <v>493</v>
      </c>
      <c r="E263" s="73"/>
      <c r="F263" s="73"/>
      <c r="G263" s="73"/>
      <c r="H263" s="73"/>
      <c r="I263" s="73"/>
      <c r="J263" s="33" t="s">
        <v>9374</v>
      </c>
      <c r="K263" s="33" t="s">
        <v>11016</v>
      </c>
      <c r="L263" s="33" t="s">
        <v>121</v>
      </c>
      <c r="M263" s="33" t="s">
        <v>9376</v>
      </c>
      <c r="N263" s="73"/>
      <c r="O263" s="73"/>
      <c r="P263" s="73"/>
      <c r="Q263" s="76"/>
      <c r="R263" s="76"/>
      <c r="S263" s="76"/>
      <c r="T263" s="76"/>
      <c r="U263" s="76"/>
      <c r="V263" s="76"/>
    </row>
    <row r="264" spans="2:22" s="72" customFormat="1" ht="11.4" x14ac:dyDescent="0.25">
      <c r="B264" s="166"/>
      <c r="C264" s="166"/>
      <c r="D264" s="166"/>
      <c r="E264" s="166"/>
      <c r="F264" s="166"/>
      <c r="G264" s="166"/>
      <c r="H264" s="166"/>
      <c r="I264" s="166"/>
      <c r="J264" s="166"/>
      <c r="K264" s="166"/>
      <c r="L264" s="166"/>
      <c r="M264" s="166"/>
      <c r="N264" s="166"/>
      <c r="O264" s="166"/>
      <c r="P264" s="166"/>
      <c r="Q264" s="73"/>
      <c r="R264" s="23"/>
      <c r="S264" s="23"/>
      <c r="T264" s="73"/>
      <c r="U264" s="73"/>
      <c r="V264" s="73"/>
    </row>
    <row r="265" spans="2:22" s="72" customFormat="1" ht="11.4" x14ac:dyDescent="0.25">
      <c r="B265" s="165" t="s">
        <v>9518</v>
      </c>
      <c r="C265" s="165"/>
      <c r="D265" s="165"/>
      <c r="E265" s="165"/>
      <c r="F265" s="165"/>
      <c r="G265" s="165"/>
      <c r="H265" s="165"/>
      <c r="I265" s="165"/>
      <c r="J265" s="165"/>
      <c r="K265" s="165"/>
      <c r="L265" s="165"/>
      <c r="M265" s="165"/>
      <c r="N265" s="165"/>
      <c r="O265" s="165"/>
      <c r="P265" s="165"/>
      <c r="Q265" s="75"/>
      <c r="R265" s="75"/>
      <c r="S265" s="75"/>
      <c r="T265" s="75"/>
      <c r="U265" s="75"/>
      <c r="V265" s="75"/>
    </row>
    <row r="266" spans="2:22" s="72" customFormat="1" ht="11.4" x14ac:dyDescent="0.25">
      <c r="B266" s="73" t="s">
        <v>9518</v>
      </c>
      <c r="C266" s="33" t="s">
        <v>494</v>
      </c>
      <c r="D266" s="23" t="s">
        <v>495</v>
      </c>
      <c r="E266" s="73"/>
      <c r="F266" s="73"/>
      <c r="G266" s="73"/>
      <c r="H266" s="73"/>
      <c r="I266" s="73"/>
      <c r="J266" s="33" t="s">
        <v>9374</v>
      </c>
      <c r="K266" s="33" t="s">
        <v>11016</v>
      </c>
      <c r="L266" s="33" t="s">
        <v>121</v>
      </c>
      <c r="M266" s="33" t="s">
        <v>9376</v>
      </c>
      <c r="N266" s="73"/>
      <c r="O266" s="73"/>
      <c r="P266" s="73"/>
      <c r="Q266" s="76"/>
      <c r="R266" s="76"/>
      <c r="S266" s="76"/>
      <c r="T266" s="76"/>
      <c r="U266" s="76"/>
      <c r="V266" s="76"/>
    </row>
    <row r="267" spans="2:22" s="72" customFormat="1" ht="11.4" x14ac:dyDescent="0.25">
      <c r="B267" s="166"/>
      <c r="C267" s="166"/>
      <c r="D267" s="166"/>
      <c r="E267" s="166"/>
      <c r="F267" s="166"/>
      <c r="G267" s="166"/>
      <c r="H267" s="166"/>
      <c r="I267" s="166"/>
      <c r="J267" s="166"/>
      <c r="K267" s="166"/>
      <c r="L267" s="166"/>
      <c r="M267" s="166"/>
      <c r="N267" s="166"/>
      <c r="O267" s="166"/>
      <c r="P267" s="166"/>
      <c r="Q267" s="73"/>
      <c r="R267" s="23"/>
      <c r="S267" s="23"/>
      <c r="T267" s="73"/>
      <c r="U267" s="73"/>
      <c r="V267" s="73"/>
    </row>
    <row r="268" spans="2:22" s="72" customFormat="1" ht="11.4" x14ac:dyDescent="0.25">
      <c r="B268" s="165" t="s">
        <v>9521</v>
      </c>
      <c r="C268" s="165"/>
      <c r="D268" s="165"/>
      <c r="E268" s="165"/>
      <c r="F268" s="165"/>
      <c r="G268" s="165"/>
      <c r="H268" s="165"/>
      <c r="I268" s="165"/>
      <c r="J268" s="165"/>
      <c r="K268" s="165"/>
      <c r="L268" s="165"/>
      <c r="M268" s="165"/>
      <c r="N268" s="165"/>
      <c r="O268" s="165"/>
      <c r="P268" s="165"/>
      <c r="Q268" s="73"/>
      <c r="R268" s="23"/>
      <c r="S268" s="23"/>
      <c r="T268" s="73"/>
      <c r="U268" s="73"/>
      <c r="V268" s="73"/>
    </row>
    <row r="269" spans="2:22" s="72" customFormat="1" ht="11.4" x14ac:dyDescent="0.25">
      <c r="B269" s="73" t="s">
        <v>9521</v>
      </c>
      <c r="C269" s="33" t="s">
        <v>496</v>
      </c>
      <c r="D269" s="23" t="s">
        <v>497</v>
      </c>
      <c r="E269" s="73"/>
      <c r="F269" s="73"/>
      <c r="G269" s="73"/>
      <c r="H269" s="73"/>
      <c r="I269" s="73"/>
      <c r="J269" s="33" t="s">
        <v>9374</v>
      </c>
      <c r="K269" s="33" t="s">
        <v>11016</v>
      </c>
      <c r="L269" s="33" t="s">
        <v>121</v>
      </c>
      <c r="M269" s="33" t="s">
        <v>9376</v>
      </c>
      <c r="N269" s="73"/>
      <c r="O269" s="73"/>
      <c r="P269" s="73"/>
      <c r="Q269" s="73"/>
      <c r="R269" s="23"/>
      <c r="S269" s="23"/>
      <c r="T269" s="73"/>
      <c r="U269" s="73"/>
      <c r="V269" s="73"/>
    </row>
    <row r="270" spans="2:22" s="72" customFormat="1" ht="11.4" x14ac:dyDescent="0.25">
      <c r="B270" s="166"/>
      <c r="C270" s="166"/>
      <c r="D270" s="166"/>
      <c r="E270" s="166"/>
      <c r="F270" s="166"/>
      <c r="G270" s="166"/>
      <c r="H270" s="166"/>
      <c r="I270" s="166"/>
      <c r="J270" s="166"/>
      <c r="K270" s="166"/>
      <c r="L270" s="166"/>
      <c r="M270" s="166"/>
      <c r="N270" s="166"/>
      <c r="O270" s="166"/>
      <c r="P270" s="166"/>
      <c r="Q270" s="73"/>
      <c r="R270" s="23"/>
      <c r="S270" s="23"/>
      <c r="T270" s="73"/>
      <c r="U270" s="73"/>
      <c r="V270" s="73"/>
    </row>
    <row r="271" spans="2:22" s="72" customFormat="1" ht="11.4" x14ac:dyDescent="0.25">
      <c r="B271" s="165" t="s">
        <v>9524</v>
      </c>
      <c r="C271" s="165"/>
      <c r="D271" s="165"/>
      <c r="E271" s="165"/>
      <c r="F271" s="165"/>
      <c r="G271" s="165"/>
      <c r="H271" s="165"/>
      <c r="I271" s="165"/>
      <c r="J271" s="165"/>
      <c r="K271" s="165"/>
      <c r="L271" s="165"/>
      <c r="M271" s="165"/>
      <c r="N271" s="165"/>
      <c r="O271" s="165"/>
      <c r="P271" s="165"/>
      <c r="Q271" s="75"/>
      <c r="R271" s="75"/>
      <c r="S271" s="75"/>
      <c r="T271" s="75"/>
      <c r="U271" s="75"/>
      <c r="V271" s="75"/>
    </row>
    <row r="272" spans="2:22" s="72" customFormat="1" ht="11.4" x14ac:dyDescent="0.25">
      <c r="B272" s="73" t="s">
        <v>9524</v>
      </c>
      <c r="C272" s="33" t="s">
        <v>498</v>
      </c>
      <c r="D272" s="23" t="s">
        <v>499</v>
      </c>
      <c r="E272" s="73"/>
      <c r="F272" s="73"/>
      <c r="G272" s="73"/>
      <c r="H272" s="73"/>
      <c r="I272" s="73"/>
      <c r="J272" s="33" t="s">
        <v>9374</v>
      </c>
      <c r="K272" s="33" t="s">
        <v>11016</v>
      </c>
      <c r="L272" s="33" t="s">
        <v>121</v>
      </c>
      <c r="M272" s="33" t="s">
        <v>9376</v>
      </c>
      <c r="N272" s="73"/>
      <c r="O272" s="73"/>
      <c r="P272" s="73"/>
      <c r="Q272" s="76"/>
      <c r="R272" s="76"/>
      <c r="S272" s="76"/>
      <c r="T272" s="76"/>
      <c r="U272" s="76"/>
      <c r="V272" s="76"/>
    </row>
    <row r="273" spans="2:22" s="72" customFormat="1" ht="11.4" x14ac:dyDescent="0.25">
      <c r="B273" s="166"/>
      <c r="C273" s="166"/>
      <c r="D273" s="166"/>
      <c r="E273" s="166"/>
      <c r="F273" s="166"/>
      <c r="G273" s="166"/>
      <c r="H273" s="166"/>
      <c r="I273" s="166"/>
      <c r="J273" s="166"/>
      <c r="K273" s="166"/>
      <c r="L273" s="166"/>
      <c r="M273" s="166"/>
      <c r="N273" s="166"/>
      <c r="O273" s="166"/>
      <c r="P273" s="166"/>
      <c r="Q273" s="73"/>
      <c r="R273" s="23"/>
      <c r="S273" s="23"/>
      <c r="T273" s="73"/>
      <c r="U273" s="73"/>
      <c r="V273" s="73"/>
    </row>
    <row r="274" spans="2:22" s="72" customFormat="1" ht="11.4" x14ac:dyDescent="0.25">
      <c r="B274" s="165" t="s">
        <v>9526</v>
      </c>
      <c r="C274" s="165"/>
      <c r="D274" s="165"/>
      <c r="E274" s="165"/>
      <c r="F274" s="165"/>
      <c r="G274" s="165"/>
      <c r="H274" s="165"/>
      <c r="I274" s="165"/>
      <c r="J274" s="165"/>
      <c r="K274" s="165"/>
      <c r="L274" s="165"/>
      <c r="M274" s="165"/>
      <c r="N274" s="165"/>
      <c r="O274" s="165"/>
      <c r="P274" s="165"/>
      <c r="Q274" s="73"/>
      <c r="R274" s="23"/>
      <c r="S274" s="23"/>
      <c r="T274" s="73"/>
      <c r="U274" s="73"/>
      <c r="V274" s="73"/>
    </row>
    <row r="275" spans="2:22" s="72" customFormat="1" ht="11.4" x14ac:dyDescent="0.25">
      <c r="B275" s="73" t="s">
        <v>9526</v>
      </c>
      <c r="C275" s="33" t="s">
        <v>500</v>
      </c>
      <c r="D275" s="23" t="s">
        <v>501</v>
      </c>
      <c r="E275" s="73"/>
      <c r="F275" s="73"/>
      <c r="G275" s="73"/>
      <c r="H275" s="73"/>
      <c r="I275" s="73"/>
      <c r="J275" s="33" t="s">
        <v>9374</v>
      </c>
      <c r="K275" s="33" t="s">
        <v>9375</v>
      </c>
      <c r="L275" s="33" t="s">
        <v>121</v>
      </c>
      <c r="M275" s="33" t="s">
        <v>9376</v>
      </c>
      <c r="N275" s="73"/>
      <c r="O275" s="73"/>
      <c r="P275" s="73"/>
      <c r="Q275" s="75"/>
      <c r="R275" s="75"/>
      <c r="S275" s="75"/>
      <c r="T275" s="75"/>
      <c r="U275" s="75"/>
      <c r="V275" s="75"/>
    </row>
    <row r="276" spans="2:22" s="72" customFormat="1" ht="71.400000000000006" x14ac:dyDescent="0.25">
      <c r="B276" s="73" t="s">
        <v>9526</v>
      </c>
      <c r="C276" s="33" t="s">
        <v>1647</v>
      </c>
      <c r="D276" s="23" t="s">
        <v>1648</v>
      </c>
      <c r="E276" s="73" t="s">
        <v>11033</v>
      </c>
      <c r="F276" s="73" t="s">
        <v>10902</v>
      </c>
      <c r="G276" s="73"/>
      <c r="H276" s="73" t="s">
        <v>10945</v>
      </c>
      <c r="I276" s="73" t="s">
        <v>11034</v>
      </c>
      <c r="J276" s="33" t="s">
        <v>9374</v>
      </c>
      <c r="K276" s="33" t="s">
        <v>9375</v>
      </c>
      <c r="L276" s="33" t="s">
        <v>121</v>
      </c>
      <c r="M276" s="33" t="s">
        <v>9376</v>
      </c>
      <c r="N276" s="73"/>
      <c r="O276" s="73"/>
      <c r="P276" s="73"/>
      <c r="Q276" s="76"/>
      <c r="R276" s="76"/>
      <c r="S276" s="76"/>
      <c r="T276" s="76"/>
      <c r="U276" s="76"/>
      <c r="V276" s="76"/>
    </row>
    <row r="277" spans="2:22" s="72" customFormat="1" ht="11.4" x14ac:dyDescent="0.25">
      <c r="B277" s="166"/>
      <c r="C277" s="166"/>
      <c r="D277" s="166"/>
      <c r="E277" s="166"/>
      <c r="F277" s="166"/>
      <c r="G277" s="166"/>
      <c r="H277" s="166"/>
      <c r="I277" s="166"/>
      <c r="J277" s="166"/>
      <c r="K277" s="166"/>
      <c r="L277" s="166"/>
      <c r="M277" s="166"/>
      <c r="N277" s="166"/>
      <c r="O277" s="166"/>
      <c r="P277" s="166"/>
      <c r="Q277" s="73"/>
      <c r="R277" s="23"/>
      <c r="S277" s="23"/>
      <c r="T277" s="73"/>
      <c r="U277" s="73"/>
      <c r="V277" s="73"/>
    </row>
    <row r="278" spans="2:22" s="72" customFormat="1" ht="11.4" x14ac:dyDescent="0.25">
      <c r="B278" s="165" t="s">
        <v>9529</v>
      </c>
      <c r="C278" s="165"/>
      <c r="D278" s="165"/>
      <c r="E278" s="165"/>
      <c r="F278" s="165"/>
      <c r="G278" s="165"/>
      <c r="H278" s="165"/>
      <c r="I278" s="165"/>
      <c r="J278" s="165"/>
      <c r="K278" s="165"/>
      <c r="L278" s="165"/>
      <c r="M278" s="165"/>
      <c r="N278" s="165"/>
      <c r="O278" s="165"/>
      <c r="P278" s="165"/>
      <c r="Q278" s="73"/>
      <c r="R278" s="23"/>
      <c r="S278" s="23"/>
      <c r="T278" s="73"/>
      <c r="U278" s="73"/>
      <c r="V278" s="73"/>
    </row>
    <row r="279" spans="2:22" s="72" customFormat="1" ht="11.4" x14ac:dyDescent="0.25">
      <c r="B279" s="73" t="s">
        <v>9529</v>
      </c>
      <c r="C279" s="33" t="s">
        <v>502</v>
      </c>
      <c r="D279" s="23" t="s">
        <v>503</v>
      </c>
      <c r="E279" s="73"/>
      <c r="F279" s="73"/>
      <c r="G279" s="73"/>
      <c r="H279" s="73"/>
      <c r="I279" s="73"/>
      <c r="J279" s="33" t="s">
        <v>9374</v>
      </c>
      <c r="K279" s="33" t="s">
        <v>11016</v>
      </c>
      <c r="L279" s="33" t="s">
        <v>121</v>
      </c>
      <c r="M279" s="33" t="s">
        <v>9376</v>
      </c>
      <c r="N279" s="73"/>
      <c r="O279" s="73"/>
      <c r="P279" s="73"/>
      <c r="Q279" s="75"/>
      <c r="R279" s="75"/>
      <c r="S279" s="75"/>
      <c r="T279" s="75"/>
      <c r="U279" s="75"/>
      <c r="V279" s="75"/>
    </row>
    <row r="280" spans="2:22" s="72" customFormat="1" ht="11.4" x14ac:dyDescent="0.25">
      <c r="B280" s="166"/>
      <c r="C280" s="166"/>
      <c r="D280" s="166"/>
      <c r="E280" s="166"/>
      <c r="F280" s="166"/>
      <c r="G280" s="166"/>
      <c r="H280" s="166"/>
      <c r="I280" s="166"/>
      <c r="J280" s="166"/>
      <c r="K280" s="166"/>
      <c r="L280" s="166"/>
      <c r="M280" s="166"/>
      <c r="N280" s="166"/>
      <c r="O280" s="166"/>
      <c r="P280" s="166"/>
      <c r="Q280" s="76"/>
      <c r="R280" s="76"/>
      <c r="S280" s="76"/>
      <c r="T280" s="76"/>
      <c r="U280" s="76"/>
      <c r="V280" s="76"/>
    </row>
    <row r="281" spans="2:22" s="72" customFormat="1" ht="11.4" x14ac:dyDescent="0.25">
      <c r="B281" s="165" t="s">
        <v>9532</v>
      </c>
      <c r="C281" s="165"/>
      <c r="D281" s="165"/>
      <c r="E281" s="165"/>
      <c r="F281" s="165"/>
      <c r="G281" s="165"/>
      <c r="H281" s="165"/>
      <c r="I281" s="165"/>
      <c r="J281" s="165"/>
      <c r="K281" s="165"/>
      <c r="L281" s="165"/>
      <c r="M281" s="165"/>
      <c r="N281" s="165"/>
      <c r="O281" s="165"/>
      <c r="P281" s="165"/>
      <c r="Q281" s="73"/>
      <c r="R281" s="23"/>
      <c r="S281" s="23"/>
      <c r="T281" s="73"/>
      <c r="U281" s="73"/>
      <c r="V281" s="73"/>
    </row>
    <row r="282" spans="2:22" s="72" customFormat="1" ht="11.4" x14ac:dyDescent="0.25">
      <c r="B282" s="73" t="s">
        <v>9532</v>
      </c>
      <c r="C282" s="33" t="s">
        <v>504</v>
      </c>
      <c r="D282" s="23" t="s">
        <v>505</v>
      </c>
      <c r="E282" s="73"/>
      <c r="F282" s="73"/>
      <c r="G282" s="73"/>
      <c r="H282" s="73"/>
      <c r="I282" s="73"/>
      <c r="J282" s="33" t="s">
        <v>9374</v>
      </c>
      <c r="K282" s="33" t="s">
        <v>11016</v>
      </c>
      <c r="L282" s="33" t="s">
        <v>121</v>
      </c>
      <c r="M282" s="33" t="s">
        <v>9376</v>
      </c>
      <c r="N282" s="73"/>
      <c r="O282" s="73"/>
      <c r="P282" s="73"/>
      <c r="Q282" s="73"/>
      <c r="R282" s="23"/>
      <c r="S282" s="23"/>
      <c r="T282" s="73"/>
      <c r="U282" s="73"/>
      <c r="V282" s="73"/>
    </row>
    <row r="283" spans="2:22" s="72" customFormat="1" ht="30.6" x14ac:dyDescent="0.25">
      <c r="B283" s="73" t="s">
        <v>9532</v>
      </c>
      <c r="C283" s="33" t="s">
        <v>1713</v>
      </c>
      <c r="D283" s="23" t="s">
        <v>1714</v>
      </c>
      <c r="E283" s="73" t="s">
        <v>11035</v>
      </c>
      <c r="F283" s="73" t="s">
        <v>10902</v>
      </c>
      <c r="G283" s="73"/>
      <c r="H283" s="73" t="s">
        <v>10917</v>
      </c>
      <c r="I283" s="73" t="s">
        <v>11036</v>
      </c>
      <c r="J283" s="33" t="s">
        <v>9374</v>
      </c>
      <c r="K283" s="33" t="s">
        <v>11016</v>
      </c>
      <c r="L283" s="33" t="s">
        <v>121</v>
      </c>
      <c r="M283" s="33" t="s">
        <v>9376</v>
      </c>
      <c r="N283" s="73"/>
      <c r="O283" s="73"/>
      <c r="P283" s="73"/>
      <c r="Q283" s="75"/>
      <c r="R283" s="75"/>
      <c r="S283" s="75"/>
      <c r="T283" s="75"/>
      <c r="U283" s="75"/>
      <c r="V283" s="75"/>
    </row>
    <row r="284" spans="2:22" s="72" customFormat="1" ht="11.4" x14ac:dyDescent="0.25">
      <c r="B284" s="166"/>
      <c r="C284" s="166"/>
      <c r="D284" s="166"/>
      <c r="E284" s="166"/>
      <c r="F284" s="166"/>
      <c r="G284" s="166"/>
      <c r="H284" s="166"/>
      <c r="I284" s="166"/>
      <c r="J284" s="166"/>
      <c r="K284" s="166"/>
      <c r="L284" s="166"/>
      <c r="M284" s="166"/>
      <c r="N284" s="166"/>
      <c r="O284" s="166"/>
      <c r="P284" s="166"/>
      <c r="Q284" s="76"/>
      <c r="R284" s="76"/>
      <c r="S284" s="76"/>
      <c r="T284" s="76"/>
      <c r="U284" s="76"/>
      <c r="V284" s="76"/>
    </row>
    <row r="285" spans="2:22" s="72" customFormat="1" ht="11.4" x14ac:dyDescent="0.25">
      <c r="B285" s="165" t="s">
        <v>9534</v>
      </c>
      <c r="C285" s="165"/>
      <c r="D285" s="165"/>
      <c r="E285" s="165"/>
      <c r="F285" s="165"/>
      <c r="G285" s="165"/>
      <c r="H285" s="165"/>
      <c r="I285" s="165"/>
      <c r="J285" s="165"/>
      <c r="K285" s="165"/>
      <c r="L285" s="165"/>
      <c r="M285" s="165"/>
      <c r="N285" s="165"/>
      <c r="O285" s="165"/>
      <c r="P285" s="165"/>
      <c r="Q285" s="73"/>
      <c r="R285" s="23"/>
      <c r="S285" s="23"/>
      <c r="T285" s="73"/>
      <c r="U285" s="73"/>
      <c r="V285" s="73"/>
    </row>
    <row r="286" spans="2:22" s="72" customFormat="1" ht="11.4" x14ac:dyDescent="0.25">
      <c r="B286" s="73" t="s">
        <v>9534</v>
      </c>
      <c r="C286" s="33" t="s">
        <v>506</v>
      </c>
      <c r="D286" s="23" t="s">
        <v>507</v>
      </c>
      <c r="E286" s="73"/>
      <c r="F286" s="73"/>
      <c r="G286" s="73"/>
      <c r="H286" s="73"/>
      <c r="I286" s="73"/>
      <c r="J286" s="33" t="s">
        <v>9374</v>
      </c>
      <c r="K286" s="33" t="s">
        <v>11016</v>
      </c>
      <c r="L286" s="33" t="s">
        <v>121</v>
      </c>
      <c r="M286" s="33" t="s">
        <v>9376</v>
      </c>
      <c r="N286" s="73"/>
      <c r="O286" s="73"/>
      <c r="P286" s="73"/>
      <c r="Q286" s="75"/>
      <c r="R286" s="75"/>
      <c r="S286" s="75"/>
      <c r="T286" s="75"/>
      <c r="U286" s="75"/>
      <c r="V286" s="75"/>
    </row>
    <row r="287" spans="2:22" s="72" customFormat="1" ht="11.4" x14ac:dyDescent="0.25">
      <c r="B287" s="166"/>
      <c r="C287" s="166"/>
      <c r="D287" s="166"/>
      <c r="E287" s="166"/>
      <c r="F287" s="166"/>
      <c r="G287" s="166"/>
      <c r="H287" s="166"/>
      <c r="I287" s="166"/>
      <c r="J287" s="166"/>
      <c r="K287" s="166"/>
      <c r="L287" s="166"/>
      <c r="M287" s="166"/>
      <c r="N287" s="166"/>
      <c r="O287" s="166"/>
      <c r="P287" s="166"/>
      <c r="Q287" s="76"/>
      <c r="R287" s="76"/>
      <c r="S287" s="76"/>
      <c r="T287" s="76"/>
      <c r="U287" s="76"/>
      <c r="V287" s="76"/>
    </row>
    <row r="288" spans="2:22" s="72" customFormat="1" ht="11.4" x14ac:dyDescent="0.25">
      <c r="B288" s="165" t="s">
        <v>9537</v>
      </c>
      <c r="C288" s="165"/>
      <c r="D288" s="165"/>
      <c r="E288" s="165"/>
      <c r="F288" s="165"/>
      <c r="G288" s="165"/>
      <c r="H288" s="165"/>
      <c r="I288" s="165"/>
      <c r="J288" s="165"/>
      <c r="K288" s="165"/>
      <c r="L288" s="165"/>
      <c r="M288" s="165"/>
      <c r="N288" s="165"/>
      <c r="O288" s="165"/>
      <c r="P288" s="165"/>
      <c r="Q288" s="73"/>
      <c r="R288" s="23"/>
      <c r="S288" s="23"/>
      <c r="T288" s="73"/>
      <c r="U288" s="73"/>
      <c r="V288" s="73"/>
    </row>
    <row r="289" spans="2:22" s="72" customFormat="1" ht="11.4" x14ac:dyDescent="0.25">
      <c r="B289" s="73" t="s">
        <v>9537</v>
      </c>
      <c r="C289" s="33" t="s">
        <v>508</v>
      </c>
      <c r="D289" s="23" t="s">
        <v>509</v>
      </c>
      <c r="E289" s="73"/>
      <c r="F289" s="73"/>
      <c r="G289" s="73"/>
      <c r="H289" s="73"/>
      <c r="I289" s="73"/>
      <c r="J289" s="33" t="s">
        <v>9374</v>
      </c>
      <c r="K289" s="33" t="s">
        <v>11016</v>
      </c>
      <c r="L289" s="33" t="s">
        <v>121</v>
      </c>
      <c r="M289" s="33" t="s">
        <v>9376</v>
      </c>
      <c r="N289" s="73"/>
      <c r="O289" s="73"/>
      <c r="P289" s="73"/>
      <c r="Q289" s="75"/>
      <c r="R289" s="75"/>
      <c r="S289" s="75"/>
      <c r="T289" s="75"/>
      <c r="U289" s="75"/>
      <c r="V289" s="75"/>
    </row>
    <row r="290" spans="2:22" s="72" customFormat="1" ht="11.4" x14ac:dyDescent="0.25">
      <c r="B290" s="166"/>
      <c r="C290" s="166"/>
      <c r="D290" s="166"/>
      <c r="E290" s="166"/>
      <c r="F290" s="166"/>
      <c r="G290" s="166"/>
      <c r="H290" s="166"/>
      <c r="I290" s="166"/>
      <c r="J290" s="166"/>
      <c r="K290" s="166"/>
      <c r="L290" s="166"/>
      <c r="M290" s="166"/>
      <c r="N290" s="166"/>
      <c r="O290" s="166"/>
      <c r="P290" s="166"/>
      <c r="Q290" s="76"/>
      <c r="R290" s="76"/>
      <c r="S290" s="76"/>
      <c r="T290" s="76"/>
      <c r="U290" s="76"/>
      <c r="V290" s="76"/>
    </row>
    <row r="291" spans="2:22" s="72" customFormat="1" ht="11.4" x14ac:dyDescent="0.25">
      <c r="B291" s="165" t="s">
        <v>9540</v>
      </c>
      <c r="C291" s="165"/>
      <c r="D291" s="165"/>
      <c r="E291" s="165"/>
      <c r="F291" s="165"/>
      <c r="G291" s="165"/>
      <c r="H291" s="165"/>
      <c r="I291" s="165"/>
      <c r="J291" s="165"/>
      <c r="K291" s="165"/>
      <c r="L291" s="165"/>
      <c r="M291" s="165"/>
      <c r="N291" s="165"/>
      <c r="O291" s="165"/>
      <c r="P291" s="165"/>
      <c r="Q291" s="73"/>
      <c r="R291" s="23"/>
      <c r="S291" s="23"/>
      <c r="T291" s="73"/>
      <c r="U291" s="73"/>
      <c r="V291" s="73"/>
    </row>
    <row r="292" spans="2:22" s="72" customFormat="1" ht="11.4" x14ac:dyDescent="0.25">
      <c r="B292" s="73" t="s">
        <v>9540</v>
      </c>
      <c r="C292" s="33" t="s">
        <v>510</v>
      </c>
      <c r="D292" s="23" t="s">
        <v>511</v>
      </c>
      <c r="E292" s="73"/>
      <c r="F292" s="73"/>
      <c r="G292" s="73"/>
      <c r="H292" s="73"/>
      <c r="I292" s="73"/>
      <c r="J292" s="33" t="s">
        <v>9374</v>
      </c>
      <c r="K292" s="33" t="s">
        <v>11016</v>
      </c>
      <c r="L292" s="33" t="s">
        <v>121</v>
      </c>
      <c r="M292" s="33" t="s">
        <v>9376</v>
      </c>
      <c r="N292" s="73"/>
      <c r="O292" s="73"/>
      <c r="P292" s="73"/>
      <c r="Q292" s="73"/>
      <c r="R292" s="23"/>
      <c r="S292" s="23"/>
      <c r="T292" s="73"/>
      <c r="U292" s="73"/>
      <c r="V292" s="73"/>
    </row>
    <row r="293" spans="2:22" s="72" customFormat="1" ht="11.4" x14ac:dyDescent="0.25">
      <c r="B293" s="166"/>
      <c r="C293" s="166"/>
      <c r="D293" s="166"/>
      <c r="E293" s="166"/>
      <c r="F293" s="166"/>
      <c r="G293" s="166"/>
      <c r="H293" s="166"/>
      <c r="I293" s="166"/>
      <c r="J293" s="166"/>
      <c r="K293" s="166"/>
      <c r="L293" s="166"/>
      <c r="M293" s="166"/>
      <c r="N293" s="166"/>
      <c r="O293" s="166"/>
      <c r="P293" s="166"/>
      <c r="Q293" s="75"/>
      <c r="R293" s="75"/>
      <c r="S293" s="75"/>
      <c r="T293" s="75"/>
      <c r="U293" s="75"/>
      <c r="V293" s="75"/>
    </row>
    <row r="294" spans="2:22" s="72" customFormat="1" ht="11.4" x14ac:dyDescent="0.25">
      <c r="B294" s="165" t="s">
        <v>9543</v>
      </c>
      <c r="C294" s="165"/>
      <c r="D294" s="165"/>
      <c r="E294" s="165"/>
      <c r="F294" s="165"/>
      <c r="G294" s="165"/>
      <c r="H294" s="165"/>
      <c r="I294" s="165"/>
      <c r="J294" s="165"/>
      <c r="K294" s="165"/>
      <c r="L294" s="165"/>
      <c r="M294" s="165"/>
      <c r="N294" s="165"/>
      <c r="O294" s="165"/>
      <c r="P294" s="165"/>
      <c r="Q294" s="76"/>
      <c r="R294" s="76"/>
      <c r="S294" s="76"/>
      <c r="T294" s="76"/>
      <c r="U294" s="76"/>
      <c r="V294" s="76"/>
    </row>
    <row r="295" spans="2:22" s="72" customFormat="1" ht="11.4" x14ac:dyDescent="0.25">
      <c r="B295" s="73" t="s">
        <v>9543</v>
      </c>
      <c r="C295" s="33" t="s">
        <v>512</v>
      </c>
      <c r="D295" s="23" t="s">
        <v>513</v>
      </c>
      <c r="E295" s="73"/>
      <c r="F295" s="73"/>
      <c r="G295" s="73"/>
      <c r="H295" s="73"/>
      <c r="I295" s="73"/>
      <c r="J295" s="33" t="s">
        <v>9374</v>
      </c>
      <c r="K295" s="33" t="s">
        <v>11016</v>
      </c>
      <c r="L295" s="33" t="s">
        <v>121</v>
      </c>
      <c r="M295" s="33" t="s">
        <v>9376</v>
      </c>
      <c r="N295" s="73"/>
      <c r="O295" s="73"/>
      <c r="P295" s="73"/>
      <c r="Q295" s="73"/>
      <c r="R295" s="23"/>
      <c r="S295" s="23"/>
      <c r="T295" s="73"/>
      <c r="U295" s="73"/>
      <c r="V295" s="73"/>
    </row>
    <row r="296" spans="2:22" s="72" customFormat="1" ht="11.4" x14ac:dyDescent="0.25">
      <c r="B296" s="166"/>
      <c r="C296" s="166"/>
      <c r="D296" s="166"/>
      <c r="E296" s="166"/>
      <c r="F296" s="166"/>
      <c r="G296" s="166"/>
      <c r="H296" s="166"/>
      <c r="I296" s="166"/>
      <c r="J296" s="166"/>
      <c r="K296" s="166"/>
      <c r="L296" s="166"/>
      <c r="M296" s="166"/>
      <c r="N296" s="166"/>
      <c r="O296" s="166"/>
      <c r="P296" s="166"/>
      <c r="Q296" s="73"/>
      <c r="R296" s="23"/>
      <c r="S296" s="23"/>
      <c r="T296" s="73"/>
      <c r="U296" s="73"/>
      <c r="V296" s="73"/>
    </row>
    <row r="297" spans="2:22" s="72" customFormat="1" ht="11.4" x14ac:dyDescent="0.25">
      <c r="B297" s="165" t="s">
        <v>9546</v>
      </c>
      <c r="C297" s="165"/>
      <c r="D297" s="165"/>
      <c r="E297" s="165"/>
      <c r="F297" s="165"/>
      <c r="G297" s="165"/>
      <c r="H297" s="165"/>
      <c r="I297" s="165"/>
      <c r="J297" s="165"/>
      <c r="K297" s="165"/>
      <c r="L297" s="165"/>
      <c r="M297" s="165"/>
      <c r="N297" s="165"/>
      <c r="O297" s="165"/>
      <c r="P297" s="165"/>
      <c r="Q297" s="73"/>
      <c r="R297" s="23"/>
      <c r="S297" s="23"/>
      <c r="T297" s="73"/>
      <c r="U297" s="73"/>
      <c r="V297" s="73"/>
    </row>
    <row r="298" spans="2:22" s="72" customFormat="1" ht="11.4" x14ac:dyDescent="0.25">
      <c r="B298" s="73" t="s">
        <v>9546</v>
      </c>
      <c r="C298" s="33" t="s">
        <v>514</v>
      </c>
      <c r="D298" s="23" t="s">
        <v>515</v>
      </c>
      <c r="E298" s="73"/>
      <c r="F298" s="73"/>
      <c r="G298" s="73"/>
      <c r="H298" s="73"/>
      <c r="I298" s="73"/>
      <c r="J298" s="33" t="s">
        <v>9374</v>
      </c>
      <c r="K298" s="33" t="s">
        <v>11016</v>
      </c>
      <c r="L298" s="33" t="s">
        <v>121</v>
      </c>
      <c r="M298" s="33" t="s">
        <v>9376</v>
      </c>
      <c r="N298" s="73"/>
      <c r="O298" s="73"/>
      <c r="P298" s="73"/>
      <c r="Q298" s="75"/>
      <c r="R298" s="75"/>
      <c r="S298" s="75"/>
      <c r="T298" s="75"/>
      <c r="U298" s="75"/>
      <c r="V298" s="75"/>
    </row>
    <row r="299" spans="2:22" s="72" customFormat="1" ht="11.4" x14ac:dyDescent="0.25">
      <c r="B299" s="166"/>
      <c r="C299" s="166"/>
      <c r="D299" s="166"/>
      <c r="E299" s="166"/>
      <c r="F299" s="166"/>
      <c r="G299" s="166"/>
      <c r="H299" s="166"/>
      <c r="I299" s="166"/>
      <c r="J299" s="166"/>
      <c r="K299" s="166"/>
      <c r="L299" s="166"/>
      <c r="M299" s="166"/>
      <c r="N299" s="166"/>
      <c r="O299" s="166"/>
      <c r="P299" s="166"/>
      <c r="Q299" s="76"/>
      <c r="R299" s="76"/>
      <c r="S299" s="76"/>
      <c r="T299" s="76"/>
      <c r="U299" s="76"/>
      <c r="V299" s="76"/>
    </row>
    <row r="300" spans="2:22" s="72" customFormat="1" ht="11.4" x14ac:dyDescent="0.25">
      <c r="B300" s="165" t="s">
        <v>9549</v>
      </c>
      <c r="C300" s="165"/>
      <c r="D300" s="165"/>
      <c r="E300" s="165"/>
      <c r="F300" s="165"/>
      <c r="G300" s="165"/>
      <c r="H300" s="165"/>
      <c r="I300" s="165"/>
      <c r="J300" s="165"/>
      <c r="K300" s="165"/>
      <c r="L300" s="165"/>
      <c r="M300" s="165"/>
      <c r="N300" s="165"/>
      <c r="O300" s="165"/>
      <c r="P300" s="165"/>
      <c r="Q300" s="73"/>
      <c r="R300" s="23"/>
      <c r="S300" s="23"/>
      <c r="T300" s="73"/>
      <c r="U300" s="73"/>
      <c r="V300" s="73"/>
    </row>
    <row r="301" spans="2:22" s="72" customFormat="1" ht="11.4" x14ac:dyDescent="0.25">
      <c r="B301" s="73" t="s">
        <v>9549</v>
      </c>
      <c r="C301" s="33" t="s">
        <v>516</v>
      </c>
      <c r="D301" s="23" t="s">
        <v>517</v>
      </c>
      <c r="E301" s="73"/>
      <c r="F301" s="73"/>
      <c r="G301" s="73"/>
      <c r="H301" s="73"/>
      <c r="I301" s="73"/>
      <c r="J301" s="33" t="s">
        <v>9374</v>
      </c>
      <c r="K301" s="33" t="s">
        <v>11016</v>
      </c>
      <c r="L301" s="33" t="s">
        <v>121</v>
      </c>
      <c r="M301" s="33" t="s">
        <v>9376</v>
      </c>
      <c r="N301" s="73"/>
      <c r="O301" s="73"/>
      <c r="P301" s="73"/>
      <c r="Q301" s="75"/>
      <c r="R301" s="75"/>
      <c r="S301" s="75"/>
      <c r="T301" s="75"/>
      <c r="U301" s="75"/>
      <c r="V301" s="75"/>
    </row>
    <row r="302" spans="2:22" s="72" customFormat="1" ht="11.4" x14ac:dyDescent="0.25">
      <c r="B302" s="166"/>
      <c r="C302" s="166"/>
      <c r="D302" s="166"/>
      <c r="E302" s="166"/>
      <c r="F302" s="166"/>
      <c r="G302" s="166"/>
      <c r="H302" s="166"/>
      <c r="I302" s="166"/>
      <c r="J302" s="166"/>
      <c r="K302" s="166"/>
      <c r="L302" s="166"/>
      <c r="M302" s="166"/>
      <c r="N302" s="166"/>
      <c r="O302" s="166"/>
      <c r="P302" s="166"/>
      <c r="Q302" s="76"/>
      <c r="R302" s="76"/>
      <c r="S302" s="76"/>
      <c r="T302" s="76"/>
      <c r="U302" s="76"/>
      <c r="V302" s="76"/>
    </row>
    <row r="303" spans="2:22" s="72" customFormat="1" ht="11.4" x14ac:dyDescent="0.25">
      <c r="B303" s="165" t="s">
        <v>9551</v>
      </c>
      <c r="C303" s="165"/>
      <c r="D303" s="165"/>
      <c r="E303" s="165"/>
      <c r="F303" s="165"/>
      <c r="G303" s="165"/>
      <c r="H303" s="165"/>
      <c r="I303" s="165"/>
      <c r="J303" s="165"/>
      <c r="K303" s="165"/>
      <c r="L303" s="165"/>
      <c r="M303" s="165"/>
      <c r="N303" s="165"/>
      <c r="O303" s="165"/>
      <c r="P303" s="165"/>
      <c r="Q303" s="73"/>
      <c r="R303" s="23"/>
      <c r="S303" s="23"/>
      <c r="T303" s="73"/>
      <c r="U303" s="73"/>
      <c r="V303" s="73"/>
    </row>
    <row r="304" spans="2:22" s="72" customFormat="1" ht="11.4" x14ac:dyDescent="0.25">
      <c r="B304" s="73" t="s">
        <v>9551</v>
      </c>
      <c r="C304" s="33" t="s">
        <v>518</v>
      </c>
      <c r="D304" s="23" t="s">
        <v>519</v>
      </c>
      <c r="E304" s="73"/>
      <c r="F304" s="73"/>
      <c r="G304" s="73"/>
      <c r="H304" s="73"/>
      <c r="I304" s="73"/>
      <c r="J304" s="33" t="s">
        <v>9374</v>
      </c>
      <c r="K304" s="33" t="s">
        <v>11016</v>
      </c>
      <c r="L304" s="33" t="s">
        <v>121</v>
      </c>
      <c r="M304" s="33" t="s">
        <v>9376</v>
      </c>
      <c r="N304" s="73"/>
      <c r="O304" s="73"/>
      <c r="P304" s="73"/>
      <c r="Q304" s="73"/>
      <c r="R304" s="23"/>
      <c r="S304" s="23"/>
      <c r="T304" s="73"/>
      <c r="U304" s="73"/>
      <c r="V304" s="73"/>
    </row>
    <row r="305" spans="2:22" s="72" customFormat="1" ht="11.4" x14ac:dyDescent="0.25">
      <c r="B305" s="166"/>
      <c r="C305" s="166"/>
      <c r="D305" s="166"/>
      <c r="E305" s="166"/>
      <c r="F305" s="166"/>
      <c r="G305" s="166"/>
      <c r="H305" s="166"/>
      <c r="I305" s="166"/>
      <c r="J305" s="166"/>
      <c r="K305" s="166"/>
      <c r="L305" s="166"/>
      <c r="M305" s="166"/>
      <c r="N305" s="166"/>
      <c r="O305" s="166"/>
      <c r="P305" s="166"/>
      <c r="Q305" s="73"/>
      <c r="R305" s="23"/>
      <c r="S305" s="23"/>
      <c r="T305" s="73"/>
      <c r="U305" s="73"/>
      <c r="V305" s="73"/>
    </row>
    <row r="306" spans="2:22" s="72" customFormat="1" ht="11.4" x14ac:dyDescent="0.25">
      <c r="B306" s="165" t="s">
        <v>9554</v>
      </c>
      <c r="C306" s="165"/>
      <c r="D306" s="165"/>
      <c r="E306" s="165"/>
      <c r="F306" s="165"/>
      <c r="G306" s="165"/>
      <c r="H306" s="165"/>
      <c r="I306" s="165"/>
      <c r="J306" s="165"/>
      <c r="K306" s="165"/>
      <c r="L306" s="165"/>
      <c r="M306" s="165"/>
      <c r="N306" s="165"/>
      <c r="O306" s="165"/>
      <c r="P306" s="165"/>
      <c r="Q306" s="75"/>
      <c r="R306" s="75"/>
      <c r="S306" s="75"/>
      <c r="T306" s="75"/>
      <c r="U306" s="75"/>
      <c r="V306" s="75"/>
    </row>
    <row r="307" spans="2:22" s="72" customFormat="1" ht="11.4" x14ac:dyDescent="0.25">
      <c r="B307" s="73" t="s">
        <v>9554</v>
      </c>
      <c r="C307" s="33" t="s">
        <v>520</v>
      </c>
      <c r="D307" s="23" t="s">
        <v>521</v>
      </c>
      <c r="E307" s="73"/>
      <c r="F307" s="73"/>
      <c r="G307" s="73"/>
      <c r="H307" s="73"/>
      <c r="I307" s="73"/>
      <c r="J307" s="33" t="s">
        <v>9374</v>
      </c>
      <c r="K307" s="33" t="s">
        <v>11016</v>
      </c>
      <c r="L307" s="33" t="s">
        <v>121</v>
      </c>
      <c r="M307" s="33" t="s">
        <v>9376</v>
      </c>
      <c r="N307" s="73"/>
      <c r="O307" s="73"/>
      <c r="P307" s="73"/>
      <c r="Q307" s="76"/>
      <c r="R307" s="76"/>
      <c r="S307" s="76"/>
      <c r="T307" s="76"/>
      <c r="U307" s="76"/>
      <c r="V307" s="76"/>
    </row>
    <row r="308" spans="2:22" s="72" customFormat="1" ht="11.4" x14ac:dyDescent="0.25">
      <c r="B308" s="166"/>
      <c r="C308" s="166"/>
      <c r="D308" s="166"/>
      <c r="E308" s="166"/>
      <c r="F308" s="166"/>
      <c r="G308" s="166"/>
      <c r="H308" s="166"/>
      <c r="I308" s="166"/>
      <c r="J308" s="166"/>
      <c r="K308" s="166"/>
      <c r="L308" s="166"/>
      <c r="M308" s="166"/>
      <c r="N308" s="166"/>
      <c r="O308" s="166"/>
      <c r="P308" s="166"/>
      <c r="Q308" s="73"/>
      <c r="R308" s="23"/>
      <c r="S308" s="23"/>
      <c r="T308" s="73"/>
      <c r="U308" s="73"/>
      <c r="V308" s="73"/>
    </row>
    <row r="309" spans="2:22" s="72" customFormat="1" ht="11.4" x14ac:dyDescent="0.25">
      <c r="B309" s="165" t="s">
        <v>9557</v>
      </c>
      <c r="C309" s="165"/>
      <c r="D309" s="165"/>
      <c r="E309" s="165"/>
      <c r="F309" s="165"/>
      <c r="G309" s="165"/>
      <c r="H309" s="165"/>
      <c r="I309" s="165"/>
      <c r="J309" s="165"/>
      <c r="K309" s="165"/>
      <c r="L309" s="165"/>
      <c r="M309" s="165"/>
      <c r="N309" s="165"/>
      <c r="O309" s="165"/>
      <c r="P309" s="165"/>
      <c r="Q309" s="73"/>
      <c r="R309" s="23"/>
      <c r="S309" s="23"/>
      <c r="T309" s="73"/>
      <c r="U309" s="73"/>
      <c r="V309" s="73"/>
    </row>
    <row r="310" spans="2:22" s="72" customFormat="1" ht="11.4" x14ac:dyDescent="0.25">
      <c r="B310" s="73" t="s">
        <v>9557</v>
      </c>
      <c r="C310" s="33" t="s">
        <v>522</v>
      </c>
      <c r="D310" s="23" t="s">
        <v>523</v>
      </c>
      <c r="E310" s="73"/>
      <c r="F310" s="73"/>
      <c r="G310" s="73"/>
      <c r="H310" s="73"/>
      <c r="I310" s="73"/>
      <c r="J310" s="33" t="s">
        <v>9374</v>
      </c>
      <c r="K310" s="33" t="s">
        <v>11016</v>
      </c>
      <c r="L310" s="33" t="s">
        <v>121</v>
      </c>
      <c r="M310" s="33" t="s">
        <v>9376</v>
      </c>
      <c r="N310" s="73"/>
      <c r="O310" s="73"/>
      <c r="P310" s="73"/>
      <c r="Q310" s="75"/>
      <c r="R310" s="75"/>
      <c r="S310" s="75"/>
      <c r="T310" s="75"/>
      <c r="U310" s="75"/>
      <c r="V310" s="75"/>
    </row>
    <row r="311" spans="2:22" s="72" customFormat="1" ht="11.4" x14ac:dyDescent="0.25">
      <c r="B311" s="166"/>
      <c r="C311" s="166"/>
      <c r="D311" s="166"/>
      <c r="E311" s="166"/>
      <c r="F311" s="166"/>
      <c r="G311" s="166"/>
      <c r="H311" s="166"/>
      <c r="I311" s="166"/>
      <c r="J311" s="166"/>
      <c r="K311" s="166"/>
      <c r="L311" s="166"/>
      <c r="M311" s="166"/>
      <c r="N311" s="166"/>
      <c r="O311" s="166"/>
      <c r="P311" s="166"/>
      <c r="Q311" s="76"/>
      <c r="R311" s="76"/>
      <c r="S311" s="76"/>
      <c r="T311" s="76"/>
      <c r="U311" s="76"/>
      <c r="V311" s="76"/>
    </row>
    <row r="312" spans="2:22" s="72" customFormat="1" ht="11.4" x14ac:dyDescent="0.25">
      <c r="B312" s="165" t="s">
        <v>9560</v>
      </c>
      <c r="C312" s="165"/>
      <c r="D312" s="165"/>
      <c r="E312" s="165"/>
      <c r="F312" s="165"/>
      <c r="G312" s="165"/>
      <c r="H312" s="165"/>
      <c r="I312" s="165"/>
      <c r="J312" s="165"/>
      <c r="K312" s="165"/>
      <c r="L312" s="165"/>
      <c r="M312" s="165"/>
      <c r="N312" s="165"/>
      <c r="O312" s="165"/>
      <c r="P312" s="165"/>
      <c r="Q312" s="73"/>
      <c r="R312" s="23"/>
      <c r="S312" s="23"/>
      <c r="T312" s="73"/>
      <c r="U312" s="73"/>
      <c r="V312" s="73"/>
    </row>
    <row r="313" spans="2:22" s="72" customFormat="1" ht="11.4" x14ac:dyDescent="0.25">
      <c r="B313" s="73" t="s">
        <v>9560</v>
      </c>
      <c r="C313" s="33" t="s">
        <v>524</v>
      </c>
      <c r="D313" s="23" t="s">
        <v>525</v>
      </c>
      <c r="E313" s="73"/>
      <c r="F313" s="73"/>
      <c r="G313" s="73"/>
      <c r="H313" s="73"/>
      <c r="I313" s="73"/>
      <c r="J313" s="33" t="s">
        <v>9374</v>
      </c>
      <c r="K313" s="33" t="s">
        <v>11016</v>
      </c>
      <c r="L313" s="33" t="s">
        <v>121</v>
      </c>
      <c r="M313" s="33" t="s">
        <v>9376</v>
      </c>
      <c r="N313" s="73"/>
      <c r="O313" s="73"/>
      <c r="P313" s="73"/>
      <c r="Q313" s="75"/>
      <c r="R313" s="75"/>
      <c r="S313" s="75"/>
      <c r="T313" s="75"/>
      <c r="U313" s="75"/>
      <c r="V313" s="75"/>
    </row>
    <row r="314" spans="2:22" s="72" customFormat="1" ht="11.4" x14ac:dyDescent="0.25">
      <c r="B314" s="166"/>
      <c r="C314" s="166"/>
      <c r="D314" s="166"/>
      <c r="E314" s="166"/>
      <c r="F314" s="166"/>
      <c r="G314" s="166"/>
      <c r="H314" s="166"/>
      <c r="I314" s="166"/>
      <c r="J314" s="166"/>
      <c r="K314" s="166"/>
      <c r="L314" s="166"/>
      <c r="M314" s="166"/>
      <c r="N314" s="166"/>
      <c r="O314" s="166"/>
      <c r="P314" s="166"/>
      <c r="Q314" s="76"/>
      <c r="R314" s="76"/>
      <c r="S314" s="76"/>
      <c r="T314" s="76"/>
      <c r="U314" s="76"/>
      <c r="V314" s="76"/>
    </row>
    <row r="315" spans="2:22" s="72" customFormat="1" ht="11.4" x14ac:dyDescent="0.25">
      <c r="B315" s="165" t="s">
        <v>9563</v>
      </c>
      <c r="C315" s="165"/>
      <c r="D315" s="165"/>
      <c r="E315" s="165"/>
      <c r="F315" s="165"/>
      <c r="G315" s="165"/>
      <c r="H315" s="165"/>
      <c r="I315" s="165"/>
      <c r="J315" s="165"/>
      <c r="K315" s="165"/>
      <c r="L315" s="165"/>
      <c r="M315" s="165"/>
      <c r="N315" s="165"/>
      <c r="O315" s="165"/>
      <c r="P315" s="165"/>
      <c r="Q315" s="73"/>
      <c r="R315" s="23"/>
      <c r="S315" s="23"/>
      <c r="T315" s="73"/>
      <c r="U315" s="73"/>
      <c r="V315" s="73"/>
    </row>
    <row r="316" spans="2:22" s="72" customFormat="1" ht="11.4" x14ac:dyDescent="0.25">
      <c r="B316" s="73" t="s">
        <v>9563</v>
      </c>
      <c r="C316" s="33" t="s">
        <v>526</v>
      </c>
      <c r="D316" s="23" t="s">
        <v>527</v>
      </c>
      <c r="E316" s="73"/>
      <c r="F316" s="73"/>
      <c r="G316" s="73"/>
      <c r="H316" s="73"/>
      <c r="I316" s="73"/>
      <c r="J316" s="33" t="s">
        <v>9374</v>
      </c>
      <c r="K316" s="33" t="s">
        <v>11016</v>
      </c>
      <c r="L316" s="33" t="s">
        <v>121</v>
      </c>
      <c r="M316" s="33" t="s">
        <v>9376</v>
      </c>
      <c r="N316" s="73"/>
      <c r="O316" s="73"/>
      <c r="P316" s="73"/>
      <c r="Q316" s="73"/>
      <c r="R316" s="23"/>
      <c r="S316" s="23"/>
      <c r="T316" s="73"/>
      <c r="U316" s="73"/>
      <c r="V316" s="73"/>
    </row>
    <row r="317" spans="2:22" s="72" customFormat="1" ht="11.4" x14ac:dyDescent="0.25">
      <c r="B317" s="166"/>
      <c r="C317" s="166"/>
      <c r="D317" s="166"/>
      <c r="E317" s="166"/>
      <c r="F317" s="166"/>
      <c r="G317" s="166"/>
      <c r="H317" s="166"/>
      <c r="I317" s="166"/>
      <c r="J317" s="166"/>
      <c r="K317" s="166"/>
      <c r="L317" s="166"/>
      <c r="M317" s="166"/>
      <c r="N317" s="166"/>
      <c r="O317" s="166"/>
      <c r="P317" s="166"/>
      <c r="Q317" s="75"/>
      <c r="R317" s="75"/>
      <c r="S317" s="75"/>
      <c r="T317" s="75"/>
      <c r="U317" s="75"/>
      <c r="V317" s="75"/>
    </row>
    <row r="318" spans="2:22" s="72" customFormat="1" ht="11.4" x14ac:dyDescent="0.25">
      <c r="B318" s="165" t="s">
        <v>9565</v>
      </c>
      <c r="C318" s="165"/>
      <c r="D318" s="165"/>
      <c r="E318" s="165"/>
      <c r="F318" s="165"/>
      <c r="G318" s="165"/>
      <c r="H318" s="165"/>
      <c r="I318" s="165"/>
      <c r="J318" s="165"/>
      <c r="K318" s="165"/>
      <c r="L318" s="165"/>
      <c r="M318" s="165"/>
      <c r="N318" s="165"/>
      <c r="O318" s="165"/>
      <c r="P318" s="165"/>
      <c r="Q318" s="76"/>
      <c r="R318" s="76"/>
      <c r="S318" s="76"/>
      <c r="T318" s="76"/>
      <c r="U318" s="76"/>
      <c r="V318" s="76"/>
    </row>
    <row r="319" spans="2:22" s="72" customFormat="1" ht="11.4" x14ac:dyDescent="0.25">
      <c r="B319" s="73" t="s">
        <v>9565</v>
      </c>
      <c r="C319" s="33" t="s">
        <v>528</v>
      </c>
      <c r="D319" s="23" t="s">
        <v>529</v>
      </c>
      <c r="E319" s="73"/>
      <c r="F319" s="73"/>
      <c r="G319" s="73"/>
      <c r="H319" s="73"/>
      <c r="I319" s="73"/>
      <c r="J319" s="33" t="s">
        <v>9374</v>
      </c>
      <c r="K319" s="33" t="s">
        <v>11016</v>
      </c>
      <c r="L319" s="33" t="s">
        <v>121</v>
      </c>
      <c r="M319" s="33" t="s">
        <v>9376</v>
      </c>
      <c r="N319" s="73"/>
      <c r="O319" s="73"/>
      <c r="P319" s="73"/>
      <c r="Q319" s="73"/>
      <c r="R319" s="23"/>
      <c r="S319" s="23"/>
      <c r="T319" s="73"/>
      <c r="U319" s="73"/>
      <c r="V319" s="73"/>
    </row>
    <row r="320" spans="2:22" s="72" customFormat="1" ht="11.4" x14ac:dyDescent="0.25">
      <c r="B320" s="166"/>
      <c r="C320" s="166"/>
      <c r="D320" s="166"/>
      <c r="E320" s="166"/>
      <c r="F320" s="166"/>
      <c r="G320" s="166"/>
      <c r="H320" s="166"/>
      <c r="I320" s="166"/>
      <c r="J320" s="166"/>
      <c r="K320" s="166"/>
      <c r="L320" s="166"/>
      <c r="M320" s="166"/>
      <c r="N320" s="166"/>
      <c r="O320" s="166"/>
      <c r="P320" s="166"/>
      <c r="Q320" s="75"/>
      <c r="R320" s="75"/>
      <c r="S320" s="75"/>
      <c r="T320" s="75"/>
      <c r="U320" s="75"/>
      <c r="V320" s="75"/>
    </row>
    <row r="321" spans="2:22" s="72" customFormat="1" ht="11.4" x14ac:dyDescent="0.25">
      <c r="B321" s="165" t="s">
        <v>9568</v>
      </c>
      <c r="C321" s="165"/>
      <c r="D321" s="165"/>
      <c r="E321" s="165"/>
      <c r="F321" s="165"/>
      <c r="G321" s="165"/>
      <c r="H321" s="165"/>
      <c r="I321" s="165"/>
      <c r="J321" s="165"/>
      <c r="K321" s="165"/>
      <c r="L321" s="165"/>
      <c r="M321" s="165"/>
      <c r="N321" s="165"/>
      <c r="O321" s="165"/>
      <c r="P321" s="165"/>
      <c r="Q321" s="76"/>
      <c r="R321" s="76"/>
      <c r="S321" s="76"/>
      <c r="T321" s="76"/>
      <c r="U321" s="76"/>
      <c r="V321" s="76"/>
    </row>
    <row r="322" spans="2:22" s="72" customFormat="1" ht="11.4" x14ac:dyDescent="0.25">
      <c r="B322" s="73" t="s">
        <v>9568</v>
      </c>
      <c r="C322" s="33" t="s">
        <v>530</v>
      </c>
      <c r="D322" s="23" t="s">
        <v>531</v>
      </c>
      <c r="E322" s="73"/>
      <c r="F322" s="73"/>
      <c r="G322" s="73"/>
      <c r="H322" s="73"/>
      <c r="I322" s="73"/>
      <c r="J322" s="33" t="s">
        <v>9374</v>
      </c>
      <c r="K322" s="33" t="s">
        <v>9375</v>
      </c>
      <c r="L322" s="33" t="s">
        <v>121</v>
      </c>
      <c r="M322" s="33" t="s">
        <v>9376</v>
      </c>
      <c r="N322" s="73"/>
      <c r="O322" s="73"/>
      <c r="P322" s="73"/>
      <c r="Q322" s="73"/>
      <c r="R322" s="23"/>
      <c r="S322" s="23"/>
      <c r="T322" s="73"/>
      <c r="U322" s="73"/>
      <c r="V322" s="73"/>
    </row>
    <row r="323" spans="2:22" s="72" customFormat="1" ht="11.4" x14ac:dyDescent="0.25">
      <c r="B323" s="166"/>
      <c r="C323" s="166"/>
      <c r="D323" s="166"/>
      <c r="E323" s="166"/>
      <c r="F323" s="166"/>
      <c r="G323" s="166"/>
      <c r="H323" s="166"/>
      <c r="I323" s="166"/>
      <c r="J323" s="166"/>
      <c r="K323" s="166"/>
      <c r="L323" s="166"/>
      <c r="M323" s="166"/>
      <c r="N323" s="166"/>
      <c r="O323" s="166"/>
      <c r="P323" s="166"/>
      <c r="Q323" s="75"/>
      <c r="R323" s="75"/>
      <c r="S323" s="75"/>
      <c r="T323" s="75"/>
      <c r="U323" s="75"/>
      <c r="V323" s="75"/>
    </row>
    <row r="324" spans="2:22" s="72" customFormat="1" ht="11.4" x14ac:dyDescent="0.25">
      <c r="B324" s="165" t="s">
        <v>9570</v>
      </c>
      <c r="C324" s="165"/>
      <c r="D324" s="165"/>
      <c r="E324" s="165"/>
      <c r="F324" s="165"/>
      <c r="G324" s="165"/>
      <c r="H324" s="165"/>
      <c r="I324" s="165"/>
      <c r="J324" s="165"/>
      <c r="K324" s="165"/>
      <c r="L324" s="165"/>
      <c r="M324" s="165"/>
      <c r="N324" s="165"/>
      <c r="O324" s="165"/>
      <c r="P324" s="165"/>
      <c r="Q324" s="76"/>
      <c r="R324" s="76"/>
      <c r="S324" s="76"/>
      <c r="T324" s="76"/>
      <c r="U324" s="76"/>
      <c r="V324" s="76"/>
    </row>
    <row r="325" spans="2:22" s="72" customFormat="1" ht="11.4" x14ac:dyDescent="0.25">
      <c r="B325" s="73" t="s">
        <v>9570</v>
      </c>
      <c r="C325" s="33" t="s">
        <v>532</v>
      </c>
      <c r="D325" s="23" t="s">
        <v>533</v>
      </c>
      <c r="E325" s="73"/>
      <c r="F325" s="73"/>
      <c r="G325" s="73"/>
      <c r="H325" s="73"/>
      <c r="I325" s="73"/>
      <c r="J325" s="33" t="s">
        <v>9374</v>
      </c>
      <c r="K325" s="33" t="s">
        <v>9375</v>
      </c>
      <c r="L325" s="33" t="s">
        <v>121</v>
      </c>
      <c r="M325" s="33" t="s">
        <v>9376</v>
      </c>
      <c r="N325" s="73"/>
      <c r="O325" s="73"/>
      <c r="P325" s="73"/>
      <c r="Q325" s="73"/>
      <c r="R325" s="23"/>
      <c r="S325" s="23"/>
      <c r="T325" s="73"/>
      <c r="U325" s="73"/>
      <c r="V325" s="73"/>
    </row>
    <row r="326" spans="2:22" s="72" customFormat="1" ht="11.4" x14ac:dyDescent="0.25">
      <c r="B326" s="166"/>
      <c r="C326" s="166"/>
      <c r="D326" s="166"/>
      <c r="E326" s="166"/>
      <c r="F326" s="166"/>
      <c r="G326" s="166"/>
      <c r="H326" s="166"/>
      <c r="I326" s="166"/>
      <c r="J326" s="166"/>
      <c r="K326" s="166"/>
      <c r="L326" s="166"/>
      <c r="M326" s="166"/>
      <c r="N326" s="166"/>
      <c r="O326" s="166"/>
      <c r="P326" s="166"/>
      <c r="Q326" s="73"/>
      <c r="R326" s="23"/>
      <c r="S326" s="23"/>
      <c r="T326" s="73"/>
      <c r="U326" s="73"/>
      <c r="V326" s="73"/>
    </row>
    <row r="327" spans="2:22" s="72" customFormat="1" ht="11.4" x14ac:dyDescent="0.25">
      <c r="B327" s="165" t="s">
        <v>9572</v>
      </c>
      <c r="C327" s="165"/>
      <c r="D327" s="165"/>
      <c r="E327" s="165"/>
      <c r="F327" s="165"/>
      <c r="G327" s="165"/>
      <c r="H327" s="165"/>
      <c r="I327" s="165"/>
      <c r="J327" s="165"/>
      <c r="K327" s="165"/>
      <c r="L327" s="165"/>
      <c r="M327" s="165"/>
      <c r="N327" s="165"/>
      <c r="O327" s="165"/>
      <c r="P327" s="165"/>
      <c r="Q327" s="75"/>
      <c r="R327" s="75"/>
      <c r="S327" s="75"/>
      <c r="T327" s="75"/>
      <c r="U327" s="75"/>
      <c r="V327" s="75"/>
    </row>
    <row r="328" spans="2:22" s="72" customFormat="1" ht="11.4" x14ac:dyDescent="0.25">
      <c r="B328" s="73" t="s">
        <v>9572</v>
      </c>
      <c r="C328" s="33" t="s">
        <v>534</v>
      </c>
      <c r="D328" s="23" t="s">
        <v>535</v>
      </c>
      <c r="E328" s="73"/>
      <c r="F328" s="73"/>
      <c r="G328" s="73"/>
      <c r="H328" s="73"/>
      <c r="I328" s="73"/>
      <c r="J328" s="33" t="s">
        <v>9374</v>
      </c>
      <c r="K328" s="33" t="s">
        <v>9375</v>
      </c>
      <c r="L328" s="33" t="s">
        <v>121</v>
      </c>
      <c r="M328" s="33" t="s">
        <v>9376</v>
      </c>
      <c r="N328" s="73"/>
      <c r="O328" s="73"/>
      <c r="P328" s="73"/>
      <c r="Q328" s="76"/>
      <c r="R328" s="76"/>
      <c r="S328" s="76"/>
      <c r="T328" s="76"/>
      <c r="U328" s="76"/>
      <c r="V328" s="76"/>
    </row>
    <row r="329" spans="2:22" s="72" customFormat="1" ht="11.4" x14ac:dyDescent="0.25">
      <c r="B329" s="166"/>
      <c r="C329" s="166"/>
      <c r="D329" s="166"/>
      <c r="E329" s="166"/>
      <c r="F329" s="166"/>
      <c r="G329" s="166"/>
      <c r="H329" s="166"/>
      <c r="I329" s="166"/>
      <c r="J329" s="166"/>
      <c r="K329" s="166"/>
      <c r="L329" s="166"/>
      <c r="M329" s="166"/>
      <c r="N329" s="166"/>
      <c r="O329" s="166"/>
      <c r="P329" s="166"/>
      <c r="Q329" s="73"/>
      <c r="R329" s="23"/>
      <c r="S329" s="23"/>
      <c r="T329" s="73"/>
      <c r="U329" s="73"/>
      <c r="V329" s="73"/>
    </row>
    <row r="330" spans="2:22" s="72" customFormat="1" ht="11.4" x14ac:dyDescent="0.25">
      <c r="B330" s="165" t="s">
        <v>9574</v>
      </c>
      <c r="C330" s="165"/>
      <c r="D330" s="165"/>
      <c r="E330" s="165"/>
      <c r="F330" s="165"/>
      <c r="G330" s="165"/>
      <c r="H330" s="165"/>
      <c r="I330" s="165"/>
      <c r="J330" s="165"/>
      <c r="K330" s="165"/>
      <c r="L330" s="165"/>
      <c r="M330" s="165"/>
      <c r="N330" s="165"/>
      <c r="O330" s="165"/>
      <c r="P330" s="165"/>
      <c r="Q330" s="75"/>
      <c r="R330" s="75"/>
      <c r="S330" s="75"/>
      <c r="T330" s="75"/>
      <c r="U330" s="75"/>
      <c r="V330" s="75"/>
    </row>
    <row r="331" spans="2:22" s="72" customFormat="1" ht="11.4" x14ac:dyDescent="0.25">
      <c r="B331" s="73" t="s">
        <v>9574</v>
      </c>
      <c r="C331" s="33" t="s">
        <v>536</v>
      </c>
      <c r="D331" s="23" t="s">
        <v>537</v>
      </c>
      <c r="E331" s="73"/>
      <c r="F331" s="73"/>
      <c r="G331" s="73"/>
      <c r="H331" s="73"/>
      <c r="I331" s="73"/>
      <c r="J331" s="33" t="s">
        <v>9374</v>
      </c>
      <c r="K331" s="33" t="s">
        <v>11016</v>
      </c>
      <c r="L331" s="33" t="s">
        <v>121</v>
      </c>
      <c r="M331" s="33" t="s">
        <v>9376</v>
      </c>
      <c r="N331" s="73"/>
      <c r="O331" s="73"/>
      <c r="P331" s="73"/>
      <c r="Q331" s="76"/>
      <c r="R331" s="76"/>
      <c r="S331" s="76"/>
      <c r="T331" s="76"/>
      <c r="U331" s="76"/>
      <c r="V331" s="76"/>
    </row>
    <row r="332" spans="2:22" s="72" customFormat="1" ht="11.4" x14ac:dyDescent="0.25">
      <c r="B332" s="166"/>
      <c r="C332" s="166"/>
      <c r="D332" s="166"/>
      <c r="E332" s="166"/>
      <c r="F332" s="166"/>
      <c r="G332" s="166"/>
      <c r="H332" s="166"/>
      <c r="I332" s="166"/>
      <c r="J332" s="166"/>
      <c r="K332" s="166"/>
      <c r="L332" s="166"/>
      <c r="M332" s="166"/>
      <c r="N332" s="166"/>
      <c r="O332" s="166"/>
      <c r="P332" s="166"/>
      <c r="Q332" s="73"/>
      <c r="R332" s="23"/>
      <c r="S332" s="23"/>
      <c r="T332" s="73"/>
      <c r="U332" s="73"/>
      <c r="V332" s="73"/>
    </row>
    <row r="333" spans="2:22" s="72" customFormat="1" ht="11.4" x14ac:dyDescent="0.25">
      <c r="B333" s="165" t="s">
        <v>9576</v>
      </c>
      <c r="C333" s="165"/>
      <c r="D333" s="165"/>
      <c r="E333" s="165"/>
      <c r="F333" s="165"/>
      <c r="G333" s="165"/>
      <c r="H333" s="165"/>
      <c r="I333" s="165"/>
      <c r="J333" s="165"/>
      <c r="K333" s="165"/>
      <c r="L333" s="165"/>
      <c r="M333" s="165"/>
      <c r="N333" s="165"/>
      <c r="O333" s="165"/>
      <c r="P333" s="165"/>
      <c r="Q333" s="75"/>
      <c r="R333" s="75"/>
      <c r="S333" s="75"/>
      <c r="T333" s="75"/>
      <c r="U333" s="75"/>
      <c r="V333" s="75"/>
    </row>
    <row r="334" spans="2:22" s="72" customFormat="1" ht="11.4" x14ac:dyDescent="0.25">
      <c r="B334" s="73" t="s">
        <v>9576</v>
      </c>
      <c r="C334" s="33" t="s">
        <v>538</v>
      </c>
      <c r="D334" s="23" t="s">
        <v>539</v>
      </c>
      <c r="E334" s="73"/>
      <c r="F334" s="73"/>
      <c r="G334" s="73"/>
      <c r="H334" s="73"/>
      <c r="I334" s="73"/>
      <c r="J334" s="33" t="s">
        <v>9374</v>
      </c>
      <c r="K334" s="33" t="s">
        <v>11016</v>
      </c>
      <c r="L334" s="33" t="s">
        <v>121</v>
      </c>
      <c r="M334" s="33" t="s">
        <v>9376</v>
      </c>
      <c r="N334" s="73"/>
      <c r="O334" s="73"/>
      <c r="P334" s="73"/>
      <c r="Q334" s="76"/>
      <c r="R334" s="76"/>
      <c r="S334" s="76"/>
      <c r="T334" s="76"/>
      <c r="U334" s="76"/>
      <c r="V334" s="76"/>
    </row>
    <row r="335" spans="2:22" s="72" customFormat="1" ht="11.4" x14ac:dyDescent="0.25">
      <c r="B335" s="166"/>
      <c r="C335" s="166"/>
      <c r="D335" s="166"/>
      <c r="E335" s="166"/>
      <c r="F335" s="166"/>
      <c r="G335" s="166"/>
      <c r="H335" s="166"/>
      <c r="I335" s="166"/>
      <c r="J335" s="166"/>
      <c r="K335" s="166"/>
      <c r="L335" s="166"/>
      <c r="M335" s="166"/>
      <c r="N335" s="166"/>
      <c r="O335" s="166"/>
      <c r="P335" s="166"/>
      <c r="Q335" s="73"/>
      <c r="R335" s="23"/>
      <c r="S335" s="23"/>
      <c r="T335" s="73"/>
      <c r="U335" s="73"/>
      <c r="V335" s="73"/>
    </row>
    <row r="336" spans="2:22" s="72" customFormat="1" ht="11.4" x14ac:dyDescent="0.25">
      <c r="B336" s="165" t="s">
        <v>9578</v>
      </c>
      <c r="C336" s="165"/>
      <c r="D336" s="165"/>
      <c r="E336" s="165"/>
      <c r="F336" s="165"/>
      <c r="G336" s="165"/>
      <c r="H336" s="165"/>
      <c r="I336" s="165"/>
      <c r="J336" s="165"/>
      <c r="K336" s="165"/>
      <c r="L336" s="165"/>
      <c r="M336" s="165"/>
      <c r="N336" s="165"/>
      <c r="O336" s="165"/>
      <c r="P336" s="165"/>
      <c r="Q336" s="75"/>
      <c r="R336" s="75"/>
      <c r="S336" s="75"/>
      <c r="T336" s="75"/>
      <c r="U336" s="75"/>
      <c r="V336" s="75"/>
    </row>
    <row r="337" spans="2:22" s="72" customFormat="1" ht="11.4" x14ac:dyDescent="0.25">
      <c r="B337" s="73" t="s">
        <v>9578</v>
      </c>
      <c r="C337" s="33" t="s">
        <v>540</v>
      </c>
      <c r="D337" s="23" t="s">
        <v>541</v>
      </c>
      <c r="E337" s="73"/>
      <c r="F337" s="73"/>
      <c r="G337" s="73"/>
      <c r="H337" s="73"/>
      <c r="I337" s="73"/>
      <c r="J337" s="33" t="s">
        <v>9374</v>
      </c>
      <c r="K337" s="33" t="s">
        <v>11016</v>
      </c>
      <c r="L337" s="33" t="s">
        <v>121</v>
      </c>
      <c r="M337" s="33" t="s">
        <v>9376</v>
      </c>
      <c r="N337" s="73"/>
      <c r="O337" s="73"/>
      <c r="P337" s="73"/>
      <c r="Q337" s="76"/>
      <c r="R337" s="76"/>
      <c r="S337" s="76"/>
      <c r="T337" s="76"/>
      <c r="U337" s="76"/>
      <c r="V337" s="76"/>
    </row>
    <row r="338" spans="2:22" s="72" customFormat="1" ht="11.4" x14ac:dyDescent="0.25">
      <c r="B338" s="166"/>
      <c r="C338" s="166"/>
      <c r="D338" s="166"/>
      <c r="E338" s="166"/>
      <c r="F338" s="166"/>
      <c r="G338" s="166"/>
      <c r="H338" s="166"/>
      <c r="I338" s="166"/>
      <c r="J338" s="166"/>
      <c r="K338" s="166"/>
      <c r="L338" s="166"/>
      <c r="M338" s="166"/>
      <c r="N338" s="166"/>
      <c r="O338" s="166"/>
      <c r="P338" s="166"/>
      <c r="Q338" s="73"/>
      <c r="R338" s="23"/>
      <c r="S338" s="23"/>
      <c r="T338" s="73"/>
      <c r="U338" s="73"/>
      <c r="V338" s="73"/>
    </row>
    <row r="339" spans="2:22" s="72" customFormat="1" ht="11.4" x14ac:dyDescent="0.25">
      <c r="B339" s="165" t="s">
        <v>9580</v>
      </c>
      <c r="C339" s="165"/>
      <c r="D339" s="165"/>
      <c r="E339" s="165"/>
      <c r="F339" s="165"/>
      <c r="G339" s="165"/>
      <c r="H339" s="165"/>
      <c r="I339" s="165"/>
      <c r="J339" s="165"/>
      <c r="K339" s="165"/>
      <c r="L339" s="165"/>
      <c r="M339" s="165"/>
      <c r="N339" s="165"/>
      <c r="O339" s="165"/>
      <c r="P339" s="165"/>
      <c r="Q339" s="75"/>
      <c r="R339" s="75"/>
      <c r="S339" s="75"/>
      <c r="T339" s="75"/>
      <c r="U339" s="75"/>
      <c r="V339" s="75"/>
    </row>
    <row r="340" spans="2:22" s="72" customFormat="1" ht="11.4" x14ac:dyDescent="0.25">
      <c r="B340" s="73" t="s">
        <v>9580</v>
      </c>
      <c r="C340" s="33" t="s">
        <v>542</v>
      </c>
      <c r="D340" s="23" t="s">
        <v>543</v>
      </c>
      <c r="E340" s="73"/>
      <c r="F340" s="73"/>
      <c r="G340" s="73"/>
      <c r="H340" s="73"/>
      <c r="I340" s="73"/>
      <c r="J340" s="33" t="s">
        <v>9374</v>
      </c>
      <c r="K340" s="33" t="s">
        <v>11016</v>
      </c>
      <c r="L340" s="33" t="s">
        <v>121</v>
      </c>
      <c r="M340" s="33" t="s">
        <v>9376</v>
      </c>
      <c r="N340" s="73"/>
      <c r="O340" s="73"/>
      <c r="P340" s="73"/>
      <c r="Q340" s="76"/>
      <c r="R340" s="76"/>
      <c r="S340" s="76"/>
      <c r="T340" s="76"/>
      <c r="U340" s="76"/>
      <c r="V340" s="76"/>
    </row>
    <row r="341" spans="2:22" s="72" customFormat="1" ht="11.4" x14ac:dyDescent="0.25">
      <c r="B341" s="166"/>
      <c r="C341" s="166"/>
      <c r="D341" s="166"/>
      <c r="E341" s="166"/>
      <c r="F341" s="166"/>
      <c r="G341" s="166"/>
      <c r="H341" s="166"/>
      <c r="I341" s="166"/>
      <c r="J341" s="166"/>
      <c r="K341" s="166"/>
      <c r="L341" s="166"/>
      <c r="M341" s="166"/>
      <c r="N341" s="166"/>
      <c r="O341" s="166"/>
      <c r="P341" s="166"/>
      <c r="Q341" s="73"/>
      <c r="R341" s="23"/>
      <c r="S341" s="23"/>
      <c r="T341" s="73"/>
      <c r="U341" s="73"/>
      <c r="V341" s="73"/>
    </row>
    <row r="342" spans="2:22" s="72" customFormat="1" ht="11.4" x14ac:dyDescent="0.25">
      <c r="B342" s="165" t="s">
        <v>9582</v>
      </c>
      <c r="C342" s="165"/>
      <c r="D342" s="165"/>
      <c r="E342" s="165"/>
      <c r="F342" s="165"/>
      <c r="G342" s="165"/>
      <c r="H342" s="165"/>
      <c r="I342" s="165"/>
      <c r="J342" s="165"/>
      <c r="K342" s="165"/>
      <c r="L342" s="165"/>
      <c r="M342" s="165"/>
      <c r="N342" s="165"/>
      <c r="O342" s="165"/>
      <c r="P342" s="165"/>
      <c r="Q342" s="73"/>
      <c r="R342" s="23"/>
      <c r="S342" s="23"/>
      <c r="T342" s="73"/>
      <c r="U342" s="73"/>
      <c r="V342" s="73"/>
    </row>
    <row r="343" spans="2:22" s="72" customFormat="1" ht="11.4" x14ac:dyDescent="0.25">
      <c r="B343" s="73" t="s">
        <v>9582</v>
      </c>
      <c r="C343" s="33" t="s">
        <v>544</v>
      </c>
      <c r="D343" s="23" t="s">
        <v>545</v>
      </c>
      <c r="E343" s="73"/>
      <c r="F343" s="73"/>
      <c r="G343" s="73"/>
      <c r="H343" s="73"/>
      <c r="I343" s="73"/>
      <c r="J343" s="33" t="s">
        <v>9374</v>
      </c>
      <c r="K343" s="33" t="s">
        <v>11016</v>
      </c>
      <c r="L343" s="33" t="s">
        <v>121</v>
      </c>
      <c r="M343" s="33" t="s">
        <v>9376</v>
      </c>
      <c r="N343" s="73"/>
      <c r="O343" s="73"/>
      <c r="P343" s="73"/>
      <c r="Q343" s="75"/>
      <c r="R343" s="75"/>
      <c r="S343" s="75"/>
      <c r="T343" s="75"/>
      <c r="U343" s="75"/>
      <c r="V343" s="75"/>
    </row>
    <row r="344" spans="2:22" s="72" customFormat="1" ht="11.4" x14ac:dyDescent="0.25">
      <c r="B344" s="166"/>
      <c r="C344" s="166"/>
      <c r="D344" s="166"/>
      <c r="E344" s="166"/>
      <c r="F344" s="166"/>
      <c r="G344" s="166"/>
      <c r="H344" s="166"/>
      <c r="I344" s="166"/>
      <c r="J344" s="166"/>
      <c r="K344" s="166"/>
      <c r="L344" s="166"/>
      <c r="M344" s="166"/>
      <c r="N344" s="166"/>
      <c r="O344" s="166"/>
      <c r="P344" s="166"/>
      <c r="Q344" s="76"/>
      <c r="R344" s="76"/>
      <c r="S344" s="76"/>
      <c r="T344" s="76"/>
      <c r="U344" s="76"/>
      <c r="V344" s="76"/>
    </row>
    <row r="345" spans="2:22" s="72" customFormat="1" ht="11.4" x14ac:dyDescent="0.25">
      <c r="B345" s="165" t="s">
        <v>9584</v>
      </c>
      <c r="C345" s="165"/>
      <c r="D345" s="165"/>
      <c r="E345" s="165"/>
      <c r="F345" s="165"/>
      <c r="G345" s="165"/>
      <c r="H345" s="165"/>
      <c r="I345" s="165"/>
      <c r="J345" s="165"/>
      <c r="K345" s="165"/>
      <c r="L345" s="165"/>
      <c r="M345" s="165"/>
      <c r="N345" s="165"/>
      <c r="O345" s="165"/>
      <c r="P345" s="165"/>
      <c r="Q345" s="73"/>
      <c r="R345" s="23"/>
      <c r="S345" s="23"/>
      <c r="T345" s="73"/>
      <c r="U345" s="73"/>
      <c r="V345" s="73"/>
    </row>
    <row r="346" spans="2:22" s="72" customFormat="1" ht="11.4" x14ac:dyDescent="0.25">
      <c r="B346" s="73" t="s">
        <v>9584</v>
      </c>
      <c r="C346" s="33" t="s">
        <v>546</v>
      </c>
      <c r="D346" s="23" t="s">
        <v>547</v>
      </c>
      <c r="E346" s="73"/>
      <c r="F346" s="73"/>
      <c r="G346" s="73"/>
      <c r="H346" s="73"/>
      <c r="I346" s="73"/>
      <c r="J346" s="33" t="s">
        <v>9374</v>
      </c>
      <c r="K346" s="33" t="s">
        <v>11016</v>
      </c>
      <c r="L346" s="33" t="s">
        <v>121</v>
      </c>
      <c r="M346" s="33" t="s">
        <v>9376</v>
      </c>
      <c r="N346" s="73"/>
      <c r="O346" s="73"/>
      <c r="P346" s="73"/>
      <c r="Q346" s="75"/>
      <c r="R346" s="75"/>
      <c r="S346" s="75"/>
      <c r="T346" s="75"/>
      <c r="U346" s="75"/>
      <c r="V346" s="75"/>
    </row>
    <row r="347" spans="2:22" s="72" customFormat="1" ht="11.4" x14ac:dyDescent="0.25">
      <c r="B347" s="166"/>
      <c r="C347" s="166"/>
      <c r="D347" s="166"/>
      <c r="E347" s="166"/>
      <c r="F347" s="166"/>
      <c r="G347" s="166"/>
      <c r="H347" s="166"/>
      <c r="I347" s="166"/>
      <c r="J347" s="166"/>
      <c r="K347" s="166"/>
      <c r="L347" s="166"/>
      <c r="M347" s="166"/>
      <c r="N347" s="166"/>
      <c r="O347" s="166"/>
      <c r="P347" s="166"/>
      <c r="Q347" s="76"/>
      <c r="R347" s="76"/>
      <c r="S347" s="76"/>
      <c r="T347" s="76"/>
      <c r="U347" s="76"/>
      <c r="V347" s="76"/>
    </row>
    <row r="348" spans="2:22" s="72" customFormat="1" ht="11.4" x14ac:dyDescent="0.25">
      <c r="B348" s="165" t="s">
        <v>9587</v>
      </c>
      <c r="C348" s="165"/>
      <c r="D348" s="165"/>
      <c r="E348" s="165"/>
      <c r="F348" s="165"/>
      <c r="G348" s="165"/>
      <c r="H348" s="165"/>
      <c r="I348" s="165"/>
      <c r="J348" s="165"/>
      <c r="K348" s="165"/>
      <c r="L348" s="165"/>
      <c r="M348" s="165"/>
      <c r="N348" s="165"/>
      <c r="O348" s="165"/>
      <c r="P348" s="165"/>
      <c r="Q348" s="73"/>
      <c r="R348" s="23"/>
      <c r="S348" s="23"/>
      <c r="T348" s="73"/>
      <c r="U348" s="73"/>
      <c r="V348" s="73"/>
    </row>
    <row r="349" spans="2:22" s="72" customFormat="1" ht="11.4" x14ac:dyDescent="0.25">
      <c r="B349" s="73" t="s">
        <v>9587</v>
      </c>
      <c r="C349" s="33" t="s">
        <v>548</v>
      </c>
      <c r="D349" s="23" t="s">
        <v>549</v>
      </c>
      <c r="E349" s="73"/>
      <c r="F349" s="73"/>
      <c r="G349" s="73"/>
      <c r="H349" s="73"/>
      <c r="I349" s="73"/>
      <c r="J349" s="33" t="s">
        <v>9374</v>
      </c>
      <c r="K349" s="33" t="s">
        <v>11016</v>
      </c>
      <c r="L349" s="33" t="s">
        <v>121</v>
      </c>
      <c r="M349" s="33" t="s">
        <v>9376</v>
      </c>
      <c r="N349" s="73"/>
      <c r="O349" s="73"/>
      <c r="P349" s="73"/>
      <c r="Q349" s="73"/>
      <c r="R349" s="23"/>
      <c r="S349" s="23"/>
      <c r="T349" s="73"/>
      <c r="U349" s="73"/>
      <c r="V349" s="73"/>
    </row>
    <row r="350" spans="2:22" s="72" customFormat="1" ht="11.4" x14ac:dyDescent="0.25">
      <c r="B350" s="166"/>
      <c r="C350" s="166"/>
      <c r="D350" s="166"/>
      <c r="E350" s="166"/>
      <c r="F350" s="166"/>
      <c r="G350" s="166"/>
      <c r="H350" s="166"/>
      <c r="I350" s="166"/>
      <c r="J350" s="166"/>
      <c r="K350" s="166"/>
      <c r="L350" s="166"/>
      <c r="M350" s="166"/>
      <c r="N350" s="166"/>
      <c r="O350" s="166"/>
      <c r="P350" s="166"/>
      <c r="Q350" s="75"/>
      <c r="R350" s="75"/>
      <c r="S350" s="75"/>
      <c r="T350" s="75"/>
      <c r="U350" s="75"/>
      <c r="V350" s="75"/>
    </row>
    <row r="351" spans="2:22" s="72" customFormat="1" ht="11.4" x14ac:dyDescent="0.25">
      <c r="B351" s="165" t="s">
        <v>9589</v>
      </c>
      <c r="C351" s="165"/>
      <c r="D351" s="165"/>
      <c r="E351" s="165"/>
      <c r="F351" s="165"/>
      <c r="G351" s="165"/>
      <c r="H351" s="165"/>
      <c r="I351" s="165"/>
      <c r="J351" s="165"/>
      <c r="K351" s="165"/>
      <c r="L351" s="165"/>
      <c r="M351" s="165"/>
      <c r="N351" s="165"/>
      <c r="O351" s="165"/>
      <c r="P351" s="165"/>
      <c r="Q351" s="76"/>
      <c r="R351" s="76"/>
      <c r="S351" s="76"/>
      <c r="T351" s="76"/>
      <c r="U351" s="76"/>
      <c r="V351" s="76"/>
    </row>
    <row r="352" spans="2:22" s="72" customFormat="1" ht="11.4" x14ac:dyDescent="0.25">
      <c r="B352" s="73" t="s">
        <v>9589</v>
      </c>
      <c r="C352" s="33" t="s">
        <v>550</v>
      </c>
      <c r="D352" s="23" t="s">
        <v>551</v>
      </c>
      <c r="E352" s="73"/>
      <c r="F352" s="73"/>
      <c r="G352" s="73"/>
      <c r="H352" s="73"/>
      <c r="I352" s="73"/>
      <c r="J352" s="33" t="s">
        <v>9374</v>
      </c>
      <c r="K352" s="33" t="s">
        <v>11016</v>
      </c>
      <c r="L352" s="33" t="s">
        <v>121</v>
      </c>
      <c r="M352" s="33" t="s">
        <v>9376</v>
      </c>
      <c r="N352" s="73"/>
      <c r="O352" s="73"/>
      <c r="P352" s="73"/>
      <c r="Q352" s="73"/>
      <c r="R352" s="23"/>
      <c r="S352" s="23"/>
      <c r="T352" s="73"/>
      <c r="U352" s="73"/>
      <c r="V352" s="73"/>
    </row>
    <row r="353" spans="2:22" s="72" customFormat="1" ht="11.4" x14ac:dyDescent="0.25">
      <c r="B353" s="166"/>
      <c r="C353" s="166"/>
      <c r="D353" s="166"/>
      <c r="E353" s="166"/>
      <c r="F353" s="166"/>
      <c r="G353" s="166"/>
      <c r="H353" s="166"/>
      <c r="I353" s="166"/>
      <c r="J353" s="166"/>
      <c r="K353" s="166"/>
      <c r="L353" s="166"/>
      <c r="M353" s="166"/>
      <c r="N353" s="166"/>
      <c r="O353" s="166"/>
      <c r="P353" s="166"/>
      <c r="Q353" s="73"/>
      <c r="R353" s="23"/>
      <c r="S353" s="23"/>
      <c r="T353" s="73"/>
      <c r="U353" s="73"/>
      <c r="V353" s="73"/>
    </row>
    <row r="354" spans="2:22" s="72" customFormat="1" ht="11.4" x14ac:dyDescent="0.25">
      <c r="B354" s="165" t="s">
        <v>9591</v>
      </c>
      <c r="C354" s="165"/>
      <c r="D354" s="165"/>
      <c r="E354" s="165"/>
      <c r="F354" s="165"/>
      <c r="G354" s="165"/>
      <c r="H354" s="165"/>
      <c r="I354" s="165"/>
      <c r="J354" s="165"/>
      <c r="K354" s="165"/>
      <c r="L354" s="165"/>
      <c r="M354" s="165"/>
      <c r="N354" s="165"/>
      <c r="O354" s="165"/>
      <c r="P354" s="165"/>
      <c r="Q354" s="75"/>
      <c r="R354" s="75"/>
      <c r="S354" s="75"/>
      <c r="T354" s="75"/>
      <c r="U354" s="75"/>
      <c r="V354" s="75"/>
    </row>
    <row r="355" spans="2:22" s="72" customFormat="1" ht="11.4" x14ac:dyDescent="0.25">
      <c r="B355" s="73" t="s">
        <v>9591</v>
      </c>
      <c r="C355" s="33" t="s">
        <v>552</v>
      </c>
      <c r="D355" s="23" t="s">
        <v>553</v>
      </c>
      <c r="E355" s="73"/>
      <c r="F355" s="73"/>
      <c r="G355" s="73"/>
      <c r="H355" s="73"/>
      <c r="I355" s="73"/>
      <c r="J355" s="33" t="s">
        <v>9374</v>
      </c>
      <c r="K355" s="33" t="s">
        <v>11016</v>
      </c>
      <c r="L355" s="33" t="s">
        <v>121</v>
      </c>
      <c r="M355" s="33" t="s">
        <v>9376</v>
      </c>
      <c r="N355" s="73"/>
      <c r="O355" s="73"/>
      <c r="P355" s="73"/>
      <c r="Q355" s="76"/>
      <c r="R355" s="76"/>
      <c r="S355" s="76"/>
      <c r="T355" s="76"/>
      <c r="U355" s="76"/>
      <c r="V355" s="76"/>
    </row>
    <row r="356" spans="2:22" s="72" customFormat="1" ht="20.399999999999999" x14ac:dyDescent="0.25">
      <c r="B356" s="166"/>
      <c r="C356" s="166"/>
      <c r="D356" s="166"/>
      <c r="E356" s="166"/>
      <c r="F356" s="166"/>
      <c r="G356" s="166"/>
      <c r="H356" s="166"/>
      <c r="I356" s="166"/>
      <c r="J356" s="166"/>
      <c r="K356" s="166"/>
      <c r="L356" s="166"/>
      <c r="M356" s="166"/>
      <c r="N356" s="166"/>
      <c r="O356" s="166"/>
      <c r="P356" s="166"/>
      <c r="Q356" s="73" t="s">
        <v>11037</v>
      </c>
      <c r="R356" s="23"/>
      <c r="S356" s="23"/>
      <c r="T356" s="73"/>
      <c r="U356" s="73"/>
      <c r="V356" s="73"/>
    </row>
    <row r="357" spans="2:22" s="72" customFormat="1" ht="11.4" x14ac:dyDescent="0.25">
      <c r="B357" s="165" t="s">
        <v>9593</v>
      </c>
      <c r="C357" s="165"/>
      <c r="D357" s="165"/>
      <c r="E357" s="165"/>
      <c r="F357" s="165"/>
      <c r="G357" s="165"/>
      <c r="H357" s="165"/>
      <c r="I357" s="165"/>
      <c r="J357" s="165"/>
      <c r="K357" s="165"/>
      <c r="L357" s="165"/>
      <c r="M357" s="165"/>
      <c r="N357" s="165"/>
      <c r="O357" s="165"/>
      <c r="P357" s="165"/>
      <c r="Q357" s="73"/>
      <c r="R357" s="23"/>
      <c r="S357" s="23"/>
      <c r="T357" s="73"/>
      <c r="U357" s="73"/>
      <c r="V357" s="73"/>
    </row>
    <row r="358" spans="2:22" s="72" customFormat="1" ht="11.4" x14ac:dyDescent="0.25">
      <c r="B358" s="73" t="s">
        <v>9593</v>
      </c>
      <c r="C358" s="33" t="s">
        <v>554</v>
      </c>
      <c r="D358" s="23" t="s">
        <v>555</v>
      </c>
      <c r="E358" s="73"/>
      <c r="F358" s="73"/>
      <c r="G358" s="73"/>
      <c r="H358" s="73"/>
      <c r="I358" s="73"/>
      <c r="J358" s="33" t="s">
        <v>9374</v>
      </c>
      <c r="K358" s="33" t="s">
        <v>9375</v>
      </c>
      <c r="L358" s="33" t="s">
        <v>121</v>
      </c>
      <c r="M358" s="33" t="s">
        <v>9376</v>
      </c>
      <c r="N358" s="73"/>
      <c r="O358" s="73"/>
      <c r="P358" s="73"/>
      <c r="Q358" s="75"/>
      <c r="R358" s="75"/>
      <c r="S358" s="75"/>
      <c r="T358" s="75"/>
      <c r="U358" s="75"/>
      <c r="V358" s="75"/>
    </row>
    <row r="359" spans="2:22" s="72" customFormat="1" ht="11.4" x14ac:dyDescent="0.25">
      <c r="B359" s="166"/>
      <c r="C359" s="166"/>
      <c r="D359" s="166"/>
      <c r="E359" s="166"/>
      <c r="F359" s="166"/>
      <c r="G359" s="166"/>
      <c r="H359" s="166"/>
      <c r="I359" s="166"/>
      <c r="J359" s="166"/>
      <c r="K359" s="166"/>
      <c r="L359" s="166"/>
      <c r="M359" s="166"/>
      <c r="N359" s="166"/>
      <c r="O359" s="166"/>
      <c r="P359" s="166"/>
      <c r="Q359" s="76"/>
      <c r="R359" s="76"/>
      <c r="S359" s="76"/>
      <c r="T359" s="76"/>
      <c r="U359" s="76"/>
      <c r="V359" s="76"/>
    </row>
    <row r="360" spans="2:22" s="72" customFormat="1" ht="11.4" x14ac:dyDescent="0.25">
      <c r="B360" s="165" t="s">
        <v>9596</v>
      </c>
      <c r="C360" s="165"/>
      <c r="D360" s="165"/>
      <c r="E360" s="165"/>
      <c r="F360" s="165"/>
      <c r="G360" s="165"/>
      <c r="H360" s="165"/>
      <c r="I360" s="165"/>
      <c r="J360" s="165"/>
      <c r="K360" s="165"/>
      <c r="L360" s="165"/>
      <c r="M360" s="165"/>
      <c r="N360" s="165"/>
      <c r="O360" s="165"/>
      <c r="P360" s="165"/>
      <c r="Q360" s="73"/>
      <c r="R360" s="23"/>
      <c r="S360" s="23"/>
      <c r="T360" s="73"/>
      <c r="U360" s="73"/>
      <c r="V360" s="73"/>
    </row>
    <row r="361" spans="2:22" s="72" customFormat="1" ht="11.4" x14ac:dyDescent="0.25">
      <c r="B361" s="73" t="s">
        <v>9596</v>
      </c>
      <c r="C361" s="33" t="s">
        <v>556</v>
      </c>
      <c r="D361" s="23" t="s">
        <v>557</v>
      </c>
      <c r="E361" s="73"/>
      <c r="F361" s="73"/>
      <c r="G361" s="73"/>
      <c r="H361" s="73"/>
      <c r="I361" s="73"/>
      <c r="J361" s="33" t="s">
        <v>9374</v>
      </c>
      <c r="K361" s="33" t="s">
        <v>11016</v>
      </c>
      <c r="L361" s="33" t="s">
        <v>121</v>
      </c>
      <c r="M361" s="33" t="s">
        <v>9376</v>
      </c>
      <c r="N361" s="73"/>
      <c r="O361" s="73"/>
      <c r="P361" s="73"/>
      <c r="Q361" s="75"/>
      <c r="R361" s="75"/>
      <c r="S361" s="75"/>
      <c r="T361" s="75"/>
      <c r="U361" s="75"/>
      <c r="V361" s="75"/>
    </row>
    <row r="362" spans="2:22" s="72" customFormat="1" ht="20.399999999999999" x14ac:dyDescent="0.25">
      <c r="B362" s="73" t="s">
        <v>9596</v>
      </c>
      <c r="C362" s="33" t="s">
        <v>1684</v>
      </c>
      <c r="D362" s="23" t="s">
        <v>1685</v>
      </c>
      <c r="E362" s="73" t="s">
        <v>11038</v>
      </c>
      <c r="F362" s="73" t="s">
        <v>10902</v>
      </c>
      <c r="G362" s="73"/>
      <c r="H362" s="73" t="s">
        <v>11039</v>
      </c>
      <c r="I362" s="73" t="s">
        <v>11040</v>
      </c>
      <c r="J362" s="33" t="s">
        <v>9374</v>
      </c>
      <c r="K362" s="33" t="s">
        <v>11016</v>
      </c>
      <c r="L362" s="33" t="s">
        <v>121</v>
      </c>
      <c r="M362" s="33" t="s">
        <v>9376</v>
      </c>
      <c r="N362" s="73"/>
      <c r="O362" s="73"/>
      <c r="P362" s="73"/>
      <c r="Q362" s="76"/>
      <c r="R362" s="76"/>
      <c r="S362" s="76"/>
      <c r="T362" s="76"/>
      <c r="U362" s="76"/>
      <c r="V362" s="76"/>
    </row>
    <row r="363" spans="2:22" s="72" customFormat="1" ht="11.4" x14ac:dyDescent="0.25">
      <c r="B363" s="166"/>
      <c r="C363" s="166"/>
      <c r="D363" s="166"/>
      <c r="E363" s="166"/>
      <c r="F363" s="166"/>
      <c r="G363" s="166"/>
      <c r="H363" s="166"/>
      <c r="I363" s="166"/>
      <c r="J363" s="166"/>
      <c r="K363" s="166"/>
      <c r="L363" s="166"/>
      <c r="M363" s="166"/>
      <c r="N363" s="166"/>
      <c r="O363" s="166"/>
      <c r="P363" s="166"/>
      <c r="Q363" s="73"/>
      <c r="R363" s="23"/>
      <c r="S363" s="23"/>
      <c r="T363" s="73"/>
      <c r="U363" s="73"/>
      <c r="V363" s="73"/>
    </row>
    <row r="364" spans="2:22" s="72" customFormat="1" ht="11.4" x14ac:dyDescent="0.25">
      <c r="B364" s="165" t="s">
        <v>9598</v>
      </c>
      <c r="C364" s="165"/>
      <c r="D364" s="165"/>
      <c r="E364" s="165"/>
      <c r="F364" s="165"/>
      <c r="G364" s="165"/>
      <c r="H364" s="165"/>
      <c r="I364" s="165"/>
      <c r="J364" s="165"/>
      <c r="K364" s="165"/>
      <c r="L364" s="165"/>
      <c r="M364" s="165"/>
      <c r="N364" s="165"/>
      <c r="O364" s="165"/>
      <c r="P364" s="165"/>
      <c r="Q364" s="73"/>
      <c r="R364" s="23"/>
      <c r="S364" s="23"/>
      <c r="T364" s="73"/>
      <c r="U364" s="73"/>
      <c r="V364" s="73"/>
    </row>
    <row r="365" spans="2:22" s="72" customFormat="1" ht="11.4" x14ac:dyDescent="0.25">
      <c r="B365" s="73" t="s">
        <v>9598</v>
      </c>
      <c r="C365" s="33" t="s">
        <v>558</v>
      </c>
      <c r="D365" s="23" t="s">
        <v>559</v>
      </c>
      <c r="E365" s="73"/>
      <c r="F365" s="73"/>
      <c r="G365" s="73"/>
      <c r="H365" s="73"/>
      <c r="I365" s="73"/>
      <c r="J365" s="33" t="s">
        <v>9374</v>
      </c>
      <c r="K365" s="33" t="s">
        <v>11016</v>
      </c>
      <c r="L365" s="33" t="s">
        <v>121</v>
      </c>
      <c r="M365" s="33" t="s">
        <v>9376</v>
      </c>
      <c r="N365" s="73"/>
      <c r="O365" s="73"/>
      <c r="P365" s="73"/>
      <c r="Q365" s="75"/>
      <c r="R365" s="75"/>
      <c r="S365" s="75"/>
      <c r="T365" s="75"/>
      <c r="U365" s="75"/>
      <c r="V365" s="75"/>
    </row>
    <row r="366" spans="2:22" s="72" customFormat="1" ht="11.4" x14ac:dyDescent="0.25">
      <c r="B366" s="166"/>
      <c r="C366" s="166"/>
      <c r="D366" s="166"/>
      <c r="E366" s="166"/>
      <c r="F366" s="166"/>
      <c r="G366" s="166"/>
      <c r="H366" s="166"/>
      <c r="I366" s="166"/>
      <c r="J366" s="166"/>
      <c r="K366" s="166"/>
      <c r="L366" s="166"/>
      <c r="M366" s="166"/>
      <c r="N366" s="166"/>
      <c r="O366" s="166"/>
      <c r="P366" s="166"/>
      <c r="Q366" s="76"/>
      <c r="R366" s="76"/>
      <c r="S366" s="76"/>
      <c r="T366" s="76"/>
      <c r="U366" s="76"/>
      <c r="V366" s="76"/>
    </row>
    <row r="367" spans="2:22" s="72" customFormat="1" ht="11.4" x14ac:dyDescent="0.25">
      <c r="B367" s="165" t="s">
        <v>9600</v>
      </c>
      <c r="C367" s="165"/>
      <c r="D367" s="165"/>
      <c r="E367" s="165"/>
      <c r="F367" s="165"/>
      <c r="G367" s="165"/>
      <c r="H367" s="165"/>
      <c r="I367" s="165"/>
      <c r="J367" s="165"/>
      <c r="K367" s="165"/>
      <c r="L367" s="165"/>
      <c r="M367" s="165"/>
      <c r="N367" s="165"/>
      <c r="O367" s="165"/>
      <c r="P367" s="165"/>
      <c r="Q367" s="73"/>
      <c r="R367" s="23"/>
      <c r="S367" s="23"/>
      <c r="T367" s="73"/>
      <c r="U367" s="73"/>
      <c r="V367" s="73"/>
    </row>
    <row r="368" spans="2:22" s="72" customFormat="1" ht="11.4" x14ac:dyDescent="0.25">
      <c r="B368" s="73" t="s">
        <v>9600</v>
      </c>
      <c r="C368" s="33" t="s">
        <v>560</v>
      </c>
      <c r="D368" s="23" t="s">
        <v>561</v>
      </c>
      <c r="E368" s="73"/>
      <c r="F368" s="73"/>
      <c r="G368" s="73"/>
      <c r="H368" s="73"/>
      <c r="I368" s="73"/>
      <c r="J368" s="33" t="s">
        <v>9374</v>
      </c>
      <c r="K368" s="33" t="s">
        <v>11016</v>
      </c>
      <c r="L368" s="33" t="s">
        <v>121</v>
      </c>
      <c r="M368" s="33" t="s">
        <v>9376</v>
      </c>
      <c r="N368" s="73"/>
      <c r="O368" s="73"/>
      <c r="P368" s="73"/>
      <c r="Q368" s="73"/>
      <c r="R368" s="23"/>
      <c r="S368" s="23"/>
      <c r="T368" s="73"/>
      <c r="U368" s="73"/>
      <c r="V368" s="73"/>
    </row>
    <row r="369" spans="2:22" s="72" customFormat="1" ht="20.399999999999999" x14ac:dyDescent="0.25">
      <c r="B369" s="73" t="s">
        <v>9600</v>
      </c>
      <c r="C369" s="33" t="s">
        <v>1691</v>
      </c>
      <c r="D369" s="23" t="s">
        <v>1692</v>
      </c>
      <c r="E369" s="73" t="s">
        <v>11041</v>
      </c>
      <c r="F369" s="73" t="s">
        <v>10902</v>
      </c>
      <c r="G369" s="73"/>
      <c r="H369" s="73" t="s">
        <v>10917</v>
      </c>
      <c r="I369" s="73" t="s">
        <v>11042</v>
      </c>
      <c r="J369" s="33" t="s">
        <v>9374</v>
      </c>
      <c r="K369" s="33" t="s">
        <v>11016</v>
      </c>
      <c r="L369" s="33" t="s">
        <v>121</v>
      </c>
      <c r="M369" s="33" t="s">
        <v>9376</v>
      </c>
      <c r="N369" s="73"/>
      <c r="O369" s="73"/>
      <c r="P369" s="73"/>
      <c r="Q369" s="75"/>
      <c r="R369" s="75"/>
      <c r="S369" s="75"/>
      <c r="T369" s="75"/>
      <c r="U369" s="75"/>
      <c r="V369" s="75"/>
    </row>
    <row r="370" spans="2:22" s="72" customFormat="1" ht="11.4" x14ac:dyDescent="0.25">
      <c r="B370" s="166"/>
      <c r="C370" s="166"/>
      <c r="D370" s="166"/>
      <c r="E370" s="166"/>
      <c r="F370" s="166"/>
      <c r="G370" s="166"/>
      <c r="H370" s="166"/>
      <c r="I370" s="166"/>
      <c r="J370" s="166"/>
      <c r="K370" s="166"/>
      <c r="L370" s="166"/>
      <c r="M370" s="166"/>
      <c r="N370" s="166"/>
      <c r="O370" s="166"/>
      <c r="P370" s="166"/>
      <c r="Q370" s="76"/>
      <c r="R370" s="76"/>
      <c r="S370" s="76"/>
      <c r="T370" s="76"/>
      <c r="U370" s="76"/>
      <c r="V370" s="76"/>
    </row>
    <row r="371" spans="2:22" s="72" customFormat="1" ht="11.4" x14ac:dyDescent="0.25">
      <c r="B371" s="165" t="s">
        <v>9601</v>
      </c>
      <c r="C371" s="165"/>
      <c r="D371" s="165"/>
      <c r="E371" s="165"/>
      <c r="F371" s="165"/>
      <c r="G371" s="165"/>
      <c r="H371" s="165"/>
      <c r="I371" s="165"/>
      <c r="J371" s="165"/>
      <c r="K371" s="165"/>
      <c r="L371" s="165"/>
      <c r="M371" s="165"/>
      <c r="N371" s="165"/>
      <c r="O371" s="165"/>
      <c r="P371" s="165"/>
      <c r="Q371" s="73"/>
      <c r="R371" s="23"/>
      <c r="S371" s="23"/>
      <c r="T371" s="73"/>
      <c r="U371" s="73"/>
      <c r="V371" s="73"/>
    </row>
    <row r="372" spans="2:22" s="72" customFormat="1" ht="11.4" x14ac:dyDescent="0.25">
      <c r="B372" s="73" t="s">
        <v>9601</v>
      </c>
      <c r="C372" s="33" t="s">
        <v>562</v>
      </c>
      <c r="D372" s="23" t="s">
        <v>563</v>
      </c>
      <c r="E372" s="73"/>
      <c r="F372" s="73"/>
      <c r="G372" s="73"/>
      <c r="H372" s="73"/>
      <c r="I372" s="73"/>
      <c r="J372" s="33" t="s">
        <v>9374</v>
      </c>
      <c r="K372" s="33" t="s">
        <v>11016</v>
      </c>
      <c r="L372" s="33" t="s">
        <v>121</v>
      </c>
      <c r="M372" s="33" t="s">
        <v>9376</v>
      </c>
      <c r="N372" s="73"/>
      <c r="O372" s="73"/>
      <c r="P372" s="73"/>
      <c r="Q372" s="73"/>
      <c r="R372" s="23"/>
      <c r="S372" s="23"/>
      <c r="T372" s="73"/>
      <c r="U372" s="73"/>
      <c r="V372" s="73"/>
    </row>
    <row r="373" spans="2:22" s="72" customFormat="1" ht="11.4" x14ac:dyDescent="0.25">
      <c r="B373" s="166"/>
      <c r="C373" s="166"/>
      <c r="D373" s="166"/>
      <c r="E373" s="166"/>
      <c r="F373" s="166"/>
      <c r="G373" s="166"/>
      <c r="H373" s="166"/>
      <c r="I373" s="166"/>
      <c r="J373" s="166"/>
      <c r="K373" s="166"/>
      <c r="L373" s="166"/>
      <c r="M373" s="166"/>
      <c r="N373" s="166"/>
      <c r="O373" s="166"/>
      <c r="P373" s="166"/>
      <c r="Q373" s="75"/>
      <c r="R373" s="75"/>
      <c r="S373" s="75"/>
      <c r="T373" s="75"/>
      <c r="U373" s="75"/>
      <c r="V373" s="75"/>
    </row>
    <row r="374" spans="2:22" s="72" customFormat="1" ht="11.4" x14ac:dyDescent="0.25">
      <c r="B374" s="165" t="s">
        <v>9604</v>
      </c>
      <c r="C374" s="165"/>
      <c r="D374" s="165"/>
      <c r="E374" s="165"/>
      <c r="F374" s="165"/>
      <c r="G374" s="165"/>
      <c r="H374" s="165"/>
      <c r="I374" s="165"/>
      <c r="J374" s="165"/>
      <c r="K374" s="165"/>
      <c r="L374" s="165"/>
      <c r="M374" s="165"/>
      <c r="N374" s="165"/>
      <c r="O374" s="165"/>
      <c r="P374" s="165"/>
      <c r="Q374" s="76"/>
      <c r="R374" s="76"/>
      <c r="S374" s="76"/>
      <c r="T374" s="76"/>
      <c r="U374" s="76"/>
      <c r="V374" s="76"/>
    </row>
    <row r="375" spans="2:22" s="72" customFormat="1" ht="11.4" x14ac:dyDescent="0.25">
      <c r="B375" s="73" t="s">
        <v>9604</v>
      </c>
      <c r="C375" s="33" t="s">
        <v>564</v>
      </c>
      <c r="D375" s="23" t="s">
        <v>565</v>
      </c>
      <c r="E375" s="73"/>
      <c r="F375" s="73"/>
      <c r="G375" s="73"/>
      <c r="H375" s="73"/>
      <c r="I375" s="73"/>
      <c r="J375" s="33" t="s">
        <v>9374</v>
      </c>
      <c r="K375" s="33" t="s">
        <v>9375</v>
      </c>
      <c r="L375" s="33" t="s">
        <v>121</v>
      </c>
      <c r="M375" s="33" t="s">
        <v>9376</v>
      </c>
      <c r="N375" s="73"/>
      <c r="O375" s="73"/>
      <c r="P375" s="73"/>
      <c r="Q375" s="73"/>
      <c r="R375" s="23"/>
      <c r="S375" s="23"/>
      <c r="T375" s="73"/>
      <c r="U375" s="73"/>
      <c r="V375" s="73"/>
    </row>
    <row r="376" spans="2:22" s="72" customFormat="1" ht="11.4" x14ac:dyDescent="0.25">
      <c r="B376" s="166"/>
      <c r="C376" s="166"/>
      <c r="D376" s="166"/>
      <c r="E376" s="166"/>
      <c r="F376" s="166"/>
      <c r="G376" s="166"/>
      <c r="H376" s="166"/>
      <c r="I376" s="166"/>
      <c r="J376" s="166"/>
      <c r="K376" s="166"/>
      <c r="L376" s="166"/>
      <c r="M376" s="166"/>
      <c r="N376" s="166"/>
      <c r="O376" s="166"/>
      <c r="P376" s="166"/>
      <c r="Q376" s="73"/>
      <c r="R376" s="23"/>
      <c r="S376" s="23"/>
      <c r="T376" s="73"/>
      <c r="U376" s="73"/>
      <c r="V376" s="73"/>
    </row>
    <row r="377" spans="2:22" s="72" customFormat="1" ht="11.4" x14ac:dyDescent="0.25">
      <c r="B377" s="165" t="s">
        <v>9607</v>
      </c>
      <c r="C377" s="165"/>
      <c r="D377" s="165"/>
      <c r="E377" s="165"/>
      <c r="F377" s="165"/>
      <c r="G377" s="165"/>
      <c r="H377" s="165"/>
      <c r="I377" s="165"/>
      <c r="J377" s="165"/>
      <c r="K377" s="165"/>
      <c r="L377" s="165"/>
      <c r="M377" s="165"/>
      <c r="N377" s="165"/>
      <c r="O377" s="165"/>
      <c r="P377" s="165"/>
      <c r="Q377" s="75"/>
      <c r="R377" s="75"/>
      <c r="S377" s="75"/>
      <c r="T377" s="75"/>
      <c r="U377" s="75"/>
      <c r="V377" s="75"/>
    </row>
    <row r="378" spans="2:22" s="72" customFormat="1" ht="11.4" x14ac:dyDescent="0.25">
      <c r="B378" s="73" t="s">
        <v>9607</v>
      </c>
      <c r="C378" s="33" t="s">
        <v>566</v>
      </c>
      <c r="D378" s="23" t="s">
        <v>567</v>
      </c>
      <c r="E378" s="73"/>
      <c r="F378" s="73"/>
      <c r="G378" s="73"/>
      <c r="H378" s="73"/>
      <c r="I378" s="73"/>
      <c r="J378" s="33" t="s">
        <v>9374</v>
      </c>
      <c r="K378" s="33" t="s">
        <v>11016</v>
      </c>
      <c r="L378" s="33" t="s">
        <v>121</v>
      </c>
      <c r="M378" s="33" t="s">
        <v>9376</v>
      </c>
      <c r="N378" s="73"/>
      <c r="O378" s="73"/>
      <c r="P378" s="73"/>
      <c r="Q378" s="76"/>
      <c r="R378" s="76"/>
      <c r="S378" s="76"/>
      <c r="T378" s="76"/>
      <c r="U378" s="76"/>
      <c r="V378" s="76"/>
    </row>
    <row r="379" spans="2:22" s="72" customFormat="1" ht="11.4" x14ac:dyDescent="0.25">
      <c r="B379" s="166"/>
      <c r="C379" s="166"/>
      <c r="D379" s="166"/>
      <c r="E379" s="166"/>
      <c r="F379" s="166"/>
      <c r="G379" s="166"/>
      <c r="H379" s="166"/>
      <c r="I379" s="166"/>
      <c r="J379" s="166"/>
      <c r="K379" s="166"/>
      <c r="L379" s="166"/>
      <c r="M379" s="166"/>
      <c r="N379" s="166"/>
      <c r="O379" s="166"/>
      <c r="P379" s="166"/>
      <c r="Q379" s="73"/>
      <c r="R379" s="23"/>
      <c r="S379" s="23"/>
      <c r="T379" s="73"/>
      <c r="U379" s="73"/>
      <c r="V379" s="73"/>
    </row>
    <row r="380" spans="2:22" s="72" customFormat="1" ht="11.4" x14ac:dyDescent="0.25">
      <c r="B380" s="165" t="s">
        <v>9608</v>
      </c>
      <c r="C380" s="165"/>
      <c r="D380" s="165"/>
      <c r="E380" s="165"/>
      <c r="F380" s="165"/>
      <c r="G380" s="165"/>
      <c r="H380" s="165"/>
      <c r="I380" s="165"/>
      <c r="J380" s="165"/>
      <c r="K380" s="165"/>
      <c r="L380" s="165"/>
      <c r="M380" s="165"/>
      <c r="N380" s="165"/>
      <c r="O380" s="165"/>
      <c r="P380" s="165"/>
      <c r="Q380" s="75"/>
      <c r="R380" s="75"/>
      <c r="S380" s="75"/>
      <c r="T380" s="75"/>
      <c r="U380" s="75"/>
      <c r="V380" s="75"/>
    </row>
    <row r="381" spans="2:22" s="72" customFormat="1" ht="11.4" x14ac:dyDescent="0.25">
      <c r="B381" s="73" t="s">
        <v>9608</v>
      </c>
      <c r="C381" s="33" t="s">
        <v>568</v>
      </c>
      <c r="D381" s="23" t="s">
        <v>569</v>
      </c>
      <c r="E381" s="73"/>
      <c r="F381" s="73"/>
      <c r="G381" s="73"/>
      <c r="H381" s="73"/>
      <c r="I381" s="73"/>
      <c r="J381" s="33" t="s">
        <v>9374</v>
      </c>
      <c r="K381" s="33" t="s">
        <v>11016</v>
      </c>
      <c r="L381" s="33" t="s">
        <v>121</v>
      </c>
      <c r="M381" s="33" t="s">
        <v>9376</v>
      </c>
      <c r="N381" s="73"/>
      <c r="O381" s="73"/>
      <c r="P381" s="73"/>
      <c r="Q381" s="76"/>
      <c r="R381" s="76"/>
      <c r="S381" s="76"/>
      <c r="T381" s="76"/>
      <c r="U381" s="76"/>
      <c r="V381" s="76"/>
    </row>
    <row r="382" spans="2:22" s="72" customFormat="1" ht="11.4" x14ac:dyDescent="0.25">
      <c r="B382" s="166"/>
      <c r="C382" s="166"/>
      <c r="D382" s="166"/>
      <c r="E382" s="166"/>
      <c r="F382" s="166"/>
      <c r="G382" s="166"/>
      <c r="H382" s="166"/>
      <c r="I382" s="166"/>
      <c r="J382" s="166"/>
      <c r="K382" s="166"/>
      <c r="L382" s="166"/>
      <c r="M382" s="166"/>
      <c r="N382" s="166"/>
      <c r="O382" s="166"/>
      <c r="P382" s="166"/>
      <c r="Q382" s="73"/>
      <c r="R382" s="23"/>
      <c r="S382" s="23"/>
      <c r="T382" s="73"/>
      <c r="U382" s="73"/>
      <c r="V382" s="73"/>
    </row>
    <row r="383" spans="2:22" s="72" customFormat="1" ht="11.4" x14ac:dyDescent="0.25">
      <c r="B383" s="165" t="s">
        <v>9610</v>
      </c>
      <c r="C383" s="165"/>
      <c r="D383" s="165"/>
      <c r="E383" s="165"/>
      <c r="F383" s="165"/>
      <c r="G383" s="165"/>
      <c r="H383" s="165"/>
      <c r="I383" s="165"/>
      <c r="J383" s="165"/>
      <c r="K383" s="165"/>
      <c r="L383" s="165"/>
      <c r="M383" s="165"/>
      <c r="N383" s="165"/>
      <c r="O383" s="165"/>
      <c r="P383" s="165"/>
      <c r="Q383" s="75"/>
      <c r="R383" s="75"/>
      <c r="S383" s="75"/>
      <c r="T383" s="75"/>
      <c r="U383" s="75"/>
      <c r="V383" s="75"/>
    </row>
    <row r="384" spans="2:22" s="72" customFormat="1" ht="11.4" x14ac:dyDescent="0.25">
      <c r="B384" s="73" t="s">
        <v>9610</v>
      </c>
      <c r="C384" s="33" t="s">
        <v>570</v>
      </c>
      <c r="D384" s="23" t="s">
        <v>571</v>
      </c>
      <c r="E384" s="73"/>
      <c r="F384" s="73"/>
      <c r="G384" s="73"/>
      <c r="H384" s="73"/>
      <c r="I384" s="73"/>
      <c r="J384" s="33" t="s">
        <v>9374</v>
      </c>
      <c r="K384" s="33" t="s">
        <v>11016</v>
      </c>
      <c r="L384" s="33" t="s">
        <v>121</v>
      </c>
      <c r="M384" s="33" t="s">
        <v>9376</v>
      </c>
      <c r="N384" s="73"/>
      <c r="O384" s="73"/>
      <c r="P384" s="73"/>
      <c r="Q384" s="76"/>
      <c r="R384" s="76"/>
      <c r="S384" s="76"/>
      <c r="T384" s="76"/>
      <c r="U384" s="76"/>
      <c r="V384" s="76"/>
    </row>
    <row r="385" spans="2:22" s="72" customFormat="1" ht="11.4" x14ac:dyDescent="0.25">
      <c r="B385" s="166"/>
      <c r="C385" s="166"/>
      <c r="D385" s="166"/>
      <c r="E385" s="166"/>
      <c r="F385" s="166"/>
      <c r="G385" s="166"/>
      <c r="H385" s="166"/>
      <c r="I385" s="166"/>
      <c r="J385" s="166"/>
      <c r="K385" s="166"/>
      <c r="L385" s="166"/>
      <c r="M385" s="166"/>
      <c r="N385" s="166"/>
      <c r="O385" s="166"/>
      <c r="P385" s="166"/>
      <c r="Q385" s="73"/>
      <c r="R385" s="23"/>
      <c r="S385" s="23"/>
      <c r="T385" s="73"/>
      <c r="U385" s="73"/>
      <c r="V385" s="73"/>
    </row>
    <row r="386" spans="2:22" s="72" customFormat="1" ht="11.4" x14ac:dyDescent="0.25">
      <c r="B386" s="165" t="s">
        <v>9612</v>
      </c>
      <c r="C386" s="165"/>
      <c r="D386" s="165"/>
      <c r="E386" s="165"/>
      <c r="F386" s="165"/>
      <c r="G386" s="165"/>
      <c r="H386" s="165"/>
      <c r="I386" s="165"/>
      <c r="J386" s="165"/>
      <c r="K386" s="165"/>
      <c r="L386" s="165"/>
      <c r="M386" s="165"/>
      <c r="N386" s="165"/>
      <c r="O386" s="165"/>
      <c r="P386" s="165"/>
      <c r="Q386" s="75"/>
      <c r="R386" s="75"/>
      <c r="S386" s="75"/>
      <c r="T386" s="75"/>
      <c r="U386" s="75"/>
      <c r="V386" s="75"/>
    </row>
    <row r="387" spans="2:22" s="72" customFormat="1" ht="11.4" x14ac:dyDescent="0.25">
      <c r="B387" s="73" t="s">
        <v>9612</v>
      </c>
      <c r="C387" s="33" t="s">
        <v>572</v>
      </c>
      <c r="D387" s="23" t="s">
        <v>573</v>
      </c>
      <c r="E387" s="73"/>
      <c r="F387" s="73"/>
      <c r="G387" s="73"/>
      <c r="H387" s="73"/>
      <c r="I387" s="73"/>
      <c r="J387" s="33" t="s">
        <v>9374</v>
      </c>
      <c r="K387" s="33" t="s">
        <v>11016</v>
      </c>
      <c r="L387" s="33" t="s">
        <v>121</v>
      </c>
      <c r="M387" s="33" t="s">
        <v>9376</v>
      </c>
      <c r="N387" s="73"/>
      <c r="O387" s="73"/>
      <c r="P387" s="73"/>
      <c r="Q387" s="76"/>
      <c r="R387" s="76"/>
      <c r="S387" s="76"/>
      <c r="T387" s="76"/>
      <c r="U387" s="76"/>
      <c r="V387" s="76"/>
    </row>
    <row r="388" spans="2:22" s="72" customFormat="1" ht="11.4" x14ac:dyDescent="0.25">
      <c r="B388" s="166"/>
      <c r="C388" s="166"/>
      <c r="D388" s="166"/>
      <c r="E388" s="166"/>
      <c r="F388" s="166"/>
      <c r="G388" s="166"/>
      <c r="H388" s="166"/>
      <c r="I388" s="166"/>
      <c r="J388" s="166"/>
      <c r="K388" s="166"/>
      <c r="L388" s="166"/>
      <c r="M388" s="166"/>
      <c r="N388" s="166"/>
      <c r="O388" s="166"/>
      <c r="P388" s="166"/>
      <c r="Q388" s="73"/>
      <c r="R388" s="23"/>
      <c r="S388" s="23"/>
      <c r="T388" s="73"/>
      <c r="U388" s="73"/>
      <c r="V388" s="73"/>
    </row>
    <row r="389" spans="2:22" s="72" customFormat="1" ht="11.4" x14ac:dyDescent="0.25">
      <c r="B389" s="165" t="s">
        <v>9614</v>
      </c>
      <c r="C389" s="165"/>
      <c r="D389" s="165"/>
      <c r="E389" s="165"/>
      <c r="F389" s="165"/>
      <c r="G389" s="165"/>
      <c r="H389" s="165"/>
      <c r="I389" s="165"/>
      <c r="J389" s="165"/>
      <c r="K389" s="165"/>
      <c r="L389" s="165"/>
      <c r="M389" s="165"/>
      <c r="N389" s="165"/>
      <c r="O389" s="165"/>
      <c r="P389" s="165"/>
      <c r="Q389" s="75"/>
      <c r="R389" s="75"/>
      <c r="S389" s="75"/>
      <c r="T389" s="75"/>
      <c r="U389" s="75"/>
      <c r="V389" s="75"/>
    </row>
    <row r="390" spans="2:22" s="72" customFormat="1" ht="11.4" x14ac:dyDescent="0.25">
      <c r="B390" s="73" t="s">
        <v>9614</v>
      </c>
      <c r="C390" s="33" t="s">
        <v>574</v>
      </c>
      <c r="D390" s="23" t="s">
        <v>575</v>
      </c>
      <c r="E390" s="73"/>
      <c r="F390" s="73"/>
      <c r="G390" s="73"/>
      <c r="H390" s="73"/>
      <c r="I390" s="73"/>
      <c r="J390" s="33" t="s">
        <v>9374</v>
      </c>
      <c r="K390" s="33" t="s">
        <v>11016</v>
      </c>
      <c r="L390" s="33" t="s">
        <v>121</v>
      </c>
      <c r="M390" s="33" t="s">
        <v>9376</v>
      </c>
      <c r="N390" s="73"/>
      <c r="O390" s="73"/>
      <c r="P390" s="73"/>
      <c r="Q390" s="76"/>
      <c r="R390" s="76"/>
      <c r="S390" s="76"/>
      <c r="T390" s="76"/>
      <c r="U390" s="76"/>
      <c r="V390" s="76"/>
    </row>
    <row r="391" spans="2:22" s="72" customFormat="1" ht="11.4" x14ac:dyDescent="0.25">
      <c r="B391" s="166"/>
      <c r="C391" s="166"/>
      <c r="D391" s="166"/>
      <c r="E391" s="166"/>
      <c r="F391" s="166"/>
      <c r="G391" s="166"/>
      <c r="H391" s="166"/>
      <c r="I391" s="166"/>
      <c r="J391" s="166"/>
      <c r="K391" s="166"/>
      <c r="L391" s="166"/>
      <c r="M391" s="166"/>
      <c r="N391" s="166"/>
      <c r="O391" s="166"/>
      <c r="P391" s="166"/>
      <c r="Q391" s="73"/>
      <c r="R391" s="23"/>
      <c r="S391" s="23"/>
      <c r="T391" s="73"/>
      <c r="U391" s="73"/>
      <c r="V391" s="73"/>
    </row>
    <row r="392" spans="2:22" s="72" customFormat="1" ht="11.4" x14ac:dyDescent="0.25">
      <c r="B392" s="165" t="s">
        <v>9615</v>
      </c>
      <c r="C392" s="165"/>
      <c r="D392" s="165"/>
      <c r="E392" s="165"/>
      <c r="F392" s="165"/>
      <c r="G392" s="165"/>
      <c r="H392" s="165"/>
      <c r="I392" s="165"/>
      <c r="J392" s="165"/>
      <c r="K392" s="165"/>
      <c r="L392" s="165"/>
      <c r="M392" s="165"/>
      <c r="N392" s="165"/>
      <c r="O392" s="165"/>
      <c r="P392" s="165"/>
      <c r="Q392" s="75"/>
      <c r="R392" s="75"/>
      <c r="S392" s="75"/>
      <c r="T392" s="75"/>
      <c r="U392" s="75"/>
      <c r="V392" s="75"/>
    </row>
    <row r="393" spans="2:22" s="72" customFormat="1" ht="11.4" x14ac:dyDescent="0.25">
      <c r="B393" s="73" t="s">
        <v>9615</v>
      </c>
      <c r="C393" s="33" t="s">
        <v>576</v>
      </c>
      <c r="D393" s="23" t="s">
        <v>577</v>
      </c>
      <c r="E393" s="73"/>
      <c r="F393" s="73"/>
      <c r="G393" s="73"/>
      <c r="H393" s="73"/>
      <c r="I393" s="73"/>
      <c r="J393" s="33" t="s">
        <v>9374</v>
      </c>
      <c r="K393" s="33" t="s">
        <v>11016</v>
      </c>
      <c r="L393" s="33" t="s">
        <v>121</v>
      </c>
      <c r="M393" s="33" t="s">
        <v>9376</v>
      </c>
      <c r="N393" s="73"/>
      <c r="O393" s="73"/>
      <c r="P393" s="73"/>
      <c r="Q393" s="76"/>
      <c r="R393" s="76"/>
      <c r="S393" s="76"/>
      <c r="T393" s="76"/>
      <c r="U393" s="76"/>
      <c r="V393" s="76"/>
    </row>
    <row r="394" spans="2:22" s="72" customFormat="1" ht="11.4" x14ac:dyDescent="0.25">
      <c r="B394" s="166"/>
      <c r="C394" s="166"/>
      <c r="D394" s="166"/>
      <c r="E394" s="166"/>
      <c r="F394" s="166"/>
      <c r="G394" s="166"/>
      <c r="H394" s="166"/>
      <c r="I394" s="166"/>
      <c r="J394" s="166"/>
      <c r="K394" s="166"/>
      <c r="L394" s="166"/>
      <c r="M394" s="166"/>
      <c r="N394" s="166"/>
      <c r="O394" s="166"/>
      <c r="P394" s="166"/>
      <c r="Q394" s="73"/>
      <c r="R394" s="23"/>
      <c r="S394" s="23"/>
      <c r="T394" s="73"/>
      <c r="U394" s="73"/>
      <c r="V394" s="73"/>
    </row>
    <row r="395" spans="2:22" s="72" customFormat="1" ht="11.4" x14ac:dyDescent="0.25">
      <c r="B395" s="165" t="s">
        <v>9617</v>
      </c>
      <c r="C395" s="165"/>
      <c r="D395" s="165"/>
      <c r="E395" s="165"/>
      <c r="F395" s="165"/>
      <c r="G395" s="165"/>
      <c r="H395" s="165"/>
      <c r="I395" s="165"/>
      <c r="J395" s="165"/>
      <c r="K395" s="165"/>
      <c r="L395" s="165"/>
      <c r="M395" s="165"/>
      <c r="N395" s="165"/>
      <c r="O395" s="165"/>
      <c r="P395" s="165"/>
      <c r="Q395" s="73"/>
      <c r="R395" s="23"/>
      <c r="S395" s="23"/>
      <c r="T395" s="73"/>
      <c r="U395" s="73"/>
      <c r="V395" s="73"/>
    </row>
    <row r="396" spans="2:22" s="72" customFormat="1" ht="11.4" x14ac:dyDescent="0.25">
      <c r="B396" s="73" t="s">
        <v>9617</v>
      </c>
      <c r="C396" s="33" t="s">
        <v>578</v>
      </c>
      <c r="D396" s="23" t="s">
        <v>579</v>
      </c>
      <c r="E396" s="73"/>
      <c r="F396" s="73"/>
      <c r="G396" s="73"/>
      <c r="H396" s="73"/>
      <c r="I396" s="73"/>
      <c r="J396" s="33" t="s">
        <v>9374</v>
      </c>
      <c r="K396" s="33" t="s">
        <v>11016</v>
      </c>
      <c r="L396" s="33" t="s">
        <v>121</v>
      </c>
      <c r="M396" s="33" t="s">
        <v>9376</v>
      </c>
      <c r="N396" s="73"/>
      <c r="O396" s="73"/>
      <c r="P396" s="73"/>
      <c r="Q396" s="73"/>
      <c r="R396" s="23"/>
      <c r="S396" s="23"/>
      <c r="T396" s="73"/>
      <c r="U396" s="73"/>
      <c r="V396" s="73"/>
    </row>
    <row r="397" spans="2:22" s="72" customFormat="1" ht="11.4" x14ac:dyDescent="0.25">
      <c r="B397" s="166"/>
      <c r="C397" s="166"/>
      <c r="D397" s="166"/>
      <c r="E397" s="166"/>
      <c r="F397" s="166"/>
      <c r="G397" s="166"/>
      <c r="H397" s="166"/>
      <c r="I397" s="166"/>
      <c r="J397" s="166"/>
      <c r="K397" s="166"/>
      <c r="L397" s="166"/>
      <c r="M397" s="166"/>
      <c r="N397" s="166"/>
      <c r="O397" s="166"/>
      <c r="P397" s="166"/>
      <c r="Q397" s="75"/>
      <c r="R397" s="75"/>
      <c r="S397" s="75"/>
      <c r="T397" s="75"/>
      <c r="U397" s="75"/>
      <c r="V397" s="75"/>
    </row>
    <row r="398" spans="2:22" s="72" customFormat="1" ht="11.4" x14ac:dyDescent="0.25">
      <c r="B398" s="165" t="s">
        <v>9619</v>
      </c>
      <c r="C398" s="165"/>
      <c r="D398" s="165"/>
      <c r="E398" s="165"/>
      <c r="F398" s="165"/>
      <c r="G398" s="165"/>
      <c r="H398" s="165"/>
      <c r="I398" s="165"/>
      <c r="J398" s="165"/>
      <c r="K398" s="165"/>
      <c r="L398" s="165"/>
      <c r="M398" s="165"/>
      <c r="N398" s="165"/>
      <c r="O398" s="165"/>
      <c r="P398" s="165"/>
      <c r="Q398" s="76"/>
      <c r="R398" s="76"/>
      <c r="S398" s="76"/>
      <c r="T398" s="76"/>
      <c r="U398" s="76"/>
      <c r="V398" s="76"/>
    </row>
    <row r="399" spans="2:22" s="72" customFormat="1" ht="11.4" x14ac:dyDescent="0.25">
      <c r="B399" s="73" t="s">
        <v>9619</v>
      </c>
      <c r="C399" s="33" t="s">
        <v>580</v>
      </c>
      <c r="D399" s="23" t="s">
        <v>581</v>
      </c>
      <c r="E399" s="73"/>
      <c r="F399" s="73"/>
      <c r="G399" s="73"/>
      <c r="H399" s="73"/>
      <c r="I399" s="73"/>
      <c r="J399" s="33" t="s">
        <v>9374</v>
      </c>
      <c r="K399" s="33" t="s">
        <v>11016</v>
      </c>
      <c r="L399" s="33" t="s">
        <v>121</v>
      </c>
      <c r="M399" s="33" t="s">
        <v>9376</v>
      </c>
      <c r="N399" s="73"/>
      <c r="O399" s="73"/>
      <c r="P399" s="73"/>
      <c r="Q399" s="73"/>
      <c r="R399" s="23"/>
      <c r="S399" s="23"/>
      <c r="T399" s="73"/>
      <c r="U399" s="73"/>
      <c r="V399" s="73"/>
    </row>
    <row r="400" spans="2:22" s="72" customFormat="1" ht="11.4" x14ac:dyDescent="0.25">
      <c r="B400" s="166"/>
      <c r="C400" s="166"/>
      <c r="D400" s="166"/>
      <c r="E400" s="166"/>
      <c r="F400" s="166"/>
      <c r="G400" s="166"/>
      <c r="H400" s="166"/>
      <c r="I400" s="166"/>
      <c r="J400" s="166"/>
      <c r="K400" s="166"/>
      <c r="L400" s="166"/>
      <c r="M400" s="166"/>
      <c r="N400" s="166"/>
      <c r="O400" s="166"/>
      <c r="P400" s="166"/>
      <c r="Q400" s="73"/>
      <c r="R400" s="23"/>
      <c r="S400" s="23"/>
      <c r="T400" s="73"/>
      <c r="U400" s="73"/>
      <c r="V400" s="73"/>
    </row>
    <row r="401" spans="2:22" s="72" customFormat="1" ht="11.4" x14ac:dyDescent="0.25">
      <c r="B401" s="165" t="s">
        <v>9621</v>
      </c>
      <c r="C401" s="165"/>
      <c r="D401" s="165"/>
      <c r="E401" s="165"/>
      <c r="F401" s="165"/>
      <c r="G401" s="165"/>
      <c r="H401" s="165"/>
      <c r="I401" s="165"/>
      <c r="J401" s="165"/>
      <c r="K401" s="165"/>
      <c r="L401" s="165"/>
      <c r="M401" s="165"/>
      <c r="N401" s="165"/>
      <c r="O401" s="165"/>
      <c r="P401" s="165"/>
      <c r="Q401" s="75"/>
      <c r="R401" s="75"/>
      <c r="S401" s="75"/>
      <c r="T401" s="75"/>
      <c r="U401" s="75"/>
      <c r="V401" s="75"/>
    </row>
    <row r="402" spans="2:22" s="72" customFormat="1" ht="11.4" x14ac:dyDescent="0.25">
      <c r="B402" s="73" t="s">
        <v>9621</v>
      </c>
      <c r="C402" s="33" t="s">
        <v>582</v>
      </c>
      <c r="D402" s="23" t="s">
        <v>583</v>
      </c>
      <c r="E402" s="73"/>
      <c r="F402" s="73"/>
      <c r="G402" s="73"/>
      <c r="H402" s="73"/>
      <c r="I402" s="73"/>
      <c r="J402" s="33" t="s">
        <v>9374</v>
      </c>
      <c r="K402" s="33" t="s">
        <v>11016</v>
      </c>
      <c r="L402" s="33" t="s">
        <v>121</v>
      </c>
      <c r="M402" s="33" t="s">
        <v>9376</v>
      </c>
      <c r="N402" s="73"/>
      <c r="O402" s="73"/>
      <c r="P402" s="73"/>
      <c r="Q402" s="76"/>
      <c r="R402" s="76"/>
      <c r="S402" s="76"/>
      <c r="T402" s="76"/>
      <c r="U402" s="76"/>
      <c r="V402" s="76"/>
    </row>
    <row r="403" spans="2:22" s="72" customFormat="1" ht="11.4" x14ac:dyDescent="0.25">
      <c r="B403" s="166"/>
      <c r="C403" s="166"/>
      <c r="D403" s="166"/>
      <c r="E403" s="166"/>
      <c r="F403" s="166"/>
      <c r="G403" s="166"/>
      <c r="H403" s="166"/>
      <c r="I403" s="166"/>
      <c r="J403" s="166"/>
      <c r="K403" s="166"/>
      <c r="L403" s="166"/>
      <c r="M403" s="166"/>
      <c r="N403" s="166"/>
      <c r="O403" s="166"/>
      <c r="P403" s="166"/>
      <c r="Q403" s="73"/>
      <c r="R403" s="23"/>
      <c r="S403" s="23"/>
      <c r="T403" s="73"/>
      <c r="U403" s="73"/>
      <c r="V403" s="73"/>
    </row>
    <row r="404" spans="2:22" s="72" customFormat="1" ht="11.4" x14ac:dyDescent="0.25">
      <c r="B404" s="165" t="s">
        <v>9623</v>
      </c>
      <c r="C404" s="165"/>
      <c r="D404" s="165"/>
      <c r="E404" s="165"/>
      <c r="F404" s="165"/>
      <c r="G404" s="165"/>
      <c r="H404" s="165"/>
      <c r="I404" s="165"/>
      <c r="J404" s="165"/>
      <c r="K404" s="165"/>
      <c r="L404" s="165"/>
      <c r="M404" s="165"/>
      <c r="N404" s="165"/>
      <c r="O404" s="165"/>
      <c r="P404" s="165"/>
      <c r="Q404" s="73"/>
      <c r="R404" s="23"/>
      <c r="S404" s="23"/>
      <c r="T404" s="73"/>
      <c r="U404" s="73"/>
      <c r="V404" s="73"/>
    </row>
    <row r="405" spans="2:22" s="72" customFormat="1" ht="11.4" x14ac:dyDescent="0.25">
      <c r="B405" s="73" t="s">
        <v>9623</v>
      </c>
      <c r="C405" s="33" t="s">
        <v>584</v>
      </c>
      <c r="D405" s="23" t="s">
        <v>585</v>
      </c>
      <c r="E405" s="73"/>
      <c r="F405" s="73"/>
      <c r="G405" s="73"/>
      <c r="H405" s="73"/>
      <c r="I405" s="73"/>
      <c r="J405" s="33" t="s">
        <v>9374</v>
      </c>
      <c r="K405" s="33" t="s">
        <v>11016</v>
      </c>
      <c r="L405" s="33" t="s">
        <v>121</v>
      </c>
      <c r="M405" s="33" t="s">
        <v>9376</v>
      </c>
      <c r="N405" s="73"/>
      <c r="O405" s="73"/>
      <c r="P405" s="73"/>
      <c r="Q405" s="73"/>
      <c r="R405" s="23"/>
      <c r="S405" s="23"/>
      <c r="T405" s="73"/>
      <c r="U405" s="73"/>
      <c r="V405" s="73"/>
    </row>
    <row r="406" spans="2:22" s="72" customFormat="1" ht="11.4" x14ac:dyDescent="0.25">
      <c r="B406" s="166"/>
      <c r="C406" s="166"/>
      <c r="D406" s="166"/>
      <c r="E406" s="166"/>
      <c r="F406" s="166"/>
      <c r="G406" s="166"/>
      <c r="H406" s="166"/>
      <c r="I406" s="166"/>
      <c r="J406" s="166"/>
      <c r="K406" s="166"/>
      <c r="L406" s="166"/>
      <c r="M406" s="166"/>
      <c r="N406" s="166"/>
      <c r="O406" s="166"/>
      <c r="P406" s="166"/>
      <c r="Q406" s="75"/>
      <c r="R406" s="75"/>
      <c r="S406" s="75"/>
      <c r="T406" s="75"/>
      <c r="U406" s="75"/>
      <c r="V406" s="75"/>
    </row>
    <row r="407" spans="2:22" s="72" customFormat="1" ht="11.4" x14ac:dyDescent="0.25">
      <c r="B407" s="165" t="s">
        <v>9625</v>
      </c>
      <c r="C407" s="165"/>
      <c r="D407" s="165"/>
      <c r="E407" s="165"/>
      <c r="F407" s="165"/>
      <c r="G407" s="165"/>
      <c r="H407" s="165"/>
      <c r="I407" s="165"/>
      <c r="J407" s="165"/>
      <c r="K407" s="165"/>
      <c r="L407" s="165"/>
      <c r="M407" s="165"/>
      <c r="N407" s="165"/>
      <c r="O407" s="165"/>
      <c r="P407" s="165"/>
      <c r="Q407" s="76"/>
      <c r="R407" s="76"/>
      <c r="S407" s="76"/>
      <c r="T407" s="76"/>
      <c r="U407" s="76"/>
      <c r="V407" s="76"/>
    </row>
    <row r="408" spans="2:22" s="72" customFormat="1" ht="11.4" x14ac:dyDescent="0.25">
      <c r="B408" s="73" t="s">
        <v>9625</v>
      </c>
      <c r="C408" s="33" t="s">
        <v>586</v>
      </c>
      <c r="D408" s="23" t="s">
        <v>587</v>
      </c>
      <c r="E408" s="73"/>
      <c r="F408" s="73"/>
      <c r="G408" s="73"/>
      <c r="H408" s="73"/>
      <c r="I408" s="73"/>
      <c r="J408" s="33" t="s">
        <v>9374</v>
      </c>
      <c r="K408" s="33" t="s">
        <v>11016</v>
      </c>
      <c r="L408" s="33" t="s">
        <v>121</v>
      </c>
      <c r="M408" s="33" t="s">
        <v>9376</v>
      </c>
      <c r="N408" s="73"/>
      <c r="O408" s="73"/>
      <c r="P408" s="73"/>
      <c r="Q408" s="73"/>
      <c r="R408" s="23"/>
      <c r="S408" s="23"/>
      <c r="T408" s="73"/>
      <c r="U408" s="73"/>
      <c r="V408" s="73"/>
    </row>
    <row r="409" spans="2:22" s="72" customFormat="1" ht="11.4" x14ac:dyDescent="0.25">
      <c r="B409" s="166"/>
      <c r="C409" s="166"/>
      <c r="D409" s="166"/>
      <c r="E409" s="166"/>
      <c r="F409" s="166"/>
      <c r="G409" s="166"/>
      <c r="H409" s="166"/>
      <c r="I409" s="166"/>
      <c r="J409" s="166"/>
      <c r="K409" s="166"/>
      <c r="L409" s="166"/>
      <c r="M409" s="166"/>
      <c r="N409" s="166"/>
      <c r="O409" s="166"/>
      <c r="P409" s="166"/>
      <c r="Q409" s="75"/>
      <c r="R409" s="75"/>
      <c r="S409" s="75"/>
      <c r="T409" s="75"/>
      <c r="U409" s="75"/>
      <c r="V409" s="75"/>
    </row>
    <row r="410" spans="2:22" s="72" customFormat="1" ht="11.4" x14ac:dyDescent="0.25">
      <c r="B410" s="165" t="s">
        <v>9627</v>
      </c>
      <c r="C410" s="165"/>
      <c r="D410" s="165"/>
      <c r="E410" s="165"/>
      <c r="F410" s="165"/>
      <c r="G410" s="165"/>
      <c r="H410" s="165"/>
      <c r="I410" s="165"/>
      <c r="J410" s="165"/>
      <c r="K410" s="165"/>
      <c r="L410" s="165"/>
      <c r="M410" s="165"/>
      <c r="N410" s="165"/>
      <c r="O410" s="165"/>
      <c r="P410" s="165"/>
      <c r="Q410" s="76"/>
      <c r="R410" s="76"/>
      <c r="S410" s="76"/>
      <c r="T410" s="76"/>
      <c r="U410" s="76"/>
      <c r="V410" s="76"/>
    </row>
    <row r="411" spans="2:22" s="72" customFormat="1" ht="11.4" x14ac:dyDescent="0.25">
      <c r="B411" s="73" t="s">
        <v>9627</v>
      </c>
      <c r="C411" s="33" t="s">
        <v>588</v>
      </c>
      <c r="D411" s="23" t="s">
        <v>589</v>
      </c>
      <c r="E411" s="73"/>
      <c r="F411" s="73"/>
      <c r="G411" s="73"/>
      <c r="H411" s="73"/>
      <c r="I411" s="73"/>
      <c r="J411" s="33" t="s">
        <v>9374</v>
      </c>
      <c r="K411" s="33" t="s">
        <v>11016</v>
      </c>
      <c r="L411" s="33" t="s">
        <v>121</v>
      </c>
      <c r="M411" s="33" t="s">
        <v>9376</v>
      </c>
      <c r="N411" s="73"/>
      <c r="O411" s="73"/>
      <c r="P411" s="73"/>
      <c r="Q411" s="73"/>
      <c r="R411" s="23"/>
      <c r="S411" s="23"/>
      <c r="T411" s="73"/>
      <c r="U411" s="73"/>
      <c r="V411" s="73"/>
    </row>
    <row r="412" spans="2:22" s="72" customFormat="1" ht="11.4" x14ac:dyDescent="0.25">
      <c r="B412" s="166"/>
      <c r="C412" s="166"/>
      <c r="D412" s="166"/>
      <c r="E412" s="166"/>
      <c r="F412" s="166"/>
      <c r="G412" s="166"/>
      <c r="H412" s="166"/>
      <c r="I412" s="166"/>
      <c r="J412" s="166"/>
      <c r="K412" s="166"/>
      <c r="L412" s="166"/>
      <c r="M412" s="166"/>
      <c r="N412" s="166"/>
      <c r="O412" s="166"/>
      <c r="P412" s="166"/>
      <c r="Q412" s="73"/>
      <c r="R412" s="23"/>
      <c r="S412" s="23"/>
      <c r="T412" s="73"/>
      <c r="U412" s="73"/>
      <c r="V412" s="73"/>
    </row>
    <row r="413" spans="2:22" s="72" customFormat="1" ht="11.4" x14ac:dyDescent="0.25">
      <c r="B413" s="165" t="s">
        <v>9629</v>
      </c>
      <c r="C413" s="165"/>
      <c r="D413" s="165"/>
      <c r="E413" s="165"/>
      <c r="F413" s="165"/>
      <c r="G413" s="165"/>
      <c r="H413" s="165"/>
      <c r="I413" s="165"/>
      <c r="J413" s="165"/>
      <c r="K413" s="165"/>
      <c r="L413" s="165"/>
      <c r="M413" s="165"/>
      <c r="N413" s="165"/>
      <c r="O413" s="165"/>
      <c r="P413" s="165"/>
      <c r="Q413" s="75"/>
      <c r="R413" s="75"/>
      <c r="S413" s="75"/>
      <c r="T413" s="75"/>
      <c r="U413" s="75"/>
      <c r="V413" s="75"/>
    </row>
    <row r="414" spans="2:22" s="72" customFormat="1" ht="11.4" x14ac:dyDescent="0.25">
      <c r="B414" s="73" t="s">
        <v>9629</v>
      </c>
      <c r="C414" s="33" t="s">
        <v>590</v>
      </c>
      <c r="D414" s="23" t="s">
        <v>591</v>
      </c>
      <c r="E414" s="73"/>
      <c r="F414" s="73"/>
      <c r="G414" s="73"/>
      <c r="H414" s="73"/>
      <c r="I414" s="73"/>
      <c r="J414" s="33" t="s">
        <v>9374</v>
      </c>
      <c r="K414" s="33" t="s">
        <v>11016</v>
      </c>
      <c r="L414" s="33" t="s">
        <v>121</v>
      </c>
      <c r="M414" s="33" t="s">
        <v>9376</v>
      </c>
      <c r="N414" s="73"/>
      <c r="O414" s="73"/>
      <c r="P414" s="73"/>
      <c r="Q414" s="76"/>
      <c r="R414" s="76"/>
      <c r="S414" s="76"/>
      <c r="T414" s="76"/>
      <c r="U414" s="76"/>
      <c r="V414" s="76"/>
    </row>
    <row r="415" spans="2:22" s="72" customFormat="1" ht="11.4" x14ac:dyDescent="0.25">
      <c r="B415" s="166"/>
      <c r="C415" s="166"/>
      <c r="D415" s="166"/>
      <c r="E415" s="166"/>
      <c r="F415" s="166"/>
      <c r="G415" s="166"/>
      <c r="H415" s="166"/>
      <c r="I415" s="166"/>
      <c r="J415" s="166"/>
      <c r="K415" s="166"/>
      <c r="L415" s="166"/>
      <c r="M415" s="166"/>
      <c r="N415" s="166"/>
      <c r="O415" s="166"/>
      <c r="P415" s="166"/>
      <c r="Q415" s="73"/>
      <c r="R415" s="23"/>
      <c r="S415" s="23"/>
      <c r="T415" s="73"/>
      <c r="U415" s="73"/>
      <c r="V415" s="73"/>
    </row>
    <row r="416" spans="2:22" s="72" customFormat="1" ht="11.4" x14ac:dyDescent="0.25">
      <c r="B416" s="165" t="s">
        <v>9631</v>
      </c>
      <c r="C416" s="165"/>
      <c r="D416" s="165"/>
      <c r="E416" s="165"/>
      <c r="F416" s="165"/>
      <c r="G416" s="165"/>
      <c r="H416" s="165"/>
      <c r="I416" s="165"/>
      <c r="J416" s="165"/>
      <c r="K416" s="165"/>
      <c r="L416" s="165"/>
      <c r="M416" s="165"/>
      <c r="N416" s="165"/>
      <c r="O416" s="165"/>
      <c r="P416" s="165"/>
      <c r="Q416" s="73"/>
      <c r="R416" s="23"/>
      <c r="S416" s="23"/>
      <c r="T416" s="73"/>
      <c r="U416" s="73"/>
      <c r="V416" s="73"/>
    </row>
    <row r="417" spans="2:22" s="72" customFormat="1" ht="11.4" x14ac:dyDescent="0.25">
      <c r="B417" s="73" t="s">
        <v>9631</v>
      </c>
      <c r="C417" s="33" t="s">
        <v>592</v>
      </c>
      <c r="D417" s="23" t="s">
        <v>593</v>
      </c>
      <c r="E417" s="73"/>
      <c r="F417" s="73"/>
      <c r="G417" s="73"/>
      <c r="H417" s="73"/>
      <c r="I417" s="73"/>
      <c r="J417" s="33" t="s">
        <v>9374</v>
      </c>
      <c r="K417" s="33" t="s">
        <v>11016</v>
      </c>
      <c r="L417" s="33" t="s">
        <v>121</v>
      </c>
      <c r="M417" s="33" t="s">
        <v>9376</v>
      </c>
      <c r="N417" s="73"/>
      <c r="O417" s="73"/>
      <c r="P417" s="73"/>
      <c r="Q417" s="75"/>
      <c r="R417" s="75"/>
      <c r="S417" s="75"/>
      <c r="T417" s="75"/>
      <c r="U417" s="75"/>
      <c r="V417" s="75"/>
    </row>
    <row r="418" spans="2:22" s="72" customFormat="1" ht="11.4" x14ac:dyDescent="0.25">
      <c r="B418" s="166"/>
      <c r="C418" s="166"/>
      <c r="D418" s="166"/>
      <c r="E418" s="166"/>
      <c r="F418" s="166"/>
      <c r="G418" s="166"/>
      <c r="H418" s="166"/>
      <c r="I418" s="166"/>
      <c r="J418" s="166"/>
      <c r="K418" s="166"/>
      <c r="L418" s="166"/>
      <c r="M418" s="166"/>
      <c r="N418" s="166"/>
      <c r="O418" s="166"/>
      <c r="P418" s="166"/>
      <c r="Q418" s="76"/>
      <c r="R418" s="76"/>
      <c r="S418" s="76"/>
      <c r="T418" s="76"/>
      <c r="U418" s="76"/>
      <c r="V418" s="76"/>
    </row>
    <row r="419" spans="2:22" s="72" customFormat="1" ht="11.4" x14ac:dyDescent="0.25">
      <c r="B419" s="165" t="s">
        <v>9633</v>
      </c>
      <c r="C419" s="165"/>
      <c r="D419" s="165"/>
      <c r="E419" s="165"/>
      <c r="F419" s="165"/>
      <c r="G419" s="165"/>
      <c r="H419" s="165"/>
      <c r="I419" s="165"/>
      <c r="J419" s="165"/>
      <c r="K419" s="165"/>
      <c r="L419" s="165"/>
      <c r="M419" s="165"/>
      <c r="N419" s="165"/>
      <c r="O419" s="165"/>
      <c r="P419" s="165"/>
      <c r="Q419" s="73"/>
      <c r="R419" s="23"/>
      <c r="S419" s="23"/>
      <c r="T419" s="73"/>
      <c r="U419" s="73"/>
      <c r="V419" s="73"/>
    </row>
    <row r="420" spans="2:22" s="72" customFormat="1" ht="11.4" x14ac:dyDescent="0.25">
      <c r="B420" s="73" t="s">
        <v>9633</v>
      </c>
      <c r="C420" s="33" t="s">
        <v>594</v>
      </c>
      <c r="D420" s="23" t="s">
        <v>595</v>
      </c>
      <c r="E420" s="73"/>
      <c r="F420" s="73"/>
      <c r="G420" s="73"/>
      <c r="H420" s="73"/>
      <c r="I420" s="73"/>
      <c r="J420" s="33" t="s">
        <v>9374</v>
      </c>
      <c r="K420" s="33" t="s">
        <v>11016</v>
      </c>
      <c r="L420" s="33" t="s">
        <v>121</v>
      </c>
      <c r="M420" s="33" t="s">
        <v>9376</v>
      </c>
      <c r="N420" s="73"/>
      <c r="O420" s="73"/>
      <c r="P420" s="73"/>
      <c r="Q420" s="75"/>
      <c r="R420" s="75"/>
      <c r="S420" s="75"/>
      <c r="T420" s="75"/>
      <c r="U420" s="75"/>
      <c r="V420" s="75"/>
    </row>
    <row r="421" spans="2:22" s="72" customFormat="1" ht="11.4" x14ac:dyDescent="0.25">
      <c r="B421" s="166"/>
      <c r="C421" s="166"/>
      <c r="D421" s="166"/>
      <c r="E421" s="166"/>
      <c r="F421" s="166"/>
      <c r="G421" s="166"/>
      <c r="H421" s="166"/>
      <c r="I421" s="166"/>
      <c r="J421" s="166"/>
      <c r="K421" s="166"/>
      <c r="L421" s="166"/>
      <c r="M421" s="166"/>
      <c r="N421" s="166"/>
      <c r="O421" s="166"/>
      <c r="P421" s="166"/>
      <c r="Q421" s="76"/>
      <c r="R421" s="76"/>
      <c r="S421" s="76"/>
      <c r="T421" s="76"/>
      <c r="U421" s="76"/>
      <c r="V421" s="76"/>
    </row>
    <row r="422" spans="2:22" s="72" customFormat="1" ht="11.4" x14ac:dyDescent="0.25">
      <c r="B422" s="165" t="s">
        <v>9635</v>
      </c>
      <c r="C422" s="165"/>
      <c r="D422" s="165"/>
      <c r="E422" s="165"/>
      <c r="F422" s="165"/>
      <c r="G422" s="165"/>
      <c r="H422" s="165"/>
      <c r="I422" s="165"/>
      <c r="J422" s="165"/>
      <c r="K422" s="165"/>
      <c r="L422" s="165"/>
      <c r="M422" s="165"/>
      <c r="N422" s="165"/>
      <c r="O422" s="165"/>
      <c r="P422" s="165"/>
      <c r="Q422" s="73"/>
      <c r="R422" s="23"/>
      <c r="S422" s="23"/>
      <c r="T422" s="73"/>
      <c r="U422" s="73"/>
      <c r="V422" s="73"/>
    </row>
    <row r="423" spans="2:22" s="72" customFormat="1" ht="11.4" x14ac:dyDescent="0.25">
      <c r="B423" s="73" t="s">
        <v>9635</v>
      </c>
      <c r="C423" s="33" t="s">
        <v>596</v>
      </c>
      <c r="D423" s="23" t="s">
        <v>597</v>
      </c>
      <c r="E423" s="73"/>
      <c r="F423" s="73"/>
      <c r="G423" s="73"/>
      <c r="H423" s="73"/>
      <c r="I423" s="73"/>
      <c r="J423" s="33" t="s">
        <v>9374</v>
      </c>
      <c r="K423" s="33" t="s">
        <v>11016</v>
      </c>
      <c r="L423" s="33" t="s">
        <v>121</v>
      </c>
      <c r="M423" s="33" t="s">
        <v>9376</v>
      </c>
      <c r="N423" s="73"/>
      <c r="O423" s="73"/>
      <c r="P423" s="73"/>
      <c r="Q423" s="73"/>
      <c r="R423" s="23"/>
      <c r="S423" s="23"/>
      <c r="T423" s="73"/>
      <c r="U423" s="73"/>
      <c r="V423" s="73"/>
    </row>
    <row r="424" spans="2:22" s="72" customFormat="1" ht="11.4" x14ac:dyDescent="0.25">
      <c r="B424" s="166"/>
      <c r="C424" s="166"/>
      <c r="D424" s="166"/>
      <c r="E424" s="166"/>
      <c r="F424" s="166"/>
      <c r="G424" s="166"/>
      <c r="H424" s="166"/>
      <c r="I424" s="166"/>
      <c r="J424" s="166"/>
      <c r="K424" s="166"/>
      <c r="L424" s="166"/>
      <c r="M424" s="166"/>
      <c r="N424" s="166"/>
      <c r="O424" s="166"/>
      <c r="P424" s="166"/>
      <c r="Q424" s="75"/>
      <c r="R424" s="75"/>
      <c r="S424" s="75"/>
      <c r="T424" s="75"/>
      <c r="U424" s="75"/>
      <c r="V424" s="75"/>
    </row>
    <row r="425" spans="2:22" s="72" customFormat="1" ht="11.4" x14ac:dyDescent="0.25">
      <c r="B425" s="165" t="s">
        <v>9637</v>
      </c>
      <c r="C425" s="165"/>
      <c r="D425" s="165"/>
      <c r="E425" s="165"/>
      <c r="F425" s="165"/>
      <c r="G425" s="165"/>
      <c r="H425" s="165"/>
      <c r="I425" s="165"/>
      <c r="J425" s="165"/>
      <c r="K425" s="165"/>
      <c r="L425" s="165"/>
      <c r="M425" s="165"/>
      <c r="N425" s="165"/>
      <c r="O425" s="165"/>
      <c r="P425" s="165"/>
      <c r="Q425" s="76"/>
      <c r="R425" s="76"/>
      <c r="S425" s="76"/>
      <c r="T425" s="76"/>
      <c r="U425" s="76"/>
      <c r="V425" s="76"/>
    </row>
    <row r="426" spans="2:22" s="72" customFormat="1" ht="11.4" x14ac:dyDescent="0.25">
      <c r="B426" s="73" t="s">
        <v>9637</v>
      </c>
      <c r="C426" s="33" t="s">
        <v>598</v>
      </c>
      <c r="D426" s="23" t="s">
        <v>599</v>
      </c>
      <c r="E426" s="73"/>
      <c r="F426" s="73"/>
      <c r="G426" s="73"/>
      <c r="H426" s="73"/>
      <c r="I426" s="73"/>
      <c r="J426" s="33" t="s">
        <v>9374</v>
      </c>
      <c r="K426" s="33" t="s">
        <v>11016</v>
      </c>
      <c r="L426" s="33" t="s">
        <v>121</v>
      </c>
      <c r="M426" s="33" t="s">
        <v>9376</v>
      </c>
      <c r="N426" s="73"/>
      <c r="O426" s="73"/>
      <c r="P426" s="73"/>
      <c r="Q426" s="73"/>
      <c r="R426" s="23"/>
      <c r="S426" s="23"/>
      <c r="T426" s="73"/>
      <c r="U426" s="73"/>
      <c r="V426" s="73"/>
    </row>
    <row r="427" spans="2:22" s="72" customFormat="1" ht="11.4" x14ac:dyDescent="0.25">
      <c r="B427" s="166"/>
      <c r="C427" s="166"/>
      <c r="D427" s="166"/>
      <c r="E427" s="166"/>
      <c r="F427" s="166"/>
      <c r="G427" s="166"/>
      <c r="H427" s="166"/>
      <c r="I427" s="166"/>
      <c r="J427" s="166"/>
      <c r="K427" s="166"/>
      <c r="L427" s="166"/>
      <c r="M427" s="166"/>
      <c r="N427" s="166"/>
      <c r="O427" s="166"/>
      <c r="P427" s="166"/>
      <c r="Q427" s="73"/>
      <c r="R427" s="23"/>
      <c r="S427" s="23"/>
      <c r="T427" s="73"/>
      <c r="U427" s="73"/>
      <c r="V427" s="73"/>
    </row>
    <row r="428" spans="2:22" s="72" customFormat="1" ht="11.4" x14ac:dyDescent="0.25">
      <c r="B428" s="165" t="s">
        <v>9639</v>
      </c>
      <c r="C428" s="165"/>
      <c r="D428" s="165"/>
      <c r="E428" s="165"/>
      <c r="F428" s="165"/>
      <c r="G428" s="165"/>
      <c r="H428" s="165"/>
      <c r="I428" s="165"/>
      <c r="J428" s="165"/>
      <c r="K428" s="165"/>
      <c r="L428" s="165"/>
      <c r="M428" s="165"/>
      <c r="N428" s="165"/>
      <c r="O428" s="165"/>
      <c r="P428" s="165"/>
      <c r="Q428" s="75"/>
      <c r="R428" s="75"/>
      <c r="S428" s="75"/>
      <c r="T428" s="75"/>
      <c r="U428" s="75"/>
      <c r="V428" s="75"/>
    </row>
    <row r="429" spans="2:22" s="72" customFormat="1" ht="11.4" x14ac:dyDescent="0.25">
      <c r="B429" s="73" t="s">
        <v>9639</v>
      </c>
      <c r="C429" s="33" t="s">
        <v>600</v>
      </c>
      <c r="D429" s="23" t="s">
        <v>601</v>
      </c>
      <c r="E429" s="73"/>
      <c r="F429" s="73"/>
      <c r="G429" s="73"/>
      <c r="H429" s="73"/>
      <c r="I429" s="73"/>
      <c r="J429" s="33" t="s">
        <v>9374</v>
      </c>
      <c r="K429" s="33" t="s">
        <v>11016</v>
      </c>
      <c r="L429" s="33" t="s">
        <v>121</v>
      </c>
      <c r="M429" s="33" t="s">
        <v>9376</v>
      </c>
      <c r="N429" s="73"/>
      <c r="O429" s="73"/>
      <c r="P429" s="73"/>
      <c r="Q429" s="76"/>
      <c r="R429" s="76"/>
      <c r="S429" s="76"/>
      <c r="T429" s="76"/>
      <c r="U429" s="76"/>
      <c r="V429" s="76"/>
    </row>
    <row r="430" spans="2:22" s="72" customFormat="1" ht="11.4" x14ac:dyDescent="0.25">
      <c r="B430" s="166"/>
      <c r="C430" s="166"/>
      <c r="D430" s="166"/>
      <c r="E430" s="166"/>
      <c r="F430" s="166"/>
      <c r="G430" s="166"/>
      <c r="H430" s="166"/>
      <c r="I430" s="166"/>
      <c r="J430" s="166"/>
      <c r="K430" s="166"/>
      <c r="L430" s="166"/>
      <c r="M430" s="166"/>
      <c r="N430" s="166"/>
      <c r="O430" s="166"/>
      <c r="P430" s="166"/>
      <c r="Q430" s="73"/>
      <c r="R430" s="23"/>
      <c r="S430" s="23"/>
      <c r="T430" s="73"/>
      <c r="U430" s="73"/>
      <c r="V430" s="73"/>
    </row>
    <row r="431" spans="2:22" s="72" customFormat="1" ht="11.4" x14ac:dyDescent="0.25">
      <c r="B431" s="165" t="s">
        <v>9641</v>
      </c>
      <c r="C431" s="165"/>
      <c r="D431" s="165"/>
      <c r="E431" s="165"/>
      <c r="F431" s="165"/>
      <c r="G431" s="165"/>
      <c r="H431" s="165"/>
      <c r="I431" s="165"/>
      <c r="J431" s="165"/>
      <c r="K431" s="165"/>
      <c r="L431" s="165"/>
      <c r="M431" s="165"/>
      <c r="N431" s="165"/>
      <c r="O431" s="165"/>
      <c r="P431" s="165"/>
      <c r="Q431" s="73"/>
      <c r="R431" s="23"/>
      <c r="S431" s="23"/>
      <c r="T431" s="73"/>
      <c r="U431" s="73"/>
      <c r="V431" s="73"/>
    </row>
    <row r="432" spans="2:22" s="72" customFormat="1" ht="11.4" x14ac:dyDescent="0.25">
      <c r="B432" s="73" t="s">
        <v>9641</v>
      </c>
      <c r="C432" s="33" t="s">
        <v>602</v>
      </c>
      <c r="D432" s="23" t="s">
        <v>603</v>
      </c>
      <c r="E432" s="73"/>
      <c r="F432" s="73"/>
      <c r="G432" s="73"/>
      <c r="H432" s="73"/>
      <c r="I432" s="73"/>
      <c r="J432" s="33" t="s">
        <v>9374</v>
      </c>
      <c r="K432" s="33" t="s">
        <v>11016</v>
      </c>
      <c r="L432" s="33" t="s">
        <v>121</v>
      </c>
      <c r="M432" s="33" t="s">
        <v>9376</v>
      </c>
      <c r="N432" s="73"/>
      <c r="O432" s="73"/>
      <c r="P432" s="73"/>
      <c r="Q432" s="75"/>
      <c r="R432" s="75"/>
      <c r="S432" s="75"/>
      <c r="T432" s="75"/>
      <c r="U432" s="75"/>
      <c r="V432" s="75"/>
    </row>
    <row r="433" spans="2:22" s="72" customFormat="1" ht="11.4" x14ac:dyDescent="0.25">
      <c r="B433" s="166"/>
      <c r="C433" s="166"/>
      <c r="D433" s="166"/>
      <c r="E433" s="166"/>
      <c r="F433" s="166"/>
      <c r="G433" s="166"/>
      <c r="H433" s="166"/>
      <c r="I433" s="166"/>
      <c r="J433" s="166"/>
      <c r="K433" s="166"/>
      <c r="L433" s="166"/>
      <c r="M433" s="166"/>
      <c r="N433" s="166"/>
      <c r="O433" s="166"/>
      <c r="P433" s="166"/>
      <c r="Q433" s="76"/>
      <c r="R433" s="76"/>
      <c r="S433" s="76"/>
      <c r="T433" s="76"/>
      <c r="U433" s="76"/>
      <c r="V433" s="76"/>
    </row>
    <row r="434" spans="2:22" s="72" customFormat="1" ht="11.4" x14ac:dyDescent="0.25">
      <c r="B434" s="165" t="s">
        <v>9643</v>
      </c>
      <c r="C434" s="165"/>
      <c r="D434" s="165"/>
      <c r="E434" s="165"/>
      <c r="F434" s="165"/>
      <c r="G434" s="165"/>
      <c r="H434" s="165"/>
      <c r="I434" s="165"/>
      <c r="J434" s="165"/>
      <c r="K434" s="165"/>
      <c r="L434" s="165"/>
      <c r="M434" s="165"/>
      <c r="N434" s="165"/>
      <c r="O434" s="165"/>
      <c r="P434" s="165"/>
      <c r="Q434" s="73"/>
      <c r="R434" s="23"/>
      <c r="S434" s="23"/>
      <c r="T434" s="73"/>
      <c r="U434" s="73"/>
      <c r="V434" s="73"/>
    </row>
    <row r="435" spans="2:22" s="72" customFormat="1" ht="11.4" x14ac:dyDescent="0.25">
      <c r="B435" s="73" t="s">
        <v>9643</v>
      </c>
      <c r="C435" s="33" t="s">
        <v>604</v>
      </c>
      <c r="D435" s="23" t="s">
        <v>605</v>
      </c>
      <c r="E435" s="73"/>
      <c r="F435" s="73"/>
      <c r="G435" s="73"/>
      <c r="H435" s="73"/>
      <c r="I435" s="73"/>
      <c r="J435" s="33" t="s">
        <v>9374</v>
      </c>
      <c r="K435" s="33" t="s">
        <v>11016</v>
      </c>
      <c r="L435" s="33" t="s">
        <v>121</v>
      </c>
      <c r="M435" s="33" t="s">
        <v>9376</v>
      </c>
      <c r="N435" s="73"/>
      <c r="O435" s="73"/>
      <c r="P435" s="73"/>
      <c r="Q435" s="73"/>
      <c r="R435" s="23"/>
      <c r="S435" s="23"/>
      <c r="T435" s="73"/>
      <c r="U435" s="73"/>
      <c r="V435" s="73"/>
    </row>
    <row r="436" spans="2:22" s="72" customFormat="1" ht="11.4" x14ac:dyDescent="0.25">
      <c r="B436" s="166"/>
      <c r="C436" s="166"/>
      <c r="D436" s="166"/>
      <c r="E436" s="166"/>
      <c r="F436" s="166"/>
      <c r="G436" s="166"/>
      <c r="H436" s="166"/>
      <c r="I436" s="166"/>
      <c r="J436" s="166"/>
      <c r="K436" s="166"/>
      <c r="L436" s="166"/>
      <c r="M436" s="166"/>
      <c r="N436" s="166"/>
      <c r="O436" s="166"/>
      <c r="P436" s="166"/>
      <c r="Q436" s="75"/>
      <c r="R436" s="75"/>
      <c r="S436" s="75"/>
      <c r="T436" s="75"/>
      <c r="U436" s="75"/>
      <c r="V436" s="75"/>
    </row>
    <row r="437" spans="2:22" s="72" customFormat="1" ht="11.4" x14ac:dyDescent="0.25">
      <c r="B437" s="165" t="s">
        <v>9645</v>
      </c>
      <c r="C437" s="165"/>
      <c r="D437" s="165"/>
      <c r="E437" s="165"/>
      <c r="F437" s="165"/>
      <c r="G437" s="165"/>
      <c r="H437" s="165"/>
      <c r="I437" s="165"/>
      <c r="J437" s="165"/>
      <c r="K437" s="165"/>
      <c r="L437" s="165"/>
      <c r="M437" s="165"/>
      <c r="N437" s="165"/>
      <c r="O437" s="165"/>
      <c r="P437" s="165"/>
      <c r="Q437" s="76"/>
      <c r="R437" s="76"/>
      <c r="S437" s="76"/>
      <c r="T437" s="76"/>
      <c r="U437" s="76"/>
      <c r="V437" s="76"/>
    </row>
    <row r="438" spans="2:22" s="72" customFormat="1" ht="11.4" x14ac:dyDescent="0.25">
      <c r="B438" s="73" t="s">
        <v>9645</v>
      </c>
      <c r="C438" s="33" t="s">
        <v>606</v>
      </c>
      <c r="D438" s="23" t="s">
        <v>607</v>
      </c>
      <c r="E438" s="73"/>
      <c r="F438" s="73"/>
      <c r="G438" s="73"/>
      <c r="H438" s="73"/>
      <c r="I438" s="73"/>
      <c r="J438" s="33" t="s">
        <v>9374</v>
      </c>
      <c r="K438" s="33" t="s">
        <v>11016</v>
      </c>
      <c r="L438" s="33" t="s">
        <v>121</v>
      </c>
      <c r="M438" s="33" t="s">
        <v>9376</v>
      </c>
      <c r="N438" s="73"/>
      <c r="O438" s="73"/>
      <c r="P438" s="73"/>
      <c r="Q438" s="73"/>
      <c r="R438" s="23"/>
      <c r="S438" s="23"/>
      <c r="T438" s="73"/>
      <c r="U438" s="73"/>
      <c r="V438" s="73"/>
    </row>
    <row r="439" spans="2:22" s="72" customFormat="1" ht="11.4" x14ac:dyDescent="0.25">
      <c r="B439" s="166"/>
      <c r="C439" s="166"/>
      <c r="D439" s="166"/>
      <c r="E439" s="166"/>
      <c r="F439" s="166"/>
      <c r="G439" s="166"/>
      <c r="H439" s="166"/>
      <c r="I439" s="166"/>
      <c r="J439" s="166"/>
      <c r="K439" s="166"/>
      <c r="L439" s="166"/>
      <c r="M439" s="166"/>
      <c r="N439" s="166"/>
      <c r="O439" s="166"/>
      <c r="P439" s="166"/>
      <c r="Q439" s="73"/>
      <c r="R439" s="23"/>
      <c r="S439" s="23"/>
      <c r="T439" s="73"/>
      <c r="U439" s="73"/>
      <c r="V439" s="73"/>
    </row>
    <row r="440" spans="2:22" s="72" customFormat="1" ht="11.4" x14ac:dyDescent="0.25">
      <c r="B440" s="165" t="s">
        <v>9647</v>
      </c>
      <c r="C440" s="165"/>
      <c r="D440" s="165"/>
      <c r="E440" s="165"/>
      <c r="F440" s="165"/>
      <c r="G440" s="165"/>
      <c r="H440" s="165"/>
      <c r="I440" s="165"/>
      <c r="J440" s="165"/>
      <c r="K440" s="165"/>
      <c r="L440" s="165"/>
      <c r="M440" s="165"/>
      <c r="N440" s="165"/>
      <c r="O440" s="165"/>
      <c r="P440" s="165"/>
      <c r="Q440" s="75"/>
      <c r="R440" s="75"/>
      <c r="S440" s="75"/>
      <c r="T440" s="75"/>
      <c r="U440" s="75"/>
      <c r="V440" s="75"/>
    </row>
    <row r="441" spans="2:22" s="72" customFormat="1" ht="11.4" x14ac:dyDescent="0.25">
      <c r="B441" s="73" t="s">
        <v>9647</v>
      </c>
      <c r="C441" s="33" t="s">
        <v>608</v>
      </c>
      <c r="D441" s="23" t="s">
        <v>609</v>
      </c>
      <c r="E441" s="73"/>
      <c r="F441" s="73"/>
      <c r="G441" s="73"/>
      <c r="H441" s="73"/>
      <c r="I441" s="73"/>
      <c r="J441" s="33" t="s">
        <v>9374</v>
      </c>
      <c r="K441" s="33" t="s">
        <v>11016</v>
      </c>
      <c r="L441" s="33" t="s">
        <v>121</v>
      </c>
      <c r="M441" s="33" t="s">
        <v>9376</v>
      </c>
      <c r="N441" s="73"/>
      <c r="O441" s="73"/>
      <c r="P441" s="73"/>
      <c r="Q441" s="76"/>
      <c r="R441" s="76"/>
      <c r="S441" s="76"/>
      <c r="T441" s="76"/>
      <c r="U441" s="76"/>
      <c r="V441" s="76"/>
    </row>
    <row r="442" spans="2:22" s="72" customFormat="1" ht="30.6" x14ac:dyDescent="0.25">
      <c r="B442" s="73" t="s">
        <v>9647</v>
      </c>
      <c r="C442" s="33" t="s">
        <v>1668</v>
      </c>
      <c r="D442" s="23" t="s">
        <v>1669</v>
      </c>
      <c r="E442" s="73" t="s">
        <v>11043</v>
      </c>
      <c r="F442" s="73" t="s">
        <v>10902</v>
      </c>
      <c r="G442" s="73"/>
      <c r="H442" s="73" t="s">
        <v>10992</v>
      </c>
      <c r="I442" s="73" t="s">
        <v>11044</v>
      </c>
      <c r="J442" s="33" t="s">
        <v>9374</v>
      </c>
      <c r="K442" s="33" t="s">
        <v>11016</v>
      </c>
      <c r="L442" s="33" t="s">
        <v>121</v>
      </c>
      <c r="M442" s="33" t="s">
        <v>9376</v>
      </c>
      <c r="N442" s="73"/>
      <c r="O442" s="73"/>
      <c r="P442" s="73"/>
      <c r="Q442" s="73"/>
      <c r="R442" s="23"/>
      <c r="S442" s="23"/>
      <c r="T442" s="73"/>
      <c r="U442" s="73"/>
      <c r="V442" s="73"/>
    </row>
    <row r="443" spans="2:22" s="72" customFormat="1" ht="11.4" x14ac:dyDescent="0.25">
      <c r="B443" s="73" t="s">
        <v>9647</v>
      </c>
      <c r="C443" s="33" t="s">
        <v>2054</v>
      </c>
      <c r="D443" s="23" t="s">
        <v>2055</v>
      </c>
      <c r="E443" s="73" t="s">
        <v>11043</v>
      </c>
      <c r="F443" s="73" t="s">
        <v>10902</v>
      </c>
      <c r="G443" s="73"/>
      <c r="H443" s="73" t="s">
        <v>10992</v>
      </c>
      <c r="I443" s="73"/>
      <c r="J443" s="33" t="s">
        <v>9374</v>
      </c>
      <c r="K443" s="33" t="s">
        <v>11016</v>
      </c>
      <c r="L443" s="33" t="s">
        <v>121</v>
      </c>
      <c r="M443" s="33" t="s">
        <v>9376</v>
      </c>
      <c r="N443" s="73"/>
      <c r="O443" s="73"/>
      <c r="P443" s="73"/>
      <c r="Q443" s="73"/>
      <c r="R443" s="23"/>
      <c r="S443" s="23"/>
      <c r="T443" s="73"/>
      <c r="U443" s="73"/>
      <c r="V443" s="73"/>
    </row>
    <row r="444" spans="2:22" s="72" customFormat="1" ht="11.4" x14ac:dyDescent="0.25">
      <c r="B444" s="166"/>
      <c r="C444" s="166"/>
      <c r="D444" s="166"/>
      <c r="E444" s="166"/>
      <c r="F444" s="166"/>
      <c r="G444" s="166"/>
      <c r="H444" s="166"/>
      <c r="I444" s="166"/>
      <c r="J444" s="166"/>
      <c r="K444" s="166"/>
      <c r="L444" s="166"/>
      <c r="M444" s="166"/>
      <c r="N444" s="166"/>
      <c r="O444" s="166"/>
      <c r="P444" s="166"/>
      <c r="Q444" s="75"/>
      <c r="R444" s="75"/>
      <c r="S444" s="75"/>
      <c r="T444" s="75"/>
      <c r="U444" s="75"/>
      <c r="V444" s="75"/>
    </row>
    <row r="445" spans="2:22" s="72" customFormat="1" ht="11.4" x14ac:dyDescent="0.25">
      <c r="B445" s="165" t="s">
        <v>9649</v>
      </c>
      <c r="C445" s="165"/>
      <c r="D445" s="165"/>
      <c r="E445" s="165"/>
      <c r="F445" s="165"/>
      <c r="G445" s="165"/>
      <c r="H445" s="165"/>
      <c r="I445" s="165"/>
      <c r="J445" s="165"/>
      <c r="K445" s="165"/>
      <c r="L445" s="165"/>
      <c r="M445" s="165"/>
      <c r="N445" s="165"/>
      <c r="O445" s="165"/>
      <c r="P445" s="165"/>
      <c r="Q445" s="76"/>
      <c r="R445" s="76"/>
      <c r="S445" s="76"/>
      <c r="T445" s="76"/>
      <c r="U445" s="76"/>
      <c r="V445" s="76"/>
    </row>
    <row r="446" spans="2:22" s="72" customFormat="1" ht="11.4" x14ac:dyDescent="0.25">
      <c r="B446" s="73" t="s">
        <v>9649</v>
      </c>
      <c r="C446" s="33" t="s">
        <v>610</v>
      </c>
      <c r="D446" s="23" t="s">
        <v>611</v>
      </c>
      <c r="E446" s="73"/>
      <c r="F446" s="73"/>
      <c r="G446" s="73"/>
      <c r="H446" s="73"/>
      <c r="I446" s="73"/>
      <c r="J446" s="33" t="s">
        <v>9374</v>
      </c>
      <c r="K446" s="33" t="s">
        <v>11016</v>
      </c>
      <c r="L446" s="33" t="s">
        <v>121</v>
      </c>
      <c r="M446" s="33" t="s">
        <v>9376</v>
      </c>
      <c r="N446" s="73"/>
      <c r="O446" s="73"/>
      <c r="P446" s="73"/>
      <c r="Q446" s="73"/>
      <c r="R446" s="23"/>
      <c r="S446" s="23"/>
      <c r="T446" s="73"/>
      <c r="U446" s="73"/>
      <c r="V446" s="73"/>
    </row>
    <row r="447" spans="2:22" s="72" customFormat="1" ht="11.4" x14ac:dyDescent="0.25">
      <c r="B447" s="166"/>
      <c r="C447" s="166"/>
      <c r="D447" s="166"/>
      <c r="E447" s="166"/>
      <c r="F447" s="166"/>
      <c r="G447" s="166"/>
      <c r="H447" s="166"/>
      <c r="I447" s="166"/>
      <c r="J447" s="166"/>
      <c r="K447" s="166"/>
      <c r="L447" s="166"/>
      <c r="M447" s="166"/>
      <c r="N447" s="166"/>
      <c r="O447" s="166"/>
      <c r="P447" s="166"/>
      <c r="Q447" s="73"/>
      <c r="R447" s="23"/>
      <c r="S447" s="23"/>
      <c r="T447" s="73"/>
      <c r="U447" s="73"/>
      <c r="V447" s="73"/>
    </row>
    <row r="448" spans="2:22" s="72" customFormat="1" ht="11.4" x14ac:dyDescent="0.25">
      <c r="B448" s="165" t="s">
        <v>9652</v>
      </c>
      <c r="C448" s="165"/>
      <c r="D448" s="165"/>
      <c r="E448" s="165"/>
      <c r="F448" s="165"/>
      <c r="G448" s="165"/>
      <c r="H448" s="165"/>
      <c r="I448" s="165"/>
      <c r="J448" s="165"/>
      <c r="K448" s="165"/>
      <c r="L448" s="165"/>
      <c r="M448" s="165"/>
      <c r="N448" s="165"/>
      <c r="O448" s="165"/>
      <c r="P448" s="165"/>
      <c r="Q448" s="75"/>
      <c r="R448" s="75"/>
      <c r="S448" s="75"/>
      <c r="T448" s="75"/>
      <c r="U448" s="75"/>
      <c r="V448" s="75"/>
    </row>
    <row r="449" spans="2:22" s="72" customFormat="1" ht="11.4" x14ac:dyDescent="0.25">
      <c r="B449" s="73" t="s">
        <v>9652</v>
      </c>
      <c r="C449" s="33" t="s">
        <v>612</v>
      </c>
      <c r="D449" s="23" t="s">
        <v>613</v>
      </c>
      <c r="E449" s="73"/>
      <c r="F449" s="73"/>
      <c r="G449" s="73"/>
      <c r="H449" s="73"/>
      <c r="I449" s="73"/>
      <c r="J449" s="33" t="s">
        <v>9374</v>
      </c>
      <c r="K449" s="33" t="s">
        <v>9375</v>
      </c>
      <c r="L449" s="33" t="s">
        <v>121</v>
      </c>
      <c r="M449" s="33" t="s">
        <v>9376</v>
      </c>
      <c r="N449" s="73"/>
      <c r="O449" s="73"/>
      <c r="P449" s="73"/>
      <c r="Q449" s="76"/>
      <c r="R449" s="76"/>
      <c r="S449" s="76"/>
      <c r="T449" s="76"/>
      <c r="U449" s="76"/>
      <c r="V449" s="76"/>
    </row>
    <row r="450" spans="2:22" s="72" customFormat="1" ht="91.8" x14ac:dyDescent="0.25">
      <c r="B450" s="73" t="s">
        <v>9652</v>
      </c>
      <c r="C450" s="33" t="s">
        <v>1581</v>
      </c>
      <c r="D450" s="23" t="s">
        <v>1582</v>
      </c>
      <c r="E450" s="73"/>
      <c r="F450" s="73"/>
      <c r="G450" s="73"/>
      <c r="H450" s="73"/>
      <c r="I450" s="73" t="s">
        <v>11045</v>
      </c>
      <c r="J450" s="33" t="s">
        <v>9374</v>
      </c>
      <c r="K450" s="33" t="s">
        <v>9375</v>
      </c>
      <c r="L450" s="33" t="s">
        <v>121</v>
      </c>
      <c r="M450" s="33" t="s">
        <v>9376</v>
      </c>
      <c r="N450" s="73"/>
      <c r="O450" s="73"/>
      <c r="P450" s="73"/>
      <c r="Q450" s="73"/>
      <c r="R450" s="23"/>
      <c r="S450" s="23"/>
      <c r="T450" s="73"/>
      <c r="U450" s="73"/>
      <c r="V450" s="73"/>
    </row>
    <row r="451" spans="2:22" s="72" customFormat="1" ht="11.4" x14ac:dyDescent="0.25">
      <c r="B451" s="73" t="s">
        <v>9652</v>
      </c>
      <c r="C451" s="33" t="s">
        <v>1584</v>
      </c>
      <c r="D451" s="23" t="s">
        <v>1585</v>
      </c>
      <c r="E451" s="73" t="s">
        <v>10991</v>
      </c>
      <c r="F451" s="73" t="s">
        <v>10902</v>
      </c>
      <c r="G451" s="73"/>
      <c r="H451" s="73" t="s">
        <v>10992</v>
      </c>
      <c r="I451" s="73" t="s">
        <v>11046</v>
      </c>
      <c r="J451" s="33" t="s">
        <v>9374</v>
      </c>
      <c r="K451" s="33" t="s">
        <v>9375</v>
      </c>
      <c r="L451" s="33" t="s">
        <v>121</v>
      </c>
      <c r="M451" s="33" t="s">
        <v>9376</v>
      </c>
      <c r="N451" s="73"/>
      <c r="O451" s="73"/>
      <c r="P451" s="73"/>
      <c r="Q451" s="73"/>
      <c r="R451" s="23"/>
      <c r="S451" s="23"/>
      <c r="T451" s="73"/>
      <c r="U451" s="73"/>
      <c r="V451" s="73"/>
    </row>
    <row r="452" spans="2:22" s="72" customFormat="1" ht="20.399999999999999" x14ac:dyDescent="0.25">
      <c r="B452" s="73" t="s">
        <v>9652</v>
      </c>
      <c r="C452" s="33" t="s">
        <v>1587</v>
      </c>
      <c r="D452" s="23" t="s">
        <v>1588</v>
      </c>
      <c r="E452" s="73" t="s">
        <v>11010</v>
      </c>
      <c r="F452" s="73" t="s">
        <v>10902</v>
      </c>
      <c r="G452" s="73"/>
      <c r="H452" s="73" t="s">
        <v>11047</v>
      </c>
      <c r="I452" s="73" t="s">
        <v>11048</v>
      </c>
      <c r="J452" s="33" t="s">
        <v>9374</v>
      </c>
      <c r="K452" s="33" t="s">
        <v>9375</v>
      </c>
      <c r="L452" s="33" t="s">
        <v>121</v>
      </c>
      <c r="M452" s="33" t="s">
        <v>9376</v>
      </c>
      <c r="N452" s="73"/>
      <c r="O452" s="73"/>
      <c r="P452" s="73"/>
      <c r="Q452" s="75"/>
      <c r="R452" s="75"/>
      <c r="S452" s="75"/>
      <c r="T452" s="75"/>
      <c r="U452" s="75"/>
      <c r="V452" s="75"/>
    </row>
    <row r="453" spans="2:22" s="72" customFormat="1" ht="20.399999999999999" x14ac:dyDescent="0.25">
      <c r="B453" s="73" t="s">
        <v>9652</v>
      </c>
      <c r="C453" s="33" t="s">
        <v>1589</v>
      </c>
      <c r="D453" s="23" t="s">
        <v>1590</v>
      </c>
      <c r="E453" s="73" t="s">
        <v>10963</v>
      </c>
      <c r="F453" s="73" t="s">
        <v>10902</v>
      </c>
      <c r="G453" s="73"/>
      <c r="H453" s="73" t="s">
        <v>10964</v>
      </c>
      <c r="I453" s="73" t="s">
        <v>11049</v>
      </c>
      <c r="J453" s="33" t="s">
        <v>9374</v>
      </c>
      <c r="K453" s="33" t="s">
        <v>9375</v>
      </c>
      <c r="L453" s="33" t="s">
        <v>121</v>
      </c>
      <c r="M453" s="33" t="s">
        <v>9376</v>
      </c>
      <c r="N453" s="73"/>
      <c r="O453" s="73"/>
      <c r="P453" s="73"/>
      <c r="Q453" s="76"/>
      <c r="R453" s="76"/>
      <c r="S453" s="76"/>
      <c r="T453" s="76"/>
      <c r="U453" s="76"/>
      <c r="V453" s="76"/>
    </row>
    <row r="454" spans="2:22" s="72" customFormat="1" ht="40.799999999999997" x14ac:dyDescent="0.25">
      <c r="B454" s="73" t="s">
        <v>9652</v>
      </c>
      <c r="C454" s="33" t="s">
        <v>1591</v>
      </c>
      <c r="D454" s="23" t="s">
        <v>1592</v>
      </c>
      <c r="E454" s="73" t="s">
        <v>11050</v>
      </c>
      <c r="F454" s="73" t="s">
        <v>10902</v>
      </c>
      <c r="G454" s="73"/>
      <c r="H454" s="73" t="s">
        <v>11012</v>
      </c>
      <c r="I454" s="73" t="s">
        <v>11051</v>
      </c>
      <c r="J454" s="33" t="s">
        <v>9374</v>
      </c>
      <c r="K454" s="33" t="s">
        <v>9375</v>
      </c>
      <c r="L454" s="33" t="s">
        <v>121</v>
      </c>
      <c r="M454" s="33" t="s">
        <v>9376</v>
      </c>
      <c r="N454" s="73"/>
      <c r="O454" s="73"/>
      <c r="P454" s="73"/>
      <c r="Q454" s="73"/>
      <c r="R454" s="23"/>
      <c r="S454" s="23"/>
      <c r="T454" s="73"/>
      <c r="U454" s="73"/>
      <c r="V454" s="73"/>
    </row>
    <row r="455" spans="2:22" s="72" customFormat="1" ht="11.4" x14ac:dyDescent="0.25">
      <c r="B455" s="73" t="s">
        <v>9652</v>
      </c>
      <c r="C455" s="33" t="s">
        <v>1593</v>
      </c>
      <c r="D455" s="23" t="s">
        <v>1594</v>
      </c>
      <c r="E455" s="73"/>
      <c r="F455" s="73"/>
      <c r="G455" s="73"/>
      <c r="H455" s="73"/>
      <c r="I455" s="73"/>
      <c r="J455" s="33" t="s">
        <v>9374</v>
      </c>
      <c r="K455" s="33" t="s">
        <v>9375</v>
      </c>
      <c r="L455" s="33" t="s">
        <v>121</v>
      </c>
      <c r="M455" s="33" t="s">
        <v>9376</v>
      </c>
      <c r="N455" s="73"/>
      <c r="O455" s="73"/>
      <c r="P455" s="73"/>
      <c r="Q455" s="73"/>
      <c r="R455" s="23"/>
      <c r="S455" s="23"/>
      <c r="T455" s="73"/>
      <c r="U455" s="73"/>
      <c r="V455" s="73"/>
    </row>
    <row r="456" spans="2:22" s="72" customFormat="1" ht="30.6" x14ac:dyDescent="0.25">
      <c r="B456" s="73" t="s">
        <v>9652</v>
      </c>
      <c r="C456" s="33" t="s">
        <v>1595</v>
      </c>
      <c r="D456" s="23" t="s">
        <v>1596</v>
      </c>
      <c r="E456" s="73" t="s">
        <v>11013</v>
      </c>
      <c r="F456" s="73" t="s">
        <v>10902</v>
      </c>
      <c r="G456" s="73"/>
      <c r="H456" s="73" t="s">
        <v>11014</v>
      </c>
      <c r="I456" s="73" t="s">
        <v>11052</v>
      </c>
      <c r="J456" s="33" t="s">
        <v>9374</v>
      </c>
      <c r="K456" s="33" t="s">
        <v>9375</v>
      </c>
      <c r="L456" s="33" t="s">
        <v>121</v>
      </c>
      <c r="M456" s="33" t="s">
        <v>9376</v>
      </c>
      <c r="N456" s="73"/>
      <c r="O456" s="73"/>
      <c r="P456" s="73"/>
      <c r="Q456" s="75"/>
      <c r="R456" s="75"/>
      <c r="S456" s="75"/>
      <c r="T456" s="75"/>
      <c r="U456" s="75"/>
      <c r="V456" s="75"/>
    </row>
    <row r="457" spans="2:22" s="72" customFormat="1" ht="20.399999999999999" x14ac:dyDescent="0.25">
      <c r="B457" s="73" t="s">
        <v>9652</v>
      </c>
      <c r="C457" s="33" t="s">
        <v>1677</v>
      </c>
      <c r="D457" s="23" t="s">
        <v>1678</v>
      </c>
      <c r="E457" s="73" t="s">
        <v>11053</v>
      </c>
      <c r="F457" s="73" t="s">
        <v>10902</v>
      </c>
      <c r="G457" s="73"/>
      <c r="H457" s="73" t="s">
        <v>10917</v>
      </c>
      <c r="I457" s="73" t="s">
        <v>11054</v>
      </c>
      <c r="J457" s="33" t="s">
        <v>9374</v>
      </c>
      <c r="K457" s="33" t="s">
        <v>9375</v>
      </c>
      <c r="L457" s="33" t="s">
        <v>121</v>
      </c>
      <c r="M457" s="33" t="s">
        <v>9376</v>
      </c>
      <c r="N457" s="73"/>
      <c r="O457" s="73"/>
      <c r="P457" s="73"/>
      <c r="Q457" s="76"/>
      <c r="R457" s="76"/>
      <c r="S457" s="76"/>
      <c r="T457" s="76"/>
      <c r="U457" s="76"/>
      <c r="V457" s="76"/>
    </row>
    <row r="458" spans="2:22" s="72" customFormat="1" ht="11.4" x14ac:dyDescent="0.25">
      <c r="B458" s="73" t="s">
        <v>9652</v>
      </c>
      <c r="C458" s="33" t="s">
        <v>1701</v>
      </c>
      <c r="D458" s="23" t="s">
        <v>1702</v>
      </c>
      <c r="E458" s="73" t="s">
        <v>11055</v>
      </c>
      <c r="F458" s="73" t="s">
        <v>10902</v>
      </c>
      <c r="G458" s="73"/>
      <c r="H458" s="73" t="s">
        <v>11056</v>
      </c>
      <c r="I458" s="73" t="s">
        <v>11057</v>
      </c>
      <c r="J458" s="33" t="s">
        <v>9374</v>
      </c>
      <c r="K458" s="33" t="s">
        <v>9375</v>
      </c>
      <c r="L458" s="33" t="s">
        <v>121</v>
      </c>
      <c r="M458" s="33" t="s">
        <v>9376</v>
      </c>
      <c r="N458" s="73"/>
      <c r="O458" s="73"/>
      <c r="P458" s="73"/>
      <c r="Q458" s="73"/>
      <c r="R458" s="23"/>
      <c r="S458" s="23"/>
      <c r="T458" s="73"/>
      <c r="U458" s="73"/>
      <c r="V458" s="73"/>
    </row>
    <row r="459" spans="2:22" s="72" customFormat="1" ht="61.2" x14ac:dyDescent="0.25">
      <c r="B459" s="73" t="s">
        <v>9652</v>
      </c>
      <c r="C459" s="33" t="s">
        <v>1711</v>
      </c>
      <c r="D459" s="23" t="s">
        <v>1712</v>
      </c>
      <c r="E459" s="73" t="s">
        <v>11058</v>
      </c>
      <c r="F459" s="73" t="s">
        <v>10902</v>
      </c>
      <c r="G459" s="73"/>
      <c r="H459" s="73" t="s">
        <v>11059</v>
      </c>
      <c r="I459" s="73" t="s">
        <v>11060</v>
      </c>
      <c r="J459" s="33" t="s">
        <v>9374</v>
      </c>
      <c r="K459" s="33" t="s">
        <v>9375</v>
      </c>
      <c r="L459" s="33" t="s">
        <v>121</v>
      </c>
      <c r="M459" s="33" t="s">
        <v>9376</v>
      </c>
      <c r="N459" s="73"/>
      <c r="O459" s="73"/>
      <c r="P459" s="73"/>
      <c r="Q459" s="73"/>
      <c r="R459" s="23"/>
      <c r="S459" s="23"/>
      <c r="T459" s="73"/>
      <c r="U459" s="73"/>
      <c r="V459" s="73"/>
    </row>
    <row r="460" spans="2:22" s="72" customFormat="1" ht="11.4" x14ac:dyDescent="0.25">
      <c r="B460" s="166"/>
      <c r="C460" s="166"/>
      <c r="D460" s="166"/>
      <c r="E460" s="166"/>
      <c r="F460" s="166"/>
      <c r="G460" s="166"/>
      <c r="H460" s="166"/>
      <c r="I460" s="166"/>
      <c r="J460" s="166"/>
      <c r="K460" s="166"/>
      <c r="L460" s="166"/>
      <c r="M460" s="166"/>
      <c r="N460" s="166"/>
      <c r="O460" s="166"/>
      <c r="P460" s="166"/>
      <c r="Q460" s="75"/>
      <c r="R460" s="75"/>
      <c r="S460" s="75"/>
      <c r="T460" s="75"/>
      <c r="U460" s="75"/>
      <c r="V460" s="75"/>
    </row>
    <row r="461" spans="2:22" s="72" customFormat="1" ht="11.4" x14ac:dyDescent="0.25">
      <c r="B461" s="165" t="s">
        <v>9655</v>
      </c>
      <c r="C461" s="165"/>
      <c r="D461" s="165"/>
      <c r="E461" s="165"/>
      <c r="F461" s="165"/>
      <c r="G461" s="165"/>
      <c r="H461" s="165"/>
      <c r="I461" s="165"/>
      <c r="J461" s="165"/>
      <c r="K461" s="165"/>
      <c r="L461" s="165"/>
      <c r="M461" s="165"/>
      <c r="N461" s="165"/>
      <c r="O461" s="165"/>
      <c r="P461" s="165"/>
      <c r="Q461" s="76"/>
      <c r="R461" s="76"/>
      <c r="S461" s="76"/>
      <c r="T461" s="76"/>
      <c r="U461" s="76"/>
      <c r="V461" s="76"/>
    </row>
    <row r="462" spans="2:22" s="72" customFormat="1" ht="11.4" x14ac:dyDescent="0.25">
      <c r="B462" s="73" t="s">
        <v>9655</v>
      </c>
      <c r="C462" s="33" t="s">
        <v>614</v>
      </c>
      <c r="D462" s="23" t="s">
        <v>615</v>
      </c>
      <c r="E462" s="73"/>
      <c r="F462" s="73"/>
      <c r="G462" s="73"/>
      <c r="H462" s="73"/>
      <c r="I462" s="73"/>
      <c r="J462" s="33" t="s">
        <v>9374</v>
      </c>
      <c r="K462" s="33" t="s">
        <v>9375</v>
      </c>
      <c r="L462" s="33" t="s">
        <v>121</v>
      </c>
      <c r="M462" s="33" t="s">
        <v>9376</v>
      </c>
      <c r="N462" s="73"/>
      <c r="O462" s="73"/>
      <c r="P462" s="73"/>
      <c r="Q462" s="73"/>
      <c r="R462" s="23"/>
      <c r="S462" s="23"/>
      <c r="T462" s="73"/>
      <c r="U462" s="73"/>
      <c r="V462" s="73"/>
    </row>
    <row r="463" spans="2:22" s="72" customFormat="1" ht="11.4" x14ac:dyDescent="0.25">
      <c r="B463" s="73" t="s">
        <v>9655</v>
      </c>
      <c r="C463" s="33" t="s">
        <v>1611</v>
      </c>
      <c r="D463" s="23" t="s">
        <v>1612</v>
      </c>
      <c r="E463" s="73"/>
      <c r="F463" s="73"/>
      <c r="G463" s="73"/>
      <c r="H463" s="73"/>
      <c r="I463" s="73"/>
      <c r="J463" s="33" t="s">
        <v>9374</v>
      </c>
      <c r="K463" s="33" t="s">
        <v>9375</v>
      </c>
      <c r="L463" s="33" t="s">
        <v>121</v>
      </c>
      <c r="M463" s="33" t="s">
        <v>9376</v>
      </c>
      <c r="N463" s="73"/>
      <c r="O463" s="73"/>
      <c r="P463" s="73"/>
      <c r="Q463" s="73"/>
      <c r="R463" s="23"/>
      <c r="S463" s="23"/>
      <c r="T463" s="73"/>
      <c r="U463" s="73"/>
      <c r="V463" s="73"/>
    </row>
    <row r="464" spans="2:22" s="72" customFormat="1" ht="61.2" x14ac:dyDescent="0.25">
      <c r="B464" s="73" t="s">
        <v>9655</v>
      </c>
      <c r="C464" s="33" t="s">
        <v>1619</v>
      </c>
      <c r="D464" s="23" t="s">
        <v>1620</v>
      </c>
      <c r="E464" s="73" t="s">
        <v>11061</v>
      </c>
      <c r="F464" s="73" t="s">
        <v>10902</v>
      </c>
      <c r="G464" s="73"/>
      <c r="H464" s="73" t="s">
        <v>11062</v>
      </c>
      <c r="I464" s="73" t="s">
        <v>11063</v>
      </c>
      <c r="J464" s="33" t="s">
        <v>9374</v>
      </c>
      <c r="K464" s="33" t="s">
        <v>9375</v>
      </c>
      <c r="L464" s="33" t="s">
        <v>121</v>
      </c>
      <c r="M464" s="33" t="s">
        <v>9376</v>
      </c>
      <c r="N464" s="73"/>
      <c r="O464" s="73"/>
      <c r="P464" s="73"/>
      <c r="Q464" s="75"/>
      <c r="R464" s="75"/>
      <c r="S464" s="75"/>
      <c r="T464" s="75"/>
      <c r="U464" s="75"/>
      <c r="V464" s="75"/>
    </row>
    <row r="465" spans="2:22" s="72" customFormat="1" ht="11.4" x14ac:dyDescent="0.25">
      <c r="B465" s="166"/>
      <c r="C465" s="166"/>
      <c r="D465" s="166"/>
      <c r="E465" s="166"/>
      <c r="F465" s="166"/>
      <c r="G465" s="166"/>
      <c r="H465" s="166"/>
      <c r="I465" s="166"/>
      <c r="J465" s="166"/>
      <c r="K465" s="166"/>
      <c r="L465" s="166"/>
      <c r="M465" s="166"/>
      <c r="N465" s="166"/>
      <c r="O465" s="166"/>
      <c r="P465" s="166"/>
      <c r="Q465" s="76"/>
      <c r="R465" s="76"/>
      <c r="S465" s="76"/>
      <c r="T465" s="76"/>
      <c r="U465" s="76"/>
      <c r="V465" s="76"/>
    </row>
    <row r="466" spans="2:22" s="72" customFormat="1" ht="11.4" x14ac:dyDescent="0.25">
      <c r="B466" s="165" t="s">
        <v>9658</v>
      </c>
      <c r="C466" s="165"/>
      <c r="D466" s="165"/>
      <c r="E466" s="165"/>
      <c r="F466" s="165"/>
      <c r="G466" s="165"/>
      <c r="H466" s="165"/>
      <c r="I466" s="165"/>
      <c r="J466" s="165"/>
      <c r="K466" s="165"/>
      <c r="L466" s="165"/>
      <c r="M466" s="165"/>
      <c r="N466" s="165"/>
      <c r="O466" s="165"/>
      <c r="P466" s="165"/>
      <c r="Q466" s="73"/>
      <c r="R466" s="23"/>
      <c r="S466" s="23"/>
      <c r="T466" s="73"/>
      <c r="U466" s="73"/>
      <c r="V466" s="73"/>
    </row>
    <row r="467" spans="2:22" s="72" customFormat="1" ht="11.4" x14ac:dyDescent="0.25">
      <c r="B467" s="73" t="s">
        <v>9658</v>
      </c>
      <c r="C467" s="33" t="s">
        <v>616</v>
      </c>
      <c r="D467" s="23" t="s">
        <v>617</v>
      </c>
      <c r="E467" s="73"/>
      <c r="F467" s="73"/>
      <c r="G467" s="73"/>
      <c r="H467" s="73"/>
      <c r="I467" s="73"/>
      <c r="J467" s="33" t="s">
        <v>9374</v>
      </c>
      <c r="K467" s="33" t="s">
        <v>11016</v>
      </c>
      <c r="L467" s="33" t="s">
        <v>121</v>
      </c>
      <c r="M467" s="33" t="s">
        <v>9376</v>
      </c>
      <c r="N467" s="73"/>
      <c r="O467" s="73"/>
      <c r="P467" s="73"/>
      <c r="Q467" s="73"/>
      <c r="R467" s="23"/>
      <c r="S467" s="23"/>
      <c r="T467" s="73"/>
      <c r="U467" s="73"/>
      <c r="V467" s="73"/>
    </row>
    <row r="468" spans="2:22" s="72" customFormat="1" ht="11.4" x14ac:dyDescent="0.25">
      <c r="B468" s="166"/>
      <c r="C468" s="166"/>
      <c r="D468" s="166"/>
      <c r="E468" s="166"/>
      <c r="F468" s="166"/>
      <c r="G468" s="166"/>
      <c r="H468" s="166"/>
      <c r="I468" s="166"/>
      <c r="J468" s="166"/>
      <c r="K468" s="166"/>
      <c r="L468" s="166"/>
      <c r="M468" s="166"/>
      <c r="N468" s="166"/>
      <c r="O468" s="166"/>
      <c r="P468" s="166"/>
      <c r="Q468" s="75"/>
      <c r="R468" s="75"/>
      <c r="S468" s="75"/>
      <c r="T468" s="75"/>
      <c r="U468" s="75"/>
      <c r="V468" s="75"/>
    </row>
    <row r="469" spans="2:22" s="72" customFormat="1" ht="11.4" x14ac:dyDescent="0.25">
      <c r="B469" s="165" t="s">
        <v>9660</v>
      </c>
      <c r="C469" s="165"/>
      <c r="D469" s="165"/>
      <c r="E469" s="165"/>
      <c r="F469" s="165"/>
      <c r="G469" s="165"/>
      <c r="H469" s="165"/>
      <c r="I469" s="165"/>
      <c r="J469" s="165"/>
      <c r="K469" s="165"/>
      <c r="L469" s="165"/>
      <c r="M469" s="165"/>
      <c r="N469" s="165"/>
      <c r="O469" s="165"/>
      <c r="P469" s="165"/>
      <c r="Q469" s="76"/>
      <c r="R469" s="76"/>
      <c r="S469" s="76"/>
      <c r="T469" s="76"/>
      <c r="U469" s="76"/>
      <c r="V469" s="76"/>
    </row>
    <row r="470" spans="2:22" s="72" customFormat="1" ht="11.4" x14ac:dyDescent="0.25">
      <c r="B470" s="73" t="s">
        <v>9660</v>
      </c>
      <c r="C470" s="33" t="s">
        <v>618</v>
      </c>
      <c r="D470" s="23" t="s">
        <v>619</v>
      </c>
      <c r="E470" s="73"/>
      <c r="F470" s="73"/>
      <c r="G470" s="73"/>
      <c r="H470" s="73"/>
      <c r="I470" s="73"/>
      <c r="J470" s="33" t="s">
        <v>9374</v>
      </c>
      <c r="K470" s="33" t="s">
        <v>11016</v>
      </c>
      <c r="L470" s="33" t="s">
        <v>121</v>
      </c>
      <c r="M470" s="33" t="s">
        <v>9376</v>
      </c>
      <c r="N470" s="73"/>
      <c r="O470" s="73"/>
      <c r="P470" s="73"/>
      <c r="Q470" s="73"/>
      <c r="R470" s="23"/>
      <c r="S470" s="23"/>
      <c r="T470" s="73"/>
      <c r="U470" s="73"/>
      <c r="V470" s="73"/>
    </row>
    <row r="471" spans="2:22" s="72" customFormat="1" ht="11.4" x14ac:dyDescent="0.25">
      <c r="B471" s="166"/>
      <c r="C471" s="166"/>
      <c r="D471" s="166"/>
      <c r="E471" s="166"/>
      <c r="F471" s="166"/>
      <c r="G471" s="166"/>
      <c r="H471" s="166"/>
      <c r="I471" s="166"/>
      <c r="J471" s="166"/>
      <c r="K471" s="166"/>
      <c r="L471" s="166"/>
      <c r="M471" s="166"/>
      <c r="N471" s="166"/>
      <c r="O471" s="166"/>
      <c r="P471" s="166"/>
      <c r="Q471" s="73"/>
      <c r="R471" s="23"/>
      <c r="S471" s="23"/>
      <c r="T471" s="73"/>
      <c r="U471" s="73"/>
      <c r="V471" s="73"/>
    </row>
    <row r="472" spans="2:22" s="72" customFormat="1" ht="11.4" x14ac:dyDescent="0.25">
      <c r="B472" s="165" t="s">
        <v>9662</v>
      </c>
      <c r="C472" s="165"/>
      <c r="D472" s="165"/>
      <c r="E472" s="165"/>
      <c r="F472" s="165"/>
      <c r="G472" s="165"/>
      <c r="H472" s="165"/>
      <c r="I472" s="165"/>
      <c r="J472" s="165"/>
      <c r="K472" s="165"/>
      <c r="L472" s="165"/>
      <c r="M472" s="165"/>
      <c r="N472" s="165"/>
      <c r="O472" s="165"/>
      <c r="P472" s="165"/>
      <c r="Q472" s="75"/>
      <c r="R472" s="75"/>
      <c r="S472" s="75"/>
      <c r="T472" s="75"/>
      <c r="U472" s="75"/>
      <c r="V472" s="75"/>
    </row>
    <row r="473" spans="2:22" s="72" customFormat="1" ht="11.4" x14ac:dyDescent="0.25">
      <c r="B473" s="73" t="s">
        <v>9662</v>
      </c>
      <c r="C473" s="33" t="s">
        <v>620</v>
      </c>
      <c r="D473" s="23" t="s">
        <v>621</v>
      </c>
      <c r="E473" s="73"/>
      <c r="F473" s="73"/>
      <c r="G473" s="73"/>
      <c r="H473" s="73"/>
      <c r="I473" s="73"/>
      <c r="J473" s="33" t="s">
        <v>9374</v>
      </c>
      <c r="K473" s="33" t="s">
        <v>11016</v>
      </c>
      <c r="L473" s="33" t="s">
        <v>121</v>
      </c>
      <c r="M473" s="33" t="s">
        <v>9376</v>
      </c>
      <c r="N473" s="73"/>
      <c r="O473" s="73"/>
      <c r="P473" s="73"/>
      <c r="Q473" s="76"/>
      <c r="R473" s="76"/>
      <c r="S473" s="76"/>
      <c r="T473" s="76"/>
      <c r="U473" s="76"/>
      <c r="V473" s="76"/>
    </row>
    <row r="474" spans="2:22" s="72" customFormat="1" ht="11.4" x14ac:dyDescent="0.25">
      <c r="B474" s="166"/>
      <c r="C474" s="166"/>
      <c r="D474" s="166"/>
      <c r="E474" s="166"/>
      <c r="F474" s="166"/>
      <c r="G474" s="166"/>
      <c r="H474" s="166"/>
      <c r="I474" s="166"/>
      <c r="J474" s="166"/>
      <c r="K474" s="166"/>
      <c r="L474" s="166"/>
      <c r="M474" s="166"/>
      <c r="N474" s="166"/>
      <c r="O474" s="166"/>
      <c r="P474" s="166"/>
      <c r="Q474" s="73"/>
      <c r="R474" s="23"/>
      <c r="S474" s="23"/>
      <c r="T474" s="73"/>
      <c r="U474" s="73"/>
      <c r="V474" s="73"/>
    </row>
    <row r="475" spans="2:22" s="72" customFormat="1" ht="11.4" x14ac:dyDescent="0.25">
      <c r="B475" s="165" t="s">
        <v>9664</v>
      </c>
      <c r="C475" s="165"/>
      <c r="D475" s="165"/>
      <c r="E475" s="165"/>
      <c r="F475" s="165"/>
      <c r="G475" s="165"/>
      <c r="H475" s="165"/>
      <c r="I475" s="165"/>
      <c r="J475" s="165"/>
      <c r="K475" s="165"/>
      <c r="L475" s="165"/>
      <c r="M475" s="165"/>
      <c r="N475" s="165"/>
      <c r="O475" s="165"/>
      <c r="P475" s="165"/>
      <c r="Q475" s="73"/>
      <c r="R475" s="23"/>
      <c r="S475" s="23"/>
      <c r="T475" s="73"/>
      <c r="U475" s="73"/>
      <c r="V475" s="73"/>
    </row>
    <row r="476" spans="2:22" s="72" customFormat="1" ht="11.4" x14ac:dyDescent="0.25">
      <c r="B476" s="73" t="s">
        <v>9664</v>
      </c>
      <c r="C476" s="33" t="s">
        <v>622</v>
      </c>
      <c r="D476" s="23" t="s">
        <v>623</v>
      </c>
      <c r="E476" s="73"/>
      <c r="F476" s="73"/>
      <c r="G476" s="73"/>
      <c r="H476" s="73"/>
      <c r="I476" s="73"/>
      <c r="J476" s="33" t="s">
        <v>9374</v>
      </c>
      <c r="K476" s="33" t="s">
        <v>11016</v>
      </c>
      <c r="L476" s="33" t="s">
        <v>121</v>
      </c>
      <c r="M476" s="33" t="s">
        <v>9376</v>
      </c>
      <c r="N476" s="73"/>
      <c r="O476" s="73"/>
      <c r="P476" s="73"/>
      <c r="Q476" s="75"/>
      <c r="R476" s="75"/>
      <c r="S476" s="75"/>
      <c r="T476" s="75"/>
      <c r="U476" s="75"/>
      <c r="V476" s="75"/>
    </row>
    <row r="477" spans="2:22" s="72" customFormat="1" ht="11.4" x14ac:dyDescent="0.25">
      <c r="B477" s="166"/>
      <c r="C477" s="166"/>
      <c r="D477" s="166"/>
      <c r="E477" s="166"/>
      <c r="F477" s="166"/>
      <c r="G477" s="166"/>
      <c r="H477" s="166"/>
      <c r="I477" s="166"/>
      <c r="J477" s="166"/>
      <c r="K477" s="166"/>
      <c r="L477" s="166"/>
      <c r="M477" s="166"/>
      <c r="N477" s="166"/>
      <c r="O477" s="166"/>
      <c r="P477" s="166"/>
      <c r="Q477" s="76"/>
      <c r="R477" s="76"/>
      <c r="S477" s="76"/>
      <c r="T477" s="76"/>
      <c r="U477" s="76"/>
      <c r="V477" s="76"/>
    </row>
    <row r="478" spans="2:22" s="72" customFormat="1" ht="11.4" x14ac:dyDescent="0.25">
      <c r="B478" s="165" t="s">
        <v>9666</v>
      </c>
      <c r="C478" s="165"/>
      <c r="D478" s="165"/>
      <c r="E478" s="165"/>
      <c r="F478" s="165"/>
      <c r="G478" s="165"/>
      <c r="H478" s="165"/>
      <c r="I478" s="165"/>
      <c r="J478" s="165"/>
      <c r="K478" s="165"/>
      <c r="L478" s="165"/>
      <c r="M478" s="165"/>
      <c r="N478" s="165"/>
      <c r="O478" s="165"/>
      <c r="P478" s="165"/>
      <c r="Q478" s="73"/>
      <c r="R478" s="23"/>
      <c r="S478" s="23"/>
      <c r="T478" s="73"/>
      <c r="U478" s="73"/>
      <c r="V478" s="73"/>
    </row>
    <row r="479" spans="2:22" s="72" customFormat="1" ht="11.4" x14ac:dyDescent="0.25">
      <c r="B479" s="73" t="s">
        <v>9666</v>
      </c>
      <c r="C479" s="33" t="s">
        <v>624</v>
      </c>
      <c r="D479" s="23" t="s">
        <v>625</v>
      </c>
      <c r="E479" s="73"/>
      <c r="F479" s="73"/>
      <c r="G479" s="73"/>
      <c r="H479" s="73"/>
      <c r="I479" s="73"/>
      <c r="J479" s="33" t="s">
        <v>9374</v>
      </c>
      <c r="K479" s="33" t="s">
        <v>11016</v>
      </c>
      <c r="L479" s="33" t="s">
        <v>121</v>
      </c>
      <c r="M479" s="33" t="s">
        <v>9376</v>
      </c>
      <c r="N479" s="73"/>
      <c r="O479" s="73"/>
      <c r="P479" s="73"/>
      <c r="Q479" s="73"/>
      <c r="R479" s="23"/>
      <c r="S479" s="23"/>
      <c r="T479" s="73"/>
      <c r="U479" s="73"/>
      <c r="V479" s="73"/>
    </row>
    <row r="480" spans="2:22" s="72" customFormat="1" ht="11.4" x14ac:dyDescent="0.25">
      <c r="B480" s="166"/>
      <c r="C480" s="166"/>
      <c r="D480" s="166"/>
      <c r="E480" s="166"/>
      <c r="F480" s="166"/>
      <c r="G480" s="166"/>
      <c r="H480" s="166"/>
      <c r="I480" s="166"/>
      <c r="J480" s="166"/>
      <c r="K480" s="166"/>
      <c r="L480" s="166"/>
      <c r="M480" s="166"/>
      <c r="N480" s="166"/>
      <c r="O480" s="166"/>
      <c r="P480" s="166"/>
      <c r="Q480" s="75"/>
      <c r="R480" s="75"/>
      <c r="S480" s="75"/>
      <c r="T480" s="75"/>
      <c r="U480" s="75"/>
      <c r="V480" s="75"/>
    </row>
    <row r="481" spans="2:22" s="72" customFormat="1" ht="11.4" x14ac:dyDescent="0.25">
      <c r="B481" s="165" t="s">
        <v>9668</v>
      </c>
      <c r="C481" s="165"/>
      <c r="D481" s="165"/>
      <c r="E481" s="165"/>
      <c r="F481" s="165"/>
      <c r="G481" s="165"/>
      <c r="H481" s="165"/>
      <c r="I481" s="165"/>
      <c r="J481" s="165"/>
      <c r="K481" s="165"/>
      <c r="L481" s="165"/>
      <c r="M481" s="165"/>
      <c r="N481" s="165"/>
      <c r="O481" s="165"/>
      <c r="P481" s="165"/>
      <c r="Q481" s="76"/>
      <c r="R481" s="76"/>
      <c r="S481" s="76"/>
      <c r="T481" s="76"/>
      <c r="U481" s="76"/>
      <c r="V481" s="76"/>
    </row>
    <row r="482" spans="2:22" s="72" customFormat="1" ht="11.4" x14ac:dyDescent="0.25">
      <c r="B482" s="73" t="s">
        <v>9668</v>
      </c>
      <c r="C482" s="33" t="s">
        <v>626</v>
      </c>
      <c r="D482" s="23" t="s">
        <v>627</v>
      </c>
      <c r="E482" s="73"/>
      <c r="F482" s="73"/>
      <c r="G482" s="73"/>
      <c r="H482" s="73"/>
      <c r="I482" s="73"/>
      <c r="J482" s="33" t="s">
        <v>9374</v>
      </c>
      <c r="K482" s="33" t="s">
        <v>11016</v>
      </c>
      <c r="L482" s="33" t="s">
        <v>121</v>
      </c>
      <c r="M482" s="33" t="s">
        <v>9376</v>
      </c>
      <c r="N482" s="73"/>
      <c r="O482" s="73"/>
      <c r="P482" s="73"/>
      <c r="Q482" s="73"/>
      <c r="R482" s="23"/>
      <c r="S482" s="23"/>
      <c r="T482" s="73"/>
      <c r="U482" s="73"/>
      <c r="V482" s="73"/>
    </row>
    <row r="483" spans="2:22" s="72" customFormat="1" ht="11.4" x14ac:dyDescent="0.25">
      <c r="B483" s="166"/>
      <c r="C483" s="166"/>
      <c r="D483" s="166"/>
      <c r="E483" s="166"/>
      <c r="F483" s="166"/>
      <c r="G483" s="166"/>
      <c r="H483" s="166"/>
      <c r="I483" s="166"/>
      <c r="J483" s="166"/>
      <c r="K483" s="166"/>
      <c r="L483" s="166"/>
      <c r="M483" s="166"/>
      <c r="N483" s="166"/>
      <c r="O483" s="166"/>
      <c r="P483" s="166"/>
      <c r="Q483" s="73"/>
      <c r="R483" s="23"/>
      <c r="S483" s="23"/>
      <c r="T483" s="73"/>
      <c r="U483" s="73"/>
      <c r="V483" s="73"/>
    </row>
    <row r="484" spans="2:22" s="72" customFormat="1" ht="11.4" x14ac:dyDescent="0.25">
      <c r="B484" s="165" t="s">
        <v>9670</v>
      </c>
      <c r="C484" s="165"/>
      <c r="D484" s="165"/>
      <c r="E484" s="165"/>
      <c r="F484" s="165"/>
      <c r="G484" s="165"/>
      <c r="H484" s="165"/>
      <c r="I484" s="165"/>
      <c r="J484" s="165"/>
      <c r="K484" s="165"/>
      <c r="L484" s="165"/>
      <c r="M484" s="165"/>
      <c r="N484" s="165"/>
      <c r="O484" s="165"/>
      <c r="P484" s="165"/>
      <c r="Q484" s="75"/>
      <c r="R484" s="75"/>
      <c r="S484" s="75"/>
      <c r="T484" s="75"/>
      <c r="U484" s="75"/>
      <c r="V484" s="75"/>
    </row>
    <row r="485" spans="2:22" s="72" customFormat="1" ht="11.4" x14ac:dyDescent="0.25">
      <c r="B485" s="73" t="s">
        <v>9670</v>
      </c>
      <c r="C485" s="33" t="s">
        <v>628</v>
      </c>
      <c r="D485" s="23" t="s">
        <v>629</v>
      </c>
      <c r="E485" s="73"/>
      <c r="F485" s="73"/>
      <c r="G485" s="73"/>
      <c r="H485" s="73"/>
      <c r="I485" s="73"/>
      <c r="J485" s="33" t="s">
        <v>9374</v>
      </c>
      <c r="K485" s="33" t="s">
        <v>11016</v>
      </c>
      <c r="L485" s="33" t="s">
        <v>121</v>
      </c>
      <c r="M485" s="33" t="s">
        <v>9376</v>
      </c>
      <c r="N485" s="73"/>
      <c r="O485" s="73"/>
      <c r="P485" s="73"/>
      <c r="Q485" s="76"/>
      <c r="R485" s="76"/>
      <c r="S485" s="76"/>
      <c r="T485" s="76"/>
      <c r="U485" s="76"/>
      <c r="V485" s="76"/>
    </row>
    <row r="486" spans="2:22" s="72" customFormat="1" ht="11.4" x14ac:dyDescent="0.25">
      <c r="B486" s="166"/>
      <c r="C486" s="166"/>
      <c r="D486" s="166"/>
      <c r="E486" s="166"/>
      <c r="F486" s="166"/>
      <c r="G486" s="166"/>
      <c r="H486" s="166"/>
      <c r="I486" s="166"/>
      <c r="J486" s="166"/>
      <c r="K486" s="166"/>
      <c r="L486" s="166"/>
      <c r="M486" s="166"/>
      <c r="N486" s="166"/>
      <c r="O486" s="166"/>
      <c r="P486" s="166"/>
      <c r="Q486" s="73"/>
      <c r="R486" s="23"/>
      <c r="S486" s="23"/>
      <c r="T486" s="73"/>
      <c r="U486" s="73"/>
      <c r="V486" s="73"/>
    </row>
    <row r="487" spans="2:22" s="72" customFormat="1" ht="11.4" x14ac:dyDescent="0.25">
      <c r="B487" s="165" t="s">
        <v>9672</v>
      </c>
      <c r="C487" s="165"/>
      <c r="D487" s="165"/>
      <c r="E487" s="165"/>
      <c r="F487" s="165"/>
      <c r="G487" s="165"/>
      <c r="H487" s="165"/>
      <c r="I487" s="165"/>
      <c r="J487" s="165"/>
      <c r="K487" s="165"/>
      <c r="L487" s="165"/>
      <c r="M487" s="165"/>
      <c r="N487" s="165"/>
      <c r="O487" s="165"/>
      <c r="P487" s="165"/>
      <c r="Q487" s="73"/>
      <c r="R487" s="23"/>
      <c r="S487" s="23"/>
      <c r="T487" s="73"/>
      <c r="U487" s="73"/>
      <c r="V487" s="73"/>
    </row>
    <row r="488" spans="2:22" s="72" customFormat="1" ht="11.4" x14ac:dyDescent="0.25">
      <c r="B488" s="73" t="s">
        <v>9672</v>
      </c>
      <c r="C488" s="33" t="s">
        <v>630</v>
      </c>
      <c r="D488" s="23" t="s">
        <v>631</v>
      </c>
      <c r="E488" s="73"/>
      <c r="F488" s="73"/>
      <c r="G488" s="73"/>
      <c r="H488" s="73"/>
      <c r="I488" s="73"/>
      <c r="J488" s="33" t="s">
        <v>9374</v>
      </c>
      <c r="K488" s="33" t="s">
        <v>11016</v>
      </c>
      <c r="L488" s="33" t="s">
        <v>121</v>
      </c>
      <c r="M488" s="33" t="s">
        <v>9376</v>
      </c>
      <c r="N488" s="73"/>
      <c r="O488" s="73"/>
      <c r="P488" s="73"/>
      <c r="Q488" s="75"/>
      <c r="R488" s="75"/>
      <c r="S488" s="75"/>
      <c r="T488" s="75"/>
      <c r="U488" s="75"/>
      <c r="V488" s="75"/>
    </row>
    <row r="489" spans="2:22" s="72" customFormat="1" ht="11.4" x14ac:dyDescent="0.25">
      <c r="B489" s="166"/>
      <c r="C489" s="166"/>
      <c r="D489" s="166"/>
      <c r="E489" s="166"/>
      <c r="F489" s="166"/>
      <c r="G489" s="166"/>
      <c r="H489" s="166"/>
      <c r="I489" s="166"/>
      <c r="J489" s="166"/>
      <c r="K489" s="166"/>
      <c r="L489" s="166"/>
      <c r="M489" s="166"/>
      <c r="N489" s="166"/>
      <c r="O489" s="166"/>
      <c r="P489" s="166"/>
      <c r="Q489" s="76"/>
      <c r="R489" s="76"/>
      <c r="S489" s="76"/>
      <c r="T489" s="76"/>
      <c r="U489" s="76"/>
      <c r="V489" s="76"/>
    </row>
    <row r="490" spans="2:22" s="72" customFormat="1" ht="11.4" x14ac:dyDescent="0.25">
      <c r="B490" s="165" t="s">
        <v>9674</v>
      </c>
      <c r="C490" s="165"/>
      <c r="D490" s="165"/>
      <c r="E490" s="165"/>
      <c r="F490" s="165"/>
      <c r="G490" s="165"/>
      <c r="H490" s="165"/>
      <c r="I490" s="165"/>
      <c r="J490" s="165"/>
      <c r="K490" s="165"/>
      <c r="L490" s="165"/>
      <c r="M490" s="165"/>
      <c r="N490" s="165"/>
      <c r="O490" s="165"/>
      <c r="P490" s="165"/>
      <c r="Q490" s="73"/>
      <c r="R490" s="23"/>
      <c r="S490" s="23"/>
      <c r="T490" s="73"/>
      <c r="U490" s="73"/>
      <c r="V490" s="73"/>
    </row>
    <row r="491" spans="2:22" s="72" customFormat="1" ht="11.4" x14ac:dyDescent="0.25">
      <c r="B491" s="73" t="s">
        <v>9674</v>
      </c>
      <c r="C491" s="33" t="s">
        <v>632</v>
      </c>
      <c r="D491" s="23" t="s">
        <v>633</v>
      </c>
      <c r="E491" s="73"/>
      <c r="F491" s="73"/>
      <c r="G491" s="73"/>
      <c r="H491" s="73"/>
      <c r="I491" s="73"/>
      <c r="J491" s="33" t="s">
        <v>9374</v>
      </c>
      <c r="K491" s="33" t="s">
        <v>11016</v>
      </c>
      <c r="L491" s="33" t="s">
        <v>121</v>
      </c>
      <c r="M491" s="33" t="s">
        <v>9376</v>
      </c>
      <c r="N491" s="73"/>
      <c r="O491" s="73"/>
      <c r="P491" s="73"/>
      <c r="Q491" s="73"/>
      <c r="R491" s="23"/>
      <c r="S491" s="23"/>
      <c r="T491" s="73"/>
      <c r="U491" s="73"/>
      <c r="V491" s="73"/>
    </row>
    <row r="492" spans="2:22" s="72" customFormat="1" ht="11.4" x14ac:dyDescent="0.25">
      <c r="B492" s="166"/>
      <c r="C492" s="166"/>
      <c r="D492" s="166"/>
      <c r="E492" s="166"/>
      <c r="F492" s="166"/>
      <c r="G492" s="166"/>
      <c r="H492" s="166"/>
      <c r="I492" s="166"/>
      <c r="J492" s="166"/>
      <c r="K492" s="166"/>
      <c r="L492" s="166"/>
      <c r="M492" s="166"/>
      <c r="N492" s="166"/>
      <c r="O492" s="166"/>
      <c r="P492" s="166"/>
      <c r="Q492" s="75"/>
      <c r="R492" s="75"/>
      <c r="S492" s="75"/>
      <c r="T492" s="75"/>
      <c r="U492" s="75"/>
      <c r="V492" s="75"/>
    </row>
    <row r="493" spans="2:22" s="72" customFormat="1" ht="11.4" x14ac:dyDescent="0.25">
      <c r="B493" s="165" t="s">
        <v>9676</v>
      </c>
      <c r="C493" s="165"/>
      <c r="D493" s="165"/>
      <c r="E493" s="165"/>
      <c r="F493" s="165"/>
      <c r="G493" s="165"/>
      <c r="H493" s="165"/>
      <c r="I493" s="165"/>
      <c r="J493" s="165"/>
      <c r="K493" s="165"/>
      <c r="L493" s="165"/>
      <c r="M493" s="165"/>
      <c r="N493" s="165"/>
      <c r="O493" s="165"/>
      <c r="P493" s="165"/>
      <c r="Q493" s="76"/>
      <c r="R493" s="76"/>
      <c r="S493" s="76"/>
      <c r="T493" s="76"/>
      <c r="U493" s="76"/>
      <c r="V493" s="76"/>
    </row>
    <row r="494" spans="2:22" s="72" customFormat="1" ht="11.4" x14ac:dyDescent="0.25">
      <c r="B494" s="73" t="s">
        <v>9676</v>
      </c>
      <c r="C494" s="33" t="s">
        <v>634</v>
      </c>
      <c r="D494" s="23" t="s">
        <v>635</v>
      </c>
      <c r="E494" s="73"/>
      <c r="F494" s="73"/>
      <c r="G494" s="73"/>
      <c r="H494" s="73"/>
      <c r="I494" s="73"/>
      <c r="J494" s="33" t="s">
        <v>9374</v>
      </c>
      <c r="K494" s="33" t="s">
        <v>11016</v>
      </c>
      <c r="L494" s="33" t="s">
        <v>121</v>
      </c>
      <c r="M494" s="33" t="s">
        <v>9376</v>
      </c>
      <c r="N494" s="73"/>
      <c r="O494" s="73"/>
      <c r="P494" s="73"/>
      <c r="Q494" s="73"/>
      <c r="R494" s="23"/>
      <c r="S494" s="23"/>
      <c r="T494" s="73"/>
      <c r="U494" s="73"/>
      <c r="V494" s="73"/>
    </row>
    <row r="495" spans="2:22" s="72" customFormat="1" ht="11.4" x14ac:dyDescent="0.25">
      <c r="B495" s="166"/>
      <c r="C495" s="166"/>
      <c r="D495" s="166"/>
      <c r="E495" s="166"/>
      <c r="F495" s="166"/>
      <c r="G495" s="166"/>
      <c r="H495" s="166"/>
      <c r="I495" s="166"/>
      <c r="J495" s="166"/>
      <c r="K495" s="166"/>
      <c r="L495" s="166"/>
      <c r="M495" s="166"/>
      <c r="N495" s="166"/>
      <c r="O495" s="166"/>
      <c r="P495" s="166"/>
      <c r="Q495" s="73"/>
      <c r="R495" s="23"/>
      <c r="S495" s="23"/>
      <c r="T495" s="73"/>
      <c r="U495" s="73"/>
      <c r="V495" s="73"/>
    </row>
    <row r="496" spans="2:22" s="72" customFormat="1" ht="11.4" x14ac:dyDescent="0.25">
      <c r="B496" s="165" t="s">
        <v>9678</v>
      </c>
      <c r="C496" s="165"/>
      <c r="D496" s="165"/>
      <c r="E496" s="165"/>
      <c r="F496" s="165"/>
      <c r="G496" s="165"/>
      <c r="H496" s="165"/>
      <c r="I496" s="165"/>
      <c r="J496" s="165"/>
      <c r="K496" s="165"/>
      <c r="L496" s="165"/>
      <c r="M496" s="165"/>
      <c r="N496" s="165"/>
      <c r="O496" s="165"/>
      <c r="P496" s="165"/>
      <c r="Q496" s="75"/>
      <c r="R496" s="75"/>
      <c r="S496" s="75"/>
      <c r="T496" s="75"/>
      <c r="U496" s="75"/>
      <c r="V496" s="75"/>
    </row>
    <row r="497" spans="2:22" s="72" customFormat="1" ht="11.4" x14ac:dyDescent="0.25">
      <c r="B497" s="73" t="s">
        <v>9678</v>
      </c>
      <c r="C497" s="33" t="s">
        <v>636</v>
      </c>
      <c r="D497" s="23" t="s">
        <v>637</v>
      </c>
      <c r="E497" s="73"/>
      <c r="F497" s="73"/>
      <c r="G497" s="73"/>
      <c r="H497" s="73"/>
      <c r="I497" s="73"/>
      <c r="J497" s="33" t="s">
        <v>9374</v>
      </c>
      <c r="K497" s="33" t="s">
        <v>11016</v>
      </c>
      <c r="L497" s="33" t="s">
        <v>121</v>
      </c>
      <c r="M497" s="33" t="s">
        <v>9376</v>
      </c>
      <c r="N497" s="73"/>
      <c r="O497" s="73"/>
      <c r="P497" s="73"/>
      <c r="Q497" s="76"/>
      <c r="R497" s="76"/>
      <c r="S497" s="76"/>
      <c r="T497" s="76"/>
      <c r="U497" s="76"/>
      <c r="V497" s="76"/>
    </row>
    <row r="498" spans="2:22" s="72" customFormat="1" ht="11.4" x14ac:dyDescent="0.25">
      <c r="B498" s="166"/>
      <c r="C498" s="166"/>
      <c r="D498" s="166"/>
      <c r="E498" s="166"/>
      <c r="F498" s="166"/>
      <c r="G498" s="166"/>
      <c r="H498" s="166"/>
      <c r="I498" s="166"/>
      <c r="J498" s="166"/>
      <c r="K498" s="166"/>
      <c r="L498" s="166"/>
      <c r="M498" s="166"/>
      <c r="N498" s="166"/>
      <c r="O498" s="166"/>
      <c r="P498" s="166"/>
      <c r="Q498" s="73"/>
      <c r="R498" s="23"/>
      <c r="S498" s="23"/>
      <c r="T498" s="73"/>
      <c r="U498" s="73"/>
      <c r="V498" s="73"/>
    </row>
    <row r="499" spans="2:22" s="72" customFormat="1" ht="11.4" x14ac:dyDescent="0.25">
      <c r="B499" s="165" t="s">
        <v>9681</v>
      </c>
      <c r="C499" s="165"/>
      <c r="D499" s="165"/>
      <c r="E499" s="165"/>
      <c r="F499" s="165"/>
      <c r="G499" s="165"/>
      <c r="H499" s="165"/>
      <c r="I499" s="165"/>
      <c r="J499" s="165"/>
      <c r="K499" s="165"/>
      <c r="L499" s="165"/>
      <c r="M499" s="165"/>
      <c r="N499" s="165"/>
      <c r="O499" s="165"/>
      <c r="P499" s="165"/>
      <c r="Q499" s="73"/>
      <c r="R499" s="23"/>
      <c r="S499" s="23"/>
      <c r="T499" s="73"/>
      <c r="U499" s="73"/>
      <c r="V499" s="73"/>
    </row>
    <row r="500" spans="2:22" s="72" customFormat="1" ht="11.4" x14ac:dyDescent="0.25">
      <c r="B500" s="73" t="s">
        <v>9681</v>
      </c>
      <c r="C500" s="33" t="s">
        <v>638</v>
      </c>
      <c r="D500" s="23" t="s">
        <v>639</v>
      </c>
      <c r="E500" s="73"/>
      <c r="F500" s="73"/>
      <c r="G500" s="73"/>
      <c r="H500" s="73"/>
      <c r="I500" s="73"/>
      <c r="J500" s="33" t="s">
        <v>9374</v>
      </c>
      <c r="K500" s="33" t="s">
        <v>11016</v>
      </c>
      <c r="L500" s="33" t="s">
        <v>121</v>
      </c>
      <c r="M500" s="33" t="s">
        <v>9376</v>
      </c>
      <c r="N500" s="73"/>
      <c r="O500" s="73"/>
      <c r="P500" s="73"/>
      <c r="Q500" s="73"/>
      <c r="R500" s="23"/>
      <c r="S500" s="23"/>
      <c r="T500" s="73"/>
      <c r="U500" s="73"/>
      <c r="V500" s="73"/>
    </row>
    <row r="501" spans="2:22" s="72" customFormat="1" ht="11.4" x14ac:dyDescent="0.25">
      <c r="B501" s="166"/>
      <c r="C501" s="166"/>
      <c r="D501" s="166"/>
      <c r="E501" s="166"/>
      <c r="F501" s="166"/>
      <c r="G501" s="166"/>
      <c r="H501" s="166"/>
      <c r="I501" s="166"/>
      <c r="J501" s="166"/>
      <c r="K501" s="166"/>
      <c r="L501" s="166"/>
      <c r="M501" s="166"/>
      <c r="N501" s="166"/>
      <c r="O501" s="166"/>
      <c r="P501" s="166"/>
      <c r="Q501" s="73"/>
      <c r="R501" s="23"/>
      <c r="S501" s="23"/>
      <c r="T501" s="73"/>
      <c r="U501" s="73"/>
      <c r="V501" s="73"/>
    </row>
    <row r="502" spans="2:22" s="72" customFormat="1" ht="11.4" x14ac:dyDescent="0.25">
      <c r="B502" s="165" t="s">
        <v>9684</v>
      </c>
      <c r="C502" s="165"/>
      <c r="D502" s="165"/>
      <c r="E502" s="165"/>
      <c r="F502" s="165"/>
      <c r="G502" s="165"/>
      <c r="H502" s="165"/>
      <c r="I502" s="165"/>
      <c r="J502" s="165"/>
      <c r="K502" s="165"/>
      <c r="L502" s="165"/>
      <c r="M502" s="165"/>
      <c r="N502" s="165"/>
      <c r="O502" s="165"/>
      <c r="P502" s="165"/>
      <c r="Q502" s="75"/>
      <c r="R502" s="75"/>
      <c r="S502" s="75"/>
      <c r="T502" s="75"/>
      <c r="U502" s="75"/>
      <c r="V502" s="75"/>
    </row>
    <row r="503" spans="2:22" s="72" customFormat="1" ht="11.4" x14ac:dyDescent="0.25">
      <c r="B503" s="73" t="s">
        <v>9684</v>
      </c>
      <c r="C503" s="33" t="s">
        <v>640</v>
      </c>
      <c r="D503" s="23" t="s">
        <v>641</v>
      </c>
      <c r="E503" s="73"/>
      <c r="F503" s="73"/>
      <c r="G503" s="73"/>
      <c r="H503" s="73"/>
      <c r="I503" s="73"/>
      <c r="J503" s="33" t="s">
        <v>9374</v>
      </c>
      <c r="K503" s="33" t="s">
        <v>11016</v>
      </c>
      <c r="L503" s="33" t="s">
        <v>121</v>
      </c>
      <c r="M503" s="33" t="s">
        <v>9376</v>
      </c>
      <c r="N503" s="73"/>
      <c r="O503" s="73"/>
      <c r="P503" s="73"/>
      <c r="Q503" s="76"/>
      <c r="R503" s="76"/>
      <c r="S503" s="76"/>
      <c r="T503" s="76"/>
      <c r="U503" s="76"/>
      <c r="V503" s="76"/>
    </row>
    <row r="504" spans="2:22" s="72" customFormat="1" ht="11.4" x14ac:dyDescent="0.25">
      <c r="B504" s="166"/>
      <c r="C504" s="166"/>
      <c r="D504" s="166"/>
      <c r="E504" s="166"/>
      <c r="F504" s="166"/>
      <c r="G504" s="166"/>
      <c r="H504" s="166"/>
      <c r="I504" s="166"/>
      <c r="J504" s="166"/>
      <c r="K504" s="166"/>
      <c r="L504" s="166"/>
      <c r="M504" s="166"/>
      <c r="N504" s="166"/>
      <c r="O504" s="166"/>
      <c r="P504" s="166"/>
      <c r="Q504" s="73"/>
      <c r="R504" s="23"/>
      <c r="S504" s="23"/>
      <c r="T504" s="73"/>
      <c r="U504" s="73"/>
      <c r="V504" s="73"/>
    </row>
    <row r="505" spans="2:22" s="72" customFormat="1" ht="11.4" x14ac:dyDescent="0.25">
      <c r="B505" s="165" t="s">
        <v>9687</v>
      </c>
      <c r="C505" s="165"/>
      <c r="D505" s="165"/>
      <c r="E505" s="165"/>
      <c r="F505" s="165"/>
      <c r="G505" s="165"/>
      <c r="H505" s="165"/>
      <c r="I505" s="165"/>
      <c r="J505" s="165"/>
      <c r="K505" s="165"/>
      <c r="L505" s="165"/>
      <c r="M505" s="165"/>
      <c r="N505" s="165"/>
      <c r="O505" s="165"/>
      <c r="P505" s="165"/>
      <c r="Q505" s="75"/>
      <c r="R505" s="75"/>
      <c r="S505" s="75"/>
      <c r="T505" s="75"/>
      <c r="U505" s="75"/>
      <c r="V505" s="75"/>
    </row>
    <row r="506" spans="2:22" s="72" customFormat="1" ht="11.4" x14ac:dyDescent="0.25">
      <c r="B506" s="73" t="s">
        <v>9687</v>
      </c>
      <c r="C506" s="33" t="s">
        <v>642</v>
      </c>
      <c r="D506" s="23" t="s">
        <v>643</v>
      </c>
      <c r="E506" s="73"/>
      <c r="F506" s="73"/>
      <c r="G506" s="73"/>
      <c r="H506" s="73"/>
      <c r="I506" s="73"/>
      <c r="J506" s="33" t="s">
        <v>9374</v>
      </c>
      <c r="K506" s="33" t="s">
        <v>11016</v>
      </c>
      <c r="L506" s="33" t="s">
        <v>121</v>
      </c>
      <c r="M506" s="33" t="s">
        <v>9376</v>
      </c>
      <c r="N506" s="73"/>
      <c r="O506" s="73"/>
      <c r="P506" s="73"/>
      <c r="Q506" s="76"/>
      <c r="R506" s="76"/>
      <c r="S506" s="76"/>
      <c r="T506" s="76"/>
      <c r="U506" s="76"/>
      <c r="V506" s="76"/>
    </row>
    <row r="507" spans="2:22" s="72" customFormat="1" ht="11.4" x14ac:dyDescent="0.25">
      <c r="B507" s="166"/>
      <c r="C507" s="166"/>
      <c r="D507" s="166"/>
      <c r="E507" s="166"/>
      <c r="F507" s="166"/>
      <c r="G507" s="166"/>
      <c r="H507" s="166"/>
      <c r="I507" s="166"/>
      <c r="J507" s="166"/>
      <c r="K507" s="166"/>
      <c r="L507" s="166"/>
      <c r="M507" s="166"/>
      <c r="N507" s="166"/>
      <c r="O507" s="166"/>
      <c r="P507" s="166"/>
      <c r="Q507" s="73"/>
      <c r="R507" s="23"/>
      <c r="S507" s="23"/>
      <c r="T507" s="73"/>
      <c r="U507" s="73"/>
      <c r="V507" s="73"/>
    </row>
    <row r="508" spans="2:22" s="72" customFormat="1" ht="11.4" x14ac:dyDescent="0.25">
      <c r="B508" s="165" t="s">
        <v>9690</v>
      </c>
      <c r="C508" s="165"/>
      <c r="D508" s="165"/>
      <c r="E508" s="165"/>
      <c r="F508" s="165"/>
      <c r="G508" s="165"/>
      <c r="H508" s="165"/>
      <c r="I508" s="165"/>
      <c r="J508" s="165"/>
      <c r="K508" s="165"/>
      <c r="L508" s="165"/>
      <c r="M508" s="165"/>
      <c r="N508" s="165"/>
      <c r="O508" s="165"/>
      <c r="P508" s="165"/>
      <c r="Q508" s="73"/>
      <c r="R508" s="23"/>
      <c r="S508" s="23"/>
      <c r="T508" s="73"/>
      <c r="U508" s="73"/>
      <c r="V508" s="73"/>
    </row>
    <row r="509" spans="2:22" s="72" customFormat="1" ht="11.4" x14ac:dyDescent="0.25">
      <c r="B509" s="73" t="s">
        <v>9690</v>
      </c>
      <c r="C509" s="33" t="s">
        <v>644</v>
      </c>
      <c r="D509" s="23" t="s">
        <v>645</v>
      </c>
      <c r="E509" s="73"/>
      <c r="F509" s="73"/>
      <c r="G509" s="73"/>
      <c r="H509" s="73"/>
      <c r="I509" s="73"/>
      <c r="J509" s="33" t="s">
        <v>9374</v>
      </c>
      <c r="K509" s="33" t="s">
        <v>11016</v>
      </c>
      <c r="L509" s="33" t="s">
        <v>121</v>
      </c>
      <c r="M509" s="33" t="s">
        <v>9376</v>
      </c>
      <c r="N509" s="73"/>
      <c r="O509" s="73"/>
      <c r="P509" s="73"/>
      <c r="Q509" s="73"/>
      <c r="R509" s="23"/>
      <c r="S509" s="23"/>
      <c r="T509" s="73"/>
      <c r="U509" s="73"/>
      <c r="V509" s="73"/>
    </row>
    <row r="510" spans="2:22" s="72" customFormat="1" ht="11.4" x14ac:dyDescent="0.25">
      <c r="B510" s="166"/>
      <c r="C510" s="166"/>
      <c r="D510" s="166"/>
      <c r="E510" s="166"/>
      <c r="F510" s="166"/>
      <c r="G510" s="166"/>
      <c r="H510" s="166"/>
      <c r="I510" s="166"/>
      <c r="J510" s="166"/>
      <c r="K510" s="166"/>
      <c r="L510" s="166"/>
      <c r="M510" s="166"/>
      <c r="N510" s="166"/>
      <c r="O510" s="166"/>
      <c r="P510" s="166"/>
      <c r="Q510" s="73"/>
      <c r="R510" s="23"/>
      <c r="S510" s="23"/>
      <c r="T510" s="73"/>
      <c r="U510" s="73"/>
      <c r="V510" s="73"/>
    </row>
    <row r="511" spans="2:22" s="72" customFormat="1" ht="11.4" x14ac:dyDescent="0.25">
      <c r="B511" s="165" t="s">
        <v>9692</v>
      </c>
      <c r="C511" s="165"/>
      <c r="D511" s="165"/>
      <c r="E511" s="165"/>
      <c r="F511" s="165"/>
      <c r="G511" s="165"/>
      <c r="H511" s="165"/>
      <c r="I511" s="165"/>
      <c r="J511" s="165"/>
      <c r="K511" s="165"/>
      <c r="L511" s="165"/>
      <c r="M511" s="165"/>
      <c r="N511" s="165"/>
      <c r="O511" s="165"/>
      <c r="P511" s="165"/>
      <c r="Q511" s="73"/>
      <c r="R511" s="23"/>
      <c r="S511" s="23"/>
      <c r="T511" s="73"/>
      <c r="U511" s="73"/>
      <c r="V511" s="73"/>
    </row>
    <row r="512" spans="2:22" s="72" customFormat="1" ht="11.4" x14ac:dyDescent="0.25">
      <c r="B512" s="73" t="s">
        <v>9692</v>
      </c>
      <c r="C512" s="33" t="s">
        <v>646</v>
      </c>
      <c r="D512" s="23" t="s">
        <v>647</v>
      </c>
      <c r="E512" s="73"/>
      <c r="F512" s="73"/>
      <c r="G512" s="73"/>
      <c r="H512" s="73"/>
      <c r="I512" s="73"/>
      <c r="J512" s="33" t="s">
        <v>9374</v>
      </c>
      <c r="K512" s="33" t="s">
        <v>11016</v>
      </c>
      <c r="L512" s="33" t="s">
        <v>121</v>
      </c>
      <c r="M512" s="33" t="s">
        <v>9376</v>
      </c>
      <c r="N512" s="73"/>
      <c r="O512" s="73"/>
      <c r="P512" s="73"/>
      <c r="Q512" s="73"/>
      <c r="R512" s="23"/>
      <c r="S512" s="23"/>
      <c r="T512" s="73"/>
      <c r="U512" s="73"/>
      <c r="V512" s="73"/>
    </row>
    <row r="513" spans="2:22" s="72" customFormat="1" ht="11.4" x14ac:dyDescent="0.25">
      <c r="B513" s="166"/>
      <c r="C513" s="166"/>
      <c r="D513" s="166"/>
      <c r="E513" s="166"/>
      <c r="F513" s="166"/>
      <c r="G513" s="166"/>
      <c r="H513" s="166"/>
      <c r="I513" s="166"/>
      <c r="J513" s="166"/>
      <c r="K513" s="166"/>
      <c r="L513" s="166"/>
      <c r="M513" s="166"/>
      <c r="N513" s="166"/>
      <c r="O513" s="166"/>
      <c r="P513" s="166"/>
      <c r="Q513" s="73"/>
      <c r="R513" s="23"/>
      <c r="S513" s="23"/>
      <c r="T513" s="73"/>
      <c r="U513" s="73"/>
      <c r="V513" s="73"/>
    </row>
    <row r="514" spans="2:22" s="72" customFormat="1" ht="11.4" x14ac:dyDescent="0.25">
      <c r="B514" s="165" t="s">
        <v>9694</v>
      </c>
      <c r="C514" s="165"/>
      <c r="D514" s="165"/>
      <c r="E514" s="165"/>
      <c r="F514" s="165"/>
      <c r="G514" s="165"/>
      <c r="H514" s="165"/>
      <c r="I514" s="165"/>
      <c r="J514" s="165"/>
      <c r="K514" s="165"/>
      <c r="L514" s="165"/>
      <c r="M514" s="165"/>
      <c r="N514" s="165"/>
      <c r="O514" s="165"/>
      <c r="P514" s="165"/>
      <c r="Q514" s="73"/>
      <c r="R514" s="23"/>
      <c r="S514" s="23"/>
      <c r="T514" s="73"/>
      <c r="U514" s="73"/>
      <c r="V514" s="73"/>
    </row>
    <row r="515" spans="2:22" s="72" customFormat="1" ht="11.4" x14ac:dyDescent="0.25">
      <c r="B515" s="73" t="s">
        <v>9694</v>
      </c>
      <c r="C515" s="33" t="s">
        <v>648</v>
      </c>
      <c r="D515" s="23" t="s">
        <v>649</v>
      </c>
      <c r="E515" s="73"/>
      <c r="F515" s="73"/>
      <c r="G515" s="73"/>
      <c r="H515" s="73"/>
      <c r="I515" s="73"/>
      <c r="J515" s="33" t="s">
        <v>9374</v>
      </c>
      <c r="K515" s="33" t="s">
        <v>9375</v>
      </c>
      <c r="L515" s="33" t="s">
        <v>121</v>
      </c>
      <c r="M515" s="33" t="s">
        <v>9376</v>
      </c>
      <c r="N515" s="73"/>
      <c r="O515" s="73"/>
      <c r="P515" s="73"/>
      <c r="Q515" s="73"/>
      <c r="R515" s="23"/>
      <c r="S515" s="23"/>
      <c r="T515" s="73"/>
      <c r="U515" s="73"/>
      <c r="V515" s="73"/>
    </row>
    <row r="516" spans="2:22" s="72" customFormat="1" ht="11.4" x14ac:dyDescent="0.25">
      <c r="B516" s="73" t="s">
        <v>9694</v>
      </c>
      <c r="C516" s="33" t="s">
        <v>1758</v>
      </c>
      <c r="D516" s="23" t="s">
        <v>1759</v>
      </c>
      <c r="E516" s="73" t="s">
        <v>11064</v>
      </c>
      <c r="F516" s="73" t="s">
        <v>10902</v>
      </c>
      <c r="G516" s="73"/>
      <c r="H516" s="73" t="s">
        <v>10917</v>
      </c>
      <c r="I516" s="73"/>
      <c r="J516" s="33" t="s">
        <v>9374</v>
      </c>
      <c r="K516" s="33" t="s">
        <v>9375</v>
      </c>
      <c r="L516" s="33" t="s">
        <v>121</v>
      </c>
      <c r="M516" s="33" t="s">
        <v>9376</v>
      </c>
      <c r="N516" s="73"/>
      <c r="O516" s="73"/>
      <c r="P516" s="73"/>
      <c r="Q516" s="73"/>
      <c r="R516" s="23"/>
      <c r="S516" s="23"/>
      <c r="T516" s="73"/>
      <c r="U516" s="73"/>
      <c r="V516" s="73"/>
    </row>
    <row r="517" spans="2:22" s="72" customFormat="1" ht="11.4" x14ac:dyDescent="0.25">
      <c r="B517" s="73" t="s">
        <v>9694</v>
      </c>
      <c r="C517" s="33" t="s">
        <v>1999</v>
      </c>
      <c r="D517" s="23" t="s">
        <v>2000</v>
      </c>
      <c r="E517" s="73" t="s">
        <v>11008</v>
      </c>
      <c r="F517" s="73" t="s">
        <v>10902</v>
      </c>
      <c r="G517" s="73"/>
      <c r="H517" s="73" t="s">
        <v>10917</v>
      </c>
      <c r="I517" s="73" t="s">
        <v>11065</v>
      </c>
      <c r="J517" s="33" t="s">
        <v>9374</v>
      </c>
      <c r="K517" s="33" t="s">
        <v>9375</v>
      </c>
      <c r="L517" s="33" t="s">
        <v>121</v>
      </c>
      <c r="M517" s="33" t="s">
        <v>9376</v>
      </c>
      <c r="N517" s="73"/>
      <c r="O517" s="73"/>
      <c r="P517" s="73"/>
      <c r="Q517" s="73"/>
      <c r="R517" s="23"/>
      <c r="S517" s="23"/>
      <c r="T517" s="73"/>
      <c r="U517" s="73"/>
      <c r="V517" s="73"/>
    </row>
    <row r="518" spans="2:22" s="72" customFormat="1" ht="11.4" x14ac:dyDescent="0.25">
      <c r="B518" s="166"/>
      <c r="C518" s="166"/>
      <c r="D518" s="166"/>
      <c r="E518" s="166"/>
      <c r="F518" s="166"/>
      <c r="G518" s="166"/>
      <c r="H518" s="166"/>
      <c r="I518" s="166"/>
      <c r="J518" s="166"/>
      <c r="K518" s="166"/>
      <c r="L518" s="166"/>
      <c r="M518" s="166"/>
      <c r="N518" s="166"/>
      <c r="O518" s="166"/>
      <c r="P518" s="166"/>
      <c r="Q518" s="73"/>
      <c r="R518" s="23"/>
      <c r="S518" s="23"/>
      <c r="T518" s="73"/>
      <c r="U518" s="73"/>
      <c r="V518" s="73"/>
    </row>
    <row r="519" spans="2:22" s="72" customFormat="1" ht="11.4" x14ac:dyDescent="0.25">
      <c r="B519" s="165" t="s">
        <v>9699</v>
      </c>
      <c r="C519" s="165"/>
      <c r="D519" s="165"/>
      <c r="E519" s="165"/>
      <c r="F519" s="165"/>
      <c r="G519" s="165"/>
      <c r="H519" s="165"/>
      <c r="I519" s="165"/>
      <c r="J519" s="165"/>
      <c r="K519" s="165"/>
      <c r="L519" s="165"/>
      <c r="M519" s="165"/>
      <c r="N519" s="165"/>
      <c r="O519" s="165"/>
      <c r="P519" s="165"/>
      <c r="Q519" s="75"/>
      <c r="R519" s="75"/>
      <c r="S519" s="75"/>
      <c r="T519" s="75"/>
      <c r="U519" s="75"/>
      <c r="V519" s="75"/>
    </row>
    <row r="520" spans="2:22" s="72" customFormat="1" ht="11.4" x14ac:dyDescent="0.25">
      <c r="B520" s="73" t="s">
        <v>9699</v>
      </c>
      <c r="C520" s="33" t="s">
        <v>650</v>
      </c>
      <c r="D520" s="23" t="s">
        <v>651</v>
      </c>
      <c r="E520" s="73"/>
      <c r="F520" s="73"/>
      <c r="G520" s="73"/>
      <c r="H520" s="73"/>
      <c r="I520" s="73"/>
      <c r="J520" s="33" t="s">
        <v>9374</v>
      </c>
      <c r="K520" s="33" t="s">
        <v>11016</v>
      </c>
      <c r="L520" s="33" t="s">
        <v>121</v>
      </c>
      <c r="M520" s="33" t="s">
        <v>9376</v>
      </c>
      <c r="N520" s="73"/>
      <c r="O520" s="73"/>
      <c r="P520" s="73"/>
      <c r="Q520" s="76"/>
      <c r="R520" s="76"/>
      <c r="S520" s="76"/>
      <c r="T520" s="76"/>
      <c r="U520" s="76"/>
      <c r="V520" s="76"/>
    </row>
    <row r="521" spans="2:22" s="72" customFormat="1" ht="11.4" x14ac:dyDescent="0.25">
      <c r="B521" s="166"/>
      <c r="C521" s="166"/>
      <c r="D521" s="166"/>
      <c r="E521" s="166"/>
      <c r="F521" s="166"/>
      <c r="G521" s="166"/>
      <c r="H521" s="166"/>
      <c r="I521" s="166"/>
      <c r="J521" s="166"/>
      <c r="K521" s="166"/>
      <c r="L521" s="166"/>
      <c r="M521" s="166"/>
      <c r="N521" s="166"/>
      <c r="O521" s="166"/>
      <c r="P521" s="166"/>
      <c r="Q521" s="73"/>
      <c r="R521" s="23"/>
      <c r="S521" s="23"/>
      <c r="T521" s="73"/>
      <c r="U521" s="73"/>
      <c r="V521" s="73"/>
    </row>
    <row r="522" spans="2:22" s="72" customFormat="1" ht="11.4" x14ac:dyDescent="0.25">
      <c r="B522" s="165" t="s">
        <v>9702</v>
      </c>
      <c r="C522" s="165"/>
      <c r="D522" s="165"/>
      <c r="E522" s="165"/>
      <c r="F522" s="165"/>
      <c r="G522" s="165"/>
      <c r="H522" s="165"/>
      <c r="I522" s="165"/>
      <c r="J522" s="165"/>
      <c r="K522" s="165"/>
      <c r="L522" s="165"/>
      <c r="M522" s="165"/>
      <c r="N522" s="165"/>
      <c r="O522" s="165"/>
      <c r="P522" s="165"/>
      <c r="Q522" s="73"/>
      <c r="R522" s="23"/>
      <c r="S522" s="23"/>
      <c r="T522" s="73"/>
      <c r="U522" s="73"/>
      <c r="V522" s="73"/>
    </row>
    <row r="523" spans="2:22" s="72" customFormat="1" ht="11.4" x14ac:dyDescent="0.25">
      <c r="B523" s="73" t="s">
        <v>9702</v>
      </c>
      <c r="C523" s="33" t="s">
        <v>652</v>
      </c>
      <c r="D523" s="23" t="s">
        <v>653</v>
      </c>
      <c r="E523" s="73"/>
      <c r="F523" s="73"/>
      <c r="G523" s="73"/>
      <c r="H523" s="73"/>
      <c r="I523" s="73"/>
      <c r="J523" s="33" t="s">
        <v>9374</v>
      </c>
      <c r="K523" s="33" t="s">
        <v>9375</v>
      </c>
      <c r="L523" s="33" t="s">
        <v>121</v>
      </c>
      <c r="M523" s="33" t="s">
        <v>9376</v>
      </c>
      <c r="N523" s="73"/>
      <c r="O523" s="73"/>
      <c r="P523" s="73"/>
      <c r="Q523" s="73"/>
      <c r="R523" s="23"/>
      <c r="S523" s="23"/>
      <c r="T523" s="73"/>
      <c r="U523" s="73"/>
      <c r="V523" s="73"/>
    </row>
    <row r="524" spans="2:22" s="72" customFormat="1" ht="11.4" x14ac:dyDescent="0.25">
      <c r="B524" s="166"/>
      <c r="C524" s="166"/>
      <c r="D524" s="166"/>
      <c r="E524" s="166"/>
      <c r="F524" s="166"/>
      <c r="G524" s="166"/>
      <c r="H524" s="166"/>
      <c r="I524" s="166"/>
      <c r="J524" s="166"/>
      <c r="K524" s="166"/>
      <c r="L524" s="166"/>
      <c r="M524" s="166"/>
      <c r="N524" s="166"/>
      <c r="O524" s="166"/>
      <c r="P524" s="166"/>
      <c r="Q524" s="75"/>
      <c r="R524" s="75"/>
      <c r="S524" s="75"/>
      <c r="T524" s="75"/>
      <c r="U524" s="75"/>
      <c r="V524" s="75"/>
    </row>
    <row r="525" spans="2:22" s="72" customFormat="1" ht="11.4" x14ac:dyDescent="0.25">
      <c r="B525" s="165" t="s">
        <v>9704</v>
      </c>
      <c r="C525" s="165"/>
      <c r="D525" s="165"/>
      <c r="E525" s="165"/>
      <c r="F525" s="165"/>
      <c r="G525" s="165"/>
      <c r="H525" s="165"/>
      <c r="I525" s="165"/>
      <c r="J525" s="165"/>
      <c r="K525" s="165"/>
      <c r="L525" s="165"/>
      <c r="M525" s="165"/>
      <c r="N525" s="165"/>
      <c r="O525" s="165"/>
      <c r="P525" s="165"/>
      <c r="Q525" s="76"/>
      <c r="R525" s="76"/>
      <c r="S525" s="76"/>
      <c r="T525" s="76"/>
      <c r="U525" s="76"/>
      <c r="V525" s="76"/>
    </row>
    <row r="526" spans="2:22" s="72" customFormat="1" ht="11.4" x14ac:dyDescent="0.25">
      <c r="B526" s="73" t="s">
        <v>9704</v>
      </c>
      <c r="C526" s="33" t="s">
        <v>654</v>
      </c>
      <c r="D526" s="23" t="s">
        <v>655</v>
      </c>
      <c r="E526" s="73"/>
      <c r="F526" s="73"/>
      <c r="G526" s="73"/>
      <c r="H526" s="73"/>
      <c r="I526" s="73"/>
      <c r="J526" s="33" t="s">
        <v>9374</v>
      </c>
      <c r="K526" s="33" t="s">
        <v>11016</v>
      </c>
      <c r="L526" s="33" t="s">
        <v>121</v>
      </c>
      <c r="M526" s="33" t="s">
        <v>9376</v>
      </c>
      <c r="N526" s="73"/>
      <c r="O526" s="73"/>
      <c r="P526" s="73"/>
      <c r="Q526" s="73"/>
      <c r="R526" s="23"/>
      <c r="S526" s="23"/>
      <c r="T526" s="73"/>
      <c r="U526" s="73"/>
      <c r="V526" s="73"/>
    </row>
    <row r="527" spans="2:22" s="72" customFormat="1" ht="11.4" x14ac:dyDescent="0.25">
      <c r="B527" s="166"/>
      <c r="C527" s="166"/>
      <c r="D527" s="166"/>
      <c r="E527" s="166"/>
      <c r="F527" s="166"/>
      <c r="G527" s="166"/>
      <c r="H527" s="166"/>
      <c r="I527" s="166"/>
      <c r="J527" s="166"/>
      <c r="K527" s="166"/>
      <c r="L527" s="166"/>
      <c r="M527" s="166"/>
      <c r="N527" s="166"/>
      <c r="O527" s="166"/>
      <c r="P527" s="166"/>
      <c r="Q527" s="73"/>
      <c r="R527" s="23"/>
      <c r="S527" s="23"/>
      <c r="T527" s="73"/>
      <c r="U527" s="73"/>
      <c r="V527" s="73"/>
    </row>
    <row r="528" spans="2:22" s="72" customFormat="1" ht="11.4" x14ac:dyDescent="0.25">
      <c r="B528" s="165" t="s">
        <v>9706</v>
      </c>
      <c r="C528" s="165"/>
      <c r="D528" s="165"/>
      <c r="E528" s="165"/>
      <c r="F528" s="165"/>
      <c r="G528" s="165"/>
      <c r="H528" s="165"/>
      <c r="I528" s="165"/>
      <c r="J528" s="165"/>
      <c r="K528" s="165"/>
      <c r="L528" s="165"/>
      <c r="M528" s="165"/>
      <c r="N528" s="165"/>
      <c r="O528" s="165"/>
      <c r="P528" s="165"/>
      <c r="Q528" s="75"/>
      <c r="R528" s="75"/>
      <c r="S528" s="75"/>
      <c r="T528" s="75"/>
      <c r="U528" s="75"/>
      <c r="V528" s="75"/>
    </row>
    <row r="529" spans="2:22" s="72" customFormat="1" ht="11.4" x14ac:dyDescent="0.25">
      <c r="B529" s="73" t="s">
        <v>9706</v>
      </c>
      <c r="C529" s="33" t="s">
        <v>656</v>
      </c>
      <c r="D529" s="23" t="s">
        <v>657</v>
      </c>
      <c r="E529" s="73"/>
      <c r="F529" s="73"/>
      <c r="G529" s="73"/>
      <c r="H529" s="73"/>
      <c r="I529" s="73"/>
      <c r="J529" s="33" t="s">
        <v>9374</v>
      </c>
      <c r="K529" s="33" t="s">
        <v>11016</v>
      </c>
      <c r="L529" s="33" t="s">
        <v>121</v>
      </c>
      <c r="M529" s="33" t="s">
        <v>9376</v>
      </c>
      <c r="N529" s="73"/>
      <c r="O529" s="73"/>
      <c r="P529" s="73"/>
      <c r="Q529" s="76"/>
      <c r="R529" s="76"/>
      <c r="S529" s="76"/>
      <c r="T529" s="76"/>
      <c r="U529" s="76"/>
      <c r="V529" s="76"/>
    </row>
    <row r="530" spans="2:22" s="72" customFormat="1" ht="11.4" x14ac:dyDescent="0.25">
      <c r="B530" s="166"/>
      <c r="C530" s="166"/>
      <c r="D530" s="166"/>
      <c r="E530" s="166"/>
      <c r="F530" s="166"/>
      <c r="G530" s="166"/>
      <c r="H530" s="166"/>
      <c r="I530" s="166"/>
      <c r="J530" s="166"/>
      <c r="K530" s="166"/>
      <c r="L530" s="166"/>
      <c r="M530" s="166"/>
      <c r="N530" s="166"/>
      <c r="O530" s="166"/>
      <c r="P530" s="166"/>
      <c r="Q530" s="73"/>
      <c r="R530" s="23"/>
      <c r="S530" s="23"/>
      <c r="T530" s="73"/>
      <c r="U530" s="73"/>
      <c r="V530" s="73"/>
    </row>
    <row r="531" spans="2:22" s="72" customFormat="1" ht="11.4" x14ac:dyDescent="0.25">
      <c r="B531" s="165" t="s">
        <v>9708</v>
      </c>
      <c r="C531" s="165"/>
      <c r="D531" s="165"/>
      <c r="E531" s="165"/>
      <c r="F531" s="165"/>
      <c r="G531" s="165"/>
      <c r="H531" s="165"/>
      <c r="I531" s="165"/>
      <c r="J531" s="165"/>
      <c r="K531" s="165"/>
      <c r="L531" s="165"/>
      <c r="M531" s="165"/>
      <c r="N531" s="165"/>
      <c r="O531" s="165"/>
      <c r="P531" s="165"/>
      <c r="Q531" s="73"/>
      <c r="R531" s="23"/>
      <c r="S531" s="23"/>
      <c r="T531" s="73"/>
      <c r="U531" s="73"/>
      <c r="V531" s="73"/>
    </row>
    <row r="532" spans="2:22" s="72" customFormat="1" ht="11.4" x14ac:dyDescent="0.25">
      <c r="B532" s="73" t="s">
        <v>9708</v>
      </c>
      <c r="C532" s="33" t="s">
        <v>658</v>
      </c>
      <c r="D532" s="23" t="s">
        <v>659</v>
      </c>
      <c r="E532" s="73"/>
      <c r="F532" s="73"/>
      <c r="G532" s="73"/>
      <c r="H532" s="73"/>
      <c r="I532" s="73"/>
      <c r="J532" s="33" t="s">
        <v>9374</v>
      </c>
      <c r="K532" s="33" t="s">
        <v>11016</v>
      </c>
      <c r="L532" s="33" t="s">
        <v>121</v>
      </c>
      <c r="M532" s="33" t="s">
        <v>9376</v>
      </c>
      <c r="N532" s="73"/>
      <c r="O532" s="73"/>
      <c r="P532" s="73"/>
      <c r="Q532" s="75"/>
      <c r="R532" s="75"/>
      <c r="S532" s="75"/>
      <c r="T532" s="75"/>
      <c r="U532" s="75"/>
      <c r="V532" s="75"/>
    </row>
    <row r="533" spans="2:22" s="72" customFormat="1" ht="11.4" x14ac:dyDescent="0.25">
      <c r="B533" s="166"/>
      <c r="C533" s="166"/>
      <c r="D533" s="166"/>
      <c r="E533" s="166"/>
      <c r="F533" s="166"/>
      <c r="G533" s="166"/>
      <c r="H533" s="166"/>
      <c r="I533" s="166"/>
      <c r="J533" s="166"/>
      <c r="K533" s="166"/>
      <c r="L533" s="166"/>
      <c r="M533" s="166"/>
      <c r="N533" s="166"/>
      <c r="O533" s="166"/>
      <c r="P533" s="166"/>
      <c r="Q533" s="76"/>
      <c r="R533" s="76"/>
      <c r="S533" s="76"/>
      <c r="T533" s="76"/>
      <c r="U533" s="76"/>
      <c r="V533" s="76"/>
    </row>
    <row r="534" spans="2:22" s="72" customFormat="1" ht="11.4" x14ac:dyDescent="0.25">
      <c r="B534" s="165" t="s">
        <v>9710</v>
      </c>
      <c r="C534" s="165"/>
      <c r="D534" s="165"/>
      <c r="E534" s="165"/>
      <c r="F534" s="165"/>
      <c r="G534" s="165"/>
      <c r="H534" s="165"/>
      <c r="I534" s="165"/>
      <c r="J534" s="165"/>
      <c r="K534" s="165"/>
      <c r="L534" s="165"/>
      <c r="M534" s="165"/>
      <c r="N534" s="165"/>
      <c r="O534" s="165"/>
      <c r="P534" s="165"/>
      <c r="Q534" s="73"/>
      <c r="R534" s="23"/>
      <c r="S534" s="23"/>
      <c r="T534" s="73"/>
      <c r="U534" s="73"/>
      <c r="V534" s="73"/>
    </row>
    <row r="535" spans="2:22" s="72" customFormat="1" ht="11.4" x14ac:dyDescent="0.25">
      <c r="B535" s="73" t="s">
        <v>9710</v>
      </c>
      <c r="C535" s="33" t="s">
        <v>660</v>
      </c>
      <c r="D535" s="23" t="s">
        <v>661</v>
      </c>
      <c r="E535" s="73"/>
      <c r="F535" s="73"/>
      <c r="G535" s="73"/>
      <c r="H535" s="73"/>
      <c r="I535" s="73"/>
      <c r="J535" s="33" t="s">
        <v>9374</v>
      </c>
      <c r="K535" s="33" t="s">
        <v>11016</v>
      </c>
      <c r="L535" s="33" t="s">
        <v>121</v>
      </c>
      <c r="M535" s="33" t="s">
        <v>9376</v>
      </c>
      <c r="N535" s="73"/>
      <c r="O535" s="73"/>
      <c r="P535" s="73"/>
      <c r="Q535" s="73"/>
      <c r="R535" s="23"/>
      <c r="S535" s="23"/>
      <c r="T535" s="73"/>
      <c r="U535" s="73"/>
      <c r="V535" s="73"/>
    </row>
    <row r="536" spans="2:22" s="72" customFormat="1" ht="11.4" x14ac:dyDescent="0.25">
      <c r="B536" s="166"/>
      <c r="C536" s="166"/>
      <c r="D536" s="166"/>
      <c r="E536" s="166"/>
      <c r="F536" s="166"/>
      <c r="G536" s="166"/>
      <c r="H536" s="166"/>
      <c r="I536" s="166"/>
      <c r="J536" s="166"/>
      <c r="K536" s="166"/>
      <c r="L536" s="166"/>
      <c r="M536" s="166"/>
      <c r="N536" s="166"/>
      <c r="O536" s="166"/>
      <c r="P536" s="166"/>
      <c r="Q536" s="75"/>
      <c r="R536" s="75"/>
      <c r="S536" s="75"/>
      <c r="T536" s="75"/>
      <c r="U536" s="75"/>
      <c r="V536" s="75"/>
    </row>
    <row r="537" spans="2:22" s="72" customFormat="1" ht="11.4" x14ac:dyDescent="0.25">
      <c r="B537" s="165" t="s">
        <v>9712</v>
      </c>
      <c r="C537" s="165"/>
      <c r="D537" s="165"/>
      <c r="E537" s="165"/>
      <c r="F537" s="165"/>
      <c r="G537" s="165"/>
      <c r="H537" s="165"/>
      <c r="I537" s="165"/>
      <c r="J537" s="165"/>
      <c r="K537" s="165"/>
      <c r="L537" s="165"/>
      <c r="M537" s="165"/>
      <c r="N537" s="165"/>
      <c r="O537" s="165"/>
      <c r="P537" s="165"/>
      <c r="Q537" s="76"/>
      <c r="R537" s="76"/>
      <c r="S537" s="76"/>
      <c r="T537" s="76"/>
      <c r="U537" s="76"/>
      <c r="V537" s="76"/>
    </row>
    <row r="538" spans="2:22" s="72" customFormat="1" ht="11.4" x14ac:dyDescent="0.25">
      <c r="B538" s="73" t="s">
        <v>9712</v>
      </c>
      <c r="C538" s="33" t="s">
        <v>662</v>
      </c>
      <c r="D538" s="23" t="s">
        <v>663</v>
      </c>
      <c r="E538" s="73"/>
      <c r="F538" s="73"/>
      <c r="G538" s="73"/>
      <c r="H538" s="73"/>
      <c r="I538" s="73"/>
      <c r="J538" s="33" t="s">
        <v>9374</v>
      </c>
      <c r="K538" s="33" t="s">
        <v>11016</v>
      </c>
      <c r="L538" s="33" t="s">
        <v>121</v>
      </c>
      <c r="M538" s="33" t="s">
        <v>9376</v>
      </c>
      <c r="N538" s="73"/>
      <c r="O538" s="73"/>
      <c r="P538" s="73"/>
      <c r="Q538" s="73"/>
      <c r="R538" s="23"/>
      <c r="S538" s="23"/>
      <c r="T538" s="73"/>
      <c r="U538" s="73"/>
      <c r="V538" s="73"/>
    </row>
    <row r="539" spans="2:22" s="72" customFormat="1" ht="11.4" x14ac:dyDescent="0.25">
      <c r="B539" s="166"/>
      <c r="C539" s="166"/>
      <c r="D539" s="166"/>
      <c r="E539" s="166"/>
      <c r="F539" s="166"/>
      <c r="G539" s="166"/>
      <c r="H539" s="166"/>
      <c r="I539" s="166"/>
      <c r="J539" s="166"/>
      <c r="K539" s="166"/>
      <c r="L539" s="166"/>
      <c r="M539" s="166"/>
      <c r="N539" s="166"/>
      <c r="O539" s="166"/>
      <c r="P539" s="166"/>
      <c r="Q539" s="73"/>
      <c r="R539" s="23"/>
      <c r="S539" s="23"/>
      <c r="T539" s="73"/>
      <c r="U539" s="73"/>
      <c r="V539" s="73"/>
    </row>
    <row r="540" spans="2:22" s="72" customFormat="1" ht="11.4" x14ac:dyDescent="0.25">
      <c r="B540" s="165" t="s">
        <v>9713</v>
      </c>
      <c r="C540" s="165"/>
      <c r="D540" s="165"/>
      <c r="E540" s="165"/>
      <c r="F540" s="165"/>
      <c r="G540" s="165"/>
      <c r="H540" s="165"/>
      <c r="I540" s="165"/>
      <c r="J540" s="165"/>
      <c r="K540" s="165"/>
      <c r="L540" s="165"/>
      <c r="M540" s="165"/>
      <c r="N540" s="165"/>
      <c r="O540" s="165"/>
      <c r="P540" s="165"/>
      <c r="Q540" s="75"/>
      <c r="R540" s="75"/>
      <c r="S540" s="75"/>
      <c r="T540" s="75"/>
      <c r="U540" s="75"/>
      <c r="V540" s="75"/>
    </row>
    <row r="541" spans="2:22" s="72" customFormat="1" ht="11.4" x14ac:dyDescent="0.25">
      <c r="B541" s="73" t="s">
        <v>9713</v>
      </c>
      <c r="C541" s="33" t="s">
        <v>664</v>
      </c>
      <c r="D541" s="23" t="s">
        <v>665</v>
      </c>
      <c r="E541" s="73"/>
      <c r="F541" s="73"/>
      <c r="G541" s="73"/>
      <c r="H541" s="73"/>
      <c r="I541" s="73"/>
      <c r="J541" s="33" t="s">
        <v>9374</v>
      </c>
      <c r="K541" s="33" t="s">
        <v>11016</v>
      </c>
      <c r="L541" s="33" t="s">
        <v>121</v>
      </c>
      <c r="M541" s="33" t="s">
        <v>9376</v>
      </c>
      <c r="N541" s="73"/>
      <c r="O541" s="73"/>
      <c r="P541" s="73"/>
      <c r="Q541" s="76"/>
      <c r="R541" s="76"/>
      <c r="S541" s="76"/>
      <c r="T541" s="76"/>
      <c r="U541" s="76"/>
      <c r="V541" s="76"/>
    </row>
    <row r="542" spans="2:22" s="72" customFormat="1" ht="11.4" x14ac:dyDescent="0.25">
      <c r="B542" s="166"/>
      <c r="C542" s="166"/>
      <c r="D542" s="166"/>
      <c r="E542" s="166"/>
      <c r="F542" s="166"/>
      <c r="G542" s="166"/>
      <c r="H542" s="166"/>
      <c r="I542" s="166"/>
      <c r="J542" s="166"/>
      <c r="K542" s="166"/>
      <c r="L542" s="166"/>
      <c r="M542" s="166"/>
      <c r="N542" s="166"/>
      <c r="O542" s="166"/>
      <c r="P542" s="166"/>
      <c r="Q542" s="73"/>
      <c r="R542" s="23"/>
      <c r="S542" s="23"/>
      <c r="T542" s="73"/>
      <c r="U542" s="73"/>
      <c r="V542" s="73"/>
    </row>
    <row r="543" spans="2:22" s="72" customFormat="1" ht="11.4" x14ac:dyDescent="0.25">
      <c r="B543" s="165" t="s">
        <v>9714</v>
      </c>
      <c r="C543" s="165"/>
      <c r="D543" s="165"/>
      <c r="E543" s="165"/>
      <c r="F543" s="165"/>
      <c r="G543" s="165"/>
      <c r="H543" s="165"/>
      <c r="I543" s="165"/>
      <c r="J543" s="165"/>
      <c r="K543" s="165"/>
      <c r="L543" s="165"/>
      <c r="M543" s="165"/>
      <c r="N543" s="165"/>
      <c r="O543" s="165"/>
      <c r="P543" s="165"/>
      <c r="Q543" s="73"/>
      <c r="R543" s="23"/>
      <c r="S543" s="23"/>
      <c r="T543" s="73"/>
      <c r="U543" s="73"/>
      <c r="V543" s="73"/>
    </row>
    <row r="544" spans="2:22" s="72" customFormat="1" ht="11.4" x14ac:dyDescent="0.25">
      <c r="B544" s="73" t="s">
        <v>9714</v>
      </c>
      <c r="C544" s="33" t="s">
        <v>666</v>
      </c>
      <c r="D544" s="23" t="s">
        <v>667</v>
      </c>
      <c r="E544" s="73"/>
      <c r="F544" s="73"/>
      <c r="G544" s="73"/>
      <c r="H544" s="73"/>
      <c r="I544" s="73"/>
      <c r="J544" s="33" t="s">
        <v>9374</v>
      </c>
      <c r="K544" s="33" t="s">
        <v>11016</v>
      </c>
      <c r="L544" s="33" t="s">
        <v>121</v>
      </c>
      <c r="M544" s="33" t="s">
        <v>9376</v>
      </c>
      <c r="N544" s="73"/>
      <c r="O544" s="73"/>
      <c r="P544" s="73"/>
      <c r="Q544" s="75"/>
      <c r="R544" s="75"/>
      <c r="S544" s="75"/>
      <c r="T544" s="75"/>
      <c r="U544" s="75"/>
      <c r="V544" s="75"/>
    </row>
    <row r="545" spans="2:22" s="72" customFormat="1" ht="11.4" x14ac:dyDescent="0.25">
      <c r="B545" s="166"/>
      <c r="C545" s="166"/>
      <c r="D545" s="166"/>
      <c r="E545" s="166"/>
      <c r="F545" s="166"/>
      <c r="G545" s="166"/>
      <c r="H545" s="166"/>
      <c r="I545" s="166"/>
      <c r="J545" s="166"/>
      <c r="K545" s="166"/>
      <c r="L545" s="166"/>
      <c r="M545" s="166"/>
      <c r="N545" s="166"/>
      <c r="O545" s="166"/>
      <c r="P545" s="166"/>
      <c r="Q545" s="76"/>
      <c r="R545" s="76"/>
      <c r="S545" s="76"/>
      <c r="T545" s="76"/>
      <c r="U545" s="76"/>
      <c r="V545" s="76"/>
    </row>
    <row r="546" spans="2:22" s="72" customFormat="1" ht="11.4" x14ac:dyDescent="0.25">
      <c r="B546" s="165" t="s">
        <v>9717</v>
      </c>
      <c r="C546" s="165"/>
      <c r="D546" s="165"/>
      <c r="E546" s="165"/>
      <c r="F546" s="165"/>
      <c r="G546" s="165"/>
      <c r="H546" s="165"/>
      <c r="I546" s="165"/>
      <c r="J546" s="165"/>
      <c r="K546" s="165"/>
      <c r="L546" s="165"/>
      <c r="M546" s="165"/>
      <c r="N546" s="165"/>
      <c r="O546" s="165"/>
      <c r="P546" s="165"/>
      <c r="Q546" s="73"/>
      <c r="R546" s="23"/>
      <c r="S546" s="23"/>
      <c r="T546" s="73"/>
      <c r="U546" s="73"/>
      <c r="V546" s="73"/>
    </row>
    <row r="547" spans="2:22" s="72" customFormat="1" ht="11.4" x14ac:dyDescent="0.25">
      <c r="B547" s="73" t="s">
        <v>9717</v>
      </c>
      <c r="C547" s="33" t="s">
        <v>668</v>
      </c>
      <c r="D547" s="23" t="s">
        <v>669</v>
      </c>
      <c r="E547" s="73"/>
      <c r="F547" s="73"/>
      <c r="G547" s="73"/>
      <c r="H547" s="73"/>
      <c r="I547" s="73"/>
      <c r="J547" s="33" t="s">
        <v>9374</v>
      </c>
      <c r="K547" s="33" t="s">
        <v>11016</v>
      </c>
      <c r="L547" s="33" t="s">
        <v>121</v>
      </c>
      <c r="M547" s="33" t="s">
        <v>9376</v>
      </c>
      <c r="N547" s="73"/>
      <c r="O547" s="73"/>
      <c r="P547" s="73"/>
      <c r="Q547" s="73"/>
      <c r="R547" s="23"/>
      <c r="S547" s="23"/>
      <c r="T547" s="73"/>
      <c r="U547" s="73"/>
      <c r="V547" s="73"/>
    </row>
    <row r="548" spans="2:22" s="72" customFormat="1" ht="11.4" x14ac:dyDescent="0.25">
      <c r="B548" s="166"/>
      <c r="C548" s="166"/>
      <c r="D548" s="166"/>
      <c r="E548" s="166"/>
      <c r="F548" s="166"/>
      <c r="G548" s="166"/>
      <c r="H548" s="166"/>
      <c r="I548" s="166"/>
      <c r="J548" s="166"/>
      <c r="K548" s="166"/>
      <c r="L548" s="166"/>
      <c r="M548" s="166"/>
      <c r="N548" s="166"/>
      <c r="O548" s="166"/>
      <c r="P548" s="166"/>
      <c r="Q548" s="75"/>
      <c r="R548" s="75"/>
      <c r="S548" s="75"/>
      <c r="T548" s="75"/>
      <c r="U548" s="75"/>
      <c r="V548" s="75"/>
    </row>
    <row r="549" spans="2:22" s="72" customFormat="1" ht="11.4" x14ac:dyDescent="0.25">
      <c r="B549" s="165" t="s">
        <v>9720</v>
      </c>
      <c r="C549" s="165"/>
      <c r="D549" s="165"/>
      <c r="E549" s="165"/>
      <c r="F549" s="165"/>
      <c r="G549" s="165"/>
      <c r="H549" s="165"/>
      <c r="I549" s="165"/>
      <c r="J549" s="165"/>
      <c r="K549" s="165"/>
      <c r="L549" s="165"/>
      <c r="M549" s="165"/>
      <c r="N549" s="165"/>
      <c r="O549" s="165"/>
      <c r="P549" s="165"/>
      <c r="Q549" s="76"/>
      <c r="R549" s="76"/>
      <c r="S549" s="76"/>
      <c r="T549" s="76"/>
      <c r="U549" s="76"/>
      <c r="V549" s="76"/>
    </row>
    <row r="550" spans="2:22" s="72" customFormat="1" ht="11.4" x14ac:dyDescent="0.25">
      <c r="B550" s="73" t="s">
        <v>9720</v>
      </c>
      <c r="C550" s="33" t="s">
        <v>670</v>
      </c>
      <c r="D550" s="23" t="s">
        <v>671</v>
      </c>
      <c r="E550" s="73"/>
      <c r="F550" s="73"/>
      <c r="G550" s="73"/>
      <c r="H550" s="73"/>
      <c r="I550" s="73"/>
      <c r="J550" s="33" t="s">
        <v>9374</v>
      </c>
      <c r="K550" s="33" t="s">
        <v>11016</v>
      </c>
      <c r="L550" s="33" t="s">
        <v>121</v>
      </c>
      <c r="M550" s="33" t="s">
        <v>9376</v>
      </c>
      <c r="N550" s="73"/>
      <c r="O550" s="73"/>
      <c r="P550" s="73"/>
      <c r="Q550" s="73"/>
      <c r="R550" s="23"/>
      <c r="S550" s="23"/>
      <c r="T550" s="73"/>
      <c r="U550" s="73"/>
      <c r="V550" s="73"/>
    </row>
    <row r="551" spans="2:22" s="72" customFormat="1" ht="11.4" x14ac:dyDescent="0.25">
      <c r="B551" s="166"/>
      <c r="C551" s="166"/>
      <c r="D551" s="166"/>
      <c r="E551" s="166"/>
      <c r="F551" s="166"/>
      <c r="G551" s="166"/>
      <c r="H551" s="166"/>
      <c r="I551" s="166"/>
      <c r="J551" s="166"/>
      <c r="K551" s="166"/>
      <c r="L551" s="166"/>
      <c r="M551" s="166"/>
      <c r="N551" s="166"/>
      <c r="O551" s="166"/>
      <c r="P551" s="166"/>
      <c r="Q551" s="73"/>
      <c r="R551" s="23"/>
      <c r="S551" s="23"/>
      <c r="T551" s="73"/>
      <c r="U551" s="73"/>
      <c r="V551" s="73"/>
    </row>
    <row r="552" spans="2:22" s="72" customFormat="1" ht="11.4" x14ac:dyDescent="0.25">
      <c r="B552" s="165" t="s">
        <v>9723</v>
      </c>
      <c r="C552" s="165"/>
      <c r="D552" s="165"/>
      <c r="E552" s="165"/>
      <c r="F552" s="165"/>
      <c r="G552" s="165"/>
      <c r="H552" s="165"/>
      <c r="I552" s="165"/>
      <c r="J552" s="165"/>
      <c r="K552" s="165"/>
      <c r="L552" s="165"/>
      <c r="M552" s="165"/>
      <c r="N552" s="165"/>
      <c r="O552" s="165"/>
      <c r="P552" s="165"/>
      <c r="Q552" s="75"/>
      <c r="R552" s="75"/>
      <c r="S552" s="75"/>
      <c r="T552" s="75"/>
      <c r="U552" s="75"/>
      <c r="V552" s="75"/>
    </row>
    <row r="553" spans="2:22" s="72" customFormat="1" ht="11.4" x14ac:dyDescent="0.25">
      <c r="B553" s="73" t="s">
        <v>9723</v>
      </c>
      <c r="C553" s="33" t="s">
        <v>672</v>
      </c>
      <c r="D553" s="23" t="s">
        <v>673</v>
      </c>
      <c r="E553" s="73"/>
      <c r="F553" s="73"/>
      <c r="G553" s="73"/>
      <c r="H553" s="73"/>
      <c r="I553" s="73"/>
      <c r="J553" s="33" t="s">
        <v>9374</v>
      </c>
      <c r="K553" s="33" t="s">
        <v>11016</v>
      </c>
      <c r="L553" s="33" t="s">
        <v>121</v>
      </c>
      <c r="M553" s="33" t="s">
        <v>9376</v>
      </c>
      <c r="N553" s="73"/>
      <c r="O553" s="73"/>
      <c r="P553" s="73"/>
      <c r="Q553" s="76"/>
      <c r="R553" s="76"/>
      <c r="S553" s="76"/>
      <c r="T553" s="76"/>
      <c r="U553" s="76"/>
      <c r="V553" s="76"/>
    </row>
    <row r="554" spans="2:22" s="72" customFormat="1" ht="11.4" x14ac:dyDescent="0.25">
      <c r="B554" s="166"/>
      <c r="C554" s="166"/>
      <c r="D554" s="166"/>
      <c r="E554" s="166"/>
      <c r="F554" s="166"/>
      <c r="G554" s="166"/>
      <c r="H554" s="166"/>
      <c r="I554" s="166"/>
      <c r="J554" s="166"/>
      <c r="K554" s="166"/>
      <c r="L554" s="166"/>
      <c r="M554" s="166"/>
      <c r="N554" s="166"/>
      <c r="O554" s="166"/>
      <c r="P554" s="166"/>
      <c r="Q554" s="73"/>
      <c r="R554" s="23"/>
      <c r="S554" s="23"/>
      <c r="T554" s="73"/>
      <c r="U554" s="73"/>
      <c r="V554" s="73"/>
    </row>
    <row r="555" spans="2:22" s="72" customFormat="1" ht="11.4" x14ac:dyDescent="0.25">
      <c r="B555" s="165" t="s">
        <v>9725</v>
      </c>
      <c r="C555" s="165"/>
      <c r="D555" s="165"/>
      <c r="E555" s="165"/>
      <c r="F555" s="165"/>
      <c r="G555" s="165"/>
      <c r="H555" s="165"/>
      <c r="I555" s="165"/>
      <c r="J555" s="165"/>
      <c r="K555" s="165"/>
      <c r="L555" s="165"/>
      <c r="M555" s="165"/>
      <c r="N555" s="165"/>
      <c r="O555" s="165"/>
      <c r="P555" s="165"/>
      <c r="Q555" s="73"/>
      <c r="R555" s="23"/>
      <c r="S555" s="23"/>
      <c r="T555" s="73"/>
      <c r="U555" s="73"/>
      <c r="V555" s="73"/>
    </row>
    <row r="556" spans="2:22" s="72" customFormat="1" ht="11.4" x14ac:dyDescent="0.25">
      <c r="B556" s="73" t="s">
        <v>9725</v>
      </c>
      <c r="C556" s="33" t="s">
        <v>674</v>
      </c>
      <c r="D556" s="23" t="s">
        <v>675</v>
      </c>
      <c r="E556" s="73"/>
      <c r="F556" s="73"/>
      <c r="G556" s="73"/>
      <c r="H556" s="73"/>
      <c r="I556" s="73"/>
      <c r="J556" s="33" t="s">
        <v>9374</v>
      </c>
      <c r="K556" s="33" t="s">
        <v>11016</v>
      </c>
      <c r="L556" s="33" t="s">
        <v>121</v>
      </c>
      <c r="M556" s="33" t="s">
        <v>9376</v>
      </c>
      <c r="N556" s="73"/>
      <c r="O556" s="73"/>
      <c r="P556" s="73"/>
      <c r="Q556" s="75"/>
      <c r="R556" s="75"/>
      <c r="S556" s="75"/>
      <c r="T556" s="75"/>
      <c r="U556" s="75"/>
      <c r="V556" s="75"/>
    </row>
    <row r="557" spans="2:22" s="72" customFormat="1" ht="11.4" x14ac:dyDescent="0.25">
      <c r="B557" s="73" t="s">
        <v>9725</v>
      </c>
      <c r="C557" s="33" t="s">
        <v>1996</v>
      </c>
      <c r="D557" s="23" t="s">
        <v>1997</v>
      </c>
      <c r="E557" s="73" t="s">
        <v>11066</v>
      </c>
      <c r="F557" s="73" t="s">
        <v>10902</v>
      </c>
      <c r="G557" s="73"/>
      <c r="H557" s="73" t="s">
        <v>10917</v>
      </c>
      <c r="I557" s="73" t="s">
        <v>11067</v>
      </c>
      <c r="J557" s="33" t="s">
        <v>9374</v>
      </c>
      <c r="K557" s="33" t="s">
        <v>11016</v>
      </c>
      <c r="L557" s="33" t="s">
        <v>121</v>
      </c>
      <c r="M557" s="33" t="s">
        <v>9376</v>
      </c>
      <c r="N557" s="73"/>
      <c r="O557" s="73"/>
      <c r="P557" s="73"/>
      <c r="Q557" s="76"/>
      <c r="R557" s="76"/>
      <c r="S557" s="76"/>
      <c r="T557" s="76"/>
      <c r="U557" s="76"/>
      <c r="V557" s="76"/>
    </row>
    <row r="558" spans="2:22" s="72" customFormat="1" ht="11.4" x14ac:dyDescent="0.25">
      <c r="B558" s="166"/>
      <c r="C558" s="166"/>
      <c r="D558" s="166"/>
      <c r="E558" s="166"/>
      <c r="F558" s="166"/>
      <c r="G558" s="166"/>
      <c r="H558" s="166"/>
      <c r="I558" s="166"/>
      <c r="J558" s="166"/>
      <c r="K558" s="166"/>
      <c r="L558" s="166"/>
      <c r="M558" s="166"/>
      <c r="N558" s="166"/>
      <c r="O558" s="166"/>
      <c r="P558" s="166"/>
      <c r="Q558" s="73"/>
      <c r="R558" s="23"/>
      <c r="S558" s="23"/>
      <c r="T558" s="73"/>
      <c r="U558" s="73"/>
      <c r="V558" s="73"/>
    </row>
    <row r="559" spans="2:22" s="72" customFormat="1" ht="11.4" x14ac:dyDescent="0.25">
      <c r="B559" s="165" t="s">
        <v>9727</v>
      </c>
      <c r="C559" s="165"/>
      <c r="D559" s="165"/>
      <c r="E559" s="165"/>
      <c r="F559" s="165"/>
      <c r="G559" s="165"/>
      <c r="H559" s="165"/>
      <c r="I559" s="165"/>
      <c r="J559" s="165"/>
      <c r="K559" s="165"/>
      <c r="L559" s="165"/>
      <c r="M559" s="165"/>
      <c r="N559" s="165"/>
      <c r="O559" s="165"/>
      <c r="P559" s="165"/>
      <c r="Q559" s="73"/>
      <c r="R559" s="23"/>
      <c r="S559" s="23"/>
      <c r="T559" s="73"/>
      <c r="U559" s="73"/>
      <c r="V559" s="73"/>
    </row>
    <row r="560" spans="2:22" s="72" customFormat="1" ht="11.4" x14ac:dyDescent="0.25">
      <c r="B560" s="73" t="s">
        <v>9727</v>
      </c>
      <c r="C560" s="33" t="s">
        <v>676</v>
      </c>
      <c r="D560" s="23" t="s">
        <v>677</v>
      </c>
      <c r="E560" s="73"/>
      <c r="F560" s="73"/>
      <c r="G560" s="73"/>
      <c r="H560" s="73"/>
      <c r="I560" s="73"/>
      <c r="J560" s="33" t="s">
        <v>9374</v>
      </c>
      <c r="K560" s="33" t="s">
        <v>11016</v>
      </c>
      <c r="L560" s="33" t="s">
        <v>121</v>
      </c>
      <c r="M560" s="33" t="s">
        <v>9376</v>
      </c>
      <c r="N560" s="73"/>
      <c r="O560" s="73"/>
      <c r="P560" s="73"/>
      <c r="Q560" s="75"/>
      <c r="R560" s="75"/>
      <c r="S560" s="75"/>
      <c r="T560" s="75"/>
      <c r="U560" s="75"/>
      <c r="V560" s="75"/>
    </row>
    <row r="561" spans="2:22" s="72" customFormat="1" ht="11.4" x14ac:dyDescent="0.25">
      <c r="B561" s="166"/>
      <c r="C561" s="166"/>
      <c r="D561" s="166"/>
      <c r="E561" s="166"/>
      <c r="F561" s="166"/>
      <c r="G561" s="166"/>
      <c r="H561" s="166"/>
      <c r="I561" s="166"/>
      <c r="J561" s="166"/>
      <c r="K561" s="166"/>
      <c r="L561" s="166"/>
      <c r="M561" s="166"/>
      <c r="N561" s="166"/>
      <c r="O561" s="166"/>
      <c r="P561" s="166"/>
      <c r="Q561" s="76"/>
      <c r="R561" s="76"/>
      <c r="S561" s="76"/>
      <c r="T561" s="76"/>
      <c r="U561" s="76"/>
      <c r="V561" s="76"/>
    </row>
    <row r="562" spans="2:22" s="72" customFormat="1" ht="11.4" x14ac:dyDescent="0.25">
      <c r="B562" s="165" t="s">
        <v>9730</v>
      </c>
      <c r="C562" s="165"/>
      <c r="D562" s="165"/>
      <c r="E562" s="165"/>
      <c r="F562" s="165"/>
      <c r="G562" s="165"/>
      <c r="H562" s="165"/>
      <c r="I562" s="165"/>
      <c r="J562" s="165"/>
      <c r="K562" s="165"/>
      <c r="L562" s="165"/>
      <c r="M562" s="165"/>
      <c r="N562" s="165"/>
      <c r="O562" s="165"/>
      <c r="P562" s="165"/>
      <c r="Q562" s="73"/>
      <c r="R562" s="23"/>
      <c r="S562" s="23"/>
      <c r="T562" s="73"/>
      <c r="U562" s="73"/>
      <c r="V562" s="73"/>
    </row>
    <row r="563" spans="2:22" s="72" customFormat="1" ht="11.4" x14ac:dyDescent="0.25">
      <c r="B563" s="73" t="s">
        <v>9730</v>
      </c>
      <c r="C563" s="33" t="s">
        <v>678</v>
      </c>
      <c r="D563" s="23" t="s">
        <v>679</v>
      </c>
      <c r="E563" s="73"/>
      <c r="F563" s="73"/>
      <c r="G563" s="73"/>
      <c r="H563" s="73"/>
      <c r="I563" s="73"/>
      <c r="J563" s="33" t="s">
        <v>9374</v>
      </c>
      <c r="K563" s="33" t="s">
        <v>11016</v>
      </c>
      <c r="L563" s="33" t="s">
        <v>121</v>
      </c>
      <c r="M563" s="33" t="s">
        <v>9376</v>
      </c>
      <c r="N563" s="73"/>
      <c r="O563" s="73"/>
      <c r="P563" s="73"/>
      <c r="Q563" s="73"/>
      <c r="R563" s="23"/>
      <c r="S563" s="23"/>
      <c r="T563" s="73"/>
      <c r="U563" s="73"/>
      <c r="V563" s="73"/>
    </row>
    <row r="564" spans="2:22" s="72" customFormat="1" ht="11.4" x14ac:dyDescent="0.25">
      <c r="B564" s="166"/>
      <c r="C564" s="166"/>
      <c r="D564" s="166"/>
      <c r="E564" s="166"/>
      <c r="F564" s="166"/>
      <c r="G564" s="166"/>
      <c r="H564" s="166"/>
      <c r="I564" s="166"/>
      <c r="J564" s="166"/>
      <c r="K564" s="166"/>
      <c r="L564" s="166"/>
      <c r="M564" s="166"/>
      <c r="N564" s="166"/>
      <c r="O564" s="166"/>
      <c r="P564" s="166"/>
      <c r="Q564" s="75"/>
      <c r="R564" s="75"/>
      <c r="S564" s="75"/>
      <c r="T564" s="75"/>
      <c r="U564" s="75"/>
      <c r="V564" s="75"/>
    </row>
    <row r="565" spans="2:22" s="72" customFormat="1" ht="11.4" x14ac:dyDescent="0.25">
      <c r="B565" s="165" t="s">
        <v>9732</v>
      </c>
      <c r="C565" s="165"/>
      <c r="D565" s="165"/>
      <c r="E565" s="165"/>
      <c r="F565" s="165"/>
      <c r="G565" s="165"/>
      <c r="H565" s="165"/>
      <c r="I565" s="165"/>
      <c r="J565" s="165"/>
      <c r="K565" s="165"/>
      <c r="L565" s="165"/>
      <c r="M565" s="165"/>
      <c r="N565" s="165"/>
      <c r="O565" s="165"/>
      <c r="P565" s="165"/>
      <c r="Q565" s="76"/>
      <c r="R565" s="76"/>
      <c r="S565" s="76"/>
      <c r="T565" s="76"/>
      <c r="U565" s="76"/>
      <c r="V565" s="76"/>
    </row>
    <row r="566" spans="2:22" s="72" customFormat="1" ht="11.4" x14ac:dyDescent="0.25">
      <c r="B566" s="73" t="s">
        <v>9732</v>
      </c>
      <c r="C566" s="33" t="s">
        <v>680</v>
      </c>
      <c r="D566" s="23" t="s">
        <v>681</v>
      </c>
      <c r="E566" s="73"/>
      <c r="F566" s="73"/>
      <c r="G566" s="73"/>
      <c r="H566" s="73"/>
      <c r="I566" s="73"/>
      <c r="J566" s="33" t="s">
        <v>9374</v>
      </c>
      <c r="K566" s="33" t="s">
        <v>11016</v>
      </c>
      <c r="L566" s="33" t="s">
        <v>121</v>
      </c>
      <c r="M566" s="33" t="s">
        <v>9376</v>
      </c>
      <c r="N566" s="73"/>
      <c r="O566" s="73"/>
      <c r="P566" s="73"/>
      <c r="Q566" s="73"/>
      <c r="R566" s="23"/>
      <c r="S566" s="23"/>
      <c r="T566" s="73"/>
      <c r="U566" s="73"/>
      <c r="V566" s="73"/>
    </row>
    <row r="567" spans="2:22" s="72" customFormat="1" ht="11.4" x14ac:dyDescent="0.25">
      <c r="B567" s="166"/>
      <c r="C567" s="166"/>
      <c r="D567" s="166"/>
      <c r="E567" s="166"/>
      <c r="F567" s="166"/>
      <c r="G567" s="166"/>
      <c r="H567" s="166"/>
      <c r="I567" s="166"/>
      <c r="J567" s="166"/>
      <c r="K567" s="166"/>
      <c r="L567" s="166"/>
      <c r="M567" s="166"/>
      <c r="N567" s="166"/>
      <c r="O567" s="166"/>
      <c r="P567" s="166"/>
      <c r="Q567" s="75"/>
      <c r="R567" s="75"/>
      <c r="S567" s="75"/>
      <c r="T567" s="75"/>
      <c r="U567" s="75"/>
      <c r="V567" s="75"/>
    </row>
    <row r="568" spans="2:22" s="72" customFormat="1" ht="11.4" x14ac:dyDescent="0.25">
      <c r="B568" s="165" t="s">
        <v>9734</v>
      </c>
      <c r="C568" s="165"/>
      <c r="D568" s="165"/>
      <c r="E568" s="165"/>
      <c r="F568" s="165"/>
      <c r="G568" s="165"/>
      <c r="H568" s="165"/>
      <c r="I568" s="165"/>
      <c r="J568" s="165"/>
      <c r="K568" s="165"/>
      <c r="L568" s="165"/>
      <c r="M568" s="165"/>
      <c r="N568" s="165"/>
      <c r="O568" s="165"/>
      <c r="P568" s="165"/>
      <c r="Q568" s="76"/>
      <c r="R568" s="76"/>
      <c r="S568" s="76"/>
      <c r="T568" s="76"/>
      <c r="U568" s="76"/>
      <c r="V568" s="76"/>
    </row>
    <row r="569" spans="2:22" s="72" customFormat="1" ht="11.4" x14ac:dyDescent="0.25">
      <c r="B569" s="73" t="s">
        <v>9734</v>
      </c>
      <c r="C569" s="33" t="s">
        <v>682</v>
      </c>
      <c r="D569" s="23" t="s">
        <v>683</v>
      </c>
      <c r="E569" s="73"/>
      <c r="F569" s="73"/>
      <c r="G569" s="73"/>
      <c r="H569" s="73"/>
      <c r="I569" s="73"/>
      <c r="J569" s="33" t="s">
        <v>9374</v>
      </c>
      <c r="K569" s="33" t="s">
        <v>11016</v>
      </c>
      <c r="L569" s="33" t="s">
        <v>121</v>
      </c>
      <c r="M569" s="33" t="s">
        <v>9376</v>
      </c>
      <c r="N569" s="73"/>
      <c r="O569" s="73"/>
      <c r="P569" s="73"/>
      <c r="Q569" s="73"/>
      <c r="R569" s="23"/>
      <c r="S569" s="23"/>
      <c r="T569" s="73"/>
      <c r="U569" s="73"/>
      <c r="V569" s="73"/>
    </row>
    <row r="570" spans="2:22" s="72" customFormat="1" ht="11.4" x14ac:dyDescent="0.25">
      <c r="B570" s="166"/>
      <c r="C570" s="166"/>
      <c r="D570" s="166"/>
      <c r="E570" s="166"/>
      <c r="F570" s="166"/>
      <c r="G570" s="166"/>
      <c r="H570" s="166"/>
      <c r="I570" s="166"/>
      <c r="J570" s="166"/>
      <c r="K570" s="166"/>
      <c r="L570" s="166"/>
      <c r="M570" s="166"/>
      <c r="N570" s="166"/>
      <c r="O570" s="166"/>
      <c r="P570" s="166"/>
      <c r="Q570" s="75"/>
      <c r="R570" s="75"/>
      <c r="S570" s="75"/>
      <c r="T570" s="75"/>
      <c r="U570" s="75"/>
      <c r="V570" s="75"/>
    </row>
    <row r="571" spans="2:22" s="72" customFormat="1" ht="11.4" x14ac:dyDescent="0.25">
      <c r="B571" s="165" t="s">
        <v>9737</v>
      </c>
      <c r="C571" s="165"/>
      <c r="D571" s="165"/>
      <c r="E571" s="165"/>
      <c r="F571" s="165"/>
      <c r="G571" s="165"/>
      <c r="H571" s="165"/>
      <c r="I571" s="165"/>
      <c r="J571" s="165"/>
      <c r="K571" s="165"/>
      <c r="L571" s="165"/>
      <c r="M571" s="165"/>
      <c r="N571" s="165"/>
      <c r="O571" s="165"/>
      <c r="P571" s="165"/>
      <c r="Q571" s="76"/>
      <c r="R571" s="76"/>
      <c r="S571" s="76"/>
      <c r="T571" s="76"/>
      <c r="U571" s="76"/>
      <c r="V571" s="76"/>
    </row>
    <row r="572" spans="2:22" s="72" customFormat="1" ht="11.4" x14ac:dyDescent="0.25">
      <c r="B572" s="73" t="s">
        <v>9737</v>
      </c>
      <c r="C572" s="33" t="s">
        <v>684</v>
      </c>
      <c r="D572" s="23" t="s">
        <v>685</v>
      </c>
      <c r="E572" s="73"/>
      <c r="F572" s="73"/>
      <c r="G572" s="73"/>
      <c r="H572" s="73"/>
      <c r="I572" s="73"/>
      <c r="J572" s="33" t="s">
        <v>9374</v>
      </c>
      <c r="K572" s="33" t="s">
        <v>11016</v>
      </c>
      <c r="L572" s="33" t="s">
        <v>121</v>
      </c>
      <c r="M572" s="33" t="s">
        <v>9376</v>
      </c>
      <c r="N572" s="73"/>
      <c r="O572" s="73"/>
      <c r="P572" s="73"/>
      <c r="Q572" s="73"/>
      <c r="R572" s="23"/>
      <c r="S572" s="23"/>
      <c r="T572" s="73"/>
      <c r="U572" s="73"/>
      <c r="V572" s="73"/>
    </row>
    <row r="573" spans="2:22" s="72" customFormat="1" ht="51" x14ac:dyDescent="0.25">
      <c r="B573" s="73" t="s">
        <v>9737</v>
      </c>
      <c r="C573" s="33" t="s">
        <v>1745</v>
      </c>
      <c r="D573" s="23" t="s">
        <v>1746</v>
      </c>
      <c r="E573" s="73" t="s">
        <v>11068</v>
      </c>
      <c r="F573" s="73" t="s">
        <v>10902</v>
      </c>
      <c r="G573" s="73"/>
      <c r="H573" s="73" t="s">
        <v>11069</v>
      </c>
      <c r="I573" s="73" t="s">
        <v>11070</v>
      </c>
      <c r="J573" s="33" t="s">
        <v>9374</v>
      </c>
      <c r="K573" s="33" t="s">
        <v>11016</v>
      </c>
      <c r="L573" s="33" t="s">
        <v>121</v>
      </c>
      <c r="M573" s="33" t="s">
        <v>9376</v>
      </c>
      <c r="N573" s="73"/>
      <c r="O573" s="73"/>
      <c r="P573" s="73"/>
      <c r="Q573" s="75"/>
      <c r="R573" s="75"/>
      <c r="S573" s="75"/>
      <c r="T573" s="75"/>
      <c r="U573" s="75"/>
      <c r="V573" s="75"/>
    </row>
    <row r="574" spans="2:22" s="72" customFormat="1" ht="11.4" x14ac:dyDescent="0.25">
      <c r="B574" s="73" t="s">
        <v>9737</v>
      </c>
      <c r="C574" s="33" t="s">
        <v>1748</v>
      </c>
      <c r="D574" s="23" t="s">
        <v>1749</v>
      </c>
      <c r="E574" s="73" t="s">
        <v>11068</v>
      </c>
      <c r="F574" s="73" t="s">
        <v>10902</v>
      </c>
      <c r="G574" s="73"/>
      <c r="H574" s="73" t="s">
        <v>11069</v>
      </c>
      <c r="I574" s="73" t="s">
        <v>11071</v>
      </c>
      <c r="J574" s="33" t="s">
        <v>9374</v>
      </c>
      <c r="K574" s="33" t="s">
        <v>11016</v>
      </c>
      <c r="L574" s="33" t="s">
        <v>121</v>
      </c>
      <c r="M574" s="33" t="s">
        <v>9376</v>
      </c>
      <c r="N574" s="73"/>
      <c r="O574" s="73"/>
      <c r="P574" s="73"/>
      <c r="Q574" s="76"/>
      <c r="R574" s="76"/>
      <c r="S574" s="76"/>
      <c r="T574" s="76"/>
      <c r="U574" s="76"/>
      <c r="V574" s="76"/>
    </row>
    <row r="575" spans="2:22" s="72" customFormat="1" ht="11.4" x14ac:dyDescent="0.25">
      <c r="B575" s="166"/>
      <c r="C575" s="166"/>
      <c r="D575" s="166"/>
      <c r="E575" s="166"/>
      <c r="F575" s="166"/>
      <c r="G575" s="166"/>
      <c r="H575" s="166"/>
      <c r="I575" s="166"/>
      <c r="J575" s="166"/>
      <c r="K575" s="166"/>
      <c r="L575" s="166"/>
      <c r="M575" s="166"/>
      <c r="N575" s="166"/>
      <c r="O575" s="166"/>
      <c r="P575" s="166"/>
      <c r="Q575" s="73"/>
      <c r="R575" s="23"/>
      <c r="S575" s="23"/>
      <c r="T575" s="73"/>
      <c r="U575" s="73"/>
      <c r="V575" s="73"/>
    </row>
    <row r="576" spans="2:22" s="72" customFormat="1" ht="11.4" x14ac:dyDescent="0.25">
      <c r="B576" s="165" t="s">
        <v>9739</v>
      </c>
      <c r="C576" s="165"/>
      <c r="D576" s="165"/>
      <c r="E576" s="165"/>
      <c r="F576" s="165"/>
      <c r="G576" s="165"/>
      <c r="H576" s="165"/>
      <c r="I576" s="165"/>
      <c r="J576" s="165"/>
      <c r="K576" s="165"/>
      <c r="L576" s="165"/>
      <c r="M576" s="165"/>
      <c r="N576" s="165"/>
      <c r="O576" s="165"/>
      <c r="P576" s="165"/>
      <c r="Q576" s="75"/>
      <c r="R576" s="75"/>
      <c r="S576" s="75"/>
      <c r="T576" s="75"/>
      <c r="U576" s="75"/>
      <c r="V576" s="75"/>
    </row>
    <row r="577" spans="2:22" s="72" customFormat="1" ht="11.4" x14ac:dyDescent="0.25">
      <c r="B577" s="73" t="s">
        <v>9739</v>
      </c>
      <c r="C577" s="33" t="s">
        <v>686</v>
      </c>
      <c r="D577" s="23" t="s">
        <v>687</v>
      </c>
      <c r="E577" s="73"/>
      <c r="F577" s="73"/>
      <c r="G577" s="73"/>
      <c r="H577" s="73"/>
      <c r="I577" s="73"/>
      <c r="J577" s="33" t="s">
        <v>9374</v>
      </c>
      <c r="K577" s="33" t="s">
        <v>11016</v>
      </c>
      <c r="L577" s="33" t="s">
        <v>121</v>
      </c>
      <c r="M577" s="33" t="s">
        <v>9376</v>
      </c>
      <c r="N577" s="73"/>
      <c r="O577" s="73"/>
      <c r="P577" s="73"/>
      <c r="Q577" s="76"/>
      <c r="R577" s="76"/>
      <c r="S577" s="76"/>
      <c r="T577" s="76"/>
      <c r="U577" s="76"/>
      <c r="V577" s="76"/>
    </row>
    <row r="578" spans="2:22" s="72" customFormat="1" ht="11.4" x14ac:dyDescent="0.25">
      <c r="B578" s="166"/>
      <c r="C578" s="166"/>
      <c r="D578" s="166"/>
      <c r="E578" s="166"/>
      <c r="F578" s="166"/>
      <c r="G578" s="166"/>
      <c r="H578" s="166"/>
      <c r="I578" s="166"/>
      <c r="J578" s="166"/>
      <c r="K578" s="166"/>
      <c r="L578" s="166"/>
      <c r="M578" s="166"/>
      <c r="N578" s="166"/>
      <c r="O578" s="166"/>
      <c r="P578" s="166"/>
      <c r="Q578" s="73"/>
      <c r="R578" s="23"/>
      <c r="S578" s="23"/>
      <c r="T578" s="73"/>
      <c r="U578" s="73"/>
      <c r="V578" s="73"/>
    </row>
    <row r="579" spans="2:22" s="72" customFormat="1" ht="11.4" x14ac:dyDescent="0.25">
      <c r="B579" s="165" t="s">
        <v>9742</v>
      </c>
      <c r="C579" s="165"/>
      <c r="D579" s="165"/>
      <c r="E579" s="165"/>
      <c r="F579" s="165"/>
      <c r="G579" s="165"/>
      <c r="H579" s="165"/>
      <c r="I579" s="165"/>
      <c r="J579" s="165"/>
      <c r="K579" s="165"/>
      <c r="L579" s="165"/>
      <c r="M579" s="165"/>
      <c r="N579" s="165"/>
      <c r="O579" s="165"/>
      <c r="P579" s="165"/>
      <c r="Q579" s="75"/>
      <c r="R579" s="75"/>
      <c r="S579" s="75"/>
      <c r="T579" s="75"/>
      <c r="U579" s="75"/>
      <c r="V579" s="75"/>
    </row>
    <row r="580" spans="2:22" s="72" customFormat="1" ht="11.4" x14ac:dyDescent="0.25">
      <c r="B580" s="73" t="s">
        <v>9742</v>
      </c>
      <c r="C580" s="33" t="s">
        <v>688</v>
      </c>
      <c r="D580" s="23" t="s">
        <v>689</v>
      </c>
      <c r="E580" s="73"/>
      <c r="F580" s="73"/>
      <c r="G580" s="73"/>
      <c r="H580" s="73"/>
      <c r="I580" s="73"/>
      <c r="J580" s="33" t="s">
        <v>9374</v>
      </c>
      <c r="K580" s="33" t="s">
        <v>11016</v>
      </c>
      <c r="L580" s="33" t="s">
        <v>121</v>
      </c>
      <c r="M580" s="33" t="s">
        <v>9376</v>
      </c>
      <c r="N580" s="73"/>
      <c r="O580" s="73"/>
      <c r="P580" s="73"/>
      <c r="Q580" s="76"/>
      <c r="R580" s="76"/>
      <c r="S580" s="76"/>
      <c r="T580" s="76"/>
      <c r="U580" s="76"/>
      <c r="V580" s="76"/>
    </row>
    <row r="581" spans="2:22" s="72" customFormat="1" ht="11.4" x14ac:dyDescent="0.25">
      <c r="B581" s="166"/>
      <c r="C581" s="166"/>
      <c r="D581" s="166"/>
      <c r="E581" s="166"/>
      <c r="F581" s="166"/>
      <c r="G581" s="166"/>
      <c r="H581" s="166"/>
      <c r="I581" s="166"/>
      <c r="J581" s="166"/>
      <c r="K581" s="166"/>
      <c r="L581" s="166"/>
      <c r="M581" s="166"/>
      <c r="N581" s="166"/>
      <c r="O581" s="166"/>
      <c r="P581" s="166"/>
      <c r="Q581" s="73"/>
      <c r="R581" s="23"/>
      <c r="S581" s="23"/>
      <c r="T581" s="73"/>
      <c r="U581" s="73"/>
      <c r="V581" s="73"/>
    </row>
    <row r="582" spans="2:22" s="72" customFormat="1" ht="11.4" x14ac:dyDescent="0.25">
      <c r="B582" s="165" t="s">
        <v>9745</v>
      </c>
      <c r="C582" s="165"/>
      <c r="D582" s="165"/>
      <c r="E582" s="165"/>
      <c r="F582" s="165"/>
      <c r="G582" s="165"/>
      <c r="H582" s="165"/>
      <c r="I582" s="165"/>
      <c r="J582" s="165"/>
      <c r="K582" s="165"/>
      <c r="L582" s="165"/>
      <c r="M582" s="165"/>
      <c r="N582" s="165"/>
      <c r="O582" s="165"/>
      <c r="P582" s="165"/>
      <c r="Q582" s="73"/>
      <c r="R582" s="23"/>
      <c r="S582" s="23"/>
      <c r="T582" s="73"/>
      <c r="U582" s="73"/>
      <c r="V582" s="73"/>
    </row>
    <row r="583" spans="2:22" s="72" customFormat="1" ht="11.4" x14ac:dyDescent="0.25">
      <c r="B583" s="73" t="s">
        <v>9745</v>
      </c>
      <c r="C583" s="33" t="s">
        <v>690</v>
      </c>
      <c r="D583" s="23" t="s">
        <v>691</v>
      </c>
      <c r="E583" s="73"/>
      <c r="F583" s="73"/>
      <c r="G583" s="73"/>
      <c r="H583" s="73"/>
      <c r="I583" s="73"/>
      <c r="J583" s="33" t="s">
        <v>9374</v>
      </c>
      <c r="K583" s="33" t="s">
        <v>9375</v>
      </c>
      <c r="L583" s="33" t="s">
        <v>121</v>
      </c>
      <c r="M583" s="33" t="s">
        <v>9376</v>
      </c>
      <c r="N583" s="73"/>
      <c r="O583" s="73"/>
      <c r="P583" s="73"/>
      <c r="Q583" s="75"/>
      <c r="R583" s="75"/>
      <c r="S583" s="75"/>
      <c r="T583" s="75"/>
      <c r="U583" s="75"/>
      <c r="V583" s="75"/>
    </row>
    <row r="584" spans="2:22" s="72" customFormat="1" ht="11.4" x14ac:dyDescent="0.25">
      <c r="B584" s="166"/>
      <c r="C584" s="166"/>
      <c r="D584" s="166"/>
      <c r="E584" s="166"/>
      <c r="F584" s="166"/>
      <c r="G584" s="166"/>
      <c r="H584" s="166"/>
      <c r="I584" s="166"/>
      <c r="J584" s="166"/>
      <c r="K584" s="166"/>
      <c r="L584" s="166"/>
      <c r="M584" s="166"/>
      <c r="N584" s="166"/>
      <c r="O584" s="166"/>
      <c r="P584" s="166"/>
      <c r="Q584" s="76"/>
      <c r="R584" s="76"/>
      <c r="S584" s="76"/>
      <c r="T584" s="76"/>
      <c r="U584" s="76"/>
      <c r="V584" s="76"/>
    </row>
    <row r="585" spans="2:22" s="72" customFormat="1" ht="11.4" x14ac:dyDescent="0.25">
      <c r="B585" s="165" t="s">
        <v>9748</v>
      </c>
      <c r="C585" s="165"/>
      <c r="D585" s="165"/>
      <c r="E585" s="165"/>
      <c r="F585" s="165"/>
      <c r="G585" s="165"/>
      <c r="H585" s="165"/>
      <c r="I585" s="165"/>
      <c r="J585" s="165"/>
      <c r="K585" s="165"/>
      <c r="L585" s="165"/>
      <c r="M585" s="165"/>
      <c r="N585" s="165"/>
      <c r="O585" s="165"/>
      <c r="P585" s="165"/>
      <c r="Q585" s="73"/>
      <c r="R585" s="23"/>
      <c r="S585" s="23"/>
      <c r="T585" s="73"/>
      <c r="U585" s="73"/>
      <c r="V585" s="73"/>
    </row>
    <row r="586" spans="2:22" s="72" customFormat="1" ht="11.4" x14ac:dyDescent="0.25">
      <c r="B586" s="73" t="s">
        <v>9748</v>
      </c>
      <c r="C586" s="33" t="s">
        <v>692</v>
      </c>
      <c r="D586" s="23" t="s">
        <v>693</v>
      </c>
      <c r="E586" s="73"/>
      <c r="F586" s="73"/>
      <c r="G586" s="73"/>
      <c r="H586" s="73"/>
      <c r="I586" s="73"/>
      <c r="J586" s="33" t="s">
        <v>9374</v>
      </c>
      <c r="K586" s="33" t="s">
        <v>9375</v>
      </c>
      <c r="L586" s="33" t="s">
        <v>121</v>
      </c>
      <c r="M586" s="33" t="s">
        <v>9376</v>
      </c>
      <c r="N586" s="73"/>
      <c r="O586" s="73"/>
      <c r="P586" s="73"/>
      <c r="Q586" s="73"/>
      <c r="R586" s="23"/>
      <c r="S586" s="23"/>
      <c r="T586" s="73"/>
      <c r="U586" s="73"/>
      <c r="V586" s="73"/>
    </row>
    <row r="587" spans="2:22" s="72" customFormat="1" ht="11.4" x14ac:dyDescent="0.25">
      <c r="B587" s="166"/>
      <c r="C587" s="166"/>
      <c r="D587" s="166"/>
      <c r="E587" s="166"/>
      <c r="F587" s="166"/>
      <c r="G587" s="166"/>
      <c r="H587" s="166"/>
      <c r="I587" s="166"/>
      <c r="J587" s="166"/>
      <c r="K587" s="166"/>
      <c r="L587" s="166"/>
      <c r="M587" s="166"/>
      <c r="N587" s="166"/>
      <c r="O587" s="166"/>
      <c r="P587" s="166"/>
      <c r="Q587" s="73"/>
      <c r="R587" s="23"/>
      <c r="S587" s="23"/>
      <c r="T587" s="73"/>
      <c r="U587" s="73"/>
      <c r="V587" s="73"/>
    </row>
    <row r="588" spans="2:22" s="72" customFormat="1" ht="11.4" x14ac:dyDescent="0.25">
      <c r="B588" s="165" t="s">
        <v>9751</v>
      </c>
      <c r="C588" s="165"/>
      <c r="D588" s="165"/>
      <c r="E588" s="165"/>
      <c r="F588" s="165"/>
      <c r="G588" s="165"/>
      <c r="H588" s="165"/>
      <c r="I588" s="165"/>
      <c r="J588" s="165"/>
      <c r="K588" s="165"/>
      <c r="L588" s="165"/>
      <c r="M588" s="165"/>
      <c r="N588" s="165"/>
      <c r="O588" s="165"/>
      <c r="P588" s="165"/>
      <c r="Q588" s="73"/>
      <c r="R588" s="23"/>
      <c r="S588" s="23"/>
      <c r="T588" s="73"/>
      <c r="U588" s="73"/>
      <c r="V588" s="73"/>
    </row>
    <row r="589" spans="2:22" s="72" customFormat="1" ht="11.4" x14ac:dyDescent="0.25">
      <c r="B589" s="73" t="s">
        <v>9751</v>
      </c>
      <c r="C589" s="33" t="s">
        <v>694</v>
      </c>
      <c r="D589" s="23" t="s">
        <v>695</v>
      </c>
      <c r="E589" s="73"/>
      <c r="F589" s="73"/>
      <c r="G589" s="73"/>
      <c r="H589" s="73"/>
      <c r="I589" s="73"/>
      <c r="J589" s="33" t="s">
        <v>9374</v>
      </c>
      <c r="K589" s="33" t="s">
        <v>9375</v>
      </c>
      <c r="L589" s="33" t="s">
        <v>121</v>
      </c>
      <c r="M589" s="33" t="s">
        <v>9376</v>
      </c>
      <c r="N589" s="73"/>
      <c r="O589" s="73"/>
      <c r="P589" s="73"/>
      <c r="Q589" s="75"/>
      <c r="R589" s="75"/>
      <c r="S589" s="75"/>
      <c r="T589" s="75"/>
      <c r="U589" s="75"/>
      <c r="V589" s="75"/>
    </row>
    <row r="590" spans="2:22" s="72" customFormat="1" ht="11.4" x14ac:dyDescent="0.25">
      <c r="B590" s="73" t="s">
        <v>9751</v>
      </c>
      <c r="C590" s="33" t="s">
        <v>1797</v>
      </c>
      <c r="D590" s="23" t="s">
        <v>1798</v>
      </c>
      <c r="E590" s="73" t="s">
        <v>11017</v>
      </c>
      <c r="F590" s="73" t="s">
        <v>10902</v>
      </c>
      <c r="G590" s="73"/>
      <c r="H590" s="73" t="s">
        <v>11018</v>
      </c>
      <c r="I590" s="73"/>
      <c r="J590" s="33" t="s">
        <v>9374</v>
      </c>
      <c r="K590" s="33" t="s">
        <v>9375</v>
      </c>
      <c r="L590" s="33" t="s">
        <v>121</v>
      </c>
      <c r="M590" s="33" t="s">
        <v>9376</v>
      </c>
      <c r="N590" s="73"/>
      <c r="O590" s="73"/>
      <c r="P590" s="73"/>
      <c r="Q590" s="76"/>
      <c r="R590" s="76"/>
      <c r="S590" s="76"/>
      <c r="T590" s="76"/>
      <c r="U590" s="76"/>
      <c r="V590" s="76"/>
    </row>
    <row r="591" spans="2:22" s="72" customFormat="1" ht="11.4" x14ac:dyDescent="0.25">
      <c r="B591" s="73" t="s">
        <v>9751</v>
      </c>
      <c r="C591" s="33" t="s">
        <v>1799</v>
      </c>
      <c r="D591" s="23" t="s">
        <v>1800</v>
      </c>
      <c r="E591" s="73" t="s">
        <v>11021</v>
      </c>
      <c r="F591" s="73" t="s">
        <v>10902</v>
      </c>
      <c r="G591" s="73"/>
      <c r="H591" s="73" t="s">
        <v>11018</v>
      </c>
      <c r="I591" s="73"/>
      <c r="J591" s="33" t="s">
        <v>9374</v>
      </c>
      <c r="K591" s="33" t="s">
        <v>9375</v>
      </c>
      <c r="L591" s="33" t="s">
        <v>121</v>
      </c>
      <c r="M591" s="33" t="s">
        <v>9376</v>
      </c>
      <c r="N591" s="73"/>
      <c r="O591" s="73"/>
      <c r="P591" s="73"/>
      <c r="Q591" s="73"/>
      <c r="R591" s="23"/>
      <c r="S591" s="23"/>
      <c r="T591" s="73"/>
      <c r="U591" s="73"/>
      <c r="V591" s="73"/>
    </row>
    <row r="592" spans="2:22" s="72" customFormat="1" ht="11.4" x14ac:dyDescent="0.25">
      <c r="B592" s="73" t="s">
        <v>9751</v>
      </c>
      <c r="C592" s="33" t="s">
        <v>1831</v>
      </c>
      <c r="D592" s="23" t="s">
        <v>1832</v>
      </c>
      <c r="E592" s="73"/>
      <c r="F592" s="73"/>
      <c r="G592" s="73"/>
      <c r="H592" s="73"/>
      <c r="I592" s="73"/>
      <c r="J592" s="33" t="s">
        <v>9374</v>
      </c>
      <c r="K592" s="33" t="s">
        <v>9375</v>
      </c>
      <c r="L592" s="33" t="s">
        <v>121</v>
      </c>
      <c r="M592" s="33" t="s">
        <v>9376</v>
      </c>
      <c r="N592" s="73"/>
      <c r="O592" s="73"/>
      <c r="P592" s="73"/>
      <c r="Q592" s="75"/>
      <c r="R592" s="75"/>
      <c r="S592" s="75"/>
      <c r="T592" s="75"/>
      <c r="U592" s="75"/>
      <c r="V592" s="75"/>
    </row>
    <row r="593" spans="2:22" s="72" customFormat="1" ht="11.4" x14ac:dyDescent="0.25">
      <c r="B593" s="73" t="s">
        <v>9751</v>
      </c>
      <c r="C593" s="33" t="s">
        <v>1833</v>
      </c>
      <c r="D593" s="23" t="s">
        <v>1834</v>
      </c>
      <c r="E593" s="73"/>
      <c r="F593" s="73"/>
      <c r="G593" s="73"/>
      <c r="H593" s="73"/>
      <c r="I593" s="73"/>
      <c r="J593" s="33" t="s">
        <v>9374</v>
      </c>
      <c r="K593" s="33" t="s">
        <v>9375</v>
      </c>
      <c r="L593" s="33" t="s">
        <v>121</v>
      </c>
      <c r="M593" s="33" t="s">
        <v>9376</v>
      </c>
      <c r="N593" s="73"/>
      <c r="O593" s="73"/>
      <c r="P593" s="73"/>
      <c r="Q593" s="76"/>
      <c r="R593" s="76"/>
      <c r="S593" s="76"/>
      <c r="T593" s="76"/>
      <c r="U593" s="76"/>
      <c r="V593" s="76"/>
    </row>
    <row r="594" spans="2:22" s="72" customFormat="1" ht="11.4" x14ac:dyDescent="0.25">
      <c r="B594" s="166"/>
      <c r="C594" s="166"/>
      <c r="D594" s="166"/>
      <c r="E594" s="166"/>
      <c r="F594" s="166"/>
      <c r="G594" s="166"/>
      <c r="H594" s="166"/>
      <c r="I594" s="166"/>
      <c r="J594" s="166"/>
      <c r="K594" s="166"/>
      <c r="L594" s="166"/>
      <c r="M594" s="166"/>
      <c r="N594" s="166"/>
      <c r="O594" s="166"/>
      <c r="P594" s="166"/>
      <c r="Q594" s="73"/>
      <c r="R594" s="23"/>
      <c r="S594" s="23"/>
      <c r="T594" s="73"/>
      <c r="U594" s="73"/>
      <c r="V594" s="73"/>
    </row>
    <row r="595" spans="2:22" s="72" customFormat="1" ht="11.4" x14ac:dyDescent="0.25">
      <c r="B595" s="165" t="s">
        <v>9756</v>
      </c>
      <c r="C595" s="165"/>
      <c r="D595" s="165"/>
      <c r="E595" s="165"/>
      <c r="F595" s="165"/>
      <c r="G595" s="165"/>
      <c r="H595" s="165"/>
      <c r="I595" s="165"/>
      <c r="J595" s="165"/>
      <c r="K595" s="165"/>
      <c r="L595" s="165"/>
      <c r="M595" s="165"/>
      <c r="N595" s="165"/>
      <c r="O595" s="165"/>
      <c r="P595" s="165"/>
      <c r="Q595" s="73"/>
      <c r="R595" s="23"/>
      <c r="S595" s="23"/>
      <c r="T595" s="73"/>
      <c r="U595" s="73"/>
      <c r="V595" s="73"/>
    </row>
    <row r="596" spans="2:22" s="72" customFormat="1" ht="11.4" x14ac:dyDescent="0.25">
      <c r="B596" s="73" t="s">
        <v>9756</v>
      </c>
      <c r="C596" s="33" t="s">
        <v>696</v>
      </c>
      <c r="D596" s="23" t="s">
        <v>697</v>
      </c>
      <c r="E596" s="73"/>
      <c r="F596" s="73"/>
      <c r="G596" s="73"/>
      <c r="H596" s="73"/>
      <c r="I596" s="73"/>
      <c r="J596" s="33" t="s">
        <v>9374</v>
      </c>
      <c r="K596" s="33" t="s">
        <v>9375</v>
      </c>
      <c r="L596" s="33" t="s">
        <v>121</v>
      </c>
      <c r="M596" s="33" t="s">
        <v>9376</v>
      </c>
      <c r="N596" s="73"/>
      <c r="O596" s="73"/>
      <c r="P596" s="73"/>
      <c r="Q596" s="75"/>
      <c r="R596" s="75"/>
      <c r="S596" s="75"/>
      <c r="T596" s="75"/>
      <c r="U596" s="75"/>
      <c r="V596" s="75"/>
    </row>
    <row r="597" spans="2:22" s="72" customFormat="1" ht="11.4" x14ac:dyDescent="0.25">
      <c r="B597" s="166"/>
      <c r="C597" s="166"/>
      <c r="D597" s="166"/>
      <c r="E597" s="166"/>
      <c r="F597" s="166"/>
      <c r="G597" s="166"/>
      <c r="H597" s="166"/>
      <c r="I597" s="166"/>
      <c r="J597" s="166"/>
      <c r="K597" s="166"/>
      <c r="L597" s="166"/>
      <c r="M597" s="166"/>
      <c r="N597" s="166"/>
      <c r="O597" s="166"/>
      <c r="P597" s="166"/>
      <c r="Q597" s="76"/>
      <c r="R597" s="76"/>
      <c r="S597" s="76"/>
      <c r="T597" s="76"/>
      <c r="U597" s="76"/>
      <c r="V597" s="76"/>
    </row>
    <row r="598" spans="2:22" s="72" customFormat="1" ht="11.4" x14ac:dyDescent="0.25">
      <c r="B598" s="165" t="s">
        <v>9759</v>
      </c>
      <c r="C598" s="165"/>
      <c r="D598" s="165"/>
      <c r="E598" s="165"/>
      <c r="F598" s="165"/>
      <c r="G598" s="165"/>
      <c r="H598" s="165"/>
      <c r="I598" s="165"/>
      <c r="J598" s="165"/>
      <c r="K598" s="165"/>
      <c r="L598" s="165"/>
      <c r="M598" s="165"/>
      <c r="N598" s="165"/>
      <c r="O598" s="165"/>
      <c r="P598" s="165"/>
      <c r="Q598" s="73"/>
      <c r="R598" s="23"/>
      <c r="S598" s="23"/>
      <c r="T598" s="73"/>
      <c r="U598" s="73"/>
      <c r="V598" s="73"/>
    </row>
    <row r="599" spans="2:22" s="72" customFormat="1" ht="11.4" x14ac:dyDescent="0.25">
      <c r="B599" s="73" t="s">
        <v>9759</v>
      </c>
      <c r="C599" s="33" t="s">
        <v>698</v>
      </c>
      <c r="D599" s="23" t="s">
        <v>699</v>
      </c>
      <c r="E599" s="73"/>
      <c r="F599" s="73"/>
      <c r="G599" s="73"/>
      <c r="H599" s="73"/>
      <c r="I599" s="73"/>
      <c r="J599" s="33" t="s">
        <v>9374</v>
      </c>
      <c r="K599" s="33" t="s">
        <v>9375</v>
      </c>
      <c r="L599" s="33" t="s">
        <v>121</v>
      </c>
      <c r="M599" s="33" t="s">
        <v>9376</v>
      </c>
      <c r="N599" s="73"/>
      <c r="O599" s="73"/>
      <c r="P599" s="73"/>
      <c r="Q599" s="73"/>
      <c r="R599" s="23"/>
      <c r="S599" s="23"/>
      <c r="T599" s="73"/>
      <c r="U599" s="73"/>
      <c r="V599" s="73"/>
    </row>
    <row r="600" spans="2:22" s="72" customFormat="1" ht="11.4" x14ac:dyDescent="0.25">
      <c r="B600" s="166"/>
      <c r="C600" s="166"/>
      <c r="D600" s="166"/>
      <c r="E600" s="166"/>
      <c r="F600" s="166"/>
      <c r="G600" s="166"/>
      <c r="H600" s="166"/>
      <c r="I600" s="166"/>
      <c r="J600" s="166"/>
      <c r="K600" s="166"/>
      <c r="L600" s="166"/>
      <c r="M600" s="166"/>
      <c r="N600" s="166"/>
      <c r="O600" s="166"/>
      <c r="P600" s="166"/>
      <c r="Q600" s="75"/>
      <c r="R600" s="75"/>
      <c r="S600" s="75"/>
      <c r="T600" s="75"/>
      <c r="U600" s="75"/>
      <c r="V600" s="75"/>
    </row>
    <row r="601" spans="2:22" s="72" customFormat="1" ht="11.4" x14ac:dyDescent="0.25">
      <c r="B601" s="165" t="s">
        <v>9762</v>
      </c>
      <c r="C601" s="165"/>
      <c r="D601" s="165"/>
      <c r="E601" s="165"/>
      <c r="F601" s="165"/>
      <c r="G601" s="165"/>
      <c r="H601" s="165"/>
      <c r="I601" s="165"/>
      <c r="J601" s="165"/>
      <c r="K601" s="165"/>
      <c r="L601" s="165"/>
      <c r="M601" s="165"/>
      <c r="N601" s="165"/>
      <c r="O601" s="165"/>
      <c r="P601" s="165"/>
      <c r="Q601" s="76"/>
      <c r="R601" s="76"/>
      <c r="S601" s="76"/>
      <c r="T601" s="76"/>
      <c r="U601" s="76"/>
      <c r="V601" s="76"/>
    </row>
    <row r="602" spans="2:22" s="72" customFormat="1" ht="11.4" x14ac:dyDescent="0.25">
      <c r="B602" s="73" t="s">
        <v>9762</v>
      </c>
      <c r="C602" s="33" t="s">
        <v>700</v>
      </c>
      <c r="D602" s="23" t="s">
        <v>701</v>
      </c>
      <c r="E602" s="73"/>
      <c r="F602" s="73"/>
      <c r="G602" s="73"/>
      <c r="H602" s="73"/>
      <c r="I602" s="73"/>
      <c r="J602" s="33" t="s">
        <v>9374</v>
      </c>
      <c r="K602" s="33" t="s">
        <v>11016</v>
      </c>
      <c r="L602" s="33" t="s">
        <v>121</v>
      </c>
      <c r="M602" s="33" t="s">
        <v>9376</v>
      </c>
      <c r="N602" s="73"/>
      <c r="O602" s="73"/>
      <c r="P602" s="73"/>
      <c r="Q602" s="73"/>
      <c r="R602" s="23"/>
      <c r="S602" s="23"/>
      <c r="T602" s="73"/>
      <c r="U602" s="73"/>
      <c r="V602" s="73"/>
    </row>
    <row r="603" spans="2:22" s="72" customFormat="1" ht="11.4" x14ac:dyDescent="0.25">
      <c r="B603" s="166"/>
      <c r="C603" s="166"/>
      <c r="D603" s="166"/>
      <c r="E603" s="166"/>
      <c r="F603" s="166"/>
      <c r="G603" s="166"/>
      <c r="H603" s="166"/>
      <c r="I603" s="166"/>
      <c r="J603" s="166"/>
      <c r="K603" s="166"/>
      <c r="L603" s="166"/>
      <c r="M603" s="166"/>
      <c r="N603" s="166"/>
      <c r="O603" s="166"/>
      <c r="P603" s="166"/>
      <c r="Q603" s="73"/>
      <c r="R603" s="23"/>
      <c r="S603" s="23"/>
      <c r="T603" s="73"/>
      <c r="U603" s="73"/>
      <c r="V603" s="73"/>
    </row>
    <row r="604" spans="2:22" s="72" customFormat="1" ht="11.4" x14ac:dyDescent="0.25">
      <c r="B604" s="165" t="s">
        <v>9764</v>
      </c>
      <c r="C604" s="165"/>
      <c r="D604" s="165"/>
      <c r="E604" s="165"/>
      <c r="F604" s="165"/>
      <c r="G604" s="165"/>
      <c r="H604" s="165"/>
      <c r="I604" s="165"/>
      <c r="J604" s="165"/>
      <c r="K604" s="165"/>
      <c r="L604" s="165"/>
      <c r="M604" s="165"/>
      <c r="N604" s="165"/>
      <c r="O604" s="165"/>
      <c r="P604" s="165"/>
      <c r="Q604" s="75"/>
      <c r="R604" s="75"/>
      <c r="S604" s="75"/>
      <c r="T604" s="75"/>
      <c r="U604" s="75"/>
      <c r="V604" s="75"/>
    </row>
    <row r="605" spans="2:22" s="72" customFormat="1" ht="11.4" x14ac:dyDescent="0.25">
      <c r="B605" s="73" t="s">
        <v>9764</v>
      </c>
      <c r="C605" s="33" t="s">
        <v>702</v>
      </c>
      <c r="D605" s="23" t="s">
        <v>703</v>
      </c>
      <c r="E605" s="73"/>
      <c r="F605" s="73"/>
      <c r="G605" s="73"/>
      <c r="H605" s="73"/>
      <c r="I605" s="73"/>
      <c r="J605" s="33" t="s">
        <v>9374</v>
      </c>
      <c r="K605" s="33" t="s">
        <v>11016</v>
      </c>
      <c r="L605" s="33" t="s">
        <v>121</v>
      </c>
      <c r="M605" s="33" t="s">
        <v>9376</v>
      </c>
      <c r="N605" s="73"/>
      <c r="O605" s="73"/>
      <c r="P605" s="73"/>
      <c r="Q605" s="76"/>
      <c r="R605" s="76"/>
      <c r="S605" s="76"/>
      <c r="T605" s="76"/>
      <c r="U605" s="76"/>
      <c r="V605" s="76"/>
    </row>
    <row r="606" spans="2:22" s="72" customFormat="1" ht="11.4" x14ac:dyDescent="0.25">
      <c r="B606" s="166"/>
      <c r="C606" s="166"/>
      <c r="D606" s="166"/>
      <c r="E606" s="166"/>
      <c r="F606" s="166"/>
      <c r="G606" s="166"/>
      <c r="H606" s="166"/>
      <c r="I606" s="166"/>
      <c r="J606" s="166"/>
      <c r="K606" s="166"/>
      <c r="L606" s="166"/>
      <c r="M606" s="166"/>
      <c r="N606" s="166"/>
      <c r="O606" s="166"/>
      <c r="P606" s="166"/>
      <c r="Q606" s="73"/>
      <c r="R606" s="23"/>
      <c r="S606" s="23"/>
      <c r="T606" s="73"/>
      <c r="U606" s="73"/>
      <c r="V606" s="73"/>
    </row>
    <row r="607" spans="2:22" s="72" customFormat="1" ht="11.4" x14ac:dyDescent="0.25">
      <c r="B607" s="165" t="s">
        <v>9765</v>
      </c>
      <c r="C607" s="165"/>
      <c r="D607" s="165"/>
      <c r="E607" s="165"/>
      <c r="F607" s="165"/>
      <c r="G607" s="165"/>
      <c r="H607" s="165"/>
      <c r="I607" s="165"/>
      <c r="J607" s="165"/>
      <c r="K607" s="165"/>
      <c r="L607" s="165"/>
      <c r="M607" s="165"/>
      <c r="N607" s="165"/>
      <c r="O607" s="165"/>
      <c r="P607" s="165"/>
      <c r="Q607" s="73"/>
      <c r="R607" s="23"/>
      <c r="S607" s="23"/>
      <c r="T607" s="73"/>
      <c r="U607" s="73"/>
      <c r="V607" s="73"/>
    </row>
    <row r="608" spans="2:22" s="72" customFormat="1" ht="11.4" x14ac:dyDescent="0.25">
      <c r="B608" s="73" t="s">
        <v>9765</v>
      </c>
      <c r="C608" s="33" t="s">
        <v>704</v>
      </c>
      <c r="D608" s="23" t="s">
        <v>705</v>
      </c>
      <c r="E608" s="73"/>
      <c r="F608" s="73"/>
      <c r="G608" s="73"/>
      <c r="H608" s="73"/>
      <c r="I608" s="73"/>
      <c r="J608" s="33" t="s">
        <v>9374</v>
      </c>
      <c r="K608" s="33" t="s">
        <v>9375</v>
      </c>
      <c r="L608" s="33" t="s">
        <v>121</v>
      </c>
      <c r="M608" s="33" t="s">
        <v>9376</v>
      </c>
      <c r="N608" s="73"/>
      <c r="O608" s="73"/>
      <c r="P608" s="73"/>
      <c r="Q608" s="75"/>
      <c r="R608" s="75"/>
      <c r="S608" s="75"/>
      <c r="T608" s="75"/>
      <c r="U608" s="75"/>
      <c r="V608" s="75"/>
    </row>
    <row r="609" spans="2:22" s="72" customFormat="1" ht="11.4" x14ac:dyDescent="0.25">
      <c r="B609" s="166"/>
      <c r="C609" s="166"/>
      <c r="D609" s="166"/>
      <c r="E609" s="166"/>
      <c r="F609" s="166"/>
      <c r="G609" s="166"/>
      <c r="H609" s="166"/>
      <c r="I609" s="166"/>
      <c r="J609" s="166"/>
      <c r="K609" s="166"/>
      <c r="L609" s="166"/>
      <c r="M609" s="166"/>
      <c r="N609" s="166"/>
      <c r="O609" s="166"/>
      <c r="P609" s="166"/>
      <c r="Q609" s="76"/>
      <c r="R609" s="76"/>
      <c r="S609" s="76"/>
      <c r="T609" s="76"/>
      <c r="U609" s="76"/>
      <c r="V609" s="76"/>
    </row>
    <row r="610" spans="2:22" x14ac:dyDescent="0.2">
      <c r="B610" s="165" t="s">
        <v>9767</v>
      </c>
      <c r="C610" s="165"/>
      <c r="D610" s="165"/>
      <c r="E610" s="165"/>
      <c r="F610" s="165"/>
      <c r="G610" s="165"/>
      <c r="H610" s="165"/>
      <c r="I610" s="165"/>
      <c r="J610" s="165"/>
      <c r="K610" s="165"/>
      <c r="L610" s="165"/>
      <c r="M610" s="165"/>
      <c r="N610" s="165"/>
      <c r="O610" s="165"/>
      <c r="P610" s="165"/>
      <c r="Q610" s="73"/>
      <c r="R610" s="23"/>
      <c r="S610" s="23"/>
      <c r="T610" s="73"/>
      <c r="U610" s="73"/>
      <c r="V610" s="73"/>
    </row>
    <row r="611" spans="2:22" x14ac:dyDescent="0.2">
      <c r="B611" s="73" t="s">
        <v>9767</v>
      </c>
      <c r="C611" s="33" t="s">
        <v>707</v>
      </c>
      <c r="D611" s="23" t="s">
        <v>708</v>
      </c>
      <c r="E611" s="73"/>
      <c r="F611" s="73"/>
      <c r="G611" s="73"/>
      <c r="H611" s="73"/>
      <c r="I611" s="73"/>
      <c r="J611" s="33" t="s">
        <v>9374</v>
      </c>
      <c r="K611" s="33" t="s">
        <v>11016</v>
      </c>
      <c r="L611" s="33" t="s">
        <v>121</v>
      </c>
      <c r="M611" s="33" t="s">
        <v>9376</v>
      </c>
      <c r="N611" s="73"/>
      <c r="O611" s="73"/>
      <c r="P611" s="73"/>
      <c r="Q611" s="73"/>
      <c r="R611" s="23"/>
      <c r="S611" s="23"/>
      <c r="T611" s="73"/>
      <c r="U611" s="73"/>
      <c r="V611" s="73"/>
    </row>
    <row r="612" spans="2:22" x14ac:dyDescent="0.2">
      <c r="B612" s="166"/>
      <c r="C612" s="166"/>
      <c r="D612" s="166"/>
      <c r="E612" s="166"/>
      <c r="F612" s="166"/>
      <c r="G612" s="166"/>
      <c r="H612" s="166"/>
      <c r="I612" s="166"/>
      <c r="J612" s="166"/>
      <c r="K612" s="166"/>
      <c r="L612" s="166"/>
      <c r="M612" s="166"/>
      <c r="N612" s="166"/>
      <c r="O612" s="166"/>
      <c r="P612" s="166"/>
      <c r="Q612" s="75"/>
      <c r="R612" s="75"/>
      <c r="S612" s="75"/>
      <c r="T612" s="75"/>
      <c r="U612" s="75"/>
      <c r="V612" s="75"/>
    </row>
    <row r="613" spans="2:22" x14ac:dyDescent="0.2">
      <c r="B613" s="165" t="s">
        <v>9769</v>
      </c>
      <c r="C613" s="165"/>
      <c r="D613" s="165"/>
      <c r="E613" s="165"/>
      <c r="F613" s="165"/>
      <c r="G613" s="165"/>
      <c r="H613" s="165"/>
      <c r="I613" s="165"/>
      <c r="J613" s="165"/>
      <c r="K613" s="165"/>
      <c r="L613" s="165"/>
      <c r="M613" s="165"/>
      <c r="N613" s="165"/>
      <c r="O613" s="165"/>
      <c r="P613" s="165"/>
      <c r="Q613" s="76"/>
      <c r="R613" s="76"/>
      <c r="S613" s="76"/>
      <c r="T613" s="76"/>
      <c r="U613" s="76"/>
      <c r="V613" s="76"/>
    </row>
    <row r="614" spans="2:22" x14ac:dyDescent="0.2">
      <c r="B614" s="73" t="s">
        <v>9769</v>
      </c>
      <c r="C614" s="33" t="s">
        <v>709</v>
      </c>
      <c r="D614" s="23" t="s">
        <v>710</v>
      </c>
      <c r="E614" s="73"/>
      <c r="F614" s="73"/>
      <c r="G614" s="73"/>
      <c r="H614" s="73"/>
      <c r="I614" s="73"/>
      <c r="J614" s="33" t="s">
        <v>9374</v>
      </c>
      <c r="K614" s="33" t="s">
        <v>11016</v>
      </c>
      <c r="L614" s="33" t="s">
        <v>121</v>
      </c>
      <c r="M614" s="33" t="s">
        <v>9376</v>
      </c>
      <c r="N614" s="73"/>
      <c r="O614" s="73"/>
      <c r="P614" s="73"/>
      <c r="Q614" s="73"/>
      <c r="R614" s="23"/>
      <c r="S614" s="23"/>
      <c r="T614" s="73"/>
      <c r="U614" s="73"/>
      <c r="V614" s="73"/>
    </row>
    <row r="615" spans="2:22" x14ac:dyDescent="0.2">
      <c r="B615" s="166"/>
      <c r="C615" s="166"/>
      <c r="D615" s="166"/>
      <c r="E615" s="166"/>
      <c r="F615" s="166"/>
      <c r="G615" s="166"/>
      <c r="H615" s="166"/>
      <c r="I615" s="166"/>
      <c r="J615" s="166"/>
      <c r="K615" s="166"/>
      <c r="L615" s="166"/>
      <c r="M615" s="166"/>
      <c r="N615" s="166"/>
      <c r="O615" s="166"/>
      <c r="P615" s="166"/>
      <c r="Q615" s="73"/>
      <c r="R615" s="23"/>
      <c r="S615" s="23"/>
      <c r="T615" s="73"/>
      <c r="U615" s="73"/>
      <c r="V615" s="73"/>
    </row>
    <row r="616" spans="2:22" x14ac:dyDescent="0.2">
      <c r="B616" s="165" t="s">
        <v>9771</v>
      </c>
      <c r="C616" s="165"/>
      <c r="D616" s="165"/>
      <c r="E616" s="165"/>
      <c r="F616" s="165"/>
      <c r="G616" s="165"/>
      <c r="H616" s="165"/>
      <c r="I616" s="165"/>
      <c r="J616" s="165"/>
      <c r="K616" s="165"/>
      <c r="L616" s="165"/>
      <c r="M616" s="165"/>
      <c r="N616" s="165"/>
      <c r="O616" s="165"/>
      <c r="P616" s="165"/>
      <c r="Q616" s="75"/>
      <c r="R616" s="75"/>
      <c r="S616" s="75"/>
      <c r="T616" s="75"/>
      <c r="U616" s="75"/>
      <c r="V616" s="75"/>
    </row>
    <row r="617" spans="2:22" x14ac:dyDescent="0.2">
      <c r="B617" s="73" t="s">
        <v>9771</v>
      </c>
      <c r="C617" s="33" t="s">
        <v>711</v>
      </c>
      <c r="D617" s="23" t="s">
        <v>712</v>
      </c>
      <c r="E617" s="73"/>
      <c r="F617" s="73"/>
      <c r="G617" s="73"/>
      <c r="H617" s="73"/>
      <c r="I617" s="73"/>
      <c r="J617" s="33" t="s">
        <v>9374</v>
      </c>
      <c r="K617" s="33" t="s">
        <v>9375</v>
      </c>
      <c r="L617" s="33" t="s">
        <v>121</v>
      </c>
      <c r="M617" s="33" t="s">
        <v>9376</v>
      </c>
      <c r="N617" s="73"/>
      <c r="O617" s="73"/>
      <c r="P617" s="73"/>
      <c r="Q617" s="76"/>
      <c r="R617" s="76"/>
      <c r="S617" s="76"/>
      <c r="T617" s="76"/>
      <c r="U617" s="76"/>
      <c r="V617" s="76"/>
    </row>
    <row r="618" spans="2:22" x14ac:dyDescent="0.2">
      <c r="B618" s="166"/>
      <c r="C618" s="166"/>
      <c r="D618" s="166"/>
      <c r="E618" s="166"/>
      <c r="F618" s="166"/>
      <c r="G618" s="166"/>
      <c r="H618" s="166"/>
      <c r="I618" s="166"/>
      <c r="J618" s="166"/>
      <c r="K618" s="166"/>
      <c r="L618" s="166"/>
      <c r="M618" s="166"/>
      <c r="N618" s="166"/>
      <c r="O618" s="166"/>
      <c r="P618" s="166"/>
      <c r="Q618" s="73"/>
      <c r="R618" s="23"/>
      <c r="S618" s="23"/>
      <c r="T618" s="73"/>
      <c r="U618" s="73"/>
      <c r="V618" s="73"/>
    </row>
    <row r="619" spans="2:22" x14ac:dyDescent="0.2">
      <c r="B619" s="165" t="s">
        <v>9774</v>
      </c>
      <c r="C619" s="165"/>
      <c r="D619" s="165"/>
      <c r="E619" s="165"/>
      <c r="F619" s="165"/>
      <c r="G619" s="165"/>
      <c r="H619" s="165"/>
      <c r="I619" s="165"/>
      <c r="J619" s="165"/>
      <c r="K619" s="165"/>
      <c r="L619" s="165"/>
      <c r="M619" s="165"/>
      <c r="N619" s="165"/>
      <c r="O619" s="165"/>
      <c r="P619" s="165"/>
      <c r="Q619" s="73"/>
      <c r="R619" s="23"/>
      <c r="S619" s="23"/>
      <c r="T619" s="73"/>
      <c r="U619" s="73"/>
      <c r="V619" s="73"/>
    </row>
    <row r="620" spans="2:22" x14ac:dyDescent="0.2">
      <c r="B620" s="73" t="s">
        <v>9774</v>
      </c>
      <c r="C620" s="33" t="s">
        <v>713</v>
      </c>
      <c r="D620" s="23" t="s">
        <v>714</v>
      </c>
      <c r="E620" s="73"/>
      <c r="F620" s="73"/>
      <c r="G620" s="73"/>
      <c r="H620" s="73"/>
      <c r="I620" s="73"/>
      <c r="J620" s="33" t="s">
        <v>9374</v>
      </c>
      <c r="K620" s="33" t="s">
        <v>9375</v>
      </c>
      <c r="L620" s="33" t="s">
        <v>121</v>
      </c>
      <c r="M620" s="33" t="s">
        <v>9376</v>
      </c>
      <c r="N620" s="73"/>
      <c r="O620" s="73"/>
      <c r="P620" s="73"/>
      <c r="Q620" s="75"/>
      <c r="R620" s="75"/>
      <c r="S620" s="75"/>
      <c r="T620" s="75"/>
      <c r="U620" s="75"/>
      <c r="V620" s="75"/>
    </row>
    <row r="621" spans="2:22" x14ac:dyDescent="0.2">
      <c r="B621" s="166"/>
      <c r="C621" s="166"/>
      <c r="D621" s="166"/>
      <c r="E621" s="166"/>
      <c r="F621" s="166"/>
      <c r="G621" s="166"/>
      <c r="H621" s="166"/>
      <c r="I621" s="166"/>
      <c r="J621" s="166"/>
      <c r="K621" s="166"/>
      <c r="L621" s="166"/>
      <c r="M621" s="166"/>
      <c r="N621" s="166"/>
      <c r="O621" s="166"/>
      <c r="P621" s="166"/>
      <c r="Q621" s="76"/>
      <c r="R621" s="76"/>
      <c r="S621" s="76"/>
      <c r="T621" s="76"/>
      <c r="U621" s="76"/>
      <c r="V621" s="76"/>
    </row>
    <row r="622" spans="2:22" x14ac:dyDescent="0.2">
      <c r="B622" s="165" t="s">
        <v>9777</v>
      </c>
      <c r="C622" s="165"/>
      <c r="D622" s="165"/>
      <c r="E622" s="165"/>
      <c r="F622" s="165"/>
      <c r="G622" s="165"/>
      <c r="H622" s="165"/>
      <c r="I622" s="165"/>
      <c r="J622" s="165"/>
      <c r="K622" s="165"/>
      <c r="L622" s="165"/>
      <c r="M622" s="165"/>
      <c r="N622" s="165"/>
      <c r="O622" s="165"/>
      <c r="P622" s="165"/>
      <c r="Q622" s="73"/>
      <c r="R622" s="23"/>
      <c r="S622" s="23"/>
      <c r="T622" s="73"/>
      <c r="U622" s="73"/>
      <c r="V622" s="73"/>
    </row>
    <row r="623" spans="2:22" x14ac:dyDescent="0.2">
      <c r="B623" s="73" t="s">
        <v>9777</v>
      </c>
      <c r="C623" s="33" t="s">
        <v>715</v>
      </c>
      <c r="D623" s="23" t="s">
        <v>716</v>
      </c>
      <c r="E623" s="73"/>
      <c r="F623" s="73"/>
      <c r="G623" s="73"/>
      <c r="H623" s="73"/>
      <c r="I623" s="73"/>
      <c r="J623" s="33" t="s">
        <v>9374</v>
      </c>
      <c r="K623" s="33" t="s">
        <v>9375</v>
      </c>
      <c r="L623" s="33" t="s">
        <v>121</v>
      </c>
      <c r="M623" s="33" t="s">
        <v>9376</v>
      </c>
      <c r="N623" s="73"/>
      <c r="O623" s="73"/>
      <c r="P623" s="73"/>
      <c r="Q623" s="75"/>
      <c r="R623" s="75"/>
      <c r="S623" s="75"/>
      <c r="T623" s="75"/>
      <c r="U623" s="75"/>
      <c r="V623" s="75"/>
    </row>
    <row r="624" spans="2:22" x14ac:dyDescent="0.2">
      <c r="B624" s="166"/>
      <c r="C624" s="166"/>
      <c r="D624" s="166"/>
      <c r="E624" s="166"/>
      <c r="F624" s="166"/>
      <c r="G624" s="166"/>
      <c r="H624" s="166"/>
      <c r="I624" s="166"/>
      <c r="J624" s="166"/>
      <c r="K624" s="166"/>
      <c r="L624" s="166"/>
      <c r="M624" s="166"/>
      <c r="N624" s="166"/>
      <c r="O624" s="166"/>
      <c r="P624" s="166"/>
      <c r="Q624" s="76"/>
      <c r="R624" s="76"/>
      <c r="S624" s="76"/>
      <c r="T624" s="76"/>
      <c r="U624" s="76"/>
      <c r="V624" s="76"/>
    </row>
    <row r="625" spans="2:22" x14ac:dyDescent="0.2">
      <c r="B625" s="165" t="s">
        <v>9780</v>
      </c>
      <c r="C625" s="165"/>
      <c r="D625" s="165"/>
      <c r="E625" s="165"/>
      <c r="F625" s="165"/>
      <c r="G625" s="165"/>
      <c r="H625" s="165"/>
      <c r="I625" s="165"/>
      <c r="J625" s="165"/>
      <c r="K625" s="165"/>
      <c r="L625" s="165"/>
      <c r="M625" s="165"/>
      <c r="N625" s="165"/>
      <c r="O625" s="165"/>
      <c r="P625" s="165"/>
      <c r="Q625" s="73"/>
      <c r="R625" s="23"/>
      <c r="S625" s="23"/>
      <c r="T625" s="73"/>
      <c r="U625" s="73"/>
      <c r="V625" s="73"/>
    </row>
    <row r="626" spans="2:22" x14ac:dyDescent="0.2">
      <c r="B626" s="73" t="s">
        <v>9780</v>
      </c>
      <c r="C626" s="33" t="s">
        <v>717</v>
      </c>
      <c r="D626" s="23" t="s">
        <v>718</v>
      </c>
      <c r="E626" s="73"/>
      <c r="F626" s="73"/>
      <c r="G626" s="73"/>
      <c r="H626" s="73"/>
      <c r="I626" s="73"/>
      <c r="J626" s="33" t="s">
        <v>9374</v>
      </c>
      <c r="K626" s="33" t="s">
        <v>9375</v>
      </c>
      <c r="L626" s="33" t="s">
        <v>121</v>
      </c>
      <c r="M626" s="33" t="s">
        <v>9376</v>
      </c>
      <c r="N626" s="73"/>
      <c r="O626" s="73"/>
      <c r="P626" s="73"/>
      <c r="Q626" s="75"/>
      <c r="R626" s="75"/>
      <c r="S626" s="75"/>
      <c r="T626" s="75"/>
      <c r="U626" s="75"/>
      <c r="V626" s="75"/>
    </row>
    <row r="627" spans="2:22" x14ac:dyDescent="0.2">
      <c r="B627" s="166"/>
      <c r="C627" s="166"/>
      <c r="D627" s="166"/>
      <c r="E627" s="166"/>
      <c r="F627" s="166"/>
      <c r="G627" s="166"/>
      <c r="H627" s="166"/>
      <c r="I627" s="166"/>
      <c r="J627" s="166"/>
      <c r="K627" s="166"/>
      <c r="L627" s="166"/>
      <c r="M627" s="166"/>
      <c r="N627" s="166"/>
      <c r="O627" s="166"/>
      <c r="P627" s="166"/>
      <c r="Q627" s="76"/>
      <c r="R627" s="76"/>
      <c r="S627" s="76"/>
      <c r="T627" s="76"/>
      <c r="U627" s="76"/>
      <c r="V627" s="76"/>
    </row>
    <row r="628" spans="2:22" x14ac:dyDescent="0.2">
      <c r="B628" s="165" t="s">
        <v>9785</v>
      </c>
      <c r="C628" s="165"/>
      <c r="D628" s="165"/>
      <c r="E628" s="165"/>
      <c r="F628" s="165"/>
      <c r="G628" s="165"/>
      <c r="H628" s="165"/>
      <c r="I628" s="165"/>
      <c r="J628" s="165"/>
      <c r="K628" s="165"/>
      <c r="L628" s="165"/>
      <c r="M628" s="165"/>
      <c r="N628" s="165"/>
      <c r="O628" s="165"/>
      <c r="P628" s="165"/>
      <c r="Q628" s="73"/>
      <c r="R628" s="23"/>
      <c r="S628" s="23"/>
      <c r="T628" s="73"/>
      <c r="U628" s="73"/>
      <c r="V628" s="73"/>
    </row>
    <row r="629" spans="2:22" x14ac:dyDescent="0.2">
      <c r="B629" s="73" t="s">
        <v>9785</v>
      </c>
      <c r="C629" s="33" t="s">
        <v>719</v>
      </c>
      <c r="D629" s="23" t="s">
        <v>720</v>
      </c>
      <c r="E629" s="73"/>
      <c r="F629" s="73"/>
      <c r="G629" s="73"/>
      <c r="H629" s="73"/>
      <c r="I629" s="73"/>
      <c r="J629" s="33" t="s">
        <v>9374</v>
      </c>
      <c r="K629" s="33" t="s">
        <v>11016</v>
      </c>
      <c r="L629" s="33" t="s">
        <v>121</v>
      </c>
      <c r="M629" s="33" t="s">
        <v>9376</v>
      </c>
      <c r="N629" s="73"/>
      <c r="O629" s="73"/>
      <c r="P629" s="73"/>
      <c r="Q629" s="73"/>
      <c r="R629" s="23"/>
      <c r="S629" s="23"/>
      <c r="T629" s="73"/>
      <c r="U629" s="73"/>
      <c r="V629" s="73"/>
    </row>
    <row r="630" spans="2:22" x14ac:dyDescent="0.2">
      <c r="B630" s="166"/>
      <c r="C630" s="166"/>
      <c r="D630" s="166"/>
      <c r="E630" s="166"/>
      <c r="F630" s="166"/>
      <c r="G630" s="166"/>
      <c r="H630" s="166"/>
      <c r="I630" s="166"/>
      <c r="J630" s="166"/>
      <c r="K630" s="166"/>
      <c r="L630" s="166"/>
      <c r="M630" s="166"/>
      <c r="N630" s="166"/>
      <c r="O630" s="166"/>
      <c r="P630" s="166"/>
      <c r="Q630" s="75"/>
      <c r="R630" s="75"/>
      <c r="S630" s="75"/>
      <c r="T630" s="75"/>
      <c r="U630" s="75"/>
      <c r="V630" s="75"/>
    </row>
    <row r="631" spans="2:22" x14ac:dyDescent="0.2">
      <c r="B631" s="165" t="s">
        <v>9788</v>
      </c>
      <c r="C631" s="165"/>
      <c r="D631" s="165"/>
      <c r="E631" s="165"/>
      <c r="F631" s="165"/>
      <c r="G631" s="165"/>
      <c r="H631" s="165"/>
      <c r="I631" s="165"/>
      <c r="J631" s="165"/>
      <c r="K631" s="165"/>
      <c r="L631" s="165"/>
      <c r="M631" s="165"/>
      <c r="N631" s="165"/>
      <c r="O631" s="165"/>
      <c r="P631" s="165"/>
      <c r="Q631" s="76"/>
      <c r="R631" s="76"/>
      <c r="S631" s="76"/>
      <c r="T631" s="76"/>
      <c r="U631" s="76"/>
      <c r="V631" s="76"/>
    </row>
    <row r="632" spans="2:22" x14ac:dyDescent="0.2">
      <c r="B632" s="73" t="s">
        <v>9788</v>
      </c>
      <c r="C632" s="33" t="s">
        <v>721</v>
      </c>
      <c r="D632" s="23" t="s">
        <v>722</v>
      </c>
      <c r="E632" s="73"/>
      <c r="F632" s="73"/>
      <c r="G632" s="73"/>
      <c r="H632" s="73"/>
      <c r="I632" s="73"/>
      <c r="J632" s="33" t="s">
        <v>9374</v>
      </c>
      <c r="K632" s="33" t="s">
        <v>11016</v>
      </c>
      <c r="L632" s="33" t="s">
        <v>121</v>
      </c>
      <c r="M632" s="33" t="s">
        <v>9376</v>
      </c>
      <c r="N632" s="73"/>
      <c r="O632" s="73"/>
      <c r="P632" s="73"/>
      <c r="Q632" s="73"/>
      <c r="R632" s="23"/>
      <c r="S632" s="23"/>
      <c r="T632" s="73"/>
      <c r="U632" s="73"/>
      <c r="V632" s="73"/>
    </row>
    <row r="633" spans="2:22" x14ac:dyDescent="0.2">
      <c r="B633" s="166"/>
      <c r="C633" s="166"/>
      <c r="D633" s="166"/>
      <c r="E633" s="166"/>
      <c r="F633" s="166"/>
      <c r="G633" s="166"/>
      <c r="H633" s="166"/>
      <c r="I633" s="166"/>
      <c r="J633" s="166"/>
      <c r="K633" s="166"/>
      <c r="L633" s="166"/>
      <c r="M633" s="166"/>
      <c r="N633" s="166"/>
      <c r="O633" s="166"/>
      <c r="P633" s="166"/>
      <c r="Q633" s="73"/>
      <c r="R633" s="23"/>
      <c r="S633" s="23"/>
      <c r="T633" s="73"/>
      <c r="U633" s="73"/>
      <c r="V633" s="73"/>
    </row>
    <row r="634" spans="2:22" x14ac:dyDescent="0.2">
      <c r="B634" s="165" t="s">
        <v>9791</v>
      </c>
      <c r="C634" s="165"/>
      <c r="D634" s="165"/>
      <c r="E634" s="165"/>
      <c r="F634" s="165"/>
      <c r="G634" s="165"/>
      <c r="H634" s="165"/>
      <c r="I634" s="165"/>
      <c r="J634" s="165"/>
      <c r="K634" s="165"/>
      <c r="L634" s="165"/>
      <c r="M634" s="165"/>
      <c r="N634" s="165"/>
      <c r="O634" s="165"/>
      <c r="P634" s="165"/>
      <c r="Q634" s="75"/>
      <c r="R634" s="75"/>
      <c r="S634" s="75"/>
      <c r="T634" s="75"/>
      <c r="U634" s="75"/>
      <c r="V634" s="75"/>
    </row>
    <row r="635" spans="2:22" x14ac:dyDescent="0.2">
      <c r="B635" s="73" t="s">
        <v>9791</v>
      </c>
      <c r="C635" s="33" t="s">
        <v>723</v>
      </c>
      <c r="D635" s="23" t="s">
        <v>724</v>
      </c>
      <c r="E635" s="73"/>
      <c r="F635" s="73"/>
      <c r="G635" s="73"/>
      <c r="H635" s="73"/>
      <c r="I635" s="73"/>
      <c r="J635" s="33" t="s">
        <v>9374</v>
      </c>
      <c r="K635" s="33" t="s">
        <v>11016</v>
      </c>
      <c r="L635" s="33" t="s">
        <v>121</v>
      </c>
      <c r="M635" s="33" t="s">
        <v>9376</v>
      </c>
      <c r="N635" s="73"/>
      <c r="O635" s="73"/>
      <c r="P635" s="73"/>
      <c r="Q635" s="76"/>
      <c r="R635" s="76"/>
      <c r="S635" s="76"/>
      <c r="T635" s="76"/>
      <c r="U635" s="76"/>
      <c r="V635" s="76"/>
    </row>
    <row r="636" spans="2:22" x14ac:dyDescent="0.2">
      <c r="B636" s="166"/>
      <c r="C636" s="166"/>
      <c r="D636" s="166"/>
      <c r="E636" s="166"/>
      <c r="F636" s="166"/>
      <c r="G636" s="166"/>
      <c r="H636" s="166"/>
      <c r="I636" s="166"/>
      <c r="J636" s="166"/>
      <c r="K636" s="166"/>
      <c r="L636" s="166"/>
      <c r="M636" s="166"/>
      <c r="N636" s="166"/>
      <c r="O636" s="166"/>
      <c r="P636" s="166"/>
      <c r="Q636" s="73"/>
      <c r="R636" s="23"/>
      <c r="S636" s="23"/>
      <c r="T636" s="73"/>
      <c r="U636" s="73"/>
      <c r="V636" s="73"/>
    </row>
    <row r="637" spans="2:22" x14ac:dyDescent="0.2">
      <c r="B637" s="165" t="s">
        <v>9793</v>
      </c>
      <c r="C637" s="165"/>
      <c r="D637" s="165"/>
      <c r="E637" s="165"/>
      <c r="F637" s="165"/>
      <c r="G637" s="165"/>
      <c r="H637" s="165"/>
      <c r="I637" s="165"/>
      <c r="J637" s="165"/>
      <c r="K637" s="165"/>
      <c r="L637" s="165"/>
      <c r="M637" s="165"/>
      <c r="N637" s="165"/>
      <c r="O637" s="165"/>
      <c r="P637" s="165"/>
      <c r="Q637" s="73"/>
      <c r="R637" s="23"/>
      <c r="S637" s="23"/>
      <c r="T637" s="73"/>
      <c r="U637" s="73"/>
      <c r="V637" s="73"/>
    </row>
    <row r="638" spans="2:22" x14ac:dyDescent="0.2">
      <c r="B638" s="73" t="s">
        <v>9793</v>
      </c>
      <c r="C638" s="33" t="s">
        <v>725</v>
      </c>
      <c r="D638" s="23" t="s">
        <v>726</v>
      </c>
      <c r="E638" s="73"/>
      <c r="F638" s="73"/>
      <c r="G638" s="73"/>
      <c r="H638" s="73"/>
      <c r="I638" s="73"/>
      <c r="J638" s="33" t="s">
        <v>9374</v>
      </c>
      <c r="K638" s="33" t="s">
        <v>9375</v>
      </c>
      <c r="L638" s="33" t="s">
        <v>121</v>
      </c>
      <c r="M638" s="33" t="s">
        <v>9376</v>
      </c>
      <c r="N638" s="73"/>
      <c r="O638" s="73"/>
      <c r="P638" s="73"/>
      <c r="Q638" s="73"/>
      <c r="R638" s="23"/>
      <c r="S638" s="23"/>
      <c r="T638" s="73"/>
      <c r="U638" s="73"/>
      <c r="V638" s="73"/>
    </row>
    <row r="639" spans="2:22" x14ac:dyDescent="0.2">
      <c r="B639" s="73" t="s">
        <v>9793</v>
      </c>
      <c r="C639" s="33" t="s">
        <v>2142</v>
      </c>
      <c r="D639" s="23" t="s">
        <v>2143</v>
      </c>
      <c r="E639" s="73" t="s">
        <v>11072</v>
      </c>
      <c r="F639" s="73" t="s">
        <v>10902</v>
      </c>
      <c r="G639" s="73"/>
      <c r="H639" s="73" t="s">
        <v>10917</v>
      </c>
      <c r="I639" s="73" t="s">
        <v>11073</v>
      </c>
      <c r="J639" s="33" t="s">
        <v>9374</v>
      </c>
      <c r="K639" s="33" t="s">
        <v>9375</v>
      </c>
      <c r="L639" s="33" t="s">
        <v>121</v>
      </c>
      <c r="M639" s="33" t="s">
        <v>9376</v>
      </c>
      <c r="N639" s="73"/>
      <c r="O639" s="73"/>
      <c r="P639" s="73"/>
      <c r="Q639" s="75"/>
      <c r="R639" s="75"/>
      <c r="S639" s="75"/>
      <c r="T639" s="75"/>
      <c r="U639" s="75"/>
      <c r="V639" s="75"/>
    </row>
    <row r="640" spans="2:22" x14ac:dyDescent="0.2">
      <c r="B640" s="166"/>
      <c r="C640" s="166"/>
      <c r="D640" s="166"/>
      <c r="E640" s="166"/>
      <c r="F640" s="166"/>
      <c r="G640" s="166"/>
      <c r="H640" s="166"/>
      <c r="I640" s="166"/>
      <c r="J640" s="166"/>
      <c r="K640" s="166"/>
      <c r="L640" s="166"/>
      <c r="M640" s="166"/>
      <c r="N640" s="166"/>
      <c r="O640" s="166"/>
      <c r="P640" s="166"/>
      <c r="Q640" s="76"/>
      <c r="R640" s="76"/>
      <c r="S640" s="76"/>
      <c r="T640" s="76"/>
      <c r="U640" s="76"/>
      <c r="V640" s="76"/>
    </row>
    <row r="641" spans="2:22" x14ac:dyDescent="0.2">
      <c r="B641" s="165" t="s">
        <v>9796</v>
      </c>
      <c r="C641" s="165"/>
      <c r="D641" s="165"/>
      <c r="E641" s="165"/>
      <c r="F641" s="165"/>
      <c r="G641" s="165"/>
      <c r="H641" s="165"/>
      <c r="I641" s="165"/>
      <c r="J641" s="165"/>
      <c r="K641" s="165"/>
      <c r="L641" s="165"/>
      <c r="M641" s="165"/>
      <c r="N641" s="165"/>
      <c r="O641" s="165"/>
      <c r="P641" s="165"/>
      <c r="Q641" s="73"/>
      <c r="R641" s="23"/>
      <c r="S641" s="23"/>
      <c r="T641" s="73"/>
      <c r="U641" s="73"/>
      <c r="V641" s="73"/>
    </row>
    <row r="642" spans="2:22" x14ac:dyDescent="0.2">
      <c r="B642" s="73" t="s">
        <v>9796</v>
      </c>
      <c r="C642" s="33" t="s">
        <v>727</v>
      </c>
      <c r="D642" s="23" t="s">
        <v>728</v>
      </c>
      <c r="E642" s="73"/>
      <c r="F642" s="73"/>
      <c r="G642" s="73"/>
      <c r="H642" s="73"/>
      <c r="I642" s="73"/>
      <c r="J642" s="33" t="s">
        <v>9374</v>
      </c>
      <c r="K642" s="33" t="s">
        <v>11016</v>
      </c>
      <c r="L642" s="33" t="s">
        <v>121</v>
      </c>
      <c r="M642" s="33" t="s">
        <v>9376</v>
      </c>
      <c r="N642" s="73"/>
      <c r="O642" s="73"/>
      <c r="P642" s="73"/>
      <c r="Q642" s="75"/>
      <c r="R642" s="75"/>
      <c r="S642" s="75"/>
      <c r="T642" s="75"/>
      <c r="U642" s="75"/>
      <c r="V642" s="75"/>
    </row>
    <row r="643" spans="2:22" x14ac:dyDescent="0.2">
      <c r="B643" s="166"/>
      <c r="C643" s="166"/>
      <c r="D643" s="166"/>
      <c r="E643" s="166"/>
      <c r="F643" s="166"/>
      <c r="G643" s="166"/>
      <c r="H643" s="166"/>
      <c r="I643" s="166"/>
      <c r="J643" s="166"/>
      <c r="K643" s="166"/>
      <c r="L643" s="166"/>
      <c r="M643" s="166"/>
      <c r="N643" s="166"/>
      <c r="O643" s="166"/>
      <c r="P643" s="166"/>
      <c r="Q643" s="76"/>
      <c r="R643" s="76"/>
      <c r="S643" s="76"/>
      <c r="T643" s="76"/>
      <c r="U643" s="76"/>
      <c r="V643" s="76"/>
    </row>
    <row r="644" spans="2:22" x14ac:dyDescent="0.2">
      <c r="B644" s="165" t="s">
        <v>9799</v>
      </c>
      <c r="C644" s="165"/>
      <c r="D644" s="165"/>
      <c r="E644" s="165"/>
      <c r="F644" s="165"/>
      <c r="G644" s="165"/>
      <c r="H644" s="165"/>
      <c r="I644" s="165"/>
      <c r="J644" s="165"/>
      <c r="K644" s="165"/>
      <c r="L644" s="165"/>
      <c r="M644" s="165"/>
      <c r="N644" s="165"/>
      <c r="O644" s="165"/>
      <c r="P644" s="165"/>
      <c r="Q644" s="73"/>
      <c r="R644" s="23"/>
      <c r="S644" s="23"/>
      <c r="T644" s="73"/>
      <c r="U644" s="73"/>
      <c r="V644" s="73"/>
    </row>
    <row r="645" spans="2:22" x14ac:dyDescent="0.2">
      <c r="B645" s="73" t="s">
        <v>9799</v>
      </c>
      <c r="C645" s="33" t="s">
        <v>729</v>
      </c>
      <c r="D645" s="23" t="s">
        <v>730</v>
      </c>
      <c r="E645" s="73"/>
      <c r="F645" s="73"/>
      <c r="G645" s="73"/>
      <c r="H645" s="73"/>
      <c r="I645" s="73"/>
      <c r="J645" s="33" t="s">
        <v>9374</v>
      </c>
      <c r="K645" s="33" t="s">
        <v>11016</v>
      </c>
      <c r="L645" s="33" t="s">
        <v>121</v>
      </c>
      <c r="M645" s="33" t="s">
        <v>9376</v>
      </c>
      <c r="N645" s="73"/>
      <c r="O645" s="73"/>
      <c r="P645" s="73"/>
      <c r="Q645" s="73"/>
      <c r="R645" s="23"/>
      <c r="S645" s="23"/>
      <c r="T645" s="73"/>
      <c r="U645" s="73"/>
      <c r="V645" s="73"/>
    </row>
    <row r="646" spans="2:22" x14ac:dyDescent="0.2">
      <c r="B646" s="166"/>
      <c r="C646" s="166"/>
      <c r="D646" s="166"/>
      <c r="E646" s="166"/>
      <c r="F646" s="166"/>
      <c r="G646" s="166"/>
      <c r="H646" s="166"/>
      <c r="I646" s="166"/>
      <c r="J646" s="166"/>
      <c r="K646" s="166"/>
      <c r="L646" s="166"/>
      <c r="M646" s="166"/>
      <c r="N646" s="166"/>
      <c r="O646" s="166"/>
      <c r="P646" s="166"/>
      <c r="Q646" s="75"/>
      <c r="R646" s="75"/>
      <c r="S646" s="75"/>
      <c r="T646" s="75"/>
      <c r="U646" s="75"/>
      <c r="V646" s="75"/>
    </row>
    <row r="647" spans="2:22" x14ac:dyDescent="0.2">
      <c r="B647" s="165" t="s">
        <v>9802</v>
      </c>
      <c r="C647" s="165"/>
      <c r="D647" s="165"/>
      <c r="E647" s="165"/>
      <c r="F647" s="165"/>
      <c r="G647" s="165"/>
      <c r="H647" s="165"/>
      <c r="I647" s="165"/>
      <c r="J647" s="165"/>
      <c r="K647" s="165"/>
      <c r="L647" s="165"/>
      <c r="M647" s="165"/>
      <c r="N647" s="165"/>
      <c r="O647" s="165"/>
      <c r="P647" s="165"/>
      <c r="Q647" s="76"/>
      <c r="R647" s="76"/>
      <c r="S647" s="76"/>
      <c r="T647" s="76"/>
      <c r="U647" s="76"/>
      <c r="V647" s="76"/>
    </row>
    <row r="648" spans="2:22" x14ac:dyDescent="0.2">
      <c r="B648" s="73" t="s">
        <v>9802</v>
      </c>
      <c r="C648" s="33" t="s">
        <v>731</v>
      </c>
      <c r="D648" s="23" t="s">
        <v>732</v>
      </c>
      <c r="E648" s="73"/>
      <c r="F648" s="73"/>
      <c r="G648" s="73"/>
      <c r="H648" s="73"/>
      <c r="I648" s="73"/>
      <c r="J648" s="33" t="s">
        <v>9374</v>
      </c>
      <c r="K648" s="33" t="s">
        <v>9375</v>
      </c>
      <c r="L648" s="33" t="s">
        <v>121</v>
      </c>
      <c r="M648" s="33" t="s">
        <v>9376</v>
      </c>
      <c r="N648" s="73"/>
      <c r="O648" s="73"/>
      <c r="P648" s="73"/>
      <c r="Q648" s="73"/>
      <c r="R648" s="23"/>
      <c r="S648" s="23"/>
      <c r="T648" s="73"/>
      <c r="U648" s="73"/>
      <c r="V648" s="73"/>
    </row>
    <row r="649" spans="2:22" x14ac:dyDescent="0.2">
      <c r="B649" s="166"/>
      <c r="C649" s="166"/>
      <c r="D649" s="166"/>
      <c r="E649" s="166"/>
      <c r="F649" s="166"/>
      <c r="G649" s="166"/>
      <c r="H649" s="166"/>
      <c r="I649" s="166"/>
      <c r="J649" s="166"/>
      <c r="K649" s="166"/>
      <c r="L649" s="166"/>
      <c r="M649" s="166"/>
      <c r="N649" s="166"/>
      <c r="O649" s="166"/>
      <c r="P649" s="166"/>
      <c r="Q649" s="73"/>
      <c r="R649" s="23"/>
      <c r="S649" s="23"/>
      <c r="T649" s="73"/>
      <c r="U649" s="73"/>
      <c r="V649" s="73"/>
    </row>
    <row r="650" spans="2:22" x14ac:dyDescent="0.2">
      <c r="B650" s="165" t="s">
        <v>9805</v>
      </c>
      <c r="C650" s="165"/>
      <c r="D650" s="165"/>
      <c r="E650" s="165"/>
      <c r="F650" s="165"/>
      <c r="G650" s="165"/>
      <c r="H650" s="165"/>
      <c r="I650" s="165"/>
      <c r="J650" s="165"/>
      <c r="K650" s="165"/>
      <c r="L650" s="165"/>
      <c r="M650" s="165"/>
      <c r="N650" s="165"/>
      <c r="O650" s="165"/>
      <c r="P650" s="165"/>
      <c r="Q650" s="75"/>
      <c r="R650" s="75"/>
      <c r="S650" s="75"/>
      <c r="T650" s="75"/>
      <c r="U650" s="75"/>
      <c r="V650" s="75"/>
    </row>
    <row r="651" spans="2:22" x14ac:dyDescent="0.2">
      <c r="B651" s="73" t="s">
        <v>9805</v>
      </c>
      <c r="C651" s="33" t="s">
        <v>733</v>
      </c>
      <c r="D651" s="23" t="s">
        <v>734</v>
      </c>
      <c r="E651" s="73"/>
      <c r="F651" s="73"/>
      <c r="G651" s="73"/>
      <c r="H651" s="73"/>
      <c r="I651" s="73"/>
      <c r="J651" s="33" t="s">
        <v>9374</v>
      </c>
      <c r="K651" s="33" t="s">
        <v>11016</v>
      </c>
      <c r="L651" s="33" t="s">
        <v>121</v>
      </c>
      <c r="M651" s="33" t="s">
        <v>9376</v>
      </c>
      <c r="N651" s="73"/>
      <c r="O651" s="73"/>
      <c r="P651" s="73"/>
      <c r="Q651" s="76"/>
      <c r="R651" s="76"/>
      <c r="S651" s="76"/>
      <c r="T651" s="76"/>
      <c r="U651" s="76"/>
      <c r="V651" s="76"/>
    </row>
    <row r="652" spans="2:22" x14ac:dyDescent="0.2">
      <c r="B652" s="166"/>
      <c r="C652" s="166"/>
      <c r="D652" s="166"/>
      <c r="E652" s="166"/>
      <c r="F652" s="166"/>
      <c r="G652" s="166"/>
      <c r="H652" s="166"/>
      <c r="I652" s="166"/>
      <c r="J652" s="166"/>
      <c r="K652" s="166"/>
      <c r="L652" s="166"/>
      <c r="M652" s="166"/>
      <c r="N652" s="166"/>
      <c r="O652" s="166"/>
      <c r="P652" s="166"/>
      <c r="Q652" s="73"/>
      <c r="R652" s="23"/>
      <c r="S652" s="23"/>
      <c r="T652" s="73"/>
      <c r="U652" s="73"/>
      <c r="V652" s="73"/>
    </row>
    <row r="653" spans="2:22" x14ac:dyDescent="0.2">
      <c r="B653" s="165" t="s">
        <v>9807</v>
      </c>
      <c r="C653" s="165"/>
      <c r="D653" s="165"/>
      <c r="E653" s="165"/>
      <c r="F653" s="165"/>
      <c r="G653" s="165"/>
      <c r="H653" s="165"/>
      <c r="I653" s="165"/>
      <c r="J653" s="165"/>
      <c r="K653" s="165"/>
      <c r="L653" s="165"/>
      <c r="M653" s="165"/>
      <c r="N653" s="165"/>
      <c r="O653" s="165"/>
      <c r="P653" s="165"/>
      <c r="Q653" s="75"/>
      <c r="R653" s="75"/>
      <c r="S653" s="75"/>
      <c r="T653" s="75"/>
      <c r="U653" s="75"/>
      <c r="V653" s="75"/>
    </row>
    <row r="654" spans="2:22" x14ac:dyDescent="0.2">
      <c r="B654" s="73" t="s">
        <v>9807</v>
      </c>
      <c r="C654" s="33" t="s">
        <v>736</v>
      </c>
      <c r="D654" s="23" t="s">
        <v>737</v>
      </c>
      <c r="E654" s="73"/>
      <c r="F654" s="73"/>
      <c r="G654" s="73"/>
      <c r="H654" s="73"/>
      <c r="I654" s="73"/>
      <c r="J654" s="33" t="s">
        <v>9374</v>
      </c>
      <c r="K654" s="33" t="s">
        <v>9375</v>
      </c>
      <c r="L654" s="33" t="s">
        <v>121</v>
      </c>
      <c r="M654" s="33" t="s">
        <v>9376</v>
      </c>
      <c r="N654" s="73"/>
      <c r="O654" s="73"/>
      <c r="P654" s="73"/>
      <c r="Q654" s="76"/>
      <c r="R654" s="76"/>
      <c r="S654" s="76"/>
      <c r="T654" s="76"/>
      <c r="U654" s="76"/>
      <c r="V654" s="76"/>
    </row>
    <row r="655" spans="2:22" ht="81.599999999999994" x14ac:dyDescent="0.2">
      <c r="B655" s="73" t="s">
        <v>9807</v>
      </c>
      <c r="C655" s="33" t="s">
        <v>1626</v>
      </c>
      <c r="D655" s="23" t="s">
        <v>1627</v>
      </c>
      <c r="E655" s="73" t="s">
        <v>11074</v>
      </c>
      <c r="F655" s="73" t="s">
        <v>10902</v>
      </c>
      <c r="G655" s="73"/>
      <c r="H655" s="73" t="s">
        <v>11075</v>
      </c>
      <c r="I655" s="73" t="s">
        <v>11076</v>
      </c>
      <c r="J655" s="33" t="s">
        <v>9374</v>
      </c>
      <c r="K655" s="33" t="s">
        <v>9375</v>
      </c>
      <c r="L655" s="33" t="s">
        <v>121</v>
      </c>
      <c r="M655" s="33" t="s">
        <v>9376</v>
      </c>
      <c r="N655" s="73"/>
      <c r="O655" s="73"/>
      <c r="P655" s="73"/>
      <c r="Q655" s="73"/>
      <c r="R655" s="23"/>
      <c r="S655" s="23"/>
      <c r="T655" s="73"/>
      <c r="U655" s="73"/>
      <c r="V655" s="73"/>
    </row>
    <row r="656" spans="2:22" ht="81.599999999999994" x14ac:dyDescent="0.2">
      <c r="B656" s="73" t="s">
        <v>9807</v>
      </c>
      <c r="C656" s="33" t="s">
        <v>11077</v>
      </c>
      <c r="D656" s="23" t="s">
        <v>11078</v>
      </c>
      <c r="E656" s="73" t="s">
        <v>11074</v>
      </c>
      <c r="F656" s="73" t="s">
        <v>10902</v>
      </c>
      <c r="G656" s="73"/>
      <c r="H656" s="73" t="s">
        <v>11075</v>
      </c>
      <c r="I656" s="73" t="s">
        <v>11079</v>
      </c>
      <c r="J656" s="33" t="s">
        <v>9374</v>
      </c>
      <c r="K656" s="33" t="s">
        <v>9375</v>
      </c>
      <c r="L656" s="33" t="s">
        <v>121</v>
      </c>
      <c r="M656" s="33" t="s">
        <v>9376</v>
      </c>
      <c r="N656" s="73"/>
      <c r="O656" s="73"/>
      <c r="P656" s="73"/>
      <c r="Q656" s="73"/>
      <c r="R656" s="23"/>
      <c r="S656" s="23"/>
      <c r="T656" s="73"/>
      <c r="U656" s="73"/>
      <c r="V656" s="73"/>
    </row>
    <row r="657" spans="2:22" x14ac:dyDescent="0.2">
      <c r="B657" s="166"/>
      <c r="C657" s="166"/>
      <c r="D657" s="166"/>
      <c r="E657" s="166"/>
      <c r="F657" s="166"/>
      <c r="G657" s="166"/>
      <c r="H657" s="166"/>
      <c r="I657" s="166"/>
      <c r="J657" s="166"/>
      <c r="K657" s="166"/>
      <c r="L657" s="166"/>
      <c r="M657" s="166"/>
      <c r="N657" s="166"/>
      <c r="O657" s="166"/>
      <c r="P657" s="166"/>
      <c r="Q657" s="73"/>
      <c r="R657" s="23"/>
      <c r="S657" s="23"/>
      <c r="T657" s="73"/>
      <c r="U657" s="73"/>
      <c r="V657" s="73"/>
    </row>
    <row r="658" spans="2:22" x14ac:dyDescent="0.2">
      <c r="B658" s="165" t="s">
        <v>9810</v>
      </c>
      <c r="C658" s="165"/>
      <c r="D658" s="165"/>
      <c r="E658" s="165"/>
      <c r="F658" s="165"/>
      <c r="G658" s="165"/>
      <c r="H658" s="165"/>
      <c r="I658" s="165"/>
      <c r="J658" s="165"/>
      <c r="K658" s="165"/>
      <c r="L658" s="165"/>
      <c r="M658" s="165"/>
      <c r="N658" s="165"/>
      <c r="O658" s="165"/>
      <c r="P658" s="165"/>
      <c r="Q658" s="73"/>
      <c r="R658" s="23"/>
      <c r="S658" s="23"/>
      <c r="T658" s="73"/>
      <c r="U658" s="73"/>
      <c r="V658" s="73"/>
    </row>
    <row r="659" spans="2:22" x14ac:dyDescent="0.2">
      <c r="B659" s="73" t="s">
        <v>9810</v>
      </c>
      <c r="C659" s="33" t="s">
        <v>739</v>
      </c>
      <c r="D659" s="23" t="s">
        <v>740</v>
      </c>
      <c r="E659" s="73"/>
      <c r="F659" s="73"/>
      <c r="G659" s="73"/>
      <c r="H659" s="73"/>
      <c r="I659" s="73"/>
      <c r="J659" s="33" t="s">
        <v>9374</v>
      </c>
      <c r="K659" s="33" t="s">
        <v>11016</v>
      </c>
      <c r="L659" s="33" t="s">
        <v>121</v>
      </c>
      <c r="M659" s="33" t="s">
        <v>9376</v>
      </c>
      <c r="N659" s="73"/>
      <c r="O659" s="73"/>
      <c r="P659" s="73"/>
      <c r="Q659" s="75"/>
      <c r="R659" s="75"/>
      <c r="S659" s="75"/>
      <c r="T659" s="75"/>
      <c r="U659" s="75"/>
      <c r="V659" s="75"/>
    </row>
    <row r="660" spans="2:22" x14ac:dyDescent="0.2">
      <c r="B660" s="73" t="s">
        <v>9810</v>
      </c>
      <c r="C660" s="33" t="s">
        <v>1663</v>
      </c>
      <c r="D660" s="23" t="s">
        <v>1664</v>
      </c>
      <c r="E660" s="73"/>
      <c r="F660" s="73"/>
      <c r="G660" s="73"/>
      <c r="H660" s="73"/>
      <c r="I660" s="73" t="s">
        <v>11080</v>
      </c>
      <c r="J660" s="33" t="s">
        <v>9374</v>
      </c>
      <c r="K660" s="33" t="s">
        <v>11016</v>
      </c>
      <c r="L660" s="33" t="s">
        <v>121</v>
      </c>
      <c r="M660" s="33" t="s">
        <v>9376</v>
      </c>
      <c r="N660" s="73"/>
      <c r="O660" s="73"/>
      <c r="P660" s="73"/>
      <c r="Q660" s="76"/>
      <c r="R660" s="76"/>
      <c r="S660" s="76"/>
      <c r="T660" s="76"/>
      <c r="U660" s="76"/>
      <c r="V660" s="76"/>
    </row>
    <row r="661" spans="2:22" x14ac:dyDescent="0.2">
      <c r="B661" s="166"/>
      <c r="C661" s="166"/>
      <c r="D661" s="166"/>
      <c r="E661" s="166"/>
      <c r="F661" s="166"/>
      <c r="G661" s="166"/>
      <c r="H661" s="166"/>
      <c r="I661" s="166"/>
      <c r="J661" s="166"/>
      <c r="K661" s="166"/>
      <c r="L661" s="166"/>
      <c r="M661" s="166"/>
      <c r="N661" s="166"/>
      <c r="O661" s="166"/>
      <c r="P661" s="166"/>
      <c r="Q661" s="73"/>
      <c r="R661" s="23"/>
      <c r="S661" s="23"/>
      <c r="T661" s="73"/>
      <c r="U661" s="73"/>
      <c r="V661" s="73"/>
    </row>
    <row r="662" spans="2:22" x14ac:dyDescent="0.2">
      <c r="B662" s="165" t="s">
        <v>9812</v>
      </c>
      <c r="C662" s="165"/>
      <c r="D662" s="165"/>
      <c r="E662" s="165"/>
      <c r="F662" s="165"/>
      <c r="G662" s="165"/>
      <c r="H662" s="165"/>
      <c r="I662" s="165"/>
      <c r="J662" s="165"/>
      <c r="K662" s="165"/>
      <c r="L662" s="165"/>
      <c r="M662" s="165"/>
      <c r="N662" s="165"/>
      <c r="O662" s="165"/>
      <c r="P662" s="165"/>
      <c r="Q662" s="75"/>
      <c r="R662" s="75"/>
      <c r="S662" s="75"/>
      <c r="T662" s="75"/>
      <c r="U662" s="75"/>
      <c r="V662" s="75"/>
    </row>
    <row r="663" spans="2:22" x14ac:dyDescent="0.2">
      <c r="B663" s="73" t="s">
        <v>9812</v>
      </c>
      <c r="C663" s="33" t="s">
        <v>741</v>
      </c>
      <c r="D663" s="23" t="s">
        <v>742</v>
      </c>
      <c r="E663" s="73"/>
      <c r="F663" s="73"/>
      <c r="G663" s="73"/>
      <c r="H663" s="73"/>
      <c r="I663" s="73"/>
      <c r="J663" s="33" t="s">
        <v>9374</v>
      </c>
      <c r="K663" s="33" t="s">
        <v>9375</v>
      </c>
      <c r="L663" s="33" t="s">
        <v>121</v>
      </c>
      <c r="M663" s="33" t="s">
        <v>9376</v>
      </c>
      <c r="N663" s="73"/>
      <c r="O663" s="73"/>
      <c r="P663" s="73"/>
      <c r="Q663" s="76"/>
      <c r="R663" s="76"/>
      <c r="S663" s="76"/>
      <c r="T663" s="76"/>
      <c r="U663" s="76"/>
      <c r="V663" s="76"/>
    </row>
    <row r="664" spans="2:22" x14ac:dyDescent="0.2">
      <c r="B664" s="73" t="s">
        <v>9812</v>
      </c>
      <c r="C664" s="33" t="s">
        <v>1731</v>
      </c>
      <c r="D664" s="23" t="s">
        <v>1732</v>
      </c>
      <c r="E664" s="73" t="s">
        <v>11002</v>
      </c>
      <c r="F664" s="73" t="s">
        <v>10902</v>
      </c>
      <c r="G664" s="73"/>
      <c r="H664" s="73" t="s">
        <v>10917</v>
      </c>
      <c r="I664" s="73" t="s">
        <v>11081</v>
      </c>
      <c r="J664" s="33" t="s">
        <v>9374</v>
      </c>
      <c r="K664" s="33" t="s">
        <v>9375</v>
      </c>
      <c r="L664" s="33" t="s">
        <v>121</v>
      </c>
      <c r="M664" s="33" t="s">
        <v>9376</v>
      </c>
      <c r="N664" s="73"/>
      <c r="O664" s="73"/>
      <c r="P664" s="73"/>
      <c r="Q664" s="73"/>
      <c r="R664" s="23"/>
      <c r="S664" s="23"/>
      <c r="T664" s="73"/>
      <c r="U664" s="73"/>
      <c r="V664" s="73"/>
    </row>
    <row r="665" spans="2:22" x14ac:dyDescent="0.2">
      <c r="B665" s="73" t="s">
        <v>9812</v>
      </c>
      <c r="C665" s="33" t="s">
        <v>1734</v>
      </c>
      <c r="D665" s="23" t="s">
        <v>1735</v>
      </c>
      <c r="E665" s="73"/>
      <c r="F665" s="73"/>
      <c r="G665" s="73"/>
      <c r="H665" s="73"/>
      <c r="I665" s="73" t="s">
        <v>11082</v>
      </c>
      <c r="J665" s="33" t="s">
        <v>9374</v>
      </c>
      <c r="K665" s="33" t="s">
        <v>9375</v>
      </c>
      <c r="L665" s="33" t="s">
        <v>121</v>
      </c>
      <c r="M665" s="33" t="s">
        <v>9376</v>
      </c>
      <c r="N665" s="73"/>
      <c r="O665" s="73"/>
      <c r="P665" s="73"/>
      <c r="Q665" s="75"/>
      <c r="R665" s="75"/>
      <c r="S665" s="75"/>
      <c r="T665" s="75"/>
      <c r="U665" s="75"/>
      <c r="V665" s="75"/>
    </row>
    <row r="666" spans="2:22" x14ac:dyDescent="0.2">
      <c r="B666" s="166"/>
      <c r="C666" s="166"/>
      <c r="D666" s="166"/>
      <c r="E666" s="166"/>
      <c r="F666" s="166"/>
      <c r="G666" s="166"/>
      <c r="H666" s="166"/>
      <c r="I666" s="166"/>
      <c r="J666" s="166"/>
      <c r="K666" s="166"/>
      <c r="L666" s="166"/>
      <c r="M666" s="166"/>
      <c r="N666" s="166"/>
      <c r="O666" s="166"/>
      <c r="P666" s="166"/>
      <c r="Q666" s="76"/>
      <c r="R666" s="76"/>
      <c r="S666" s="76"/>
      <c r="T666" s="76"/>
      <c r="U666" s="76"/>
      <c r="V666" s="76"/>
    </row>
    <row r="667" spans="2:22" x14ac:dyDescent="0.2">
      <c r="B667" s="165" t="s">
        <v>9814</v>
      </c>
      <c r="C667" s="165"/>
      <c r="D667" s="165"/>
      <c r="E667" s="165"/>
      <c r="F667" s="165"/>
      <c r="G667" s="165"/>
      <c r="H667" s="165"/>
      <c r="I667" s="165"/>
      <c r="J667" s="165"/>
      <c r="K667" s="165"/>
      <c r="L667" s="165"/>
      <c r="M667" s="165"/>
      <c r="N667" s="165"/>
      <c r="O667" s="165"/>
      <c r="P667" s="165"/>
      <c r="Q667" s="73"/>
      <c r="R667" s="23"/>
      <c r="S667" s="23"/>
      <c r="T667" s="73"/>
      <c r="U667" s="73"/>
      <c r="V667" s="73"/>
    </row>
    <row r="668" spans="2:22" x14ac:dyDescent="0.2">
      <c r="B668" s="73" t="s">
        <v>9814</v>
      </c>
      <c r="C668" s="33" t="s">
        <v>743</v>
      </c>
      <c r="D668" s="23" t="s">
        <v>744</v>
      </c>
      <c r="E668" s="73"/>
      <c r="F668" s="73"/>
      <c r="G668" s="73"/>
      <c r="H668" s="73"/>
      <c r="I668" s="73"/>
      <c r="J668" s="33" t="s">
        <v>9374</v>
      </c>
      <c r="K668" s="33" t="s">
        <v>11016</v>
      </c>
      <c r="L668" s="33" t="s">
        <v>121</v>
      </c>
      <c r="M668" s="33" t="s">
        <v>9376</v>
      </c>
      <c r="N668" s="73"/>
      <c r="O668" s="73"/>
      <c r="P668" s="73"/>
      <c r="Q668" s="73"/>
      <c r="R668" s="23"/>
      <c r="S668" s="23"/>
      <c r="T668" s="73"/>
      <c r="U668" s="73"/>
      <c r="V668" s="73"/>
    </row>
    <row r="669" spans="2:22" x14ac:dyDescent="0.2">
      <c r="B669" s="166"/>
      <c r="C669" s="166"/>
      <c r="D669" s="166"/>
      <c r="E669" s="166"/>
      <c r="F669" s="166"/>
      <c r="G669" s="166"/>
      <c r="H669" s="166"/>
      <c r="I669" s="166"/>
      <c r="J669" s="166"/>
      <c r="K669" s="166"/>
      <c r="L669" s="166"/>
      <c r="M669" s="166"/>
      <c r="N669" s="166"/>
      <c r="O669" s="166"/>
      <c r="P669" s="166"/>
      <c r="Q669" s="75"/>
      <c r="R669" s="75"/>
      <c r="S669" s="75"/>
      <c r="T669" s="75"/>
      <c r="U669" s="75"/>
      <c r="V669" s="75"/>
    </row>
    <row r="670" spans="2:22" x14ac:dyDescent="0.2">
      <c r="B670" s="165" t="s">
        <v>9816</v>
      </c>
      <c r="C670" s="165"/>
      <c r="D670" s="165"/>
      <c r="E670" s="165"/>
      <c r="F670" s="165"/>
      <c r="G670" s="165"/>
      <c r="H670" s="165"/>
      <c r="I670" s="165"/>
      <c r="J670" s="165"/>
      <c r="K670" s="165"/>
      <c r="L670" s="165"/>
      <c r="M670" s="165"/>
      <c r="N670" s="165"/>
      <c r="O670" s="165"/>
      <c r="P670" s="165"/>
      <c r="Q670" s="76"/>
      <c r="R670" s="76"/>
      <c r="S670" s="76"/>
      <c r="T670" s="76"/>
      <c r="U670" s="76"/>
      <c r="V670" s="76"/>
    </row>
    <row r="671" spans="2:22" x14ac:dyDescent="0.2">
      <c r="B671" s="73" t="s">
        <v>9816</v>
      </c>
      <c r="C671" s="33" t="s">
        <v>745</v>
      </c>
      <c r="D671" s="23" t="s">
        <v>746</v>
      </c>
      <c r="E671" s="73"/>
      <c r="F671" s="73"/>
      <c r="G671" s="73"/>
      <c r="H671" s="73"/>
      <c r="I671" s="73"/>
      <c r="J671" s="33" t="s">
        <v>9374</v>
      </c>
      <c r="K671" s="33" t="s">
        <v>11016</v>
      </c>
      <c r="L671" s="33" t="s">
        <v>121</v>
      </c>
      <c r="M671" s="33" t="s">
        <v>9376</v>
      </c>
      <c r="N671" s="73"/>
      <c r="O671" s="73"/>
      <c r="P671" s="73"/>
      <c r="Q671" s="73"/>
      <c r="R671" s="23"/>
      <c r="S671" s="23"/>
      <c r="T671" s="73"/>
      <c r="U671" s="73"/>
      <c r="V671" s="73"/>
    </row>
    <row r="672" spans="2:22" x14ac:dyDescent="0.2">
      <c r="B672" s="166"/>
      <c r="C672" s="166"/>
      <c r="D672" s="166"/>
      <c r="E672" s="166"/>
      <c r="F672" s="166"/>
      <c r="G672" s="166"/>
      <c r="H672" s="166"/>
      <c r="I672" s="166"/>
      <c r="J672" s="166"/>
      <c r="K672" s="166"/>
      <c r="L672" s="166"/>
      <c r="M672" s="166"/>
      <c r="N672" s="166"/>
      <c r="O672" s="166"/>
      <c r="P672" s="166"/>
      <c r="Q672" s="73"/>
      <c r="R672" s="23"/>
      <c r="S672" s="23"/>
      <c r="T672" s="73"/>
      <c r="U672" s="73"/>
      <c r="V672" s="73"/>
    </row>
    <row r="673" spans="2:22" x14ac:dyDescent="0.2">
      <c r="B673" s="165" t="s">
        <v>9819</v>
      </c>
      <c r="C673" s="165"/>
      <c r="D673" s="165"/>
      <c r="E673" s="165"/>
      <c r="F673" s="165"/>
      <c r="G673" s="165"/>
      <c r="H673" s="165"/>
      <c r="I673" s="165"/>
      <c r="J673" s="165"/>
      <c r="K673" s="165"/>
      <c r="L673" s="165"/>
      <c r="M673" s="165"/>
      <c r="N673" s="165"/>
      <c r="O673" s="165"/>
      <c r="P673" s="165"/>
      <c r="Q673" s="75"/>
      <c r="R673" s="75"/>
      <c r="S673" s="75"/>
      <c r="T673" s="75"/>
      <c r="U673" s="75"/>
      <c r="V673" s="75"/>
    </row>
    <row r="674" spans="2:22" x14ac:dyDescent="0.2">
      <c r="B674" s="73" t="s">
        <v>9819</v>
      </c>
      <c r="C674" s="33" t="s">
        <v>747</v>
      </c>
      <c r="D674" s="23" t="s">
        <v>748</v>
      </c>
      <c r="E674" s="73"/>
      <c r="F674" s="73"/>
      <c r="G674" s="73"/>
      <c r="H674" s="73"/>
      <c r="I674" s="73"/>
      <c r="J674" s="33" t="s">
        <v>9374</v>
      </c>
      <c r="K674" s="33" t="s">
        <v>11016</v>
      </c>
      <c r="L674" s="33" t="s">
        <v>121</v>
      </c>
      <c r="M674" s="33" t="s">
        <v>9376</v>
      </c>
      <c r="N674" s="73"/>
      <c r="O674" s="73"/>
      <c r="P674" s="73"/>
      <c r="Q674" s="76"/>
      <c r="R674" s="76"/>
      <c r="S674" s="76"/>
      <c r="T674" s="76"/>
      <c r="U674" s="76"/>
      <c r="V674" s="76"/>
    </row>
    <row r="675" spans="2:22" x14ac:dyDescent="0.2">
      <c r="B675" s="166"/>
      <c r="C675" s="166"/>
      <c r="D675" s="166"/>
      <c r="E675" s="166"/>
      <c r="F675" s="166"/>
      <c r="G675" s="166"/>
      <c r="H675" s="166"/>
      <c r="I675" s="166"/>
      <c r="J675" s="166"/>
      <c r="K675" s="166"/>
      <c r="L675" s="166"/>
      <c r="M675" s="166"/>
      <c r="N675" s="166"/>
      <c r="O675" s="166"/>
      <c r="P675" s="166"/>
      <c r="Q675" s="73"/>
      <c r="R675" s="23"/>
      <c r="S675" s="23"/>
      <c r="T675" s="73"/>
      <c r="U675" s="73"/>
      <c r="V675" s="73"/>
    </row>
    <row r="676" spans="2:22" x14ac:dyDescent="0.2">
      <c r="B676" s="165" t="s">
        <v>9821</v>
      </c>
      <c r="C676" s="165"/>
      <c r="D676" s="165"/>
      <c r="E676" s="165"/>
      <c r="F676" s="165"/>
      <c r="G676" s="165"/>
      <c r="H676" s="165"/>
      <c r="I676" s="165"/>
      <c r="J676" s="165"/>
      <c r="K676" s="165"/>
      <c r="L676" s="165"/>
      <c r="M676" s="165"/>
      <c r="N676" s="165"/>
      <c r="O676" s="165"/>
      <c r="P676" s="165"/>
      <c r="Q676" s="73"/>
      <c r="R676" s="23"/>
      <c r="S676" s="23"/>
      <c r="T676" s="73"/>
      <c r="U676" s="73"/>
      <c r="V676" s="73"/>
    </row>
    <row r="677" spans="2:22" x14ac:dyDescent="0.2">
      <c r="B677" s="73" t="s">
        <v>9821</v>
      </c>
      <c r="C677" s="33" t="s">
        <v>749</v>
      </c>
      <c r="D677" s="23" t="s">
        <v>750</v>
      </c>
      <c r="E677" s="73"/>
      <c r="F677" s="73"/>
      <c r="G677" s="73"/>
      <c r="H677" s="73"/>
      <c r="I677" s="73"/>
      <c r="J677" s="33" t="s">
        <v>9374</v>
      </c>
      <c r="K677" s="33" t="s">
        <v>11016</v>
      </c>
      <c r="L677" s="33" t="s">
        <v>121</v>
      </c>
      <c r="M677" s="33" t="s">
        <v>9376</v>
      </c>
      <c r="N677" s="73"/>
      <c r="O677" s="73"/>
      <c r="P677" s="73"/>
      <c r="Q677" s="73"/>
      <c r="R677" s="23"/>
      <c r="S677" s="23"/>
      <c r="T677" s="73"/>
      <c r="U677" s="73"/>
      <c r="V677" s="73"/>
    </row>
    <row r="678" spans="2:22" x14ac:dyDescent="0.2">
      <c r="B678" s="166"/>
      <c r="C678" s="166"/>
      <c r="D678" s="166"/>
      <c r="E678" s="166"/>
      <c r="F678" s="166"/>
      <c r="G678" s="166"/>
      <c r="H678" s="166"/>
      <c r="I678" s="166"/>
      <c r="J678" s="166"/>
      <c r="K678" s="166"/>
      <c r="L678" s="166"/>
      <c r="M678" s="166"/>
      <c r="N678" s="166"/>
      <c r="O678" s="166"/>
      <c r="P678" s="166"/>
      <c r="Q678" s="73"/>
      <c r="R678" s="23"/>
      <c r="S678" s="23"/>
      <c r="T678" s="73"/>
      <c r="U678" s="73"/>
      <c r="V678" s="73"/>
    </row>
    <row r="679" spans="2:22" x14ac:dyDescent="0.2">
      <c r="B679" s="165" t="s">
        <v>9823</v>
      </c>
      <c r="C679" s="165"/>
      <c r="D679" s="165"/>
      <c r="E679" s="165"/>
      <c r="F679" s="165"/>
      <c r="G679" s="165"/>
      <c r="H679" s="165"/>
      <c r="I679" s="165"/>
      <c r="J679" s="165"/>
      <c r="K679" s="165"/>
      <c r="L679" s="165"/>
      <c r="M679" s="165"/>
      <c r="N679" s="165"/>
      <c r="O679" s="165"/>
      <c r="P679" s="165"/>
      <c r="Q679" s="73"/>
      <c r="R679" s="23"/>
      <c r="S679" s="23"/>
      <c r="T679" s="73"/>
      <c r="U679" s="73"/>
      <c r="V679" s="73"/>
    </row>
    <row r="680" spans="2:22" x14ac:dyDescent="0.2">
      <c r="B680" s="73" t="s">
        <v>9823</v>
      </c>
      <c r="C680" s="33" t="s">
        <v>751</v>
      </c>
      <c r="D680" s="23" t="s">
        <v>752</v>
      </c>
      <c r="E680" s="73"/>
      <c r="F680" s="73"/>
      <c r="G680" s="73"/>
      <c r="H680" s="73"/>
      <c r="I680" s="73"/>
      <c r="J680" s="33" t="s">
        <v>9374</v>
      </c>
      <c r="K680" s="33" t="s">
        <v>9375</v>
      </c>
      <c r="L680" s="33" t="s">
        <v>121</v>
      </c>
      <c r="M680" s="33" t="s">
        <v>9376</v>
      </c>
      <c r="N680" s="73"/>
      <c r="O680" s="73"/>
      <c r="P680" s="73"/>
      <c r="Q680" s="75"/>
      <c r="R680" s="75"/>
      <c r="S680" s="75"/>
      <c r="T680" s="75"/>
      <c r="U680" s="75"/>
      <c r="V680" s="75"/>
    </row>
    <row r="681" spans="2:22" x14ac:dyDescent="0.2">
      <c r="B681" s="73" t="s">
        <v>9823</v>
      </c>
      <c r="C681" s="33" t="s">
        <v>1597</v>
      </c>
      <c r="D681" s="23" t="s">
        <v>1598</v>
      </c>
      <c r="E681" s="73" t="s">
        <v>11083</v>
      </c>
      <c r="F681" s="73" t="s">
        <v>10902</v>
      </c>
      <c r="G681" s="73"/>
      <c r="H681" s="73" t="s">
        <v>10917</v>
      </c>
      <c r="I681" s="73"/>
      <c r="J681" s="33" t="s">
        <v>9374</v>
      </c>
      <c r="K681" s="33" t="s">
        <v>9375</v>
      </c>
      <c r="L681" s="33" t="s">
        <v>121</v>
      </c>
      <c r="M681" s="33" t="s">
        <v>9376</v>
      </c>
      <c r="N681" s="73"/>
      <c r="O681" s="73"/>
      <c r="P681" s="73"/>
      <c r="Q681" s="76"/>
      <c r="R681" s="76"/>
      <c r="S681" s="76"/>
      <c r="T681" s="76"/>
      <c r="U681" s="76"/>
      <c r="V681" s="76"/>
    </row>
    <row r="682" spans="2:22" x14ac:dyDescent="0.2">
      <c r="B682" s="73" t="s">
        <v>9823</v>
      </c>
      <c r="C682" s="33" t="s">
        <v>1655</v>
      </c>
      <c r="D682" s="23" t="s">
        <v>1656</v>
      </c>
      <c r="E682" s="73"/>
      <c r="F682" s="73"/>
      <c r="G682" s="73"/>
      <c r="H682" s="73"/>
      <c r="I682" s="73"/>
      <c r="J682" s="33" t="s">
        <v>9374</v>
      </c>
      <c r="K682" s="33" t="s">
        <v>9375</v>
      </c>
      <c r="L682" s="33" t="s">
        <v>121</v>
      </c>
      <c r="M682" s="33" t="s">
        <v>9376</v>
      </c>
      <c r="N682" s="73"/>
      <c r="O682" s="73"/>
      <c r="P682" s="73"/>
      <c r="Q682" s="73"/>
      <c r="R682" s="23"/>
      <c r="S682" s="23"/>
      <c r="T682" s="73"/>
      <c r="U682" s="73"/>
      <c r="V682" s="73"/>
    </row>
    <row r="683" spans="2:22" x14ac:dyDescent="0.2">
      <c r="B683" s="73" t="s">
        <v>9823</v>
      </c>
      <c r="C683" s="33" t="s">
        <v>1891</v>
      </c>
      <c r="D683" s="23" t="s">
        <v>1892</v>
      </c>
      <c r="E683" s="73" t="s">
        <v>11083</v>
      </c>
      <c r="F683" s="73" t="s">
        <v>10902</v>
      </c>
      <c r="G683" s="73"/>
      <c r="H683" s="73" t="s">
        <v>10917</v>
      </c>
      <c r="I683" s="73"/>
      <c r="J683" s="33" t="s">
        <v>9374</v>
      </c>
      <c r="K683" s="33" t="s">
        <v>9375</v>
      </c>
      <c r="L683" s="33" t="s">
        <v>121</v>
      </c>
      <c r="M683" s="33" t="s">
        <v>9376</v>
      </c>
      <c r="N683" s="73"/>
      <c r="O683" s="73"/>
      <c r="P683" s="73"/>
      <c r="Q683" s="73"/>
      <c r="R683" s="23"/>
      <c r="S683" s="23"/>
      <c r="T683" s="73"/>
      <c r="U683" s="73"/>
      <c r="V683" s="73"/>
    </row>
    <row r="684" spans="2:22" x14ac:dyDescent="0.2">
      <c r="B684" s="73" t="s">
        <v>9823</v>
      </c>
      <c r="C684" s="33" t="s">
        <v>1923</v>
      </c>
      <c r="D684" s="23" t="s">
        <v>1924</v>
      </c>
      <c r="E684" s="73" t="s">
        <v>11084</v>
      </c>
      <c r="F684" s="73"/>
      <c r="G684" s="73"/>
      <c r="H684" s="73" t="s">
        <v>10917</v>
      </c>
      <c r="I684" s="73" t="s">
        <v>11085</v>
      </c>
      <c r="J684" s="33" t="s">
        <v>9374</v>
      </c>
      <c r="K684" s="33" t="s">
        <v>9375</v>
      </c>
      <c r="L684" s="33" t="s">
        <v>121</v>
      </c>
      <c r="M684" s="33" t="s">
        <v>9376</v>
      </c>
      <c r="N684" s="73"/>
      <c r="O684" s="73"/>
      <c r="P684" s="73"/>
      <c r="Q684" s="75"/>
      <c r="R684" s="75"/>
      <c r="S684" s="75"/>
      <c r="T684" s="75"/>
      <c r="U684" s="75"/>
      <c r="V684" s="75"/>
    </row>
    <row r="685" spans="2:22" x14ac:dyDescent="0.2">
      <c r="B685" s="73" t="s">
        <v>9823</v>
      </c>
      <c r="C685" s="33" t="s">
        <v>1926</v>
      </c>
      <c r="D685" s="23" t="s">
        <v>1927</v>
      </c>
      <c r="E685" s="73" t="s">
        <v>11086</v>
      </c>
      <c r="F685" s="73" t="s">
        <v>10902</v>
      </c>
      <c r="G685" s="73"/>
      <c r="H685" s="73" t="s">
        <v>10917</v>
      </c>
      <c r="I685" s="73" t="s">
        <v>11087</v>
      </c>
      <c r="J685" s="33" t="s">
        <v>9374</v>
      </c>
      <c r="K685" s="33" t="s">
        <v>9375</v>
      </c>
      <c r="L685" s="33" t="s">
        <v>121</v>
      </c>
      <c r="M685" s="33" t="s">
        <v>9376</v>
      </c>
      <c r="N685" s="73"/>
      <c r="O685" s="73"/>
      <c r="P685" s="73"/>
      <c r="Q685" s="76"/>
      <c r="R685" s="76"/>
      <c r="S685" s="76"/>
      <c r="T685" s="76"/>
      <c r="U685" s="76"/>
      <c r="V685" s="76"/>
    </row>
    <row r="686" spans="2:22" x14ac:dyDescent="0.2">
      <c r="B686" s="166"/>
      <c r="C686" s="166"/>
      <c r="D686" s="166"/>
      <c r="E686" s="166"/>
      <c r="F686" s="166"/>
      <c r="G686" s="166"/>
      <c r="H686" s="166"/>
      <c r="I686" s="166"/>
      <c r="J686" s="166"/>
      <c r="K686" s="166"/>
      <c r="L686" s="166"/>
      <c r="M686" s="166"/>
      <c r="N686" s="166"/>
      <c r="O686" s="166"/>
      <c r="P686" s="166"/>
      <c r="Q686" s="73"/>
      <c r="R686" s="23"/>
      <c r="S686" s="23"/>
      <c r="T686" s="73"/>
      <c r="U686" s="73"/>
      <c r="V686" s="73"/>
    </row>
    <row r="687" spans="2:22" x14ac:dyDescent="0.2">
      <c r="B687" s="165" t="s">
        <v>9828</v>
      </c>
      <c r="C687" s="165"/>
      <c r="D687" s="165"/>
      <c r="E687" s="165"/>
      <c r="F687" s="165"/>
      <c r="G687" s="165"/>
      <c r="H687" s="165"/>
      <c r="I687" s="165"/>
      <c r="J687" s="165"/>
      <c r="K687" s="165"/>
      <c r="L687" s="165"/>
      <c r="M687" s="165"/>
      <c r="N687" s="165"/>
      <c r="O687" s="165"/>
      <c r="P687" s="165"/>
      <c r="Q687" s="73"/>
      <c r="R687" s="23"/>
      <c r="S687" s="23"/>
      <c r="T687" s="73"/>
      <c r="U687" s="73"/>
      <c r="V687" s="73"/>
    </row>
    <row r="688" spans="2:22" x14ac:dyDescent="0.2">
      <c r="B688" s="73" t="s">
        <v>9828</v>
      </c>
      <c r="C688" s="33" t="s">
        <v>754</v>
      </c>
      <c r="D688" s="23" t="s">
        <v>755</v>
      </c>
      <c r="E688" s="73"/>
      <c r="F688" s="73"/>
      <c r="G688" s="73"/>
      <c r="H688" s="73"/>
      <c r="I688" s="73"/>
      <c r="J688" s="33" t="s">
        <v>9374</v>
      </c>
      <c r="K688" s="33" t="s">
        <v>9375</v>
      </c>
      <c r="L688" s="33" t="s">
        <v>121</v>
      </c>
      <c r="M688" s="33" t="s">
        <v>9376</v>
      </c>
      <c r="N688" s="73"/>
      <c r="O688" s="73"/>
      <c r="P688" s="73"/>
      <c r="Q688" s="75"/>
      <c r="R688" s="75"/>
      <c r="S688" s="75"/>
      <c r="T688" s="75"/>
      <c r="U688" s="75"/>
      <c r="V688" s="75"/>
    </row>
    <row r="689" spans="2:22" x14ac:dyDescent="0.2">
      <c r="B689" s="73" t="s">
        <v>9828</v>
      </c>
      <c r="C689" s="33" t="s">
        <v>1772</v>
      </c>
      <c r="D689" s="23" t="s">
        <v>1773</v>
      </c>
      <c r="E689" s="73"/>
      <c r="F689" s="73"/>
      <c r="G689" s="73"/>
      <c r="H689" s="73"/>
      <c r="I689" s="73"/>
      <c r="J689" s="33" t="s">
        <v>9374</v>
      </c>
      <c r="K689" s="33" t="s">
        <v>9375</v>
      </c>
      <c r="L689" s="33" t="s">
        <v>121</v>
      </c>
      <c r="M689" s="33" t="s">
        <v>9376</v>
      </c>
      <c r="N689" s="73"/>
      <c r="O689" s="73"/>
      <c r="P689" s="73"/>
      <c r="Q689" s="76"/>
      <c r="R689" s="76"/>
      <c r="S689" s="76"/>
      <c r="T689" s="76"/>
      <c r="U689" s="76"/>
      <c r="V689" s="76"/>
    </row>
    <row r="690" spans="2:22" x14ac:dyDescent="0.2">
      <c r="B690" s="166"/>
      <c r="C690" s="166"/>
      <c r="D690" s="166"/>
      <c r="E690" s="166"/>
      <c r="F690" s="166"/>
      <c r="G690" s="166"/>
      <c r="H690" s="166"/>
      <c r="I690" s="166"/>
      <c r="J690" s="166"/>
      <c r="K690" s="166"/>
      <c r="L690" s="166"/>
      <c r="M690" s="166"/>
      <c r="N690" s="166"/>
      <c r="O690" s="166"/>
      <c r="P690" s="166"/>
      <c r="Q690" s="73"/>
      <c r="R690" s="23"/>
      <c r="S690" s="23"/>
      <c r="T690" s="73"/>
      <c r="U690" s="73"/>
      <c r="V690" s="73"/>
    </row>
    <row r="691" spans="2:22" x14ac:dyDescent="0.2">
      <c r="B691" s="165" t="s">
        <v>9831</v>
      </c>
      <c r="C691" s="165"/>
      <c r="D691" s="165"/>
      <c r="E691" s="165"/>
      <c r="F691" s="165"/>
      <c r="G691" s="165"/>
      <c r="H691" s="165"/>
      <c r="I691" s="165"/>
      <c r="J691" s="165"/>
      <c r="K691" s="165"/>
      <c r="L691" s="165"/>
      <c r="M691" s="165"/>
      <c r="N691" s="165"/>
      <c r="O691" s="165"/>
      <c r="P691" s="165"/>
      <c r="Q691" s="73"/>
      <c r="R691" s="23"/>
      <c r="S691" s="23"/>
      <c r="T691" s="73"/>
      <c r="U691" s="73"/>
      <c r="V691" s="73"/>
    </row>
    <row r="692" spans="2:22" x14ac:dyDescent="0.2">
      <c r="B692" s="73" t="s">
        <v>9831</v>
      </c>
      <c r="C692" s="33" t="s">
        <v>756</v>
      </c>
      <c r="D692" s="23" t="s">
        <v>757</v>
      </c>
      <c r="E692" s="73"/>
      <c r="F692" s="73"/>
      <c r="G692" s="73"/>
      <c r="H692" s="73"/>
      <c r="I692" s="73"/>
      <c r="J692" s="33" t="s">
        <v>9374</v>
      </c>
      <c r="K692" s="33" t="s">
        <v>9375</v>
      </c>
      <c r="L692" s="33" t="s">
        <v>121</v>
      </c>
      <c r="M692" s="33" t="s">
        <v>9376</v>
      </c>
      <c r="N692" s="73"/>
      <c r="O692" s="73"/>
      <c r="P692" s="73"/>
      <c r="Q692" s="75"/>
      <c r="R692" s="75"/>
      <c r="S692" s="75"/>
      <c r="T692" s="75"/>
      <c r="U692" s="75"/>
      <c r="V692" s="75"/>
    </row>
    <row r="693" spans="2:22" ht="20.399999999999999" x14ac:dyDescent="0.2">
      <c r="B693" s="73" t="s">
        <v>9831</v>
      </c>
      <c r="C693" s="33" t="s">
        <v>1754</v>
      </c>
      <c r="D693" s="23" t="s">
        <v>1755</v>
      </c>
      <c r="E693" s="73" t="s">
        <v>11088</v>
      </c>
      <c r="F693" s="73" t="s">
        <v>10902</v>
      </c>
      <c r="G693" s="73"/>
      <c r="H693" s="73" t="s">
        <v>10992</v>
      </c>
      <c r="I693" s="73" t="s">
        <v>11089</v>
      </c>
      <c r="J693" s="33" t="s">
        <v>9374</v>
      </c>
      <c r="K693" s="33" t="s">
        <v>9375</v>
      </c>
      <c r="L693" s="33" t="s">
        <v>121</v>
      </c>
      <c r="M693" s="33" t="s">
        <v>9376</v>
      </c>
      <c r="N693" s="73"/>
      <c r="O693" s="73"/>
      <c r="P693" s="73"/>
      <c r="Q693" s="76"/>
      <c r="R693" s="76"/>
      <c r="S693" s="76"/>
      <c r="T693" s="76"/>
      <c r="U693" s="76"/>
      <c r="V693" s="76"/>
    </row>
    <row r="694" spans="2:22" x14ac:dyDescent="0.2">
      <c r="B694" s="166"/>
      <c r="C694" s="166"/>
      <c r="D694" s="166"/>
      <c r="E694" s="166"/>
      <c r="F694" s="166"/>
      <c r="G694" s="166"/>
      <c r="H694" s="166"/>
      <c r="I694" s="166"/>
      <c r="J694" s="166"/>
      <c r="K694" s="166"/>
      <c r="L694" s="166"/>
      <c r="M694" s="166"/>
      <c r="N694" s="166"/>
      <c r="O694" s="166"/>
      <c r="P694" s="166"/>
      <c r="Q694" s="73"/>
      <c r="R694" s="23"/>
      <c r="S694" s="23"/>
      <c r="T694" s="73"/>
      <c r="U694" s="73"/>
      <c r="V694" s="73"/>
    </row>
    <row r="695" spans="2:22" x14ac:dyDescent="0.2">
      <c r="B695" s="165" t="s">
        <v>9834</v>
      </c>
      <c r="C695" s="165"/>
      <c r="D695" s="165"/>
      <c r="E695" s="165"/>
      <c r="F695" s="165"/>
      <c r="G695" s="165"/>
      <c r="H695" s="165"/>
      <c r="I695" s="165"/>
      <c r="J695" s="165"/>
      <c r="K695" s="165"/>
      <c r="L695" s="165"/>
      <c r="M695" s="165"/>
      <c r="N695" s="165"/>
      <c r="O695" s="165"/>
      <c r="P695" s="165"/>
      <c r="Q695" s="73"/>
      <c r="R695" s="23"/>
      <c r="S695" s="23"/>
      <c r="T695" s="73"/>
      <c r="U695" s="73"/>
      <c r="V695" s="73"/>
    </row>
    <row r="696" spans="2:22" x14ac:dyDescent="0.2">
      <c r="B696" s="73" t="s">
        <v>9834</v>
      </c>
      <c r="C696" s="33" t="s">
        <v>758</v>
      </c>
      <c r="D696" s="23" t="s">
        <v>759</v>
      </c>
      <c r="E696" s="73"/>
      <c r="F696" s="73"/>
      <c r="G696" s="73"/>
      <c r="H696" s="73"/>
      <c r="I696" s="73"/>
      <c r="J696" s="33" t="s">
        <v>9374</v>
      </c>
      <c r="K696" s="33" t="s">
        <v>11016</v>
      </c>
      <c r="L696" s="33" t="s">
        <v>121</v>
      </c>
      <c r="M696" s="33" t="s">
        <v>9376</v>
      </c>
      <c r="N696" s="73"/>
      <c r="O696" s="73"/>
      <c r="P696" s="73"/>
      <c r="Q696" s="75"/>
      <c r="R696" s="75"/>
      <c r="S696" s="75"/>
      <c r="T696" s="75"/>
      <c r="U696" s="75"/>
      <c r="V696" s="75"/>
    </row>
    <row r="697" spans="2:22" x14ac:dyDescent="0.2">
      <c r="B697" s="166"/>
      <c r="C697" s="166"/>
      <c r="D697" s="166"/>
      <c r="E697" s="166"/>
      <c r="F697" s="166"/>
      <c r="G697" s="166"/>
      <c r="H697" s="166"/>
      <c r="I697" s="166"/>
      <c r="J697" s="166"/>
      <c r="K697" s="166"/>
      <c r="L697" s="166"/>
      <c r="M697" s="166"/>
      <c r="N697" s="166"/>
      <c r="O697" s="166"/>
      <c r="P697" s="166"/>
      <c r="Q697" s="76"/>
      <c r="R697" s="76"/>
      <c r="S697" s="76"/>
      <c r="T697" s="76"/>
      <c r="U697" s="76"/>
      <c r="V697" s="76"/>
    </row>
    <row r="698" spans="2:22" x14ac:dyDescent="0.2">
      <c r="B698" s="165" t="s">
        <v>9836</v>
      </c>
      <c r="C698" s="165"/>
      <c r="D698" s="165"/>
      <c r="E698" s="165"/>
      <c r="F698" s="165"/>
      <c r="G698" s="165"/>
      <c r="H698" s="165"/>
      <c r="I698" s="165"/>
      <c r="J698" s="165"/>
      <c r="K698" s="165"/>
      <c r="L698" s="165"/>
      <c r="M698" s="165"/>
      <c r="N698" s="165"/>
      <c r="O698" s="165"/>
      <c r="P698" s="165"/>
      <c r="Q698" s="73"/>
      <c r="R698" s="23"/>
      <c r="S698" s="23"/>
      <c r="T698" s="73"/>
      <c r="U698" s="73"/>
      <c r="V698" s="73"/>
    </row>
    <row r="699" spans="2:22" x14ac:dyDescent="0.2">
      <c r="B699" s="73" t="s">
        <v>9836</v>
      </c>
      <c r="C699" s="33" t="s">
        <v>116</v>
      </c>
      <c r="D699" s="23" t="s">
        <v>760</v>
      </c>
      <c r="E699" s="73"/>
      <c r="F699" s="73"/>
      <c r="G699" s="73"/>
      <c r="H699" s="73"/>
      <c r="I699" s="73"/>
      <c r="J699" s="33" t="s">
        <v>9374</v>
      </c>
      <c r="K699" s="33" t="s">
        <v>9375</v>
      </c>
      <c r="L699" s="33" t="s">
        <v>121</v>
      </c>
      <c r="M699" s="33" t="s">
        <v>9376</v>
      </c>
      <c r="N699" s="73"/>
      <c r="O699" s="73"/>
      <c r="P699" s="73"/>
      <c r="Q699" s="73"/>
      <c r="R699" s="23"/>
      <c r="S699" s="23"/>
      <c r="T699" s="73"/>
      <c r="U699" s="73"/>
      <c r="V699" s="73"/>
    </row>
    <row r="700" spans="2:22" x14ac:dyDescent="0.2">
      <c r="B700" s="73" t="s">
        <v>9836</v>
      </c>
      <c r="C700" s="33" t="s">
        <v>2005</v>
      </c>
      <c r="D700" s="23" t="s">
        <v>2006</v>
      </c>
      <c r="E700" s="73" t="s">
        <v>11007</v>
      </c>
      <c r="F700" s="73" t="s">
        <v>10902</v>
      </c>
      <c r="G700" s="73"/>
      <c r="H700" s="73" t="s">
        <v>10917</v>
      </c>
      <c r="I700" s="73" t="s">
        <v>11090</v>
      </c>
      <c r="J700" s="33" t="s">
        <v>9374</v>
      </c>
      <c r="K700" s="33" t="s">
        <v>9375</v>
      </c>
      <c r="L700" s="33" t="s">
        <v>121</v>
      </c>
      <c r="M700" s="33" t="s">
        <v>9376</v>
      </c>
      <c r="N700" s="73"/>
      <c r="O700" s="73"/>
      <c r="P700" s="73"/>
      <c r="Q700" s="75"/>
      <c r="R700" s="75"/>
      <c r="S700" s="75"/>
      <c r="T700" s="75"/>
      <c r="U700" s="75"/>
      <c r="V700" s="75"/>
    </row>
    <row r="701" spans="2:22" x14ac:dyDescent="0.2">
      <c r="B701" s="166"/>
      <c r="C701" s="166"/>
      <c r="D701" s="166"/>
      <c r="E701" s="166"/>
      <c r="F701" s="166"/>
      <c r="G701" s="166"/>
      <c r="H701" s="166"/>
      <c r="I701" s="166"/>
      <c r="J701" s="166"/>
      <c r="K701" s="166"/>
      <c r="L701" s="166"/>
      <c r="M701" s="166"/>
      <c r="N701" s="166"/>
      <c r="O701" s="166"/>
      <c r="P701" s="166"/>
      <c r="Q701" s="76"/>
      <c r="R701" s="76"/>
      <c r="S701" s="76"/>
      <c r="T701" s="76"/>
      <c r="U701" s="76"/>
      <c r="V701" s="76"/>
    </row>
    <row r="702" spans="2:22" x14ac:dyDescent="0.2">
      <c r="B702" s="165" t="s">
        <v>9839</v>
      </c>
      <c r="C702" s="165"/>
      <c r="D702" s="165"/>
      <c r="E702" s="165"/>
      <c r="F702" s="165"/>
      <c r="G702" s="165"/>
      <c r="H702" s="165"/>
      <c r="I702" s="165"/>
      <c r="J702" s="165"/>
      <c r="K702" s="165"/>
      <c r="L702" s="165"/>
      <c r="M702" s="165"/>
      <c r="N702" s="165"/>
      <c r="O702" s="165"/>
      <c r="P702" s="165"/>
      <c r="Q702" s="73"/>
      <c r="R702" s="23"/>
      <c r="S702" s="23"/>
      <c r="T702" s="73"/>
      <c r="U702" s="73"/>
      <c r="V702" s="73"/>
    </row>
    <row r="703" spans="2:22" x14ac:dyDescent="0.2">
      <c r="B703" s="73" t="s">
        <v>9839</v>
      </c>
      <c r="C703" s="33" t="s">
        <v>762</v>
      </c>
      <c r="D703" s="23" t="s">
        <v>763</v>
      </c>
      <c r="E703" s="73"/>
      <c r="F703" s="73"/>
      <c r="G703" s="73"/>
      <c r="H703" s="73"/>
      <c r="I703" s="73"/>
      <c r="J703" s="33" t="s">
        <v>9374</v>
      </c>
      <c r="K703" s="33" t="s">
        <v>11016</v>
      </c>
      <c r="L703" s="33" t="s">
        <v>121</v>
      </c>
      <c r="M703" s="33" t="s">
        <v>9376</v>
      </c>
      <c r="N703" s="73"/>
      <c r="O703" s="73"/>
      <c r="P703" s="73"/>
      <c r="Q703" s="73"/>
      <c r="R703" s="23"/>
      <c r="S703" s="23"/>
      <c r="T703" s="73"/>
      <c r="U703" s="73"/>
      <c r="V703" s="73"/>
    </row>
    <row r="704" spans="2:22" x14ac:dyDescent="0.2">
      <c r="B704" s="166"/>
      <c r="C704" s="166"/>
      <c r="D704" s="166"/>
      <c r="E704" s="166"/>
      <c r="F704" s="166"/>
      <c r="G704" s="166"/>
      <c r="H704" s="166"/>
      <c r="I704" s="166"/>
      <c r="J704" s="166"/>
      <c r="K704" s="166"/>
      <c r="L704" s="166"/>
      <c r="M704" s="166"/>
      <c r="N704" s="166"/>
      <c r="O704" s="166"/>
      <c r="P704" s="166"/>
      <c r="Q704" s="75"/>
      <c r="R704" s="75"/>
      <c r="S704" s="75"/>
      <c r="T704" s="75"/>
      <c r="U704" s="75"/>
      <c r="V704" s="75"/>
    </row>
    <row r="705" spans="2:22" x14ac:dyDescent="0.2">
      <c r="B705" s="165" t="s">
        <v>9841</v>
      </c>
      <c r="C705" s="165"/>
      <c r="D705" s="165"/>
      <c r="E705" s="165"/>
      <c r="F705" s="165"/>
      <c r="G705" s="165"/>
      <c r="H705" s="165"/>
      <c r="I705" s="165"/>
      <c r="J705" s="165"/>
      <c r="K705" s="165"/>
      <c r="L705" s="165"/>
      <c r="M705" s="165"/>
      <c r="N705" s="165"/>
      <c r="O705" s="165"/>
      <c r="P705" s="165"/>
      <c r="Q705" s="76"/>
      <c r="R705" s="76"/>
      <c r="S705" s="76"/>
      <c r="T705" s="76"/>
      <c r="U705" s="76"/>
      <c r="V705" s="76"/>
    </row>
    <row r="706" spans="2:22" x14ac:dyDescent="0.2">
      <c r="B706" s="73" t="s">
        <v>9841</v>
      </c>
      <c r="C706" s="33" t="s">
        <v>764</v>
      </c>
      <c r="D706" s="23" t="s">
        <v>765</v>
      </c>
      <c r="E706" s="73"/>
      <c r="F706" s="73"/>
      <c r="G706" s="73"/>
      <c r="H706" s="73"/>
      <c r="I706" s="73"/>
      <c r="J706" s="33" t="s">
        <v>9374</v>
      </c>
      <c r="K706" s="33" t="s">
        <v>11016</v>
      </c>
      <c r="L706" s="33" t="s">
        <v>121</v>
      </c>
      <c r="M706" s="33" t="s">
        <v>9376</v>
      </c>
      <c r="N706" s="73"/>
      <c r="O706" s="73"/>
      <c r="P706" s="73"/>
      <c r="Q706" s="73"/>
      <c r="R706" s="23"/>
      <c r="S706" s="23"/>
      <c r="T706" s="73"/>
      <c r="U706" s="73"/>
      <c r="V706" s="73"/>
    </row>
    <row r="707" spans="2:22" x14ac:dyDescent="0.2">
      <c r="B707" s="166"/>
      <c r="C707" s="166"/>
      <c r="D707" s="166"/>
      <c r="E707" s="166"/>
      <c r="F707" s="166"/>
      <c r="G707" s="166"/>
      <c r="H707" s="166"/>
      <c r="I707" s="166"/>
      <c r="J707" s="166"/>
      <c r="K707" s="166"/>
      <c r="L707" s="166"/>
      <c r="M707" s="166"/>
      <c r="N707" s="166"/>
      <c r="O707" s="166"/>
      <c r="P707" s="166"/>
      <c r="Q707" s="73"/>
      <c r="R707" s="23"/>
      <c r="S707" s="23"/>
      <c r="T707" s="73"/>
      <c r="U707" s="73"/>
      <c r="V707" s="73"/>
    </row>
    <row r="708" spans="2:22" x14ac:dyDescent="0.2">
      <c r="B708" s="165" t="s">
        <v>9843</v>
      </c>
      <c r="C708" s="165"/>
      <c r="D708" s="165"/>
      <c r="E708" s="165"/>
      <c r="F708" s="165"/>
      <c r="G708" s="165"/>
      <c r="H708" s="165"/>
      <c r="I708" s="165"/>
      <c r="J708" s="165"/>
      <c r="K708" s="165"/>
      <c r="L708" s="165"/>
      <c r="M708" s="165"/>
      <c r="N708" s="165"/>
      <c r="O708" s="165"/>
      <c r="P708" s="165"/>
      <c r="Q708" s="75"/>
      <c r="R708" s="75"/>
      <c r="S708" s="75"/>
      <c r="T708" s="75"/>
      <c r="U708" s="75"/>
      <c r="V708" s="75"/>
    </row>
    <row r="709" spans="2:22" x14ac:dyDescent="0.2">
      <c r="B709" s="73" t="s">
        <v>9843</v>
      </c>
      <c r="C709" s="33" t="s">
        <v>766</v>
      </c>
      <c r="D709" s="23" t="s">
        <v>767</v>
      </c>
      <c r="E709" s="73"/>
      <c r="F709" s="73"/>
      <c r="G709" s="73"/>
      <c r="H709" s="73"/>
      <c r="I709" s="73"/>
      <c r="J709" s="33" t="s">
        <v>9374</v>
      </c>
      <c r="K709" s="33" t="s">
        <v>11016</v>
      </c>
      <c r="L709" s="33" t="s">
        <v>121</v>
      </c>
      <c r="M709" s="33" t="s">
        <v>9376</v>
      </c>
      <c r="N709" s="73"/>
      <c r="O709" s="73"/>
      <c r="P709" s="73"/>
      <c r="Q709" s="76"/>
      <c r="R709" s="76"/>
      <c r="S709" s="76"/>
      <c r="T709" s="76"/>
      <c r="U709" s="76"/>
      <c r="V709" s="76"/>
    </row>
    <row r="710" spans="2:22" x14ac:dyDescent="0.2">
      <c r="B710" s="166"/>
      <c r="C710" s="166"/>
      <c r="D710" s="166"/>
      <c r="E710" s="166"/>
      <c r="F710" s="166"/>
      <c r="G710" s="166"/>
      <c r="H710" s="166"/>
      <c r="I710" s="166"/>
      <c r="J710" s="166"/>
      <c r="K710" s="166"/>
      <c r="L710" s="166"/>
      <c r="M710" s="166"/>
      <c r="N710" s="166"/>
      <c r="O710" s="166"/>
      <c r="P710" s="166"/>
      <c r="Q710" s="73"/>
      <c r="R710" s="23"/>
      <c r="S710" s="23"/>
      <c r="T710" s="73"/>
      <c r="U710" s="73"/>
      <c r="V710" s="73"/>
    </row>
    <row r="711" spans="2:22" x14ac:dyDescent="0.2">
      <c r="B711" s="165" t="s">
        <v>9845</v>
      </c>
      <c r="C711" s="165"/>
      <c r="D711" s="165"/>
      <c r="E711" s="165"/>
      <c r="F711" s="165"/>
      <c r="G711" s="165"/>
      <c r="H711" s="165"/>
      <c r="I711" s="165"/>
      <c r="J711" s="165"/>
      <c r="K711" s="165"/>
      <c r="L711" s="165"/>
      <c r="M711" s="165"/>
      <c r="N711" s="165"/>
      <c r="O711" s="165"/>
      <c r="P711" s="165"/>
      <c r="Q711" s="73"/>
      <c r="R711" s="23"/>
      <c r="S711" s="23"/>
      <c r="T711" s="73"/>
      <c r="U711" s="73"/>
      <c r="V711" s="73"/>
    </row>
    <row r="712" spans="2:22" x14ac:dyDescent="0.2">
      <c r="B712" s="73" t="s">
        <v>9845</v>
      </c>
      <c r="C712" s="33" t="s">
        <v>768</v>
      </c>
      <c r="D712" s="23" t="s">
        <v>769</v>
      </c>
      <c r="E712" s="73"/>
      <c r="F712" s="73"/>
      <c r="G712" s="73"/>
      <c r="H712" s="73"/>
      <c r="I712" s="73"/>
      <c r="J712" s="33" t="s">
        <v>9374</v>
      </c>
      <c r="K712" s="33" t="s">
        <v>11016</v>
      </c>
      <c r="L712" s="33" t="s">
        <v>121</v>
      </c>
      <c r="M712" s="33" t="s">
        <v>9376</v>
      </c>
      <c r="N712" s="73"/>
      <c r="O712" s="73"/>
      <c r="P712" s="73"/>
      <c r="Q712" s="75"/>
      <c r="R712" s="75"/>
      <c r="S712" s="75"/>
      <c r="T712" s="75"/>
      <c r="U712" s="75"/>
      <c r="V712" s="75"/>
    </row>
    <row r="713" spans="2:22" x14ac:dyDescent="0.2">
      <c r="B713" s="166"/>
      <c r="C713" s="166"/>
      <c r="D713" s="166"/>
      <c r="E713" s="166"/>
      <c r="F713" s="166"/>
      <c r="G713" s="166"/>
      <c r="H713" s="166"/>
      <c r="I713" s="166"/>
      <c r="J713" s="166"/>
      <c r="K713" s="166"/>
      <c r="L713" s="166"/>
      <c r="M713" s="166"/>
      <c r="N713" s="166"/>
      <c r="O713" s="166"/>
      <c r="P713" s="166"/>
      <c r="Q713" s="76"/>
      <c r="R713" s="76"/>
      <c r="S713" s="76"/>
      <c r="T713" s="76"/>
      <c r="U713" s="76"/>
      <c r="V713" s="76"/>
    </row>
    <row r="714" spans="2:22" x14ac:dyDescent="0.2">
      <c r="B714" s="165" t="s">
        <v>9847</v>
      </c>
      <c r="C714" s="165"/>
      <c r="D714" s="165"/>
      <c r="E714" s="165"/>
      <c r="F714" s="165"/>
      <c r="G714" s="165"/>
      <c r="H714" s="165"/>
      <c r="I714" s="165"/>
      <c r="J714" s="165"/>
      <c r="K714" s="165"/>
      <c r="L714" s="165"/>
      <c r="M714" s="165"/>
      <c r="N714" s="165"/>
      <c r="O714" s="165"/>
      <c r="P714" s="165"/>
      <c r="Q714" s="73"/>
      <c r="R714" s="23"/>
      <c r="S714" s="23"/>
      <c r="T714" s="73"/>
      <c r="U714" s="73"/>
      <c r="V714" s="73"/>
    </row>
    <row r="715" spans="2:22" x14ac:dyDescent="0.2">
      <c r="B715" s="73" t="s">
        <v>9847</v>
      </c>
      <c r="C715" s="33" t="s">
        <v>770</v>
      </c>
      <c r="D715" s="23" t="s">
        <v>771</v>
      </c>
      <c r="E715" s="73"/>
      <c r="F715" s="73"/>
      <c r="G715" s="73"/>
      <c r="H715" s="73"/>
      <c r="I715" s="73"/>
      <c r="J715" s="33" t="s">
        <v>9374</v>
      </c>
      <c r="K715" s="33" t="s">
        <v>11016</v>
      </c>
      <c r="L715" s="33" t="s">
        <v>121</v>
      </c>
      <c r="M715" s="33" t="s">
        <v>9376</v>
      </c>
      <c r="N715" s="73"/>
      <c r="O715" s="73"/>
      <c r="P715" s="73"/>
      <c r="Q715" s="73"/>
      <c r="R715" s="23"/>
      <c r="S715" s="23"/>
      <c r="T715" s="73"/>
      <c r="U715" s="73"/>
      <c r="V715" s="73"/>
    </row>
    <row r="716" spans="2:22" x14ac:dyDescent="0.2">
      <c r="B716" s="166"/>
      <c r="C716" s="166"/>
      <c r="D716" s="166"/>
      <c r="E716" s="166"/>
      <c r="F716" s="166"/>
      <c r="G716" s="166"/>
      <c r="H716" s="166"/>
      <c r="I716" s="166"/>
      <c r="J716" s="166"/>
      <c r="K716" s="166"/>
      <c r="L716" s="166"/>
      <c r="M716" s="166"/>
      <c r="N716" s="166"/>
      <c r="O716" s="166"/>
      <c r="P716" s="166"/>
      <c r="Q716" s="75"/>
      <c r="R716" s="75"/>
      <c r="S716" s="75"/>
      <c r="T716" s="75"/>
      <c r="U716" s="75"/>
      <c r="V716" s="75"/>
    </row>
    <row r="717" spans="2:22" x14ac:dyDescent="0.2">
      <c r="B717" s="165" t="s">
        <v>9850</v>
      </c>
      <c r="C717" s="165"/>
      <c r="D717" s="165"/>
      <c r="E717" s="165"/>
      <c r="F717" s="165"/>
      <c r="G717" s="165"/>
      <c r="H717" s="165"/>
      <c r="I717" s="165"/>
      <c r="J717" s="165"/>
      <c r="K717" s="165"/>
      <c r="L717" s="165"/>
      <c r="M717" s="165"/>
      <c r="N717" s="165"/>
      <c r="O717" s="165"/>
      <c r="P717" s="165"/>
      <c r="Q717" s="76"/>
      <c r="R717" s="76"/>
      <c r="S717" s="76"/>
      <c r="T717" s="76"/>
      <c r="U717" s="76"/>
      <c r="V717" s="76"/>
    </row>
    <row r="718" spans="2:22" x14ac:dyDescent="0.2">
      <c r="B718" s="73" t="s">
        <v>9850</v>
      </c>
      <c r="C718" s="33" t="s">
        <v>772</v>
      </c>
      <c r="D718" s="23" t="s">
        <v>773</v>
      </c>
      <c r="E718" s="73"/>
      <c r="F718" s="73"/>
      <c r="G718" s="73"/>
      <c r="H718" s="73"/>
      <c r="I718" s="73"/>
      <c r="J718" s="33" t="s">
        <v>9374</v>
      </c>
      <c r="K718" s="33" t="s">
        <v>11016</v>
      </c>
      <c r="L718" s="33" t="s">
        <v>121</v>
      </c>
      <c r="M718" s="33" t="s">
        <v>9376</v>
      </c>
      <c r="N718" s="73"/>
      <c r="O718" s="73"/>
      <c r="P718" s="73"/>
      <c r="Q718" s="73"/>
      <c r="R718" s="23"/>
      <c r="S718" s="23"/>
      <c r="T718" s="73"/>
      <c r="U718" s="73"/>
      <c r="V718" s="73"/>
    </row>
    <row r="719" spans="2:22" x14ac:dyDescent="0.2">
      <c r="B719" s="166"/>
      <c r="C719" s="166"/>
      <c r="D719" s="166"/>
      <c r="E719" s="166"/>
      <c r="F719" s="166"/>
      <c r="G719" s="166"/>
      <c r="H719" s="166"/>
      <c r="I719" s="166"/>
      <c r="J719" s="166"/>
      <c r="K719" s="166"/>
      <c r="L719" s="166"/>
      <c r="M719" s="166"/>
      <c r="N719" s="166"/>
      <c r="O719" s="166"/>
      <c r="P719" s="166"/>
      <c r="Q719" s="73"/>
      <c r="R719" s="23"/>
      <c r="S719" s="23"/>
      <c r="T719" s="73"/>
      <c r="U719" s="73"/>
      <c r="V719" s="73"/>
    </row>
    <row r="720" spans="2:22" x14ac:dyDescent="0.2">
      <c r="B720" s="165" t="s">
        <v>9852</v>
      </c>
      <c r="C720" s="165"/>
      <c r="D720" s="165"/>
      <c r="E720" s="165"/>
      <c r="F720" s="165"/>
      <c r="G720" s="165"/>
      <c r="H720" s="165"/>
      <c r="I720" s="165"/>
      <c r="J720" s="165"/>
      <c r="K720" s="165"/>
      <c r="L720" s="165"/>
      <c r="M720" s="165"/>
      <c r="N720" s="165"/>
      <c r="O720" s="165"/>
      <c r="P720" s="165"/>
      <c r="Q720" s="75"/>
      <c r="R720" s="75"/>
      <c r="S720" s="75"/>
      <c r="T720" s="75"/>
      <c r="U720" s="75"/>
      <c r="V720" s="75"/>
    </row>
    <row r="721" spans="2:22" x14ac:dyDescent="0.2">
      <c r="B721" s="73" t="s">
        <v>9852</v>
      </c>
      <c r="C721" s="33" t="s">
        <v>774</v>
      </c>
      <c r="D721" s="23" t="s">
        <v>775</v>
      </c>
      <c r="E721" s="73"/>
      <c r="F721" s="73"/>
      <c r="G721" s="73"/>
      <c r="H721" s="73"/>
      <c r="I721" s="73"/>
      <c r="J721" s="33" t="s">
        <v>9374</v>
      </c>
      <c r="K721" s="33" t="s">
        <v>11016</v>
      </c>
      <c r="L721" s="33" t="s">
        <v>121</v>
      </c>
      <c r="M721" s="33" t="s">
        <v>9376</v>
      </c>
      <c r="N721" s="73"/>
      <c r="O721" s="73"/>
      <c r="P721" s="73"/>
      <c r="Q721" s="76"/>
      <c r="R721" s="76"/>
      <c r="S721" s="76"/>
      <c r="T721" s="76"/>
      <c r="U721" s="76"/>
      <c r="V721" s="76"/>
    </row>
    <row r="722" spans="2:22" x14ac:dyDescent="0.2">
      <c r="B722" s="166"/>
      <c r="C722" s="166"/>
      <c r="D722" s="166"/>
      <c r="E722" s="166"/>
      <c r="F722" s="166"/>
      <c r="G722" s="166"/>
      <c r="H722" s="166"/>
      <c r="I722" s="166"/>
      <c r="J722" s="166"/>
      <c r="K722" s="166"/>
      <c r="L722" s="166"/>
      <c r="M722" s="166"/>
      <c r="N722" s="166"/>
      <c r="O722" s="166"/>
      <c r="P722" s="166"/>
      <c r="Q722" s="73"/>
      <c r="R722" s="23"/>
      <c r="S722" s="23"/>
      <c r="T722" s="73"/>
      <c r="U722" s="73"/>
      <c r="V722" s="73"/>
    </row>
    <row r="723" spans="2:22" x14ac:dyDescent="0.2">
      <c r="B723" s="165" t="s">
        <v>9855</v>
      </c>
      <c r="C723" s="165"/>
      <c r="D723" s="165"/>
      <c r="E723" s="165"/>
      <c r="F723" s="165"/>
      <c r="G723" s="165"/>
      <c r="H723" s="165"/>
      <c r="I723" s="165"/>
      <c r="J723" s="165"/>
      <c r="K723" s="165"/>
      <c r="L723" s="165"/>
      <c r="M723" s="165"/>
      <c r="N723" s="165"/>
      <c r="O723" s="165"/>
      <c r="P723" s="165"/>
      <c r="Q723" s="73"/>
      <c r="R723" s="23"/>
      <c r="S723" s="23"/>
      <c r="T723" s="73"/>
      <c r="U723" s="73"/>
      <c r="V723" s="73"/>
    </row>
    <row r="724" spans="2:22" x14ac:dyDescent="0.2">
      <c r="B724" s="73" t="s">
        <v>9855</v>
      </c>
      <c r="C724" s="33" t="s">
        <v>776</v>
      </c>
      <c r="D724" s="23" t="s">
        <v>777</v>
      </c>
      <c r="E724" s="73"/>
      <c r="F724" s="73"/>
      <c r="G724" s="73"/>
      <c r="H724" s="73"/>
      <c r="I724" s="73"/>
      <c r="J724" s="33" t="s">
        <v>9374</v>
      </c>
      <c r="K724" s="33" t="s">
        <v>11016</v>
      </c>
      <c r="L724" s="33" t="s">
        <v>121</v>
      </c>
      <c r="M724" s="33" t="s">
        <v>9376</v>
      </c>
      <c r="N724" s="73"/>
      <c r="O724" s="73"/>
      <c r="P724" s="73"/>
      <c r="Q724" s="75"/>
      <c r="R724" s="75"/>
      <c r="S724" s="75"/>
      <c r="T724" s="75"/>
      <c r="U724" s="75"/>
      <c r="V724" s="75"/>
    </row>
    <row r="725" spans="2:22" x14ac:dyDescent="0.2">
      <c r="B725" s="166"/>
      <c r="C725" s="166"/>
      <c r="D725" s="166"/>
      <c r="E725" s="166"/>
      <c r="F725" s="166"/>
      <c r="G725" s="166"/>
      <c r="H725" s="166"/>
      <c r="I725" s="166"/>
      <c r="J725" s="166"/>
      <c r="K725" s="166"/>
      <c r="L725" s="166"/>
      <c r="M725" s="166"/>
      <c r="N725" s="166"/>
      <c r="O725" s="166"/>
      <c r="P725" s="166"/>
      <c r="Q725" s="76"/>
      <c r="R725" s="76"/>
      <c r="S725" s="76"/>
      <c r="T725" s="76"/>
      <c r="U725" s="76"/>
      <c r="V725" s="76"/>
    </row>
    <row r="726" spans="2:22" x14ac:dyDescent="0.2">
      <c r="B726" s="165" t="s">
        <v>9858</v>
      </c>
      <c r="C726" s="165"/>
      <c r="D726" s="165"/>
      <c r="E726" s="165"/>
      <c r="F726" s="165"/>
      <c r="G726" s="165"/>
      <c r="H726" s="165"/>
      <c r="I726" s="165"/>
      <c r="J726" s="165"/>
      <c r="K726" s="165"/>
      <c r="L726" s="165"/>
      <c r="M726" s="165"/>
      <c r="N726" s="165"/>
      <c r="O726" s="165"/>
      <c r="P726" s="165"/>
      <c r="Q726" s="73"/>
      <c r="R726" s="23"/>
      <c r="S726" s="23"/>
      <c r="T726" s="73"/>
      <c r="U726" s="73"/>
      <c r="V726" s="73"/>
    </row>
    <row r="727" spans="2:22" x14ac:dyDescent="0.2">
      <c r="B727" s="73" t="s">
        <v>9858</v>
      </c>
      <c r="C727" s="33" t="s">
        <v>778</v>
      </c>
      <c r="D727" s="23" t="s">
        <v>779</v>
      </c>
      <c r="E727" s="73"/>
      <c r="F727" s="73"/>
      <c r="G727" s="73"/>
      <c r="H727" s="73"/>
      <c r="I727" s="73"/>
      <c r="J727" s="33" t="s">
        <v>9374</v>
      </c>
      <c r="K727" s="33" t="s">
        <v>11016</v>
      </c>
      <c r="L727" s="33" t="s">
        <v>121</v>
      </c>
      <c r="M727" s="33" t="s">
        <v>9376</v>
      </c>
      <c r="N727" s="73"/>
      <c r="O727" s="73"/>
      <c r="P727" s="73"/>
      <c r="Q727" s="75"/>
      <c r="R727" s="75"/>
      <c r="S727" s="75"/>
      <c r="T727" s="75"/>
      <c r="U727" s="75"/>
      <c r="V727" s="75"/>
    </row>
    <row r="728" spans="2:22" x14ac:dyDescent="0.2">
      <c r="B728" s="166"/>
      <c r="C728" s="166"/>
      <c r="D728" s="166"/>
      <c r="E728" s="166"/>
      <c r="F728" s="166"/>
      <c r="G728" s="166"/>
      <c r="H728" s="166"/>
      <c r="I728" s="166"/>
      <c r="J728" s="166"/>
      <c r="K728" s="166"/>
      <c r="L728" s="166"/>
      <c r="M728" s="166"/>
      <c r="N728" s="166"/>
      <c r="O728" s="166"/>
      <c r="P728" s="166"/>
      <c r="Q728" s="76"/>
      <c r="R728" s="76"/>
      <c r="S728" s="76"/>
      <c r="T728" s="76"/>
      <c r="U728" s="76"/>
      <c r="V728" s="76"/>
    </row>
    <row r="729" spans="2:22" x14ac:dyDescent="0.2">
      <c r="B729" s="165" t="s">
        <v>9861</v>
      </c>
      <c r="C729" s="165"/>
      <c r="D729" s="165"/>
      <c r="E729" s="165"/>
      <c r="F729" s="165"/>
      <c r="G729" s="165"/>
      <c r="H729" s="165"/>
      <c r="I729" s="165"/>
      <c r="J729" s="165"/>
      <c r="K729" s="165"/>
      <c r="L729" s="165"/>
      <c r="M729" s="165"/>
      <c r="N729" s="165"/>
      <c r="O729" s="165"/>
      <c r="P729" s="165"/>
      <c r="Q729" s="73"/>
      <c r="R729" s="23"/>
      <c r="S729" s="23"/>
      <c r="T729" s="73"/>
      <c r="U729" s="73"/>
      <c r="V729" s="73"/>
    </row>
    <row r="730" spans="2:22" x14ac:dyDescent="0.2">
      <c r="B730" s="73" t="s">
        <v>9861</v>
      </c>
      <c r="C730" s="33" t="s">
        <v>780</v>
      </c>
      <c r="D730" s="23" t="s">
        <v>781</v>
      </c>
      <c r="E730" s="73"/>
      <c r="F730" s="73"/>
      <c r="G730" s="73"/>
      <c r="H730" s="73"/>
      <c r="I730" s="73"/>
      <c r="J730" s="33" t="s">
        <v>9374</v>
      </c>
      <c r="K730" s="33" t="s">
        <v>11016</v>
      </c>
      <c r="L730" s="33" t="s">
        <v>121</v>
      </c>
      <c r="M730" s="33" t="s">
        <v>9376</v>
      </c>
      <c r="N730" s="73"/>
      <c r="O730" s="73"/>
      <c r="P730" s="73"/>
      <c r="Q730" s="75"/>
      <c r="R730" s="75"/>
      <c r="S730" s="75"/>
      <c r="T730" s="75"/>
      <c r="U730" s="75"/>
      <c r="V730" s="75"/>
    </row>
    <row r="731" spans="2:22" x14ac:dyDescent="0.2">
      <c r="B731" s="166"/>
      <c r="C731" s="166"/>
      <c r="D731" s="166"/>
      <c r="E731" s="166"/>
      <c r="F731" s="166"/>
      <c r="G731" s="166"/>
      <c r="H731" s="166"/>
      <c r="I731" s="166"/>
      <c r="J731" s="166"/>
      <c r="K731" s="166"/>
      <c r="L731" s="166"/>
      <c r="M731" s="166"/>
      <c r="N731" s="166"/>
      <c r="O731" s="166"/>
      <c r="P731" s="166"/>
      <c r="Q731" s="76"/>
      <c r="R731" s="76"/>
      <c r="S731" s="76"/>
      <c r="T731" s="76"/>
      <c r="U731" s="76"/>
      <c r="V731" s="76"/>
    </row>
    <row r="732" spans="2:22" x14ac:dyDescent="0.2">
      <c r="B732" s="165" t="s">
        <v>9864</v>
      </c>
      <c r="C732" s="165"/>
      <c r="D732" s="165"/>
      <c r="E732" s="165"/>
      <c r="F732" s="165"/>
      <c r="G732" s="165"/>
      <c r="H732" s="165"/>
      <c r="I732" s="165"/>
      <c r="J732" s="165"/>
      <c r="K732" s="165"/>
      <c r="L732" s="165"/>
      <c r="M732" s="165"/>
      <c r="N732" s="165"/>
      <c r="O732" s="165"/>
      <c r="P732" s="165"/>
      <c r="Q732" s="73"/>
      <c r="R732" s="23"/>
      <c r="S732" s="23"/>
      <c r="T732" s="73"/>
      <c r="U732" s="73"/>
      <c r="V732" s="73"/>
    </row>
    <row r="733" spans="2:22" x14ac:dyDescent="0.2">
      <c r="B733" s="73" t="s">
        <v>9864</v>
      </c>
      <c r="C733" s="33" t="s">
        <v>782</v>
      </c>
      <c r="D733" s="23" t="s">
        <v>783</v>
      </c>
      <c r="E733" s="73"/>
      <c r="F733" s="73"/>
      <c r="G733" s="73"/>
      <c r="H733" s="73"/>
      <c r="I733" s="73"/>
      <c r="J733" s="33" t="s">
        <v>9374</v>
      </c>
      <c r="K733" s="33" t="s">
        <v>11016</v>
      </c>
      <c r="L733" s="33" t="s">
        <v>121</v>
      </c>
      <c r="M733" s="33" t="s">
        <v>9376</v>
      </c>
      <c r="N733" s="73"/>
      <c r="O733" s="73"/>
      <c r="P733" s="73"/>
      <c r="Q733" s="73"/>
      <c r="R733" s="23"/>
      <c r="S733" s="23"/>
      <c r="T733" s="73"/>
      <c r="U733" s="73"/>
      <c r="V733" s="73"/>
    </row>
    <row r="734" spans="2:22" x14ac:dyDescent="0.2">
      <c r="B734" s="166"/>
      <c r="C734" s="166"/>
      <c r="D734" s="166"/>
      <c r="E734" s="166"/>
      <c r="F734" s="166"/>
      <c r="G734" s="166"/>
      <c r="H734" s="166"/>
      <c r="I734" s="166"/>
      <c r="J734" s="166"/>
      <c r="K734" s="166"/>
      <c r="L734" s="166"/>
      <c r="M734" s="166"/>
      <c r="N734" s="166"/>
      <c r="O734" s="166"/>
      <c r="P734" s="166"/>
      <c r="Q734" s="75"/>
      <c r="R734" s="75"/>
      <c r="S734" s="75"/>
      <c r="T734" s="75"/>
      <c r="U734" s="75"/>
      <c r="V734" s="75"/>
    </row>
    <row r="735" spans="2:22" x14ac:dyDescent="0.2">
      <c r="B735" s="165" t="s">
        <v>9867</v>
      </c>
      <c r="C735" s="165"/>
      <c r="D735" s="165"/>
      <c r="E735" s="165"/>
      <c r="F735" s="165"/>
      <c r="G735" s="165"/>
      <c r="H735" s="165"/>
      <c r="I735" s="165"/>
      <c r="J735" s="165"/>
      <c r="K735" s="165"/>
      <c r="L735" s="165"/>
      <c r="M735" s="165"/>
      <c r="N735" s="165"/>
      <c r="O735" s="165"/>
      <c r="P735" s="165"/>
      <c r="Q735" s="76"/>
      <c r="R735" s="76"/>
      <c r="S735" s="76"/>
      <c r="T735" s="76"/>
      <c r="U735" s="76"/>
      <c r="V735" s="76"/>
    </row>
    <row r="736" spans="2:22" x14ac:dyDescent="0.2">
      <c r="B736" s="73" t="s">
        <v>9867</v>
      </c>
      <c r="C736" s="33" t="s">
        <v>784</v>
      </c>
      <c r="D736" s="23" t="s">
        <v>785</v>
      </c>
      <c r="E736" s="73"/>
      <c r="F736" s="73"/>
      <c r="G736" s="73"/>
      <c r="H736" s="73"/>
      <c r="I736" s="73"/>
      <c r="J736" s="33" t="s">
        <v>9374</v>
      </c>
      <c r="K736" s="33" t="s">
        <v>9375</v>
      </c>
      <c r="L736" s="33" t="s">
        <v>121</v>
      </c>
      <c r="M736" s="33" t="s">
        <v>9376</v>
      </c>
      <c r="N736" s="73"/>
      <c r="O736" s="73"/>
      <c r="P736" s="73"/>
      <c r="Q736" s="73"/>
      <c r="R736" s="23"/>
      <c r="S736" s="23"/>
      <c r="T736" s="73"/>
      <c r="U736" s="73"/>
      <c r="V736" s="73"/>
    </row>
    <row r="737" spans="2:22" ht="51" x14ac:dyDescent="0.2">
      <c r="B737" s="73" t="s">
        <v>9867</v>
      </c>
      <c r="C737" s="33" t="s">
        <v>1750</v>
      </c>
      <c r="D737" s="23" t="s">
        <v>1751</v>
      </c>
      <c r="E737" s="73" t="s">
        <v>11091</v>
      </c>
      <c r="F737" s="73" t="s">
        <v>10902</v>
      </c>
      <c r="G737" s="73"/>
      <c r="H737" s="73" t="s">
        <v>11092</v>
      </c>
      <c r="I737" s="73" t="s">
        <v>11093</v>
      </c>
      <c r="J737" s="33" t="s">
        <v>9374</v>
      </c>
      <c r="K737" s="33" t="s">
        <v>9375</v>
      </c>
      <c r="L737" s="33" t="s">
        <v>121</v>
      </c>
      <c r="M737" s="33" t="s">
        <v>9376</v>
      </c>
      <c r="N737" s="73"/>
      <c r="O737" s="73"/>
      <c r="P737" s="73"/>
      <c r="Q737" s="73"/>
      <c r="R737" s="23"/>
      <c r="S737" s="23"/>
      <c r="T737" s="73"/>
      <c r="U737" s="73"/>
      <c r="V737" s="73"/>
    </row>
    <row r="738" spans="2:22" x14ac:dyDescent="0.2">
      <c r="B738" s="73" t="s">
        <v>9867</v>
      </c>
      <c r="C738" s="33" t="s">
        <v>1752</v>
      </c>
      <c r="D738" s="23" t="s">
        <v>1753</v>
      </c>
      <c r="E738" s="73" t="s">
        <v>11091</v>
      </c>
      <c r="F738" s="73" t="s">
        <v>10902</v>
      </c>
      <c r="G738" s="73"/>
      <c r="H738" s="73" t="s">
        <v>11092</v>
      </c>
      <c r="I738" s="73" t="s">
        <v>11094</v>
      </c>
      <c r="J738" s="33" t="s">
        <v>9374</v>
      </c>
      <c r="K738" s="33" t="s">
        <v>9375</v>
      </c>
      <c r="L738" s="33" t="s">
        <v>121</v>
      </c>
      <c r="M738" s="33" t="s">
        <v>9376</v>
      </c>
      <c r="N738" s="73"/>
      <c r="O738" s="73"/>
      <c r="P738" s="73"/>
      <c r="Q738" s="75"/>
      <c r="R738" s="75"/>
      <c r="S738" s="75"/>
      <c r="T738" s="75"/>
      <c r="U738" s="75"/>
      <c r="V738" s="75"/>
    </row>
    <row r="739" spans="2:22" x14ac:dyDescent="0.2">
      <c r="B739" s="166"/>
      <c r="C739" s="166"/>
      <c r="D739" s="166"/>
      <c r="E739" s="166"/>
      <c r="F739" s="166"/>
      <c r="G739" s="166"/>
      <c r="H739" s="166"/>
      <c r="I739" s="166"/>
      <c r="J739" s="166"/>
      <c r="K739" s="166"/>
      <c r="L739" s="166"/>
      <c r="M739" s="166"/>
      <c r="N739" s="166"/>
      <c r="O739" s="166"/>
      <c r="P739" s="166"/>
      <c r="Q739" s="76"/>
      <c r="R739" s="76"/>
      <c r="S739" s="76"/>
      <c r="T739" s="76"/>
      <c r="U739" s="76"/>
      <c r="V739" s="76"/>
    </row>
    <row r="740" spans="2:22" x14ac:dyDescent="0.2">
      <c r="B740" s="165" t="s">
        <v>9870</v>
      </c>
      <c r="C740" s="165"/>
      <c r="D740" s="165"/>
      <c r="E740" s="165"/>
      <c r="F740" s="165"/>
      <c r="G740" s="165"/>
      <c r="H740" s="165"/>
      <c r="I740" s="165"/>
      <c r="J740" s="165"/>
      <c r="K740" s="165"/>
      <c r="L740" s="165"/>
      <c r="M740" s="165"/>
      <c r="N740" s="165"/>
      <c r="O740" s="165"/>
      <c r="P740" s="165"/>
      <c r="Q740" s="73"/>
      <c r="R740" s="23"/>
      <c r="S740" s="23"/>
      <c r="T740" s="73"/>
      <c r="U740" s="73"/>
      <c r="V740" s="73"/>
    </row>
    <row r="741" spans="2:22" x14ac:dyDescent="0.2">
      <c r="B741" s="73" t="s">
        <v>9870</v>
      </c>
      <c r="C741" s="33" t="s">
        <v>786</v>
      </c>
      <c r="D741" s="23" t="s">
        <v>787</v>
      </c>
      <c r="E741" s="73"/>
      <c r="F741" s="73"/>
      <c r="G741" s="73"/>
      <c r="H741" s="73"/>
      <c r="I741" s="73"/>
      <c r="J741" s="33" t="s">
        <v>9374</v>
      </c>
      <c r="K741" s="33" t="s">
        <v>11016</v>
      </c>
      <c r="L741" s="33" t="s">
        <v>121</v>
      </c>
      <c r="M741" s="33" t="s">
        <v>9376</v>
      </c>
      <c r="N741" s="73"/>
      <c r="O741" s="73"/>
      <c r="P741" s="73"/>
      <c r="Q741" s="75"/>
      <c r="R741" s="75"/>
      <c r="S741" s="75"/>
      <c r="T741" s="75"/>
      <c r="U741" s="75"/>
      <c r="V741" s="75"/>
    </row>
    <row r="742" spans="2:22" x14ac:dyDescent="0.2">
      <c r="B742" s="166"/>
      <c r="C742" s="166"/>
      <c r="D742" s="166"/>
      <c r="E742" s="166"/>
      <c r="F742" s="166"/>
      <c r="G742" s="166"/>
      <c r="H742" s="166"/>
      <c r="I742" s="166"/>
      <c r="J742" s="166"/>
      <c r="K742" s="166"/>
      <c r="L742" s="166"/>
      <c r="M742" s="166"/>
      <c r="N742" s="166"/>
      <c r="O742" s="166"/>
      <c r="P742" s="166"/>
      <c r="Q742" s="76"/>
      <c r="R742" s="76"/>
      <c r="S742" s="76"/>
      <c r="T742" s="76"/>
      <c r="U742" s="76"/>
      <c r="V742" s="76"/>
    </row>
    <row r="743" spans="2:22" x14ac:dyDescent="0.2">
      <c r="B743" s="165" t="s">
        <v>9872</v>
      </c>
      <c r="C743" s="165"/>
      <c r="D743" s="165"/>
      <c r="E743" s="165"/>
      <c r="F743" s="165"/>
      <c r="G743" s="165"/>
      <c r="H743" s="165"/>
      <c r="I743" s="165"/>
      <c r="J743" s="165"/>
      <c r="K743" s="165"/>
      <c r="L743" s="165"/>
      <c r="M743" s="165"/>
      <c r="N743" s="165"/>
      <c r="O743" s="165"/>
      <c r="P743" s="165"/>
      <c r="Q743" s="73"/>
      <c r="R743" s="23"/>
      <c r="S743" s="23"/>
      <c r="T743" s="73"/>
      <c r="U743" s="73"/>
      <c r="V743" s="73"/>
    </row>
    <row r="744" spans="2:22" x14ac:dyDescent="0.2">
      <c r="B744" s="73" t="s">
        <v>9872</v>
      </c>
      <c r="C744" s="33" t="s">
        <v>788</v>
      </c>
      <c r="D744" s="23" t="s">
        <v>789</v>
      </c>
      <c r="E744" s="73"/>
      <c r="F744" s="73"/>
      <c r="G744" s="73"/>
      <c r="H744" s="73"/>
      <c r="I744" s="73"/>
      <c r="J744" s="33" t="s">
        <v>9374</v>
      </c>
      <c r="K744" s="33" t="s">
        <v>11016</v>
      </c>
      <c r="L744" s="33" t="s">
        <v>121</v>
      </c>
      <c r="M744" s="33" t="s">
        <v>9376</v>
      </c>
      <c r="N744" s="73"/>
      <c r="O744" s="73"/>
      <c r="P744" s="73"/>
      <c r="Q744" s="75"/>
      <c r="R744" s="75"/>
      <c r="S744" s="75"/>
      <c r="T744" s="75"/>
      <c r="U744" s="75"/>
      <c r="V744" s="75"/>
    </row>
    <row r="745" spans="2:22" x14ac:dyDescent="0.2">
      <c r="B745" s="166"/>
      <c r="C745" s="166"/>
      <c r="D745" s="166"/>
      <c r="E745" s="166"/>
      <c r="F745" s="166"/>
      <c r="G745" s="166"/>
      <c r="H745" s="166"/>
      <c r="I745" s="166"/>
      <c r="J745" s="166"/>
      <c r="K745" s="166"/>
      <c r="L745" s="166"/>
      <c r="M745" s="166"/>
      <c r="N745" s="166"/>
      <c r="O745" s="166"/>
      <c r="P745" s="166"/>
      <c r="Q745" s="76"/>
      <c r="R745" s="76"/>
      <c r="S745" s="76"/>
      <c r="T745" s="76"/>
      <c r="U745" s="76"/>
      <c r="V745" s="76"/>
    </row>
    <row r="746" spans="2:22" x14ac:dyDescent="0.2">
      <c r="B746" s="165" t="s">
        <v>9874</v>
      </c>
      <c r="C746" s="165"/>
      <c r="D746" s="165"/>
      <c r="E746" s="165"/>
      <c r="F746" s="165"/>
      <c r="G746" s="165"/>
      <c r="H746" s="165"/>
      <c r="I746" s="165"/>
      <c r="J746" s="165"/>
      <c r="K746" s="165"/>
      <c r="L746" s="165"/>
      <c r="M746" s="165"/>
      <c r="N746" s="165"/>
      <c r="O746" s="165"/>
      <c r="P746" s="165"/>
      <c r="Q746" s="73"/>
      <c r="R746" s="23"/>
      <c r="S746" s="23"/>
      <c r="T746" s="73"/>
      <c r="U746" s="73"/>
      <c r="V746" s="73"/>
    </row>
    <row r="747" spans="2:22" x14ac:dyDescent="0.2">
      <c r="B747" s="73" t="s">
        <v>9874</v>
      </c>
      <c r="C747" s="33" t="s">
        <v>790</v>
      </c>
      <c r="D747" s="23" t="s">
        <v>791</v>
      </c>
      <c r="E747" s="73"/>
      <c r="F747" s="73"/>
      <c r="G747" s="73"/>
      <c r="H747" s="73"/>
      <c r="I747" s="73"/>
      <c r="J747" s="33" t="s">
        <v>9374</v>
      </c>
      <c r="K747" s="33" t="s">
        <v>11016</v>
      </c>
      <c r="L747" s="33" t="s">
        <v>121</v>
      </c>
      <c r="M747" s="33" t="s">
        <v>9376</v>
      </c>
      <c r="N747" s="73"/>
      <c r="O747" s="73"/>
      <c r="P747" s="73"/>
      <c r="Q747" s="73"/>
      <c r="R747" s="23"/>
      <c r="S747" s="23"/>
      <c r="T747" s="73"/>
      <c r="U747" s="73"/>
      <c r="V747" s="73"/>
    </row>
    <row r="748" spans="2:22" x14ac:dyDescent="0.2">
      <c r="B748" s="166"/>
      <c r="C748" s="166"/>
      <c r="D748" s="166"/>
      <c r="E748" s="166"/>
      <c r="F748" s="166"/>
      <c r="G748" s="166"/>
      <c r="H748" s="166"/>
      <c r="I748" s="166"/>
      <c r="J748" s="166"/>
      <c r="K748" s="166"/>
      <c r="L748" s="166"/>
      <c r="M748" s="166"/>
      <c r="N748" s="166"/>
      <c r="O748" s="166"/>
      <c r="P748" s="166"/>
      <c r="Q748" s="75"/>
      <c r="R748" s="75"/>
      <c r="S748" s="75"/>
      <c r="T748" s="75"/>
      <c r="U748" s="75"/>
      <c r="V748" s="75"/>
    </row>
    <row r="749" spans="2:22" x14ac:dyDescent="0.2">
      <c r="B749" s="165" t="s">
        <v>9876</v>
      </c>
      <c r="C749" s="165"/>
      <c r="D749" s="165"/>
      <c r="E749" s="165"/>
      <c r="F749" s="165"/>
      <c r="G749" s="165"/>
      <c r="H749" s="165"/>
      <c r="I749" s="165"/>
      <c r="J749" s="165"/>
      <c r="K749" s="165"/>
      <c r="L749" s="165"/>
      <c r="M749" s="165"/>
      <c r="N749" s="165"/>
      <c r="O749" s="165"/>
      <c r="P749" s="165"/>
      <c r="Q749" s="76"/>
      <c r="R749" s="76"/>
      <c r="S749" s="76"/>
      <c r="T749" s="76"/>
      <c r="U749" s="76"/>
      <c r="V749" s="76"/>
    </row>
    <row r="750" spans="2:22" x14ac:dyDescent="0.2">
      <c r="B750" s="73" t="s">
        <v>9876</v>
      </c>
      <c r="C750" s="33" t="s">
        <v>792</v>
      </c>
      <c r="D750" s="23" t="s">
        <v>793</v>
      </c>
      <c r="E750" s="73"/>
      <c r="F750" s="73"/>
      <c r="G750" s="73"/>
      <c r="H750" s="73"/>
      <c r="I750" s="73"/>
      <c r="J750" s="33" t="s">
        <v>9374</v>
      </c>
      <c r="K750" s="33" t="s">
        <v>11016</v>
      </c>
      <c r="L750" s="33" t="s">
        <v>121</v>
      </c>
      <c r="M750" s="33" t="s">
        <v>9376</v>
      </c>
      <c r="N750" s="73"/>
      <c r="O750" s="73"/>
      <c r="P750" s="73"/>
      <c r="Q750" s="73"/>
      <c r="R750" s="23"/>
      <c r="S750" s="23"/>
      <c r="T750" s="73"/>
      <c r="U750" s="73"/>
      <c r="V750" s="73"/>
    </row>
    <row r="751" spans="2:22" x14ac:dyDescent="0.2">
      <c r="B751" s="166"/>
      <c r="C751" s="166"/>
      <c r="D751" s="166"/>
      <c r="E751" s="166"/>
      <c r="F751" s="166"/>
      <c r="G751" s="166"/>
      <c r="H751" s="166"/>
      <c r="I751" s="166"/>
      <c r="J751" s="166"/>
      <c r="K751" s="166"/>
      <c r="L751" s="166"/>
      <c r="M751" s="166"/>
      <c r="N751" s="166"/>
      <c r="O751" s="166"/>
      <c r="P751" s="166"/>
      <c r="Q751" s="73"/>
      <c r="R751" s="23"/>
      <c r="S751" s="23"/>
      <c r="T751" s="73"/>
      <c r="U751" s="73"/>
      <c r="V751" s="73"/>
    </row>
    <row r="752" spans="2:22" x14ac:dyDescent="0.2">
      <c r="B752" s="165" t="s">
        <v>9879</v>
      </c>
      <c r="C752" s="165"/>
      <c r="D752" s="165"/>
      <c r="E752" s="165"/>
      <c r="F752" s="165"/>
      <c r="G752" s="165"/>
      <c r="H752" s="165"/>
      <c r="I752" s="165"/>
      <c r="J752" s="165"/>
      <c r="K752" s="165"/>
      <c r="L752" s="165"/>
      <c r="M752" s="165"/>
      <c r="N752" s="165"/>
      <c r="O752" s="165"/>
      <c r="P752" s="165"/>
      <c r="Q752" s="75"/>
      <c r="R752" s="75"/>
      <c r="S752" s="75"/>
      <c r="T752" s="75"/>
      <c r="U752" s="75"/>
      <c r="V752" s="75"/>
    </row>
    <row r="753" spans="2:22" x14ac:dyDescent="0.2">
      <c r="B753" s="73" t="s">
        <v>9879</v>
      </c>
      <c r="C753" s="33" t="s">
        <v>794</v>
      </c>
      <c r="D753" s="23" t="s">
        <v>795</v>
      </c>
      <c r="E753" s="73"/>
      <c r="F753" s="73"/>
      <c r="G753" s="73"/>
      <c r="H753" s="73"/>
      <c r="I753" s="73"/>
      <c r="J753" s="33" t="s">
        <v>9374</v>
      </c>
      <c r="K753" s="33" t="s">
        <v>11016</v>
      </c>
      <c r="L753" s="33" t="s">
        <v>121</v>
      </c>
      <c r="M753" s="33" t="s">
        <v>9376</v>
      </c>
      <c r="N753" s="73"/>
      <c r="O753" s="73"/>
      <c r="P753" s="73"/>
      <c r="Q753" s="76"/>
      <c r="R753" s="76"/>
      <c r="S753" s="76"/>
      <c r="T753" s="76"/>
      <c r="U753" s="76"/>
      <c r="V753" s="76"/>
    </row>
    <row r="754" spans="2:22" x14ac:dyDescent="0.2">
      <c r="B754" s="166"/>
      <c r="C754" s="166"/>
      <c r="D754" s="166"/>
      <c r="E754" s="166"/>
      <c r="F754" s="166"/>
      <c r="G754" s="166"/>
      <c r="H754" s="166"/>
      <c r="I754" s="166"/>
      <c r="J754" s="166"/>
      <c r="K754" s="166"/>
      <c r="L754" s="166"/>
      <c r="M754" s="166"/>
      <c r="N754" s="166"/>
      <c r="O754" s="166"/>
      <c r="P754" s="166"/>
      <c r="Q754" s="73"/>
      <c r="R754" s="23"/>
      <c r="S754" s="23"/>
      <c r="T754" s="73"/>
      <c r="U754" s="73"/>
      <c r="V754" s="73"/>
    </row>
    <row r="755" spans="2:22" x14ac:dyDescent="0.2">
      <c r="B755" s="165" t="s">
        <v>9882</v>
      </c>
      <c r="C755" s="165"/>
      <c r="D755" s="165"/>
      <c r="E755" s="165"/>
      <c r="F755" s="165"/>
      <c r="G755" s="165"/>
      <c r="H755" s="165"/>
      <c r="I755" s="165"/>
      <c r="J755" s="165"/>
      <c r="K755" s="165"/>
      <c r="L755" s="165"/>
      <c r="M755" s="165"/>
      <c r="N755" s="165"/>
      <c r="O755" s="165"/>
      <c r="P755" s="165"/>
      <c r="Q755" s="73"/>
      <c r="R755" s="23"/>
      <c r="S755" s="23"/>
      <c r="T755" s="73"/>
      <c r="U755" s="73"/>
      <c r="V755" s="73"/>
    </row>
    <row r="756" spans="2:22" x14ac:dyDescent="0.2">
      <c r="B756" s="73" t="s">
        <v>9882</v>
      </c>
      <c r="C756" s="33" t="s">
        <v>796</v>
      </c>
      <c r="D756" s="23" t="s">
        <v>797</v>
      </c>
      <c r="E756" s="73"/>
      <c r="F756" s="73"/>
      <c r="G756" s="73"/>
      <c r="H756" s="73"/>
      <c r="I756" s="73"/>
      <c r="J756" s="33" t="s">
        <v>9374</v>
      </c>
      <c r="K756" s="33" t="s">
        <v>11016</v>
      </c>
      <c r="L756" s="33" t="s">
        <v>121</v>
      </c>
      <c r="M756" s="33" t="s">
        <v>9376</v>
      </c>
      <c r="N756" s="73"/>
      <c r="O756" s="73"/>
      <c r="P756" s="73"/>
      <c r="Q756" s="73"/>
      <c r="R756" s="23"/>
      <c r="S756" s="23"/>
      <c r="T756" s="73"/>
      <c r="U756" s="73"/>
      <c r="V756" s="73"/>
    </row>
    <row r="757" spans="2:22" x14ac:dyDescent="0.2">
      <c r="B757" s="166"/>
      <c r="C757" s="166"/>
      <c r="D757" s="166"/>
      <c r="E757" s="166"/>
      <c r="F757" s="166"/>
      <c r="G757" s="166"/>
      <c r="H757" s="166"/>
      <c r="I757" s="166"/>
      <c r="J757" s="166"/>
      <c r="K757" s="166"/>
      <c r="L757" s="166"/>
      <c r="M757" s="166"/>
      <c r="N757" s="166"/>
      <c r="O757" s="166"/>
      <c r="P757" s="166"/>
      <c r="Q757" s="75"/>
      <c r="R757" s="75"/>
      <c r="S757" s="75"/>
      <c r="T757" s="75"/>
      <c r="U757" s="75"/>
      <c r="V757" s="75"/>
    </row>
    <row r="758" spans="2:22" x14ac:dyDescent="0.2">
      <c r="B758" s="165" t="s">
        <v>9884</v>
      </c>
      <c r="C758" s="165"/>
      <c r="D758" s="165"/>
      <c r="E758" s="165"/>
      <c r="F758" s="165"/>
      <c r="G758" s="165"/>
      <c r="H758" s="165"/>
      <c r="I758" s="165"/>
      <c r="J758" s="165"/>
      <c r="K758" s="165"/>
      <c r="L758" s="165"/>
      <c r="M758" s="165"/>
      <c r="N758" s="165"/>
      <c r="O758" s="165"/>
      <c r="P758" s="165"/>
      <c r="Q758" s="76"/>
      <c r="R758" s="76"/>
      <c r="S758" s="76"/>
      <c r="T758" s="76"/>
      <c r="U758" s="76"/>
      <c r="V758" s="76"/>
    </row>
    <row r="759" spans="2:22" x14ac:dyDescent="0.2">
      <c r="B759" s="73" t="s">
        <v>9884</v>
      </c>
      <c r="C759" s="33" t="s">
        <v>798</v>
      </c>
      <c r="D759" s="23" t="s">
        <v>799</v>
      </c>
      <c r="E759" s="73"/>
      <c r="F759" s="73"/>
      <c r="G759" s="73"/>
      <c r="H759" s="73"/>
      <c r="I759" s="73"/>
      <c r="J759" s="33" t="s">
        <v>9374</v>
      </c>
      <c r="K759" s="33" t="s">
        <v>11016</v>
      </c>
      <c r="L759" s="33" t="s">
        <v>121</v>
      </c>
      <c r="M759" s="33" t="s">
        <v>9376</v>
      </c>
      <c r="N759" s="73"/>
      <c r="O759" s="73"/>
      <c r="P759" s="73"/>
      <c r="Q759" s="73"/>
      <c r="R759" s="23"/>
      <c r="S759" s="23"/>
      <c r="T759" s="73"/>
      <c r="U759" s="73"/>
      <c r="V759" s="73"/>
    </row>
    <row r="760" spans="2:22" x14ac:dyDescent="0.2">
      <c r="B760" s="166"/>
      <c r="C760" s="166"/>
      <c r="D760" s="166"/>
      <c r="E760" s="166"/>
      <c r="F760" s="166"/>
      <c r="G760" s="166"/>
      <c r="H760" s="166"/>
      <c r="I760" s="166"/>
      <c r="J760" s="166"/>
      <c r="K760" s="166"/>
      <c r="L760" s="166"/>
      <c r="M760" s="166"/>
      <c r="N760" s="166"/>
      <c r="O760" s="166"/>
      <c r="P760" s="166"/>
      <c r="Q760" s="73"/>
      <c r="R760" s="23"/>
      <c r="S760" s="23"/>
      <c r="T760" s="73"/>
      <c r="U760" s="73"/>
      <c r="V760" s="73"/>
    </row>
    <row r="761" spans="2:22" x14ac:dyDescent="0.2">
      <c r="B761" s="165" t="s">
        <v>9887</v>
      </c>
      <c r="C761" s="165"/>
      <c r="D761" s="165"/>
      <c r="E761" s="165"/>
      <c r="F761" s="165"/>
      <c r="G761" s="165"/>
      <c r="H761" s="165"/>
      <c r="I761" s="165"/>
      <c r="J761" s="165"/>
      <c r="K761" s="165"/>
      <c r="L761" s="165"/>
      <c r="M761" s="165"/>
      <c r="N761" s="165"/>
      <c r="O761" s="165"/>
      <c r="P761" s="165"/>
      <c r="Q761" s="73"/>
      <c r="R761" s="23"/>
      <c r="S761" s="23"/>
      <c r="T761" s="73"/>
      <c r="U761" s="73"/>
      <c r="V761" s="73"/>
    </row>
    <row r="762" spans="2:22" x14ac:dyDescent="0.2">
      <c r="B762" s="73" t="s">
        <v>9887</v>
      </c>
      <c r="C762" s="33" t="s">
        <v>800</v>
      </c>
      <c r="D762" s="23" t="s">
        <v>801</v>
      </c>
      <c r="E762" s="73"/>
      <c r="F762" s="73"/>
      <c r="G762" s="73"/>
      <c r="H762" s="73"/>
      <c r="I762" s="73"/>
      <c r="J762" s="33" t="s">
        <v>9374</v>
      </c>
      <c r="K762" s="33" t="s">
        <v>11016</v>
      </c>
      <c r="L762" s="33" t="s">
        <v>121</v>
      </c>
      <c r="M762" s="33" t="s">
        <v>9376</v>
      </c>
      <c r="N762" s="73"/>
      <c r="O762" s="73"/>
      <c r="P762" s="73"/>
      <c r="Q762" s="75"/>
      <c r="R762" s="75"/>
      <c r="S762" s="75"/>
      <c r="T762" s="75"/>
      <c r="U762" s="75"/>
      <c r="V762" s="75"/>
    </row>
    <row r="763" spans="2:22" x14ac:dyDescent="0.2">
      <c r="B763" s="166"/>
      <c r="C763" s="166"/>
      <c r="D763" s="166"/>
      <c r="E763" s="166"/>
      <c r="F763" s="166"/>
      <c r="G763" s="166"/>
      <c r="H763" s="166"/>
      <c r="I763" s="166"/>
      <c r="J763" s="166"/>
      <c r="K763" s="166"/>
      <c r="L763" s="166"/>
      <c r="M763" s="166"/>
      <c r="N763" s="166"/>
      <c r="O763" s="166"/>
      <c r="P763" s="166"/>
      <c r="Q763" s="76"/>
      <c r="R763" s="76"/>
      <c r="S763" s="76"/>
      <c r="T763" s="76"/>
      <c r="U763" s="76"/>
      <c r="V763" s="76"/>
    </row>
    <row r="764" spans="2:22" x14ac:dyDescent="0.2">
      <c r="B764" s="165" t="s">
        <v>9890</v>
      </c>
      <c r="C764" s="165"/>
      <c r="D764" s="165"/>
      <c r="E764" s="165"/>
      <c r="F764" s="165"/>
      <c r="G764" s="165"/>
      <c r="H764" s="165"/>
      <c r="I764" s="165"/>
      <c r="J764" s="165"/>
      <c r="K764" s="165"/>
      <c r="L764" s="165"/>
      <c r="M764" s="165"/>
      <c r="N764" s="165"/>
      <c r="O764" s="165"/>
      <c r="P764" s="165"/>
      <c r="Q764" s="73"/>
      <c r="R764" s="23"/>
      <c r="S764" s="23"/>
      <c r="T764" s="73"/>
      <c r="U764" s="73"/>
      <c r="V764" s="73"/>
    </row>
    <row r="765" spans="2:22" x14ac:dyDescent="0.2">
      <c r="B765" s="73" t="s">
        <v>9890</v>
      </c>
      <c r="C765" s="33" t="s">
        <v>802</v>
      </c>
      <c r="D765" s="23" t="s">
        <v>803</v>
      </c>
      <c r="E765" s="73"/>
      <c r="F765" s="73"/>
      <c r="G765" s="73"/>
      <c r="H765" s="73"/>
      <c r="I765" s="73"/>
      <c r="J765" s="33" t="s">
        <v>9374</v>
      </c>
      <c r="K765" s="33" t="s">
        <v>11016</v>
      </c>
      <c r="L765" s="33" t="s">
        <v>121</v>
      </c>
      <c r="M765" s="33" t="s">
        <v>9376</v>
      </c>
      <c r="N765" s="73"/>
      <c r="O765" s="73"/>
      <c r="P765" s="73"/>
      <c r="Q765" s="73"/>
      <c r="R765" s="23"/>
      <c r="S765" s="23"/>
      <c r="T765" s="73"/>
      <c r="U765" s="73"/>
      <c r="V765" s="73"/>
    </row>
    <row r="766" spans="2:22" x14ac:dyDescent="0.2">
      <c r="B766" s="166"/>
      <c r="C766" s="166"/>
      <c r="D766" s="166"/>
      <c r="E766" s="166"/>
      <c r="F766" s="166"/>
      <c r="G766" s="166"/>
      <c r="H766" s="166"/>
      <c r="I766" s="166"/>
      <c r="J766" s="166"/>
      <c r="K766" s="166"/>
      <c r="L766" s="166"/>
      <c r="M766" s="166"/>
      <c r="N766" s="166"/>
      <c r="O766" s="166"/>
      <c r="P766" s="166"/>
      <c r="Q766" s="73"/>
      <c r="R766" s="23"/>
      <c r="S766" s="23"/>
      <c r="T766" s="73"/>
      <c r="U766" s="73"/>
      <c r="V766" s="73"/>
    </row>
    <row r="767" spans="2:22" x14ac:dyDescent="0.2">
      <c r="B767" s="165" t="s">
        <v>9892</v>
      </c>
      <c r="C767" s="165"/>
      <c r="D767" s="165"/>
      <c r="E767" s="165"/>
      <c r="F767" s="165"/>
      <c r="G767" s="165"/>
      <c r="H767" s="165"/>
      <c r="I767" s="165"/>
      <c r="J767" s="165"/>
      <c r="K767" s="165"/>
      <c r="L767" s="165"/>
      <c r="M767" s="165"/>
      <c r="N767" s="165"/>
      <c r="O767" s="165"/>
      <c r="P767" s="165"/>
      <c r="Q767" s="73"/>
      <c r="R767" s="23"/>
      <c r="S767" s="23"/>
      <c r="T767" s="73"/>
      <c r="U767" s="73"/>
      <c r="V767" s="73"/>
    </row>
    <row r="768" spans="2:22" x14ac:dyDescent="0.2">
      <c r="B768" s="73" t="s">
        <v>9892</v>
      </c>
      <c r="C768" s="33" t="s">
        <v>804</v>
      </c>
      <c r="D768" s="23" t="s">
        <v>805</v>
      </c>
      <c r="E768" s="73"/>
      <c r="F768" s="73"/>
      <c r="G768" s="73"/>
      <c r="H768" s="73"/>
      <c r="I768" s="73"/>
      <c r="J768" s="33" t="s">
        <v>9374</v>
      </c>
      <c r="K768" s="33" t="s">
        <v>11016</v>
      </c>
      <c r="L768" s="33" t="s">
        <v>121</v>
      </c>
      <c r="M768" s="33" t="s">
        <v>9376</v>
      </c>
      <c r="N768" s="73"/>
      <c r="O768" s="73"/>
      <c r="P768" s="73"/>
      <c r="Q768" s="75"/>
      <c r="R768" s="75"/>
      <c r="S768" s="75"/>
      <c r="T768" s="75"/>
      <c r="U768" s="75"/>
      <c r="V768" s="75"/>
    </row>
    <row r="769" spans="2:22" x14ac:dyDescent="0.2">
      <c r="B769" s="166"/>
      <c r="C769" s="166"/>
      <c r="D769" s="166"/>
      <c r="E769" s="166"/>
      <c r="F769" s="166"/>
      <c r="G769" s="166"/>
      <c r="H769" s="166"/>
      <c r="I769" s="166"/>
      <c r="J769" s="166"/>
      <c r="K769" s="166"/>
      <c r="L769" s="166"/>
      <c r="M769" s="166"/>
      <c r="N769" s="166"/>
      <c r="O769" s="166"/>
      <c r="P769" s="166"/>
      <c r="Q769" s="76"/>
      <c r="R769" s="76"/>
      <c r="S769" s="76"/>
      <c r="T769" s="76"/>
      <c r="U769" s="76"/>
      <c r="V769" s="76"/>
    </row>
    <row r="770" spans="2:22" x14ac:dyDescent="0.2">
      <c r="B770" s="165" t="s">
        <v>9895</v>
      </c>
      <c r="C770" s="165"/>
      <c r="D770" s="165"/>
      <c r="E770" s="165"/>
      <c r="F770" s="165"/>
      <c r="G770" s="165"/>
      <c r="H770" s="165"/>
      <c r="I770" s="165"/>
      <c r="J770" s="165"/>
      <c r="K770" s="165"/>
      <c r="L770" s="165"/>
      <c r="M770" s="165"/>
      <c r="N770" s="165"/>
      <c r="O770" s="165"/>
      <c r="P770" s="165"/>
      <c r="Q770" s="73"/>
      <c r="R770" s="23"/>
      <c r="S770" s="23"/>
      <c r="T770" s="73"/>
      <c r="U770" s="73"/>
      <c r="V770" s="73"/>
    </row>
    <row r="771" spans="2:22" x14ac:dyDescent="0.2">
      <c r="B771" s="73" t="s">
        <v>9895</v>
      </c>
      <c r="C771" s="33" t="s">
        <v>806</v>
      </c>
      <c r="D771" s="23" t="s">
        <v>807</v>
      </c>
      <c r="E771" s="73"/>
      <c r="F771" s="73"/>
      <c r="G771" s="73"/>
      <c r="H771" s="73"/>
      <c r="I771" s="73"/>
      <c r="J771" s="33" t="s">
        <v>9374</v>
      </c>
      <c r="K771" s="33" t="s">
        <v>11016</v>
      </c>
      <c r="L771" s="33" t="s">
        <v>121</v>
      </c>
      <c r="M771" s="33" t="s">
        <v>9376</v>
      </c>
      <c r="N771" s="73"/>
      <c r="O771" s="73"/>
      <c r="P771" s="73"/>
      <c r="Q771" s="73"/>
      <c r="R771" s="23"/>
      <c r="S771" s="23"/>
      <c r="T771" s="73"/>
      <c r="U771" s="73"/>
      <c r="V771" s="73"/>
    </row>
    <row r="772" spans="2:22" x14ac:dyDescent="0.2">
      <c r="B772" s="166"/>
      <c r="C772" s="166"/>
      <c r="D772" s="166"/>
      <c r="E772" s="166"/>
      <c r="F772" s="166"/>
      <c r="G772" s="166"/>
      <c r="H772" s="166"/>
      <c r="I772" s="166"/>
      <c r="J772" s="166"/>
      <c r="K772" s="166"/>
      <c r="L772" s="166"/>
      <c r="M772" s="166"/>
      <c r="N772" s="166"/>
      <c r="O772" s="166"/>
      <c r="P772" s="166"/>
      <c r="Q772" s="75"/>
      <c r="R772" s="75"/>
      <c r="S772" s="75"/>
      <c r="T772" s="75"/>
      <c r="U772" s="75"/>
      <c r="V772" s="75"/>
    </row>
    <row r="773" spans="2:22" x14ac:dyDescent="0.2">
      <c r="B773" s="165" t="s">
        <v>9898</v>
      </c>
      <c r="C773" s="165"/>
      <c r="D773" s="165"/>
      <c r="E773" s="165"/>
      <c r="F773" s="165"/>
      <c r="G773" s="165"/>
      <c r="H773" s="165"/>
      <c r="I773" s="165"/>
      <c r="J773" s="165"/>
      <c r="K773" s="165"/>
      <c r="L773" s="165"/>
      <c r="M773" s="165"/>
      <c r="N773" s="165"/>
      <c r="O773" s="165"/>
      <c r="P773" s="165"/>
      <c r="Q773" s="76"/>
      <c r="R773" s="76"/>
      <c r="S773" s="76"/>
      <c r="T773" s="76"/>
      <c r="U773" s="76"/>
      <c r="V773" s="76"/>
    </row>
    <row r="774" spans="2:22" x14ac:dyDescent="0.2">
      <c r="B774" s="73" t="s">
        <v>9898</v>
      </c>
      <c r="C774" s="33" t="s">
        <v>808</v>
      </c>
      <c r="D774" s="23" t="s">
        <v>809</v>
      </c>
      <c r="E774" s="73"/>
      <c r="F774" s="73"/>
      <c r="G774" s="73"/>
      <c r="H774" s="73"/>
      <c r="I774" s="73"/>
      <c r="J774" s="33" t="s">
        <v>9374</v>
      </c>
      <c r="K774" s="33" t="s">
        <v>11016</v>
      </c>
      <c r="L774" s="33" t="s">
        <v>121</v>
      </c>
      <c r="M774" s="33" t="s">
        <v>9376</v>
      </c>
      <c r="N774" s="73"/>
      <c r="O774" s="73"/>
      <c r="P774" s="73"/>
      <c r="Q774" s="73"/>
      <c r="R774" s="23"/>
      <c r="S774" s="23"/>
      <c r="T774" s="73"/>
      <c r="U774" s="73"/>
      <c r="V774" s="73"/>
    </row>
    <row r="775" spans="2:22" x14ac:dyDescent="0.2">
      <c r="B775" s="166"/>
      <c r="C775" s="166"/>
      <c r="D775" s="166"/>
      <c r="E775" s="166"/>
      <c r="F775" s="166"/>
      <c r="G775" s="166"/>
      <c r="H775" s="166"/>
      <c r="I775" s="166"/>
      <c r="J775" s="166"/>
      <c r="K775" s="166"/>
      <c r="L775" s="166"/>
      <c r="M775" s="166"/>
      <c r="N775" s="166"/>
      <c r="O775" s="166"/>
      <c r="P775" s="166"/>
      <c r="Q775" s="75"/>
      <c r="R775" s="75"/>
      <c r="S775" s="75"/>
      <c r="T775" s="75"/>
      <c r="U775" s="75"/>
      <c r="V775" s="75"/>
    </row>
    <row r="776" spans="2:22" x14ac:dyDescent="0.2">
      <c r="B776" s="165" t="s">
        <v>9901</v>
      </c>
      <c r="C776" s="165"/>
      <c r="D776" s="165"/>
      <c r="E776" s="165"/>
      <c r="F776" s="165"/>
      <c r="G776" s="165"/>
      <c r="H776" s="165"/>
      <c r="I776" s="165"/>
      <c r="J776" s="165"/>
      <c r="K776" s="165"/>
      <c r="L776" s="165"/>
      <c r="M776" s="165"/>
      <c r="N776" s="165"/>
      <c r="O776" s="165"/>
      <c r="P776" s="165"/>
      <c r="Q776" s="76"/>
      <c r="R776" s="76"/>
      <c r="S776" s="76"/>
      <c r="T776" s="76"/>
      <c r="U776" s="76"/>
      <c r="V776" s="76"/>
    </row>
    <row r="777" spans="2:22" x14ac:dyDescent="0.2">
      <c r="B777" s="73" t="s">
        <v>9901</v>
      </c>
      <c r="C777" s="33" t="s">
        <v>810</v>
      </c>
      <c r="D777" s="23" t="s">
        <v>811</v>
      </c>
      <c r="E777" s="73"/>
      <c r="F777" s="73"/>
      <c r="G777" s="73"/>
      <c r="H777" s="73"/>
      <c r="I777" s="73"/>
      <c r="J777" s="33" t="s">
        <v>9374</v>
      </c>
      <c r="K777" s="33" t="s">
        <v>11016</v>
      </c>
      <c r="L777" s="33" t="s">
        <v>121</v>
      </c>
      <c r="M777" s="33" t="s">
        <v>9376</v>
      </c>
      <c r="N777" s="73"/>
      <c r="O777" s="73"/>
      <c r="P777" s="73"/>
      <c r="Q777" s="73"/>
      <c r="R777" s="23"/>
      <c r="S777" s="23"/>
      <c r="T777" s="73"/>
      <c r="U777" s="73"/>
      <c r="V777" s="73"/>
    </row>
    <row r="778" spans="2:22" x14ac:dyDescent="0.2">
      <c r="B778" s="166"/>
      <c r="C778" s="166"/>
      <c r="D778" s="166"/>
      <c r="E778" s="166"/>
      <c r="F778" s="166"/>
      <c r="G778" s="166"/>
      <c r="H778" s="166"/>
      <c r="I778" s="166"/>
      <c r="J778" s="166"/>
      <c r="K778" s="166"/>
      <c r="L778" s="166"/>
      <c r="M778" s="166"/>
      <c r="N778" s="166"/>
      <c r="O778" s="166"/>
      <c r="P778" s="166"/>
      <c r="Q778" s="73"/>
      <c r="R778" s="23"/>
      <c r="S778" s="23"/>
      <c r="T778" s="73"/>
      <c r="U778" s="73"/>
      <c r="V778" s="73"/>
    </row>
    <row r="779" spans="2:22" x14ac:dyDescent="0.2">
      <c r="B779" s="165" t="s">
        <v>9904</v>
      </c>
      <c r="C779" s="165"/>
      <c r="D779" s="165"/>
      <c r="E779" s="165"/>
      <c r="F779" s="165"/>
      <c r="G779" s="165"/>
      <c r="H779" s="165"/>
      <c r="I779" s="165"/>
      <c r="J779" s="165"/>
      <c r="K779" s="165"/>
      <c r="L779" s="165"/>
      <c r="M779" s="165"/>
      <c r="N779" s="165"/>
      <c r="O779" s="165"/>
      <c r="P779" s="165"/>
      <c r="Q779" s="75"/>
      <c r="R779" s="75"/>
      <c r="S779" s="75"/>
      <c r="T779" s="75"/>
      <c r="U779" s="75"/>
      <c r="V779" s="75"/>
    </row>
    <row r="780" spans="2:22" x14ac:dyDescent="0.2">
      <c r="B780" s="73" t="s">
        <v>9904</v>
      </c>
      <c r="C780" s="33" t="s">
        <v>812</v>
      </c>
      <c r="D780" s="23" t="s">
        <v>813</v>
      </c>
      <c r="E780" s="73"/>
      <c r="F780" s="73"/>
      <c r="G780" s="73"/>
      <c r="H780" s="73"/>
      <c r="I780" s="73"/>
      <c r="J780" s="33" t="s">
        <v>9374</v>
      </c>
      <c r="K780" s="33" t="s">
        <v>11016</v>
      </c>
      <c r="L780" s="33" t="s">
        <v>121</v>
      </c>
      <c r="M780" s="33" t="s">
        <v>9376</v>
      </c>
      <c r="N780" s="73"/>
      <c r="O780" s="73"/>
      <c r="P780" s="73"/>
      <c r="Q780" s="76"/>
      <c r="R780" s="76"/>
      <c r="S780" s="76"/>
      <c r="T780" s="76"/>
      <c r="U780" s="76"/>
      <c r="V780" s="76"/>
    </row>
    <row r="781" spans="2:22" x14ac:dyDescent="0.2">
      <c r="B781" s="166"/>
      <c r="C781" s="166"/>
      <c r="D781" s="166"/>
      <c r="E781" s="166"/>
      <c r="F781" s="166"/>
      <c r="G781" s="166"/>
      <c r="H781" s="166"/>
      <c r="I781" s="166"/>
      <c r="J781" s="166"/>
      <c r="K781" s="166"/>
      <c r="L781" s="166"/>
      <c r="M781" s="166"/>
      <c r="N781" s="166"/>
      <c r="O781" s="166"/>
      <c r="P781" s="166"/>
      <c r="Q781" s="73"/>
      <c r="R781" s="23"/>
      <c r="S781" s="23"/>
      <c r="T781" s="73"/>
      <c r="U781" s="73"/>
      <c r="V781" s="73"/>
    </row>
    <row r="782" spans="2:22" x14ac:dyDescent="0.2">
      <c r="B782" s="165" t="s">
        <v>9906</v>
      </c>
      <c r="C782" s="165"/>
      <c r="D782" s="165"/>
      <c r="E782" s="165"/>
      <c r="F782" s="165"/>
      <c r="G782" s="165"/>
      <c r="H782" s="165"/>
      <c r="I782" s="165"/>
      <c r="J782" s="165"/>
      <c r="K782" s="165"/>
      <c r="L782" s="165"/>
      <c r="M782" s="165"/>
      <c r="N782" s="165"/>
      <c r="O782" s="165"/>
      <c r="P782" s="165"/>
      <c r="Q782" s="73"/>
      <c r="R782" s="23"/>
      <c r="S782" s="23"/>
      <c r="T782" s="73"/>
      <c r="U782" s="73"/>
      <c r="V782" s="73"/>
    </row>
    <row r="783" spans="2:22" x14ac:dyDescent="0.2">
      <c r="B783" s="73" t="s">
        <v>9906</v>
      </c>
      <c r="C783" s="33" t="s">
        <v>814</v>
      </c>
      <c r="D783" s="23" t="s">
        <v>815</v>
      </c>
      <c r="E783" s="73"/>
      <c r="F783" s="73"/>
      <c r="G783" s="73"/>
      <c r="H783" s="73"/>
      <c r="I783" s="73"/>
      <c r="J783" s="33" t="s">
        <v>9374</v>
      </c>
      <c r="K783" s="33" t="s">
        <v>11016</v>
      </c>
      <c r="L783" s="33" t="s">
        <v>121</v>
      </c>
      <c r="M783" s="33" t="s">
        <v>9376</v>
      </c>
      <c r="N783" s="73"/>
      <c r="O783" s="73"/>
      <c r="P783" s="73"/>
      <c r="Q783" s="75"/>
      <c r="R783" s="75"/>
      <c r="S783" s="75"/>
      <c r="T783" s="75"/>
      <c r="U783" s="75"/>
      <c r="V783" s="75"/>
    </row>
    <row r="784" spans="2:22" x14ac:dyDescent="0.2">
      <c r="B784" s="166"/>
      <c r="C784" s="166"/>
      <c r="D784" s="166"/>
      <c r="E784" s="166"/>
      <c r="F784" s="166"/>
      <c r="G784" s="166"/>
      <c r="H784" s="166"/>
      <c r="I784" s="166"/>
      <c r="J784" s="166"/>
      <c r="K784" s="166"/>
      <c r="L784" s="166"/>
      <c r="M784" s="166"/>
      <c r="N784" s="166"/>
      <c r="O784" s="166"/>
      <c r="P784" s="166"/>
      <c r="Q784" s="76"/>
      <c r="R784" s="76"/>
      <c r="S784" s="76"/>
      <c r="T784" s="76"/>
      <c r="U784" s="76"/>
      <c r="V784" s="76"/>
    </row>
    <row r="785" spans="2:22" x14ac:dyDescent="0.2">
      <c r="B785" s="165" t="s">
        <v>9909</v>
      </c>
      <c r="C785" s="165"/>
      <c r="D785" s="165"/>
      <c r="E785" s="165"/>
      <c r="F785" s="165"/>
      <c r="G785" s="165"/>
      <c r="H785" s="165"/>
      <c r="I785" s="165"/>
      <c r="J785" s="165"/>
      <c r="K785" s="165"/>
      <c r="L785" s="165"/>
      <c r="M785" s="165"/>
      <c r="N785" s="165"/>
      <c r="O785" s="165"/>
      <c r="P785" s="165"/>
      <c r="Q785" s="73"/>
      <c r="R785" s="23"/>
      <c r="S785" s="23"/>
      <c r="T785" s="73"/>
      <c r="U785" s="73"/>
      <c r="V785" s="73"/>
    </row>
    <row r="786" spans="2:22" x14ac:dyDescent="0.2">
      <c r="B786" s="73" t="s">
        <v>9909</v>
      </c>
      <c r="C786" s="33" t="s">
        <v>816</v>
      </c>
      <c r="D786" s="23" t="s">
        <v>817</v>
      </c>
      <c r="E786" s="73"/>
      <c r="F786" s="73"/>
      <c r="G786" s="73"/>
      <c r="H786" s="73"/>
      <c r="I786" s="73"/>
      <c r="J786" s="33" t="s">
        <v>9374</v>
      </c>
      <c r="K786" s="33" t="s">
        <v>11016</v>
      </c>
      <c r="L786" s="33" t="s">
        <v>121</v>
      </c>
      <c r="M786" s="33" t="s">
        <v>9376</v>
      </c>
      <c r="N786" s="73"/>
      <c r="O786" s="73"/>
      <c r="P786" s="73"/>
      <c r="Q786" s="73"/>
      <c r="R786" s="23"/>
      <c r="S786" s="23"/>
      <c r="T786" s="73"/>
      <c r="U786" s="73"/>
      <c r="V786" s="73"/>
    </row>
    <row r="787" spans="2:22" x14ac:dyDescent="0.2">
      <c r="B787" s="166"/>
      <c r="C787" s="166"/>
      <c r="D787" s="166"/>
      <c r="E787" s="166"/>
      <c r="F787" s="166"/>
      <c r="G787" s="166"/>
      <c r="H787" s="166"/>
      <c r="I787" s="166"/>
      <c r="J787" s="166"/>
      <c r="K787" s="166"/>
      <c r="L787" s="166"/>
      <c r="M787" s="166"/>
      <c r="N787" s="166"/>
      <c r="O787" s="166"/>
      <c r="P787" s="166"/>
      <c r="Q787" s="73"/>
      <c r="R787" s="23"/>
      <c r="S787" s="23"/>
      <c r="T787" s="73"/>
      <c r="U787" s="73"/>
      <c r="V787" s="73"/>
    </row>
    <row r="788" spans="2:22" x14ac:dyDescent="0.2">
      <c r="B788" s="165" t="s">
        <v>9911</v>
      </c>
      <c r="C788" s="165"/>
      <c r="D788" s="165"/>
      <c r="E788" s="165"/>
      <c r="F788" s="165"/>
      <c r="G788" s="165"/>
      <c r="H788" s="165"/>
      <c r="I788" s="165"/>
      <c r="J788" s="165"/>
      <c r="K788" s="165"/>
      <c r="L788" s="165"/>
      <c r="M788" s="165"/>
      <c r="N788" s="165"/>
      <c r="O788" s="165"/>
      <c r="P788" s="165"/>
      <c r="Q788" s="73"/>
      <c r="R788" s="23"/>
      <c r="S788" s="23"/>
      <c r="T788" s="73"/>
      <c r="U788" s="73"/>
      <c r="V788" s="73"/>
    </row>
    <row r="789" spans="2:22" x14ac:dyDescent="0.2">
      <c r="B789" s="73" t="s">
        <v>9911</v>
      </c>
      <c r="C789" s="33" t="s">
        <v>818</v>
      </c>
      <c r="D789" s="23" t="s">
        <v>819</v>
      </c>
      <c r="E789" s="73"/>
      <c r="F789" s="73"/>
      <c r="G789" s="73"/>
      <c r="H789" s="73"/>
      <c r="I789" s="73"/>
      <c r="J789" s="33" t="s">
        <v>9374</v>
      </c>
      <c r="K789" s="33" t="s">
        <v>11016</v>
      </c>
      <c r="L789" s="33" t="s">
        <v>121</v>
      </c>
      <c r="M789" s="33" t="s">
        <v>9376</v>
      </c>
      <c r="N789" s="73"/>
      <c r="O789" s="73"/>
      <c r="P789" s="73"/>
      <c r="Q789" s="73"/>
      <c r="R789" s="23"/>
      <c r="S789" s="23"/>
      <c r="T789" s="73"/>
      <c r="U789" s="73"/>
      <c r="V789" s="73"/>
    </row>
    <row r="790" spans="2:22" x14ac:dyDescent="0.2">
      <c r="B790" s="166"/>
      <c r="C790" s="166"/>
      <c r="D790" s="166"/>
      <c r="E790" s="166"/>
      <c r="F790" s="166"/>
      <c r="G790" s="166"/>
      <c r="H790" s="166"/>
      <c r="I790" s="166"/>
      <c r="J790" s="166"/>
      <c r="K790" s="166"/>
      <c r="L790" s="166"/>
      <c r="M790" s="166"/>
      <c r="N790" s="166"/>
      <c r="O790" s="166"/>
      <c r="P790" s="166"/>
      <c r="Q790" s="73" t="s">
        <v>11095</v>
      </c>
      <c r="R790" s="23"/>
      <c r="S790" s="23"/>
      <c r="T790" s="73"/>
      <c r="U790" s="73"/>
      <c r="V790" s="73"/>
    </row>
    <row r="791" spans="2:22" x14ac:dyDescent="0.2">
      <c r="B791" s="165" t="s">
        <v>9913</v>
      </c>
      <c r="C791" s="165"/>
      <c r="D791" s="165"/>
      <c r="E791" s="165"/>
      <c r="F791" s="165"/>
      <c r="G791" s="165"/>
      <c r="H791" s="165"/>
      <c r="I791" s="165"/>
      <c r="J791" s="165"/>
      <c r="K791" s="165"/>
      <c r="L791" s="165"/>
      <c r="M791" s="165"/>
      <c r="N791" s="165"/>
      <c r="O791" s="165"/>
      <c r="P791" s="165"/>
      <c r="Q791" s="73" t="s">
        <v>11095</v>
      </c>
      <c r="R791" s="23"/>
      <c r="S791" s="23"/>
      <c r="T791" s="73"/>
      <c r="U791" s="73"/>
      <c r="V791" s="73"/>
    </row>
    <row r="792" spans="2:22" x14ac:dyDescent="0.2">
      <c r="B792" s="73" t="s">
        <v>9913</v>
      </c>
      <c r="C792" s="33" t="s">
        <v>820</v>
      </c>
      <c r="D792" s="23" t="s">
        <v>821</v>
      </c>
      <c r="E792" s="73"/>
      <c r="F792" s="73"/>
      <c r="G792" s="73"/>
      <c r="H792" s="73"/>
      <c r="I792" s="73"/>
      <c r="J792" s="33" t="s">
        <v>9374</v>
      </c>
      <c r="K792" s="33" t="s">
        <v>9375</v>
      </c>
      <c r="L792" s="33" t="s">
        <v>121</v>
      </c>
      <c r="M792" s="33" t="s">
        <v>9376</v>
      </c>
      <c r="N792" s="73"/>
      <c r="O792" s="73"/>
      <c r="P792" s="73"/>
      <c r="Q792" s="75"/>
      <c r="R792" s="75"/>
      <c r="S792" s="75"/>
      <c r="T792" s="75"/>
      <c r="U792" s="75"/>
      <c r="V792" s="75"/>
    </row>
    <row r="793" spans="2:22" ht="193.8" x14ac:dyDescent="0.2">
      <c r="B793" s="73" t="s">
        <v>9913</v>
      </c>
      <c r="C793" s="33" t="s">
        <v>1602</v>
      </c>
      <c r="D793" s="23" t="s">
        <v>1603</v>
      </c>
      <c r="E793" s="73"/>
      <c r="F793" s="73"/>
      <c r="G793" s="73"/>
      <c r="H793" s="73"/>
      <c r="I793" s="73" t="s">
        <v>11096</v>
      </c>
      <c r="J793" s="33" t="s">
        <v>9374</v>
      </c>
      <c r="K793" s="33" t="s">
        <v>9375</v>
      </c>
      <c r="L793" s="33" t="s">
        <v>121</v>
      </c>
      <c r="M793" s="33" t="s">
        <v>9376</v>
      </c>
      <c r="N793" s="73"/>
      <c r="O793" s="73"/>
      <c r="P793" s="73"/>
      <c r="Q793" s="76"/>
      <c r="R793" s="76"/>
      <c r="S793" s="76"/>
      <c r="T793" s="76"/>
      <c r="U793" s="76"/>
      <c r="V793" s="76"/>
    </row>
    <row r="794" spans="2:22" x14ac:dyDescent="0.2">
      <c r="B794" s="166"/>
      <c r="C794" s="166"/>
      <c r="D794" s="166"/>
      <c r="E794" s="166"/>
      <c r="F794" s="166"/>
      <c r="G794" s="166"/>
      <c r="H794" s="166"/>
      <c r="I794" s="166"/>
      <c r="J794" s="166"/>
      <c r="K794" s="166"/>
      <c r="L794" s="166"/>
      <c r="M794" s="166"/>
      <c r="N794" s="166"/>
      <c r="O794" s="166"/>
      <c r="P794" s="166"/>
      <c r="Q794" s="73"/>
      <c r="R794" s="23"/>
      <c r="S794" s="23"/>
      <c r="T794" s="73"/>
      <c r="U794" s="73"/>
      <c r="V794" s="73"/>
    </row>
    <row r="795" spans="2:22" x14ac:dyDescent="0.2">
      <c r="B795" s="165" t="s">
        <v>9916</v>
      </c>
      <c r="C795" s="165"/>
      <c r="D795" s="165"/>
      <c r="E795" s="165"/>
      <c r="F795" s="165"/>
      <c r="G795" s="165"/>
      <c r="H795" s="165"/>
      <c r="I795" s="165"/>
      <c r="J795" s="165"/>
      <c r="K795" s="165"/>
      <c r="L795" s="165"/>
      <c r="M795" s="165"/>
      <c r="N795" s="165"/>
      <c r="O795" s="165"/>
      <c r="P795" s="165"/>
      <c r="Q795" s="73"/>
      <c r="R795" s="23"/>
      <c r="S795" s="23"/>
      <c r="T795" s="73"/>
      <c r="U795" s="73"/>
      <c r="V795" s="73"/>
    </row>
    <row r="796" spans="2:22" x14ac:dyDescent="0.2">
      <c r="B796" s="73" t="s">
        <v>9916</v>
      </c>
      <c r="C796" s="33" t="s">
        <v>822</v>
      </c>
      <c r="D796" s="23" t="s">
        <v>823</v>
      </c>
      <c r="E796" s="73"/>
      <c r="F796" s="73"/>
      <c r="G796" s="73"/>
      <c r="H796" s="73"/>
      <c r="I796" s="73"/>
      <c r="J796" s="33" t="s">
        <v>9374</v>
      </c>
      <c r="K796" s="33" t="s">
        <v>11016</v>
      </c>
      <c r="L796" s="33" t="s">
        <v>121</v>
      </c>
      <c r="M796" s="33" t="s">
        <v>9376</v>
      </c>
      <c r="N796" s="73"/>
      <c r="O796" s="73"/>
      <c r="P796" s="73"/>
      <c r="Q796" s="73"/>
      <c r="R796" s="23"/>
      <c r="S796" s="23"/>
      <c r="T796" s="73"/>
      <c r="U796" s="73"/>
      <c r="V796" s="73"/>
    </row>
    <row r="797" spans="2:22" x14ac:dyDescent="0.2">
      <c r="B797" s="166"/>
      <c r="C797" s="166"/>
      <c r="D797" s="166"/>
      <c r="E797" s="166"/>
      <c r="F797" s="166"/>
      <c r="G797" s="166"/>
      <c r="H797" s="166"/>
      <c r="I797" s="166"/>
      <c r="J797" s="166"/>
      <c r="K797" s="166"/>
      <c r="L797" s="166"/>
      <c r="M797" s="166"/>
      <c r="N797" s="166"/>
      <c r="O797" s="166"/>
      <c r="P797" s="166"/>
      <c r="Q797" s="75"/>
      <c r="R797" s="75"/>
      <c r="S797" s="75"/>
      <c r="T797" s="75"/>
      <c r="U797" s="75"/>
      <c r="V797" s="75"/>
    </row>
    <row r="798" spans="2:22" x14ac:dyDescent="0.2">
      <c r="B798" s="165" t="s">
        <v>9918</v>
      </c>
      <c r="C798" s="165"/>
      <c r="D798" s="165"/>
      <c r="E798" s="165"/>
      <c r="F798" s="165"/>
      <c r="G798" s="165"/>
      <c r="H798" s="165"/>
      <c r="I798" s="165"/>
      <c r="J798" s="165"/>
      <c r="K798" s="165"/>
      <c r="L798" s="165"/>
      <c r="M798" s="165"/>
      <c r="N798" s="165"/>
      <c r="O798" s="165"/>
      <c r="P798" s="165"/>
      <c r="Q798" s="76"/>
      <c r="R798" s="76"/>
      <c r="S798" s="76"/>
      <c r="T798" s="76"/>
      <c r="U798" s="76"/>
      <c r="V798" s="76"/>
    </row>
    <row r="799" spans="2:22" x14ac:dyDescent="0.2">
      <c r="B799" s="73" t="s">
        <v>9918</v>
      </c>
      <c r="C799" s="33" t="s">
        <v>824</v>
      </c>
      <c r="D799" s="23" t="s">
        <v>825</v>
      </c>
      <c r="E799" s="73"/>
      <c r="F799" s="73"/>
      <c r="G799" s="73"/>
      <c r="H799" s="73"/>
      <c r="I799" s="73"/>
      <c r="J799" s="33" t="s">
        <v>9374</v>
      </c>
      <c r="K799" s="33" t="s">
        <v>11016</v>
      </c>
      <c r="L799" s="33" t="s">
        <v>121</v>
      </c>
      <c r="M799" s="33" t="s">
        <v>9376</v>
      </c>
      <c r="N799" s="73"/>
      <c r="O799" s="73"/>
      <c r="P799" s="73"/>
      <c r="Q799" s="73"/>
      <c r="R799" s="23"/>
      <c r="S799" s="23"/>
      <c r="T799" s="73"/>
      <c r="U799" s="73"/>
      <c r="V799" s="73"/>
    </row>
    <row r="800" spans="2:22" x14ac:dyDescent="0.2">
      <c r="B800" s="166"/>
      <c r="C800" s="166"/>
      <c r="D800" s="166"/>
      <c r="E800" s="166"/>
      <c r="F800" s="166"/>
      <c r="G800" s="166"/>
      <c r="H800" s="166"/>
      <c r="I800" s="166"/>
      <c r="J800" s="166"/>
      <c r="K800" s="166"/>
      <c r="L800" s="166"/>
      <c r="M800" s="166"/>
      <c r="N800" s="166"/>
      <c r="O800" s="166"/>
      <c r="P800" s="166"/>
      <c r="Q800" s="73"/>
      <c r="R800" s="23"/>
      <c r="S800" s="23"/>
      <c r="T800" s="73"/>
      <c r="U800" s="73"/>
      <c r="V800" s="73"/>
    </row>
    <row r="801" spans="2:22" x14ac:dyDescent="0.2">
      <c r="B801" s="165" t="s">
        <v>9921</v>
      </c>
      <c r="C801" s="165"/>
      <c r="D801" s="165"/>
      <c r="E801" s="165"/>
      <c r="F801" s="165"/>
      <c r="G801" s="165"/>
      <c r="H801" s="165"/>
      <c r="I801" s="165"/>
      <c r="J801" s="165"/>
      <c r="K801" s="165"/>
      <c r="L801" s="165"/>
      <c r="M801" s="165"/>
      <c r="N801" s="165"/>
      <c r="O801" s="165"/>
      <c r="P801" s="165"/>
      <c r="Q801" s="73"/>
      <c r="R801" s="23"/>
      <c r="S801" s="23"/>
      <c r="T801" s="73"/>
      <c r="U801" s="73"/>
      <c r="V801" s="73"/>
    </row>
    <row r="802" spans="2:22" x14ac:dyDescent="0.2">
      <c r="B802" s="73" t="s">
        <v>9921</v>
      </c>
      <c r="C802" s="33" t="s">
        <v>826</v>
      </c>
      <c r="D802" s="23" t="s">
        <v>827</v>
      </c>
      <c r="E802" s="73"/>
      <c r="F802" s="73"/>
      <c r="G802" s="73"/>
      <c r="H802" s="73"/>
      <c r="I802" s="73"/>
      <c r="J802" s="33" t="s">
        <v>9374</v>
      </c>
      <c r="K802" s="33" t="s">
        <v>11016</v>
      </c>
      <c r="L802" s="33" t="s">
        <v>121</v>
      </c>
      <c r="M802" s="33" t="s">
        <v>9376</v>
      </c>
      <c r="N802" s="73"/>
      <c r="O802" s="73"/>
      <c r="P802" s="73"/>
      <c r="Q802" s="75"/>
      <c r="R802" s="75"/>
      <c r="S802" s="75"/>
      <c r="T802" s="75"/>
      <c r="U802" s="75"/>
      <c r="V802" s="75"/>
    </row>
    <row r="803" spans="2:22" x14ac:dyDescent="0.2">
      <c r="B803" s="166"/>
      <c r="C803" s="166"/>
      <c r="D803" s="166"/>
      <c r="E803" s="166"/>
      <c r="F803" s="166"/>
      <c r="G803" s="166"/>
      <c r="H803" s="166"/>
      <c r="I803" s="166"/>
      <c r="J803" s="166"/>
      <c r="K803" s="166"/>
      <c r="L803" s="166"/>
      <c r="M803" s="166"/>
      <c r="N803" s="166"/>
      <c r="O803" s="166"/>
      <c r="P803" s="166"/>
      <c r="Q803" s="76"/>
      <c r="R803" s="76"/>
      <c r="S803" s="76"/>
      <c r="T803" s="76"/>
      <c r="U803" s="76"/>
      <c r="V803" s="76"/>
    </row>
    <row r="804" spans="2:22" x14ac:dyDescent="0.2">
      <c r="B804" s="165" t="s">
        <v>9923</v>
      </c>
      <c r="C804" s="165"/>
      <c r="D804" s="165"/>
      <c r="E804" s="165"/>
      <c r="F804" s="165"/>
      <c r="G804" s="165"/>
      <c r="H804" s="165"/>
      <c r="I804" s="165"/>
      <c r="J804" s="165"/>
      <c r="K804" s="165"/>
      <c r="L804" s="165"/>
      <c r="M804" s="165"/>
      <c r="N804" s="165"/>
      <c r="O804" s="165"/>
      <c r="P804" s="165"/>
      <c r="Q804" s="73"/>
      <c r="R804" s="23"/>
      <c r="S804" s="23"/>
      <c r="T804" s="73"/>
      <c r="U804" s="73"/>
      <c r="V804" s="73"/>
    </row>
    <row r="805" spans="2:22" x14ac:dyDescent="0.2">
      <c r="B805" s="73" t="s">
        <v>9923</v>
      </c>
      <c r="C805" s="33" t="s">
        <v>828</v>
      </c>
      <c r="D805" s="23" t="s">
        <v>829</v>
      </c>
      <c r="E805" s="73"/>
      <c r="F805" s="73"/>
      <c r="G805" s="73"/>
      <c r="H805" s="73"/>
      <c r="I805" s="73"/>
      <c r="J805" s="33" t="s">
        <v>9374</v>
      </c>
      <c r="K805" s="33" t="s">
        <v>11016</v>
      </c>
      <c r="L805" s="33" t="s">
        <v>121</v>
      </c>
      <c r="M805" s="33" t="s">
        <v>9376</v>
      </c>
      <c r="N805" s="73"/>
      <c r="O805" s="73"/>
      <c r="P805" s="73"/>
      <c r="Q805" s="73"/>
      <c r="R805" s="23"/>
      <c r="S805" s="23"/>
      <c r="T805" s="73"/>
      <c r="U805" s="73"/>
      <c r="V805" s="73"/>
    </row>
    <row r="806" spans="2:22" x14ac:dyDescent="0.2">
      <c r="B806" s="166"/>
      <c r="C806" s="166"/>
      <c r="D806" s="166"/>
      <c r="E806" s="166"/>
      <c r="F806" s="166"/>
      <c r="G806" s="166"/>
      <c r="H806" s="166"/>
      <c r="I806" s="166"/>
      <c r="J806" s="166"/>
      <c r="K806" s="166"/>
      <c r="L806" s="166"/>
      <c r="M806" s="166"/>
      <c r="N806" s="166"/>
      <c r="O806" s="166"/>
      <c r="P806" s="166"/>
      <c r="Q806" s="75"/>
      <c r="R806" s="75"/>
      <c r="S806" s="75"/>
      <c r="T806" s="75"/>
      <c r="U806" s="75"/>
      <c r="V806" s="75"/>
    </row>
    <row r="807" spans="2:22" x14ac:dyDescent="0.2">
      <c r="B807" s="165" t="s">
        <v>9925</v>
      </c>
      <c r="C807" s="165"/>
      <c r="D807" s="165"/>
      <c r="E807" s="165"/>
      <c r="F807" s="165"/>
      <c r="G807" s="165"/>
      <c r="H807" s="165"/>
      <c r="I807" s="165"/>
      <c r="J807" s="165"/>
      <c r="K807" s="165"/>
      <c r="L807" s="165"/>
      <c r="M807" s="165"/>
      <c r="N807" s="165"/>
      <c r="O807" s="165"/>
      <c r="P807" s="165"/>
      <c r="Q807" s="76"/>
      <c r="R807" s="76"/>
      <c r="S807" s="76"/>
      <c r="T807" s="76"/>
      <c r="U807" s="76"/>
      <c r="V807" s="76"/>
    </row>
    <row r="808" spans="2:22" x14ac:dyDescent="0.2">
      <c r="B808" s="73" t="s">
        <v>9925</v>
      </c>
      <c r="C808" s="33" t="s">
        <v>830</v>
      </c>
      <c r="D808" s="23" t="s">
        <v>831</v>
      </c>
      <c r="E808" s="73"/>
      <c r="F808" s="73"/>
      <c r="G808" s="73"/>
      <c r="H808" s="73"/>
      <c r="I808" s="73"/>
      <c r="J808" s="33" t="s">
        <v>9374</v>
      </c>
      <c r="K808" s="33" t="s">
        <v>11016</v>
      </c>
      <c r="L808" s="33" t="s">
        <v>121</v>
      </c>
      <c r="M808" s="33" t="s">
        <v>9376</v>
      </c>
      <c r="N808" s="73"/>
      <c r="O808" s="73"/>
      <c r="P808" s="73"/>
      <c r="Q808" s="73"/>
      <c r="R808" s="23"/>
      <c r="S808" s="23"/>
      <c r="T808" s="73"/>
      <c r="U808" s="73"/>
      <c r="V808" s="73"/>
    </row>
    <row r="809" spans="2:22" x14ac:dyDescent="0.2">
      <c r="B809" s="166"/>
      <c r="C809" s="166"/>
      <c r="D809" s="166"/>
      <c r="E809" s="166"/>
      <c r="F809" s="166"/>
      <c r="G809" s="166"/>
      <c r="H809" s="166"/>
      <c r="I809" s="166"/>
      <c r="J809" s="166"/>
      <c r="K809" s="166"/>
      <c r="L809" s="166"/>
      <c r="M809" s="166"/>
      <c r="N809" s="166"/>
      <c r="O809" s="166"/>
      <c r="P809" s="166"/>
      <c r="Q809" s="73"/>
      <c r="R809" s="23"/>
      <c r="S809" s="23"/>
      <c r="T809" s="73"/>
      <c r="U809" s="73"/>
      <c r="V809" s="73"/>
    </row>
    <row r="810" spans="2:22" x14ac:dyDescent="0.2">
      <c r="B810" s="165" t="s">
        <v>9927</v>
      </c>
      <c r="C810" s="165"/>
      <c r="D810" s="165"/>
      <c r="E810" s="165"/>
      <c r="F810" s="165"/>
      <c r="G810" s="165"/>
      <c r="H810" s="165"/>
      <c r="I810" s="165"/>
      <c r="J810" s="165"/>
      <c r="K810" s="165"/>
      <c r="L810" s="165"/>
      <c r="M810" s="165"/>
      <c r="N810" s="165"/>
      <c r="O810" s="165"/>
      <c r="P810" s="165"/>
      <c r="Q810" s="73"/>
      <c r="R810" s="23"/>
      <c r="S810" s="23"/>
      <c r="T810" s="73"/>
      <c r="U810" s="73"/>
      <c r="V810" s="73"/>
    </row>
    <row r="811" spans="2:22" x14ac:dyDescent="0.2">
      <c r="B811" s="73" t="s">
        <v>9927</v>
      </c>
      <c r="C811" s="33" t="s">
        <v>832</v>
      </c>
      <c r="D811" s="23" t="s">
        <v>833</v>
      </c>
      <c r="E811" s="73"/>
      <c r="F811" s="73"/>
      <c r="G811" s="73"/>
      <c r="H811" s="73"/>
      <c r="I811" s="73"/>
      <c r="J811" s="33" t="s">
        <v>9374</v>
      </c>
      <c r="K811" s="33" t="s">
        <v>11016</v>
      </c>
      <c r="L811" s="33" t="s">
        <v>121</v>
      </c>
      <c r="M811" s="33" t="s">
        <v>9376</v>
      </c>
      <c r="N811" s="73"/>
      <c r="O811" s="73"/>
      <c r="P811" s="73"/>
      <c r="Q811" s="75"/>
      <c r="R811" s="75"/>
      <c r="S811" s="75"/>
      <c r="T811" s="75"/>
      <c r="U811" s="75"/>
      <c r="V811" s="75"/>
    </row>
    <row r="812" spans="2:22" x14ac:dyDescent="0.2">
      <c r="B812" s="166"/>
      <c r="C812" s="166"/>
      <c r="D812" s="166"/>
      <c r="E812" s="166"/>
      <c r="F812" s="166"/>
      <c r="G812" s="166"/>
      <c r="H812" s="166"/>
      <c r="I812" s="166"/>
      <c r="J812" s="166"/>
      <c r="K812" s="166"/>
      <c r="L812" s="166"/>
      <c r="M812" s="166"/>
      <c r="N812" s="166"/>
      <c r="O812" s="166"/>
      <c r="P812" s="166"/>
      <c r="Q812" s="76"/>
      <c r="R812" s="76"/>
      <c r="S812" s="76"/>
      <c r="T812" s="76"/>
      <c r="U812" s="76"/>
      <c r="V812" s="76"/>
    </row>
    <row r="813" spans="2:22" x14ac:dyDescent="0.2">
      <c r="B813" s="165" t="s">
        <v>9929</v>
      </c>
      <c r="C813" s="165"/>
      <c r="D813" s="165"/>
      <c r="E813" s="165"/>
      <c r="F813" s="165"/>
      <c r="G813" s="165"/>
      <c r="H813" s="165"/>
      <c r="I813" s="165"/>
      <c r="J813" s="165"/>
      <c r="K813" s="165"/>
      <c r="L813" s="165"/>
      <c r="M813" s="165"/>
      <c r="N813" s="165"/>
      <c r="O813" s="165"/>
      <c r="P813" s="165"/>
      <c r="Q813" s="73"/>
      <c r="R813" s="23"/>
      <c r="S813" s="23"/>
      <c r="T813" s="73"/>
      <c r="U813" s="73"/>
      <c r="V813" s="73"/>
    </row>
    <row r="814" spans="2:22" x14ac:dyDescent="0.2">
      <c r="B814" s="73" t="s">
        <v>9929</v>
      </c>
      <c r="C814" s="33" t="s">
        <v>834</v>
      </c>
      <c r="D814" s="23" t="s">
        <v>835</v>
      </c>
      <c r="E814" s="73"/>
      <c r="F814" s="73"/>
      <c r="G814" s="73"/>
      <c r="H814" s="73"/>
      <c r="I814" s="73"/>
      <c r="J814" s="33" t="s">
        <v>9374</v>
      </c>
      <c r="K814" s="33" t="s">
        <v>9375</v>
      </c>
      <c r="L814" s="33" t="s">
        <v>121</v>
      </c>
      <c r="M814" s="33" t="s">
        <v>9376</v>
      </c>
      <c r="N814" s="73"/>
      <c r="O814" s="73"/>
      <c r="P814" s="73"/>
      <c r="Q814" s="73"/>
      <c r="R814" s="23"/>
      <c r="S814" s="23"/>
      <c r="T814" s="73"/>
      <c r="U814" s="73"/>
      <c r="V814" s="73"/>
    </row>
    <row r="815" spans="2:22" x14ac:dyDescent="0.2">
      <c r="B815" s="73" t="s">
        <v>9929</v>
      </c>
      <c r="C815" s="33" t="s">
        <v>1770</v>
      </c>
      <c r="D815" s="23" t="s">
        <v>1771</v>
      </c>
      <c r="E815" s="73" t="s">
        <v>11097</v>
      </c>
      <c r="F815" s="73" t="s">
        <v>10902</v>
      </c>
      <c r="G815" s="73"/>
      <c r="H815" s="73" t="s">
        <v>11098</v>
      </c>
      <c r="I815" s="73"/>
      <c r="J815" s="33" t="s">
        <v>9374</v>
      </c>
      <c r="K815" s="33" t="s">
        <v>9375</v>
      </c>
      <c r="L815" s="33" t="s">
        <v>121</v>
      </c>
      <c r="M815" s="33" t="s">
        <v>9376</v>
      </c>
      <c r="N815" s="73"/>
      <c r="O815" s="73"/>
      <c r="P815" s="73"/>
      <c r="Q815" s="75"/>
      <c r="R815" s="75"/>
      <c r="S815" s="75"/>
      <c r="T815" s="75"/>
      <c r="U815" s="75"/>
      <c r="V815" s="75"/>
    </row>
    <row r="816" spans="2:22" x14ac:dyDescent="0.2">
      <c r="B816" s="166"/>
      <c r="C816" s="166"/>
      <c r="D816" s="166"/>
      <c r="E816" s="166"/>
      <c r="F816" s="166"/>
      <c r="G816" s="166"/>
      <c r="H816" s="166"/>
      <c r="I816" s="166"/>
      <c r="J816" s="166"/>
      <c r="K816" s="166"/>
      <c r="L816" s="166"/>
      <c r="M816" s="166"/>
      <c r="N816" s="166"/>
      <c r="O816" s="166"/>
      <c r="P816" s="166"/>
      <c r="Q816" s="76"/>
      <c r="R816" s="76"/>
      <c r="S816" s="76"/>
      <c r="T816" s="76"/>
      <c r="U816" s="76"/>
      <c r="V816" s="76"/>
    </row>
    <row r="817" spans="2:22" x14ac:dyDescent="0.2">
      <c r="B817" s="165" t="s">
        <v>9932</v>
      </c>
      <c r="C817" s="165"/>
      <c r="D817" s="165"/>
      <c r="E817" s="165"/>
      <c r="F817" s="165"/>
      <c r="G817" s="165"/>
      <c r="H817" s="165"/>
      <c r="I817" s="165"/>
      <c r="J817" s="165"/>
      <c r="K817" s="165"/>
      <c r="L817" s="165"/>
      <c r="M817" s="165"/>
      <c r="N817" s="165"/>
      <c r="O817" s="165"/>
      <c r="P817" s="165"/>
      <c r="Q817" s="73"/>
      <c r="R817" s="23"/>
      <c r="S817" s="23"/>
      <c r="T817" s="73"/>
      <c r="U817" s="73"/>
      <c r="V817" s="73"/>
    </row>
    <row r="818" spans="2:22" x14ac:dyDescent="0.2">
      <c r="B818" s="73" t="s">
        <v>9932</v>
      </c>
      <c r="C818" s="33" t="s">
        <v>836</v>
      </c>
      <c r="D818" s="23" t="s">
        <v>837</v>
      </c>
      <c r="E818" s="73"/>
      <c r="F818" s="73"/>
      <c r="G818" s="73"/>
      <c r="H818" s="73"/>
      <c r="I818" s="73"/>
      <c r="J818" s="33" t="s">
        <v>9374</v>
      </c>
      <c r="K818" s="33" t="s">
        <v>11016</v>
      </c>
      <c r="L818" s="33" t="s">
        <v>121</v>
      </c>
      <c r="M818" s="33" t="s">
        <v>9376</v>
      </c>
      <c r="N818" s="73"/>
      <c r="O818" s="73"/>
      <c r="P818" s="73"/>
      <c r="Q818" s="73"/>
      <c r="R818" s="23"/>
      <c r="S818" s="23"/>
      <c r="T818" s="73"/>
      <c r="U818" s="73"/>
      <c r="V818" s="73"/>
    </row>
    <row r="819" spans="2:22" x14ac:dyDescent="0.2">
      <c r="B819" s="166"/>
      <c r="C819" s="166"/>
      <c r="D819" s="166"/>
      <c r="E819" s="166"/>
      <c r="F819" s="166"/>
      <c r="G819" s="166"/>
      <c r="H819" s="166"/>
      <c r="I819" s="166"/>
      <c r="J819" s="166"/>
      <c r="K819" s="166"/>
      <c r="L819" s="166"/>
      <c r="M819" s="166"/>
      <c r="N819" s="166"/>
      <c r="O819" s="166"/>
      <c r="P819" s="166"/>
      <c r="Q819" s="75"/>
      <c r="R819" s="75"/>
      <c r="S819" s="75"/>
      <c r="T819" s="75"/>
      <c r="U819" s="75"/>
      <c r="V819" s="75"/>
    </row>
    <row r="820" spans="2:22" x14ac:dyDescent="0.2">
      <c r="B820" s="165" t="s">
        <v>9935</v>
      </c>
      <c r="C820" s="165"/>
      <c r="D820" s="165"/>
      <c r="E820" s="165"/>
      <c r="F820" s="165"/>
      <c r="G820" s="165"/>
      <c r="H820" s="165"/>
      <c r="I820" s="165"/>
      <c r="J820" s="165"/>
      <c r="K820" s="165"/>
      <c r="L820" s="165"/>
      <c r="M820" s="165"/>
      <c r="N820" s="165"/>
      <c r="O820" s="165"/>
      <c r="P820" s="165"/>
      <c r="Q820" s="76"/>
      <c r="R820" s="76"/>
      <c r="S820" s="76"/>
      <c r="T820" s="76"/>
      <c r="U820" s="76"/>
      <c r="V820" s="76"/>
    </row>
    <row r="821" spans="2:22" x14ac:dyDescent="0.2">
      <c r="B821" s="73" t="s">
        <v>9935</v>
      </c>
      <c r="C821" s="33" t="s">
        <v>838</v>
      </c>
      <c r="D821" s="23" t="s">
        <v>839</v>
      </c>
      <c r="E821" s="73"/>
      <c r="F821" s="73"/>
      <c r="G821" s="73"/>
      <c r="H821" s="73"/>
      <c r="I821" s="73"/>
      <c r="J821" s="33" t="s">
        <v>9374</v>
      </c>
      <c r="K821" s="33" t="s">
        <v>9375</v>
      </c>
      <c r="L821" s="33" t="s">
        <v>121</v>
      </c>
      <c r="M821" s="33" t="s">
        <v>9376</v>
      </c>
      <c r="N821" s="73"/>
      <c r="O821" s="73"/>
      <c r="P821" s="73"/>
      <c r="Q821" s="73"/>
      <c r="R821" s="23"/>
      <c r="S821" s="23"/>
      <c r="T821" s="73"/>
      <c r="U821" s="73"/>
      <c r="V821" s="73"/>
    </row>
    <row r="822" spans="2:22" x14ac:dyDescent="0.2">
      <c r="B822" s="166"/>
      <c r="C822" s="166"/>
      <c r="D822" s="166"/>
      <c r="E822" s="166"/>
      <c r="F822" s="166"/>
      <c r="G822" s="166"/>
      <c r="H822" s="166"/>
      <c r="I822" s="166"/>
      <c r="J822" s="166"/>
      <c r="K822" s="166"/>
      <c r="L822" s="166"/>
      <c r="M822" s="166"/>
      <c r="N822" s="166"/>
      <c r="O822" s="166"/>
      <c r="P822" s="166"/>
      <c r="Q822" s="73"/>
      <c r="R822" s="23"/>
      <c r="S822" s="23"/>
      <c r="T822" s="73"/>
      <c r="U822" s="73"/>
      <c r="V822" s="73"/>
    </row>
    <row r="823" spans="2:22" x14ac:dyDescent="0.2">
      <c r="B823" s="165" t="s">
        <v>9938</v>
      </c>
      <c r="C823" s="165"/>
      <c r="D823" s="165"/>
      <c r="E823" s="165"/>
      <c r="F823" s="165"/>
      <c r="G823" s="165"/>
      <c r="H823" s="165"/>
      <c r="I823" s="165"/>
      <c r="J823" s="165"/>
      <c r="K823" s="165"/>
      <c r="L823" s="165"/>
      <c r="M823" s="165"/>
      <c r="N823" s="165"/>
      <c r="O823" s="165"/>
      <c r="P823" s="165"/>
      <c r="Q823" s="75"/>
      <c r="R823" s="75"/>
      <c r="S823" s="75"/>
      <c r="T823" s="75"/>
      <c r="U823" s="75"/>
      <c r="V823" s="75"/>
    </row>
    <row r="824" spans="2:22" x14ac:dyDescent="0.2">
      <c r="B824" s="73" t="s">
        <v>9938</v>
      </c>
      <c r="C824" s="33" t="s">
        <v>840</v>
      </c>
      <c r="D824" s="23" t="s">
        <v>841</v>
      </c>
      <c r="E824" s="73"/>
      <c r="F824" s="73"/>
      <c r="G824" s="73"/>
      <c r="H824" s="73"/>
      <c r="I824" s="73"/>
      <c r="J824" s="33" t="s">
        <v>9374</v>
      </c>
      <c r="K824" s="33" t="s">
        <v>9375</v>
      </c>
      <c r="L824" s="33" t="s">
        <v>121</v>
      </c>
      <c r="M824" s="33" t="s">
        <v>9376</v>
      </c>
      <c r="N824" s="73"/>
      <c r="O824" s="73"/>
      <c r="P824" s="73"/>
      <c r="Q824" s="76"/>
      <c r="R824" s="76"/>
      <c r="S824" s="76"/>
      <c r="T824" s="76"/>
      <c r="U824" s="76"/>
      <c r="V824" s="76"/>
    </row>
    <row r="825" spans="2:22" x14ac:dyDescent="0.2">
      <c r="B825" s="166"/>
      <c r="C825" s="166"/>
      <c r="D825" s="166"/>
      <c r="E825" s="166"/>
      <c r="F825" s="166"/>
      <c r="G825" s="166"/>
      <c r="H825" s="166"/>
      <c r="I825" s="166"/>
      <c r="J825" s="166"/>
      <c r="K825" s="166"/>
      <c r="L825" s="166"/>
      <c r="M825" s="166"/>
      <c r="N825" s="166"/>
      <c r="O825" s="166"/>
      <c r="P825" s="166"/>
      <c r="Q825" s="73"/>
      <c r="R825" s="23"/>
      <c r="S825" s="23"/>
      <c r="T825" s="73"/>
      <c r="U825" s="73"/>
      <c r="V825" s="73"/>
    </row>
    <row r="826" spans="2:22" x14ac:dyDescent="0.2">
      <c r="B826" s="165" t="s">
        <v>9941</v>
      </c>
      <c r="C826" s="165"/>
      <c r="D826" s="165"/>
      <c r="E826" s="165"/>
      <c r="F826" s="165"/>
      <c r="G826" s="165"/>
      <c r="H826" s="165"/>
      <c r="I826" s="165"/>
      <c r="J826" s="165"/>
      <c r="K826" s="165"/>
      <c r="L826" s="165"/>
      <c r="M826" s="165"/>
      <c r="N826" s="165"/>
      <c r="O826" s="165"/>
      <c r="P826" s="165"/>
      <c r="Q826" s="73"/>
      <c r="R826" s="23"/>
      <c r="S826" s="23"/>
      <c r="T826" s="73"/>
      <c r="U826" s="73"/>
      <c r="V826" s="73"/>
    </row>
    <row r="827" spans="2:22" x14ac:dyDescent="0.2">
      <c r="B827" s="73" t="s">
        <v>9941</v>
      </c>
      <c r="C827" s="33" t="s">
        <v>842</v>
      </c>
      <c r="D827" s="23" t="s">
        <v>843</v>
      </c>
      <c r="E827" s="73"/>
      <c r="F827" s="73"/>
      <c r="G827" s="73"/>
      <c r="H827" s="73"/>
      <c r="I827" s="73"/>
      <c r="J827" s="33" t="s">
        <v>9374</v>
      </c>
      <c r="K827" s="33" t="s">
        <v>9375</v>
      </c>
      <c r="L827" s="33" t="s">
        <v>121</v>
      </c>
      <c r="M827" s="33" t="s">
        <v>9376</v>
      </c>
      <c r="N827" s="73"/>
      <c r="O827" s="73"/>
      <c r="P827" s="73"/>
      <c r="Q827" s="75"/>
      <c r="R827" s="75"/>
      <c r="S827" s="75"/>
      <c r="T827" s="75"/>
      <c r="U827" s="75"/>
      <c r="V827" s="75"/>
    </row>
    <row r="828" spans="2:22" ht="71.400000000000006" x14ac:dyDescent="0.2">
      <c r="B828" s="73" t="s">
        <v>9941</v>
      </c>
      <c r="C828" s="33" t="s">
        <v>1756</v>
      </c>
      <c r="D828" s="23" t="s">
        <v>1757</v>
      </c>
      <c r="E828" s="73" t="s">
        <v>11099</v>
      </c>
      <c r="F828" s="73" t="s">
        <v>10902</v>
      </c>
      <c r="G828" s="73"/>
      <c r="H828" s="73" t="s">
        <v>11100</v>
      </c>
      <c r="I828" s="73" t="s">
        <v>11101</v>
      </c>
      <c r="J828" s="33" t="s">
        <v>9374</v>
      </c>
      <c r="K828" s="33" t="s">
        <v>9375</v>
      </c>
      <c r="L828" s="33" t="s">
        <v>121</v>
      </c>
      <c r="M828" s="33" t="s">
        <v>9376</v>
      </c>
      <c r="N828" s="73"/>
      <c r="O828" s="73"/>
      <c r="P828" s="73"/>
      <c r="Q828" s="76"/>
      <c r="R828" s="76"/>
      <c r="S828" s="76"/>
      <c r="T828" s="76"/>
      <c r="U828" s="76"/>
      <c r="V828" s="76"/>
    </row>
    <row r="829" spans="2:22" x14ac:dyDescent="0.2">
      <c r="B829" s="73" t="s">
        <v>9941</v>
      </c>
      <c r="C829" s="33" t="s">
        <v>2010</v>
      </c>
      <c r="D829" s="23" t="s">
        <v>2011</v>
      </c>
      <c r="E829" s="73" t="s">
        <v>11099</v>
      </c>
      <c r="F829" s="73" t="s">
        <v>10902</v>
      </c>
      <c r="G829" s="73"/>
      <c r="H829" s="73" t="s">
        <v>11102</v>
      </c>
      <c r="I829" s="73" t="s">
        <v>11103</v>
      </c>
      <c r="J829" s="33" t="s">
        <v>9374</v>
      </c>
      <c r="K829" s="33" t="s">
        <v>9375</v>
      </c>
      <c r="L829" s="33" t="s">
        <v>121</v>
      </c>
      <c r="M829" s="33" t="s">
        <v>9376</v>
      </c>
      <c r="N829" s="73"/>
      <c r="O829" s="73"/>
      <c r="P829" s="73"/>
      <c r="Q829" s="73"/>
      <c r="R829" s="23"/>
      <c r="S829" s="23"/>
      <c r="T829" s="73"/>
      <c r="U829" s="73"/>
      <c r="V829" s="73"/>
    </row>
    <row r="830" spans="2:22" x14ac:dyDescent="0.2">
      <c r="B830" s="166"/>
      <c r="C830" s="166"/>
      <c r="D830" s="166"/>
      <c r="E830" s="166"/>
      <c r="F830" s="166"/>
      <c r="G830" s="166"/>
      <c r="H830" s="166"/>
      <c r="I830" s="166"/>
      <c r="J830" s="166"/>
      <c r="K830" s="166"/>
      <c r="L830" s="166"/>
      <c r="M830" s="166"/>
      <c r="N830" s="166"/>
      <c r="O830" s="166"/>
      <c r="P830" s="166"/>
      <c r="Q830" s="75"/>
      <c r="R830" s="75"/>
      <c r="S830" s="75"/>
      <c r="T830" s="75"/>
      <c r="U830" s="75"/>
      <c r="V830" s="75"/>
    </row>
    <row r="831" spans="2:22" x14ac:dyDescent="0.2">
      <c r="B831" s="165" t="s">
        <v>9946</v>
      </c>
      <c r="C831" s="165"/>
      <c r="D831" s="165"/>
      <c r="E831" s="165"/>
      <c r="F831" s="165"/>
      <c r="G831" s="165"/>
      <c r="H831" s="165"/>
      <c r="I831" s="165"/>
      <c r="J831" s="165"/>
      <c r="K831" s="165"/>
      <c r="L831" s="165"/>
      <c r="M831" s="165"/>
      <c r="N831" s="165"/>
      <c r="O831" s="165"/>
      <c r="P831" s="165"/>
      <c r="Q831" s="76"/>
      <c r="R831" s="76"/>
      <c r="S831" s="76"/>
      <c r="T831" s="76"/>
      <c r="U831" s="76"/>
      <c r="V831" s="76"/>
    </row>
    <row r="832" spans="2:22" x14ac:dyDescent="0.2">
      <c r="B832" s="73" t="s">
        <v>9946</v>
      </c>
      <c r="C832" s="33" t="s">
        <v>844</v>
      </c>
      <c r="D832" s="23" t="s">
        <v>845</v>
      </c>
      <c r="E832" s="73"/>
      <c r="F832" s="73"/>
      <c r="G832" s="73"/>
      <c r="H832" s="73"/>
      <c r="I832" s="73"/>
      <c r="J832" s="33" t="s">
        <v>9374</v>
      </c>
      <c r="K832" s="33" t="s">
        <v>11016</v>
      </c>
      <c r="L832" s="33" t="s">
        <v>121</v>
      </c>
      <c r="M832" s="33" t="s">
        <v>9376</v>
      </c>
      <c r="N832" s="73"/>
      <c r="O832" s="73"/>
      <c r="P832" s="73"/>
      <c r="Q832" s="73"/>
      <c r="R832" s="23"/>
      <c r="S832" s="23"/>
      <c r="T832" s="73"/>
      <c r="U832" s="73"/>
      <c r="V832" s="73"/>
    </row>
    <row r="833" spans="2:22" x14ac:dyDescent="0.2">
      <c r="B833" s="166"/>
      <c r="C833" s="166"/>
      <c r="D833" s="166"/>
      <c r="E833" s="166"/>
      <c r="F833" s="166"/>
      <c r="G833" s="166"/>
      <c r="H833" s="166"/>
      <c r="I833" s="166"/>
      <c r="J833" s="166"/>
      <c r="K833" s="166"/>
      <c r="L833" s="166"/>
      <c r="M833" s="166"/>
      <c r="N833" s="166"/>
      <c r="O833" s="166"/>
      <c r="P833" s="166"/>
      <c r="Q833" s="73"/>
      <c r="R833" s="23"/>
      <c r="S833" s="23"/>
      <c r="T833" s="73"/>
      <c r="U833" s="73"/>
      <c r="V833" s="73"/>
    </row>
    <row r="834" spans="2:22" x14ac:dyDescent="0.2">
      <c r="B834" s="165" t="s">
        <v>9949</v>
      </c>
      <c r="C834" s="165"/>
      <c r="D834" s="165"/>
      <c r="E834" s="165"/>
      <c r="F834" s="165"/>
      <c r="G834" s="165"/>
      <c r="H834" s="165"/>
      <c r="I834" s="165"/>
      <c r="J834" s="165"/>
      <c r="K834" s="165"/>
      <c r="L834" s="165"/>
      <c r="M834" s="165"/>
      <c r="N834" s="165"/>
      <c r="O834" s="165"/>
      <c r="P834" s="165"/>
      <c r="Q834" s="75"/>
      <c r="R834" s="75"/>
      <c r="S834" s="75"/>
      <c r="T834" s="75"/>
      <c r="U834" s="75"/>
      <c r="V834" s="75"/>
    </row>
    <row r="835" spans="2:22" x14ac:dyDescent="0.2">
      <c r="B835" s="73" t="s">
        <v>9949</v>
      </c>
      <c r="C835" s="33" t="s">
        <v>846</v>
      </c>
      <c r="D835" s="23" t="s">
        <v>847</v>
      </c>
      <c r="E835" s="73"/>
      <c r="F835" s="73"/>
      <c r="G835" s="73"/>
      <c r="H835" s="73"/>
      <c r="I835" s="73"/>
      <c r="J835" s="33" t="s">
        <v>9374</v>
      </c>
      <c r="K835" s="33" t="s">
        <v>11016</v>
      </c>
      <c r="L835" s="33" t="s">
        <v>121</v>
      </c>
      <c r="M835" s="33" t="s">
        <v>9376</v>
      </c>
      <c r="N835" s="73"/>
      <c r="O835" s="73"/>
      <c r="P835" s="73"/>
      <c r="Q835" s="76"/>
      <c r="R835" s="76"/>
      <c r="S835" s="76"/>
      <c r="T835" s="76"/>
      <c r="U835" s="76"/>
      <c r="V835" s="76"/>
    </row>
    <row r="836" spans="2:22" x14ac:dyDescent="0.2">
      <c r="B836" s="166"/>
      <c r="C836" s="166"/>
      <c r="D836" s="166"/>
      <c r="E836" s="166"/>
      <c r="F836" s="166"/>
      <c r="G836" s="166"/>
      <c r="H836" s="166"/>
      <c r="I836" s="166"/>
      <c r="J836" s="166"/>
      <c r="K836" s="166"/>
      <c r="L836" s="166"/>
      <c r="M836" s="166"/>
      <c r="N836" s="166"/>
      <c r="O836" s="166"/>
      <c r="P836" s="166"/>
      <c r="Q836" s="73"/>
      <c r="R836" s="23"/>
      <c r="S836" s="23"/>
      <c r="T836" s="73"/>
      <c r="U836" s="73"/>
      <c r="V836" s="73"/>
    </row>
    <row r="837" spans="2:22" x14ac:dyDescent="0.2">
      <c r="B837" s="165" t="s">
        <v>9952</v>
      </c>
      <c r="C837" s="165"/>
      <c r="D837" s="165"/>
      <c r="E837" s="165"/>
      <c r="F837" s="165"/>
      <c r="G837" s="165"/>
      <c r="H837" s="165"/>
      <c r="I837" s="165"/>
      <c r="J837" s="165"/>
      <c r="K837" s="165"/>
      <c r="L837" s="165"/>
      <c r="M837" s="165"/>
      <c r="N837" s="165"/>
      <c r="O837" s="165"/>
      <c r="P837" s="165"/>
      <c r="Q837" s="75"/>
      <c r="R837" s="75"/>
      <c r="S837" s="75"/>
      <c r="T837" s="75"/>
      <c r="U837" s="75"/>
      <c r="V837" s="75"/>
    </row>
    <row r="838" spans="2:22" x14ac:dyDescent="0.2">
      <c r="B838" s="73" t="s">
        <v>9952</v>
      </c>
      <c r="C838" s="33" t="s">
        <v>848</v>
      </c>
      <c r="D838" s="23" t="s">
        <v>849</v>
      </c>
      <c r="E838" s="73"/>
      <c r="F838" s="73"/>
      <c r="G838" s="73"/>
      <c r="H838" s="73"/>
      <c r="I838" s="73"/>
      <c r="J838" s="33" t="s">
        <v>9374</v>
      </c>
      <c r="K838" s="33" t="s">
        <v>9375</v>
      </c>
      <c r="L838" s="33" t="s">
        <v>121</v>
      </c>
      <c r="M838" s="33" t="s">
        <v>9376</v>
      </c>
      <c r="N838" s="73"/>
      <c r="O838" s="73"/>
      <c r="P838" s="73"/>
      <c r="Q838" s="76"/>
      <c r="R838" s="76"/>
      <c r="S838" s="76"/>
      <c r="T838" s="76"/>
      <c r="U838" s="76"/>
      <c r="V838" s="76"/>
    </row>
    <row r="839" spans="2:22" x14ac:dyDescent="0.2">
      <c r="B839" s="166"/>
      <c r="C839" s="166"/>
      <c r="D839" s="166"/>
      <c r="E839" s="166"/>
      <c r="F839" s="166"/>
      <c r="G839" s="166"/>
      <c r="H839" s="166"/>
      <c r="I839" s="166"/>
      <c r="J839" s="166"/>
      <c r="K839" s="166"/>
      <c r="L839" s="166"/>
      <c r="M839" s="166"/>
      <c r="N839" s="166"/>
      <c r="O839" s="166"/>
      <c r="P839" s="166"/>
      <c r="Q839" s="73"/>
      <c r="R839" s="23"/>
      <c r="S839" s="23"/>
      <c r="T839" s="73"/>
      <c r="U839" s="73"/>
      <c r="V839" s="73"/>
    </row>
    <row r="840" spans="2:22" x14ac:dyDescent="0.2">
      <c r="B840" s="165" t="s">
        <v>9954</v>
      </c>
      <c r="C840" s="165"/>
      <c r="D840" s="165"/>
      <c r="E840" s="165"/>
      <c r="F840" s="165"/>
      <c r="G840" s="165"/>
      <c r="H840" s="165"/>
      <c r="I840" s="165"/>
      <c r="J840" s="165"/>
      <c r="K840" s="165"/>
      <c r="L840" s="165"/>
      <c r="M840" s="165"/>
      <c r="N840" s="165"/>
      <c r="O840" s="165"/>
      <c r="P840" s="165"/>
      <c r="Q840" s="75"/>
      <c r="R840" s="75"/>
      <c r="S840" s="75"/>
      <c r="T840" s="75"/>
      <c r="U840" s="75"/>
      <c r="V840" s="75"/>
    </row>
    <row r="841" spans="2:22" x14ac:dyDescent="0.2">
      <c r="B841" s="73" t="s">
        <v>9954</v>
      </c>
      <c r="C841" s="33" t="s">
        <v>850</v>
      </c>
      <c r="D841" s="23" t="s">
        <v>851</v>
      </c>
      <c r="E841" s="73"/>
      <c r="F841" s="73"/>
      <c r="G841" s="73"/>
      <c r="H841" s="73"/>
      <c r="I841" s="73"/>
      <c r="J841" s="33" t="s">
        <v>9374</v>
      </c>
      <c r="K841" s="33" t="s">
        <v>11016</v>
      </c>
      <c r="L841" s="33" t="s">
        <v>121</v>
      </c>
      <c r="M841" s="33" t="s">
        <v>9376</v>
      </c>
      <c r="N841" s="73"/>
      <c r="O841" s="73"/>
      <c r="P841" s="73"/>
      <c r="Q841" s="76"/>
      <c r="R841" s="76"/>
      <c r="S841" s="76"/>
      <c r="T841" s="76"/>
      <c r="U841" s="76"/>
      <c r="V841" s="76"/>
    </row>
    <row r="842" spans="2:22" x14ac:dyDescent="0.2">
      <c r="B842" s="166"/>
      <c r="C842" s="166"/>
      <c r="D842" s="166"/>
      <c r="E842" s="166"/>
      <c r="F842" s="166"/>
      <c r="G842" s="166"/>
      <c r="H842" s="166"/>
      <c r="I842" s="166"/>
      <c r="J842" s="166"/>
      <c r="K842" s="166"/>
      <c r="L842" s="166"/>
      <c r="M842" s="166"/>
      <c r="N842" s="166"/>
      <c r="O842" s="166"/>
      <c r="P842" s="166"/>
      <c r="Q842" s="73"/>
      <c r="R842" s="23"/>
      <c r="S842" s="23"/>
      <c r="T842" s="73"/>
      <c r="U842" s="73"/>
      <c r="V842" s="73"/>
    </row>
    <row r="843" spans="2:22" x14ac:dyDescent="0.2">
      <c r="B843" s="165" t="s">
        <v>9955</v>
      </c>
      <c r="C843" s="165"/>
      <c r="D843" s="165"/>
      <c r="E843" s="165"/>
      <c r="F843" s="165"/>
      <c r="G843" s="165"/>
      <c r="H843" s="165"/>
      <c r="I843" s="165"/>
      <c r="J843" s="165"/>
      <c r="K843" s="165"/>
      <c r="L843" s="165"/>
      <c r="M843" s="165"/>
      <c r="N843" s="165"/>
      <c r="O843" s="165"/>
      <c r="P843" s="165"/>
      <c r="Q843" s="75"/>
      <c r="R843" s="75"/>
      <c r="S843" s="75"/>
      <c r="T843" s="75"/>
      <c r="U843" s="75"/>
      <c r="V843" s="75"/>
    </row>
    <row r="844" spans="2:22" x14ac:dyDescent="0.2">
      <c r="B844" s="73" t="s">
        <v>9955</v>
      </c>
      <c r="C844" s="33" t="s">
        <v>852</v>
      </c>
      <c r="D844" s="23" t="s">
        <v>853</v>
      </c>
      <c r="E844" s="73"/>
      <c r="F844" s="73"/>
      <c r="G844" s="73"/>
      <c r="H844" s="73"/>
      <c r="I844" s="73"/>
      <c r="J844" s="33" t="s">
        <v>9374</v>
      </c>
      <c r="K844" s="33" t="s">
        <v>9375</v>
      </c>
      <c r="L844" s="33" t="s">
        <v>121</v>
      </c>
      <c r="M844" s="33" t="s">
        <v>9376</v>
      </c>
      <c r="N844" s="73"/>
      <c r="O844" s="73"/>
      <c r="P844" s="73"/>
      <c r="Q844" s="76"/>
      <c r="R844" s="76"/>
      <c r="S844" s="76"/>
      <c r="T844" s="76"/>
      <c r="U844" s="76"/>
      <c r="V844" s="76"/>
    </row>
    <row r="845" spans="2:22" x14ac:dyDescent="0.2">
      <c r="B845" s="166"/>
      <c r="C845" s="166"/>
      <c r="D845" s="166"/>
      <c r="E845" s="166"/>
      <c r="F845" s="166"/>
      <c r="G845" s="166"/>
      <c r="H845" s="166"/>
      <c r="I845" s="166"/>
      <c r="J845" s="166"/>
      <c r="K845" s="166"/>
      <c r="L845" s="166"/>
      <c r="M845" s="166"/>
      <c r="N845" s="166"/>
      <c r="O845" s="166"/>
      <c r="P845" s="166"/>
      <c r="Q845" s="73"/>
      <c r="R845" s="23"/>
      <c r="S845" s="23"/>
      <c r="T845" s="73"/>
      <c r="U845" s="73"/>
      <c r="V845" s="73"/>
    </row>
    <row r="846" spans="2:22" x14ac:dyDescent="0.2">
      <c r="B846" s="165" t="s">
        <v>9958</v>
      </c>
      <c r="C846" s="165"/>
      <c r="D846" s="165"/>
      <c r="E846" s="165"/>
      <c r="F846" s="165"/>
      <c r="G846" s="165"/>
      <c r="H846" s="165"/>
      <c r="I846" s="165"/>
      <c r="J846" s="165"/>
      <c r="K846" s="165"/>
      <c r="L846" s="165"/>
      <c r="M846" s="165"/>
      <c r="N846" s="165"/>
      <c r="O846" s="165"/>
      <c r="P846" s="165"/>
      <c r="Q846" s="75"/>
      <c r="R846" s="75"/>
      <c r="S846" s="75"/>
      <c r="T846" s="75"/>
      <c r="U846" s="75"/>
      <c r="V846" s="75"/>
    </row>
    <row r="847" spans="2:22" x14ac:dyDescent="0.2">
      <c r="B847" s="73" t="s">
        <v>9958</v>
      </c>
      <c r="C847" s="33" t="s">
        <v>854</v>
      </c>
      <c r="D847" s="23" t="s">
        <v>855</v>
      </c>
      <c r="E847" s="73"/>
      <c r="F847" s="73"/>
      <c r="G847" s="73"/>
      <c r="H847" s="73"/>
      <c r="I847" s="73"/>
      <c r="J847" s="33" t="s">
        <v>9374</v>
      </c>
      <c r="K847" s="33" t="s">
        <v>9375</v>
      </c>
      <c r="L847" s="33" t="s">
        <v>121</v>
      </c>
      <c r="M847" s="33" t="s">
        <v>9376</v>
      </c>
      <c r="N847" s="73"/>
      <c r="O847" s="73"/>
      <c r="P847" s="73"/>
      <c r="Q847" s="76"/>
      <c r="R847" s="76"/>
      <c r="S847" s="76"/>
      <c r="T847" s="76"/>
      <c r="U847" s="76"/>
      <c r="V847" s="76"/>
    </row>
    <row r="848" spans="2:22" x14ac:dyDescent="0.2">
      <c r="B848" s="166"/>
      <c r="C848" s="166"/>
      <c r="D848" s="166"/>
      <c r="E848" s="166"/>
      <c r="F848" s="166"/>
      <c r="G848" s="166"/>
      <c r="H848" s="166"/>
      <c r="I848" s="166"/>
      <c r="J848" s="166"/>
      <c r="K848" s="166"/>
      <c r="L848" s="166"/>
      <c r="M848" s="166"/>
      <c r="N848" s="166"/>
      <c r="O848" s="166"/>
      <c r="P848" s="166"/>
      <c r="Q848" s="73"/>
      <c r="R848" s="23"/>
      <c r="S848" s="23"/>
      <c r="T848" s="73"/>
      <c r="U848" s="73"/>
      <c r="V848" s="73"/>
    </row>
    <row r="849" spans="2:22" x14ac:dyDescent="0.2">
      <c r="B849" s="165" t="s">
        <v>9961</v>
      </c>
      <c r="C849" s="165"/>
      <c r="D849" s="165"/>
      <c r="E849" s="165"/>
      <c r="F849" s="165"/>
      <c r="G849" s="165"/>
      <c r="H849" s="165"/>
      <c r="I849" s="165"/>
      <c r="J849" s="165"/>
      <c r="K849" s="165"/>
      <c r="L849" s="165"/>
      <c r="M849" s="165"/>
      <c r="N849" s="165"/>
      <c r="O849" s="165"/>
      <c r="P849" s="165"/>
      <c r="Q849" s="75"/>
      <c r="R849" s="75"/>
      <c r="S849" s="75"/>
      <c r="T849" s="75"/>
      <c r="U849" s="75"/>
      <c r="V849" s="75"/>
    </row>
    <row r="850" spans="2:22" x14ac:dyDescent="0.2">
      <c r="B850" s="73" t="s">
        <v>9961</v>
      </c>
      <c r="C850" s="33" t="s">
        <v>856</v>
      </c>
      <c r="D850" s="23" t="s">
        <v>857</v>
      </c>
      <c r="E850" s="73"/>
      <c r="F850" s="73"/>
      <c r="G850" s="73"/>
      <c r="H850" s="73"/>
      <c r="I850" s="73"/>
      <c r="J850" s="33" t="s">
        <v>9374</v>
      </c>
      <c r="K850" s="33" t="s">
        <v>11016</v>
      </c>
      <c r="L850" s="33" t="s">
        <v>121</v>
      </c>
      <c r="M850" s="33" t="s">
        <v>9376</v>
      </c>
      <c r="N850" s="73"/>
      <c r="O850" s="73"/>
      <c r="P850" s="73"/>
      <c r="Q850" s="76"/>
      <c r="R850" s="76"/>
      <c r="S850" s="76"/>
      <c r="T850" s="76"/>
      <c r="U850" s="76"/>
      <c r="V850" s="76"/>
    </row>
    <row r="851" spans="2:22" x14ac:dyDescent="0.2">
      <c r="B851" s="166"/>
      <c r="C851" s="166"/>
      <c r="D851" s="166"/>
      <c r="E851" s="166"/>
      <c r="F851" s="166"/>
      <c r="G851" s="166"/>
      <c r="H851" s="166"/>
      <c r="I851" s="166"/>
      <c r="J851" s="166"/>
      <c r="K851" s="166"/>
      <c r="L851" s="166"/>
      <c r="M851" s="166"/>
      <c r="N851" s="166"/>
      <c r="O851" s="166"/>
      <c r="P851" s="166"/>
      <c r="Q851" s="73"/>
      <c r="R851" s="23"/>
      <c r="S851" s="23"/>
      <c r="T851" s="73"/>
      <c r="U851" s="73"/>
      <c r="V851" s="73"/>
    </row>
    <row r="852" spans="2:22" x14ac:dyDescent="0.2">
      <c r="B852" s="165" t="s">
        <v>9964</v>
      </c>
      <c r="C852" s="165"/>
      <c r="D852" s="165"/>
      <c r="E852" s="165"/>
      <c r="F852" s="165"/>
      <c r="G852" s="165"/>
      <c r="H852" s="165"/>
      <c r="I852" s="165"/>
      <c r="J852" s="165"/>
      <c r="K852" s="165"/>
      <c r="L852" s="165"/>
      <c r="M852" s="165"/>
      <c r="N852" s="165"/>
      <c r="O852" s="165"/>
      <c r="P852" s="165"/>
      <c r="Q852" s="73"/>
      <c r="R852" s="23"/>
      <c r="S852" s="23"/>
      <c r="T852" s="73"/>
      <c r="U852" s="73"/>
      <c r="V852" s="73"/>
    </row>
    <row r="853" spans="2:22" x14ac:dyDescent="0.2">
      <c r="B853" s="73" t="s">
        <v>9964</v>
      </c>
      <c r="C853" s="33" t="s">
        <v>858</v>
      </c>
      <c r="D853" s="23" t="s">
        <v>859</v>
      </c>
      <c r="E853" s="73"/>
      <c r="F853" s="73"/>
      <c r="G853" s="73"/>
      <c r="H853" s="73"/>
      <c r="I853" s="73"/>
      <c r="J853" s="33" t="s">
        <v>9374</v>
      </c>
      <c r="K853" s="33" t="s">
        <v>11016</v>
      </c>
      <c r="L853" s="33" t="s">
        <v>121</v>
      </c>
      <c r="M853" s="33" t="s">
        <v>9376</v>
      </c>
      <c r="N853" s="73"/>
      <c r="O853" s="73"/>
      <c r="P853" s="73"/>
      <c r="Q853" s="73"/>
      <c r="R853" s="23"/>
      <c r="S853" s="23"/>
      <c r="T853" s="73"/>
      <c r="U853" s="73"/>
      <c r="V853" s="73"/>
    </row>
    <row r="854" spans="2:22" x14ac:dyDescent="0.2">
      <c r="B854" s="166"/>
      <c r="C854" s="166"/>
      <c r="D854" s="166"/>
      <c r="E854" s="166"/>
      <c r="F854" s="166"/>
      <c r="G854" s="166"/>
      <c r="H854" s="166"/>
      <c r="I854" s="166"/>
      <c r="J854" s="166"/>
      <c r="K854" s="166"/>
      <c r="L854" s="166"/>
      <c r="M854" s="166"/>
      <c r="N854" s="166"/>
      <c r="O854" s="166"/>
      <c r="P854" s="166"/>
      <c r="Q854" s="73"/>
      <c r="R854" s="23"/>
      <c r="S854" s="23"/>
      <c r="T854" s="73"/>
      <c r="U854" s="73"/>
      <c r="V854" s="73"/>
    </row>
    <row r="855" spans="2:22" x14ac:dyDescent="0.2">
      <c r="B855" s="165" t="s">
        <v>9966</v>
      </c>
      <c r="C855" s="165"/>
      <c r="D855" s="165"/>
      <c r="E855" s="165"/>
      <c r="F855" s="165"/>
      <c r="G855" s="165"/>
      <c r="H855" s="165"/>
      <c r="I855" s="165"/>
      <c r="J855" s="165"/>
      <c r="K855" s="165"/>
      <c r="L855" s="165"/>
      <c r="M855" s="165"/>
      <c r="N855" s="165"/>
      <c r="O855" s="165"/>
      <c r="P855" s="165"/>
      <c r="Q855" s="75"/>
      <c r="R855" s="75"/>
      <c r="S855" s="75"/>
      <c r="T855" s="75"/>
      <c r="U855" s="75"/>
      <c r="V855" s="75"/>
    </row>
    <row r="856" spans="2:22" x14ac:dyDescent="0.2">
      <c r="B856" s="73" t="s">
        <v>9966</v>
      </c>
      <c r="C856" s="33" t="s">
        <v>860</v>
      </c>
      <c r="D856" s="23" t="s">
        <v>861</v>
      </c>
      <c r="E856" s="73"/>
      <c r="F856" s="73"/>
      <c r="G856" s="73"/>
      <c r="H856" s="73"/>
      <c r="I856" s="73"/>
      <c r="J856" s="33" t="s">
        <v>9374</v>
      </c>
      <c r="K856" s="33" t="s">
        <v>11016</v>
      </c>
      <c r="L856" s="33" t="s">
        <v>121</v>
      </c>
      <c r="M856" s="33" t="s">
        <v>9376</v>
      </c>
      <c r="N856" s="73"/>
      <c r="O856" s="73"/>
      <c r="P856" s="73"/>
      <c r="Q856" s="76"/>
      <c r="R856" s="76"/>
      <c r="S856" s="76"/>
      <c r="T856" s="76"/>
      <c r="U856" s="76"/>
      <c r="V856" s="76"/>
    </row>
    <row r="857" spans="2:22" x14ac:dyDescent="0.2">
      <c r="B857" s="166"/>
      <c r="C857" s="166"/>
      <c r="D857" s="166"/>
      <c r="E857" s="166"/>
      <c r="F857" s="166"/>
      <c r="G857" s="166"/>
      <c r="H857" s="166"/>
      <c r="I857" s="166"/>
      <c r="J857" s="166"/>
      <c r="K857" s="166"/>
      <c r="L857" s="166"/>
      <c r="M857" s="166"/>
      <c r="N857" s="166"/>
      <c r="O857" s="166"/>
      <c r="P857" s="166"/>
      <c r="Q857" s="73"/>
      <c r="R857" s="23"/>
      <c r="S857" s="23"/>
      <c r="T857" s="73"/>
      <c r="U857" s="73"/>
      <c r="V857" s="73"/>
    </row>
    <row r="858" spans="2:22" x14ac:dyDescent="0.2">
      <c r="B858" s="165" t="s">
        <v>9968</v>
      </c>
      <c r="C858" s="165"/>
      <c r="D858" s="165"/>
      <c r="E858" s="165"/>
      <c r="F858" s="165"/>
      <c r="G858" s="165"/>
      <c r="H858" s="165"/>
      <c r="I858" s="165"/>
      <c r="J858" s="165"/>
      <c r="K858" s="165"/>
      <c r="L858" s="165"/>
      <c r="M858" s="165"/>
      <c r="N858" s="165"/>
      <c r="O858" s="165"/>
      <c r="P858" s="165"/>
      <c r="Q858" s="73"/>
      <c r="R858" s="23"/>
      <c r="S858" s="23"/>
      <c r="T858" s="73"/>
      <c r="U858" s="73"/>
      <c r="V858" s="73"/>
    </row>
    <row r="859" spans="2:22" x14ac:dyDescent="0.2">
      <c r="B859" s="73" t="s">
        <v>9968</v>
      </c>
      <c r="C859" s="33" t="s">
        <v>862</v>
      </c>
      <c r="D859" s="23" t="s">
        <v>863</v>
      </c>
      <c r="E859" s="73"/>
      <c r="F859" s="73"/>
      <c r="G859" s="73"/>
      <c r="H859" s="73"/>
      <c r="I859" s="73"/>
      <c r="J859" s="33" t="s">
        <v>9374</v>
      </c>
      <c r="K859" s="33" t="s">
        <v>11016</v>
      </c>
      <c r="L859" s="33" t="s">
        <v>121</v>
      </c>
      <c r="M859" s="33" t="s">
        <v>9376</v>
      </c>
      <c r="N859" s="73"/>
      <c r="O859" s="73"/>
      <c r="P859" s="73"/>
      <c r="Q859" s="75"/>
      <c r="R859" s="75"/>
      <c r="S859" s="75"/>
      <c r="T859" s="75"/>
      <c r="U859" s="75"/>
      <c r="V859" s="75"/>
    </row>
    <row r="860" spans="2:22" x14ac:dyDescent="0.2">
      <c r="B860" s="166"/>
      <c r="C860" s="166"/>
      <c r="D860" s="166"/>
      <c r="E860" s="166"/>
      <c r="F860" s="166"/>
      <c r="G860" s="166"/>
      <c r="H860" s="166"/>
      <c r="I860" s="166"/>
      <c r="J860" s="166"/>
      <c r="K860" s="166"/>
      <c r="L860" s="166"/>
      <c r="M860" s="166"/>
      <c r="N860" s="166"/>
      <c r="O860" s="166"/>
      <c r="P860" s="166"/>
      <c r="Q860" s="76"/>
      <c r="R860" s="76"/>
      <c r="S860" s="76"/>
      <c r="T860" s="76"/>
      <c r="U860" s="76"/>
      <c r="V860" s="76"/>
    </row>
    <row r="861" spans="2:22" x14ac:dyDescent="0.2">
      <c r="B861" s="165" t="s">
        <v>9970</v>
      </c>
      <c r="C861" s="165"/>
      <c r="D861" s="165"/>
      <c r="E861" s="165"/>
      <c r="F861" s="165"/>
      <c r="G861" s="165"/>
      <c r="H861" s="165"/>
      <c r="I861" s="165"/>
      <c r="J861" s="165"/>
      <c r="K861" s="165"/>
      <c r="L861" s="165"/>
      <c r="M861" s="165"/>
      <c r="N861" s="165"/>
      <c r="O861" s="165"/>
      <c r="P861" s="165"/>
      <c r="Q861" s="73"/>
      <c r="R861" s="23"/>
      <c r="S861" s="23"/>
      <c r="T861" s="73"/>
      <c r="U861" s="73"/>
      <c r="V861" s="73"/>
    </row>
    <row r="862" spans="2:22" x14ac:dyDescent="0.2">
      <c r="B862" s="73" t="s">
        <v>9970</v>
      </c>
      <c r="C862" s="33" t="s">
        <v>864</v>
      </c>
      <c r="D862" s="23" t="s">
        <v>865</v>
      </c>
      <c r="E862" s="73"/>
      <c r="F862" s="73"/>
      <c r="G862" s="73"/>
      <c r="H862" s="73"/>
      <c r="I862" s="73"/>
      <c r="J862" s="33" t="s">
        <v>9374</v>
      </c>
      <c r="K862" s="33" t="s">
        <v>9375</v>
      </c>
      <c r="L862" s="33" t="s">
        <v>121</v>
      </c>
      <c r="M862" s="33" t="s">
        <v>9376</v>
      </c>
      <c r="N862" s="73"/>
      <c r="O862" s="73"/>
      <c r="P862" s="73"/>
      <c r="Q862" s="73"/>
      <c r="R862" s="23"/>
      <c r="S862" s="23"/>
      <c r="T862" s="73"/>
      <c r="U862" s="73"/>
      <c r="V862" s="73"/>
    </row>
    <row r="863" spans="2:22" x14ac:dyDescent="0.2">
      <c r="B863" s="73" t="s">
        <v>9970</v>
      </c>
      <c r="C863" s="33" t="s">
        <v>1641</v>
      </c>
      <c r="D863" s="23" t="s">
        <v>1642</v>
      </c>
      <c r="E863" s="73" t="s">
        <v>11104</v>
      </c>
      <c r="F863" s="73" t="s">
        <v>10902</v>
      </c>
      <c r="G863" s="73"/>
      <c r="H863" s="73" t="s">
        <v>11105</v>
      </c>
      <c r="I863" s="73" t="s">
        <v>11106</v>
      </c>
      <c r="J863" s="33" t="s">
        <v>9374</v>
      </c>
      <c r="K863" s="33" t="s">
        <v>9375</v>
      </c>
      <c r="L863" s="33" t="s">
        <v>121</v>
      </c>
      <c r="M863" s="33" t="s">
        <v>9376</v>
      </c>
      <c r="N863" s="73"/>
      <c r="O863" s="73"/>
      <c r="P863" s="73"/>
      <c r="Q863" s="75"/>
      <c r="R863" s="75"/>
      <c r="S863" s="75"/>
      <c r="T863" s="75"/>
      <c r="U863" s="75"/>
      <c r="V863" s="75"/>
    </row>
    <row r="864" spans="2:22" x14ac:dyDescent="0.2">
      <c r="B864" s="166"/>
      <c r="C864" s="166"/>
      <c r="D864" s="166"/>
      <c r="E864" s="166"/>
      <c r="F864" s="166"/>
      <c r="G864" s="166"/>
      <c r="H864" s="166"/>
      <c r="I864" s="166"/>
      <c r="J864" s="166"/>
      <c r="K864" s="166"/>
      <c r="L864" s="166"/>
      <c r="M864" s="166"/>
      <c r="N864" s="166"/>
      <c r="O864" s="166"/>
      <c r="P864" s="166"/>
      <c r="Q864" s="76"/>
      <c r="R864" s="76"/>
      <c r="S864" s="76"/>
      <c r="T864" s="76"/>
      <c r="U864" s="76"/>
      <c r="V864" s="76"/>
    </row>
    <row r="865" spans="2:22" x14ac:dyDescent="0.2">
      <c r="B865" s="165" t="s">
        <v>9973</v>
      </c>
      <c r="C865" s="165"/>
      <c r="D865" s="165"/>
      <c r="E865" s="165"/>
      <c r="F865" s="165"/>
      <c r="G865" s="165"/>
      <c r="H865" s="165"/>
      <c r="I865" s="165"/>
      <c r="J865" s="165"/>
      <c r="K865" s="165"/>
      <c r="L865" s="165"/>
      <c r="M865" s="165"/>
      <c r="N865" s="165"/>
      <c r="O865" s="165"/>
      <c r="P865" s="165"/>
      <c r="Q865" s="73"/>
      <c r="R865" s="23"/>
      <c r="S865" s="23"/>
      <c r="T865" s="73"/>
      <c r="U865" s="73"/>
      <c r="V865" s="73"/>
    </row>
    <row r="866" spans="2:22" x14ac:dyDescent="0.2">
      <c r="B866" s="73" t="s">
        <v>9973</v>
      </c>
      <c r="C866" s="33" t="s">
        <v>866</v>
      </c>
      <c r="D866" s="23" t="s">
        <v>867</v>
      </c>
      <c r="E866" s="73"/>
      <c r="F866" s="73"/>
      <c r="G866" s="73"/>
      <c r="H866" s="73"/>
      <c r="I866" s="73"/>
      <c r="J866" s="33" t="s">
        <v>9374</v>
      </c>
      <c r="K866" s="33" t="s">
        <v>11016</v>
      </c>
      <c r="L866" s="33" t="s">
        <v>121</v>
      </c>
      <c r="M866" s="33" t="s">
        <v>9376</v>
      </c>
      <c r="N866" s="73"/>
      <c r="O866" s="73"/>
      <c r="P866" s="73"/>
      <c r="Q866" s="73"/>
      <c r="R866" s="23"/>
      <c r="S866" s="23"/>
      <c r="T866" s="73"/>
      <c r="U866" s="73"/>
      <c r="V866" s="73"/>
    </row>
    <row r="867" spans="2:22" x14ac:dyDescent="0.2">
      <c r="B867" s="166"/>
      <c r="C867" s="166"/>
      <c r="D867" s="166"/>
      <c r="E867" s="166"/>
      <c r="F867" s="166"/>
      <c r="G867" s="166"/>
      <c r="H867" s="166"/>
      <c r="I867" s="166"/>
      <c r="J867" s="166"/>
      <c r="K867" s="166"/>
      <c r="L867" s="166"/>
      <c r="M867" s="166"/>
      <c r="N867" s="166"/>
      <c r="O867" s="166"/>
      <c r="P867" s="166"/>
      <c r="Q867" s="75"/>
      <c r="R867" s="75"/>
      <c r="S867" s="75"/>
      <c r="T867" s="75"/>
      <c r="U867" s="75"/>
      <c r="V867" s="75"/>
    </row>
    <row r="868" spans="2:22" x14ac:dyDescent="0.2">
      <c r="B868" s="165" t="s">
        <v>9975</v>
      </c>
      <c r="C868" s="165"/>
      <c r="D868" s="165"/>
      <c r="E868" s="165"/>
      <c r="F868" s="165"/>
      <c r="G868" s="165"/>
      <c r="H868" s="165"/>
      <c r="I868" s="165"/>
      <c r="J868" s="165"/>
      <c r="K868" s="165"/>
      <c r="L868" s="165"/>
      <c r="M868" s="165"/>
      <c r="N868" s="165"/>
      <c r="O868" s="165"/>
      <c r="P868" s="165"/>
      <c r="Q868" s="76"/>
      <c r="R868" s="76"/>
      <c r="S868" s="76"/>
      <c r="T868" s="76"/>
      <c r="U868" s="76"/>
      <c r="V868" s="76"/>
    </row>
    <row r="869" spans="2:22" x14ac:dyDescent="0.2">
      <c r="B869" s="73" t="s">
        <v>9975</v>
      </c>
      <c r="C869" s="33" t="s">
        <v>868</v>
      </c>
      <c r="D869" s="23" t="s">
        <v>869</v>
      </c>
      <c r="E869" s="73"/>
      <c r="F869" s="73"/>
      <c r="G869" s="73"/>
      <c r="H869" s="73"/>
      <c r="I869" s="73"/>
      <c r="J869" s="33" t="s">
        <v>9374</v>
      </c>
      <c r="K869" s="33" t="s">
        <v>9375</v>
      </c>
      <c r="L869" s="33" t="s">
        <v>121</v>
      </c>
      <c r="M869" s="33" t="s">
        <v>9376</v>
      </c>
      <c r="N869" s="73"/>
      <c r="O869" s="73"/>
      <c r="P869" s="73"/>
      <c r="Q869" s="73"/>
      <c r="R869" s="23"/>
      <c r="S869" s="23"/>
      <c r="T869" s="73"/>
      <c r="U869" s="73"/>
      <c r="V869" s="73"/>
    </row>
    <row r="870" spans="2:22" ht="20.399999999999999" x14ac:dyDescent="0.2">
      <c r="B870" s="73" t="s">
        <v>9975</v>
      </c>
      <c r="C870" s="33" t="s">
        <v>1670</v>
      </c>
      <c r="D870" s="23" t="s">
        <v>1671</v>
      </c>
      <c r="E870" s="73" t="s">
        <v>11107</v>
      </c>
      <c r="F870" s="73" t="s">
        <v>10902</v>
      </c>
      <c r="G870" s="73"/>
      <c r="H870" s="73" t="s">
        <v>10992</v>
      </c>
      <c r="I870" s="73" t="s">
        <v>11108</v>
      </c>
      <c r="J870" s="33" t="s">
        <v>9374</v>
      </c>
      <c r="K870" s="33" t="s">
        <v>9375</v>
      </c>
      <c r="L870" s="33" t="s">
        <v>121</v>
      </c>
      <c r="M870" s="33" t="s">
        <v>9376</v>
      </c>
      <c r="N870" s="73"/>
      <c r="O870" s="73"/>
      <c r="P870" s="73"/>
      <c r="Q870" s="75"/>
      <c r="R870" s="75"/>
      <c r="S870" s="75"/>
      <c r="T870" s="75"/>
      <c r="U870" s="75"/>
      <c r="V870" s="75"/>
    </row>
    <row r="871" spans="2:22" x14ac:dyDescent="0.2">
      <c r="B871" s="73" t="s">
        <v>9975</v>
      </c>
      <c r="C871" s="33" t="s">
        <v>1673</v>
      </c>
      <c r="D871" s="23" t="s">
        <v>1674</v>
      </c>
      <c r="E871" s="73" t="s">
        <v>11107</v>
      </c>
      <c r="F871" s="73" t="s">
        <v>10902</v>
      </c>
      <c r="G871" s="73"/>
      <c r="H871" s="73" t="s">
        <v>10992</v>
      </c>
      <c r="I871" s="73" t="s">
        <v>11109</v>
      </c>
      <c r="J871" s="33" t="s">
        <v>9374</v>
      </c>
      <c r="K871" s="33" t="s">
        <v>9375</v>
      </c>
      <c r="L871" s="33" t="s">
        <v>121</v>
      </c>
      <c r="M871" s="33" t="s">
        <v>9376</v>
      </c>
      <c r="N871" s="73"/>
      <c r="O871" s="73"/>
      <c r="P871" s="73"/>
      <c r="Q871" s="76"/>
      <c r="R871" s="76"/>
      <c r="S871" s="76"/>
      <c r="T871" s="76"/>
      <c r="U871" s="76"/>
      <c r="V871" s="76"/>
    </row>
    <row r="872" spans="2:22" x14ac:dyDescent="0.2">
      <c r="B872" s="166"/>
      <c r="C872" s="166"/>
      <c r="D872" s="166"/>
      <c r="E872" s="166"/>
      <c r="F872" s="166"/>
      <c r="G872" s="166"/>
      <c r="H872" s="166"/>
      <c r="I872" s="166"/>
      <c r="J872" s="166"/>
      <c r="K872" s="166"/>
      <c r="L872" s="166"/>
      <c r="M872" s="166"/>
      <c r="N872" s="166"/>
      <c r="O872" s="166"/>
      <c r="P872" s="166"/>
      <c r="Q872" s="73"/>
      <c r="R872" s="23"/>
      <c r="S872" s="23"/>
      <c r="T872" s="73"/>
      <c r="U872" s="73"/>
      <c r="V872" s="73"/>
    </row>
    <row r="873" spans="2:22" x14ac:dyDescent="0.2">
      <c r="B873" s="165" t="s">
        <v>9978</v>
      </c>
      <c r="C873" s="165"/>
      <c r="D873" s="165"/>
      <c r="E873" s="165"/>
      <c r="F873" s="165"/>
      <c r="G873" s="165"/>
      <c r="H873" s="165"/>
      <c r="I873" s="165"/>
      <c r="J873" s="165"/>
      <c r="K873" s="165"/>
      <c r="L873" s="165"/>
      <c r="M873" s="165"/>
      <c r="N873" s="165"/>
      <c r="O873" s="165"/>
      <c r="P873" s="165"/>
      <c r="Q873" s="73"/>
      <c r="R873" s="23"/>
      <c r="S873" s="23"/>
      <c r="T873" s="73"/>
      <c r="U873" s="73"/>
      <c r="V873" s="73"/>
    </row>
    <row r="874" spans="2:22" x14ac:dyDescent="0.2">
      <c r="B874" s="73" t="s">
        <v>9978</v>
      </c>
      <c r="C874" s="33" t="s">
        <v>870</v>
      </c>
      <c r="D874" s="23" t="s">
        <v>871</v>
      </c>
      <c r="E874" s="73"/>
      <c r="F874" s="73"/>
      <c r="G874" s="73"/>
      <c r="H874" s="73"/>
      <c r="I874" s="73"/>
      <c r="J874" s="33" t="s">
        <v>9374</v>
      </c>
      <c r="K874" s="33" t="s">
        <v>11016</v>
      </c>
      <c r="L874" s="33" t="s">
        <v>121</v>
      </c>
      <c r="M874" s="33" t="s">
        <v>9376</v>
      </c>
      <c r="N874" s="73"/>
      <c r="O874" s="73"/>
      <c r="P874" s="73"/>
      <c r="Q874" s="75"/>
      <c r="R874" s="75"/>
      <c r="S874" s="75"/>
      <c r="T874" s="75"/>
      <c r="U874" s="75"/>
      <c r="V874" s="75"/>
    </row>
    <row r="875" spans="2:22" x14ac:dyDescent="0.2">
      <c r="B875" s="166"/>
      <c r="C875" s="166"/>
      <c r="D875" s="166"/>
      <c r="E875" s="166"/>
      <c r="F875" s="166"/>
      <c r="G875" s="166"/>
      <c r="H875" s="166"/>
      <c r="I875" s="166"/>
      <c r="J875" s="166"/>
      <c r="K875" s="166"/>
      <c r="L875" s="166"/>
      <c r="M875" s="166"/>
      <c r="N875" s="166"/>
      <c r="O875" s="166"/>
      <c r="P875" s="166"/>
      <c r="Q875" s="76"/>
      <c r="R875" s="76"/>
      <c r="S875" s="76"/>
      <c r="T875" s="76"/>
      <c r="U875" s="76"/>
      <c r="V875" s="76"/>
    </row>
    <row r="876" spans="2:22" x14ac:dyDescent="0.2">
      <c r="B876" s="165" t="s">
        <v>9981</v>
      </c>
      <c r="C876" s="165"/>
      <c r="D876" s="165"/>
      <c r="E876" s="165"/>
      <c r="F876" s="165"/>
      <c r="G876" s="165"/>
      <c r="H876" s="165"/>
      <c r="I876" s="165"/>
      <c r="J876" s="165"/>
      <c r="K876" s="165"/>
      <c r="L876" s="165"/>
      <c r="M876" s="165"/>
      <c r="N876" s="165"/>
      <c r="O876" s="165"/>
      <c r="P876" s="165"/>
      <c r="Q876" s="73"/>
      <c r="R876" s="23"/>
      <c r="S876" s="23"/>
      <c r="T876" s="73"/>
      <c r="U876" s="73"/>
      <c r="V876" s="73"/>
    </row>
    <row r="877" spans="2:22" x14ac:dyDescent="0.2">
      <c r="B877" s="73" t="s">
        <v>9981</v>
      </c>
      <c r="C877" s="33" t="s">
        <v>872</v>
      </c>
      <c r="D877" s="23" t="s">
        <v>873</v>
      </c>
      <c r="E877" s="73"/>
      <c r="F877" s="73"/>
      <c r="G877" s="73"/>
      <c r="H877" s="73"/>
      <c r="I877" s="73"/>
      <c r="J877" s="33" t="s">
        <v>9374</v>
      </c>
      <c r="K877" s="33" t="s">
        <v>11016</v>
      </c>
      <c r="L877" s="33" t="s">
        <v>121</v>
      </c>
      <c r="M877" s="33" t="s">
        <v>9376</v>
      </c>
      <c r="N877" s="73"/>
      <c r="O877" s="73"/>
      <c r="P877" s="73"/>
      <c r="Q877" s="73"/>
      <c r="R877" s="23"/>
      <c r="S877" s="23"/>
      <c r="T877" s="73"/>
      <c r="U877" s="73"/>
      <c r="V877" s="73"/>
    </row>
    <row r="878" spans="2:22" x14ac:dyDescent="0.2">
      <c r="B878" s="166"/>
      <c r="C878" s="166"/>
      <c r="D878" s="166"/>
      <c r="E878" s="166"/>
      <c r="F878" s="166"/>
      <c r="G878" s="166"/>
      <c r="H878" s="166"/>
      <c r="I878" s="166"/>
      <c r="J878" s="166"/>
      <c r="K878" s="166"/>
      <c r="L878" s="166"/>
      <c r="M878" s="166"/>
      <c r="N878" s="166"/>
      <c r="O878" s="166"/>
      <c r="P878" s="166"/>
      <c r="Q878" s="75"/>
      <c r="R878" s="75"/>
      <c r="S878" s="75"/>
      <c r="T878" s="75"/>
      <c r="U878" s="75"/>
      <c r="V878" s="75"/>
    </row>
    <row r="879" spans="2:22" x14ac:dyDescent="0.2">
      <c r="B879" s="165" t="s">
        <v>9984</v>
      </c>
      <c r="C879" s="165"/>
      <c r="D879" s="165"/>
      <c r="E879" s="165"/>
      <c r="F879" s="165"/>
      <c r="G879" s="165"/>
      <c r="H879" s="165"/>
      <c r="I879" s="165"/>
      <c r="J879" s="165"/>
      <c r="K879" s="165"/>
      <c r="L879" s="165"/>
      <c r="M879" s="165"/>
      <c r="N879" s="165"/>
      <c r="O879" s="165"/>
      <c r="P879" s="165"/>
      <c r="Q879" s="76"/>
      <c r="R879" s="76"/>
      <c r="S879" s="76"/>
      <c r="T879" s="76"/>
      <c r="U879" s="76"/>
      <c r="V879" s="76"/>
    </row>
    <row r="880" spans="2:22" x14ac:dyDescent="0.2">
      <c r="B880" s="73" t="s">
        <v>9984</v>
      </c>
      <c r="C880" s="33" t="s">
        <v>874</v>
      </c>
      <c r="D880" s="23" t="s">
        <v>875</v>
      </c>
      <c r="E880" s="73"/>
      <c r="F880" s="73"/>
      <c r="G880" s="73"/>
      <c r="H880" s="73"/>
      <c r="I880" s="73"/>
      <c r="J880" s="33" t="s">
        <v>9374</v>
      </c>
      <c r="K880" s="33" t="s">
        <v>11016</v>
      </c>
      <c r="L880" s="33" t="s">
        <v>121</v>
      </c>
      <c r="M880" s="33" t="s">
        <v>9376</v>
      </c>
      <c r="N880" s="73"/>
      <c r="O880" s="73"/>
      <c r="P880" s="73"/>
      <c r="Q880" s="73"/>
      <c r="R880" s="23"/>
      <c r="S880" s="23"/>
      <c r="T880" s="73"/>
      <c r="U880" s="73"/>
      <c r="V880" s="73"/>
    </row>
    <row r="881" spans="2:22" x14ac:dyDescent="0.2">
      <c r="B881" s="166"/>
      <c r="C881" s="166"/>
      <c r="D881" s="166"/>
      <c r="E881" s="166"/>
      <c r="F881" s="166"/>
      <c r="G881" s="166"/>
      <c r="H881" s="166"/>
      <c r="I881" s="166"/>
      <c r="J881" s="166"/>
      <c r="K881" s="166"/>
      <c r="L881" s="166"/>
      <c r="M881" s="166"/>
      <c r="N881" s="166"/>
      <c r="O881" s="166"/>
      <c r="P881" s="166"/>
      <c r="Q881" s="75"/>
      <c r="R881" s="75"/>
      <c r="S881" s="75"/>
      <c r="T881" s="75"/>
      <c r="U881" s="75"/>
      <c r="V881" s="75"/>
    </row>
    <row r="882" spans="2:22" x14ac:dyDescent="0.2">
      <c r="B882" s="165" t="s">
        <v>9987</v>
      </c>
      <c r="C882" s="165"/>
      <c r="D882" s="165"/>
      <c r="E882" s="165"/>
      <c r="F882" s="165"/>
      <c r="G882" s="165"/>
      <c r="H882" s="165"/>
      <c r="I882" s="165"/>
      <c r="J882" s="165"/>
      <c r="K882" s="165"/>
      <c r="L882" s="165"/>
      <c r="M882" s="165"/>
      <c r="N882" s="165"/>
      <c r="O882" s="165"/>
      <c r="P882" s="165"/>
      <c r="Q882" s="76"/>
      <c r="R882" s="76"/>
      <c r="S882" s="76"/>
      <c r="T882" s="76"/>
      <c r="U882" s="76"/>
      <c r="V882" s="76"/>
    </row>
    <row r="883" spans="2:22" x14ac:dyDescent="0.2">
      <c r="B883" s="73" t="s">
        <v>9987</v>
      </c>
      <c r="C883" s="33" t="s">
        <v>876</v>
      </c>
      <c r="D883" s="23" t="s">
        <v>877</v>
      </c>
      <c r="E883" s="73"/>
      <c r="F883" s="73"/>
      <c r="G883" s="73"/>
      <c r="H883" s="73"/>
      <c r="I883" s="73"/>
      <c r="J883" s="33" t="s">
        <v>9374</v>
      </c>
      <c r="K883" s="33" t="s">
        <v>9375</v>
      </c>
      <c r="L883" s="33" t="s">
        <v>121</v>
      </c>
      <c r="M883" s="33" t="s">
        <v>9376</v>
      </c>
      <c r="N883" s="73"/>
      <c r="O883" s="73"/>
      <c r="P883" s="73"/>
      <c r="Q883" s="73"/>
      <c r="R883" s="23"/>
      <c r="S883" s="23"/>
      <c r="T883" s="73"/>
      <c r="U883" s="73"/>
      <c r="V883" s="73"/>
    </row>
    <row r="884" spans="2:22" ht="30.6" x14ac:dyDescent="0.2">
      <c r="B884" s="73" t="s">
        <v>9987</v>
      </c>
      <c r="C884" s="33" t="s">
        <v>1736</v>
      </c>
      <c r="D884" s="23" t="s">
        <v>1737</v>
      </c>
      <c r="E884" s="73" t="s">
        <v>11110</v>
      </c>
      <c r="F884" s="73" t="s">
        <v>10902</v>
      </c>
      <c r="G884" s="73"/>
      <c r="H884" s="73" t="s">
        <v>11111</v>
      </c>
      <c r="I884" s="73" t="s">
        <v>11112</v>
      </c>
      <c r="J884" s="33" t="s">
        <v>9374</v>
      </c>
      <c r="K884" s="33" t="s">
        <v>9375</v>
      </c>
      <c r="L884" s="33" t="s">
        <v>121</v>
      </c>
      <c r="M884" s="33" t="s">
        <v>9376</v>
      </c>
      <c r="N884" s="73"/>
      <c r="O884" s="73"/>
      <c r="P884" s="73"/>
      <c r="Q884" s="75"/>
      <c r="R884" s="75"/>
      <c r="S884" s="75"/>
      <c r="T884" s="75"/>
      <c r="U884" s="75"/>
      <c r="V884" s="75"/>
    </row>
    <row r="885" spans="2:22" x14ac:dyDescent="0.2">
      <c r="B885" s="166"/>
      <c r="C885" s="166"/>
      <c r="D885" s="166"/>
      <c r="E885" s="166"/>
      <c r="F885" s="166"/>
      <c r="G885" s="166"/>
      <c r="H885" s="166"/>
      <c r="I885" s="166"/>
      <c r="J885" s="166"/>
      <c r="K885" s="166"/>
      <c r="L885" s="166"/>
      <c r="M885" s="166"/>
      <c r="N885" s="166"/>
      <c r="O885" s="166"/>
      <c r="P885" s="166"/>
      <c r="Q885" s="76"/>
      <c r="R885" s="76"/>
      <c r="S885" s="76"/>
      <c r="T885" s="76"/>
      <c r="U885" s="76"/>
      <c r="V885" s="76"/>
    </row>
    <row r="886" spans="2:22" x14ac:dyDescent="0.2">
      <c r="B886" s="165" t="s">
        <v>9990</v>
      </c>
      <c r="C886" s="165"/>
      <c r="D886" s="165"/>
      <c r="E886" s="165"/>
      <c r="F886" s="165"/>
      <c r="G886" s="165"/>
      <c r="H886" s="165"/>
      <c r="I886" s="165"/>
      <c r="J886" s="165"/>
      <c r="K886" s="165"/>
      <c r="L886" s="165"/>
      <c r="M886" s="165"/>
      <c r="N886" s="165"/>
      <c r="O886" s="165"/>
      <c r="P886" s="165"/>
      <c r="Q886" s="73"/>
      <c r="R886" s="23"/>
      <c r="S886" s="23"/>
      <c r="T886" s="73"/>
      <c r="U886" s="73"/>
      <c r="V886" s="73"/>
    </row>
    <row r="887" spans="2:22" x14ac:dyDescent="0.2">
      <c r="B887" s="73" t="s">
        <v>9990</v>
      </c>
      <c r="C887" s="33" t="s">
        <v>878</v>
      </c>
      <c r="D887" s="23" t="s">
        <v>879</v>
      </c>
      <c r="E887" s="73"/>
      <c r="F887" s="73"/>
      <c r="G887" s="73"/>
      <c r="H887" s="73"/>
      <c r="I887" s="73"/>
      <c r="J887" s="33" t="s">
        <v>9374</v>
      </c>
      <c r="K887" s="33" t="s">
        <v>9375</v>
      </c>
      <c r="L887" s="33" t="s">
        <v>121</v>
      </c>
      <c r="M887" s="33" t="s">
        <v>9376</v>
      </c>
      <c r="N887" s="73"/>
      <c r="O887" s="73"/>
      <c r="P887" s="73"/>
      <c r="Q887" s="73"/>
      <c r="R887" s="23"/>
      <c r="S887" s="23"/>
      <c r="T887" s="73"/>
      <c r="U887" s="73"/>
      <c r="V887" s="73"/>
    </row>
    <row r="888" spans="2:22" x14ac:dyDescent="0.2">
      <c r="B888" s="73" t="s">
        <v>9990</v>
      </c>
      <c r="C888" s="33" t="s">
        <v>1649</v>
      </c>
      <c r="D888" s="23" t="s">
        <v>1650</v>
      </c>
      <c r="E888" s="73" t="s">
        <v>11113</v>
      </c>
      <c r="F888" s="73" t="s">
        <v>10902</v>
      </c>
      <c r="G888" s="73"/>
      <c r="H888" s="73" t="s">
        <v>11114</v>
      </c>
      <c r="I888" s="73" t="s">
        <v>11115</v>
      </c>
      <c r="J888" s="33" t="s">
        <v>9374</v>
      </c>
      <c r="K888" s="33" t="s">
        <v>9375</v>
      </c>
      <c r="L888" s="33" t="s">
        <v>121</v>
      </c>
      <c r="M888" s="33" t="s">
        <v>9376</v>
      </c>
      <c r="N888" s="73"/>
      <c r="O888" s="73"/>
      <c r="P888" s="73"/>
      <c r="Q888" s="75"/>
      <c r="R888" s="75"/>
      <c r="S888" s="75"/>
      <c r="T888" s="75"/>
      <c r="U888" s="75"/>
      <c r="V888" s="75"/>
    </row>
    <row r="889" spans="2:22" x14ac:dyDescent="0.2">
      <c r="B889" s="166"/>
      <c r="C889" s="166"/>
      <c r="D889" s="166"/>
      <c r="E889" s="166"/>
      <c r="F889" s="166"/>
      <c r="G889" s="166"/>
      <c r="H889" s="166"/>
      <c r="I889" s="166"/>
      <c r="J889" s="166"/>
      <c r="K889" s="166"/>
      <c r="L889" s="166"/>
      <c r="M889" s="166"/>
      <c r="N889" s="166"/>
      <c r="O889" s="166"/>
      <c r="P889" s="166"/>
      <c r="Q889" s="76"/>
      <c r="R889" s="76"/>
      <c r="S889" s="76"/>
      <c r="T889" s="76"/>
      <c r="U889" s="76"/>
      <c r="V889" s="76"/>
    </row>
    <row r="890" spans="2:22" x14ac:dyDescent="0.2">
      <c r="B890" s="165" t="s">
        <v>9993</v>
      </c>
      <c r="C890" s="165"/>
      <c r="D890" s="165"/>
      <c r="E890" s="165"/>
      <c r="F890" s="165"/>
      <c r="G890" s="165"/>
      <c r="H890" s="165"/>
      <c r="I890" s="165"/>
      <c r="J890" s="165"/>
      <c r="K890" s="165"/>
      <c r="L890" s="165"/>
      <c r="M890" s="165"/>
      <c r="N890" s="165"/>
      <c r="O890" s="165"/>
      <c r="P890" s="165"/>
      <c r="Q890" s="73"/>
      <c r="R890" s="23"/>
      <c r="S890" s="23"/>
      <c r="T890" s="73"/>
      <c r="U890" s="73"/>
      <c r="V890" s="73"/>
    </row>
    <row r="891" spans="2:22" x14ac:dyDescent="0.2">
      <c r="B891" s="73" t="s">
        <v>9993</v>
      </c>
      <c r="C891" s="33" t="s">
        <v>880</v>
      </c>
      <c r="D891" s="23" t="s">
        <v>881</v>
      </c>
      <c r="E891" s="73"/>
      <c r="F891" s="73"/>
      <c r="G891" s="73"/>
      <c r="H891" s="73"/>
      <c r="I891" s="73"/>
      <c r="J891" s="33" t="s">
        <v>9374</v>
      </c>
      <c r="K891" s="33" t="s">
        <v>11016</v>
      </c>
      <c r="L891" s="33" t="s">
        <v>121</v>
      </c>
      <c r="M891" s="33" t="s">
        <v>9376</v>
      </c>
      <c r="N891" s="73"/>
      <c r="O891" s="73"/>
      <c r="P891" s="73"/>
      <c r="Q891" s="75"/>
      <c r="R891" s="75"/>
      <c r="S891" s="75"/>
      <c r="T891" s="75"/>
      <c r="U891" s="75"/>
      <c r="V891" s="75"/>
    </row>
    <row r="892" spans="2:22" x14ac:dyDescent="0.2">
      <c r="B892" s="166"/>
      <c r="C892" s="166"/>
      <c r="D892" s="166"/>
      <c r="E892" s="166"/>
      <c r="F892" s="166"/>
      <c r="G892" s="166"/>
      <c r="H892" s="166"/>
      <c r="I892" s="166"/>
      <c r="J892" s="166"/>
      <c r="K892" s="166"/>
      <c r="L892" s="166"/>
      <c r="M892" s="166"/>
      <c r="N892" s="166"/>
      <c r="O892" s="166"/>
      <c r="P892" s="166"/>
      <c r="Q892" s="76"/>
      <c r="R892" s="76"/>
      <c r="S892" s="76"/>
      <c r="T892" s="76"/>
      <c r="U892" s="76"/>
      <c r="V892" s="76"/>
    </row>
    <row r="893" spans="2:22" x14ac:dyDescent="0.2">
      <c r="B893" s="165" t="s">
        <v>9996</v>
      </c>
      <c r="C893" s="165"/>
      <c r="D893" s="165"/>
      <c r="E893" s="165"/>
      <c r="F893" s="165"/>
      <c r="G893" s="165"/>
      <c r="H893" s="165"/>
      <c r="I893" s="165"/>
      <c r="J893" s="165"/>
      <c r="K893" s="165"/>
      <c r="L893" s="165"/>
      <c r="M893" s="165"/>
      <c r="N893" s="165"/>
      <c r="O893" s="165"/>
      <c r="P893" s="165"/>
      <c r="Q893" s="73"/>
      <c r="R893" s="23"/>
      <c r="S893" s="23"/>
      <c r="T893" s="73"/>
      <c r="U893" s="73"/>
      <c r="V893" s="73"/>
    </row>
    <row r="894" spans="2:22" x14ac:dyDescent="0.2">
      <c r="B894" s="73" t="s">
        <v>9996</v>
      </c>
      <c r="C894" s="33" t="s">
        <v>882</v>
      </c>
      <c r="D894" s="23" t="s">
        <v>883</v>
      </c>
      <c r="E894" s="73"/>
      <c r="F894" s="73"/>
      <c r="G894" s="73"/>
      <c r="H894" s="73"/>
      <c r="I894" s="73"/>
      <c r="J894" s="33" t="s">
        <v>9374</v>
      </c>
      <c r="K894" s="33" t="s">
        <v>9375</v>
      </c>
      <c r="L894" s="33" t="s">
        <v>121</v>
      </c>
      <c r="M894" s="33" t="s">
        <v>9376</v>
      </c>
      <c r="N894" s="73"/>
      <c r="O894" s="73"/>
      <c r="P894" s="73"/>
      <c r="Q894" s="75"/>
      <c r="R894" s="75"/>
      <c r="S894" s="75"/>
      <c r="T894" s="75"/>
      <c r="U894" s="75"/>
      <c r="V894" s="75"/>
    </row>
    <row r="895" spans="2:22" x14ac:dyDescent="0.2">
      <c r="B895" s="166"/>
      <c r="C895" s="166"/>
      <c r="D895" s="166"/>
      <c r="E895" s="166"/>
      <c r="F895" s="166"/>
      <c r="G895" s="166"/>
      <c r="H895" s="166"/>
      <c r="I895" s="166"/>
      <c r="J895" s="166"/>
      <c r="K895" s="166"/>
      <c r="L895" s="166"/>
      <c r="M895" s="166"/>
      <c r="N895" s="166"/>
      <c r="O895" s="166"/>
      <c r="P895" s="166"/>
      <c r="Q895" s="76"/>
      <c r="R895" s="76"/>
      <c r="S895" s="76"/>
      <c r="T895" s="76"/>
      <c r="U895" s="76"/>
      <c r="V895" s="76"/>
    </row>
    <row r="896" spans="2:22" x14ac:dyDescent="0.2">
      <c r="B896" s="165" t="s">
        <v>9999</v>
      </c>
      <c r="C896" s="165"/>
      <c r="D896" s="165"/>
      <c r="E896" s="165"/>
      <c r="F896" s="165"/>
      <c r="G896" s="165"/>
      <c r="H896" s="165"/>
      <c r="I896" s="165"/>
      <c r="J896" s="165"/>
      <c r="K896" s="165"/>
      <c r="L896" s="165"/>
      <c r="M896" s="165"/>
      <c r="N896" s="165"/>
      <c r="O896" s="165"/>
      <c r="P896" s="165"/>
      <c r="Q896" s="73"/>
      <c r="R896" s="23"/>
      <c r="S896" s="23"/>
      <c r="T896" s="73"/>
      <c r="U896" s="73"/>
      <c r="V896" s="73"/>
    </row>
    <row r="897" spans="2:22" x14ac:dyDescent="0.2">
      <c r="B897" s="73" t="s">
        <v>9999</v>
      </c>
      <c r="C897" s="33" t="s">
        <v>884</v>
      </c>
      <c r="D897" s="23" t="s">
        <v>885</v>
      </c>
      <c r="E897" s="73"/>
      <c r="F897" s="73"/>
      <c r="G897" s="73"/>
      <c r="H897" s="73"/>
      <c r="I897" s="73"/>
      <c r="J897" s="33" t="s">
        <v>9374</v>
      </c>
      <c r="K897" s="33" t="s">
        <v>11016</v>
      </c>
      <c r="L897" s="33" t="s">
        <v>121</v>
      </c>
      <c r="M897" s="33" t="s">
        <v>9376</v>
      </c>
      <c r="N897" s="73"/>
      <c r="O897" s="73"/>
      <c r="P897" s="73"/>
      <c r="Q897" s="75"/>
      <c r="R897" s="75"/>
      <c r="S897" s="75"/>
      <c r="T897" s="75"/>
      <c r="U897" s="75"/>
      <c r="V897" s="75"/>
    </row>
    <row r="898" spans="2:22" x14ac:dyDescent="0.2">
      <c r="B898" s="166"/>
      <c r="C898" s="166"/>
      <c r="D898" s="166"/>
      <c r="E898" s="166"/>
      <c r="F898" s="166"/>
      <c r="G898" s="166"/>
      <c r="H898" s="166"/>
      <c r="I898" s="166"/>
      <c r="J898" s="166"/>
      <c r="K898" s="166"/>
      <c r="L898" s="166"/>
      <c r="M898" s="166"/>
      <c r="N898" s="166"/>
      <c r="O898" s="166"/>
      <c r="P898" s="166"/>
      <c r="Q898" s="76"/>
      <c r="R898" s="76"/>
      <c r="S898" s="76"/>
      <c r="T898" s="76"/>
      <c r="U898" s="76"/>
      <c r="V898" s="76"/>
    </row>
    <row r="899" spans="2:22" x14ac:dyDescent="0.2">
      <c r="B899" s="165" t="s">
        <v>10004</v>
      </c>
      <c r="C899" s="165"/>
      <c r="D899" s="165"/>
      <c r="E899" s="165"/>
      <c r="F899" s="165"/>
      <c r="G899" s="165"/>
      <c r="H899" s="165"/>
      <c r="I899" s="165"/>
      <c r="J899" s="165"/>
      <c r="K899" s="165"/>
      <c r="L899" s="165"/>
      <c r="M899" s="165"/>
      <c r="N899" s="165"/>
      <c r="O899" s="165"/>
      <c r="P899" s="165"/>
      <c r="Q899" s="73"/>
      <c r="R899" s="23"/>
      <c r="S899" s="23"/>
      <c r="T899" s="73"/>
      <c r="U899" s="73"/>
      <c r="V899" s="73"/>
    </row>
    <row r="900" spans="2:22" x14ac:dyDescent="0.2">
      <c r="B900" s="73" t="s">
        <v>10004</v>
      </c>
      <c r="C900" s="33" t="s">
        <v>886</v>
      </c>
      <c r="D900" s="23" t="s">
        <v>887</v>
      </c>
      <c r="E900" s="73"/>
      <c r="F900" s="73"/>
      <c r="G900" s="73"/>
      <c r="H900" s="73"/>
      <c r="I900" s="73"/>
      <c r="J900" s="33" t="s">
        <v>9374</v>
      </c>
      <c r="K900" s="33" t="s">
        <v>11016</v>
      </c>
      <c r="L900" s="33" t="s">
        <v>121</v>
      </c>
      <c r="M900" s="33" t="s">
        <v>9376</v>
      </c>
      <c r="N900" s="73"/>
      <c r="O900" s="73"/>
      <c r="P900" s="73"/>
      <c r="Q900" s="75"/>
      <c r="R900" s="75"/>
      <c r="S900" s="75"/>
      <c r="T900" s="75"/>
      <c r="U900" s="75"/>
      <c r="V900" s="75"/>
    </row>
    <row r="901" spans="2:22" x14ac:dyDescent="0.2">
      <c r="B901" s="166"/>
      <c r="C901" s="166"/>
      <c r="D901" s="166"/>
      <c r="E901" s="166"/>
      <c r="F901" s="166"/>
      <c r="G901" s="166"/>
      <c r="H901" s="166"/>
      <c r="I901" s="166"/>
      <c r="J901" s="166"/>
      <c r="K901" s="166"/>
      <c r="L901" s="166"/>
      <c r="M901" s="166"/>
      <c r="N901" s="166"/>
      <c r="O901" s="166"/>
      <c r="P901" s="166"/>
      <c r="Q901" s="76"/>
      <c r="R901" s="76"/>
      <c r="S901" s="76"/>
      <c r="T901" s="76"/>
      <c r="U901" s="76"/>
      <c r="V901" s="76"/>
    </row>
    <row r="902" spans="2:22" x14ac:dyDescent="0.2">
      <c r="B902" s="165" t="s">
        <v>10006</v>
      </c>
      <c r="C902" s="165"/>
      <c r="D902" s="165"/>
      <c r="E902" s="165"/>
      <c r="F902" s="165"/>
      <c r="G902" s="165"/>
      <c r="H902" s="165"/>
      <c r="I902" s="165"/>
      <c r="J902" s="165"/>
      <c r="K902" s="165"/>
      <c r="L902" s="165"/>
      <c r="M902" s="165"/>
      <c r="N902" s="165"/>
      <c r="O902" s="165"/>
      <c r="P902" s="165"/>
      <c r="Q902" s="73"/>
      <c r="R902" s="23"/>
      <c r="S902" s="23"/>
      <c r="T902" s="73"/>
      <c r="U902" s="73"/>
      <c r="V902" s="73"/>
    </row>
    <row r="903" spans="2:22" x14ac:dyDescent="0.2">
      <c r="B903" s="73" t="s">
        <v>10006</v>
      </c>
      <c r="C903" s="33" t="s">
        <v>888</v>
      </c>
      <c r="D903" s="23" t="s">
        <v>889</v>
      </c>
      <c r="E903" s="73"/>
      <c r="F903" s="73"/>
      <c r="G903" s="73"/>
      <c r="H903" s="73"/>
      <c r="I903" s="73"/>
      <c r="J903" s="33" t="s">
        <v>9374</v>
      </c>
      <c r="K903" s="33" t="s">
        <v>11016</v>
      </c>
      <c r="L903" s="33" t="s">
        <v>121</v>
      </c>
      <c r="M903" s="33" t="s">
        <v>9376</v>
      </c>
      <c r="N903" s="73"/>
      <c r="O903" s="73"/>
      <c r="P903" s="73"/>
      <c r="Q903" s="73"/>
      <c r="R903" s="23"/>
      <c r="S903" s="23"/>
      <c r="T903" s="73"/>
      <c r="U903" s="73"/>
      <c r="V903" s="73"/>
    </row>
    <row r="904" spans="2:22" x14ac:dyDescent="0.2">
      <c r="B904" s="166"/>
      <c r="C904" s="166"/>
      <c r="D904" s="166"/>
      <c r="E904" s="166"/>
      <c r="F904" s="166"/>
      <c r="G904" s="166"/>
      <c r="H904" s="166"/>
      <c r="I904" s="166"/>
      <c r="J904" s="166"/>
      <c r="K904" s="166"/>
      <c r="L904" s="166"/>
      <c r="M904" s="166"/>
      <c r="N904" s="166"/>
      <c r="O904" s="166"/>
      <c r="P904" s="166"/>
      <c r="Q904" s="75"/>
      <c r="R904" s="75"/>
      <c r="S904" s="75"/>
      <c r="T904" s="75"/>
      <c r="U904" s="75"/>
      <c r="V904" s="75"/>
    </row>
    <row r="905" spans="2:22" x14ac:dyDescent="0.2">
      <c r="B905" s="165" t="s">
        <v>10009</v>
      </c>
      <c r="C905" s="165"/>
      <c r="D905" s="165"/>
      <c r="E905" s="165"/>
      <c r="F905" s="165"/>
      <c r="G905" s="165"/>
      <c r="H905" s="165"/>
      <c r="I905" s="165"/>
      <c r="J905" s="165"/>
      <c r="K905" s="165"/>
      <c r="L905" s="165"/>
      <c r="M905" s="165"/>
      <c r="N905" s="165"/>
      <c r="O905" s="165"/>
      <c r="P905" s="165"/>
      <c r="Q905" s="76"/>
      <c r="R905" s="76"/>
      <c r="S905" s="76"/>
      <c r="T905" s="76"/>
      <c r="U905" s="76"/>
      <c r="V905" s="76"/>
    </row>
    <row r="906" spans="2:22" x14ac:dyDescent="0.2">
      <c r="B906" s="73" t="s">
        <v>10009</v>
      </c>
      <c r="C906" s="33" t="s">
        <v>890</v>
      </c>
      <c r="D906" s="23" t="s">
        <v>891</v>
      </c>
      <c r="E906" s="73"/>
      <c r="F906" s="73"/>
      <c r="G906" s="73"/>
      <c r="H906" s="73"/>
      <c r="I906" s="73"/>
      <c r="J906" s="33" t="s">
        <v>9374</v>
      </c>
      <c r="K906" s="33" t="s">
        <v>11016</v>
      </c>
      <c r="L906" s="33" t="s">
        <v>121</v>
      </c>
      <c r="M906" s="33" t="s">
        <v>9376</v>
      </c>
      <c r="N906" s="73"/>
      <c r="O906" s="73"/>
      <c r="P906" s="73"/>
      <c r="Q906" s="73"/>
      <c r="R906" s="23"/>
      <c r="S906" s="23"/>
      <c r="T906" s="73"/>
      <c r="U906" s="73"/>
      <c r="V906" s="73"/>
    </row>
    <row r="907" spans="2:22" x14ac:dyDescent="0.2">
      <c r="B907" s="166"/>
      <c r="C907" s="166"/>
      <c r="D907" s="166"/>
      <c r="E907" s="166"/>
      <c r="F907" s="166"/>
      <c r="G907" s="166"/>
      <c r="H907" s="166"/>
      <c r="I907" s="166"/>
      <c r="J907" s="166"/>
      <c r="K907" s="166"/>
      <c r="L907" s="166"/>
      <c r="M907" s="166"/>
      <c r="N907" s="166"/>
      <c r="O907" s="166"/>
      <c r="P907" s="166"/>
      <c r="Q907" s="75"/>
      <c r="R907" s="75"/>
      <c r="S907" s="75"/>
      <c r="T907" s="75"/>
      <c r="U907" s="75"/>
      <c r="V907" s="75"/>
    </row>
    <row r="908" spans="2:22" x14ac:dyDescent="0.2">
      <c r="B908" s="165" t="s">
        <v>10012</v>
      </c>
      <c r="C908" s="165"/>
      <c r="D908" s="165"/>
      <c r="E908" s="165"/>
      <c r="F908" s="165"/>
      <c r="G908" s="165"/>
      <c r="H908" s="165"/>
      <c r="I908" s="165"/>
      <c r="J908" s="165"/>
      <c r="K908" s="165"/>
      <c r="L908" s="165"/>
      <c r="M908" s="165"/>
      <c r="N908" s="165"/>
      <c r="O908" s="165"/>
      <c r="P908" s="165"/>
      <c r="Q908" s="76"/>
      <c r="R908" s="76"/>
      <c r="S908" s="76"/>
      <c r="T908" s="76"/>
      <c r="U908" s="76"/>
      <c r="V908" s="76"/>
    </row>
    <row r="909" spans="2:22" x14ac:dyDescent="0.2">
      <c r="B909" s="73" t="s">
        <v>10012</v>
      </c>
      <c r="C909" s="33" t="s">
        <v>892</v>
      </c>
      <c r="D909" s="23" t="s">
        <v>893</v>
      </c>
      <c r="E909" s="73"/>
      <c r="F909" s="73"/>
      <c r="G909" s="73"/>
      <c r="H909" s="73"/>
      <c r="I909" s="73"/>
      <c r="J909" s="33" t="s">
        <v>9374</v>
      </c>
      <c r="K909" s="33" t="s">
        <v>11016</v>
      </c>
      <c r="L909" s="33" t="s">
        <v>121</v>
      </c>
      <c r="M909" s="33" t="s">
        <v>9376</v>
      </c>
      <c r="N909" s="73"/>
      <c r="O909" s="73"/>
      <c r="P909" s="73"/>
      <c r="Q909" s="73"/>
      <c r="R909" s="23"/>
      <c r="S909" s="23"/>
      <c r="T909" s="73"/>
      <c r="U909" s="73"/>
      <c r="V909" s="73"/>
    </row>
    <row r="910" spans="2:22" x14ac:dyDescent="0.2">
      <c r="B910" s="73" t="s">
        <v>10012</v>
      </c>
      <c r="C910" s="33" t="s">
        <v>1896</v>
      </c>
      <c r="D910" s="23" t="s">
        <v>1897</v>
      </c>
      <c r="E910" s="73" t="s">
        <v>11002</v>
      </c>
      <c r="F910" s="73" t="s">
        <v>10902</v>
      </c>
      <c r="G910" s="73"/>
      <c r="H910" s="73" t="s">
        <v>10917</v>
      </c>
      <c r="I910" s="73"/>
      <c r="J910" s="33" t="s">
        <v>9374</v>
      </c>
      <c r="K910" s="33" t="s">
        <v>11016</v>
      </c>
      <c r="L910" s="33" t="s">
        <v>121</v>
      </c>
      <c r="M910" s="33" t="s">
        <v>9376</v>
      </c>
      <c r="N910" s="73"/>
      <c r="O910" s="73"/>
      <c r="P910" s="73"/>
      <c r="Q910" s="73"/>
      <c r="R910" s="23"/>
      <c r="S910" s="23"/>
      <c r="T910" s="73"/>
      <c r="U910" s="73"/>
      <c r="V910" s="73"/>
    </row>
    <row r="911" spans="2:22" x14ac:dyDescent="0.2">
      <c r="B911" s="166"/>
      <c r="C911" s="166"/>
      <c r="D911" s="166"/>
      <c r="E911" s="166"/>
      <c r="F911" s="166"/>
      <c r="G911" s="166"/>
      <c r="H911" s="166"/>
      <c r="I911" s="166"/>
      <c r="J911" s="166"/>
      <c r="K911" s="166"/>
      <c r="L911" s="166"/>
      <c r="M911" s="166"/>
      <c r="N911" s="166"/>
      <c r="O911" s="166"/>
      <c r="P911" s="166"/>
      <c r="Q911" s="75"/>
      <c r="R911" s="75"/>
      <c r="S911" s="75"/>
      <c r="T911" s="75"/>
      <c r="U911" s="75"/>
      <c r="V911" s="75"/>
    </row>
    <row r="912" spans="2:22" x14ac:dyDescent="0.2">
      <c r="B912" s="165" t="s">
        <v>10014</v>
      </c>
      <c r="C912" s="165"/>
      <c r="D912" s="165"/>
      <c r="E912" s="165"/>
      <c r="F912" s="165"/>
      <c r="G912" s="165"/>
      <c r="H912" s="165"/>
      <c r="I912" s="165"/>
      <c r="J912" s="165"/>
      <c r="K912" s="165"/>
      <c r="L912" s="165"/>
      <c r="M912" s="165"/>
      <c r="N912" s="165"/>
      <c r="O912" s="165"/>
      <c r="P912" s="165"/>
      <c r="Q912" s="76"/>
      <c r="R912" s="76"/>
      <c r="S912" s="76"/>
      <c r="T912" s="76"/>
      <c r="U912" s="76"/>
      <c r="V912" s="76"/>
    </row>
    <row r="913" spans="2:22" x14ac:dyDescent="0.2">
      <c r="B913" s="73" t="s">
        <v>10014</v>
      </c>
      <c r="C913" s="33" t="s">
        <v>894</v>
      </c>
      <c r="D913" s="23" t="s">
        <v>895</v>
      </c>
      <c r="E913" s="73"/>
      <c r="F913" s="73"/>
      <c r="G913" s="73"/>
      <c r="H913" s="73"/>
      <c r="I913" s="73"/>
      <c r="J913" s="33" t="s">
        <v>9374</v>
      </c>
      <c r="K913" s="33" t="s">
        <v>11016</v>
      </c>
      <c r="L913" s="33" t="s">
        <v>121</v>
      </c>
      <c r="M913" s="33" t="s">
        <v>9376</v>
      </c>
      <c r="N913" s="73"/>
      <c r="O913" s="73"/>
      <c r="P913" s="73"/>
      <c r="Q913" s="73"/>
      <c r="R913" s="23"/>
      <c r="S913" s="23"/>
      <c r="T913" s="73"/>
      <c r="U913" s="73"/>
      <c r="V913" s="73"/>
    </row>
    <row r="914" spans="2:22" x14ac:dyDescent="0.2">
      <c r="B914" s="166"/>
      <c r="C914" s="166"/>
      <c r="D914" s="166"/>
      <c r="E914" s="166"/>
      <c r="F914" s="166"/>
      <c r="G914" s="166"/>
      <c r="H914" s="166"/>
      <c r="I914" s="166"/>
      <c r="J914" s="166"/>
      <c r="K914" s="166"/>
      <c r="L914" s="166"/>
      <c r="M914" s="166"/>
      <c r="N914" s="166"/>
      <c r="O914" s="166"/>
      <c r="P914" s="166"/>
      <c r="Q914" s="73"/>
      <c r="R914" s="23"/>
      <c r="S914" s="23"/>
      <c r="T914" s="73"/>
      <c r="U914" s="73"/>
      <c r="V914" s="73"/>
    </row>
    <row r="915" spans="2:22" x14ac:dyDescent="0.2">
      <c r="B915" s="165" t="s">
        <v>10016</v>
      </c>
      <c r="C915" s="165"/>
      <c r="D915" s="165"/>
      <c r="E915" s="165"/>
      <c r="F915" s="165"/>
      <c r="G915" s="165"/>
      <c r="H915" s="165"/>
      <c r="I915" s="165"/>
      <c r="J915" s="165"/>
      <c r="K915" s="165"/>
      <c r="L915" s="165"/>
      <c r="M915" s="165"/>
      <c r="N915" s="165"/>
      <c r="O915" s="165"/>
      <c r="P915" s="165"/>
      <c r="Q915" s="75"/>
      <c r="R915" s="75"/>
      <c r="S915" s="75"/>
      <c r="T915" s="75"/>
      <c r="U915" s="75"/>
      <c r="V915" s="75"/>
    </row>
    <row r="916" spans="2:22" x14ac:dyDescent="0.2">
      <c r="B916" s="73" t="s">
        <v>10016</v>
      </c>
      <c r="C916" s="33" t="s">
        <v>896</v>
      </c>
      <c r="D916" s="23" t="s">
        <v>897</v>
      </c>
      <c r="E916" s="73"/>
      <c r="F916" s="73"/>
      <c r="G916" s="73"/>
      <c r="H916" s="73"/>
      <c r="I916" s="73"/>
      <c r="J916" s="33" t="s">
        <v>9374</v>
      </c>
      <c r="K916" s="33" t="s">
        <v>11016</v>
      </c>
      <c r="L916" s="33" t="s">
        <v>121</v>
      </c>
      <c r="M916" s="33" t="s">
        <v>9376</v>
      </c>
      <c r="N916" s="73"/>
      <c r="O916" s="73"/>
      <c r="P916" s="73"/>
      <c r="Q916" s="76"/>
      <c r="R916" s="76"/>
      <c r="S916" s="76"/>
      <c r="T916" s="76"/>
      <c r="U916" s="76"/>
      <c r="V916" s="76"/>
    </row>
    <row r="917" spans="2:22" x14ac:dyDescent="0.2">
      <c r="B917" s="166"/>
      <c r="C917" s="166"/>
      <c r="D917" s="166"/>
      <c r="E917" s="166"/>
      <c r="F917" s="166"/>
      <c r="G917" s="166"/>
      <c r="H917" s="166"/>
      <c r="I917" s="166"/>
      <c r="J917" s="166"/>
      <c r="K917" s="166"/>
      <c r="L917" s="166"/>
      <c r="M917" s="166"/>
      <c r="N917" s="166"/>
      <c r="O917" s="166"/>
      <c r="P917" s="166"/>
      <c r="Q917" s="73"/>
      <c r="R917" s="23"/>
      <c r="S917" s="23"/>
      <c r="T917" s="73"/>
      <c r="U917" s="73"/>
      <c r="V917" s="73"/>
    </row>
    <row r="918" spans="2:22" x14ac:dyDescent="0.2">
      <c r="B918" s="165" t="s">
        <v>10018</v>
      </c>
      <c r="C918" s="165"/>
      <c r="D918" s="165"/>
      <c r="E918" s="165"/>
      <c r="F918" s="165"/>
      <c r="G918" s="165"/>
      <c r="H918" s="165"/>
      <c r="I918" s="165"/>
      <c r="J918" s="165"/>
      <c r="K918" s="165"/>
      <c r="L918" s="165"/>
      <c r="M918" s="165"/>
      <c r="N918" s="165"/>
      <c r="O918" s="165"/>
      <c r="P918" s="165"/>
      <c r="Q918" s="73"/>
      <c r="R918" s="23"/>
      <c r="S918" s="23"/>
      <c r="T918" s="73"/>
      <c r="U918" s="73"/>
      <c r="V918" s="73"/>
    </row>
    <row r="919" spans="2:22" x14ac:dyDescent="0.2">
      <c r="B919" s="73" t="s">
        <v>10018</v>
      </c>
      <c r="C919" s="33" t="s">
        <v>898</v>
      </c>
      <c r="D919" s="23" t="s">
        <v>899</v>
      </c>
      <c r="E919" s="73"/>
      <c r="F919" s="73"/>
      <c r="G919" s="73"/>
      <c r="H919" s="73"/>
      <c r="I919" s="73"/>
      <c r="J919" s="33" t="s">
        <v>9374</v>
      </c>
      <c r="K919" s="33" t="s">
        <v>9375</v>
      </c>
      <c r="L919" s="33" t="s">
        <v>121</v>
      </c>
      <c r="M919" s="33" t="s">
        <v>9376</v>
      </c>
      <c r="N919" s="73"/>
      <c r="O919" s="73"/>
      <c r="P919" s="73"/>
      <c r="Q919" s="73"/>
      <c r="R919" s="23"/>
      <c r="S919" s="23"/>
      <c r="T919" s="73"/>
      <c r="U919" s="73"/>
      <c r="V919" s="73"/>
    </row>
    <row r="920" spans="2:22" x14ac:dyDescent="0.2">
      <c r="B920" s="73" t="s">
        <v>10018</v>
      </c>
      <c r="C920" s="33" t="s">
        <v>1873</v>
      </c>
      <c r="D920" s="23" t="s">
        <v>1874</v>
      </c>
      <c r="E920" s="73" t="s">
        <v>11005</v>
      </c>
      <c r="F920" s="73" t="s">
        <v>10902</v>
      </c>
      <c r="G920" s="73"/>
      <c r="H920" s="73" t="s">
        <v>11006</v>
      </c>
      <c r="I920" s="73" t="s">
        <v>11116</v>
      </c>
      <c r="J920" s="33" t="s">
        <v>9374</v>
      </c>
      <c r="K920" s="33" t="s">
        <v>9375</v>
      </c>
      <c r="L920" s="33" t="s">
        <v>121</v>
      </c>
      <c r="M920" s="33" t="s">
        <v>9376</v>
      </c>
      <c r="N920" s="73"/>
      <c r="O920" s="73"/>
      <c r="P920" s="73"/>
      <c r="Q920" s="75"/>
      <c r="R920" s="75"/>
      <c r="S920" s="75"/>
      <c r="T920" s="75"/>
      <c r="U920" s="75"/>
      <c r="V920" s="75"/>
    </row>
    <row r="921" spans="2:22" ht="20.399999999999999" x14ac:dyDescent="0.2">
      <c r="B921" s="73" t="s">
        <v>10018</v>
      </c>
      <c r="C921" s="33" t="s">
        <v>2036</v>
      </c>
      <c r="D921" s="23" t="s">
        <v>2037</v>
      </c>
      <c r="E921" s="73" t="s">
        <v>11015</v>
      </c>
      <c r="F921" s="73" t="s">
        <v>10902</v>
      </c>
      <c r="G921" s="73"/>
      <c r="H921" s="73" t="s">
        <v>11006</v>
      </c>
      <c r="I921" s="73" t="s">
        <v>11117</v>
      </c>
      <c r="J921" s="33" t="s">
        <v>9374</v>
      </c>
      <c r="K921" s="33" t="s">
        <v>9375</v>
      </c>
      <c r="L921" s="33" t="s">
        <v>121</v>
      </c>
      <c r="M921" s="33" t="s">
        <v>9376</v>
      </c>
      <c r="N921" s="73"/>
      <c r="O921" s="73"/>
      <c r="P921" s="73"/>
      <c r="Q921" s="76"/>
      <c r="R921" s="76"/>
      <c r="S921" s="76"/>
      <c r="T921" s="76"/>
      <c r="U921" s="76"/>
      <c r="V921" s="76"/>
    </row>
    <row r="922" spans="2:22" x14ac:dyDescent="0.2">
      <c r="B922" s="166"/>
      <c r="C922" s="166"/>
      <c r="D922" s="166"/>
      <c r="E922" s="166"/>
      <c r="F922" s="166"/>
      <c r="G922" s="166"/>
      <c r="H922" s="166"/>
      <c r="I922" s="166"/>
      <c r="J922" s="166"/>
      <c r="K922" s="166"/>
      <c r="L922" s="166"/>
      <c r="M922" s="166"/>
      <c r="N922" s="166"/>
      <c r="O922" s="166"/>
      <c r="P922" s="166"/>
      <c r="Q922" s="73"/>
      <c r="R922" s="23"/>
      <c r="S922" s="23"/>
      <c r="T922" s="73"/>
      <c r="U922" s="73"/>
      <c r="V922" s="73"/>
    </row>
    <row r="923" spans="2:22" x14ac:dyDescent="0.2">
      <c r="B923" s="165" t="s">
        <v>10021</v>
      </c>
      <c r="C923" s="165"/>
      <c r="D923" s="165"/>
      <c r="E923" s="165"/>
      <c r="F923" s="165"/>
      <c r="G923" s="165"/>
      <c r="H923" s="165"/>
      <c r="I923" s="165"/>
      <c r="J923" s="165"/>
      <c r="K923" s="165"/>
      <c r="L923" s="165"/>
      <c r="M923" s="165"/>
      <c r="N923" s="165"/>
      <c r="O923" s="165"/>
      <c r="P923" s="165"/>
      <c r="Q923" s="73"/>
      <c r="R923" s="23"/>
      <c r="S923" s="23"/>
      <c r="T923" s="73"/>
      <c r="U923" s="73"/>
      <c r="V923" s="73"/>
    </row>
    <row r="924" spans="2:22" x14ac:dyDescent="0.2">
      <c r="B924" s="73" t="s">
        <v>10021</v>
      </c>
      <c r="C924" s="33" t="s">
        <v>901</v>
      </c>
      <c r="D924" s="23" t="s">
        <v>902</v>
      </c>
      <c r="E924" s="73"/>
      <c r="F924" s="73"/>
      <c r="G924" s="73"/>
      <c r="H924" s="73"/>
      <c r="I924" s="73"/>
      <c r="J924" s="33" t="s">
        <v>9374</v>
      </c>
      <c r="K924" s="33" t="s">
        <v>9375</v>
      </c>
      <c r="L924" s="33" t="s">
        <v>121</v>
      </c>
      <c r="M924" s="33" t="s">
        <v>9376</v>
      </c>
      <c r="N924" s="73"/>
      <c r="O924" s="73"/>
      <c r="P924" s="73"/>
      <c r="Q924" s="75"/>
      <c r="R924" s="75"/>
      <c r="S924" s="75"/>
      <c r="T924" s="75"/>
      <c r="U924" s="75"/>
      <c r="V924" s="75"/>
    </row>
    <row r="925" spans="2:22" x14ac:dyDescent="0.2">
      <c r="B925" s="166"/>
      <c r="C925" s="166"/>
      <c r="D925" s="166"/>
      <c r="E925" s="166"/>
      <c r="F925" s="166"/>
      <c r="G925" s="166"/>
      <c r="H925" s="166"/>
      <c r="I925" s="166"/>
      <c r="J925" s="166"/>
      <c r="K925" s="166"/>
      <c r="L925" s="166"/>
      <c r="M925" s="166"/>
      <c r="N925" s="166"/>
      <c r="O925" s="166"/>
      <c r="P925" s="166"/>
      <c r="Q925" s="76"/>
      <c r="R925" s="76"/>
      <c r="S925" s="76"/>
      <c r="T925" s="76"/>
      <c r="U925" s="76"/>
      <c r="V925" s="76"/>
    </row>
    <row r="926" spans="2:22" x14ac:dyDescent="0.2">
      <c r="B926" s="165" t="s">
        <v>10024</v>
      </c>
      <c r="C926" s="165"/>
      <c r="D926" s="165"/>
      <c r="E926" s="165"/>
      <c r="F926" s="165"/>
      <c r="G926" s="165"/>
      <c r="H926" s="165"/>
      <c r="I926" s="165"/>
      <c r="J926" s="165"/>
      <c r="K926" s="165"/>
      <c r="L926" s="165"/>
      <c r="M926" s="165"/>
      <c r="N926" s="165"/>
      <c r="O926" s="165"/>
      <c r="P926" s="165"/>
      <c r="Q926" s="73"/>
      <c r="R926" s="23"/>
      <c r="S926" s="23"/>
      <c r="T926" s="73"/>
      <c r="U926" s="73"/>
      <c r="V926" s="73"/>
    </row>
    <row r="927" spans="2:22" x14ac:dyDescent="0.2">
      <c r="B927" s="73" t="s">
        <v>10024</v>
      </c>
      <c r="C927" s="33" t="s">
        <v>903</v>
      </c>
      <c r="D927" s="23" t="s">
        <v>904</v>
      </c>
      <c r="E927" s="73"/>
      <c r="F927" s="73"/>
      <c r="G927" s="73"/>
      <c r="H927" s="73"/>
      <c r="I927" s="73"/>
      <c r="J927" s="33" t="s">
        <v>9374</v>
      </c>
      <c r="K927" s="33" t="s">
        <v>11016</v>
      </c>
      <c r="L927" s="33" t="s">
        <v>121</v>
      </c>
      <c r="M927" s="33" t="s">
        <v>9376</v>
      </c>
      <c r="N927" s="73"/>
      <c r="O927" s="73"/>
      <c r="P927" s="73"/>
      <c r="Q927" s="73"/>
      <c r="R927" s="23"/>
      <c r="S927" s="23"/>
      <c r="T927" s="73"/>
      <c r="U927" s="73"/>
      <c r="V927" s="73"/>
    </row>
    <row r="928" spans="2:22" x14ac:dyDescent="0.2">
      <c r="B928" s="166"/>
      <c r="C928" s="166"/>
      <c r="D928" s="166"/>
      <c r="E928" s="166"/>
      <c r="F928" s="166"/>
      <c r="G928" s="166"/>
      <c r="H928" s="166"/>
      <c r="I928" s="166"/>
      <c r="J928" s="166"/>
      <c r="K928" s="166"/>
      <c r="L928" s="166"/>
      <c r="M928" s="166"/>
      <c r="N928" s="166"/>
      <c r="O928" s="166"/>
      <c r="P928" s="166"/>
      <c r="Q928" s="75"/>
      <c r="R928" s="75"/>
      <c r="S928" s="75"/>
      <c r="T928" s="75"/>
      <c r="U928" s="75"/>
      <c r="V928" s="75"/>
    </row>
    <row r="929" spans="2:22" x14ac:dyDescent="0.2">
      <c r="B929" s="165" t="s">
        <v>10026</v>
      </c>
      <c r="C929" s="165"/>
      <c r="D929" s="165"/>
      <c r="E929" s="165"/>
      <c r="F929" s="165"/>
      <c r="G929" s="165"/>
      <c r="H929" s="165"/>
      <c r="I929" s="165"/>
      <c r="J929" s="165"/>
      <c r="K929" s="165"/>
      <c r="L929" s="165"/>
      <c r="M929" s="165"/>
      <c r="N929" s="165"/>
      <c r="O929" s="165"/>
      <c r="P929" s="165"/>
      <c r="Q929" s="76"/>
      <c r="R929" s="76"/>
      <c r="S929" s="76"/>
      <c r="T929" s="76"/>
      <c r="U929" s="76"/>
      <c r="V929" s="76"/>
    </row>
    <row r="930" spans="2:22" x14ac:dyDescent="0.2">
      <c r="B930" s="73" t="s">
        <v>10026</v>
      </c>
      <c r="C930" s="33" t="s">
        <v>905</v>
      </c>
      <c r="D930" s="23" t="s">
        <v>906</v>
      </c>
      <c r="E930" s="73"/>
      <c r="F930" s="73"/>
      <c r="G930" s="73"/>
      <c r="H930" s="73"/>
      <c r="I930" s="73"/>
      <c r="J930" s="33" t="s">
        <v>9374</v>
      </c>
      <c r="K930" s="33" t="s">
        <v>11016</v>
      </c>
      <c r="L930" s="33" t="s">
        <v>121</v>
      </c>
      <c r="M930" s="33" t="s">
        <v>9376</v>
      </c>
      <c r="N930" s="73"/>
      <c r="O930" s="73"/>
      <c r="P930" s="73"/>
      <c r="Q930" s="73"/>
      <c r="R930" s="23"/>
      <c r="S930" s="23"/>
      <c r="T930" s="73"/>
      <c r="U930" s="73"/>
      <c r="V930" s="73"/>
    </row>
    <row r="931" spans="2:22" x14ac:dyDescent="0.2">
      <c r="B931" s="166"/>
      <c r="C931" s="166"/>
      <c r="D931" s="166"/>
      <c r="E931" s="166"/>
      <c r="F931" s="166"/>
      <c r="G931" s="166"/>
      <c r="H931" s="166"/>
      <c r="I931" s="166"/>
      <c r="J931" s="166"/>
      <c r="K931" s="166"/>
      <c r="L931" s="166"/>
      <c r="M931" s="166"/>
      <c r="N931" s="166"/>
      <c r="O931" s="166"/>
      <c r="P931" s="166"/>
      <c r="Q931" s="73"/>
      <c r="R931" s="23"/>
      <c r="S931" s="23"/>
      <c r="T931" s="73"/>
      <c r="U931" s="73"/>
      <c r="V931" s="73"/>
    </row>
    <row r="932" spans="2:22" x14ac:dyDescent="0.2">
      <c r="B932" s="165" t="s">
        <v>10028</v>
      </c>
      <c r="C932" s="165"/>
      <c r="D932" s="165"/>
      <c r="E932" s="165"/>
      <c r="F932" s="165"/>
      <c r="G932" s="165"/>
      <c r="H932" s="165"/>
      <c r="I932" s="165"/>
      <c r="J932" s="165"/>
      <c r="K932" s="165"/>
      <c r="L932" s="165"/>
      <c r="M932" s="165"/>
      <c r="N932" s="165"/>
      <c r="O932" s="165"/>
      <c r="P932" s="165"/>
      <c r="Q932" s="75"/>
      <c r="R932" s="75"/>
      <c r="S932" s="75"/>
      <c r="T932" s="75"/>
      <c r="U932" s="75"/>
      <c r="V932" s="75"/>
    </row>
    <row r="933" spans="2:22" x14ac:dyDescent="0.2">
      <c r="B933" s="73" t="s">
        <v>10028</v>
      </c>
      <c r="C933" s="33" t="s">
        <v>907</v>
      </c>
      <c r="D933" s="23" t="s">
        <v>908</v>
      </c>
      <c r="E933" s="73"/>
      <c r="F933" s="73"/>
      <c r="G933" s="73"/>
      <c r="H933" s="73"/>
      <c r="I933" s="73"/>
      <c r="J933" s="33" t="s">
        <v>9374</v>
      </c>
      <c r="K933" s="33" t="s">
        <v>11016</v>
      </c>
      <c r="L933" s="33" t="s">
        <v>121</v>
      </c>
      <c r="M933" s="33" t="s">
        <v>9376</v>
      </c>
      <c r="N933" s="73"/>
      <c r="O933" s="73"/>
      <c r="P933" s="73"/>
      <c r="Q933" s="76"/>
      <c r="R933" s="76"/>
      <c r="S933" s="76"/>
      <c r="T933" s="76"/>
      <c r="U933" s="76"/>
      <c r="V933" s="76"/>
    </row>
    <row r="934" spans="2:22" x14ac:dyDescent="0.2">
      <c r="B934" s="166"/>
      <c r="C934" s="166"/>
      <c r="D934" s="166"/>
      <c r="E934" s="166"/>
      <c r="F934" s="166"/>
      <c r="G934" s="166"/>
      <c r="H934" s="166"/>
      <c r="I934" s="166"/>
      <c r="J934" s="166"/>
      <c r="K934" s="166"/>
      <c r="L934" s="166"/>
      <c r="M934" s="166"/>
      <c r="N934" s="166"/>
      <c r="O934" s="166"/>
      <c r="P934" s="166"/>
      <c r="Q934" s="73"/>
      <c r="R934" s="23"/>
      <c r="S934" s="23"/>
      <c r="T934" s="73"/>
      <c r="U934" s="73"/>
      <c r="V934" s="73"/>
    </row>
    <row r="935" spans="2:22" x14ac:dyDescent="0.2">
      <c r="B935" s="165" t="s">
        <v>10030</v>
      </c>
      <c r="C935" s="165"/>
      <c r="D935" s="165"/>
      <c r="E935" s="165"/>
      <c r="F935" s="165"/>
      <c r="G935" s="165"/>
      <c r="H935" s="165"/>
      <c r="I935" s="165"/>
      <c r="J935" s="165"/>
      <c r="K935" s="165"/>
      <c r="L935" s="165"/>
      <c r="M935" s="165"/>
      <c r="N935" s="165"/>
      <c r="O935" s="165"/>
      <c r="P935" s="165"/>
      <c r="Q935" s="73"/>
      <c r="R935" s="23"/>
      <c r="S935" s="23"/>
      <c r="T935" s="73"/>
      <c r="U935" s="73"/>
      <c r="V935" s="73"/>
    </row>
    <row r="936" spans="2:22" x14ac:dyDescent="0.2">
      <c r="B936" s="73" t="s">
        <v>10030</v>
      </c>
      <c r="C936" s="33" t="s">
        <v>909</v>
      </c>
      <c r="D936" s="23" t="s">
        <v>910</v>
      </c>
      <c r="E936" s="73"/>
      <c r="F936" s="73"/>
      <c r="G936" s="73"/>
      <c r="H936" s="73"/>
      <c r="I936" s="73"/>
      <c r="J936" s="33" t="s">
        <v>9374</v>
      </c>
      <c r="K936" s="33" t="s">
        <v>11016</v>
      </c>
      <c r="L936" s="33" t="s">
        <v>121</v>
      </c>
      <c r="M936" s="33" t="s">
        <v>9376</v>
      </c>
      <c r="N936" s="73"/>
      <c r="O936" s="73"/>
      <c r="P936" s="73"/>
      <c r="Q936" s="75"/>
      <c r="R936" s="75"/>
      <c r="S936" s="75"/>
      <c r="T936" s="75"/>
      <c r="U936" s="75"/>
      <c r="V936" s="75"/>
    </row>
    <row r="937" spans="2:22" x14ac:dyDescent="0.2">
      <c r="B937" s="166"/>
      <c r="C937" s="166"/>
      <c r="D937" s="166"/>
      <c r="E937" s="166"/>
      <c r="F937" s="166"/>
      <c r="G937" s="166"/>
      <c r="H937" s="166"/>
      <c r="I937" s="166"/>
      <c r="J937" s="166"/>
      <c r="K937" s="166"/>
      <c r="L937" s="166"/>
      <c r="M937" s="166"/>
      <c r="N937" s="166"/>
      <c r="O937" s="166"/>
      <c r="P937" s="166"/>
      <c r="Q937" s="76"/>
      <c r="R937" s="76"/>
      <c r="S937" s="76"/>
      <c r="T937" s="76"/>
      <c r="U937" s="76"/>
      <c r="V937" s="76"/>
    </row>
    <row r="938" spans="2:22" x14ac:dyDescent="0.2">
      <c r="B938" s="165" t="s">
        <v>10032</v>
      </c>
      <c r="C938" s="165"/>
      <c r="D938" s="165"/>
      <c r="E938" s="165"/>
      <c r="F938" s="165"/>
      <c r="G938" s="165"/>
      <c r="H938" s="165"/>
      <c r="I938" s="165"/>
      <c r="J938" s="165"/>
      <c r="K938" s="165"/>
      <c r="L938" s="165"/>
      <c r="M938" s="165"/>
      <c r="N938" s="165"/>
      <c r="O938" s="165"/>
      <c r="P938" s="165"/>
      <c r="Q938" s="73"/>
      <c r="R938" s="23"/>
      <c r="S938" s="23"/>
      <c r="T938" s="73"/>
      <c r="U938" s="73"/>
      <c r="V938" s="73"/>
    </row>
    <row r="939" spans="2:22" x14ac:dyDescent="0.2">
      <c r="B939" s="73" t="s">
        <v>10032</v>
      </c>
      <c r="C939" s="33" t="s">
        <v>911</v>
      </c>
      <c r="D939" s="23" t="s">
        <v>912</v>
      </c>
      <c r="E939" s="73"/>
      <c r="F939" s="73"/>
      <c r="G939" s="73"/>
      <c r="H939" s="73"/>
      <c r="I939" s="73"/>
      <c r="J939" s="33" t="s">
        <v>9374</v>
      </c>
      <c r="K939" s="33" t="s">
        <v>11016</v>
      </c>
      <c r="L939" s="33" t="s">
        <v>121</v>
      </c>
      <c r="M939" s="33" t="s">
        <v>9376</v>
      </c>
      <c r="N939" s="73"/>
      <c r="O939" s="73"/>
      <c r="P939" s="73"/>
      <c r="Q939" s="73"/>
      <c r="R939" s="23"/>
      <c r="S939" s="23"/>
      <c r="T939" s="73"/>
      <c r="U939" s="73"/>
      <c r="V939" s="73"/>
    </row>
    <row r="940" spans="2:22" x14ac:dyDescent="0.2">
      <c r="B940" s="166"/>
      <c r="C940" s="166"/>
      <c r="D940" s="166"/>
      <c r="E940" s="166"/>
      <c r="F940" s="166"/>
      <c r="G940" s="166"/>
      <c r="H940" s="166"/>
      <c r="I940" s="166"/>
      <c r="J940" s="166"/>
      <c r="K940" s="166"/>
      <c r="L940" s="166"/>
      <c r="M940" s="166"/>
      <c r="N940" s="166"/>
      <c r="O940" s="166"/>
      <c r="P940" s="166"/>
      <c r="Q940" s="75"/>
      <c r="R940" s="75"/>
      <c r="S940" s="75"/>
      <c r="T940" s="75"/>
      <c r="U940" s="75"/>
      <c r="V940" s="75"/>
    </row>
    <row r="941" spans="2:22" x14ac:dyDescent="0.2">
      <c r="B941" s="165" t="s">
        <v>10034</v>
      </c>
      <c r="C941" s="165"/>
      <c r="D941" s="165"/>
      <c r="E941" s="165"/>
      <c r="F941" s="165"/>
      <c r="G941" s="165"/>
      <c r="H941" s="165"/>
      <c r="I941" s="165"/>
      <c r="J941" s="165"/>
      <c r="K941" s="165"/>
      <c r="L941" s="165"/>
      <c r="M941" s="165"/>
      <c r="N941" s="165"/>
      <c r="O941" s="165"/>
      <c r="P941" s="165"/>
      <c r="Q941" s="76"/>
      <c r="R941" s="76"/>
      <c r="S941" s="76"/>
      <c r="T941" s="76"/>
      <c r="U941" s="76"/>
      <c r="V941" s="76"/>
    </row>
    <row r="942" spans="2:22" x14ac:dyDescent="0.2">
      <c r="B942" s="73" t="s">
        <v>10034</v>
      </c>
      <c r="C942" s="33" t="s">
        <v>913</v>
      </c>
      <c r="D942" s="23" t="s">
        <v>914</v>
      </c>
      <c r="E942" s="73"/>
      <c r="F942" s="73"/>
      <c r="G942" s="73"/>
      <c r="H942" s="73"/>
      <c r="I942" s="73"/>
      <c r="J942" s="33" t="s">
        <v>9374</v>
      </c>
      <c r="K942" s="33" t="s">
        <v>11016</v>
      </c>
      <c r="L942" s="33" t="s">
        <v>121</v>
      </c>
      <c r="M942" s="33" t="s">
        <v>9376</v>
      </c>
      <c r="N942" s="73"/>
      <c r="O942" s="73"/>
      <c r="P942" s="73"/>
      <c r="Q942" s="73"/>
      <c r="R942" s="23"/>
      <c r="S942" s="23"/>
      <c r="T942" s="73"/>
      <c r="U942" s="73"/>
      <c r="V942" s="73"/>
    </row>
    <row r="943" spans="2:22" x14ac:dyDescent="0.2">
      <c r="B943" s="166"/>
      <c r="C943" s="166"/>
      <c r="D943" s="166"/>
      <c r="E943" s="166"/>
      <c r="F943" s="166"/>
      <c r="G943" s="166"/>
      <c r="H943" s="166"/>
      <c r="I943" s="166"/>
      <c r="J943" s="166"/>
      <c r="K943" s="166"/>
      <c r="L943" s="166"/>
      <c r="M943" s="166"/>
      <c r="N943" s="166"/>
      <c r="O943" s="166"/>
      <c r="P943" s="166"/>
      <c r="Q943" s="73"/>
      <c r="R943" s="23"/>
      <c r="S943" s="23"/>
      <c r="T943" s="73"/>
      <c r="U943" s="73"/>
      <c r="V943" s="73"/>
    </row>
    <row r="944" spans="2:22" x14ac:dyDescent="0.2">
      <c r="B944" s="165" t="s">
        <v>10036</v>
      </c>
      <c r="C944" s="165"/>
      <c r="D944" s="165"/>
      <c r="E944" s="165"/>
      <c r="F944" s="165"/>
      <c r="G944" s="165"/>
      <c r="H944" s="165"/>
      <c r="I944" s="165"/>
      <c r="J944" s="165"/>
      <c r="K944" s="165"/>
      <c r="L944" s="165"/>
      <c r="M944" s="165"/>
      <c r="N944" s="165"/>
      <c r="O944" s="165"/>
      <c r="P944" s="165"/>
      <c r="Q944" s="75"/>
      <c r="R944" s="75"/>
      <c r="S944" s="75"/>
      <c r="T944" s="75"/>
      <c r="U944" s="75"/>
      <c r="V944" s="75"/>
    </row>
    <row r="945" spans="2:22" x14ac:dyDescent="0.2">
      <c r="B945" s="73" t="s">
        <v>10036</v>
      </c>
      <c r="C945" s="33" t="s">
        <v>915</v>
      </c>
      <c r="D945" s="23" t="s">
        <v>916</v>
      </c>
      <c r="E945" s="73"/>
      <c r="F945" s="73"/>
      <c r="G945" s="73"/>
      <c r="H945" s="73"/>
      <c r="I945" s="73"/>
      <c r="J945" s="33" t="s">
        <v>9374</v>
      </c>
      <c r="K945" s="33" t="s">
        <v>11016</v>
      </c>
      <c r="L945" s="33" t="s">
        <v>121</v>
      </c>
      <c r="M945" s="33" t="s">
        <v>9376</v>
      </c>
      <c r="N945" s="73"/>
      <c r="O945" s="73"/>
      <c r="P945" s="73"/>
      <c r="Q945" s="76"/>
      <c r="R945" s="76"/>
      <c r="S945" s="76"/>
      <c r="T945" s="76"/>
      <c r="U945" s="76"/>
      <c r="V945" s="76"/>
    </row>
    <row r="946" spans="2:22" x14ac:dyDescent="0.2">
      <c r="B946" s="166"/>
      <c r="C946" s="166"/>
      <c r="D946" s="166"/>
      <c r="E946" s="166"/>
      <c r="F946" s="166"/>
      <c r="G946" s="166"/>
      <c r="H946" s="166"/>
      <c r="I946" s="166"/>
      <c r="J946" s="166"/>
      <c r="K946" s="166"/>
      <c r="L946" s="166"/>
      <c r="M946" s="166"/>
      <c r="N946" s="166"/>
      <c r="O946" s="166"/>
      <c r="P946" s="166"/>
      <c r="Q946" s="73"/>
      <c r="R946" s="23"/>
      <c r="S946" s="23"/>
      <c r="T946" s="73"/>
      <c r="U946" s="73"/>
      <c r="V946" s="73"/>
    </row>
    <row r="947" spans="2:22" x14ac:dyDescent="0.2">
      <c r="B947" s="165" t="s">
        <v>10039</v>
      </c>
      <c r="C947" s="165"/>
      <c r="D947" s="165"/>
      <c r="E947" s="165"/>
      <c r="F947" s="165"/>
      <c r="G947" s="165"/>
      <c r="H947" s="165"/>
      <c r="I947" s="165"/>
      <c r="J947" s="165"/>
      <c r="K947" s="165"/>
      <c r="L947" s="165"/>
      <c r="M947" s="165"/>
      <c r="N947" s="165"/>
      <c r="O947" s="165"/>
      <c r="P947" s="165"/>
      <c r="Q947" s="73"/>
      <c r="R947" s="23"/>
      <c r="S947" s="23"/>
      <c r="T947" s="73"/>
      <c r="U947" s="73"/>
      <c r="V947" s="73"/>
    </row>
    <row r="948" spans="2:22" x14ac:dyDescent="0.2">
      <c r="B948" s="73" t="s">
        <v>10039</v>
      </c>
      <c r="C948" s="33" t="s">
        <v>917</v>
      </c>
      <c r="D948" s="23" t="s">
        <v>918</v>
      </c>
      <c r="E948" s="73"/>
      <c r="F948" s="73"/>
      <c r="G948" s="73"/>
      <c r="H948" s="73"/>
      <c r="I948" s="73"/>
      <c r="J948" s="33" t="s">
        <v>9374</v>
      </c>
      <c r="K948" s="33" t="s">
        <v>9375</v>
      </c>
      <c r="L948" s="33" t="s">
        <v>121</v>
      </c>
      <c r="M948" s="33" t="s">
        <v>9376</v>
      </c>
      <c r="N948" s="73"/>
      <c r="O948" s="73"/>
      <c r="P948" s="73"/>
      <c r="Q948" s="73"/>
      <c r="R948" s="23"/>
      <c r="S948" s="23"/>
      <c r="T948" s="73"/>
      <c r="U948" s="73"/>
      <c r="V948" s="73"/>
    </row>
    <row r="949" spans="2:22" x14ac:dyDescent="0.2">
      <c r="B949" s="166"/>
      <c r="C949" s="166"/>
      <c r="D949" s="166"/>
      <c r="E949" s="166"/>
      <c r="F949" s="166"/>
      <c r="G949" s="166"/>
      <c r="H949" s="166"/>
      <c r="I949" s="166"/>
      <c r="J949" s="166"/>
      <c r="K949" s="166"/>
      <c r="L949" s="166"/>
      <c r="M949" s="166"/>
      <c r="N949" s="166"/>
      <c r="O949" s="166"/>
      <c r="P949" s="166"/>
      <c r="Q949" s="75"/>
      <c r="R949" s="75"/>
      <c r="S949" s="75"/>
      <c r="T949" s="75"/>
      <c r="U949" s="75"/>
      <c r="V949" s="75"/>
    </row>
    <row r="950" spans="2:22" x14ac:dyDescent="0.2">
      <c r="B950" s="165" t="s">
        <v>10042</v>
      </c>
      <c r="C950" s="165"/>
      <c r="D950" s="165"/>
      <c r="E950" s="165"/>
      <c r="F950" s="165"/>
      <c r="G950" s="165"/>
      <c r="H950" s="165"/>
      <c r="I950" s="165"/>
      <c r="J950" s="165"/>
      <c r="K950" s="165"/>
      <c r="L950" s="165"/>
      <c r="M950" s="165"/>
      <c r="N950" s="165"/>
      <c r="O950" s="165"/>
      <c r="P950" s="165"/>
      <c r="Q950" s="76"/>
      <c r="R950" s="76"/>
      <c r="S950" s="76"/>
      <c r="T950" s="76"/>
      <c r="U950" s="76"/>
      <c r="V950" s="76"/>
    </row>
    <row r="951" spans="2:22" x14ac:dyDescent="0.2">
      <c r="B951" s="73" t="s">
        <v>10042</v>
      </c>
      <c r="C951" s="33" t="s">
        <v>919</v>
      </c>
      <c r="D951" s="23" t="s">
        <v>920</v>
      </c>
      <c r="E951" s="73"/>
      <c r="F951" s="73"/>
      <c r="G951" s="73"/>
      <c r="H951" s="73"/>
      <c r="I951" s="73"/>
      <c r="J951" s="33" t="s">
        <v>9374</v>
      </c>
      <c r="K951" s="33" t="s">
        <v>11016</v>
      </c>
      <c r="L951" s="33" t="s">
        <v>121</v>
      </c>
      <c r="M951" s="33" t="s">
        <v>9376</v>
      </c>
      <c r="N951" s="73"/>
      <c r="O951" s="73"/>
      <c r="P951" s="73"/>
      <c r="Q951" s="73"/>
      <c r="R951" s="23"/>
      <c r="S951" s="23"/>
      <c r="T951" s="73"/>
      <c r="U951" s="73"/>
      <c r="V951" s="73"/>
    </row>
    <row r="952" spans="2:22" x14ac:dyDescent="0.2">
      <c r="B952" s="166"/>
      <c r="C952" s="166"/>
      <c r="D952" s="166"/>
      <c r="E952" s="166"/>
      <c r="F952" s="166"/>
      <c r="G952" s="166"/>
      <c r="H952" s="166"/>
      <c r="I952" s="166"/>
      <c r="J952" s="166"/>
      <c r="K952" s="166"/>
      <c r="L952" s="166"/>
      <c r="M952" s="166"/>
      <c r="N952" s="166"/>
      <c r="O952" s="166"/>
      <c r="P952" s="166"/>
      <c r="Q952" s="75"/>
      <c r="R952" s="75"/>
      <c r="S952" s="75"/>
      <c r="T952" s="75"/>
      <c r="U952" s="75"/>
      <c r="V952" s="75"/>
    </row>
    <row r="953" spans="2:22" x14ac:dyDescent="0.2">
      <c r="B953" s="165" t="s">
        <v>10045</v>
      </c>
      <c r="C953" s="165"/>
      <c r="D953" s="165"/>
      <c r="E953" s="165"/>
      <c r="F953" s="165"/>
      <c r="G953" s="165"/>
      <c r="H953" s="165"/>
      <c r="I953" s="165"/>
      <c r="J953" s="165"/>
      <c r="K953" s="165"/>
      <c r="L953" s="165"/>
      <c r="M953" s="165"/>
      <c r="N953" s="165"/>
      <c r="O953" s="165"/>
      <c r="P953" s="165"/>
      <c r="Q953" s="76"/>
      <c r="R953" s="76"/>
      <c r="S953" s="76"/>
      <c r="T953" s="76"/>
      <c r="U953" s="76"/>
      <c r="V953" s="76"/>
    </row>
    <row r="954" spans="2:22" x14ac:dyDescent="0.2">
      <c r="B954" s="73" t="s">
        <v>10045</v>
      </c>
      <c r="C954" s="33" t="s">
        <v>921</v>
      </c>
      <c r="D954" s="23" t="s">
        <v>922</v>
      </c>
      <c r="E954" s="73"/>
      <c r="F954" s="73"/>
      <c r="G954" s="73"/>
      <c r="H954" s="73"/>
      <c r="I954" s="73"/>
      <c r="J954" s="33" t="s">
        <v>9374</v>
      </c>
      <c r="K954" s="33" t="s">
        <v>11016</v>
      </c>
      <c r="L954" s="33" t="s">
        <v>121</v>
      </c>
      <c r="M954" s="33" t="s">
        <v>9376</v>
      </c>
      <c r="N954" s="73"/>
      <c r="O954" s="73"/>
      <c r="P954" s="73"/>
      <c r="Q954" s="73"/>
      <c r="R954" s="23"/>
      <c r="S954" s="23"/>
      <c r="T954" s="73"/>
      <c r="U954" s="73"/>
      <c r="V954" s="73"/>
    </row>
    <row r="955" spans="2:22" x14ac:dyDescent="0.2">
      <c r="B955" s="166"/>
      <c r="C955" s="166"/>
      <c r="D955" s="166"/>
      <c r="E955" s="166"/>
      <c r="F955" s="166"/>
      <c r="G955" s="166"/>
      <c r="H955" s="166"/>
      <c r="I955" s="166"/>
      <c r="J955" s="166"/>
      <c r="K955" s="166"/>
      <c r="L955" s="166"/>
      <c r="M955" s="166"/>
      <c r="N955" s="166"/>
      <c r="O955" s="166"/>
      <c r="P955" s="166"/>
      <c r="Q955" s="73"/>
      <c r="R955" s="23"/>
      <c r="S955" s="23"/>
      <c r="T955" s="73"/>
      <c r="U955" s="73"/>
      <c r="V955" s="73"/>
    </row>
    <row r="956" spans="2:22" x14ac:dyDescent="0.2">
      <c r="B956" s="165" t="s">
        <v>10048</v>
      </c>
      <c r="C956" s="165"/>
      <c r="D956" s="165"/>
      <c r="E956" s="165"/>
      <c r="F956" s="165"/>
      <c r="G956" s="165"/>
      <c r="H956" s="165"/>
      <c r="I956" s="165"/>
      <c r="J956" s="165"/>
      <c r="K956" s="165"/>
      <c r="L956" s="165"/>
      <c r="M956" s="165"/>
      <c r="N956" s="165"/>
      <c r="O956" s="165"/>
      <c r="P956" s="165"/>
      <c r="Q956" s="75"/>
      <c r="R956" s="75"/>
      <c r="S956" s="75"/>
      <c r="T956" s="75"/>
      <c r="U956" s="75"/>
      <c r="V956" s="75"/>
    </row>
    <row r="957" spans="2:22" x14ac:dyDescent="0.2">
      <c r="B957" s="73" t="s">
        <v>10048</v>
      </c>
      <c r="C957" s="33" t="s">
        <v>923</v>
      </c>
      <c r="D957" s="23" t="s">
        <v>924</v>
      </c>
      <c r="E957" s="73"/>
      <c r="F957" s="73"/>
      <c r="G957" s="73"/>
      <c r="H957" s="73"/>
      <c r="I957" s="73"/>
      <c r="J957" s="33" t="s">
        <v>9374</v>
      </c>
      <c r="K957" s="33" t="s">
        <v>9375</v>
      </c>
      <c r="L957" s="33" t="s">
        <v>121</v>
      </c>
      <c r="M957" s="33" t="s">
        <v>9376</v>
      </c>
      <c r="N957" s="73"/>
      <c r="O957" s="73"/>
      <c r="P957" s="73"/>
      <c r="Q957" s="76"/>
      <c r="R957" s="76"/>
      <c r="S957" s="76"/>
      <c r="T957" s="76"/>
      <c r="U957" s="76"/>
      <c r="V957" s="76"/>
    </row>
    <row r="958" spans="2:22" x14ac:dyDescent="0.2">
      <c r="B958" s="166"/>
      <c r="C958" s="166"/>
      <c r="D958" s="166"/>
      <c r="E958" s="166"/>
      <c r="F958" s="166"/>
      <c r="G958" s="166"/>
      <c r="H958" s="166"/>
      <c r="I958" s="166"/>
      <c r="J958" s="166"/>
      <c r="K958" s="166"/>
      <c r="L958" s="166"/>
      <c r="M958" s="166"/>
      <c r="N958" s="166"/>
      <c r="O958" s="166"/>
      <c r="P958" s="166"/>
      <c r="Q958" s="73"/>
      <c r="R958" s="23"/>
      <c r="S958" s="23"/>
      <c r="T958" s="73"/>
      <c r="U958" s="73"/>
      <c r="V958" s="73"/>
    </row>
    <row r="959" spans="2:22" x14ac:dyDescent="0.2">
      <c r="B959" s="165" t="s">
        <v>10051</v>
      </c>
      <c r="C959" s="165"/>
      <c r="D959" s="165"/>
      <c r="E959" s="165"/>
      <c r="F959" s="165"/>
      <c r="G959" s="165"/>
      <c r="H959" s="165"/>
      <c r="I959" s="165"/>
      <c r="J959" s="165"/>
      <c r="K959" s="165"/>
      <c r="L959" s="165"/>
      <c r="M959" s="165"/>
      <c r="N959" s="165"/>
      <c r="O959" s="165"/>
      <c r="P959" s="165"/>
      <c r="Q959" s="73"/>
      <c r="R959" s="23"/>
      <c r="S959" s="23"/>
      <c r="T959" s="73"/>
      <c r="U959" s="73"/>
      <c r="V959" s="73"/>
    </row>
    <row r="960" spans="2:22" x14ac:dyDescent="0.2">
      <c r="B960" s="73" t="s">
        <v>10051</v>
      </c>
      <c r="C960" s="33" t="s">
        <v>925</v>
      </c>
      <c r="D960" s="23" t="s">
        <v>926</v>
      </c>
      <c r="E960" s="73"/>
      <c r="F960" s="73"/>
      <c r="G960" s="73"/>
      <c r="H960" s="73"/>
      <c r="I960" s="73"/>
      <c r="J960" s="33" t="s">
        <v>9374</v>
      </c>
      <c r="K960" s="33" t="s">
        <v>11016</v>
      </c>
      <c r="L960" s="33" t="s">
        <v>121</v>
      </c>
      <c r="M960" s="33" t="s">
        <v>9376</v>
      </c>
      <c r="N960" s="73"/>
      <c r="O960" s="73"/>
      <c r="P960" s="73"/>
      <c r="Q960" s="75"/>
      <c r="R960" s="75"/>
      <c r="S960" s="75"/>
      <c r="T960" s="75"/>
      <c r="U960" s="75"/>
      <c r="V960" s="75"/>
    </row>
    <row r="961" spans="2:22" x14ac:dyDescent="0.2">
      <c r="B961" s="166"/>
      <c r="C961" s="166"/>
      <c r="D961" s="166"/>
      <c r="E961" s="166"/>
      <c r="F961" s="166"/>
      <c r="G961" s="166"/>
      <c r="H961" s="166"/>
      <c r="I961" s="166"/>
      <c r="J961" s="166"/>
      <c r="K961" s="166"/>
      <c r="L961" s="166"/>
      <c r="M961" s="166"/>
      <c r="N961" s="166"/>
      <c r="O961" s="166"/>
      <c r="P961" s="166"/>
      <c r="Q961" s="76"/>
      <c r="R961" s="76"/>
      <c r="S961" s="76"/>
      <c r="T961" s="76"/>
      <c r="U961" s="76"/>
      <c r="V961" s="76"/>
    </row>
    <row r="962" spans="2:22" x14ac:dyDescent="0.2">
      <c r="B962" s="165" t="s">
        <v>10054</v>
      </c>
      <c r="C962" s="165"/>
      <c r="D962" s="165"/>
      <c r="E962" s="165"/>
      <c r="F962" s="165"/>
      <c r="G962" s="165"/>
      <c r="H962" s="165"/>
      <c r="I962" s="165"/>
      <c r="J962" s="165"/>
      <c r="K962" s="165"/>
      <c r="L962" s="165"/>
      <c r="M962" s="165"/>
      <c r="N962" s="165"/>
      <c r="O962" s="165"/>
      <c r="P962" s="165"/>
      <c r="Q962" s="73"/>
      <c r="R962" s="23"/>
      <c r="S962" s="23"/>
      <c r="T962" s="73"/>
      <c r="U962" s="73"/>
      <c r="V962" s="73"/>
    </row>
    <row r="963" spans="2:22" x14ac:dyDescent="0.2">
      <c r="B963" s="73" t="s">
        <v>10054</v>
      </c>
      <c r="C963" s="33" t="s">
        <v>927</v>
      </c>
      <c r="D963" s="23" t="s">
        <v>928</v>
      </c>
      <c r="E963" s="73"/>
      <c r="F963" s="73"/>
      <c r="G963" s="73"/>
      <c r="H963" s="73"/>
      <c r="I963" s="73"/>
      <c r="J963" s="33" t="s">
        <v>9374</v>
      </c>
      <c r="K963" s="33" t="s">
        <v>11016</v>
      </c>
      <c r="L963" s="33" t="s">
        <v>121</v>
      </c>
      <c r="M963" s="33" t="s">
        <v>9376</v>
      </c>
      <c r="N963" s="73"/>
      <c r="O963" s="73"/>
      <c r="P963" s="73"/>
      <c r="Q963" s="73"/>
      <c r="R963" s="23"/>
      <c r="S963" s="23"/>
      <c r="T963" s="73"/>
      <c r="U963" s="73"/>
      <c r="V963" s="73"/>
    </row>
    <row r="964" spans="2:22" x14ac:dyDescent="0.2">
      <c r="B964" s="166"/>
      <c r="C964" s="166"/>
      <c r="D964" s="166"/>
      <c r="E964" s="166"/>
      <c r="F964" s="166"/>
      <c r="G964" s="166"/>
      <c r="H964" s="166"/>
      <c r="I964" s="166"/>
      <c r="J964" s="166"/>
      <c r="K964" s="166"/>
      <c r="L964" s="166"/>
      <c r="M964" s="166"/>
      <c r="N964" s="166"/>
      <c r="O964" s="166"/>
      <c r="P964" s="166"/>
      <c r="Q964" s="73"/>
      <c r="R964" s="23"/>
      <c r="S964" s="23"/>
      <c r="T964" s="73"/>
      <c r="U964" s="73"/>
      <c r="V964" s="73"/>
    </row>
    <row r="965" spans="2:22" x14ac:dyDescent="0.2">
      <c r="B965" s="165" t="s">
        <v>10057</v>
      </c>
      <c r="C965" s="165"/>
      <c r="D965" s="165"/>
      <c r="E965" s="165"/>
      <c r="F965" s="165"/>
      <c r="G965" s="165"/>
      <c r="H965" s="165"/>
      <c r="I965" s="165"/>
      <c r="J965" s="165"/>
      <c r="K965" s="165"/>
      <c r="L965" s="165"/>
      <c r="M965" s="165"/>
      <c r="N965" s="165"/>
      <c r="O965" s="165"/>
      <c r="P965" s="165"/>
      <c r="Q965" s="73"/>
      <c r="R965" s="23"/>
      <c r="S965" s="23"/>
      <c r="T965" s="73"/>
      <c r="U965" s="73"/>
      <c r="V965" s="73"/>
    </row>
    <row r="966" spans="2:22" x14ac:dyDescent="0.2">
      <c r="B966" s="73" t="s">
        <v>10057</v>
      </c>
      <c r="C966" s="33" t="s">
        <v>929</v>
      </c>
      <c r="D966" s="23" t="s">
        <v>930</v>
      </c>
      <c r="E966" s="73"/>
      <c r="F966" s="73"/>
      <c r="G966" s="73"/>
      <c r="H966" s="73"/>
      <c r="I966" s="73"/>
      <c r="J966" s="33" t="s">
        <v>9374</v>
      </c>
      <c r="K966" s="33" t="s">
        <v>11016</v>
      </c>
      <c r="L966" s="33" t="s">
        <v>121</v>
      </c>
      <c r="M966" s="33" t="s">
        <v>9376</v>
      </c>
      <c r="N966" s="73"/>
      <c r="O966" s="73"/>
      <c r="P966" s="73"/>
      <c r="Q966" s="75"/>
      <c r="R966" s="75"/>
      <c r="S966" s="75"/>
      <c r="T966" s="75"/>
      <c r="U966" s="75"/>
      <c r="V966" s="75"/>
    </row>
    <row r="967" spans="2:22" x14ac:dyDescent="0.2">
      <c r="B967" s="166"/>
      <c r="C967" s="166"/>
      <c r="D967" s="166"/>
      <c r="E967" s="166"/>
      <c r="F967" s="166"/>
      <c r="G967" s="166"/>
      <c r="H967" s="166"/>
      <c r="I967" s="166"/>
      <c r="J967" s="166"/>
      <c r="K967" s="166"/>
      <c r="L967" s="166"/>
      <c r="M967" s="166"/>
      <c r="N967" s="166"/>
      <c r="O967" s="166"/>
      <c r="P967" s="166"/>
      <c r="Q967" s="76"/>
      <c r="R967" s="76"/>
      <c r="S967" s="76"/>
      <c r="T967" s="76"/>
      <c r="U967" s="76"/>
      <c r="V967" s="76"/>
    </row>
    <row r="968" spans="2:22" x14ac:dyDescent="0.2">
      <c r="B968" s="165" t="s">
        <v>10060</v>
      </c>
      <c r="C968" s="165"/>
      <c r="D968" s="165"/>
      <c r="E968" s="165"/>
      <c r="F968" s="165"/>
      <c r="G968" s="165"/>
      <c r="H968" s="165"/>
      <c r="I968" s="165"/>
      <c r="J968" s="165"/>
      <c r="K968" s="165"/>
      <c r="L968" s="165"/>
      <c r="M968" s="165"/>
      <c r="N968" s="165"/>
      <c r="O968" s="165"/>
      <c r="P968" s="165"/>
      <c r="Q968" s="73"/>
      <c r="R968" s="23"/>
      <c r="S968" s="23"/>
      <c r="T968" s="73"/>
      <c r="U968" s="73"/>
      <c r="V968" s="73"/>
    </row>
    <row r="969" spans="2:22" x14ac:dyDescent="0.2">
      <c r="B969" s="73" t="s">
        <v>10060</v>
      </c>
      <c r="C969" s="33" t="s">
        <v>931</v>
      </c>
      <c r="D969" s="23" t="s">
        <v>932</v>
      </c>
      <c r="E969" s="73"/>
      <c r="F969" s="73"/>
      <c r="G969" s="73"/>
      <c r="H969" s="73"/>
      <c r="I969" s="73"/>
      <c r="J969" s="33" t="s">
        <v>9374</v>
      </c>
      <c r="K969" s="33" t="s">
        <v>11016</v>
      </c>
      <c r="L969" s="33" t="s">
        <v>121</v>
      </c>
      <c r="M969" s="33" t="s">
        <v>9376</v>
      </c>
      <c r="N969" s="73"/>
      <c r="O969" s="73"/>
      <c r="P969" s="73"/>
      <c r="Q969" s="75"/>
      <c r="R969" s="75"/>
      <c r="S969" s="75"/>
      <c r="T969" s="75"/>
      <c r="U969" s="75"/>
      <c r="V969" s="75"/>
    </row>
    <row r="970" spans="2:22" x14ac:dyDescent="0.2">
      <c r="B970" s="166"/>
      <c r="C970" s="166"/>
      <c r="D970" s="166"/>
      <c r="E970" s="166"/>
      <c r="F970" s="166"/>
      <c r="G970" s="166"/>
      <c r="H970" s="166"/>
      <c r="I970" s="166"/>
      <c r="J970" s="166"/>
      <c r="K970" s="166"/>
      <c r="L970" s="166"/>
      <c r="M970" s="166"/>
      <c r="N970" s="166"/>
      <c r="O970" s="166"/>
      <c r="P970" s="166"/>
      <c r="Q970" s="76"/>
      <c r="R970" s="76"/>
      <c r="S970" s="76"/>
      <c r="T970" s="76"/>
      <c r="U970" s="76"/>
      <c r="V970" s="76"/>
    </row>
    <row r="971" spans="2:22" x14ac:dyDescent="0.2">
      <c r="B971" s="165" t="s">
        <v>10063</v>
      </c>
      <c r="C971" s="165"/>
      <c r="D971" s="165"/>
      <c r="E971" s="165"/>
      <c r="F971" s="165"/>
      <c r="G971" s="165"/>
      <c r="H971" s="165"/>
      <c r="I971" s="165"/>
      <c r="J971" s="165"/>
      <c r="K971" s="165"/>
      <c r="L971" s="165"/>
      <c r="M971" s="165"/>
      <c r="N971" s="165"/>
      <c r="O971" s="165"/>
      <c r="P971" s="165"/>
      <c r="Q971" s="73"/>
      <c r="R971" s="23"/>
      <c r="S971" s="23"/>
      <c r="T971" s="73"/>
      <c r="U971" s="73"/>
      <c r="V971" s="73"/>
    </row>
    <row r="972" spans="2:22" x14ac:dyDescent="0.2">
      <c r="B972" s="73" t="s">
        <v>10063</v>
      </c>
      <c r="C972" s="33" t="s">
        <v>933</v>
      </c>
      <c r="D972" s="23" t="s">
        <v>934</v>
      </c>
      <c r="E972" s="73"/>
      <c r="F972" s="73"/>
      <c r="G972" s="73"/>
      <c r="H972" s="73"/>
      <c r="I972" s="73"/>
      <c r="J972" s="33" t="s">
        <v>9374</v>
      </c>
      <c r="K972" s="33" t="s">
        <v>11016</v>
      </c>
      <c r="L972" s="33" t="s">
        <v>121</v>
      </c>
      <c r="M972" s="33" t="s">
        <v>9376</v>
      </c>
      <c r="N972" s="73"/>
      <c r="O972" s="73"/>
      <c r="P972" s="73"/>
      <c r="Q972" s="75"/>
      <c r="R972" s="75"/>
      <c r="S972" s="75"/>
      <c r="T972" s="75"/>
      <c r="U972" s="75"/>
      <c r="V972" s="75"/>
    </row>
    <row r="973" spans="2:22" x14ac:dyDescent="0.2">
      <c r="B973" s="166"/>
      <c r="C973" s="166"/>
      <c r="D973" s="166"/>
      <c r="E973" s="166"/>
      <c r="F973" s="166"/>
      <c r="G973" s="166"/>
      <c r="H973" s="166"/>
      <c r="I973" s="166"/>
      <c r="J973" s="166"/>
      <c r="K973" s="166"/>
      <c r="L973" s="166"/>
      <c r="M973" s="166"/>
      <c r="N973" s="166"/>
      <c r="O973" s="166"/>
      <c r="P973" s="166"/>
      <c r="Q973" s="76"/>
      <c r="R973" s="76"/>
      <c r="S973" s="76"/>
      <c r="T973" s="76"/>
      <c r="U973" s="76"/>
      <c r="V973" s="76"/>
    </row>
    <row r="974" spans="2:22" x14ac:dyDescent="0.2">
      <c r="B974" s="165" t="s">
        <v>10066</v>
      </c>
      <c r="C974" s="165"/>
      <c r="D974" s="165"/>
      <c r="E974" s="165"/>
      <c r="F974" s="165"/>
      <c r="G974" s="165"/>
      <c r="H974" s="165"/>
      <c r="I974" s="165"/>
      <c r="J974" s="165"/>
      <c r="K974" s="165"/>
      <c r="L974" s="165"/>
      <c r="M974" s="165"/>
      <c r="N974" s="165"/>
      <c r="O974" s="165"/>
      <c r="P974" s="165"/>
      <c r="Q974" s="73"/>
      <c r="R974" s="23"/>
      <c r="S974" s="23"/>
      <c r="T974" s="73"/>
      <c r="U974" s="73"/>
      <c r="V974" s="73"/>
    </row>
    <row r="975" spans="2:22" x14ac:dyDescent="0.2">
      <c r="B975" s="73" t="s">
        <v>10066</v>
      </c>
      <c r="C975" s="33" t="s">
        <v>935</v>
      </c>
      <c r="D975" s="23" t="s">
        <v>936</v>
      </c>
      <c r="E975" s="73"/>
      <c r="F975" s="73"/>
      <c r="G975" s="73"/>
      <c r="H975" s="73"/>
      <c r="I975" s="73"/>
      <c r="J975" s="33" t="s">
        <v>9374</v>
      </c>
      <c r="K975" s="33" t="s">
        <v>11016</v>
      </c>
      <c r="L975" s="33" t="s">
        <v>121</v>
      </c>
      <c r="M975" s="33" t="s">
        <v>9376</v>
      </c>
      <c r="N975" s="73"/>
      <c r="O975" s="73"/>
      <c r="P975" s="73"/>
      <c r="Q975" s="73"/>
      <c r="R975" s="23"/>
      <c r="S975" s="23"/>
      <c r="T975" s="73"/>
      <c r="U975" s="73"/>
      <c r="V975" s="73"/>
    </row>
    <row r="976" spans="2:22" x14ac:dyDescent="0.2">
      <c r="B976" s="166"/>
      <c r="C976" s="166"/>
      <c r="D976" s="166"/>
      <c r="E976" s="166"/>
      <c r="F976" s="166"/>
      <c r="G976" s="166"/>
      <c r="H976" s="166"/>
      <c r="I976" s="166"/>
      <c r="J976" s="166"/>
      <c r="K976" s="166"/>
      <c r="L976" s="166"/>
      <c r="M976" s="166"/>
      <c r="N976" s="166"/>
      <c r="O976" s="166"/>
      <c r="P976" s="166"/>
      <c r="Q976" s="75"/>
      <c r="R976" s="75"/>
      <c r="S976" s="75"/>
      <c r="T976" s="75"/>
      <c r="U976" s="75"/>
      <c r="V976" s="75"/>
    </row>
    <row r="977" spans="2:22" x14ac:dyDescent="0.2">
      <c r="B977" s="165" t="s">
        <v>10069</v>
      </c>
      <c r="C977" s="165"/>
      <c r="D977" s="165"/>
      <c r="E977" s="165"/>
      <c r="F977" s="165"/>
      <c r="G977" s="165"/>
      <c r="H977" s="165"/>
      <c r="I977" s="165"/>
      <c r="J977" s="165"/>
      <c r="K977" s="165"/>
      <c r="L977" s="165"/>
      <c r="M977" s="165"/>
      <c r="N977" s="165"/>
      <c r="O977" s="165"/>
      <c r="P977" s="165"/>
      <c r="Q977" s="76"/>
      <c r="R977" s="76"/>
      <c r="S977" s="76"/>
      <c r="T977" s="76"/>
      <c r="U977" s="76"/>
      <c r="V977" s="76"/>
    </row>
    <row r="978" spans="2:22" x14ac:dyDescent="0.2">
      <c r="B978" s="73" t="s">
        <v>10069</v>
      </c>
      <c r="C978" s="33" t="s">
        <v>937</v>
      </c>
      <c r="D978" s="23" t="s">
        <v>938</v>
      </c>
      <c r="E978" s="73"/>
      <c r="F978" s="73"/>
      <c r="G978" s="73"/>
      <c r="H978" s="73"/>
      <c r="I978" s="73"/>
      <c r="J978" s="33" t="s">
        <v>9374</v>
      </c>
      <c r="K978" s="33" t="s">
        <v>11016</v>
      </c>
      <c r="L978" s="33" t="s">
        <v>121</v>
      </c>
      <c r="M978" s="33" t="s">
        <v>9376</v>
      </c>
      <c r="N978" s="73"/>
      <c r="O978" s="73"/>
      <c r="P978" s="73"/>
      <c r="Q978" s="73"/>
      <c r="R978" s="23"/>
      <c r="S978" s="23"/>
      <c r="T978" s="73"/>
      <c r="U978" s="73"/>
      <c r="V978" s="73"/>
    </row>
    <row r="979" spans="2:22" x14ac:dyDescent="0.2">
      <c r="B979" s="166"/>
      <c r="C979" s="166"/>
      <c r="D979" s="166"/>
      <c r="E979" s="166"/>
      <c r="F979" s="166"/>
      <c r="G979" s="166"/>
      <c r="H979" s="166"/>
      <c r="I979" s="166"/>
      <c r="J979" s="166"/>
      <c r="K979" s="166"/>
      <c r="L979" s="166"/>
      <c r="M979" s="166"/>
      <c r="N979" s="166"/>
      <c r="O979" s="166"/>
      <c r="P979" s="166"/>
      <c r="Q979" s="73"/>
      <c r="R979" s="23"/>
      <c r="S979" s="23"/>
      <c r="T979" s="73"/>
      <c r="U979" s="73"/>
      <c r="V979" s="73"/>
    </row>
    <row r="980" spans="2:22" x14ac:dyDescent="0.2">
      <c r="B980" s="165" t="s">
        <v>10072</v>
      </c>
      <c r="C980" s="165"/>
      <c r="D980" s="165"/>
      <c r="E980" s="165"/>
      <c r="F980" s="165"/>
      <c r="G980" s="165"/>
      <c r="H980" s="165"/>
      <c r="I980" s="165"/>
      <c r="J980" s="165"/>
      <c r="K980" s="165"/>
      <c r="L980" s="165"/>
      <c r="M980" s="165"/>
      <c r="N980" s="165"/>
      <c r="O980" s="165"/>
      <c r="P980" s="165"/>
      <c r="Q980" s="75"/>
      <c r="R980" s="75"/>
      <c r="S980" s="75"/>
      <c r="T980" s="75"/>
      <c r="U980" s="75"/>
      <c r="V980" s="75"/>
    </row>
    <row r="981" spans="2:22" x14ac:dyDescent="0.2">
      <c r="B981" s="73" t="s">
        <v>10072</v>
      </c>
      <c r="C981" s="33" t="s">
        <v>939</v>
      </c>
      <c r="D981" s="23" t="s">
        <v>940</v>
      </c>
      <c r="E981" s="73"/>
      <c r="F981" s="73"/>
      <c r="G981" s="73"/>
      <c r="H981" s="73"/>
      <c r="I981" s="73"/>
      <c r="J981" s="33" t="s">
        <v>9374</v>
      </c>
      <c r="K981" s="33" t="s">
        <v>11016</v>
      </c>
      <c r="L981" s="33" t="s">
        <v>121</v>
      </c>
      <c r="M981" s="33" t="s">
        <v>9376</v>
      </c>
      <c r="N981" s="73"/>
      <c r="O981" s="73"/>
      <c r="P981" s="73"/>
      <c r="Q981" s="76"/>
      <c r="R981" s="76"/>
      <c r="S981" s="76"/>
      <c r="T981" s="76"/>
      <c r="U981" s="76"/>
      <c r="V981" s="76"/>
    </row>
    <row r="982" spans="2:22" x14ac:dyDescent="0.2">
      <c r="B982" s="166"/>
      <c r="C982" s="166"/>
      <c r="D982" s="166"/>
      <c r="E982" s="166"/>
      <c r="F982" s="166"/>
      <c r="G982" s="166"/>
      <c r="H982" s="166"/>
      <c r="I982" s="166"/>
      <c r="J982" s="166"/>
      <c r="K982" s="166"/>
      <c r="L982" s="166"/>
      <c r="M982" s="166"/>
      <c r="N982" s="166"/>
      <c r="O982" s="166"/>
      <c r="P982" s="166"/>
      <c r="Q982" s="73"/>
      <c r="R982" s="23"/>
      <c r="S982" s="23"/>
      <c r="T982" s="73"/>
      <c r="U982" s="73"/>
      <c r="V982" s="73"/>
    </row>
    <row r="983" spans="2:22" x14ac:dyDescent="0.2">
      <c r="B983" s="165" t="s">
        <v>10075</v>
      </c>
      <c r="C983" s="165"/>
      <c r="D983" s="165"/>
      <c r="E983" s="165"/>
      <c r="F983" s="165"/>
      <c r="G983" s="165"/>
      <c r="H983" s="165"/>
      <c r="I983" s="165"/>
      <c r="J983" s="165"/>
      <c r="K983" s="165"/>
      <c r="L983" s="165"/>
      <c r="M983" s="165"/>
      <c r="N983" s="165"/>
      <c r="O983" s="165"/>
      <c r="P983" s="165"/>
      <c r="Q983" s="73"/>
      <c r="R983" s="23"/>
      <c r="S983" s="23"/>
      <c r="T983" s="73"/>
      <c r="U983" s="73"/>
      <c r="V983" s="73"/>
    </row>
    <row r="984" spans="2:22" x14ac:dyDescent="0.2">
      <c r="B984" s="73" t="s">
        <v>10075</v>
      </c>
      <c r="C984" s="33" t="s">
        <v>941</v>
      </c>
      <c r="D984" s="23" t="s">
        <v>942</v>
      </c>
      <c r="E984" s="73"/>
      <c r="F984" s="73"/>
      <c r="G984" s="73"/>
      <c r="H984" s="73"/>
      <c r="I984" s="73"/>
      <c r="J984" s="33" t="s">
        <v>9374</v>
      </c>
      <c r="K984" s="33" t="s">
        <v>11016</v>
      </c>
      <c r="L984" s="33" t="s">
        <v>121</v>
      </c>
      <c r="M984" s="33" t="s">
        <v>9376</v>
      </c>
      <c r="N984" s="73"/>
      <c r="O984" s="73"/>
      <c r="P984" s="73"/>
      <c r="Q984" s="75"/>
      <c r="R984" s="75"/>
      <c r="S984" s="75"/>
      <c r="T984" s="75"/>
      <c r="U984" s="75"/>
      <c r="V984" s="75"/>
    </row>
    <row r="985" spans="2:22" x14ac:dyDescent="0.2">
      <c r="B985" s="166"/>
      <c r="C985" s="166"/>
      <c r="D985" s="166"/>
      <c r="E985" s="166"/>
      <c r="F985" s="166"/>
      <c r="G985" s="166"/>
      <c r="H985" s="166"/>
      <c r="I985" s="166"/>
      <c r="J985" s="166"/>
      <c r="K985" s="166"/>
      <c r="L985" s="166"/>
      <c r="M985" s="166"/>
      <c r="N985" s="166"/>
      <c r="O985" s="166"/>
      <c r="P985" s="166"/>
      <c r="Q985" s="76"/>
      <c r="R985" s="76"/>
      <c r="S985" s="76"/>
      <c r="T985" s="76"/>
      <c r="U985" s="76"/>
      <c r="V985" s="76"/>
    </row>
    <row r="986" spans="2:22" x14ac:dyDescent="0.2">
      <c r="B986" s="165" t="s">
        <v>10078</v>
      </c>
      <c r="C986" s="165"/>
      <c r="D986" s="165"/>
      <c r="E986" s="165"/>
      <c r="F986" s="165"/>
      <c r="G986" s="165"/>
      <c r="H986" s="165"/>
      <c r="I986" s="165"/>
      <c r="J986" s="165"/>
      <c r="K986" s="165"/>
      <c r="L986" s="165"/>
      <c r="M986" s="165"/>
      <c r="N986" s="165"/>
      <c r="O986" s="165"/>
      <c r="P986" s="165"/>
      <c r="Q986" s="73"/>
      <c r="R986" s="23"/>
      <c r="S986" s="23"/>
      <c r="T986" s="73"/>
      <c r="U986" s="73"/>
      <c r="V986" s="73"/>
    </row>
    <row r="987" spans="2:22" x14ac:dyDescent="0.2">
      <c r="B987" s="73" t="s">
        <v>10078</v>
      </c>
      <c r="C987" s="33" t="s">
        <v>943</v>
      </c>
      <c r="D987" s="23" t="s">
        <v>944</v>
      </c>
      <c r="E987" s="73"/>
      <c r="F987" s="73"/>
      <c r="G987" s="73"/>
      <c r="H987" s="73"/>
      <c r="I987" s="73"/>
      <c r="J987" s="33" t="s">
        <v>9374</v>
      </c>
      <c r="K987" s="33" t="s">
        <v>9375</v>
      </c>
      <c r="L987" s="33" t="s">
        <v>121</v>
      </c>
      <c r="M987" s="33" t="s">
        <v>9376</v>
      </c>
      <c r="N987" s="73"/>
      <c r="O987" s="73"/>
      <c r="P987" s="73"/>
      <c r="Q987" s="73"/>
      <c r="R987" s="23"/>
      <c r="S987" s="23"/>
      <c r="T987" s="73"/>
      <c r="U987" s="73"/>
      <c r="V987" s="73"/>
    </row>
    <row r="988" spans="2:22" ht="30.6" x14ac:dyDescent="0.2">
      <c r="B988" s="73" t="s">
        <v>10078</v>
      </c>
      <c r="C988" s="33" t="s">
        <v>1930</v>
      </c>
      <c r="D988" s="23" t="s">
        <v>1931</v>
      </c>
      <c r="E988" s="73" t="s">
        <v>11118</v>
      </c>
      <c r="F988" s="73" t="s">
        <v>10902</v>
      </c>
      <c r="G988" s="73"/>
      <c r="H988" s="73" t="s">
        <v>11119</v>
      </c>
      <c r="I988" s="73" t="s">
        <v>11120</v>
      </c>
      <c r="J988" s="33" t="s">
        <v>9374</v>
      </c>
      <c r="K988" s="33" t="s">
        <v>9375</v>
      </c>
      <c r="L988" s="33" t="s">
        <v>121</v>
      </c>
      <c r="M988" s="33" t="s">
        <v>9376</v>
      </c>
      <c r="N988" s="73"/>
      <c r="O988" s="73"/>
      <c r="P988" s="73"/>
      <c r="Q988" s="75"/>
      <c r="R988" s="75"/>
      <c r="S988" s="75"/>
      <c r="T988" s="75"/>
      <c r="U988" s="75"/>
      <c r="V988" s="75"/>
    </row>
    <row r="989" spans="2:22" x14ac:dyDescent="0.2">
      <c r="B989" s="166"/>
      <c r="C989" s="166"/>
      <c r="D989" s="166"/>
      <c r="E989" s="166"/>
      <c r="F989" s="166"/>
      <c r="G989" s="166"/>
      <c r="H989" s="166"/>
      <c r="I989" s="166"/>
      <c r="J989" s="166"/>
      <c r="K989" s="166"/>
      <c r="L989" s="166"/>
      <c r="M989" s="166"/>
      <c r="N989" s="166"/>
      <c r="O989" s="166"/>
      <c r="P989" s="166"/>
      <c r="Q989" s="76"/>
      <c r="R989" s="76"/>
      <c r="S989" s="76"/>
      <c r="T989" s="76"/>
      <c r="U989" s="76"/>
      <c r="V989" s="76"/>
    </row>
    <row r="990" spans="2:22" x14ac:dyDescent="0.2">
      <c r="B990" s="165" t="s">
        <v>10080</v>
      </c>
      <c r="C990" s="165"/>
      <c r="D990" s="165"/>
      <c r="E990" s="165"/>
      <c r="F990" s="165"/>
      <c r="G990" s="165"/>
      <c r="H990" s="165"/>
      <c r="I990" s="165"/>
      <c r="J990" s="165"/>
      <c r="K990" s="165"/>
      <c r="L990" s="165"/>
      <c r="M990" s="165"/>
      <c r="N990" s="165"/>
      <c r="O990" s="165"/>
      <c r="P990" s="165"/>
      <c r="Q990" s="73"/>
      <c r="R990" s="23"/>
      <c r="S990" s="23"/>
      <c r="T990" s="73"/>
      <c r="U990" s="73"/>
      <c r="V990" s="73"/>
    </row>
    <row r="991" spans="2:22" x14ac:dyDescent="0.2">
      <c r="B991" s="73" t="s">
        <v>10080</v>
      </c>
      <c r="C991" s="33" t="s">
        <v>945</v>
      </c>
      <c r="D991" s="23" t="s">
        <v>946</v>
      </c>
      <c r="E991" s="73"/>
      <c r="F991" s="73"/>
      <c r="G991" s="73"/>
      <c r="H991" s="73"/>
      <c r="I991" s="73"/>
      <c r="J991" s="33" t="s">
        <v>9374</v>
      </c>
      <c r="K991" s="33" t="s">
        <v>9375</v>
      </c>
      <c r="L991" s="33" t="s">
        <v>121</v>
      </c>
      <c r="M991" s="33" t="s">
        <v>9376</v>
      </c>
      <c r="N991" s="73"/>
      <c r="O991" s="73"/>
      <c r="P991" s="73"/>
      <c r="Q991" s="75"/>
      <c r="R991" s="75"/>
      <c r="S991" s="75"/>
      <c r="T991" s="75"/>
      <c r="U991" s="75"/>
      <c r="V991" s="75"/>
    </row>
    <row r="992" spans="2:22" x14ac:dyDescent="0.2">
      <c r="B992" s="73" t="s">
        <v>10080</v>
      </c>
      <c r="C992" s="33" t="s">
        <v>1801</v>
      </c>
      <c r="D992" s="23" t="s">
        <v>1802</v>
      </c>
      <c r="E992" s="73" t="s">
        <v>11121</v>
      </c>
      <c r="F992" s="73" t="s">
        <v>10902</v>
      </c>
      <c r="G992" s="73"/>
      <c r="H992" s="73" t="s">
        <v>11122</v>
      </c>
      <c r="I992" s="73"/>
      <c r="J992" s="33" t="s">
        <v>9374</v>
      </c>
      <c r="K992" s="33" t="s">
        <v>9375</v>
      </c>
      <c r="L992" s="33" t="s">
        <v>121</v>
      </c>
      <c r="M992" s="33" t="s">
        <v>9376</v>
      </c>
      <c r="N992" s="73"/>
      <c r="O992" s="73"/>
      <c r="P992" s="73"/>
      <c r="Q992" s="76"/>
      <c r="R992" s="76"/>
      <c r="S992" s="76"/>
      <c r="T992" s="76"/>
      <c r="U992" s="76"/>
      <c r="V992" s="76"/>
    </row>
    <row r="993" spans="2:22" x14ac:dyDescent="0.2">
      <c r="B993" s="73" t="s">
        <v>10080</v>
      </c>
      <c r="C993" s="33" t="s">
        <v>1803</v>
      </c>
      <c r="D993" s="23" t="s">
        <v>1804</v>
      </c>
      <c r="E993" s="73" t="s">
        <v>11121</v>
      </c>
      <c r="F993" s="73" t="s">
        <v>10902</v>
      </c>
      <c r="G993" s="73"/>
      <c r="H993" s="73" t="s">
        <v>11122</v>
      </c>
      <c r="I993" s="73"/>
      <c r="J993" s="33" t="s">
        <v>9374</v>
      </c>
      <c r="K993" s="33" t="s">
        <v>9375</v>
      </c>
      <c r="L993" s="33" t="s">
        <v>121</v>
      </c>
      <c r="M993" s="33" t="s">
        <v>9376</v>
      </c>
      <c r="N993" s="73"/>
      <c r="O993" s="73"/>
      <c r="P993" s="73"/>
      <c r="Q993" s="73"/>
      <c r="R993" s="23"/>
      <c r="S993" s="23"/>
      <c r="T993" s="73"/>
      <c r="U993" s="73"/>
      <c r="V993" s="73"/>
    </row>
    <row r="994" spans="2:22" x14ac:dyDescent="0.2">
      <c r="B994" s="73" t="s">
        <v>10080</v>
      </c>
      <c r="C994" s="33" t="s">
        <v>1805</v>
      </c>
      <c r="D994" s="23" t="s">
        <v>1806</v>
      </c>
      <c r="E994" s="73" t="s">
        <v>11121</v>
      </c>
      <c r="F994" s="73" t="s">
        <v>10902</v>
      </c>
      <c r="G994" s="73"/>
      <c r="H994" s="73" t="s">
        <v>11122</v>
      </c>
      <c r="I994" s="73" t="s">
        <v>11123</v>
      </c>
      <c r="J994" s="33" t="s">
        <v>9374</v>
      </c>
      <c r="K994" s="33" t="s">
        <v>9375</v>
      </c>
      <c r="L994" s="33" t="s">
        <v>121</v>
      </c>
      <c r="M994" s="33" t="s">
        <v>9376</v>
      </c>
      <c r="N994" s="73"/>
      <c r="O994" s="73"/>
      <c r="P994" s="73"/>
      <c r="Q994" s="75"/>
      <c r="R994" s="75"/>
      <c r="S994" s="75"/>
      <c r="T994" s="75"/>
      <c r="U994" s="75"/>
      <c r="V994" s="75"/>
    </row>
    <row r="995" spans="2:22" x14ac:dyDescent="0.2">
      <c r="B995" s="166"/>
      <c r="C995" s="166"/>
      <c r="D995" s="166"/>
      <c r="E995" s="166"/>
      <c r="F995" s="166"/>
      <c r="G995" s="166"/>
      <c r="H995" s="166"/>
      <c r="I995" s="166"/>
      <c r="J995" s="166"/>
      <c r="K995" s="166"/>
      <c r="L995" s="166"/>
      <c r="M995" s="166"/>
      <c r="N995" s="166"/>
      <c r="O995" s="166"/>
      <c r="P995" s="166"/>
      <c r="Q995" s="76"/>
      <c r="R995" s="76"/>
      <c r="S995" s="76"/>
      <c r="T995" s="76"/>
      <c r="U995" s="76"/>
      <c r="V995" s="76"/>
    </row>
    <row r="996" spans="2:22" x14ac:dyDescent="0.2">
      <c r="B996" s="165" t="s">
        <v>10085</v>
      </c>
      <c r="C996" s="165"/>
      <c r="D996" s="165"/>
      <c r="E996" s="165"/>
      <c r="F996" s="165"/>
      <c r="G996" s="165"/>
      <c r="H996" s="165"/>
      <c r="I996" s="165"/>
      <c r="J996" s="165"/>
      <c r="K996" s="165"/>
      <c r="L996" s="165"/>
      <c r="M996" s="165"/>
      <c r="N996" s="165"/>
      <c r="O996" s="165"/>
      <c r="P996" s="165"/>
      <c r="Q996" s="73"/>
      <c r="R996" s="23"/>
      <c r="S996" s="23"/>
      <c r="T996" s="73"/>
      <c r="U996" s="73"/>
      <c r="V996" s="73"/>
    </row>
    <row r="997" spans="2:22" x14ac:dyDescent="0.2">
      <c r="B997" s="73" t="s">
        <v>10085</v>
      </c>
      <c r="C997" s="33" t="s">
        <v>947</v>
      </c>
      <c r="D997" s="23" t="s">
        <v>948</v>
      </c>
      <c r="E997" s="73"/>
      <c r="F997" s="73"/>
      <c r="G997" s="73"/>
      <c r="H997" s="73"/>
      <c r="I997" s="73"/>
      <c r="J997" s="33" t="s">
        <v>9374</v>
      </c>
      <c r="K997" s="33" t="s">
        <v>11016</v>
      </c>
      <c r="L997" s="33" t="s">
        <v>121</v>
      </c>
      <c r="M997" s="33" t="s">
        <v>9376</v>
      </c>
      <c r="N997" s="73"/>
      <c r="O997" s="73"/>
      <c r="P997" s="73"/>
      <c r="Q997" s="73"/>
      <c r="R997" s="23"/>
      <c r="S997" s="23"/>
      <c r="T997" s="73"/>
      <c r="U997" s="73"/>
      <c r="V997" s="73"/>
    </row>
    <row r="998" spans="2:22" x14ac:dyDescent="0.2">
      <c r="B998" s="166"/>
      <c r="C998" s="166"/>
      <c r="D998" s="166"/>
      <c r="E998" s="166"/>
      <c r="F998" s="166"/>
      <c r="G998" s="166"/>
      <c r="H998" s="166"/>
      <c r="I998" s="166"/>
      <c r="J998" s="166"/>
      <c r="K998" s="166"/>
      <c r="L998" s="166"/>
      <c r="M998" s="166"/>
      <c r="N998" s="166"/>
      <c r="O998" s="166"/>
      <c r="P998" s="166"/>
      <c r="Q998" s="75"/>
      <c r="R998" s="75"/>
      <c r="S998" s="75"/>
      <c r="T998" s="75"/>
      <c r="U998" s="75"/>
      <c r="V998" s="75"/>
    </row>
    <row r="999" spans="2:22" x14ac:dyDescent="0.2">
      <c r="B999" s="165" t="s">
        <v>10088</v>
      </c>
      <c r="C999" s="165"/>
      <c r="D999" s="165"/>
      <c r="E999" s="165"/>
      <c r="F999" s="165"/>
      <c r="G999" s="165"/>
      <c r="H999" s="165"/>
      <c r="I999" s="165"/>
      <c r="J999" s="165"/>
      <c r="K999" s="165"/>
      <c r="L999" s="165"/>
      <c r="M999" s="165"/>
      <c r="N999" s="165"/>
      <c r="O999" s="165"/>
      <c r="P999" s="165"/>
      <c r="Q999" s="76"/>
      <c r="R999" s="76"/>
      <c r="S999" s="76"/>
      <c r="T999" s="76"/>
      <c r="U999" s="76"/>
      <c r="V999" s="76"/>
    </row>
    <row r="1000" spans="2:22" x14ac:dyDescent="0.2">
      <c r="B1000" s="73" t="s">
        <v>10088</v>
      </c>
      <c r="C1000" s="33" t="s">
        <v>949</v>
      </c>
      <c r="D1000" s="23" t="s">
        <v>950</v>
      </c>
      <c r="E1000" s="73"/>
      <c r="F1000" s="73"/>
      <c r="G1000" s="73"/>
      <c r="H1000" s="73"/>
      <c r="I1000" s="73"/>
      <c r="J1000" s="33" t="s">
        <v>9374</v>
      </c>
      <c r="K1000" s="33" t="s">
        <v>9375</v>
      </c>
      <c r="L1000" s="33" t="s">
        <v>121</v>
      </c>
      <c r="M1000" s="33" t="s">
        <v>9376</v>
      </c>
      <c r="N1000" s="73"/>
      <c r="O1000" s="73"/>
      <c r="P1000" s="73"/>
      <c r="Q1000" s="73"/>
      <c r="R1000" s="23"/>
      <c r="S1000" s="23"/>
      <c r="T1000" s="73"/>
      <c r="U1000" s="73"/>
      <c r="V1000" s="73"/>
    </row>
    <row r="1001" spans="2:22" x14ac:dyDescent="0.2">
      <c r="B1001" s="166"/>
      <c r="C1001" s="166"/>
      <c r="D1001" s="166"/>
      <c r="E1001" s="166"/>
      <c r="F1001" s="166"/>
      <c r="G1001" s="166"/>
      <c r="H1001" s="166"/>
      <c r="I1001" s="166"/>
      <c r="J1001" s="166"/>
      <c r="K1001" s="166"/>
      <c r="L1001" s="166"/>
      <c r="M1001" s="166"/>
      <c r="N1001" s="166"/>
      <c r="O1001" s="166"/>
      <c r="P1001" s="166"/>
      <c r="Q1001" s="73"/>
      <c r="R1001" s="23"/>
      <c r="S1001" s="23"/>
      <c r="T1001" s="73"/>
      <c r="U1001" s="73"/>
      <c r="V1001" s="73"/>
    </row>
    <row r="1002" spans="2:22" x14ac:dyDescent="0.2">
      <c r="B1002" s="165" t="s">
        <v>10090</v>
      </c>
      <c r="C1002" s="165"/>
      <c r="D1002" s="165"/>
      <c r="E1002" s="165"/>
      <c r="F1002" s="165"/>
      <c r="G1002" s="165"/>
      <c r="H1002" s="165"/>
      <c r="I1002" s="165"/>
      <c r="J1002" s="165"/>
      <c r="K1002" s="165"/>
      <c r="L1002" s="165"/>
      <c r="M1002" s="165"/>
      <c r="N1002" s="165"/>
      <c r="O1002" s="165"/>
      <c r="P1002" s="165"/>
      <c r="Q1002" s="75"/>
      <c r="R1002" s="75"/>
      <c r="S1002" s="75"/>
      <c r="T1002" s="75"/>
      <c r="U1002" s="75"/>
      <c r="V1002" s="75"/>
    </row>
    <row r="1003" spans="2:22" x14ac:dyDescent="0.2">
      <c r="B1003" s="73" t="s">
        <v>10090</v>
      </c>
      <c r="C1003" s="33" t="s">
        <v>951</v>
      </c>
      <c r="D1003" s="23" t="s">
        <v>952</v>
      </c>
      <c r="E1003" s="73"/>
      <c r="F1003" s="73"/>
      <c r="G1003" s="73"/>
      <c r="H1003" s="73"/>
      <c r="I1003" s="73"/>
      <c r="J1003" s="33" t="s">
        <v>9374</v>
      </c>
      <c r="K1003" s="33" t="s">
        <v>11016</v>
      </c>
      <c r="L1003" s="33" t="s">
        <v>121</v>
      </c>
      <c r="M1003" s="33" t="s">
        <v>9376</v>
      </c>
      <c r="N1003" s="73"/>
      <c r="O1003" s="73"/>
      <c r="P1003" s="73"/>
      <c r="Q1003" s="76"/>
      <c r="R1003" s="76"/>
      <c r="S1003" s="76"/>
      <c r="T1003" s="76"/>
      <c r="U1003" s="76"/>
      <c r="V1003" s="76"/>
    </row>
    <row r="1004" spans="2:22" x14ac:dyDescent="0.2">
      <c r="B1004" s="166"/>
      <c r="C1004" s="166"/>
      <c r="D1004" s="166"/>
      <c r="E1004" s="166"/>
      <c r="F1004" s="166"/>
      <c r="G1004" s="166"/>
      <c r="H1004" s="166"/>
      <c r="I1004" s="166"/>
      <c r="J1004" s="166"/>
      <c r="K1004" s="166"/>
      <c r="L1004" s="166"/>
      <c r="M1004" s="166"/>
      <c r="N1004" s="166"/>
      <c r="O1004" s="166"/>
      <c r="P1004" s="166"/>
      <c r="Q1004" s="73"/>
      <c r="R1004" s="23"/>
      <c r="S1004" s="23"/>
      <c r="T1004" s="73"/>
      <c r="U1004" s="73"/>
      <c r="V1004" s="73"/>
    </row>
    <row r="1005" spans="2:22" x14ac:dyDescent="0.2">
      <c r="B1005" s="165" t="s">
        <v>10093</v>
      </c>
      <c r="C1005" s="165"/>
      <c r="D1005" s="165"/>
      <c r="E1005" s="165"/>
      <c r="F1005" s="165"/>
      <c r="G1005" s="165"/>
      <c r="H1005" s="165"/>
      <c r="I1005" s="165"/>
      <c r="J1005" s="165"/>
      <c r="K1005" s="165"/>
      <c r="L1005" s="165"/>
      <c r="M1005" s="165"/>
      <c r="N1005" s="165"/>
      <c r="O1005" s="165"/>
      <c r="P1005" s="165"/>
      <c r="Q1005" s="73"/>
      <c r="R1005" s="23"/>
      <c r="S1005" s="23"/>
      <c r="T1005" s="73"/>
      <c r="U1005" s="73"/>
      <c r="V1005" s="73"/>
    </row>
    <row r="1006" spans="2:22" x14ac:dyDescent="0.2">
      <c r="B1006" s="73" t="s">
        <v>10093</v>
      </c>
      <c r="C1006" s="33" t="s">
        <v>953</v>
      </c>
      <c r="D1006" s="23" t="s">
        <v>954</v>
      </c>
      <c r="E1006" s="73"/>
      <c r="F1006" s="73"/>
      <c r="G1006" s="73"/>
      <c r="H1006" s="73"/>
      <c r="I1006" s="73"/>
      <c r="J1006" s="33" t="s">
        <v>9374</v>
      </c>
      <c r="K1006" s="33" t="s">
        <v>11016</v>
      </c>
      <c r="L1006" s="33" t="s">
        <v>121</v>
      </c>
      <c r="M1006" s="33" t="s">
        <v>9376</v>
      </c>
      <c r="N1006" s="73"/>
      <c r="O1006" s="73"/>
      <c r="P1006" s="73"/>
      <c r="Q1006" s="73"/>
      <c r="R1006" s="23"/>
      <c r="S1006" s="23"/>
      <c r="T1006" s="73"/>
      <c r="U1006" s="73"/>
      <c r="V1006" s="73"/>
    </row>
    <row r="1007" spans="2:22" x14ac:dyDescent="0.2">
      <c r="B1007" s="166"/>
      <c r="C1007" s="166"/>
      <c r="D1007" s="166"/>
      <c r="E1007" s="166"/>
      <c r="F1007" s="166"/>
      <c r="G1007" s="166"/>
      <c r="H1007" s="166"/>
      <c r="I1007" s="166"/>
      <c r="J1007" s="166"/>
      <c r="K1007" s="166"/>
      <c r="L1007" s="166"/>
      <c r="M1007" s="166"/>
      <c r="N1007" s="166"/>
      <c r="O1007" s="166"/>
      <c r="P1007" s="166"/>
      <c r="Q1007" s="75"/>
      <c r="R1007" s="75"/>
      <c r="S1007" s="75"/>
      <c r="T1007" s="75"/>
      <c r="U1007" s="75"/>
      <c r="V1007" s="75"/>
    </row>
    <row r="1008" spans="2:22" x14ac:dyDescent="0.2">
      <c r="B1008" s="165" t="s">
        <v>10096</v>
      </c>
      <c r="C1008" s="165"/>
      <c r="D1008" s="165"/>
      <c r="E1008" s="165"/>
      <c r="F1008" s="165"/>
      <c r="G1008" s="165"/>
      <c r="H1008" s="165"/>
      <c r="I1008" s="165"/>
      <c r="J1008" s="165"/>
      <c r="K1008" s="165"/>
      <c r="L1008" s="165"/>
      <c r="M1008" s="165"/>
      <c r="N1008" s="165"/>
      <c r="O1008" s="165"/>
      <c r="P1008" s="165"/>
      <c r="Q1008" s="76"/>
      <c r="R1008" s="76"/>
      <c r="S1008" s="76"/>
      <c r="T1008" s="76"/>
      <c r="U1008" s="76"/>
      <c r="V1008" s="76"/>
    </row>
    <row r="1009" spans="2:22" x14ac:dyDescent="0.2">
      <c r="B1009" s="73" t="s">
        <v>10096</v>
      </c>
      <c r="C1009" s="33" t="s">
        <v>955</v>
      </c>
      <c r="D1009" s="23" t="s">
        <v>956</v>
      </c>
      <c r="E1009" s="73"/>
      <c r="F1009" s="73"/>
      <c r="G1009" s="73"/>
      <c r="H1009" s="73"/>
      <c r="I1009" s="73"/>
      <c r="J1009" s="33" t="s">
        <v>9374</v>
      </c>
      <c r="K1009" s="33" t="s">
        <v>9375</v>
      </c>
      <c r="L1009" s="33" t="s">
        <v>121</v>
      </c>
      <c r="M1009" s="33" t="s">
        <v>9376</v>
      </c>
      <c r="N1009" s="73"/>
      <c r="O1009" s="73"/>
      <c r="P1009" s="73"/>
      <c r="Q1009" s="73"/>
      <c r="R1009" s="23"/>
      <c r="S1009" s="23"/>
      <c r="T1009" s="73"/>
      <c r="U1009" s="73"/>
      <c r="V1009" s="73"/>
    </row>
    <row r="1010" spans="2:22" x14ac:dyDescent="0.2">
      <c r="B1010" s="73" t="s">
        <v>10096</v>
      </c>
      <c r="C1010" s="33" t="s">
        <v>1807</v>
      </c>
      <c r="D1010" s="23" t="s">
        <v>1808</v>
      </c>
      <c r="E1010" s="73" t="s">
        <v>11124</v>
      </c>
      <c r="F1010" s="73" t="s">
        <v>10902</v>
      </c>
      <c r="G1010" s="73"/>
      <c r="H1010" s="73" t="s">
        <v>11125</v>
      </c>
      <c r="I1010" s="73"/>
      <c r="J1010" s="33" t="s">
        <v>9374</v>
      </c>
      <c r="K1010" s="33" t="s">
        <v>9375</v>
      </c>
      <c r="L1010" s="33" t="s">
        <v>121</v>
      </c>
      <c r="M1010" s="33" t="s">
        <v>9376</v>
      </c>
      <c r="N1010" s="73"/>
      <c r="O1010" s="73"/>
      <c r="P1010" s="73"/>
      <c r="Q1010" s="73"/>
      <c r="R1010" s="23"/>
      <c r="S1010" s="23"/>
      <c r="T1010" s="73"/>
      <c r="U1010" s="73"/>
      <c r="V1010" s="73"/>
    </row>
    <row r="1011" spans="2:22" ht="275.39999999999998" x14ac:dyDescent="0.2">
      <c r="B1011" s="73" t="s">
        <v>10096</v>
      </c>
      <c r="C1011" s="33" t="s">
        <v>1809</v>
      </c>
      <c r="D1011" s="23" t="s">
        <v>1810</v>
      </c>
      <c r="E1011" s="73" t="s">
        <v>11124</v>
      </c>
      <c r="F1011" s="73" t="s">
        <v>10902</v>
      </c>
      <c r="G1011" s="73"/>
      <c r="H1011" s="73" t="s">
        <v>11125</v>
      </c>
      <c r="I1011" s="73" t="s">
        <v>11126</v>
      </c>
      <c r="J1011" s="33" t="s">
        <v>9374</v>
      </c>
      <c r="K1011" s="33" t="s">
        <v>9375</v>
      </c>
      <c r="L1011" s="33" t="s">
        <v>121</v>
      </c>
      <c r="M1011" s="33" t="s">
        <v>9376</v>
      </c>
      <c r="N1011" s="73"/>
      <c r="O1011" s="73"/>
      <c r="P1011" s="73"/>
      <c r="Q1011" s="75"/>
      <c r="R1011" s="75"/>
      <c r="S1011" s="75"/>
      <c r="T1011" s="75"/>
      <c r="U1011" s="75"/>
      <c r="V1011" s="75"/>
    </row>
    <row r="1012" spans="2:22" x14ac:dyDescent="0.2">
      <c r="B1012" s="73" t="s">
        <v>10096</v>
      </c>
      <c r="C1012" s="33" t="s">
        <v>1812</v>
      </c>
      <c r="D1012" s="23" t="s">
        <v>1813</v>
      </c>
      <c r="E1012" s="73" t="s">
        <v>11124</v>
      </c>
      <c r="F1012" s="73" t="s">
        <v>10902</v>
      </c>
      <c r="G1012" s="73"/>
      <c r="H1012" s="73" t="s">
        <v>11125</v>
      </c>
      <c r="I1012" s="73" t="s">
        <v>11127</v>
      </c>
      <c r="J1012" s="33" t="s">
        <v>9374</v>
      </c>
      <c r="K1012" s="33" t="s">
        <v>9375</v>
      </c>
      <c r="L1012" s="33" t="s">
        <v>121</v>
      </c>
      <c r="M1012" s="33" t="s">
        <v>9376</v>
      </c>
      <c r="N1012" s="73"/>
      <c r="O1012" s="73"/>
      <c r="P1012" s="73"/>
      <c r="Q1012" s="76"/>
      <c r="R1012" s="76"/>
      <c r="S1012" s="76"/>
      <c r="T1012" s="76"/>
      <c r="U1012" s="76"/>
      <c r="V1012" s="76"/>
    </row>
    <row r="1013" spans="2:22" x14ac:dyDescent="0.2">
      <c r="B1013" s="73" t="s">
        <v>10096</v>
      </c>
      <c r="C1013" s="33" t="s">
        <v>1939</v>
      </c>
      <c r="D1013" s="23" t="s">
        <v>1940</v>
      </c>
      <c r="E1013" s="73" t="s">
        <v>11124</v>
      </c>
      <c r="F1013" s="73" t="s">
        <v>10902</v>
      </c>
      <c r="G1013" s="73"/>
      <c r="H1013" s="73" t="s">
        <v>11125</v>
      </c>
      <c r="I1013" s="73"/>
      <c r="J1013" s="33" t="s">
        <v>9374</v>
      </c>
      <c r="K1013" s="33" t="s">
        <v>9375</v>
      </c>
      <c r="L1013" s="33" t="s">
        <v>121</v>
      </c>
      <c r="M1013" s="33" t="s">
        <v>9376</v>
      </c>
      <c r="N1013" s="73"/>
      <c r="O1013" s="73"/>
      <c r="P1013" s="73"/>
      <c r="Q1013" s="73"/>
      <c r="R1013" s="23"/>
      <c r="S1013" s="23"/>
      <c r="T1013" s="73"/>
      <c r="U1013" s="73"/>
      <c r="V1013" s="73"/>
    </row>
    <row r="1014" spans="2:22" ht="275.39999999999998" x14ac:dyDescent="0.2">
      <c r="B1014" s="73" t="s">
        <v>10096</v>
      </c>
      <c r="C1014" s="33" t="s">
        <v>11128</v>
      </c>
      <c r="D1014" s="23" t="s">
        <v>11129</v>
      </c>
      <c r="E1014" s="73" t="s">
        <v>11124</v>
      </c>
      <c r="F1014" s="73" t="s">
        <v>10902</v>
      </c>
      <c r="G1014" s="73"/>
      <c r="H1014" s="73" t="s">
        <v>11125</v>
      </c>
      <c r="I1014" s="73" t="s">
        <v>11126</v>
      </c>
      <c r="J1014" s="33" t="s">
        <v>9374</v>
      </c>
      <c r="K1014" s="33" t="s">
        <v>9375</v>
      </c>
      <c r="L1014" s="33" t="s">
        <v>121</v>
      </c>
      <c r="M1014" s="33" t="s">
        <v>9376</v>
      </c>
      <c r="N1014" s="73"/>
      <c r="O1014" s="73"/>
      <c r="P1014" s="73"/>
      <c r="Q1014" s="73"/>
      <c r="R1014" s="23"/>
      <c r="S1014" s="23"/>
      <c r="T1014" s="73"/>
      <c r="U1014" s="73"/>
      <c r="V1014" s="73"/>
    </row>
    <row r="1015" spans="2:22" x14ac:dyDescent="0.2">
      <c r="B1015" s="166"/>
      <c r="C1015" s="166"/>
      <c r="D1015" s="166"/>
      <c r="E1015" s="166"/>
      <c r="F1015" s="166"/>
      <c r="G1015" s="166"/>
      <c r="H1015" s="166"/>
      <c r="I1015" s="166"/>
      <c r="J1015" s="166"/>
      <c r="K1015" s="166"/>
      <c r="L1015" s="166"/>
      <c r="M1015" s="166"/>
      <c r="N1015" s="166"/>
      <c r="O1015" s="166"/>
      <c r="P1015" s="166"/>
      <c r="Q1015" s="73"/>
      <c r="R1015" s="23"/>
      <c r="S1015" s="23"/>
      <c r="T1015" s="73"/>
      <c r="U1015" s="73"/>
      <c r="V1015" s="73"/>
    </row>
    <row r="1016" spans="2:22" x14ac:dyDescent="0.2">
      <c r="B1016" s="165" t="s">
        <v>10098</v>
      </c>
      <c r="C1016" s="165"/>
      <c r="D1016" s="165"/>
      <c r="E1016" s="165"/>
      <c r="F1016" s="165"/>
      <c r="G1016" s="165"/>
      <c r="H1016" s="165"/>
      <c r="I1016" s="165"/>
      <c r="J1016" s="165"/>
      <c r="K1016" s="165"/>
      <c r="L1016" s="165"/>
      <c r="M1016" s="165"/>
      <c r="N1016" s="165"/>
      <c r="O1016" s="165"/>
      <c r="P1016" s="165"/>
      <c r="Q1016" s="73"/>
      <c r="R1016" s="23"/>
      <c r="S1016" s="23"/>
      <c r="T1016" s="73"/>
      <c r="U1016" s="73"/>
      <c r="V1016" s="73"/>
    </row>
    <row r="1017" spans="2:22" x14ac:dyDescent="0.2">
      <c r="B1017" s="73" t="s">
        <v>10098</v>
      </c>
      <c r="C1017" s="33" t="s">
        <v>957</v>
      </c>
      <c r="D1017" s="23" t="s">
        <v>958</v>
      </c>
      <c r="E1017" s="73"/>
      <c r="F1017" s="73"/>
      <c r="G1017" s="73"/>
      <c r="H1017" s="73"/>
      <c r="I1017" s="73"/>
      <c r="J1017" s="33" t="s">
        <v>9374</v>
      </c>
      <c r="K1017" s="33" t="s">
        <v>11016</v>
      </c>
      <c r="L1017" s="33" t="s">
        <v>121</v>
      </c>
      <c r="M1017" s="33" t="s">
        <v>9376</v>
      </c>
      <c r="N1017" s="73"/>
      <c r="O1017" s="73"/>
      <c r="P1017" s="73"/>
      <c r="Q1017" s="75"/>
      <c r="R1017" s="75"/>
      <c r="S1017" s="75"/>
      <c r="T1017" s="75"/>
      <c r="U1017" s="75"/>
      <c r="V1017" s="75"/>
    </row>
    <row r="1018" spans="2:22" x14ac:dyDescent="0.2">
      <c r="B1018" s="166"/>
      <c r="C1018" s="166"/>
      <c r="D1018" s="166"/>
      <c r="E1018" s="166"/>
      <c r="F1018" s="166"/>
      <c r="G1018" s="166"/>
      <c r="H1018" s="166"/>
      <c r="I1018" s="166"/>
      <c r="J1018" s="166"/>
      <c r="K1018" s="166"/>
      <c r="L1018" s="166"/>
      <c r="M1018" s="166"/>
      <c r="N1018" s="166"/>
      <c r="O1018" s="166"/>
      <c r="P1018" s="166"/>
      <c r="Q1018" s="76"/>
      <c r="R1018" s="76"/>
      <c r="S1018" s="76"/>
      <c r="T1018" s="76"/>
      <c r="U1018" s="76"/>
      <c r="V1018" s="76"/>
    </row>
    <row r="1019" spans="2:22" x14ac:dyDescent="0.2">
      <c r="B1019" s="165" t="s">
        <v>10101</v>
      </c>
      <c r="C1019" s="165"/>
      <c r="D1019" s="165"/>
      <c r="E1019" s="165"/>
      <c r="F1019" s="165"/>
      <c r="G1019" s="165"/>
      <c r="H1019" s="165"/>
      <c r="I1019" s="165"/>
      <c r="J1019" s="165"/>
      <c r="K1019" s="165"/>
      <c r="L1019" s="165"/>
      <c r="M1019" s="165"/>
      <c r="N1019" s="165"/>
      <c r="O1019" s="165"/>
      <c r="P1019" s="165"/>
      <c r="Q1019" s="73"/>
      <c r="R1019" s="23"/>
      <c r="S1019" s="23"/>
      <c r="T1019" s="73"/>
      <c r="U1019" s="73"/>
      <c r="V1019" s="73"/>
    </row>
    <row r="1020" spans="2:22" x14ac:dyDescent="0.2">
      <c r="B1020" s="73" t="s">
        <v>10101</v>
      </c>
      <c r="C1020" s="33" t="s">
        <v>959</v>
      </c>
      <c r="D1020" s="23" t="s">
        <v>960</v>
      </c>
      <c r="E1020" s="73"/>
      <c r="F1020" s="73"/>
      <c r="G1020" s="73"/>
      <c r="H1020" s="73"/>
      <c r="I1020" s="73"/>
      <c r="J1020" s="33" t="s">
        <v>9374</v>
      </c>
      <c r="K1020" s="33" t="s">
        <v>9375</v>
      </c>
      <c r="L1020" s="33" t="s">
        <v>121</v>
      </c>
      <c r="M1020" s="33" t="s">
        <v>9376</v>
      </c>
      <c r="N1020" s="73"/>
      <c r="O1020" s="73"/>
      <c r="P1020" s="73"/>
      <c r="Q1020" s="75"/>
      <c r="R1020" s="75"/>
      <c r="S1020" s="75"/>
      <c r="T1020" s="75"/>
      <c r="U1020" s="75"/>
      <c r="V1020" s="75"/>
    </row>
    <row r="1021" spans="2:22" x14ac:dyDescent="0.2">
      <c r="B1021" s="166"/>
      <c r="C1021" s="166"/>
      <c r="D1021" s="166"/>
      <c r="E1021" s="166"/>
      <c r="F1021" s="166"/>
      <c r="G1021" s="166"/>
      <c r="H1021" s="166"/>
      <c r="I1021" s="166"/>
      <c r="J1021" s="166"/>
      <c r="K1021" s="166"/>
      <c r="L1021" s="166"/>
      <c r="M1021" s="166"/>
      <c r="N1021" s="166"/>
      <c r="O1021" s="166"/>
      <c r="P1021" s="166"/>
      <c r="Q1021" s="76"/>
      <c r="R1021" s="76"/>
      <c r="S1021" s="76"/>
      <c r="T1021" s="76"/>
      <c r="U1021" s="76"/>
      <c r="V1021" s="76"/>
    </row>
    <row r="1022" spans="2:22" x14ac:dyDescent="0.2">
      <c r="B1022" s="165" t="s">
        <v>10103</v>
      </c>
      <c r="C1022" s="165"/>
      <c r="D1022" s="165"/>
      <c r="E1022" s="165"/>
      <c r="F1022" s="165"/>
      <c r="G1022" s="165"/>
      <c r="H1022" s="165"/>
      <c r="I1022" s="165"/>
      <c r="J1022" s="165"/>
      <c r="K1022" s="165"/>
      <c r="L1022" s="165"/>
      <c r="M1022" s="165"/>
      <c r="N1022" s="165"/>
      <c r="O1022" s="165"/>
      <c r="P1022" s="165"/>
      <c r="Q1022" s="73"/>
      <c r="R1022" s="23"/>
      <c r="S1022" s="23"/>
      <c r="T1022" s="73"/>
      <c r="U1022" s="73"/>
      <c r="V1022" s="73"/>
    </row>
    <row r="1023" spans="2:22" x14ac:dyDescent="0.2">
      <c r="B1023" s="73" t="s">
        <v>10103</v>
      </c>
      <c r="C1023" s="33" t="s">
        <v>961</v>
      </c>
      <c r="D1023" s="23" t="s">
        <v>962</v>
      </c>
      <c r="E1023" s="73"/>
      <c r="F1023" s="73"/>
      <c r="G1023" s="73"/>
      <c r="H1023" s="73"/>
      <c r="I1023" s="73"/>
      <c r="J1023" s="33" t="s">
        <v>9374</v>
      </c>
      <c r="K1023" s="33" t="s">
        <v>11016</v>
      </c>
      <c r="L1023" s="33" t="s">
        <v>121</v>
      </c>
      <c r="M1023" s="33" t="s">
        <v>9376</v>
      </c>
      <c r="N1023" s="73"/>
      <c r="O1023" s="73"/>
      <c r="P1023" s="73"/>
      <c r="Q1023" s="75"/>
      <c r="R1023" s="75"/>
      <c r="S1023" s="75"/>
      <c r="T1023" s="75"/>
      <c r="U1023" s="75"/>
      <c r="V1023" s="75"/>
    </row>
    <row r="1024" spans="2:22" x14ac:dyDescent="0.2">
      <c r="B1024" s="166"/>
      <c r="C1024" s="166"/>
      <c r="D1024" s="166"/>
      <c r="E1024" s="166"/>
      <c r="F1024" s="166"/>
      <c r="G1024" s="166"/>
      <c r="H1024" s="166"/>
      <c r="I1024" s="166"/>
      <c r="J1024" s="166"/>
      <c r="K1024" s="166"/>
      <c r="L1024" s="166"/>
      <c r="M1024" s="166"/>
      <c r="N1024" s="166"/>
      <c r="O1024" s="166"/>
      <c r="P1024" s="166"/>
      <c r="Q1024" s="76"/>
      <c r="R1024" s="76"/>
      <c r="S1024" s="76"/>
      <c r="T1024" s="76"/>
      <c r="U1024" s="76"/>
      <c r="V1024" s="76"/>
    </row>
    <row r="1025" spans="2:22" x14ac:dyDescent="0.2">
      <c r="B1025" s="165" t="s">
        <v>10106</v>
      </c>
      <c r="C1025" s="165"/>
      <c r="D1025" s="165"/>
      <c r="E1025" s="165"/>
      <c r="F1025" s="165"/>
      <c r="G1025" s="165"/>
      <c r="H1025" s="165"/>
      <c r="I1025" s="165"/>
      <c r="J1025" s="165"/>
      <c r="K1025" s="165"/>
      <c r="L1025" s="165"/>
      <c r="M1025" s="165"/>
      <c r="N1025" s="165"/>
      <c r="O1025" s="165"/>
      <c r="P1025" s="165"/>
      <c r="Q1025" s="73"/>
      <c r="R1025" s="23"/>
      <c r="S1025" s="23"/>
      <c r="T1025" s="73"/>
      <c r="U1025" s="73"/>
      <c r="V1025" s="73"/>
    </row>
    <row r="1026" spans="2:22" x14ac:dyDescent="0.2">
      <c r="B1026" s="73" t="s">
        <v>10106</v>
      </c>
      <c r="C1026" s="33" t="s">
        <v>963</v>
      </c>
      <c r="D1026" s="23" t="s">
        <v>964</v>
      </c>
      <c r="E1026" s="73"/>
      <c r="F1026" s="73"/>
      <c r="G1026" s="73"/>
      <c r="H1026" s="73"/>
      <c r="I1026" s="73"/>
      <c r="J1026" s="33" t="s">
        <v>9374</v>
      </c>
      <c r="K1026" s="33" t="s">
        <v>11016</v>
      </c>
      <c r="L1026" s="33" t="s">
        <v>121</v>
      </c>
      <c r="M1026" s="33" t="s">
        <v>9376</v>
      </c>
      <c r="N1026" s="73"/>
      <c r="O1026" s="73"/>
      <c r="P1026" s="73"/>
      <c r="Q1026" s="75"/>
      <c r="R1026" s="75"/>
      <c r="S1026" s="75"/>
      <c r="T1026" s="75"/>
      <c r="U1026" s="75"/>
      <c r="V1026" s="75"/>
    </row>
    <row r="1027" spans="2:22" x14ac:dyDescent="0.2">
      <c r="B1027" s="166"/>
      <c r="C1027" s="166"/>
      <c r="D1027" s="166"/>
      <c r="E1027" s="166"/>
      <c r="F1027" s="166"/>
      <c r="G1027" s="166"/>
      <c r="H1027" s="166"/>
      <c r="I1027" s="166"/>
      <c r="J1027" s="166"/>
      <c r="K1027" s="166"/>
      <c r="L1027" s="166"/>
      <c r="M1027" s="166"/>
      <c r="N1027" s="166"/>
      <c r="O1027" s="166"/>
      <c r="P1027" s="166"/>
      <c r="Q1027" s="76"/>
      <c r="R1027" s="76"/>
      <c r="S1027" s="76"/>
      <c r="T1027" s="76"/>
      <c r="U1027" s="76"/>
      <c r="V1027" s="76"/>
    </row>
    <row r="1028" spans="2:22" x14ac:dyDescent="0.2">
      <c r="B1028" s="165" t="s">
        <v>10109</v>
      </c>
      <c r="C1028" s="165"/>
      <c r="D1028" s="165"/>
      <c r="E1028" s="165"/>
      <c r="F1028" s="165"/>
      <c r="G1028" s="165"/>
      <c r="H1028" s="165"/>
      <c r="I1028" s="165"/>
      <c r="J1028" s="165"/>
      <c r="K1028" s="165"/>
      <c r="L1028" s="165"/>
      <c r="M1028" s="165"/>
      <c r="N1028" s="165"/>
      <c r="O1028" s="165"/>
      <c r="P1028" s="165"/>
      <c r="Q1028" s="73"/>
      <c r="R1028" s="23"/>
      <c r="S1028" s="23"/>
      <c r="T1028" s="73"/>
      <c r="U1028" s="73"/>
      <c r="V1028" s="73"/>
    </row>
    <row r="1029" spans="2:22" x14ac:dyDescent="0.2">
      <c r="B1029" s="73" t="s">
        <v>10109</v>
      </c>
      <c r="C1029" s="33" t="s">
        <v>965</v>
      </c>
      <c r="D1029" s="23" t="s">
        <v>966</v>
      </c>
      <c r="E1029" s="73"/>
      <c r="F1029" s="73"/>
      <c r="G1029" s="73"/>
      <c r="H1029" s="73"/>
      <c r="I1029" s="73"/>
      <c r="J1029" s="33" t="s">
        <v>9374</v>
      </c>
      <c r="K1029" s="33" t="s">
        <v>9375</v>
      </c>
      <c r="L1029" s="33" t="s">
        <v>121</v>
      </c>
      <c r="M1029" s="33" t="s">
        <v>9376</v>
      </c>
      <c r="N1029" s="73"/>
      <c r="O1029" s="73"/>
      <c r="P1029" s="73"/>
      <c r="Q1029" s="73"/>
      <c r="R1029" s="23"/>
      <c r="S1029" s="23"/>
      <c r="T1029" s="73"/>
      <c r="U1029" s="73"/>
      <c r="V1029" s="73"/>
    </row>
    <row r="1030" spans="2:22" x14ac:dyDescent="0.2">
      <c r="B1030" s="73" t="s">
        <v>10109</v>
      </c>
      <c r="C1030" s="33" t="s">
        <v>1815</v>
      </c>
      <c r="D1030" s="23" t="s">
        <v>1816</v>
      </c>
      <c r="E1030" s="73" t="s">
        <v>11130</v>
      </c>
      <c r="F1030" s="73" t="s">
        <v>10902</v>
      </c>
      <c r="G1030" s="73"/>
      <c r="H1030" s="73" t="s">
        <v>11131</v>
      </c>
      <c r="I1030" s="73"/>
      <c r="J1030" s="33" t="s">
        <v>9374</v>
      </c>
      <c r="K1030" s="33" t="s">
        <v>9375</v>
      </c>
      <c r="L1030" s="33" t="s">
        <v>121</v>
      </c>
      <c r="M1030" s="33" t="s">
        <v>9376</v>
      </c>
      <c r="N1030" s="73"/>
      <c r="O1030" s="73"/>
      <c r="P1030" s="73"/>
      <c r="Q1030" s="73"/>
      <c r="R1030" s="23"/>
      <c r="S1030" s="23"/>
      <c r="T1030" s="73"/>
      <c r="U1030" s="73"/>
      <c r="V1030" s="73"/>
    </row>
    <row r="1031" spans="2:22" ht="214.2" x14ac:dyDescent="0.2">
      <c r="B1031" s="73" t="s">
        <v>10109</v>
      </c>
      <c r="C1031" s="33" t="s">
        <v>1817</v>
      </c>
      <c r="D1031" s="23" t="s">
        <v>1818</v>
      </c>
      <c r="E1031" s="73" t="s">
        <v>11130</v>
      </c>
      <c r="F1031" s="73" t="s">
        <v>10902</v>
      </c>
      <c r="G1031" s="73"/>
      <c r="H1031" s="73" t="s">
        <v>11131</v>
      </c>
      <c r="I1031" s="73" t="s">
        <v>11132</v>
      </c>
      <c r="J1031" s="33" t="s">
        <v>9374</v>
      </c>
      <c r="K1031" s="33" t="s">
        <v>9375</v>
      </c>
      <c r="L1031" s="33" t="s">
        <v>121</v>
      </c>
      <c r="M1031" s="33" t="s">
        <v>9376</v>
      </c>
      <c r="N1031" s="73"/>
      <c r="O1031" s="73"/>
      <c r="P1031" s="73"/>
      <c r="Q1031" s="75"/>
      <c r="R1031" s="75"/>
      <c r="S1031" s="75"/>
      <c r="T1031" s="75"/>
      <c r="U1031" s="75"/>
      <c r="V1031" s="75"/>
    </row>
    <row r="1032" spans="2:22" x14ac:dyDescent="0.2">
      <c r="B1032" s="73" t="s">
        <v>10109</v>
      </c>
      <c r="C1032" s="33" t="s">
        <v>1819</v>
      </c>
      <c r="D1032" s="23" t="s">
        <v>1820</v>
      </c>
      <c r="E1032" s="73" t="s">
        <v>11130</v>
      </c>
      <c r="F1032" s="73" t="s">
        <v>10902</v>
      </c>
      <c r="G1032" s="73"/>
      <c r="H1032" s="73" t="s">
        <v>11131</v>
      </c>
      <c r="I1032" s="73" t="s">
        <v>11133</v>
      </c>
      <c r="J1032" s="33" t="s">
        <v>9374</v>
      </c>
      <c r="K1032" s="33" t="s">
        <v>9375</v>
      </c>
      <c r="L1032" s="33" t="s">
        <v>121</v>
      </c>
      <c r="M1032" s="33" t="s">
        <v>9376</v>
      </c>
      <c r="N1032" s="73"/>
      <c r="O1032" s="73"/>
      <c r="P1032" s="73"/>
      <c r="Q1032" s="76"/>
      <c r="R1032" s="76"/>
      <c r="S1032" s="76"/>
      <c r="T1032" s="76"/>
      <c r="U1032" s="76"/>
      <c r="V1032" s="76"/>
    </row>
    <row r="1033" spans="2:22" x14ac:dyDescent="0.2">
      <c r="B1033" s="73" t="s">
        <v>10109</v>
      </c>
      <c r="C1033" s="33" t="s">
        <v>1941</v>
      </c>
      <c r="D1033" s="23" t="s">
        <v>1942</v>
      </c>
      <c r="E1033" s="73" t="s">
        <v>11130</v>
      </c>
      <c r="F1033" s="73" t="s">
        <v>10902</v>
      </c>
      <c r="G1033" s="73"/>
      <c r="H1033" s="73" t="s">
        <v>11131</v>
      </c>
      <c r="I1033" s="73"/>
      <c r="J1033" s="33" t="s">
        <v>9374</v>
      </c>
      <c r="K1033" s="33" t="s">
        <v>9375</v>
      </c>
      <c r="L1033" s="33" t="s">
        <v>121</v>
      </c>
      <c r="M1033" s="33" t="s">
        <v>9376</v>
      </c>
      <c r="N1033" s="73"/>
      <c r="O1033" s="73"/>
      <c r="P1033" s="73"/>
      <c r="Q1033" s="73"/>
      <c r="R1033" s="23"/>
      <c r="S1033" s="23"/>
      <c r="T1033" s="73"/>
      <c r="U1033" s="73"/>
      <c r="V1033" s="73"/>
    </row>
    <row r="1034" spans="2:22" ht="214.2" x14ac:dyDescent="0.2">
      <c r="B1034" s="73" t="s">
        <v>10109</v>
      </c>
      <c r="C1034" s="33" t="s">
        <v>11134</v>
      </c>
      <c r="D1034" s="23" t="s">
        <v>11135</v>
      </c>
      <c r="E1034" s="73" t="s">
        <v>11130</v>
      </c>
      <c r="F1034" s="73" t="s">
        <v>10902</v>
      </c>
      <c r="G1034" s="73"/>
      <c r="H1034" s="73" t="s">
        <v>11131</v>
      </c>
      <c r="I1034" s="73" t="s">
        <v>11132</v>
      </c>
      <c r="J1034" s="33" t="s">
        <v>9374</v>
      </c>
      <c r="K1034" s="33" t="s">
        <v>9375</v>
      </c>
      <c r="L1034" s="33" t="s">
        <v>121</v>
      </c>
      <c r="M1034" s="33" t="s">
        <v>9376</v>
      </c>
      <c r="N1034" s="73"/>
      <c r="O1034" s="73"/>
      <c r="P1034" s="73"/>
      <c r="Q1034" s="73"/>
      <c r="R1034" s="23"/>
      <c r="S1034" s="23"/>
      <c r="T1034" s="73"/>
      <c r="U1034" s="73"/>
      <c r="V1034" s="73"/>
    </row>
    <row r="1035" spans="2:22" x14ac:dyDescent="0.2">
      <c r="B1035" s="166"/>
      <c r="C1035" s="166"/>
      <c r="D1035" s="166"/>
      <c r="E1035" s="166"/>
      <c r="F1035" s="166"/>
      <c r="G1035" s="166"/>
      <c r="H1035" s="166"/>
      <c r="I1035" s="166"/>
      <c r="J1035" s="166"/>
      <c r="K1035" s="166"/>
      <c r="L1035" s="166"/>
      <c r="M1035" s="166"/>
      <c r="N1035" s="166"/>
      <c r="O1035" s="166"/>
      <c r="P1035" s="166"/>
      <c r="Q1035" s="73"/>
      <c r="R1035" s="23"/>
      <c r="S1035" s="23"/>
      <c r="T1035" s="73"/>
      <c r="U1035" s="73"/>
      <c r="V1035" s="73"/>
    </row>
    <row r="1036" spans="2:22" x14ac:dyDescent="0.2">
      <c r="B1036" s="165" t="s">
        <v>10111</v>
      </c>
      <c r="C1036" s="165"/>
      <c r="D1036" s="165"/>
      <c r="E1036" s="165"/>
      <c r="F1036" s="165"/>
      <c r="G1036" s="165"/>
      <c r="H1036" s="165"/>
      <c r="I1036" s="165"/>
      <c r="J1036" s="165"/>
      <c r="K1036" s="165"/>
      <c r="L1036" s="165"/>
      <c r="M1036" s="165"/>
      <c r="N1036" s="165"/>
      <c r="O1036" s="165"/>
      <c r="P1036" s="165"/>
      <c r="Q1036" s="75"/>
      <c r="R1036" s="75"/>
      <c r="S1036" s="75"/>
      <c r="T1036" s="75"/>
      <c r="U1036" s="75"/>
      <c r="V1036" s="75"/>
    </row>
    <row r="1037" spans="2:22" x14ac:dyDescent="0.2">
      <c r="B1037" s="73" t="s">
        <v>10111</v>
      </c>
      <c r="C1037" s="33" t="s">
        <v>967</v>
      </c>
      <c r="D1037" s="23" t="s">
        <v>968</v>
      </c>
      <c r="E1037" s="73"/>
      <c r="F1037" s="73"/>
      <c r="G1037" s="73"/>
      <c r="H1037" s="73"/>
      <c r="I1037" s="73"/>
      <c r="J1037" s="33" t="s">
        <v>9374</v>
      </c>
      <c r="K1037" s="33" t="s">
        <v>11016</v>
      </c>
      <c r="L1037" s="33" t="s">
        <v>121</v>
      </c>
      <c r="M1037" s="33" t="s">
        <v>9376</v>
      </c>
      <c r="N1037" s="73"/>
      <c r="O1037" s="73"/>
      <c r="P1037" s="73"/>
      <c r="Q1037" s="76"/>
      <c r="R1037" s="76"/>
      <c r="S1037" s="76"/>
      <c r="T1037" s="76"/>
      <c r="U1037" s="76"/>
      <c r="V1037" s="76"/>
    </row>
    <row r="1038" spans="2:22" x14ac:dyDescent="0.2">
      <c r="B1038" s="166"/>
      <c r="C1038" s="166"/>
      <c r="D1038" s="166"/>
      <c r="E1038" s="166"/>
      <c r="F1038" s="166"/>
      <c r="G1038" s="166"/>
      <c r="H1038" s="166"/>
      <c r="I1038" s="166"/>
      <c r="J1038" s="166"/>
      <c r="K1038" s="166"/>
      <c r="L1038" s="166"/>
      <c r="M1038" s="166"/>
      <c r="N1038" s="166"/>
      <c r="O1038" s="166"/>
      <c r="P1038" s="166"/>
      <c r="Q1038" s="73"/>
      <c r="R1038" s="23"/>
      <c r="S1038" s="23"/>
      <c r="T1038" s="73"/>
      <c r="U1038" s="73"/>
      <c r="V1038" s="73"/>
    </row>
    <row r="1039" spans="2:22" x14ac:dyDescent="0.2">
      <c r="B1039" s="165" t="s">
        <v>10114</v>
      </c>
      <c r="C1039" s="165"/>
      <c r="D1039" s="165"/>
      <c r="E1039" s="165"/>
      <c r="F1039" s="165"/>
      <c r="G1039" s="165"/>
      <c r="H1039" s="165"/>
      <c r="I1039" s="165"/>
      <c r="J1039" s="165"/>
      <c r="K1039" s="165"/>
      <c r="L1039" s="165"/>
      <c r="M1039" s="165"/>
      <c r="N1039" s="165"/>
      <c r="O1039" s="165"/>
      <c r="P1039" s="165"/>
      <c r="Q1039" s="75"/>
      <c r="R1039" s="75"/>
      <c r="S1039" s="75"/>
      <c r="T1039" s="75"/>
      <c r="U1039" s="75"/>
      <c r="V1039" s="75"/>
    </row>
    <row r="1040" spans="2:22" x14ac:dyDescent="0.2">
      <c r="B1040" s="73" t="s">
        <v>10114</v>
      </c>
      <c r="C1040" s="33" t="s">
        <v>969</v>
      </c>
      <c r="D1040" s="23" t="s">
        <v>970</v>
      </c>
      <c r="E1040" s="73"/>
      <c r="F1040" s="73"/>
      <c r="G1040" s="73"/>
      <c r="H1040" s="73"/>
      <c r="I1040" s="73"/>
      <c r="J1040" s="33" t="s">
        <v>9374</v>
      </c>
      <c r="K1040" s="33" t="s">
        <v>9375</v>
      </c>
      <c r="L1040" s="33" t="s">
        <v>121</v>
      </c>
      <c r="M1040" s="33" t="s">
        <v>9376</v>
      </c>
      <c r="N1040" s="73"/>
      <c r="O1040" s="73"/>
      <c r="P1040" s="73"/>
      <c r="Q1040" s="76"/>
      <c r="R1040" s="76"/>
      <c r="S1040" s="76"/>
      <c r="T1040" s="76"/>
      <c r="U1040" s="76"/>
      <c r="V1040" s="76"/>
    </row>
    <row r="1041" spans="2:22" x14ac:dyDescent="0.2">
      <c r="B1041" s="166"/>
      <c r="C1041" s="166"/>
      <c r="D1041" s="166"/>
      <c r="E1041" s="166"/>
      <c r="F1041" s="166"/>
      <c r="G1041" s="166"/>
      <c r="H1041" s="166"/>
      <c r="I1041" s="166"/>
      <c r="J1041" s="166"/>
      <c r="K1041" s="166"/>
      <c r="L1041" s="166"/>
      <c r="M1041" s="166"/>
      <c r="N1041" s="166"/>
      <c r="O1041" s="166"/>
      <c r="P1041" s="166"/>
      <c r="Q1041" s="73"/>
      <c r="R1041" s="23"/>
      <c r="S1041" s="23"/>
      <c r="T1041" s="73"/>
      <c r="U1041" s="73"/>
      <c r="V1041" s="73"/>
    </row>
    <row r="1042" spans="2:22" x14ac:dyDescent="0.2">
      <c r="B1042" s="165" t="s">
        <v>10116</v>
      </c>
      <c r="C1042" s="165"/>
      <c r="D1042" s="165"/>
      <c r="E1042" s="165"/>
      <c r="F1042" s="165"/>
      <c r="G1042" s="165"/>
      <c r="H1042" s="165"/>
      <c r="I1042" s="165"/>
      <c r="J1042" s="165"/>
      <c r="K1042" s="165"/>
      <c r="L1042" s="165"/>
      <c r="M1042" s="165"/>
      <c r="N1042" s="165"/>
      <c r="O1042" s="165"/>
      <c r="P1042" s="165"/>
      <c r="Q1042" s="73"/>
      <c r="R1042" s="23"/>
      <c r="S1042" s="23"/>
      <c r="T1042" s="73"/>
      <c r="U1042" s="73"/>
      <c r="V1042" s="73"/>
    </row>
    <row r="1043" spans="2:22" x14ac:dyDescent="0.2">
      <c r="B1043" s="73" t="s">
        <v>10116</v>
      </c>
      <c r="C1043" s="33" t="s">
        <v>971</v>
      </c>
      <c r="D1043" s="23" t="s">
        <v>972</v>
      </c>
      <c r="E1043" s="73"/>
      <c r="F1043" s="73"/>
      <c r="G1043" s="73"/>
      <c r="H1043" s="73"/>
      <c r="I1043" s="73"/>
      <c r="J1043" s="33" t="s">
        <v>9374</v>
      </c>
      <c r="K1043" s="33" t="s">
        <v>11016</v>
      </c>
      <c r="L1043" s="33" t="s">
        <v>121</v>
      </c>
      <c r="M1043" s="33" t="s">
        <v>9376</v>
      </c>
      <c r="N1043" s="73"/>
      <c r="O1043" s="73"/>
      <c r="P1043" s="73"/>
      <c r="Q1043" s="75"/>
      <c r="R1043" s="75"/>
      <c r="S1043" s="75"/>
      <c r="T1043" s="75"/>
      <c r="U1043" s="75"/>
      <c r="V1043" s="75"/>
    </row>
    <row r="1044" spans="2:22" x14ac:dyDescent="0.2">
      <c r="B1044" s="166"/>
      <c r="C1044" s="166"/>
      <c r="D1044" s="166"/>
      <c r="E1044" s="166"/>
      <c r="F1044" s="166"/>
      <c r="G1044" s="166"/>
      <c r="H1044" s="166"/>
      <c r="I1044" s="166"/>
      <c r="J1044" s="166"/>
      <c r="K1044" s="166"/>
      <c r="L1044" s="166"/>
      <c r="M1044" s="166"/>
      <c r="N1044" s="166"/>
      <c r="O1044" s="166"/>
      <c r="P1044" s="166"/>
      <c r="Q1044" s="76"/>
      <c r="R1044" s="76"/>
      <c r="S1044" s="76"/>
      <c r="T1044" s="76"/>
      <c r="U1044" s="76"/>
      <c r="V1044" s="76"/>
    </row>
    <row r="1045" spans="2:22" x14ac:dyDescent="0.2">
      <c r="B1045" s="165" t="s">
        <v>10119</v>
      </c>
      <c r="C1045" s="165"/>
      <c r="D1045" s="165"/>
      <c r="E1045" s="165"/>
      <c r="F1045" s="165"/>
      <c r="G1045" s="165"/>
      <c r="H1045" s="165"/>
      <c r="I1045" s="165"/>
      <c r="J1045" s="165"/>
      <c r="K1045" s="165"/>
      <c r="L1045" s="165"/>
      <c r="M1045" s="165"/>
      <c r="N1045" s="165"/>
      <c r="O1045" s="165"/>
      <c r="P1045" s="165"/>
      <c r="Q1045" s="73"/>
      <c r="R1045" s="23"/>
      <c r="S1045" s="23"/>
      <c r="T1045" s="73"/>
      <c r="U1045" s="73"/>
      <c r="V1045" s="73"/>
    </row>
    <row r="1046" spans="2:22" x14ac:dyDescent="0.2">
      <c r="B1046" s="73" t="s">
        <v>10119</v>
      </c>
      <c r="C1046" s="33" t="s">
        <v>973</v>
      </c>
      <c r="D1046" s="23" t="s">
        <v>974</v>
      </c>
      <c r="E1046" s="73"/>
      <c r="F1046" s="73"/>
      <c r="G1046" s="73"/>
      <c r="H1046" s="73"/>
      <c r="I1046" s="73"/>
      <c r="J1046" s="33" t="s">
        <v>9374</v>
      </c>
      <c r="K1046" s="33" t="s">
        <v>11016</v>
      </c>
      <c r="L1046" s="33" t="s">
        <v>121</v>
      </c>
      <c r="M1046" s="33" t="s">
        <v>9376</v>
      </c>
      <c r="N1046" s="73"/>
      <c r="O1046" s="73"/>
      <c r="P1046" s="73"/>
      <c r="Q1046" s="75"/>
      <c r="R1046" s="75"/>
      <c r="S1046" s="75"/>
      <c r="T1046" s="75"/>
      <c r="U1046" s="75"/>
      <c r="V1046" s="75"/>
    </row>
    <row r="1047" spans="2:22" x14ac:dyDescent="0.2">
      <c r="B1047" s="166"/>
      <c r="C1047" s="166"/>
      <c r="D1047" s="166"/>
      <c r="E1047" s="166"/>
      <c r="F1047" s="166"/>
      <c r="G1047" s="166"/>
      <c r="H1047" s="166"/>
      <c r="I1047" s="166"/>
      <c r="J1047" s="166"/>
      <c r="K1047" s="166"/>
      <c r="L1047" s="166"/>
      <c r="M1047" s="166"/>
      <c r="N1047" s="166"/>
      <c r="O1047" s="166"/>
      <c r="P1047" s="166"/>
      <c r="Q1047" s="76"/>
      <c r="R1047" s="76"/>
      <c r="S1047" s="76"/>
      <c r="T1047" s="76"/>
      <c r="U1047" s="76"/>
      <c r="V1047" s="76"/>
    </row>
    <row r="1048" spans="2:22" x14ac:dyDescent="0.2">
      <c r="B1048" s="165" t="s">
        <v>10122</v>
      </c>
      <c r="C1048" s="165"/>
      <c r="D1048" s="165"/>
      <c r="E1048" s="165"/>
      <c r="F1048" s="165"/>
      <c r="G1048" s="165"/>
      <c r="H1048" s="165"/>
      <c r="I1048" s="165"/>
      <c r="J1048" s="165"/>
      <c r="K1048" s="165"/>
      <c r="L1048" s="165"/>
      <c r="M1048" s="165"/>
      <c r="N1048" s="165"/>
      <c r="O1048" s="165"/>
      <c r="P1048" s="165"/>
      <c r="Q1048" s="73"/>
      <c r="R1048" s="23"/>
      <c r="S1048" s="23"/>
      <c r="T1048" s="73"/>
      <c r="U1048" s="73"/>
      <c r="V1048" s="73"/>
    </row>
    <row r="1049" spans="2:22" x14ac:dyDescent="0.2">
      <c r="B1049" s="73" t="s">
        <v>10122</v>
      </c>
      <c r="C1049" s="33" t="s">
        <v>975</v>
      </c>
      <c r="D1049" s="23" t="s">
        <v>976</v>
      </c>
      <c r="E1049" s="73"/>
      <c r="F1049" s="73"/>
      <c r="G1049" s="73"/>
      <c r="H1049" s="73"/>
      <c r="I1049" s="73"/>
      <c r="J1049" s="33" t="s">
        <v>9374</v>
      </c>
      <c r="K1049" s="33" t="s">
        <v>9375</v>
      </c>
      <c r="L1049" s="33" t="s">
        <v>121</v>
      </c>
      <c r="M1049" s="33" t="s">
        <v>9376</v>
      </c>
      <c r="N1049" s="73"/>
      <c r="O1049" s="73"/>
      <c r="P1049" s="73"/>
      <c r="Q1049" s="73"/>
      <c r="R1049" s="23"/>
      <c r="S1049" s="23"/>
      <c r="T1049" s="73"/>
      <c r="U1049" s="73"/>
      <c r="V1049" s="73"/>
    </row>
    <row r="1050" spans="2:22" x14ac:dyDescent="0.2">
      <c r="B1050" s="73" t="s">
        <v>10122</v>
      </c>
      <c r="C1050" s="33" t="s">
        <v>1821</v>
      </c>
      <c r="D1050" s="23" t="s">
        <v>1822</v>
      </c>
      <c r="E1050" s="73" t="s">
        <v>11136</v>
      </c>
      <c r="F1050" s="73" t="s">
        <v>10902</v>
      </c>
      <c r="G1050" s="73"/>
      <c r="H1050" s="73" t="s">
        <v>11137</v>
      </c>
      <c r="I1050" s="73"/>
      <c r="J1050" s="33" t="s">
        <v>9374</v>
      </c>
      <c r="K1050" s="33" t="s">
        <v>9375</v>
      </c>
      <c r="L1050" s="33" t="s">
        <v>121</v>
      </c>
      <c r="M1050" s="33" t="s">
        <v>9376</v>
      </c>
      <c r="N1050" s="73"/>
      <c r="O1050" s="73"/>
      <c r="P1050" s="73"/>
      <c r="Q1050" s="75"/>
      <c r="R1050" s="75"/>
      <c r="S1050" s="75"/>
      <c r="T1050" s="75"/>
      <c r="U1050" s="75"/>
      <c r="V1050" s="75"/>
    </row>
    <row r="1051" spans="2:22" x14ac:dyDescent="0.2">
      <c r="B1051" s="73" t="s">
        <v>10122</v>
      </c>
      <c r="C1051" s="33" t="s">
        <v>1823</v>
      </c>
      <c r="D1051" s="23" t="s">
        <v>1824</v>
      </c>
      <c r="E1051" s="73" t="s">
        <v>11136</v>
      </c>
      <c r="F1051" s="73" t="s">
        <v>10902</v>
      </c>
      <c r="G1051" s="73"/>
      <c r="H1051" s="73" t="s">
        <v>11137</v>
      </c>
      <c r="I1051" s="73"/>
      <c r="J1051" s="33" t="s">
        <v>9374</v>
      </c>
      <c r="K1051" s="33" t="s">
        <v>9375</v>
      </c>
      <c r="L1051" s="33" t="s">
        <v>121</v>
      </c>
      <c r="M1051" s="33" t="s">
        <v>9376</v>
      </c>
      <c r="N1051" s="73"/>
      <c r="O1051" s="73"/>
      <c r="P1051" s="73"/>
      <c r="Q1051" s="76"/>
      <c r="R1051" s="76"/>
      <c r="S1051" s="76"/>
      <c r="T1051" s="76"/>
      <c r="U1051" s="76"/>
      <c r="V1051" s="76"/>
    </row>
    <row r="1052" spans="2:22" x14ac:dyDescent="0.2">
      <c r="B1052" s="73" t="s">
        <v>10122</v>
      </c>
      <c r="C1052" s="33" t="s">
        <v>11138</v>
      </c>
      <c r="D1052" s="23" t="s">
        <v>11139</v>
      </c>
      <c r="E1052" s="73" t="s">
        <v>11136</v>
      </c>
      <c r="F1052" s="73" t="s">
        <v>10902</v>
      </c>
      <c r="G1052" s="73"/>
      <c r="H1052" s="73" t="s">
        <v>11137</v>
      </c>
      <c r="I1052" s="73"/>
      <c r="J1052" s="33" t="s">
        <v>9374</v>
      </c>
      <c r="K1052" s="33" t="s">
        <v>9375</v>
      </c>
      <c r="L1052" s="33" t="s">
        <v>121</v>
      </c>
      <c r="M1052" s="33" t="s">
        <v>9376</v>
      </c>
      <c r="N1052" s="73"/>
      <c r="O1052" s="73"/>
      <c r="P1052" s="73"/>
      <c r="Q1052" s="73"/>
      <c r="R1052" s="23"/>
      <c r="S1052" s="23"/>
      <c r="T1052" s="73"/>
      <c r="U1052" s="73"/>
      <c r="V1052" s="73"/>
    </row>
    <row r="1053" spans="2:22" x14ac:dyDescent="0.2">
      <c r="B1053" s="166"/>
      <c r="C1053" s="166"/>
      <c r="D1053" s="166"/>
      <c r="E1053" s="166"/>
      <c r="F1053" s="166"/>
      <c r="G1053" s="166"/>
      <c r="H1053" s="166"/>
      <c r="I1053" s="166"/>
      <c r="J1053" s="166"/>
      <c r="K1053" s="166"/>
      <c r="L1053" s="166"/>
      <c r="M1053" s="166"/>
      <c r="N1053" s="166"/>
      <c r="O1053" s="166"/>
      <c r="P1053" s="166"/>
      <c r="Q1053" s="73"/>
      <c r="R1053" s="23"/>
      <c r="S1053" s="23"/>
      <c r="T1053" s="73"/>
      <c r="U1053" s="73"/>
      <c r="V1053" s="73"/>
    </row>
    <row r="1054" spans="2:22" x14ac:dyDescent="0.2">
      <c r="B1054" s="165" t="s">
        <v>10124</v>
      </c>
      <c r="C1054" s="165"/>
      <c r="D1054" s="165"/>
      <c r="E1054" s="165"/>
      <c r="F1054" s="165"/>
      <c r="G1054" s="165"/>
      <c r="H1054" s="165"/>
      <c r="I1054" s="165"/>
      <c r="J1054" s="165"/>
      <c r="K1054" s="165"/>
      <c r="L1054" s="165"/>
      <c r="M1054" s="165"/>
      <c r="N1054" s="165"/>
      <c r="O1054" s="165"/>
      <c r="P1054" s="165"/>
      <c r="Q1054" s="75"/>
      <c r="R1054" s="75"/>
      <c r="S1054" s="75"/>
      <c r="T1054" s="75"/>
      <c r="U1054" s="75"/>
      <c r="V1054" s="75"/>
    </row>
    <row r="1055" spans="2:22" x14ac:dyDescent="0.2">
      <c r="B1055" s="73" t="s">
        <v>10124</v>
      </c>
      <c r="C1055" s="33" t="s">
        <v>977</v>
      </c>
      <c r="D1055" s="23" t="s">
        <v>978</v>
      </c>
      <c r="E1055" s="73"/>
      <c r="F1055" s="73"/>
      <c r="G1055" s="73"/>
      <c r="H1055" s="73"/>
      <c r="I1055" s="73"/>
      <c r="J1055" s="33" t="s">
        <v>9374</v>
      </c>
      <c r="K1055" s="33" t="s">
        <v>11016</v>
      </c>
      <c r="L1055" s="33" t="s">
        <v>121</v>
      </c>
      <c r="M1055" s="33" t="s">
        <v>9376</v>
      </c>
      <c r="N1055" s="73"/>
      <c r="O1055" s="73"/>
      <c r="P1055" s="73"/>
      <c r="Q1055" s="76"/>
      <c r="R1055" s="76"/>
      <c r="S1055" s="76"/>
      <c r="T1055" s="76"/>
      <c r="U1055" s="76"/>
      <c r="V1055" s="76"/>
    </row>
    <row r="1056" spans="2:22" x14ac:dyDescent="0.2">
      <c r="B1056" s="166"/>
      <c r="C1056" s="166"/>
      <c r="D1056" s="166"/>
      <c r="E1056" s="166"/>
      <c r="F1056" s="166"/>
      <c r="G1056" s="166"/>
      <c r="H1056" s="166"/>
      <c r="I1056" s="166"/>
      <c r="J1056" s="166"/>
      <c r="K1056" s="166"/>
      <c r="L1056" s="166"/>
      <c r="M1056" s="166"/>
      <c r="N1056" s="166"/>
      <c r="O1056" s="166"/>
      <c r="P1056" s="166"/>
      <c r="Q1056" s="73"/>
      <c r="R1056" s="23"/>
      <c r="S1056" s="23"/>
      <c r="T1056" s="73"/>
      <c r="U1056" s="73"/>
      <c r="V1056" s="73"/>
    </row>
    <row r="1057" spans="2:22" x14ac:dyDescent="0.2">
      <c r="B1057" s="165" t="s">
        <v>10127</v>
      </c>
      <c r="C1057" s="165"/>
      <c r="D1057" s="165"/>
      <c r="E1057" s="165"/>
      <c r="F1057" s="165"/>
      <c r="G1057" s="165"/>
      <c r="H1057" s="165"/>
      <c r="I1057" s="165"/>
      <c r="J1057" s="165"/>
      <c r="K1057" s="165"/>
      <c r="L1057" s="165"/>
      <c r="M1057" s="165"/>
      <c r="N1057" s="165"/>
      <c r="O1057" s="165"/>
      <c r="P1057" s="165"/>
      <c r="Q1057" s="75"/>
      <c r="R1057" s="75"/>
      <c r="S1057" s="75"/>
      <c r="T1057" s="75"/>
      <c r="U1057" s="75"/>
      <c r="V1057" s="75"/>
    </row>
    <row r="1058" spans="2:22" x14ac:dyDescent="0.2">
      <c r="B1058" s="73" t="s">
        <v>10127</v>
      </c>
      <c r="C1058" s="33" t="s">
        <v>979</v>
      </c>
      <c r="D1058" s="23" t="s">
        <v>980</v>
      </c>
      <c r="E1058" s="73"/>
      <c r="F1058" s="73"/>
      <c r="G1058" s="73"/>
      <c r="H1058" s="73"/>
      <c r="I1058" s="73"/>
      <c r="J1058" s="33" t="s">
        <v>9374</v>
      </c>
      <c r="K1058" s="33" t="s">
        <v>9375</v>
      </c>
      <c r="L1058" s="33" t="s">
        <v>121</v>
      </c>
      <c r="M1058" s="33" t="s">
        <v>9376</v>
      </c>
      <c r="N1058" s="73"/>
      <c r="O1058" s="73"/>
      <c r="P1058" s="73"/>
      <c r="Q1058" s="76"/>
      <c r="R1058" s="76"/>
      <c r="S1058" s="76"/>
      <c r="T1058" s="76"/>
      <c r="U1058" s="76"/>
      <c r="V1058" s="76"/>
    </row>
    <row r="1059" spans="2:22" x14ac:dyDescent="0.2">
      <c r="B1059" s="166"/>
      <c r="C1059" s="166"/>
      <c r="D1059" s="166"/>
      <c r="E1059" s="166"/>
      <c r="F1059" s="166"/>
      <c r="G1059" s="166"/>
      <c r="H1059" s="166"/>
      <c r="I1059" s="166"/>
      <c r="J1059" s="166"/>
      <c r="K1059" s="166"/>
      <c r="L1059" s="166"/>
      <c r="M1059" s="166"/>
      <c r="N1059" s="166"/>
      <c r="O1059" s="166"/>
      <c r="P1059" s="166"/>
      <c r="Q1059" s="73"/>
      <c r="R1059" s="23"/>
      <c r="S1059" s="23"/>
      <c r="T1059" s="73"/>
      <c r="U1059" s="73"/>
      <c r="V1059" s="73"/>
    </row>
    <row r="1060" spans="2:22" x14ac:dyDescent="0.2">
      <c r="B1060" s="165" t="s">
        <v>10129</v>
      </c>
      <c r="C1060" s="165"/>
      <c r="D1060" s="165"/>
      <c r="E1060" s="165"/>
      <c r="F1060" s="165"/>
      <c r="G1060" s="165"/>
      <c r="H1060" s="165"/>
      <c r="I1060" s="165"/>
      <c r="J1060" s="165"/>
      <c r="K1060" s="165"/>
      <c r="L1060" s="165"/>
      <c r="M1060" s="165"/>
      <c r="N1060" s="165"/>
      <c r="O1060" s="165"/>
      <c r="P1060" s="165"/>
      <c r="Q1060" s="73"/>
      <c r="R1060" s="23"/>
      <c r="S1060" s="23"/>
      <c r="T1060" s="73"/>
      <c r="U1060" s="73"/>
      <c r="V1060" s="73"/>
    </row>
    <row r="1061" spans="2:22" ht="30.6" x14ac:dyDescent="0.2">
      <c r="B1061" s="73" t="s">
        <v>10129</v>
      </c>
      <c r="C1061" s="33" t="s">
        <v>981</v>
      </c>
      <c r="D1061" s="23" t="s">
        <v>982</v>
      </c>
      <c r="E1061" s="73"/>
      <c r="F1061" s="73"/>
      <c r="G1061" s="73"/>
      <c r="H1061" s="73"/>
      <c r="I1061" s="73"/>
      <c r="J1061" s="33" t="s">
        <v>9374</v>
      </c>
      <c r="K1061" s="33" t="s">
        <v>11016</v>
      </c>
      <c r="L1061" s="33" t="s">
        <v>121</v>
      </c>
      <c r="M1061" s="33" t="s">
        <v>9376</v>
      </c>
      <c r="N1061" s="73"/>
      <c r="O1061" s="73"/>
      <c r="P1061" s="73"/>
      <c r="Q1061" s="73" t="s">
        <v>10919</v>
      </c>
      <c r="R1061" s="23"/>
      <c r="S1061" s="23"/>
      <c r="T1061" s="73"/>
      <c r="U1061" s="73"/>
      <c r="V1061" s="73"/>
    </row>
    <row r="1062" spans="2:22" x14ac:dyDescent="0.2">
      <c r="B1062" s="166"/>
      <c r="C1062" s="166"/>
      <c r="D1062" s="166"/>
      <c r="E1062" s="166"/>
      <c r="F1062" s="166"/>
      <c r="G1062" s="166"/>
      <c r="H1062" s="166"/>
      <c r="I1062" s="166"/>
      <c r="J1062" s="166"/>
      <c r="K1062" s="166"/>
      <c r="L1062" s="166"/>
      <c r="M1062" s="166"/>
      <c r="N1062" s="166"/>
      <c r="O1062" s="166"/>
      <c r="P1062" s="166"/>
      <c r="Q1062" s="75"/>
      <c r="R1062" s="75"/>
      <c r="S1062" s="75"/>
      <c r="T1062" s="75"/>
      <c r="U1062" s="75"/>
      <c r="V1062" s="75"/>
    </row>
    <row r="1063" spans="2:22" x14ac:dyDescent="0.2">
      <c r="B1063" s="165" t="s">
        <v>10132</v>
      </c>
      <c r="C1063" s="165"/>
      <c r="D1063" s="165"/>
      <c r="E1063" s="165"/>
      <c r="F1063" s="165"/>
      <c r="G1063" s="165"/>
      <c r="H1063" s="165"/>
      <c r="I1063" s="165"/>
      <c r="J1063" s="165"/>
      <c r="K1063" s="165"/>
      <c r="L1063" s="165"/>
      <c r="M1063" s="165"/>
      <c r="N1063" s="165"/>
      <c r="O1063" s="165"/>
      <c r="P1063" s="165"/>
      <c r="Q1063" s="76"/>
      <c r="R1063" s="76"/>
      <c r="S1063" s="76"/>
      <c r="T1063" s="76"/>
      <c r="U1063" s="76"/>
      <c r="V1063" s="76"/>
    </row>
    <row r="1064" spans="2:22" x14ac:dyDescent="0.2">
      <c r="B1064" s="73" t="s">
        <v>10132</v>
      </c>
      <c r="C1064" s="33" t="s">
        <v>983</v>
      </c>
      <c r="D1064" s="23" t="s">
        <v>984</v>
      </c>
      <c r="E1064" s="73"/>
      <c r="F1064" s="73"/>
      <c r="G1064" s="73"/>
      <c r="H1064" s="73"/>
      <c r="I1064" s="73"/>
      <c r="J1064" s="33" t="s">
        <v>9374</v>
      </c>
      <c r="K1064" s="33" t="s">
        <v>11016</v>
      </c>
      <c r="L1064" s="33" t="s">
        <v>121</v>
      </c>
      <c r="M1064" s="33" t="s">
        <v>9376</v>
      </c>
      <c r="N1064" s="73"/>
      <c r="O1064" s="73"/>
      <c r="P1064" s="73"/>
      <c r="Q1064" s="73"/>
      <c r="R1064" s="23"/>
      <c r="S1064" s="23"/>
      <c r="T1064" s="73"/>
      <c r="U1064" s="73"/>
      <c r="V1064" s="73"/>
    </row>
    <row r="1065" spans="2:22" x14ac:dyDescent="0.2">
      <c r="B1065" s="166"/>
      <c r="C1065" s="166"/>
      <c r="D1065" s="166"/>
      <c r="E1065" s="166"/>
      <c r="F1065" s="166"/>
      <c r="G1065" s="166"/>
      <c r="H1065" s="166"/>
      <c r="I1065" s="166"/>
      <c r="J1065" s="166"/>
      <c r="K1065" s="166"/>
      <c r="L1065" s="166"/>
      <c r="M1065" s="166"/>
      <c r="N1065" s="166"/>
      <c r="O1065" s="166"/>
      <c r="P1065" s="166"/>
      <c r="Q1065" s="73"/>
      <c r="R1065" s="23"/>
      <c r="S1065" s="23"/>
      <c r="T1065" s="73"/>
      <c r="U1065" s="73"/>
      <c r="V1065" s="73"/>
    </row>
    <row r="1066" spans="2:22" x14ac:dyDescent="0.2">
      <c r="B1066" s="165" t="s">
        <v>10135</v>
      </c>
      <c r="C1066" s="165"/>
      <c r="D1066" s="165"/>
      <c r="E1066" s="165"/>
      <c r="F1066" s="165"/>
      <c r="G1066" s="165"/>
      <c r="H1066" s="165"/>
      <c r="I1066" s="165"/>
      <c r="J1066" s="165"/>
      <c r="K1066" s="165"/>
      <c r="L1066" s="165"/>
      <c r="M1066" s="165"/>
      <c r="N1066" s="165"/>
      <c r="O1066" s="165"/>
      <c r="P1066" s="165"/>
      <c r="Q1066" s="75"/>
      <c r="R1066" s="75"/>
      <c r="S1066" s="75"/>
      <c r="T1066" s="75"/>
      <c r="U1066" s="75"/>
      <c r="V1066" s="75"/>
    </row>
    <row r="1067" spans="2:22" x14ac:dyDescent="0.2">
      <c r="B1067" s="73" t="s">
        <v>10135</v>
      </c>
      <c r="C1067" s="33" t="s">
        <v>985</v>
      </c>
      <c r="D1067" s="23" t="s">
        <v>986</v>
      </c>
      <c r="E1067" s="73"/>
      <c r="F1067" s="73"/>
      <c r="G1067" s="73"/>
      <c r="H1067" s="73"/>
      <c r="I1067" s="73"/>
      <c r="J1067" s="33" t="s">
        <v>9374</v>
      </c>
      <c r="K1067" s="33" t="s">
        <v>9375</v>
      </c>
      <c r="L1067" s="33" t="s">
        <v>121</v>
      </c>
      <c r="M1067" s="33" t="s">
        <v>9376</v>
      </c>
      <c r="N1067" s="73"/>
      <c r="O1067" s="73"/>
      <c r="P1067" s="73"/>
      <c r="Q1067" s="76"/>
      <c r="R1067" s="76"/>
      <c r="S1067" s="76"/>
      <c r="T1067" s="76"/>
      <c r="U1067" s="76"/>
      <c r="V1067" s="76"/>
    </row>
    <row r="1068" spans="2:22" x14ac:dyDescent="0.2">
      <c r="B1068" s="73" t="s">
        <v>10135</v>
      </c>
      <c r="C1068" s="33" t="s">
        <v>1825</v>
      </c>
      <c r="D1068" s="23" t="s">
        <v>1826</v>
      </c>
      <c r="E1068" s="73" t="s">
        <v>11140</v>
      </c>
      <c r="F1068" s="73" t="s">
        <v>10902</v>
      </c>
      <c r="G1068" s="73"/>
      <c r="H1068" s="73" t="s">
        <v>11141</v>
      </c>
      <c r="I1068" s="73"/>
      <c r="J1068" s="33" t="s">
        <v>9374</v>
      </c>
      <c r="K1068" s="33" t="s">
        <v>9375</v>
      </c>
      <c r="L1068" s="33" t="s">
        <v>121</v>
      </c>
      <c r="M1068" s="33" t="s">
        <v>9376</v>
      </c>
      <c r="N1068" s="73"/>
      <c r="O1068" s="73"/>
      <c r="P1068" s="73"/>
      <c r="Q1068" s="73"/>
      <c r="R1068" s="23"/>
      <c r="S1068" s="23"/>
      <c r="T1068" s="73"/>
      <c r="U1068" s="73"/>
      <c r="V1068" s="73"/>
    </row>
    <row r="1069" spans="2:22" ht="132.6" x14ac:dyDescent="0.2">
      <c r="B1069" s="73" t="s">
        <v>10135</v>
      </c>
      <c r="C1069" s="33" t="s">
        <v>1827</v>
      </c>
      <c r="D1069" s="23" t="s">
        <v>1828</v>
      </c>
      <c r="E1069" s="73" t="s">
        <v>11140</v>
      </c>
      <c r="F1069" s="73" t="s">
        <v>10902</v>
      </c>
      <c r="G1069" s="73"/>
      <c r="H1069" s="73" t="s">
        <v>11141</v>
      </c>
      <c r="I1069" s="73" t="s">
        <v>11142</v>
      </c>
      <c r="J1069" s="33" t="s">
        <v>9374</v>
      </c>
      <c r="K1069" s="33" t="s">
        <v>9375</v>
      </c>
      <c r="L1069" s="33" t="s">
        <v>121</v>
      </c>
      <c r="M1069" s="33" t="s">
        <v>9376</v>
      </c>
      <c r="N1069" s="73"/>
      <c r="O1069" s="73"/>
      <c r="P1069" s="73"/>
      <c r="Q1069" s="73"/>
      <c r="R1069" s="23"/>
      <c r="S1069" s="23"/>
      <c r="T1069" s="73"/>
      <c r="U1069" s="73"/>
      <c r="V1069" s="73"/>
    </row>
    <row r="1070" spans="2:22" x14ac:dyDescent="0.2">
      <c r="B1070" s="73" t="s">
        <v>10135</v>
      </c>
      <c r="C1070" s="33" t="s">
        <v>1829</v>
      </c>
      <c r="D1070" s="23" t="s">
        <v>1830</v>
      </c>
      <c r="E1070" s="73"/>
      <c r="F1070" s="73"/>
      <c r="G1070" s="73"/>
      <c r="H1070" s="73"/>
      <c r="I1070" s="73" t="s">
        <v>11143</v>
      </c>
      <c r="J1070" s="33" t="s">
        <v>9374</v>
      </c>
      <c r="K1070" s="33" t="s">
        <v>9375</v>
      </c>
      <c r="L1070" s="33" t="s">
        <v>121</v>
      </c>
      <c r="M1070" s="33" t="s">
        <v>9376</v>
      </c>
      <c r="N1070" s="73"/>
      <c r="O1070" s="73"/>
      <c r="P1070" s="73"/>
      <c r="Q1070" s="75"/>
      <c r="R1070" s="75"/>
      <c r="S1070" s="75"/>
      <c r="T1070" s="75"/>
      <c r="U1070" s="75"/>
      <c r="V1070" s="75"/>
    </row>
    <row r="1071" spans="2:22" x14ac:dyDescent="0.2">
      <c r="B1071" s="73" t="s">
        <v>10135</v>
      </c>
      <c r="C1071" s="33" t="s">
        <v>1943</v>
      </c>
      <c r="D1071" s="23" t="s">
        <v>1944</v>
      </c>
      <c r="E1071" s="73" t="s">
        <v>11140</v>
      </c>
      <c r="F1071" s="73" t="s">
        <v>10902</v>
      </c>
      <c r="G1071" s="73"/>
      <c r="H1071" s="73" t="s">
        <v>11141</v>
      </c>
      <c r="I1071" s="73"/>
      <c r="J1071" s="33" t="s">
        <v>9374</v>
      </c>
      <c r="K1071" s="33" t="s">
        <v>9375</v>
      </c>
      <c r="L1071" s="33" t="s">
        <v>121</v>
      </c>
      <c r="M1071" s="33" t="s">
        <v>9376</v>
      </c>
      <c r="N1071" s="73"/>
      <c r="O1071" s="73"/>
      <c r="P1071" s="73"/>
      <c r="Q1071" s="76"/>
      <c r="R1071" s="76"/>
      <c r="S1071" s="76"/>
      <c r="T1071" s="76"/>
      <c r="U1071" s="76"/>
      <c r="V1071" s="76"/>
    </row>
    <row r="1072" spans="2:22" ht="132.6" x14ac:dyDescent="0.2">
      <c r="B1072" s="73" t="s">
        <v>10135</v>
      </c>
      <c r="C1072" s="33" t="s">
        <v>11144</v>
      </c>
      <c r="D1072" s="23" t="s">
        <v>11145</v>
      </c>
      <c r="E1072" s="73" t="s">
        <v>11140</v>
      </c>
      <c r="F1072" s="73" t="s">
        <v>10902</v>
      </c>
      <c r="G1072" s="73"/>
      <c r="H1072" s="73" t="s">
        <v>11141</v>
      </c>
      <c r="I1072" s="73" t="s">
        <v>11142</v>
      </c>
      <c r="J1072" s="33" t="s">
        <v>9374</v>
      </c>
      <c r="K1072" s="33" t="s">
        <v>9375</v>
      </c>
      <c r="L1072" s="33" t="s">
        <v>121</v>
      </c>
      <c r="M1072" s="33" t="s">
        <v>9376</v>
      </c>
      <c r="N1072" s="73"/>
      <c r="O1072" s="73"/>
      <c r="P1072" s="73"/>
      <c r="Q1072" s="73"/>
      <c r="R1072" s="23"/>
      <c r="S1072" s="23"/>
      <c r="T1072" s="73"/>
      <c r="U1072" s="73"/>
      <c r="V1072" s="73"/>
    </row>
    <row r="1073" spans="2:22" x14ac:dyDescent="0.2">
      <c r="B1073" s="166"/>
      <c r="C1073" s="166"/>
      <c r="D1073" s="166"/>
      <c r="E1073" s="166"/>
      <c r="F1073" s="166"/>
      <c r="G1073" s="166"/>
      <c r="H1073" s="166"/>
      <c r="I1073" s="166"/>
      <c r="J1073" s="166"/>
      <c r="K1073" s="166"/>
      <c r="L1073" s="166"/>
      <c r="M1073" s="166"/>
      <c r="N1073" s="166"/>
      <c r="O1073" s="166"/>
      <c r="P1073" s="166"/>
      <c r="Q1073" s="73"/>
      <c r="R1073" s="23"/>
      <c r="S1073" s="23"/>
      <c r="T1073" s="73"/>
      <c r="U1073" s="73"/>
      <c r="V1073" s="73"/>
    </row>
    <row r="1074" spans="2:22" x14ac:dyDescent="0.2">
      <c r="B1074" s="165" t="s">
        <v>10137</v>
      </c>
      <c r="C1074" s="165"/>
      <c r="D1074" s="165"/>
      <c r="E1074" s="165"/>
      <c r="F1074" s="165"/>
      <c r="G1074" s="165"/>
      <c r="H1074" s="165"/>
      <c r="I1074" s="165"/>
      <c r="J1074" s="165"/>
      <c r="K1074" s="165"/>
      <c r="L1074" s="165"/>
      <c r="M1074" s="165"/>
      <c r="N1074" s="165"/>
      <c r="O1074" s="165"/>
      <c r="P1074" s="165"/>
      <c r="Q1074" s="73"/>
      <c r="R1074" s="23"/>
      <c r="S1074" s="23"/>
      <c r="T1074" s="73"/>
      <c r="U1074" s="73"/>
      <c r="V1074" s="73"/>
    </row>
    <row r="1075" spans="2:22" x14ac:dyDescent="0.2">
      <c r="B1075" s="73" t="s">
        <v>10137</v>
      </c>
      <c r="C1075" s="33" t="s">
        <v>987</v>
      </c>
      <c r="D1075" s="23" t="s">
        <v>988</v>
      </c>
      <c r="E1075" s="73"/>
      <c r="F1075" s="73"/>
      <c r="G1075" s="73"/>
      <c r="H1075" s="73"/>
      <c r="I1075" s="73"/>
      <c r="J1075" s="33" t="s">
        <v>9374</v>
      </c>
      <c r="K1075" s="33" t="s">
        <v>11016</v>
      </c>
      <c r="L1075" s="33" t="s">
        <v>121</v>
      </c>
      <c r="M1075" s="33" t="s">
        <v>9376</v>
      </c>
      <c r="N1075" s="73"/>
      <c r="O1075" s="73"/>
      <c r="P1075" s="73"/>
      <c r="Q1075" s="73"/>
      <c r="R1075" s="23"/>
      <c r="S1075" s="23"/>
      <c r="T1075" s="73"/>
      <c r="U1075" s="73"/>
      <c r="V1075" s="73"/>
    </row>
    <row r="1076" spans="2:22" x14ac:dyDescent="0.2">
      <c r="B1076" s="166"/>
      <c r="C1076" s="166"/>
      <c r="D1076" s="166"/>
      <c r="E1076" s="166"/>
      <c r="F1076" s="166"/>
      <c r="G1076" s="166"/>
      <c r="H1076" s="166"/>
      <c r="I1076" s="166"/>
      <c r="J1076" s="166"/>
      <c r="K1076" s="166"/>
      <c r="L1076" s="166"/>
      <c r="M1076" s="166"/>
      <c r="N1076" s="166"/>
      <c r="O1076" s="166"/>
      <c r="P1076" s="166"/>
      <c r="Q1076" s="75"/>
      <c r="R1076" s="75"/>
      <c r="S1076" s="75"/>
      <c r="T1076" s="75"/>
      <c r="U1076" s="75"/>
      <c r="V1076" s="75"/>
    </row>
    <row r="1077" spans="2:22" x14ac:dyDescent="0.2">
      <c r="B1077" s="165" t="s">
        <v>10140</v>
      </c>
      <c r="C1077" s="165"/>
      <c r="D1077" s="165"/>
      <c r="E1077" s="165"/>
      <c r="F1077" s="165"/>
      <c r="G1077" s="165"/>
      <c r="H1077" s="165"/>
      <c r="I1077" s="165"/>
      <c r="J1077" s="165"/>
      <c r="K1077" s="165"/>
      <c r="L1077" s="165"/>
      <c r="M1077" s="165"/>
      <c r="N1077" s="165"/>
      <c r="O1077" s="165"/>
      <c r="P1077" s="165"/>
      <c r="Q1077" s="76"/>
      <c r="R1077" s="76"/>
      <c r="S1077" s="76"/>
      <c r="T1077" s="76"/>
      <c r="U1077" s="76"/>
      <c r="V1077" s="76"/>
    </row>
    <row r="1078" spans="2:22" x14ac:dyDescent="0.2">
      <c r="B1078" s="73" t="s">
        <v>10140</v>
      </c>
      <c r="C1078" s="33" t="s">
        <v>989</v>
      </c>
      <c r="D1078" s="23" t="s">
        <v>990</v>
      </c>
      <c r="E1078" s="73"/>
      <c r="F1078" s="73"/>
      <c r="G1078" s="73"/>
      <c r="H1078" s="73"/>
      <c r="I1078" s="73"/>
      <c r="J1078" s="33" t="s">
        <v>9374</v>
      </c>
      <c r="K1078" s="33" t="s">
        <v>9375</v>
      </c>
      <c r="L1078" s="33" t="s">
        <v>121</v>
      </c>
      <c r="M1078" s="33" t="s">
        <v>9376</v>
      </c>
      <c r="N1078" s="73"/>
      <c r="O1078" s="73"/>
      <c r="P1078" s="73"/>
      <c r="Q1078" s="73"/>
      <c r="R1078" s="23"/>
      <c r="S1078" s="23"/>
      <c r="T1078" s="73"/>
      <c r="U1078" s="73"/>
      <c r="V1078" s="73"/>
    </row>
    <row r="1079" spans="2:22" x14ac:dyDescent="0.2">
      <c r="B1079" s="166"/>
      <c r="C1079" s="166"/>
      <c r="D1079" s="166"/>
      <c r="E1079" s="166"/>
      <c r="F1079" s="166"/>
      <c r="G1079" s="166"/>
      <c r="H1079" s="166"/>
      <c r="I1079" s="166"/>
      <c r="J1079" s="166"/>
      <c r="K1079" s="166"/>
      <c r="L1079" s="166"/>
      <c r="M1079" s="166"/>
      <c r="N1079" s="166"/>
      <c r="O1079" s="166"/>
      <c r="P1079" s="166"/>
      <c r="Q1079" s="73"/>
      <c r="R1079" s="23"/>
      <c r="S1079" s="23"/>
      <c r="T1079" s="73"/>
      <c r="U1079" s="73"/>
      <c r="V1079" s="73"/>
    </row>
    <row r="1080" spans="2:22" x14ac:dyDescent="0.2">
      <c r="B1080" s="165" t="s">
        <v>10142</v>
      </c>
      <c r="C1080" s="165"/>
      <c r="D1080" s="165"/>
      <c r="E1080" s="165"/>
      <c r="F1080" s="165"/>
      <c r="G1080" s="165"/>
      <c r="H1080" s="165"/>
      <c r="I1080" s="165"/>
      <c r="J1080" s="165"/>
      <c r="K1080" s="165"/>
      <c r="L1080" s="165"/>
      <c r="M1080" s="165"/>
      <c r="N1080" s="165"/>
      <c r="O1080" s="165"/>
      <c r="P1080" s="165"/>
      <c r="Q1080" s="75"/>
      <c r="R1080" s="75"/>
      <c r="S1080" s="75"/>
      <c r="T1080" s="75"/>
      <c r="U1080" s="75"/>
      <c r="V1080" s="75"/>
    </row>
    <row r="1081" spans="2:22" x14ac:dyDescent="0.2">
      <c r="B1081" s="73" t="s">
        <v>10142</v>
      </c>
      <c r="C1081" s="33" t="s">
        <v>992</v>
      </c>
      <c r="D1081" s="23" t="s">
        <v>993</v>
      </c>
      <c r="E1081" s="73"/>
      <c r="F1081" s="73"/>
      <c r="G1081" s="73"/>
      <c r="H1081" s="73"/>
      <c r="I1081" s="73"/>
      <c r="J1081" s="33" t="s">
        <v>9374</v>
      </c>
      <c r="K1081" s="33" t="s">
        <v>11016</v>
      </c>
      <c r="L1081" s="33" t="s">
        <v>121</v>
      </c>
      <c r="M1081" s="33" t="s">
        <v>9376</v>
      </c>
      <c r="N1081" s="73"/>
      <c r="O1081" s="73"/>
      <c r="P1081" s="73"/>
      <c r="Q1081" s="76"/>
      <c r="R1081" s="76"/>
      <c r="S1081" s="76"/>
      <c r="T1081" s="76"/>
      <c r="U1081" s="76"/>
      <c r="V1081" s="76"/>
    </row>
    <row r="1082" spans="2:22" x14ac:dyDescent="0.2">
      <c r="B1082" s="166"/>
      <c r="C1082" s="166"/>
      <c r="D1082" s="166"/>
      <c r="E1082" s="166"/>
      <c r="F1082" s="166"/>
      <c r="G1082" s="166"/>
      <c r="H1082" s="166"/>
      <c r="I1082" s="166"/>
      <c r="J1082" s="166"/>
      <c r="K1082" s="166"/>
      <c r="L1082" s="166"/>
      <c r="M1082" s="166"/>
      <c r="N1082" s="166"/>
      <c r="O1082" s="166"/>
      <c r="P1082" s="166"/>
      <c r="Q1082" s="73"/>
      <c r="R1082" s="23"/>
      <c r="S1082" s="23"/>
      <c r="T1082" s="73"/>
      <c r="U1082" s="73"/>
      <c r="V1082" s="73"/>
    </row>
    <row r="1083" spans="2:22" x14ac:dyDescent="0.2">
      <c r="B1083" s="165" t="s">
        <v>10144</v>
      </c>
      <c r="C1083" s="165"/>
      <c r="D1083" s="165"/>
      <c r="E1083" s="165"/>
      <c r="F1083" s="165"/>
      <c r="G1083" s="165"/>
      <c r="H1083" s="165"/>
      <c r="I1083" s="165"/>
      <c r="J1083" s="165"/>
      <c r="K1083" s="165"/>
      <c r="L1083" s="165"/>
      <c r="M1083" s="165"/>
      <c r="N1083" s="165"/>
      <c r="O1083" s="165"/>
      <c r="P1083" s="165"/>
      <c r="Q1083" s="75"/>
      <c r="R1083" s="75"/>
      <c r="S1083" s="75"/>
      <c r="T1083" s="75"/>
      <c r="U1083" s="75"/>
      <c r="V1083" s="75"/>
    </row>
    <row r="1084" spans="2:22" x14ac:dyDescent="0.2">
      <c r="B1084" s="73" t="s">
        <v>10144</v>
      </c>
      <c r="C1084" s="33" t="s">
        <v>994</v>
      </c>
      <c r="D1084" s="23" t="s">
        <v>995</v>
      </c>
      <c r="E1084" s="73"/>
      <c r="F1084" s="73"/>
      <c r="G1084" s="73"/>
      <c r="H1084" s="73"/>
      <c r="I1084" s="73"/>
      <c r="J1084" s="33" t="s">
        <v>9374</v>
      </c>
      <c r="K1084" s="33" t="s">
        <v>11016</v>
      </c>
      <c r="L1084" s="33" t="s">
        <v>121</v>
      </c>
      <c r="M1084" s="33" t="s">
        <v>9376</v>
      </c>
      <c r="N1084" s="73"/>
      <c r="O1084" s="73"/>
      <c r="P1084" s="73"/>
      <c r="Q1084" s="76"/>
      <c r="R1084" s="76"/>
      <c r="S1084" s="76"/>
      <c r="T1084" s="76"/>
      <c r="U1084" s="76"/>
      <c r="V1084" s="76"/>
    </row>
    <row r="1085" spans="2:22" x14ac:dyDescent="0.2">
      <c r="B1085" s="166"/>
      <c r="C1085" s="166"/>
      <c r="D1085" s="166"/>
      <c r="E1085" s="166"/>
      <c r="F1085" s="166"/>
      <c r="G1085" s="166"/>
      <c r="H1085" s="166"/>
      <c r="I1085" s="166"/>
      <c r="J1085" s="166"/>
      <c r="K1085" s="166"/>
      <c r="L1085" s="166"/>
      <c r="M1085" s="166"/>
      <c r="N1085" s="166"/>
      <c r="O1085" s="166"/>
      <c r="P1085" s="166"/>
      <c r="Q1085" s="73"/>
      <c r="R1085" s="23"/>
      <c r="S1085" s="23"/>
      <c r="T1085" s="73"/>
      <c r="U1085" s="73"/>
      <c r="V1085" s="73"/>
    </row>
    <row r="1086" spans="2:22" x14ac:dyDescent="0.2">
      <c r="B1086" s="165" t="s">
        <v>10146</v>
      </c>
      <c r="C1086" s="165"/>
      <c r="D1086" s="165"/>
      <c r="E1086" s="165"/>
      <c r="F1086" s="165"/>
      <c r="G1086" s="165"/>
      <c r="H1086" s="165"/>
      <c r="I1086" s="165"/>
      <c r="J1086" s="165"/>
      <c r="K1086" s="165"/>
      <c r="L1086" s="165"/>
      <c r="M1086" s="165"/>
      <c r="N1086" s="165"/>
      <c r="O1086" s="165"/>
      <c r="P1086" s="165"/>
      <c r="Q1086" s="75"/>
      <c r="R1086" s="75"/>
      <c r="S1086" s="75"/>
      <c r="T1086" s="75"/>
      <c r="U1086" s="75"/>
      <c r="V1086" s="75"/>
    </row>
    <row r="1087" spans="2:22" x14ac:dyDescent="0.2">
      <c r="B1087" s="73" t="s">
        <v>10146</v>
      </c>
      <c r="C1087" s="33" t="s">
        <v>996</v>
      </c>
      <c r="D1087" s="23" t="s">
        <v>997</v>
      </c>
      <c r="E1087" s="73"/>
      <c r="F1087" s="73"/>
      <c r="G1087" s="73"/>
      <c r="H1087" s="73"/>
      <c r="I1087" s="73"/>
      <c r="J1087" s="33" t="s">
        <v>9374</v>
      </c>
      <c r="K1087" s="33" t="s">
        <v>11016</v>
      </c>
      <c r="L1087" s="33" t="s">
        <v>121</v>
      </c>
      <c r="M1087" s="33" t="s">
        <v>9376</v>
      </c>
      <c r="N1087" s="73"/>
      <c r="O1087" s="73"/>
      <c r="P1087" s="73"/>
      <c r="Q1087" s="76"/>
      <c r="R1087" s="76"/>
      <c r="S1087" s="76"/>
      <c r="T1087" s="76"/>
      <c r="U1087" s="76"/>
      <c r="V1087" s="76"/>
    </row>
    <row r="1088" spans="2:22" x14ac:dyDescent="0.2">
      <c r="B1088" s="166"/>
      <c r="C1088" s="166"/>
      <c r="D1088" s="166"/>
      <c r="E1088" s="166"/>
      <c r="F1088" s="166"/>
      <c r="G1088" s="166"/>
      <c r="H1088" s="166"/>
      <c r="I1088" s="166"/>
      <c r="J1088" s="166"/>
      <c r="K1088" s="166"/>
      <c r="L1088" s="166"/>
      <c r="M1088" s="166"/>
      <c r="N1088" s="166"/>
      <c r="O1088" s="166"/>
      <c r="P1088" s="166"/>
      <c r="Q1088" s="73"/>
      <c r="R1088" s="23"/>
      <c r="S1088" s="23"/>
      <c r="T1088" s="73"/>
      <c r="U1088" s="73"/>
      <c r="V1088" s="73"/>
    </row>
    <row r="1089" spans="2:22" x14ac:dyDescent="0.2">
      <c r="B1089" s="165" t="s">
        <v>10148</v>
      </c>
      <c r="C1089" s="165"/>
      <c r="D1089" s="165"/>
      <c r="E1089" s="165"/>
      <c r="F1089" s="165"/>
      <c r="G1089" s="165"/>
      <c r="H1089" s="165"/>
      <c r="I1089" s="165"/>
      <c r="J1089" s="165"/>
      <c r="K1089" s="165"/>
      <c r="L1089" s="165"/>
      <c r="M1089" s="165"/>
      <c r="N1089" s="165"/>
      <c r="O1089" s="165"/>
      <c r="P1089" s="165"/>
      <c r="Q1089" s="75"/>
      <c r="R1089" s="75"/>
      <c r="S1089" s="75"/>
      <c r="T1089" s="75"/>
      <c r="U1089" s="75"/>
      <c r="V1089" s="75"/>
    </row>
    <row r="1090" spans="2:22" x14ac:dyDescent="0.2">
      <c r="B1090" s="73" t="s">
        <v>10148</v>
      </c>
      <c r="C1090" s="33" t="s">
        <v>998</v>
      </c>
      <c r="D1090" s="23" t="s">
        <v>999</v>
      </c>
      <c r="E1090" s="73"/>
      <c r="F1090" s="73"/>
      <c r="G1090" s="73"/>
      <c r="H1090" s="73"/>
      <c r="I1090" s="73"/>
      <c r="J1090" s="33" t="s">
        <v>9374</v>
      </c>
      <c r="K1090" s="33" t="s">
        <v>11016</v>
      </c>
      <c r="L1090" s="33" t="s">
        <v>121</v>
      </c>
      <c r="M1090" s="33" t="s">
        <v>9376</v>
      </c>
      <c r="N1090" s="73"/>
      <c r="O1090" s="73"/>
      <c r="P1090" s="73"/>
      <c r="Q1090" s="76"/>
      <c r="R1090" s="76"/>
      <c r="S1090" s="76"/>
      <c r="T1090" s="76"/>
      <c r="U1090" s="76"/>
      <c r="V1090" s="76"/>
    </row>
    <row r="1091" spans="2:22" x14ac:dyDescent="0.2">
      <c r="B1091" s="166"/>
      <c r="C1091" s="166"/>
      <c r="D1091" s="166"/>
      <c r="E1091" s="166"/>
      <c r="F1091" s="166"/>
      <c r="G1091" s="166"/>
      <c r="H1091" s="166"/>
      <c r="I1091" s="166"/>
      <c r="J1091" s="166"/>
      <c r="K1091" s="166"/>
      <c r="L1091" s="166"/>
      <c r="M1091" s="166"/>
      <c r="N1091" s="166"/>
      <c r="O1091" s="166"/>
      <c r="P1091" s="166"/>
      <c r="Q1091" s="73"/>
      <c r="R1091" s="23"/>
      <c r="S1091" s="23"/>
      <c r="T1091" s="73"/>
      <c r="U1091" s="73"/>
      <c r="V1091" s="73"/>
    </row>
    <row r="1092" spans="2:22" x14ac:dyDescent="0.2">
      <c r="B1092" s="165" t="s">
        <v>10151</v>
      </c>
      <c r="C1092" s="165"/>
      <c r="D1092" s="165"/>
      <c r="E1092" s="165"/>
      <c r="F1092" s="165"/>
      <c r="G1092" s="165"/>
      <c r="H1092" s="165"/>
      <c r="I1092" s="165"/>
      <c r="J1092" s="165"/>
      <c r="K1092" s="165"/>
      <c r="L1092" s="165"/>
      <c r="M1092" s="165"/>
      <c r="N1092" s="165"/>
      <c r="O1092" s="165"/>
      <c r="P1092" s="165"/>
      <c r="Q1092" s="75"/>
      <c r="R1092" s="75"/>
      <c r="S1092" s="75"/>
      <c r="T1092" s="75"/>
      <c r="U1092" s="75"/>
      <c r="V1092" s="75"/>
    </row>
    <row r="1093" spans="2:22" x14ac:dyDescent="0.2">
      <c r="B1093" s="73" t="s">
        <v>10151</v>
      </c>
      <c r="C1093" s="33" t="s">
        <v>1000</v>
      </c>
      <c r="D1093" s="23" t="s">
        <v>1001</v>
      </c>
      <c r="E1093" s="73"/>
      <c r="F1093" s="73"/>
      <c r="G1093" s="73"/>
      <c r="H1093" s="73"/>
      <c r="I1093" s="73"/>
      <c r="J1093" s="33" t="s">
        <v>9374</v>
      </c>
      <c r="K1093" s="33" t="s">
        <v>11016</v>
      </c>
      <c r="L1093" s="33" t="s">
        <v>121</v>
      </c>
      <c r="M1093" s="33" t="s">
        <v>9376</v>
      </c>
      <c r="N1093" s="73"/>
      <c r="O1093" s="73"/>
      <c r="P1093" s="73"/>
      <c r="Q1093" s="76"/>
      <c r="R1093" s="76"/>
      <c r="S1093" s="76"/>
      <c r="T1093" s="76"/>
      <c r="U1093" s="76"/>
      <c r="V1093" s="76"/>
    </row>
    <row r="1094" spans="2:22" x14ac:dyDescent="0.2">
      <c r="B1094" s="166"/>
      <c r="C1094" s="166"/>
      <c r="D1094" s="166"/>
      <c r="E1094" s="166"/>
      <c r="F1094" s="166"/>
      <c r="G1094" s="166"/>
      <c r="H1094" s="166"/>
      <c r="I1094" s="166"/>
      <c r="J1094" s="166"/>
      <c r="K1094" s="166"/>
      <c r="L1094" s="166"/>
      <c r="M1094" s="166"/>
      <c r="N1094" s="166"/>
      <c r="O1094" s="166"/>
      <c r="P1094" s="166"/>
      <c r="Q1094" s="73"/>
      <c r="R1094" s="23"/>
      <c r="S1094" s="23"/>
      <c r="T1094" s="73"/>
      <c r="U1094" s="73"/>
      <c r="V1094" s="73"/>
    </row>
    <row r="1095" spans="2:22" x14ac:dyDescent="0.2">
      <c r="B1095" s="165" t="s">
        <v>10154</v>
      </c>
      <c r="C1095" s="165"/>
      <c r="D1095" s="165"/>
      <c r="E1095" s="165"/>
      <c r="F1095" s="165"/>
      <c r="G1095" s="165"/>
      <c r="H1095" s="165"/>
      <c r="I1095" s="165"/>
      <c r="J1095" s="165"/>
      <c r="K1095" s="165"/>
      <c r="L1095" s="165"/>
      <c r="M1095" s="165"/>
      <c r="N1095" s="165"/>
      <c r="O1095" s="165"/>
      <c r="P1095" s="165"/>
      <c r="Q1095" s="75"/>
      <c r="R1095" s="75"/>
      <c r="S1095" s="75"/>
      <c r="T1095" s="75"/>
      <c r="U1095" s="75"/>
      <c r="V1095" s="75"/>
    </row>
    <row r="1096" spans="2:22" x14ac:dyDescent="0.2">
      <c r="B1096" s="73" t="s">
        <v>10154</v>
      </c>
      <c r="C1096" s="33" t="s">
        <v>1002</v>
      </c>
      <c r="D1096" s="23" t="s">
        <v>1003</v>
      </c>
      <c r="E1096" s="73"/>
      <c r="F1096" s="73"/>
      <c r="G1096" s="73"/>
      <c r="H1096" s="73"/>
      <c r="I1096" s="73"/>
      <c r="J1096" s="33" t="s">
        <v>9374</v>
      </c>
      <c r="K1096" s="33" t="s">
        <v>11016</v>
      </c>
      <c r="L1096" s="33" t="s">
        <v>121</v>
      </c>
      <c r="M1096" s="33" t="s">
        <v>9376</v>
      </c>
      <c r="N1096" s="73"/>
      <c r="O1096" s="73"/>
      <c r="P1096" s="73"/>
      <c r="Q1096" s="76"/>
      <c r="R1096" s="76"/>
      <c r="S1096" s="76"/>
      <c r="T1096" s="76"/>
      <c r="U1096" s="76"/>
      <c r="V1096" s="76"/>
    </row>
    <row r="1097" spans="2:22" x14ac:dyDescent="0.2">
      <c r="B1097" s="166"/>
      <c r="C1097" s="166"/>
      <c r="D1097" s="166"/>
      <c r="E1097" s="166"/>
      <c r="F1097" s="166"/>
      <c r="G1097" s="166"/>
      <c r="H1097" s="166"/>
      <c r="I1097" s="166"/>
      <c r="J1097" s="166"/>
      <c r="K1097" s="166"/>
      <c r="L1097" s="166"/>
      <c r="M1097" s="166"/>
      <c r="N1097" s="166"/>
      <c r="O1097" s="166"/>
      <c r="P1097" s="166"/>
      <c r="Q1097" s="73"/>
      <c r="R1097" s="23"/>
      <c r="S1097" s="23"/>
      <c r="T1097" s="73"/>
      <c r="U1097" s="73"/>
      <c r="V1097" s="73"/>
    </row>
    <row r="1098" spans="2:22" x14ac:dyDescent="0.2">
      <c r="B1098" s="165" t="s">
        <v>10156</v>
      </c>
      <c r="C1098" s="165"/>
      <c r="D1098" s="165"/>
      <c r="E1098" s="165"/>
      <c r="F1098" s="165"/>
      <c r="G1098" s="165"/>
      <c r="H1098" s="165"/>
      <c r="I1098" s="165"/>
      <c r="J1098" s="165"/>
      <c r="K1098" s="165"/>
      <c r="L1098" s="165"/>
      <c r="M1098" s="165"/>
      <c r="N1098" s="165"/>
      <c r="O1098" s="165"/>
      <c r="P1098" s="165"/>
      <c r="Q1098" s="73"/>
      <c r="R1098" s="23"/>
      <c r="S1098" s="23"/>
      <c r="T1098" s="73"/>
      <c r="U1098" s="73"/>
      <c r="V1098" s="73"/>
    </row>
    <row r="1099" spans="2:22" x14ac:dyDescent="0.2">
      <c r="B1099" s="73" t="s">
        <v>10156</v>
      </c>
      <c r="C1099" s="33" t="s">
        <v>1004</v>
      </c>
      <c r="D1099" s="23" t="s">
        <v>1005</v>
      </c>
      <c r="E1099" s="73"/>
      <c r="F1099" s="73"/>
      <c r="G1099" s="73"/>
      <c r="H1099" s="73"/>
      <c r="I1099" s="73"/>
      <c r="J1099" s="33" t="s">
        <v>9374</v>
      </c>
      <c r="K1099" s="33" t="s">
        <v>11016</v>
      </c>
      <c r="L1099" s="33" t="s">
        <v>121</v>
      </c>
      <c r="M1099" s="33" t="s">
        <v>9376</v>
      </c>
      <c r="N1099" s="73"/>
      <c r="O1099" s="73"/>
      <c r="P1099" s="73"/>
      <c r="Q1099" s="75"/>
      <c r="R1099" s="75"/>
      <c r="S1099" s="75"/>
      <c r="T1099" s="75"/>
      <c r="U1099" s="75"/>
      <c r="V1099" s="75"/>
    </row>
    <row r="1100" spans="2:22" x14ac:dyDescent="0.2">
      <c r="B1100" s="166"/>
      <c r="C1100" s="166"/>
      <c r="D1100" s="166"/>
      <c r="E1100" s="166"/>
      <c r="F1100" s="166"/>
      <c r="G1100" s="166"/>
      <c r="H1100" s="166"/>
      <c r="I1100" s="166"/>
      <c r="J1100" s="166"/>
      <c r="K1100" s="166"/>
      <c r="L1100" s="166"/>
      <c r="M1100" s="166"/>
      <c r="N1100" s="166"/>
      <c r="O1100" s="166"/>
      <c r="P1100" s="166"/>
      <c r="Q1100" s="76"/>
      <c r="R1100" s="76"/>
      <c r="S1100" s="76"/>
      <c r="T1100" s="76"/>
      <c r="U1100" s="76"/>
      <c r="V1100" s="76"/>
    </row>
    <row r="1101" spans="2:22" x14ac:dyDescent="0.2">
      <c r="B1101" s="165" t="s">
        <v>10159</v>
      </c>
      <c r="C1101" s="165"/>
      <c r="D1101" s="165"/>
      <c r="E1101" s="165"/>
      <c r="F1101" s="165"/>
      <c r="G1101" s="165"/>
      <c r="H1101" s="165"/>
      <c r="I1101" s="165"/>
      <c r="J1101" s="165"/>
      <c r="K1101" s="165"/>
      <c r="L1101" s="165"/>
      <c r="M1101" s="165"/>
      <c r="N1101" s="165"/>
      <c r="O1101" s="165"/>
      <c r="P1101" s="165"/>
      <c r="Q1101" s="73"/>
      <c r="R1101" s="23"/>
      <c r="S1101" s="23"/>
      <c r="T1101" s="73"/>
      <c r="U1101" s="73"/>
      <c r="V1101" s="73"/>
    </row>
    <row r="1102" spans="2:22" x14ac:dyDescent="0.2">
      <c r="B1102" s="73" t="s">
        <v>10159</v>
      </c>
      <c r="C1102" s="33" t="s">
        <v>1006</v>
      </c>
      <c r="D1102" s="23" t="s">
        <v>1007</v>
      </c>
      <c r="E1102" s="73"/>
      <c r="F1102" s="73"/>
      <c r="G1102" s="73"/>
      <c r="H1102" s="73"/>
      <c r="I1102" s="73"/>
      <c r="J1102" s="33" t="s">
        <v>9374</v>
      </c>
      <c r="K1102" s="33" t="s">
        <v>11016</v>
      </c>
      <c r="L1102" s="33" t="s">
        <v>121</v>
      </c>
      <c r="M1102" s="33" t="s">
        <v>9376</v>
      </c>
      <c r="N1102" s="73"/>
      <c r="O1102" s="73"/>
      <c r="P1102" s="73"/>
      <c r="Q1102" s="75"/>
      <c r="R1102" s="75"/>
      <c r="S1102" s="75"/>
      <c r="T1102" s="75"/>
      <c r="U1102" s="75"/>
      <c r="V1102" s="75"/>
    </row>
    <row r="1103" spans="2:22" x14ac:dyDescent="0.2">
      <c r="B1103" s="166"/>
      <c r="C1103" s="166"/>
      <c r="D1103" s="166"/>
      <c r="E1103" s="166"/>
      <c r="F1103" s="166"/>
      <c r="G1103" s="166"/>
      <c r="H1103" s="166"/>
      <c r="I1103" s="166"/>
      <c r="J1103" s="166"/>
      <c r="K1103" s="166"/>
      <c r="L1103" s="166"/>
      <c r="M1103" s="166"/>
      <c r="N1103" s="166"/>
      <c r="O1103" s="166"/>
      <c r="P1103" s="166"/>
      <c r="Q1103" s="76"/>
      <c r="R1103" s="76"/>
      <c r="S1103" s="76"/>
      <c r="T1103" s="76"/>
      <c r="U1103" s="76"/>
      <c r="V1103" s="76"/>
    </row>
    <row r="1104" spans="2:22" x14ac:dyDescent="0.2">
      <c r="B1104" s="165" t="s">
        <v>10162</v>
      </c>
      <c r="C1104" s="165"/>
      <c r="D1104" s="165"/>
      <c r="E1104" s="165"/>
      <c r="F1104" s="165"/>
      <c r="G1104" s="165"/>
      <c r="H1104" s="165"/>
      <c r="I1104" s="165"/>
      <c r="J1104" s="165"/>
      <c r="K1104" s="165"/>
      <c r="L1104" s="165"/>
      <c r="M1104" s="165"/>
      <c r="N1104" s="165"/>
      <c r="O1104" s="165"/>
      <c r="P1104" s="165"/>
      <c r="Q1104" s="73"/>
      <c r="R1104" s="23"/>
      <c r="S1104" s="23"/>
      <c r="T1104" s="73"/>
      <c r="U1104" s="73"/>
      <c r="V1104" s="73"/>
    </row>
    <row r="1105" spans="2:22" x14ac:dyDescent="0.2">
      <c r="B1105" s="73" t="s">
        <v>10162</v>
      </c>
      <c r="C1105" s="33" t="s">
        <v>1008</v>
      </c>
      <c r="D1105" s="23" t="s">
        <v>1009</v>
      </c>
      <c r="E1105" s="73"/>
      <c r="F1105" s="73"/>
      <c r="G1105" s="73"/>
      <c r="H1105" s="73"/>
      <c r="I1105" s="73"/>
      <c r="J1105" s="33" t="s">
        <v>9374</v>
      </c>
      <c r="K1105" s="33" t="s">
        <v>9375</v>
      </c>
      <c r="L1105" s="33" t="s">
        <v>121</v>
      </c>
      <c r="M1105" s="33" t="s">
        <v>9376</v>
      </c>
      <c r="N1105" s="73"/>
      <c r="O1105" s="73"/>
      <c r="P1105" s="73"/>
      <c r="Q1105" s="73"/>
      <c r="R1105" s="23"/>
      <c r="S1105" s="23"/>
      <c r="T1105" s="73"/>
      <c r="U1105" s="73"/>
      <c r="V1105" s="73"/>
    </row>
    <row r="1106" spans="2:22" x14ac:dyDescent="0.2">
      <c r="B1106" s="73" t="s">
        <v>10162</v>
      </c>
      <c r="C1106" s="33" t="s">
        <v>1835</v>
      </c>
      <c r="D1106" s="23" t="s">
        <v>1836</v>
      </c>
      <c r="E1106" s="73"/>
      <c r="F1106" s="73"/>
      <c r="G1106" s="73"/>
      <c r="H1106" s="73"/>
      <c r="I1106" s="73" t="s">
        <v>11146</v>
      </c>
      <c r="J1106" s="33" t="s">
        <v>9374</v>
      </c>
      <c r="K1106" s="33" t="s">
        <v>9375</v>
      </c>
      <c r="L1106" s="33" t="s">
        <v>121</v>
      </c>
      <c r="M1106" s="33" t="s">
        <v>9376</v>
      </c>
      <c r="N1106" s="73"/>
      <c r="O1106" s="73"/>
      <c r="P1106" s="73"/>
      <c r="Q1106" s="75"/>
      <c r="R1106" s="75"/>
      <c r="S1106" s="75"/>
      <c r="T1106" s="75"/>
      <c r="U1106" s="75"/>
      <c r="V1106" s="75"/>
    </row>
    <row r="1107" spans="2:22" x14ac:dyDescent="0.2">
      <c r="B1107" s="166"/>
      <c r="C1107" s="166"/>
      <c r="D1107" s="166"/>
      <c r="E1107" s="166"/>
      <c r="F1107" s="166"/>
      <c r="G1107" s="166"/>
      <c r="H1107" s="166"/>
      <c r="I1107" s="166"/>
      <c r="J1107" s="166"/>
      <c r="K1107" s="166"/>
      <c r="L1107" s="166"/>
      <c r="M1107" s="166"/>
      <c r="N1107" s="166"/>
      <c r="O1107" s="166"/>
      <c r="P1107" s="166"/>
      <c r="Q1107" s="76"/>
      <c r="R1107" s="76"/>
      <c r="S1107" s="76"/>
      <c r="T1107" s="76"/>
      <c r="U1107" s="76"/>
      <c r="V1107" s="76"/>
    </row>
    <row r="1108" spans="2:22" x14ac:dyDescent="0.2">
      <c r="B1108" s="165" t="s">
        <v>10164</v>
      </c>
      <c r="C1108" s="165"/>
      <c r="D1108" s="165"/>
      <c r="E1108" s="165"/>
      <c r="F1108" s="165"/>
      <c r="G1108" s="165"/>
      <c r="H1108" s="165"/>
      <c r="I1108" s="165"/>
      <c r="J1108" s="165"/>
      <c r="K1108" s="165"/>
      <c r="L1108" s="165"/>
      <c r="M1108" s="165"/>
      <c r="N1108" s="165"/>
      <c r="O1108" s="165"/>
      <c r="P1108" s="165"/>
      <c r="Q1108" s="73"/>
      <c r="R1108" s="23"/>
      <c r="S1108" s="23"/>
      <c r="T1108" s="73"/>
      <c r="U1108" s="73"/>
      <c r="V1108" s="73"/>
    </row>
    <row r="1109" spans="2:22" x14ac:dyDescent="0.2">
      <c r="B1109" s="73" t="s">
        <v>10164</v>
      </c>
      <c r="C1109" s="33" t="s">
        <v>1010</v>
      </c>
      <c r="D1109" s="23" t="s">
        <v>1011</v>
      </c>
      <c r="E1109" s="73"/>
      <c r="F1109" s="73"/>
      <c r="G1109" s="73"/>
      <c r="H1109" s="73"/>
      <c r="I1109" s="73"/>
      <c r="J1109" s="33" t="s">
        <v>9374</v>
      </c>
      <c r="K1109" s="33" t="s">
        <v>9375</v>
      </c>
      <c r="L1109" s="33" t="s">
        <v>121</v>
      </c>
      <c r="M1109" s="33" t="s">
        <v>9376</v>
      </c>
      <c r="N1109" s="73"/>
      <c r="O1109" s="73"/>
      <c r="P1109" s="73"/>
      <c r="Q1109" s="75"/>
      <c r="R1109" s="75"/>
      <c r="S1109" s="75"/>
      <c r="T1109" s="75"/>
      <c r="U1109" s="75"/>
      <c r="V1109" s="75"/>
    </row>
    <row r="1110" spans="2:22" x14ac:dyDescent="0.2">
      <c r="B1110" s="73" t="s">
        <v>10164</v>
      </c>
      <c r="C1110" s="33" t="s">
        <v>2083</v>
      </c>
      <c r="D1110" s="23" t="s">
        <v>2084</v>
      </c>
      <c r="E1110" s="73" t="s">
        <v>11147</v>
      </c>
      <c r="F1110" s="73"/>
      <c r="G1110" s="73" t="s">
        <v>10902</v>
      </c>
      <c r="H1110" s="73"/>
      <c r="I1110" s="73" t="s">
        <v>11148</v>
      </c>
      <c r="J1110" s="33" t="s">
        <v>9374</v>
      </c>
      <c r="K1110" s="33" t="s">
        <v>9375</v>
      </c>
      <c r="L1110" s="33" t="s">
        <v>121</v>
      </c>
      <c r="M1110" s="33" t="s">
        <v>9376</v>
      </c>
      <c r="N1110" s="73"/>
      <c r="O1110" s="73"/>
      <c r="P1110" s="73"/>
      <c r="Q1110" s="76"/>
      <c r="R1110" s="76"/>
      <c r="S1110" s="76"/>
      <c r="T1110" s="76"/>
      <c r="U1110" s="76"/>
      <c r="V1110" s="76"/>
    </row>
    <row r="1111" spans="2:22" x14ac:dyDescent="0.2">
      <c r="B1111" s="166"/>
      <c r="C1111" s="166"/>
      <c r="D1111" s="166"/>
      <c r="E1111" s="166"/>
      <c r="F1111" s="166"/>
      <c r="G1111" s="166"/>
      <c r="H1111" s="166"/>
      <c r="I1111" s="166"/>
      <c r="J1111" s="166"/>
      <c r="K1111" s="166"/>
      <c r="L1111" s="166"/>
      <c r="M1111" s="166"/>
      <c r="N1111" s="166"/>
      <c r="O1111" s="166"/>
      <c r="P1111" s="166"/>
      <c r="Q1111" s="73"/>
      <c r="R1111" s="23"/>
      <c r="S1111" s="23"/>
      <c r="T1111" s="73"/>
      <c r="U1111" s="73"/>
      <c r="V1111" s="73"/>
    </row>
    <row r="1112" spans="2:22" x14ac:dyDescent="0.2">
      <c r="B1112" s="165" t="s">
        <v>10167</v>
      </c>
      <c r="C1112" s="165"/>
      <c r="D1112" s="165"/>
      <c r="E1112" s="165"/>
      <c r="F1112" s="165"/>
      <c r="G1112" s="165"/>
      <c r="H1112" s="165"/>
      <c r="I1112" s="165"/>
      <c r="J1112" s="165"/>
      <c r="K1112" s="165"/>
      <c r="L1112" s="165"/>
      <c r="M1112" s="165"/>
      <c r="N1112" s="165"/>
      <c r="O1112" s="165"/>
      <c r="P1112" s="165"/>
      <c r="Q1112" s="75"/>
      <c r="R1112" s="75"/>
      <c r="S1112" s="75"/>
      <c r="T1112" s="75"/>
      <c r="U1112" s="75"/>
      <c r="V1112" s="75"/>
    </row>
    <row r="1113" spans="2:22" x14ac:dyDescent="0.2">
      <c r="B1113" s="73" t="s">
        <v>10167</v>
      </c>
      <c r="C1113" s="33" t="s">
        <v>1012</v>
      </c>
      <c r="D1113" s="23" t="s">
        <v>1013</v>
      </c>
      <c r="E1113" s="73"/>
      <c r="F1113" s="73"/>
      <c r="G1113" s="73"/>
      <c r="H1113" s="73"/>
      <c r="I1113" s="73"/>
      <c r="J1113" s="33" t="s">
        <v>9374</v>
      </c>
      <c r="K1113" s="33" t="s">
        <v>9375</v>
      </c>
      <c r="L1113" s="33" t="s">
        <v>121</v>
      </c>
      <c r="M1113" s="33" t="s">
        <v>9376</v>
      </c>
      <c r="N1113" s="73"/>
      <c r="O1113" s="73"/>
      <c r="P1113" s="73"/>
      <c r="Q1113" s="76"/>
      <c r="R1113" s="76"/>
      <c r="S1113" s="76"/>
      <c r="T1113" s="76"/>
      <c r="U1113" s="76"/>
      <c r="V1113" s="76"/>
    </row>
    <row r="1114" spans="2:22" x14ac:dyDescent="0.2">
      <c r="B1114" s="166"/>
      <c r="C1114" s="166"/>
      <c r="D1114" s="166"/>
      <c r="E1114" s="166"/>
      <c r="F1114" s="166"/>
      <c r="G1114" s="166"/>
      <c r="H1114" s="166"/>
      <c r="I1114" s="166"/>
      <c r="J1114" s="166"/>
      <c r="K1114" s="166"/>
      <c r="L1114" s="166"/>
      <c r="M1114" s="166"/>
      <c r="N1114" s="166"/>
      <c r="O1114" s="166"/>
      <c r="P1114" s="166"/>
      <c r="Q1114" s="73"/>
      <c r="R1114" s="23"/>
      <c r="S1114" s="23"/>
      <c r="T1114" s="73"/>
      <c r="U1114" s="73"/>
      <c r="V1114" s="73"/>
    </row>
    <row r="1115" spans="2:22" x14ac:dyDescent="0.2">
      <c r="B1115" s="165" t="s">
        <v>10170</v>
      </c>
      <c r="C1115" s="165"/>
      <c r="D1115" s="165"/>
      <c r="E1115" s="165"/>
      <c r="F1115" s="165"/>
      <c r="G1115" s="165"/>
      <c r="H1115" s="165"/>
      <c r="I1115" s="165"/>
      <c r="J1115" s="165"/>
      <c r="K1115" s="165"/>
      <c r="L1115" s="165"/>
      <c r="M1115" s="165"/>
      <c r="N1115" s="165"/>
      <c r="O1115" s="165"/>
      <c r="P1115" s="165"/>
      <c r="Q1115" s="73"/>
      <c r="R1115" s="23"/>
      <c r="S1115" s="23"/>
      <c r="T1115" s="73"/>
      <c r="U1115" s="73"/>
      <c r="V1115" s="73"/>
    </row>
    <row r="1116" spans="2:22" x14ac:dyDescent="0.2">
      <c r="B1116" s="73" t="s">
        <v>10170</v>
      </c>
      <c r="C1116" s="33" t="s">
        <v>1014</v>
      </c>
      <c r="D1116" s="23" t="s">
        <v>1015</v>
      </c>
      <c r="E1116" s="73"/>
      <c r="F1116" s="73"/>
      <c r="G1116" s="73"/>
      <c r="H1116" s="73"/>
      <c r="I1116" s="73"/>
      <c r="J1116" s="33" t="s">
        <v>9374</v>
      </c>
      <c r="K1116" s="33" t="s">
        <v>11016</v>
      </c>
      <c r="L1116" s="33" t="s">
        <v>121</v>
      </c>
      <c r="M1116" s="33" t="s">
        <v>9376</v>
      </c>
      <c r="N1116" s="73"/>
      <c r="O1116" s="73"/>
      <c r="P1116" s="73"/>
      <c r="Q1116" s="75"/>
      <c r="R1116" s="75"/>
      <c r="S1116" s="75"/>
      <c r="T1116" s="75"/>
      <c r="U1116" s="75"/>
      <c r="V1116" s="75"/>
    </row>
    <row r="1117" spans="2:22" x14ac:dyDescent="0.2">
      <c r="B1117" s="166"/>
      <c r="C1117" s="166"/>
      <c r="D1117" s="166"/>
      <c r="E1117" s="166"/>
      <c r="F1117" s="166"/>
      <c r="G1117" s="166"/>
      <c r="H1117" s="166"/>
      <c r="I1117" s="166"/>
      <c r="J1117" s="166"/>
      <c r="K1117" s="166"/>
      <c r="L1117" s="166"/>
      <c r="M1117" s="166"/>
      <c r="N1117" s="166"/>
      <c r="O1117" s="166"/>
      <c r="P1117" s="166"/>
      <c r="Q1117" s="76"/>
      <c r="R1117" s="76"/>
      <c r="S1117" s="76"/>
      <c r="T1117" s="76"/>
      <c r="U1117" s="76"/>
      <c r="V1117" s="76"/>
    </row>
    <row r="1118" spans="2:22" x14ac:dyDescent="0.2">
      <c r="B1118" s="165" t="s">
        <v>10172</v>
      </c>
      <c r="C1118" s="165"/>
      <c r="D1118" s="165"/>
      <c r="E1118" s="165"/>
      <c r="F1118" s="165"/>
      <c r="G1118" s="165"/>
      <c r="H1118" s="165"/>
      <c r="I1118" s="165"/>
      <c r="J1118" s="165"/>
      <c r="K1118" s="165"/>
      <c r="L1118" s="165"/>
      <c r="M1118" s="165"/>
      <c r="N1118" s="165"/>
      <c r="O1118" s="165"/>
      <c r="P1118" s="165"/>
      <c r="Q1118" s="73"/>
      <c r="R1118" s="23"/>
      <c r="S1118" s="23"/>
      <c r="T1118" s="73"/>
      <c r="U1118" s="73"/>
      <c r="V1118" s="73"/>
    </row>
    <row r="1119" spans="2:22" x14ac:dyDescent="0.2">
      <c r="B1119" s="73" t="s">
        <v>10172</v>
      </c>
      <c r="C1119" s="33" t="s">
        <v>1016</v>
      </c>
      <c r="D1119" s="23" t="s">
        <v>1017</v>
      </c>
      <c r="E1119" s="73"/>
      <c r="F1119" s="73"/>
      <c r="G1119" s="73"/>
      <c r="H1119" s="73"/>
      <c r="I1119" s="73"/>
      <c r="J1119" s="33" t="s">
        <v>9374</v>
      </c>
      <c r="K1119" s="33" t="s">
        <v>11016</v>
      </c>
      <c r="L1119" s="33" t="s">
        <v>121</v>
      </c>
      <c r="M1119" s="33" t="s">
        <v>9376</v>
      </c>
      <c r="N1119" s="73"/>
      <c r="O1119" s="73"/>
      <c r="P1119" s="73"/>
      <c r="Q1119" s="75"/>
      <c r="R1119" s="75"/>
      <c r="S1119" s="75"/>
      <c r="T1119" s="75"/>
      <c r="U1119" s="75"/>
      <c r="V1119" s="75"/>
    </row>
    <row r="1120" spans="2:22" x14ac:dyDescent="0.2">
      <c r="B1120" s="166"/>
      <c r="C1120" s="166"/>
      <c r="D1120" s="166"/>
      <c r="E1120" s="166"/>
      <c r="F1120" s="166"/>
      <c r="G1120" s="166"/>
      <c r="H1120" s="166"/>
      <c r="I1120" s="166"/>
      <c r="J1120" s="166"/>
      <c r="K1120" s="166"/>
      <c r="L1120" s="166"/>
      <c r="M1120" s="166"/>
      <c r="N1120" s="166"/>
      <c r="O1120" s="166"/>
      <c r="P1120" s="166"/>
      <c r="Q1120" s="76"/>
      <c r="R1120" s="76"/>
      <c r="S1120" s="76"/>
      <c r="T1120" s="76"/>
      <c r="U1120" s="76"/>
      <c r="V1120" s="76"/>
    </row>
    <row r="1121" spans="2:22" x14ac:dyDescent="0.2">
      <c r="B1121" s="165" t="s">
        <v>10174</v>
      </c>
      <c r="C1121" s="165"/>
      <c r="D1121" s="165"/>
      <c r="E1121" s="165"/>
      <c r="F1121" s="165"/>
      <c r="G1121" s="165"/>
      <c r="H1121" s="165"/>
      <c r="I1121" s="165"/>
      <c r="J1121" s="165"/>
      <c r="K1121" s="165"/>
      <c r="L1121" s="165"/>
      <c r="M1121" s="165"/>
      <c r="N1121" s="165"/>
      <c r="O1121" s="165"/>
      <c r="P1121" s="165"/>
      <c r="Q1121" s="73"/>
      <c r="R1121" s="23"/>
      <c r="S1121" s="23"/>
      <c r="T1121" s="73"/>
      <c r="U1121" s="73"/>
      <c r="V1121" s="73"/>
    </row>
    <row r="1122" spans="2:22" x14ac:dyDescent="0.2">
      <c r="B1122" s="73" t="s">
        <v>10174</v>
      </c>
      <c r="C1122" s="33" t="s">
        <v>1018</v>
      </c>
      <c r="D1122" s="23" t="s">
        <v>1019</v>
      </c>
      <c r="E1122" s="73"/>
      <c r="F1122" s="73"/>
      <c r="G1122" s="73"/>
      <c r="H1122" s="73"/>
      <c r="I1122" s="73"/>
      <c r="J1122" s="33" t="s">
        <v>9374</v>
      </c>
      <c r="K1122" s="33" t="s">
        <v>11016</v>
      </c>
      <c r="L1122" s="33" t="s">
        <v>121</v>
      </c>
      <c r="M1122" s="33" t="s">
        <v>9376</v>
      </c>
      <c r="N1122" s="73"/>
      <c r="O1122" s="73"/>
      <c r="P1122" s="73"/>
      <c r="Q1122" s="75"/>
      <c r="R1122" s="75"/>
      <c r="S1122" s="75"/>
      <c r="T1122" s="75"/>
      <c r="U1122" s="75"/>
      <c r="V1122" s="75"/>
    </row>
    <row r="1123" spans="2:22" x14ac:dyDescent="0.2">
      <c r="B1123" s="166"/>
      <c r="C1123" s="166"/>
      <c r="D1123" s="166"/>
      <c r="E1123" s="166"/>
      <c r="F1123" s="166"/>
      <c r="G1123" s="166"/>
      <c r="H1123" s="166"/>
      <c r="I1123" s="166"/>
      <c r="J1123" s="166"/>
      <c r="K1123" s="166"/>
      <c r="L1123" s="166"/>
      <c r="M1123" s="166"/>
      <c r="N1123" s="166"/>
      <c r="O1123" s="166"/>
      <c r="P1123" s="166"/>
      <c r="Q1123" s="76"/>
      <c r="R1123" s="76"/>
      <c r="S1123" s="76"/>
      <c r="T1123" s="76"/>
      <c r="U1123" s="76"/>
      <c r="V1123" s="76"/>
    </row>
    <row r="1124" spans="2:22" x14ac:dyDescent="0.2">
      <c r="B1124" s="165" t="s">
        <v>10176</v>
      </c>
      <c r="C1124" s="165"/>
      <c r="D1124" s="165"/>
      <c r="E1124" s="165"/>
      <c r="F1124" s="165"/>
      <c r="G1124" s="165"/>
      <c r="H1124" s="165"/>
      <c r="I1124" s="165"/>
      <c r="J1124" s="165"/>
      <c r="K1124" s="165"/>
      <c r="L1124" s="165"/>
      <c r="M1124" s="165"/>
      <c r="N1124" s="165"/>
      <c r="O1124" s="165"/>
      <c r="P1124" s="165"/>
      <c r="Q1124" s="73"/>
      <c r="R1124" s="23"/>
      <c r="S1124" s="23"/>
      <c r="T1124" s="73"/>
      <c r="U1124" s="73"/>
      <c r="V1124" s="73"/>
    </row>
    <row r="1125" spans="2:22" x14ac:dyDescent="0.2">
      <c r="B1125" s="73" t="s">
        <v>10176</v>
      </c>
      <c r="C1125" s="33" t="s">
        <v>1020</v>
      </c>
      <c r="D1125" s="23" t="s">
        <v>1021</v>
      </c>
      <c r="E1125" s="73"/>
      <c r="F1125" s="73"/>
      <c r="G1125" s="73"/>
      <c r="H1125" s="73"/>
      <c r="I1125" s="73"/>
      <c r="J1125" s="33" t="s">
        <v>9374</v>
      </c>
      <c r="K1125" s="33" t="s">
        <v>11016</v>
      </c>
      <c r="L1125" s="33" t="s">
        <v>121</v>
      </c>
      <c r="M1125" s="33" t="s">
        <v>9376</v>
      </c>
      <c r="N1125" s="73"/>
      <c r="O1125" s="73"/>
      <c r="P1125" s="73"/>
      <c r="Q1125" s="75"/>
      <c r="R1125" s="75"/>
      <c r="S1125" s="75"/>
      <c r="T1125" s="75"/>
      <c r="U1125" s="75"/>
      <c r="V1125" s="75"/>
    </row>
    <row r="1126" spans="2:22" x14ac:dyDescent="0.2">
      <c r="B1126" s="166"/>
      <c r="C1126" s="166"/>
      <c r="D1126" s="166"/>
      <c r="E1126" s="166"/>
      <c r="F1126" s="166"/>
      <c r="G1126" s="166"/>
      <c r="H1126" s="166"/>
      <c r="I1126" s="166"/>
      <c r="J1126" s="166"/>
      <c r="K1126" s="166"/>
      <c r="L1126" s="166"/>
      <c r="M1126" s="166"/>
      <c r="N1126" s="166"/>
      <c r="O1126" s="166"/>
      <c r="P1126" s="166"/>
      <c r="Q1126" s="76"/>
      <c r="R1126" s="76"/>
      <c r="S1126" s="76"/>
      <c r="T1126" s="76"/>
      <c r="U1126" s="76"/>
      <c r="V1126" s="76"/>
    </row>
    <row r="1127" spans="2:22" x14ac:dyDescent="0.2">
      <c r="B1127" s="165" t="s">
        <v>10178</v>
      </c>
      <c r="C1127" s="165"/>
      <c r="D1127" s="165"/>
      <c r="E1127" s="165"/>
      <c r="F1127" s="165"/>
      <c r="G1127" s="165"/>
      <c r="H1127" s="165"/>
      <c r="I1127" s="165"/>
      <c r="J1127" s="165"/>
      <c r="K1127" s="165"/>
      <c r="L1127" s="165"/>
      <c r="M1127" s="165"/>
      <c r="N1127" s="165"/>
      <c r="O1127" s="165"/>
      <c r="P1127" s="165"/>
      <c r="Q1127" s="73"/>
      <c r="R1127" s="23"/>
      <c r="S1127" s="23"/>
      <c r="T1127" s="73"/>
      <c r="U1127" s="73"/>
      <c r="V1127" s="73"/>
    </row>
    <row r="1128" spans="2:22" x14ac:dyDescent="0.2">
      <c r="B1128" s="73" t="s">
        <v>10178</v>
      </c>
      <c r="C1128" s="33" t="s">
        <v>1022</v>
      </c>
      <c r="D1128" s="23" t="s">
        <v>1023</v>
      </c>
      <c r="E1128" s="73"/>
      <c r="F1128" s="73"/>
      <c r="G1128" s="73"/>
      <c r="H1128" s="73"/>
      <c r="I1128" s="73"/>
      <c r="J1128" s="33" t="s">
        <v>9374</v>
      </c>
      <c r="K1128" s="33" t="s">
        <v>11016</v>
      </c>
      <c r="L1128" s="33" t="s">
        <v>121</v>
      </c>
      <c r="M1128" s="33" t="s">
        <v>9376</v>
      </c>
      <c r="N1128" s="73"/>
      <c r="O1128" s="73"/>
      <c r="P1128" s="73"/>
      <c r="Q1128" s="75"/>
      <c r="R1128" s="75"/>
      <c r="S1128" s="75"/>
      <c r="T1128" s="75"/>
      <c r="U1128" s="75"/>
      <c r="V1128" s="75"/>
    </row>
    <row r="1129" spans="2:22" x14ac:dyDescent="0.2">
      <c r="B1129" s="166"/>
      <c r="C1129" s="166"/>
      <c r="D1129" s="166"/>
      <c r="E1129" s="166"/>
      <c r="F1129" s="166"/>
      <c r="G1129" s="166"/>
      <c r="H1129" s="166"/>
      <c r="I1129" s="166"/>
      <c r="J1129" s="166"/>
      <c r="K1129" s="166"/>
      <c r="L1129" s="166"/>
      <c r="M1129" s="166"/>
      <c r="N1129" s="166"/>
      <c r="O1129" s="166"/>
      <c r="P1129" s="166"/>
      <c r="Q1129" s="76"/>
      <c r="R1129" s="76"/>
      <c r="S1129" s="76"/>
      <c r="T1129" s="76"/>
      <c r="U1129" s="76"/>
      <c r="V1129" s="76"/>
    </row>
    <row r="1130" spans="2:22" x14ac:dyDescent="0.2">
      <c r="B1130" s="165" t="s">
        <v>10180</v>
      </c>
      <c r="C1130" s="165"/>
      <c r="D1130" s="165"/>
      <c r="E1130" s="165"/>
      <c r="F1130" s="165"/>
      <c r="G1130" s="165"/>
      <c r="H1130" s="165"/>
      <c r="I1130" s="165"/>
      <c r="J1130" s="165"/>
      <c r="K1130" s="165"/>
      <c r="L1130" s="165"/>
      <c r="M1130" s="165"/>
      <c r="N1130" s="165"/>
      <c r="O1130" s="165"/>
      <c r="P1130" s="165"/>
      <c r="Q1130" s="73"/>
      <c r="R1130" s="23"/>
      <c r="S1130" s="23"/>
      <c r="T1130" s="73"/>
      <c r="U1130" s="73"/>
      <c r="V1130" s="73"/>
    </row>
    <row r="1131" spans="2:22" x14ac:dyDescent="0.2">
      <c r="B1131" s="73" t="s">
        <v>10180</v>
      </c>
      <c r="C1131" s="33" t="s">
        <v>1024</v>
      </c>
      <c r="D1131" s="23" t="s">
        <v>1025</v>
      </c>
      <c r="E1131" s="73"/>
      <c r="F1131" s="73"/>
      <c r="G1131" s="73"/>
      <c r="H1131" s="73"/>
      <c r="I1131" s="73"/>
      <c r="J1131" s="33" t="s">
        <v>9374</v>
      </c>
      <c r="K1131" s="33" t="s">
        <v>9375</v>
      </c>
      <c r="L1131" s="33" t="s">
        <v>121</v>
      </c>
      <c r="M1131" s="33" t="s">
        <v>9376</v>
      </c>
      <c r="N1131" s="73"/>
      <c r="O1131" s="73"/>
      <c r="P1131" s="73"/>
      <c r="Q1131" s="75"/>
      <c r="R1131" s="75"/>
      <c r="S1131" s="75"/>
      <c r="T1131" s="75"/>
      <c r="U1131" s="75"/>
      <c r="V1131" s="75"/>
    </row>
    <row r="1132" spans="2:22" x14ac:dyDescent="0.2">
      <c r="B1132" s="166"/>
      <c r="C1132" s="166"/>
      <c r="D1132" s="166"/>
      <c r="E1132" s="166"/>
      <c r="F1132" s="166"/>
      <c r="G1132" s="166"/>
      <c r="H1132" s="166"/>
      <c r="I1132" s="166"/>
      <c r="J1132" s="166"/>
      <c r="K1132" s="166"/>
      <c r="L1132" s="166"/>
      <c r="M1132" s="166"/>
      <c r="N1132" s="166"/>
      <c r="O1132" s="166"/>
      <c r="P1132" s="166"/>
      <c r="Q1132" s="76"/>
      <c r="R1132" s="76"/>
      <c r="S1132" s="76"/>
      <c r="T1132" s="76"/>
      <c r="U1132" s="76"/>
      <c r="V1132" s="76"/>
    </row>
    <row r="1133" spans="2:22" x14ac:dyDescent="0.2">
      <c r="B1133" s="165" t="s">
        <v>10183</v>
      </c>
      <c r="C1133" s="165"/>
      <c r="D1133" s="165"/>
      <c r="E1133" s="165"/>
      <c r="F1133" s="165"/>
      <c r="G1133" s="165"/>
      <c r="H1133" s="165"/>
      <c r="I1133" s="165"/>
      <c r="J1133" s="165"/>
      <c r="K1133" s="165"/>
      <c r="L1133" s="165"/>
      <c r="M1133" s="165"/>
      <c r="N1133" s="165"/>
      <c r="O1133" s="165"/>
      <c r="P1133" s="165"/>
      <c r="Q1133" s="73"/>
      <c r="R1133" s="23"/>
      <c r="S1133" s="23"/>
      <c r="T1133" s="73"/>
      <c r="U1133" s="73"/>
      <c r="V1133" s="73"/>
    </row>
    <row r="1134" spans="2:22" x14ac:dyDescent="0.2">
      <c r="B1134" s="73" t="s">
        <v>10183</v>
      </c>
      <c r="C1134" s="33" t="s">
        <v>1026</v>
      </c>
      <c r="D1134" s="23" t="s">
        <v>1027</v>
      </c>
      <c r="E1134" s="73"/>
      <c r="F1134" s="73"/>
      <c r="G1134" s="73"/>
      <c r="H1134" s="73"/>
      <c r="I1134" s="73"/>
      <c r="J1134" s="33" t="s">
        <v>9374</v>
      </c>
      <c r="K1134" s="33" t="s">
        <v>11016</v>
      </c>
      <c r="L1134" s="33" t="s">
        <v>121</v>
      </c>
      <c r="M1134" s="33" t="s">
        <v>9376</v>
      </c>
      <c r="N1134" s="73"/>
      <c r="O1134" s="73"/>
      <c r="P1134" s="73"/>
      <c r="Q1134" s="75"/>
      <c r="R1134" s="75"/>
      <c r="S1134" s="75"/>
      <c r="T1134" s="75"/>
      <c r="U1134" s="75"/>
      <c r="V1134" s="75"/>
    </row>
    <row r="1135" spans="2:22" x14ac:dyDescent="0.2">
      <c r="B1135" s="166"/>
      <c r="C1135" s="166"/>
      <c r="D1135" s="166"/>
      <c r="E1135" s="166"/>
      <c r="F1135" s="166"/>
      <c r="G1135" s="166"/>
      <c r="H1135" s="166"/>
      <c r="I1135" s="166"/>
      <c r="J1135" s="166"/>
      <c r="K1135" s="166"/>
      <c r="L1135" s="166"/>
      <c r="M1135" s="166"/>
      <c r="N1135" s="166"/>
      <c r="O1135" s="166"/>
      <c r="P1135" s="166"/>
      <c r="Q1135" s="76"/>
      <c r="R1135" s="76"/>
      <c r="S1135" s="76"/>
      <c r="T1135" s="76"/>
      <c r="U1135" s="76"/>
      <c r="V1135" s="76"/>
    </row>
    <row r="1136" spans="2:22" x14ac:dyDescent="0.2">
      <c r="B1136" s="165" t="s">
        <v>10185</v>
      </c>
      <c r="C1136" s="165"/>
      <c r="D1136" s="165"/>
      <c r="E1136" s="165"/>
      <c r="F1136" s="165"/>
      <c r="G1136" s="165"/>
      <c r="H1136" s="165"/>
      <c r="I1136" s="165"/>
      <c r="J1136" s="165"/>
      <c r="K1136" s="165"/>
      <c r="L1136" s="165"/>
      <c r="M1136" s="165"/>
      <c r="N1136" s="165"/>
      <c r="O1136" s="165"/>
      <c r="P1136" s="165"/>
      <c r="Q1136" s="73"/>
      <c r="R1136" s="23"/>
      <c r="S1136" s="23"/>
      <c r="T1136" s="73"/>
      <c r="U1136" s="73"/>
      <c r="V1136" s="73"/>
    </row>
    <row r="1137" spans="2:22" x14ac:dyDescent="0.2">
      <c r="B1137" s="73" t="s">
        <v>10185</v>
      </c>
      <c r="C1137" s="33" t="s">
        <v>1028</v>
      </c>
      <c r="D1137" s="23" t="s">
        <v>1029</v>
      </c>
      <c r="E1137" s="73"/>
      <c r="F1137" s="73"/>
      <c r="G1137" s="73"/>
      <c r="H1137" s="73"/>
      <c r="I1137" s="73"/>
      <c r="J1137" s="33" t="s">
        <v>9374</v>
      </c>
      <c r="K1137" s="33" t="s">
        <v>9375</v>
      </c>
      <c r="L1137" s="33" t="s">
        <v>121</v>
      </c>
      <c r="M1137" s="33" t="s">
        <v>9376</v>
      </c>
      <c r="N1137" s="73"/>
      <c r="O1137" s="73"/>
      <c r="P1137" s="73"/>
      <c r="Q1137" s="75"/>
      <c r="R1137" s="75"/>
      <c r="S1137" s="75"/>
      <c r="T1137" s="75"/>
      <c r="U1137" s="75"/>
      <c r="V1137" s="75"/>
    </row>
    <row r="1138" spans="2:22" x14ac:dyDescent="0.2">
      <c r="B1138" s="166"/>
      <c r="C1138" s="166"/>
      <c r="D1138" s="166"/>
      <c r="E1138" s="166"/>
      <c r="F1138" s="166"/>
      <c r="G1138" s="166"/>
      <c r="H1138" s="166"/>
      <c r="I1138" s="166"/>
      <c r="J1138" s="166"/>
      <c r="K1138" s="166"/>
      <c r="L1138" s="166"/>
      <c r="M1138" s="166"/>
      <c r="N1138" s="166"/>
      <c r="O1138" s="166"/>
      <c r="P1138" s="166"/>
      <c r="Q1138" s="76"/>
      <c r="R1138" s="76"/>
      <c r="S1138" s="76"/>
      <c r="T1138" s="76"/>
      <c r="U1138" s="76"/>
      <c r="V1138" s="76"/>
    </row>
    <row r="1139" spans="2:22" x14ac:dyDescent="0.2">
      <c r="B1139" s="165" t="s">
        <v>10187</v>
      </c>
      <c r="C1139" s="165"/>
      <c r="D1139" s="165"/>
      <c r="E1139" s="165"/>
      <c r="F1139" s="165"/>
      <c r="G1139" s="165"/>
      <c r="H1139" s="165"/>
      <c r="I1139" s="165"/>
      <c r="J1139" s="165"/>
      <c r="K1139" s="165"/>
      <c r="L1139" s="165"/>
      <c r="M1139" s="165"/>
      <c r="N1139" s="165"/>
      <c r="O1139" s="165"/>
      <c r="P1139" s="165"/>
      <c r="Q1139" s="73"/>
      <c r="R1139" s="23"/>
      <c r="S1139" s="23"/>
      <c r="T1139" s="73"/>
      <c r="U1139" s="73"/>
      <c r="V1139" s="73"/>
    </row>
    <row r="1140" spans="2:22" x14ac:dyDescent="0.2">
      <c r="B1140" s="73" t="s">
        <v>10187</v>
      </c>
      <c r="C1140" s="33" t="s">
        <v>1030</v>
      </c>
      <c r="D1140" s="23" t="s">
        <v>1031</v>
      </c>
      <c r="E1140" s="73"/>
      <c r="F1140" s="73"/>
      <c r="G1140" s="73"/>
      <c r="H1140" s="73"/>
      <c r="I1140" s="73"/>
      <c r="J1140" s="33" t="s">
        <v>9374</v>
      </c>
      <c r="K1140" s="33" t="s">
        <v>9375</v>
      </c>
      <c r="L1140" s="33" t="s">
        <v>121</v>
      </c>
      <c r="M1140" s="33" t="s">
        <v>9376</v>
      </c>
      <c r="N1140" s="73"/>
      <c r="O1140" s="73"/>
      <c r="P1140" s="73"/>
      <c r="Q1140" s="75"/>
      <c r="R1140" s="75"/>
      <c r="S1140" s="75"/>
      <c r="T1140" s="75"/>
      <c r="U1140" s="75"/>
      <c r="V1140" s="75"/>
    </row>
    <row r="1141" spans="2:22" x14ac:dyDescent="0.2">
      <c r="B1141" s="166"/>
      <c r="C1141" s="166"/>
      <c r="D1141" s="166"/>
      <c r="E1141" s="166"/>
      <c r="F1141" s="166"/>
      <c r="G1141" s="166"/>
      <c r="H1141" s="166"/>
      <c r="I1141" s="166"/>
      <c r="J1141" s="166"/>
      <c r="K1141" s="166"/>
      <c r="L1141" s="166"/>
      <c r="M1141" s="166"/>
      <c r="N1141" s="166"/>
      <c r="O1141" s="166"/>
      <c r="P1141" s="166"/>
      <c r="Q1141" s="76"/>
      <c r="R1141" s="76"/>
      <c r="S1141" s="76"/>
      <c r="T1141" s="76"/>
      <c r="U1141" s="76"/>
      <c r="V1141" s="76"/>
    </row>
    <row r="1142" spans="2:22" x14ac:dyDescent="0.2">
      <c r="B1142" s="165" t="s">
        <v>10190</v>
      </c>
      <c r="C1142" s="165"/>
      <c r="D1142" s="165"/>
      <c r="E1142" s="165"/>
      <c r="F1142" s="165"/>
      <c r="G1142" s="165"/>
      <c r="H1142" s="165"/>
      <c r="I1142" s="165"/>
      <c r="J1142" s="165"/>
      <c r="K1142" s="165"/>
      <c r="L1142" s="165"/>
      <c r="M1142" s="165"/>
      <c r="N1142" s="165"/>
      <c r="O1142" s="165"/>
      <c r="P1142" s="165"/>
      <c r="Q1142" s="73"/>
      <c r="R1142" s="23"/>
      <c r="S1142" s="23"/>
      <c r="T1142" s="73"/>
      <c r="U1142" s="73"/>
      <c r="V1142" s="73"/>
    </row>
    <row r="1143" spans="2:22" x14ac:dyDescent="0.2">
      <c r="B1143" s="73" t="s">
        <v>10190</v>
      </c>
      <c r="C1143" s="33" t="s">
        <v>1033</v>
      </c>
      <c r="D1143" s="23" t="s">
        <v>1034</v>
      </c>
      <c r="E1143" s="73"/>
      <c r="F1143" s="73"/>
      <c r="G1143" s="73"/>
      <c r="H1143" s="73"/>
      <c r="I1143" s="73"/>
      <c r="J1143" s="33" t="s">
        <v>9374</v>
      </c>
      <c r="K1143" s="33" t="s">
        <v>9375</v>
      </c>
      <c r="L1143" s="33" t="s">
        <v>121</v>
      </c>
      <c r="M1143" s="33" t="s">
        <v>9376</v>
      </c>
      <c r="N1143" s="73"/>
      <c r="O1143" s="73"/>
      <c r="P1143" s="73"/>
      <c r="Q1143" s="73"/>
      <c r="R1143" s="23"/>
      <c r="S1143" s="23"/>
      <c r="T1143" s="73"/>
      <c r="U1143" s="73"/>
      <c r="V1143" s="73"/>
    </row>
    <row r="1144" spans="2:22" x14ac:dyDescent="0.2">
      <c r="B1144" s="166"/>
      <c r="C1144" s="166"/>
      <c r="D1144" s="166"/>
      <c r="E1144" s="166"/>
      <c r="F1144" s="166"/>
      <c r="G1144" s="166"/>
      <c r="H1144" s="166"/>
      <c r="I1144" s="166"/>
      <c r="J1144" s="166"/>
      <c r="K1144" s="166"/>
      <c r="L1144" s="166"/>
      <c r="M1144" s="166"/>
      <c r="N1144" s="166"/>
      <c r="O1144" s="166"/>
      <c r="P1144" s="166"/>
      <c r="Q1144" s="75"/>
      <c r="R1144" s="75"/>
      <c r="S1144" s="75"/>
      <c r="T1144" s="75"/>
      <c r="U1144" s="75"/>
      <c r="V1144" s="75"/>
    </row>
    <row r="1145" spans="2:22" x14ac:dyDescent="0.2">
      <c r="B1145" s="165" t="s">
        <v>10195</v>
      </c>
      <c r="C1145" s="165"/>
      <c r="D1145" s="165"/>
      <c r="E1145" s="165"/>
      <c r="F1145" s="165"/>
      <c r="G1145" s="165"/>
      <c r="H1145" s="165"/>
      <c r="I1145" s="165"/>
      <c r="J1145" s="165"/>
      <c r="K1145" s="165"/>
      <c r="L1145" s="165"/>
      <c r="M1145" s="165"/>
      <c r="N1145" s="165"/>
      <c r="O1145" s="165"/>
      <c r="P1145" s="165"/>
      <c r="Q1145" s="76"/>
      <c r="R1145" s="76"/>
      <c r="S1145" s="76"/>
      <c r="T1145" s="76"/>
      <c r="U1145" s="76"/>
      <c r="V1145" s="76"/>
    </row>
    <row r="1146" spans="2:22" x14ac:dyDescent="0.2">
      <c r="B1146" s="73" t="s">
        <v>10195</v>
      </c>
      <c r="C1146" s="33" t="s">
        <v>1035</v>
      </c>
      <c r="D1146" s="23" t="s">
        <v>1036</v>
      </c>
      <c r="E1146" s="73"/>
      <c r="F1146" s="73"/>
      <c r="G1146" s="73"/>
      <c r="H1146" s="73"/>
      <c r="I1146" s="73"/>
      <c r="J1146" s="33" t="s">
        <v>9374</v>
      </c>
      <c r="K1146" s="33" t="s">
        <v>11016</v>
      </c>
      <c r="L1146" s="33" t="s">
        <v>121</v>
      </c>
      <c r="M1146" s="33" t="s">
        <v>9376</v>
      </c>
      <c r="N1146" s="73"/>
      <c r="O1146" s="73"/>
      <c r="P1146" s="73"/>
      <c r="Q1146" s="73"/>
      <c r="R1146" s="23"/>
      <c r="S1146" s="23"/>
      <c r="T1146" s="73"/>
      <c r="U1146" s="73"/>
      <c r="V1146" s="73"/>
    </row>
    <row r="1147" spans="2:22" x14ac:dyDescent="0.2">
      <c r="B1147" s="166"/>
      <c r="C1147" s="166"/>
      <c r="D1147" s="166"/>
      <c r="E1147" s="166"/>
      <c r="F1147" s="166"/>
      <c r="G1147" s="166"/>
      <c r="H1147" s="166"/>
      <c r="I1147" s="166"/>
      <c r="J1147" s="166"/>
      <c r="K1147" s="166"/>
      <c r="L1147" s="166"/>
      <c r="M1147" s="166"/>
      <c r="N1147" s="166"/>
      <c r="O1147" s="166"/>
      <c r="P1147" s="166"/>
      <c r="Q1147" s="73"/>
      <c r="R1147" s="23"/>
      <c r="S1147" s="23"/>
      <c r="T1147" s="73"/>
      <c r="U1147" s="73"/>
      <c r="V1147" s="73"/>
    </row>
    <row r="1148" spans="2:22" x14ac:dyDescent="0.2">
      <c r="B1148" s="165" t="s">
        <v>10198</v>
      </c>
      <c r="C1148" s="165"/>
      <c r="D1148" s="165"/>
      <c r="E1148" s="165"/>
      <c r="F1148" s="165"/>
      <c r="G1148" s="165"/>
      <c r="H1148" s="165"/>
      <c r="I1148" s="165"/>
      <c r="J1148" s="165"/>
      <c r="K1148" s="165"/>
      <c r="L1148" s="165"/>
      <c r="M1148" s="165"/>
      <c r="N1148" s="165"/>
      <c r="O1148" s="165"/>
      <c r="P1148" s="165"/>
      <c r="Q1148" s="73"/>
      <c r="R1148" s="23"/>
      <c r="S1148" s="23"/>
      <c r="T1148" s="73"/>
      <c r="U1148" s="73"/>
      <c r="V1148" s="73"/>
    </row>
    <row r="1149" spans="2:22" x14ac:dyDescent="0.2">
      <c r="B1149" s="73" t="s">
        <v>10198</v>
      </c>
      <c r="C1149" s="33" t="s">
        <v>1037</v>
      </c>
      <c r="D1149" s="23" t="s">
        <v>1038</v>
      </c>
      <c r="E1149" s="73"/>
      <c r="F1149" s="73"/>
      <c r="G1149" s="73"/>
      <c r="H1149" s="73"/>
      <c r="I1149" s="73"/>
      <c r="J1149" s="33" t="s">
        <v>9374</v>
      </c>
      <c r="K1149" s="33" t="s">
        <v>11016</v>
      </c>
      <c r="L1149" s="33" t="s">
        <v>121</v>
      </c>
      <c r="M1149" s="33" t="s">
        <v>9376</v>
      </c>
      <c r="N1149" s="73"/>
      <c r="O1149" s="73"/>
      <c r="P1149" s="73"/>
      <c r="Q1149" s="75"/>
      <c r="R1149" s="75"/>
      <c r="S1149" s="75"/>
      <c r="T1149" s="75"/>
      <c r="U1149" s="75"/>
      <c r="V1149" s="75"/>
    </row>
    <row r="1150" spans="2:22" x14ac:dyDescent="0.2">
      <c r="B1150" s="166"/>
      <c r="C1150" s="166"/>
      <c r="D1150" s="166"/>
      <c r="E1150" s="166"/>
      <c r="F1150" s="166"/>
      <c r="G1150" s="166"/>
      <c r="H1150" s="166"/>
      <c r="I1150" s="166"/>
      <c r="J1150" s="166"/>
      <c r="K1150" s="166"/>
      <c r="L1150" s="166"/>
      <c r="M1150" s="166"/>
      <c r="N1150" s="166"/>
      <c r="O1150" s="166"/>
      <c r="P1150" s="166"/>
      <c r="Q1150" s="76"/>
      <c r="R1150" s="76"/>
      <c r="S1150" s="76"/>
      <c r="T1150" s="76"/>
      <c r="U1150" s="76"/>
      <c r="V1150" s="76"/>
    </row>
    <row r="1151" spans="2:22" x14ac:dyDescent="0.2">
      <c r="B1151" s="165" t="s">
        <v>10201</v>
      </c>
      <c r="C1151" s="165"/>
      <c r="D1151" s="165"/>
      <c r="E1151" s="165"/>
      <c r="F1151" s="165"/>
      <c r="G1151" s="165"/>
      <c r="H1151" s="165"/>
      <c r="I1151" s="165"/>
      <c r="J1151" s="165"/>
      <c r="K1151" s="165"/>
      <c r="L1151" s="165"/>
      <c r="M1151" s="165"/>
      <c r="N1151" s="165"/>
      <c r="O1151" s="165"/>
      <c r="P1151" s="165"/>
      <c r="Q1151" s="73"/>
      <c r="R1151" s="23"/>
      <c r="S1151" s="23"/>
      <c r="T1151" s="73"/>
      <c r="U1151" s="73"/>
      <c r="V1151" s="73"/>
    </row>
    <row r="1152" spans="2:22" x14ac:dyDescent="0.2">
      <c r="B1152" s="73" t="s">
        <v>10201</v>
      </c>
      <c r="C1152" s="33" t="s">
        <v>1039</v>
      </c>
      <c r="D1152" s="23" t="s">
        <v>1040</v>
      </c>
      <c r="E1152" s="73"/>
      <c r="F1152" s="73"/>
      <c r="G1152" s="73"/>
      <c r="H1152" s="73"/>
      <c r="I1152" s="73"/>
      <c r="J1152" s="33" t="s">
        <v>9374</v>
      </c>
      <c r="K1152" s="33" t="s">
        <v>11016</v>
      </c>
      <c r="L1152" s="33" t="s">
        <v>121</v>
      </c>
      <c r="M1152" s="33" t="s">
        <v>9376</v>
      </c>
      <c r="N1152" s="73"/>
      <c r="O1152" s="73"/>
      <c r="P1152" s="73"/>
      <c r="Q1152" s="73"/>
      <c r="R1152" s="23"/>
      <c r="S1152" s="23"/>
      <c r="T1152" s="73"/>
      <c r="U1152" s="73"/>
      <c r="V1152" s="73"/>
    </row>
    <row r="1153" spans="2:22" x14ac:dyDescent="0.2">
      <c r="B1153" s="166"/>
      <c r="C1153" s="166"/>
      <c r="D1153" s="166"/>
      <c r="E1153" s="166"/>
      <c r="F1153" s="166"/>
      <c r="G1153" s="166"/>
      <c r="H1153" s="166"/>
      <c r="I1153" s="166"/>
      <c r="J1153" s="166"/>
      <c r="K1153" s="166"/>
      <c r="L1153" s="166"/>
      <c r="M1153" s="166"/>
      <c r="N1153" s="166"/>
      <c r="O1153" s="166"/>
      <c r="P1153" s="166"/>
      <c r="Q1153" s="73"/>
      <c r="R1153" s="23"/>
      <c r="S1153" s="23"/>
      <c r="T1153" s="73"/>
      <c r="U1153" s="73"/>
      <c r="V1153" s="73"/>
    </row>
    <row r="1154" spans="2:22" x14ac:dyDescent="0.2">
      <c r="B1154" s="165" t="s">
        <v>10204</v>
      </c>
      <c r="C1154" s="165"/>
      <c r="D1154" s="165"/>
      <c r="E1154" s="165"/>
      <c r="F1154" s="165"/>
      <c r="G1154" s="165"/>
      <c r="H1154" s="165"/>
      <c r="I1154" s="165"/>
      <c r="J1154" s="165"/>
      <c r="K1154" s="165"/>
      <c r="L1154" s="165"/>
      <c r="M1154" s="165"/>
      <c r="N1154" s="165"/>
      <c r="O1154" s="165"/>
      <c r="P1154" s="165"/>
      <c r="Q1154" s="73"/>
      <c r="R1154" s="23"/>
      <c r="S1154" s="23"/>
      <c r="T1154" s="73"/>
      <c r="U1154" s="73"/>
      <c r="V1154" s="73"/>
    </row>
    <row r="1155" spans="2:22" x14ac:dyDescent="0.2">
      <c r="B1155" s="73" t="s">
        <v>10204</v>
      </c>
      <c r="C1155" s="33" t="s">
        <v>1041</v>
      </c>
      <c r="D1155" s="23" t="s">
        <v>1042</v>
      </c>
      <c r="E1155" s="73"/>
      <c r="F1155" s="73"/>
      <c r="G1155" s="73"/>
      <c r="H1155" s="73"/>
      <c r="I1155" s="73"/>
      <c r="J1155" s="33" t="s">
        <v>9374</v>
      </c>
      <c r="K1155" s="33" t="s">
        <v>9375</v>
      </c>
      <c r="L1155" s="33" t="s">
        <v>121</v>
      </c>
      <c r="M1155" s="33" t="s">
        <v>9376</v>
      </c>
      <c r="N1155" s="73"/>
      <c r="O1155" s="73"/>
      <c r="P1155" s="73"/>
      <c r="Q1155" s="75"/>
      <c r="R1155" s="75"/>
      <c r="S1155" s="75"/>
      <c r="T1155" s="75"/>
      <c r="U1155" s="75"/>
      <c r="V1155" s="75"/>
    </row>
    <row r="1156" spans="2:22" x14ac:dyDescent="0.2">
      <c r="B1156" s="73" t="s">
        <v>10204</v>
      </c>
      <c r="C1156" s="33" t="s">
        <v>2131</v>
      </c>
      <c r="D1156" s="23" t="s">
        <v>2132</v>
      </c>
      <c r="E1156" s="73" t="s">
        <v>11124</v>
      </c>
      <c r="F1156" s="73" t="s">
        <v>10902</v>
      </c>
      <c r="G1156" s="73"/>
      <c r="H1156" s="73" t="s">
        <v>11125</v>
      </c>
      <c r="I1156" s="73" t="s">
        <v>11149</v>
      </c>
      <c r="J1156" s="33" t="s">
        <v>9374</v>
      </c>
      <c r="K1156" s="33" t="s">
        <v>9375</v>
      </c>
      <c r="L1156" s="33" t="s">
        <v>121</v>
      </c>
      <c r="M1156" s="33" t="s">
        <v>9376</v>
      </c>
      <c r="N1156" s="73"/>
      <c r="O1156" s="73"/>
      <c r="P1156" s="73"/>
      <c r="Q1156" s="76"/>
      <c r="R1156" s="76"/>
      <c r="S1156" s="76"/>
      <c r="T1156" s="76"/>
      <c r="U1156" s="76"/>
      <c r="V1156" s="76"/>
    </row>
    <row r="1157" spans="2:22" x14ac:dyDescent="0.2">
      <c r="B1157" s="73" t="s">
        <v>10204</v>
      </c>
      <c r="C1157" s="33" t="s">
        <v>2133</v>
      </c>
      <c r="D1157" s="23" t="s">
        <v>2134</v>
      </c>
      <c r="E1157" s="73" t="s">
        <v>11130</v>
      </c>
      <c r="F1157" s="73" t="s">
        <v>10902</v>
      </c>
      <c r="G1157" s="73"/>
      <c r="H1157" s="73" t="s">
        <v>11131</v>
      </c>
      <c r="I1157" s="73" t="s">
        <v>11150</v>
      </c>
      <c r="J1157" s="33" t="s">
        <v>9374</v>
      </c>
      <c r="K1157" s="33" t="s">
        <v>9375</v>
      </c>
      <c r="L1157" s="33" t="s">
        <v>121</v>
      </c>
      <c r="M1157" s="33" t="s">
        <v>9376</v>
      </c>
      <c r="N1157" s="73"/>
      <c r="O1157" s="73"/>
      <c r="P1157" s="73"/>
      <c r="Q1157" s="73"/>
      <c r="R1157" s="23"/>
      <c r="S1157" s="23"/>
      <c r="T1157" s="73"/>
      <c r="U1157" s="73"/>
      <c r="V1157" s="73"/>
    </row>
    <row r="1158" spans="2:22" x14ac:dyDescent="0.2">
      <c r="B1158" s="73" t="s">
        <v>10204</v>
      </c>
      <c r="C1158" s="33" t="s">
        <v>2135</v>
      </c>
      <c r="D1158" s="23" t="s">
        <v>2136</v>
      </c>
      <c r="E1158" s="73" t="s">
        <v>11140</v>
      </c>
      <c r="F1158" s="73" t="s">
        <v>10902</v>
      </c>
      <c r="G1158" s="73"/>
      <c r="H1158" s="73" t="s">
        <v>11141</v>
      </c>
      <c r="I1158" s="73" t="s">
        <v>11151</v>
      </c>
      <c r="J1158" s="33" t="s">
        <v>9374</v>
      </c>
      <c r="K1158" s="33" t="s">
        <v>9375</v>
      </c>
      <c r="L1158" s="33" t="s">
        <v>121</v>
      </c>
      <c r="M1158" s="33" t="s">
        <v>9376</v>
      </c>
      <c r="N1158" s="73"/>
      <c r="O1158" s="73"/>
      <c r="P1158" s="73"/>
      <c r="Q1158" s="75"/>
      <c r="R1158" s="75"/>
      <c r="S1158" s="75"/>
      <c r="T1158" s="75"/>
      <c r="U1158" s="75"/>
      <c r="V1158" s="75"/>
    </row>
    <row r="1159" spans="2:22" x14ac:dyDescent="0.2">
      <c r="B1159" s="166"/>
      <c r="C1159" s="166"/>
      <c r="D1159" s="166"/>
      <c r="E1159" s="166"/>
      <c r="F1159" s="166"/>
      <c r="G1159" s="166"/>
      <c r="H1159" s="166"/>
      <c r="I1159" s="166"/>
      <c r="J1159" s="166"/>
      <c r="K1159" s="166"/>
      <c r="L1159" s="166"/>
      <c r="M1159" s="166"/>
      <c r="N1159" s="166"/>
      <c r="O1159" s="166"/>
      <c r="P1159" s="166"/>
      <c r="Q1159" s="76"/>
      <c r="R1159" s="76"/>
      <c r="S1159" s="76"/>
      <c r="T1159" s="76"/>
      <c r="U1159" s="76"/>
      <c r="V1159" s="76"/>
    </row>
    <row r="1160" spans="2:22" x14ac:dyDescent="0.2">
      <c r="B1160" s="165" t="s">
        <v>10206</v>
      </c>
      <c r="C1160" s="165"/>
      <c r="D1160" s="165"/>
      <c r="E1160" s="165"/>
      <c r="F1160" s="165"/>
      <c r="G1160" s="165"/>
      <c r="H1160" s="165"/>
      <c r="I1160" s="165"/>
      <c r="J1160" s="165"/>
      <c r="K1160" s="165"/>
      <c r="L1160" s="165"/>
      <c r="M1160" s="165"/>
      <c r="N1160" s="165"/>
      <c r="O1160" s="165"/>
      <c r="P1160" s="165"/>
      <c r="Q1160" s="73"/>
      <c r="R1160" s="23"/>
      <c r="S1160" s="23"/>
      <c r="T1160" s="73"/>
      <c r="U1160" s="73"/>
      <c r="V1160" s="73"/>
    </row>
    <row r="1161" spans="2:22" x14ac:dyDescent="0.2">
      <c r="B1161" s="73" t="s">
        <v>10206</v>
      </c>
      <c r="C1161" s="33" t="s">
        <v>1043</v>
      </c>
      <c r="D1161" s="23" t="s">
        <v>1044</v>
      </c>
      <c r="E1161" s="73"/>
      <c r="F1161" s="73"/>
      <c r="G1161" s="73"/>
      <c r="H1161" s="73"/>
      <c r="I1161" s="73"/>
      <c r="J1161" s="33" t="s">
        <v>9374</v>
      </c>
      <c r="K1161" s="33" t="s">
        <v>11016</v>
      </c>
      <c r="L1161" s="33" t="s">
        <v>121</v>
      </c>
      <c r="M1161" s="33" t="s">
        <v>9376</v>
      </c>
      <c r="N1161" s="73"/>
      <c r="O1161" s="73"/>
      <c r="P1161" s="73"/>
      <c r="Q1161" s="73"/>
      <c r="R1161" s="23"/>
      <c r="S1161" s="23"/>
      <c r="T1161" s="73"/>
      <c r="U1161" s="73"/>
      <c r="V1161" s="73"/>
    </row>
    <row r="1162" spans="2:22" x14ac:dyDescent="0.2">
      <c r="B1162" s="166"/>
      <c r="C1162" s="166"/>
      <c r="D1162" s="166"/>
      <c r="E1162" s="166"/>
      <c r="F1162" s="166"/>
      <c r="G1162" s="166"/>
      <c r="H1162" s="166"/>
      <c r="I1162" s="166"/>
      <c r="J1162" s="166"/>
      <c r="K1162" s="166"/>
      <c r="L1162" s="166"/>
      <c r="M1162" s="166"/>
      <c r="N1162" s="166"/>
      <c r="O1162" s="166"/>
      <c r="P1162" s="166"/>
      <c r="Q1162" s="75"/>
      <c r="R1162" s="75"/>
      <c r="S1162" s="75"/>
      <c r="T1162" s="75"/>
      <c r="U1162" s="75"/>
      <c r="V1162" s="75"/>
    </row>
    <row r="1163" spans="2:22" x14ac:dyDescent="0.2">
      <c r="B1163" s="165" t="s">
        <v>10208</v>
      </c>
      <c r="C1163" s="165"/>
      <c r="D1163" s="165"/>
      <c r="E1163" s="165"/>
      <c r="F1163" s="165"/>
      <c r="G1163" s="165"/>
      <c r="H1163" s="165"/>
      <c r="I1163" s="165"/>
      <c r="J1163" s="165"/>
      <c r="K1163" s="165"/>
      <c r="L1163" s="165"/>
      <c r="M1163" s="165"/>
      <c r="N1163" s="165"/>
      <c r="O1163" s="165"/>
      <c r="P1163" s="165"/>
      <c r="Q1163" s="76"/>
      <c r="R1163" s="76"/>
      <c r="S1163" s="76"/>
      <c r="T1163" s="76"/>
      <c r="U1163" s="76"/>
      <c r="V1163" s="76"/>
    </row>
    <row r="1164" spans="2:22" x14ac:dyDescent="0.2">
      <c r="B1164" s="73" t="s">
        <v>10208</v>
      </c>
      <c r="C1164" s="33" t="s">
        <v>1045</v>
      </c>
      <c r="D1164" s="23" t="s">
        <v>1046</v>
      </c>
      <c r="E1164" s="73"/>
      <c r="F1164" s="73"/>
      <c r="G1164" s="73"/>
      <c r="H1164" s="73"/>
      <c r="I1164" s="73"/>
      <c r="J1164" s="33" t="s">
        <v>9374</v>
      </c>
      <c r="K1164" s="33" t="s">
        <v>11016</v>
      </c>
      <c r="L1164" s="33" t="s">
        <v>121</v>
      </c>
      <c r="M1164" s="33" t="s">
        <v>9376</v>
      </c>
      <c r="N1164" s="73"/>
      <c r="O1164" s="73"/>
      <c r="P1164" s="73"/>
      <c r="Q1164" s="73"/>
      <c r="R1164" s="23"/>
      <c r="S1164" s="23"/>
      <c r="T1164" s="73"/>
      <c r="U1164" s="73"/>
      <c r="V1164" s="73"/>
    </row>
    <row r="1165" spans="2:22" x14ac:dyDescent="0.2">
      <c r="B1165" s="166"/>
      <c r="C1165" s="166"/>
      <c r="D1165" s="166"/>
      <c r="E1165" s="166"/>
      <c r="F1165" s="166"/>
      <c r="G1165" s="166"/>
      <c r="H1165" s="166"/>
      <c r="I1165" s="166"/>
      <c r="J1165" s="166"/>
      <c r="K1165" s="166"/>
      <c r="L1165" s="166"/>
      <c r="M1165" s="166"/>
      <c r="N1165" s="166"/>
      <c r="O1165" s="166"/>
      <c r="P1165" s="166"/>
      <c r="Q1165" s="75"/>
      <c r="R1165" s="75"/>
      <c r="S1165" s="75"/>
      <c r="T1165" s="75"/>
      <c r="U1165" s="75"/>
      <c r="V1165" s="75"/>
    </row>
    <row r="1166" spans="2:22" x14ac:dyDescent="0.2">
      <c r="B1166" s="165" t="s">
        <v>10211</v>
      </c>
      <c r="C1166" s="165"/>
      <c r="D1166" s="165"/>
      <c r="E1166" s="165"/>
      <c r="F1166" s="165"/>
      <c r="G1166" s="165"/>
      <c r="H1166" s="165"/>
      <c r="I1166" s="165"/>
      <c r="J1166" s="165"/>
      <c r="K1166" s="165"/>
      <c r="L1166" s="165"/>
      <c r="M1166" s="165"/>
      <c r="N1166" s="165"/>
      <c r="O1166" s="165"/>
      <c r="P1166" s="165"/>
      <c r="Q1166" s="76"/>
      <c r="R1166" s="76"/>
      <c r="S1166" s="76"/>
      <c r="T1166" s="76"/>
      <c r="U1166" s="76"/>
      <c r="V1166" s="76"/>
    </row>
    <row r="1167" spans="2:22" x14ac:dyDescent="0.2">
      <c r="B1167" s="73" t="s">
        <v>10211</v>
      </c>
      <c r="C1167" s="33" t="s">
        <v>1047</v>
      </c>
      <c r="D1167" s="23" t="s">
        <v>1048</v>
      </c>
      <c r="E1167" s="73"/>
      <c r="F1167" s="73"/>
      <c r="G1167" s="73"/>
      <c r="H1167" s="73"/>
      <c r="I1167" s="73"/>
      <c r="J1167" s="33" t="s">
        <v>9374</v>
      </c>
      <c r="K1167" s="33" t="s">
        <v>9375</v>
      </c>
      <c r="L1167" s="33" t="s">
        <v>121</v>
      </c>
      <c r="M1167" s="33" t="s">
        <v>9376</v>
      </c>
      <c r="N1167" s="73"/>
      <c r="O1167" s="73"/>
      <c r="P1167" s="73"/>
      <c r="Q1167" s="73"/>
      <c r="R1167" s="23"/>
      <c r="S1167" s="23"/>
      <c r="T1167" s="73"/>
      <c r="U1167" s="73"/>
      <c r="V1167" s="73"/>
    </row>
    <row r="1168" spans="2:22" ht="61.2" x14ac:dyDescent="0.2">
      <c r="B1168" s="73" t="s">
        <v>10211</v>
      </c>
      <c r="C1168" s="33" t="s">
        <v>1738</v>
      </c>
      <c r="D1168" s="23" t="s">
        <v>1739</v>
      </c>
      <c r="E1168" s="73" t="s">
        <v>11152</v>
      </c>
      <c r="F1168" s="73" t="s">
        <v>10902</v>
      </c>
      <c r="G1168" s="73"/>
      <c r="H1168" s="73" t="s">
        <v>11153</v>
      </c>
      <c r="I1168" s="73" t="s">
        <v>11154</v>
      </c>
      <c r="J1168" s="33" t="s">
        <v>9374</v>
      </c>
      <c r="K1168" s="33" t="s">
        <v>9375</v>
      </c>
      <c r="L1168" s="33" t="s">
        <v>121</v>
      </c>
      <c r="M1168" s="33" t="s">
        <v>9376</v>
      </c>
      <c r="N1168" s="73"/>
      <c r="O1168" s="73"/>
      <c r="P1168" s="73"/>
      <c r="Q1168" s="75"/>
      <c r="R1168" s="75"/>
      <c r="S1168" s="75"/>
      <c r="T1168" s="75"/>
      <c r="U1168" s="75"/>
      <c r="V1168" s="75"/>
    </row>
    <row r="1169" spans="2:22" x14ac:dyDescent="0.2">
      <c r="B1169" s="73" t="s">
        <v>10211</v>
      </c>
      <c r="C1169" s="33" t="s">
        <v>2042</v>
      </c>
      <c r="D1169" s="23" t="s">
        <v>2043</v>
      </c>
      <c r="E1169" s="73" t="s">
        <v>11091</v>
      </c>
      <c r="F1169" s="73" t="s">
        <v>10902</v>
      </c>
      <c r="G1169" s="73"/>
      <c r="H1169" s="73" t="s">
        <v>11092</v>
      </c>
      <c r="I1169" s="73" t="s">
        <v>11155</v>
      </c>
      <c r="J1169" s="33" t="s">
        <v>9374</v>
      </c>
      <c r="K1169" s="33" t="s">
        <v>9375</v>
      </c>
      <c r="L1169" s="33" t="s">
        <v>121</v>
      </c>
      <c r="M1169" s="33" t="s">
        <v>9376</v>
      </c>
      <c r="N1169" s="73"/>
      <c r="O1169" s="73"/>
      <c r="P1169" s="73"/>
      <c r="Q1169" s="76"/>
      <c r="R1169" s="76"/>
      <c r="S1169" s="76"/>
      <c r="T1169" s="76"/>
      <c r="U1169" s="76"/>
      <c r="V1169" s="76"/>
    </row>
    <row r="1170" spans="2:22" x14ac:dyDescent="0.2">
      <c r="B1170" s="166"/>
      <c r="C1170" s="166"/>
      <c r="D1170" s="166"/>
      <c r="E1170" s="166"/>
      <c r="F1170" s="166"/>
      <c r="G1170" s="166"/>
      <c r="H1170" s="166"/>
      <c r="I1170" s="166"/>
      <c r="J1170" s="166"/>
      <c r="K1170" s="166"/>
      <c r="L1170" s="166"/>
      <c r="M1170" s="166"/>
      <c r="N1170" s="166"/>
      <c r="O1170" s="166"/>
      <c r="P1170" s="166"/>
      <c r="Q1170" s="73"/>
      <c r="R1170" s="23"/>
      <c r="S1170" s="23"/>
      <c r="T1170" s="73"/>
      <c r="U1170" s="73"/>
      <c r="V1170" s="73"/>
    </row>
    <row r="1171" spans="2:22" x14ac:dyDescent="0.2">
      <c r="B1171" s="165" t="s">
        <v>10214</v>
      </c>
      <c r="C1171" s="165"/>
      <c r="D1171" s="165"/>
      <c r="E1171" s="165"/>
      <c r="F1171" s="165"/>
      <c r="G1171" s="165"/>
      <c r="H1171" s="165"/>
      <c r="I1171" s="165"/>
      <c r="J1171" s="165"/>
      <c r="K1171" s="165"/>
      <c r="L1171" s="165"/>
      <c r="M1171" s="165"/>
      <c r="N1171" s="165"/>
      <c r="O1171" s="165"/>
      <c r="P1171" s="165"/>
      <c r="Q1171" s="73"/>
      <c r="R1171" s="23"/>
      <c r="S1171" s="23"/>
      <c r="T1171" s="73"/>
      <c r="U1171" s="73"/>
      <c r="V1171" s="73"/>
    </row>
    <row r="1172" spans="2:22" x14ac:dyDescent="0.2">
      <c r="B1172" s="73" t="s">
        <v>10214</v>
      </c>
      <c r="C1172" s="33" t="s">
        <v>1049</v>
      </c>
      <c r="D1172" s="23" t="s">
        <v>1050</v>
      </c>
      <c r="E1172" s="73"/>
      <c r="F1172" s="73"/>
      <c r="G1172" s="73"/>
      <c r="H1172" s="73"/>
      <c r="I1172" s="73"/>
      <c r="J1172" s="33" t="s">
        <v>9374</v>
      </c>
      <c r="K1172" s="33" t="s">
        <v>11016</v>
      </c>
      <c r="L1172" s="33" t="s">
        <v>121</v>
      </c>
      <c r="M1172" s="33" t="s">
        <v>9376</v>
      </c>
      <c r="N1172" s="73"/>
      <c r="O1172" s="73"/>
      <c r="P1172" s="73"/>
      <c r="Q1172" s="73"/>
      <c r="R1172" s="23"/>
      <c r="S1172" s="23"/>
      <c r="T1172" s="73"/>
      <c r="U1172" s="73"/>
      <c r="V1172" s="73"/>
    </row>
    <row r="1173" spans="2:22" x14ac:dyDescent="0.2">
      <c r="B1173" s="166"/>
      <c r="C1173" s="166"/>
      <c r="D1173" s="166"/>
      <c r="E1173" s="166"/>
      <c r="F1173" s="166"/>
      <c r="G1173" s="166"/>
      <c r="H1173" s="166"/>
      <c r="I1173" s="166"/>
      <c r="J1173" s="166"/>
      <c r="K1173" s="166"/>
      <c r="L1173" s="166"/>
      <c r="M1173" s="166"/>
      <c r="N1173" s="166"/>
      <c r="O1173" s="166"/>
      <c r="P1173" s="166"/>
      <c r="Q1173" s="73"/>
      <c r="R1173" s="23"/>
      <c r="S1173" s="23"/>
      <c r="T1173" s="73"/>
      <c r="U1173" s="73"/>
      <c r="V1173" s="73"/>
    </row>
    <row r="1174" spans="2:22" x14ac:dyDescent="0.2">
      <c r="B1174" s="165" t="s">
        <v>10216</v>
      </c>
      <c r="C1174" s="165"/>
      <c r="D1174" s="165"/>
      <c r="E1174" s="165"/>
      <c r="F1174" s="165"/>
      <c r="G1174" s="165"/>
      <c r="H1174" s="165"/>
      <c r="I1174" s="165"/>
      <c r="J1174" s="165"/>
      <c r="K1174" s="165"/>
      <c r="L1174" s="165"/>
      <c r="M1174" s="165"/>
      <c r="N1174" s="165"/>
      <c r="O1174" s="165"/>
      <c r="P1174" s="165"/>
      <c r="Q1174" s="73"/>
      <c r="R1174" s="23"/>
      <c r="S1174" s="23"/>
      <c r="T1174" s="73"/>
      <c r="U1174" s="73"/>
      <c r="V1174" s="73"/>
    </row>
    <row r="1175" spans="2:22" x14ac:dyDescent="0.2">
      <c r="B1175" s="73" t="s">
        <v>10216</v>
      </c>
      <c r="C1175" s="33" t="s">
        <v>1051</v>
      </c>
      <c r="D1175" s="23" t="s">
        <v>1052</v>
      </c>
      <c r="E1175" s="73"/>
      <c r="F1175" s="73"/>
      <c r="G1175" s="73"/>
      <c r="H1175" s="73"/>
      <c r="I1175" s="73"/>
      <c r="J1175" s="33" t="s">
        <v>9374</v>
      </c>
      <c r="K1175" s="33" t="s">
        <v>11016</v>
      </c>
      <c r="L1175" s="33" t="s">
        <v>121</v>
      </c>
      <c r="M1175" s="33" t="s">
        <v>9376</v>
      </c>
      <c r="N1175" s="73"/>
      <c r="O1175" s="73"/>
      <c r="P1175" s="73"/>
      <c r="Q1175" s="73"/>
      <c r="R1175" s="23"/>
      <c r="S1175" s="23"/>
      <c r="T1175" s="73"/>
      <c r="U1175" s="73"/>
      <c r="V1175" s="73"/>
    </row>
    <row r="1176" spans="2:22" x14ac:dyDescent="0.2">
      <c r="B1176" s="166"/>
      <c r="C1176" s="166"/>
      <c r="D1176" s="166"/>
      <c r="E1176" s="166"/>
      <c r="F1176" s="166"/>
      <c r="G1176" s="166"/>
      <c r="H1176" s="166"/>
      <c r="I1176" s="166"/>
      <c r="J1176" s="166"/>
      <c r="K1176" s="166"/>
      <c r="L1176" s="166"/>
      <c r="M1176" s="166"/>
      <c r="N1176" s="166"/>
      <c r="O1176" s="166"/>
      <c r="P1176" s="166"/>
      <c r="Q1176" s="73"/>
      <c r="R1176" s="23"/>
      <c r="S1176" s="23"/>
      <c r="T1176" s="73"/>
      <c r="U1176" s="73"/>
      <c r="V1176" s="73"/>
    </row>
    <row r="1177" spans="2:22" x14ac:dyDescent="0.2">
      <c r="B1177" s="165" t="s">
        <v>10218</v>
      </c>
      <c r="C1177" s="165"/>
      <c r="D1177" s="165"/>
      <c r="E1177" s="165"/>
      <c r="F1177" s="165"/>
      <c r="G1177" s="165"/>
      <c r="H1177" s="165"/>
      <c r="I1177" s="165"/>
      <c r="J1177" s="165"/>
      <c r="K1177" s="165"/>
      <c r="L1177" s="165"/>
      <c r="M1177" s="165"/>
      <c r="N1177" s="165"/>
      <c r="O1177" s="165"/>
      <c r="P1177" s="165"/>
      <c r="Q1177" s="75"/>
      <c r="R1177" s="75"/>
      <c r="S1177" s="75"/>
      <c r="T1177" s="75"/>
      <c r="U1177" s="75"/>
      <c r="V1177" s="75"/>
    </row>
    <row r="1178" spans="2:22" x14ac:dyDescent="0.2">
      <c r="B1178" s="73" t="s">
        <v>10218</v>
      </c>
      <c r="C1178" s="33" t="s">
        <v>1053</v>
      </c>
      <c r="D1178" s="23" t="s">
        <v>1054</v>
      </c>
      <c r="E1178" s="73"/>
      <c r="F1178" s="73"/>
      <c r="G1178" s="73"/>
      <c r="H1178" s="73"/>
      <c r="I1178" s="73"/>
      <c r="J1178" s="33" t="s">
        <v>9374</v>
      </c>
      <c r="K1178" s="33" t="s">
        <v>11016</v>
      </c>
      <c r="L1178" s="33" t="s">
        <v>121</v>
      </c>
      <c r="M1178" s="33" t="s">
        <v>9376</v>
      </c>
      <c r="N1178" s="73"/>
      <c r="O1178" s="73"/>
      <c r="P1178" s="73"/>
      <c r="Q1178" s="76"/>
      <c r="R1178" s="76"/>
      <c r="S1178" s="76"/>
      <c r="T1178" s="76"/>
      <c r="U1178" s="76"/>
      <c r="V1178" s="76"/>
    </row>
    <row r="1179" spans="2:22" x14ac:dyDescent="0.2">
      <c r="B1179" s="166"/>
      <c r="C1179" s="166"/>
      <c r="D1179" s="166"/>
      <c r="E1179" s="166"/>
      <c r="F1179" s="166"/>
      <c r="G1179" s="166"/>
      <c r="H1179" s="166"/>
      <c r="I1179" s="166"/>
      <c r="J1179" s="166"/>
      <c r="K1179" s="166"/>
      <c r="L1179" s="166"/>
      <c r="M1179" s="166"/>
      <c r="N1179" s="166"/>
      <c r="O1179" s="166"/>
      <c r="P1179" s="166"/>
      <c r="Q1179" s="73"/>
      <c r="R1179" s="23"/>
      <c r="S1179" s="23"/>
      <c r="T1179" s="73"/>
      <c r="U1179" s="73"/>
      <c r="V1179" s="73"/>
    </row>
    <row r="1180" spans="2:22" x14ac:dyDescent="0.2">
      <c r="B1180" s="165" t="s">
        <v>10221</v>
      </c>
      <c r="C1180" s="165"/>
      <c r="D1180" s="165"/>
      <c r="E1180" s="165"/>
      <c r="F1180" s="165"/>
      <c r="G1180" s="165"/>
      <c r="H1180" s="165"/>
      <c r="I1180" s="165"/>
      <c r="J1180" s="165"/>
      <c r="K1180" s="165"/>
      <c r="L1180" s="165"/>
      <c r="M1180" s="165"/>
      <c r="N1180" s="165"/>
      <c r="O1180" s="165"/>
      <c r="P1180" s="165"/>
      <c r="Q1180" s="75"/>
      <c r="R1180" s="75"/>
      <c r="S1180" s="75"/>
      <c r="T1180" s="75"/>
      <c r="U1180" s="75"/>
      <c r="V1180" s="75"/>
    </row>
    <row r="1181" spans="2:22" x14ac:dyDescent="0.2">
      <c r="B1181" s="73" t="s">
        <v>10221</v>
      </c>
      <c r="C1181" s="33" t="s">
        <v>1055</v>
      </c>
      <c r="D1181" s="23" t="s">
        <v>1056</v>
      </c>
      <c r="E1181" s="73"/>
      <c r="F1181" s="73"/>
      <c r="G1181" s="73"/>
      <c r="H1181" s="73"/>
      <c r="I1181" s="73"/>
      <c r="J1181" s="33" t="s">
        <v>9374</v>
      </c>
      <c r="K1181" s="33" t="s">
        <v>9375</v>
      </c>
      <c r="L1181" s="33" t="s">
        <v>121</v>
      </c>
      <c r="M1181" s="33" t="s">
        <v>9376</v>
      </c>
      <c r="N1181" s="73"/>
      <c r="O1181" s="73"/>
      <c r="P1181" s="73"/>
      <c r="Q1181" s="76"/>
      <c r="R1181" s="76"/>
      <c r="S1181" s="76"/>
      <c r="T1181" s="76"/>
      <c r="U1181" s="76"/>
      <c r="V1181" s="76"/>
    </row>
    <row r="1182" spans="2:22" ht="91.8" x14ac:dyDescent="0.2">
      <c r="B1182" s="73" t="s">
        <v>10221</v>
      </c>
      <c r="C1182" s="33" t="s">
        <v>1740</v>
      </c>
      <c r="D1182" s="23" t="s">
        <v>1741</v>
      </c>
      <c r="E1182" s="73" t="s">
        <v>10927</v>
      </c>
      <c r="F1182" s="73" t="s">
        <v>10902</v>
      </c>
      <c r="G1182" s="73"/>
      <c r="H1182" s="73" t="s">
        <v>10928</v>
      </c>
      <c r="I1182" s="73" t="s">
        <v>11156</v>
      </c>
      <c r="J1182" s="33" t="s">
        <v>9374</v>
      </c>
      <c r="K1182" s="33" t="s">
        <v>9375</v>
      </c>
      <c r="L1182" s="33" t="s">
        <v>121</v>
      </c>
      <c r="M1182" s="33" t="s">
        <v>9376</v>
      </c>
      <c r="N1182" s="73"/>
      <c r="O1182" s="73"/>
      <c r="P1182" s="73"/>
      <c r="Q1182" s="73"/>
      <c r="R1182" s="23"/>
      <c r="S1182" s="23"/>
      <c r="T1182" s="73"/>
      <c r="U1182" s="73"/>
      <c r="V1182" s="73"/>
    </row>
    <row r="1183" spans="2:22" x14ac:dyDescent="0.2">
      <c r="B1183" s="73" t="s">
        <v>10221</v>
      </c>
      <c r="C1183" s="33" t="s">
        <v>1742</v>
      </c>
      <c r="D1183" s="23" t="s">
        <v>1743</v>
      </c>
      <c r="E1183" s="73" t="s">
        <v>10927</v>
      </c>
      <c r="F1183" s="73" t="s">
        <v>10902</v>
      </c>
      <c r="G1183" s="73"/>
      <c r="H1183" s="73" t="s">
        <v>10928</v>
      </c>
      <c r="I1183" s="73" t="s">
        <v>11157</v>
      </c>
      <c r="J1183" s="33" t="s">
        <v>9374</v>
      </c>
      <c r="K1183" s="33" t="s">
        <v>9375</v>
      </c>
      <c r="L1183" s="33" t="s">
        <v>121</v>
      </c>
      <c r="M1183" s="33" t="s">
        <v>9376</v>
      </c>
      <c r="N1183" s="73"/>
      <c r="O1183" s="73"/>
      <c r="P1183" s="73"/>
      <c r="Q1183" s="73"/>
      <c r="R1183" s="23"/>
      <c r="S1183" s="23"/>
      <c r="T1183" s="73"/>
      <c r="U1183" s="73"/>
      <c r="V1183" s="73"/>
    </row>
    <row r="1184" spans="2:22" x14ac:dyDescent="0.2">
      <c r="B1184" s="166"/>
      <c r="C1184" s="166"/>
      <c r="D1184" s="166"/>
      <c r="E1184" s="166"/>
      <c r="F1184" s="166"/>
      <c r="G1184" s="166"/>
      <c r="H1184" s="166"/>
      <c r="I1184" s="166"/>
      <c r="J1184" s="166"/>
      <c r="K1184" s="166"/>
      <c r="L1184" s="166"/>
      <c r="M1184" s="166"/>
      <c r="N1184" s="166"/>
      <c r="O1184" s="166"/>
      <c r="P1184" s="166"/>
      <c r="Q1184" s="75"/>
      <c r="R1184" s="75"/>
      <c r="S1184" s="75"/>
      <c r="T1184" s="75"/>
      <c r="U1184" s="75"/>
      <c r="V1184" s="75"/>
    </row>
    <row r="1185" spans="2:22" x14ac:dyDescent="0.2">
      <c r="B1185" s="165" t="s">
        <v>10224</v>
      </c>
      <c r="C1185" s="165"/>
      <c r="D1185" s="165"/>
      <c r="E1185" s="165"/>
      <c r="F1185" s="165"/>
      <c r="G1185" s="165"/>
      <c r="H1185" s="165"/>
      <c r="I1185" s="165"/>
      <c r="J1185" s="165"/>
      <c r="K1185" s="165"/>
      <c r="L1185" s="165"/>
      <c r="M1185" s="165"/>
      <c r="N1185" s="165"/>
      <c r="O1185" s="165"/>
      <c r="P1185" s="165"/>
      <c r="Q1185" s="76"/>
      <c r="R1185" s="76"/>
      <c r="S1185" s="76"/>
      <c r="T1185" s="76"/>
      <c r="U1185" s="76"/>
      <c r="V1185" s="76"/>
    </row>
    <row r="1186" spans="2:22" x14ac:dyDescent="0.2">
      <c r="B1186" s="73" t="s">
        <v>10224</v>
      </c>
      <c r="C1186" s="33" t="s">
        <v>1057</v>
      </c>
      <c r="D1186" s="23" t="s">
        <v>1058</v>
      </c>
      <c r="E1186" s="73"/>
      <c r="F1186" s="73"/>
      <c r="G1186" s="73"/>
      <c r="H1186" s="73"/>
      <c r="I1186" s="73"/>
      <c r="J1186" s="33" t="s">
        <v>9374</v>
      </c>
      <c r="K1186" s="33" t="s">
        <v>11016</v>
      </c>
      <c r="L1186" s="33" t="s">
        <v>121</v>
      </c>
      <c r="M1186" s="33" t="s">
        <v>9376</v>
      </c>
      <c r="N1186" s="73"/>
      <c r="O1186" s="73"/>
      <c r="P1186" s="73"/>
      <c r="Q1186" s="73"/>
      <c r="R1186" s="23"/>
      <c r="S1186" s="23"/>
      <c r="T1186" s="73"/>
      <c r="U1186" s="73"/>
      <c r="V1186" s="73"/>
    </row>
    <row r="1187" spans="2:22" x14ac:dyDescent="0.2">
      <c r="B1187" s="166"/>
      <c r="C1187" s="166"/>
      <c r="D1187" s="166"/>
      <c r="E1187" s="166"/>
      <c r="F1187" s="166"/>
      <c r="G1187" s="166"/>
      <c r="H1187" s="166"/>
      <c r="I1187" s="166"/>
      <c r="J1187" s="166"/>
      <c r="K1187" s="166"/>
      <c r="L1187" s="166"/>
      <c r="M1187" s="166"/>
      <c r="N1187" s="166"/>
      <c r="O1187" s="166"/>
      <c r="P1187" s="166"/>
      <c r="Q1187" s="75"/>
      <c r="R1187" s="75"/>
      <c r="S1187" s="75"/>
      <c r="T1187" s="75"/>
      <c r="U1187" s="75"/>
      <c r="V1187" s="75"/>
    </row>
    <row r="1188" spans="2:22" x14ac:dyDescent="0.2">
      <c r="B1188" s="165" t="s">
        <v>10227</v>
      </c>
      <c r="C1188" s="165"/>
      <c r="D1188" s="165"/>
      <c r="E1188" s="165"/>
      <c r="F1188" s="165"/>
      <c r="G1188" s="165"/>
      <c r="H1188" s="165"/>
      <c r="I1188" s="165"/>
      <c r="J1188" s="165"/>
      <c r="K1188" s="165"/>
      <c r="L1188" s="165"/>
      <c r="M1188" s="165"/>
      <c r="N1188" s="165"/>
      <c r="O1188" s="165"/>
      <c r="P1188" s="165"/>
      <c r="Q1188" s="76"/>
      <c r="R1188" s="76"/>
      <c r="S1188" s="76"/>
      <c r="T1188" s="76"/>
      <c r="U1188" s="76"/>
      <c r="V1188" s="76"/>
    </row>
    <row r="1189" spans="2:22" x14ac:dyDescent="0.2">
      <c r="B1189" s="73" t="s">
        <v>10227</v>
      </c>
      <c r="C1189" s="33" t="s">
        <v>1059</v>
      </c>
      <c r="D1189" s="23" t="s">
        <v>1060</v>
      </c>
      <c r="E1189" s="73"/>
      <c r="F1189" s="73"/>
      <c r="G1189" s="73"/>
      <c r="H1189" s="73"/>
      <c r="I1189" s="73"/>
      <c r="J1189" s="33" t="s">
        <v>9374</v>
      </c>
      <c r="K1189" s="33" t="s">
        <v>11016</v>
      </c>
      <c r="L1189" s="33" t="s">
        <v>121</v>
      </c>
      <c r="M1189" s="33" t="s">
        <v>9376</v>
      </c>
      <c r="N1189" s="73"/>
      <c r="O1189" s="73"/>
      <c r="P1189" s="73"/>
      <c r="Q1189" s="73"/>
      <c r="R1189" s="23"/>
      <c r="S1189" s="23"/>
      <c r="T1189" s="73"/>
      <c r="U1189" s="73"/>
      <c r="V1189" s="73"/>
    </row>
    <row r="1190" spans="2:22" x14ac:dyDescent="0.2">
      <c r="B1190" s="166"/>
      <c r="C1190" s="166"/>
      <c r="D1190" s="166"/>
      <c r="E1190" s="166"/>
      <c r="F1190" s="166"/>
      <c r="G1190" s="166"/>
      <c r="H1190" s="166"/>
      <c r="I1190" s="166"/>
      <c r="J1190" s="166"/>
      <c r="K1190" s="166"/>
      <c r="L1190" s="166"/>
      <c r="M1190" s="166"/>
      <c r="N1190" s="166"/>
      <c r="O1190" s="166"/>
      <c r="P1190" s="166"/>
      <c r="Q1190" s="75"/>
      <c r="R1190" s="75"/>
      <c r="S1190" s="75"/>
      <c r="T1190" s="75"/>
      <c r="U1190" s="75"/>
      <c r="V1190" s="75"/>
    </row>
    <row r="1191" spans="2:22" x14ac:dyDescent="0.2">
      <c r="B1191" s="165" t="s">
        <v>10229</v>
      </c>
      <c r="C1191" s="165"/>
      <c r="D1191" s="165"/>
      <c r="E1191" s="165"/>
      <c r="F1191" s="165"/>
      <c r="G1191" s="165"/>
      <c r="H1191" s="165"/>
      <c r="I1191" s="165"/>
      <c r="J1191" s="165"/>
      <c r="K1191" s="165"/>
      <c r="L1191" s="165"/>
      <c r="M1191" s="165"/>
      <c r="N1191" s="165"/>
      <c r="O1191" s="165"/>
      <c r="P1191" s="165"/>
      <c r="Q1191" s="76"/>
      <c r="R1191" s="76"/>
      <c r="S1191" s="76"/>
      <c r="T1191" s="76"/>
      <c r="U1191" s="76"/>
      <c r="V1191" s="76"/>
    </row>
    <row r="1192" spans="2:22" x14ac:dyDescent="0.2">
      <c r="B1192" s="73" t="s">
        <v>10229</v>
      </c>
      <c r="C1192" s="33" t="s">
        <v>1061</v>
      </c>
      <c r="D1192" s="23" t="s">
        <v>1062</v>
      </c>
      <c r="E1192" s="73"/>
      <c r="F1192" s="73"/>
      <c r="G1192" s="73"/>
      <c r="H1192" s="73"/>
      <c r="I1192" s="73"/>
      <c r="J1192" s="33" t="s">
        <v>9374</v>
      </c>
      <c r="K1192" s="33" t="s">
        <v>11016</v>
      </c>
      <c r="L1192" s="33" t="s">
        <v>121</v>
      </c>
      <c r="M1192" s="33" t="s">
        <v>9376</v>
      </c>
      <c r="N1192" s="73"/>
      <c r="O1192" s="73"/>
      <c r="P1192" s="73"/>
      <c r="Q1192" s="73"/>
      <c r="R1192" s="23"/>
      <c r="S1192" s="23"/>
      <c r="T1192" s="73"/>
      <c r="U1192" s="73"/>
      <c r="V1192" s="73"/>
    </row>
    <row r="1193" spans="2:22" x14ac:dyDescent="0.2">
      <c r="B1193" s="166"/>
      <c r="C1193" s="166"/>
      <c r="D1193" s="166"/>
      <c r="E1193" s="166"/>
      <c r="F1193" s="166"/>
      <c r="G1193" s="166"/>
      <c r="H1193" s="166"/>
      <c r="I1193" s="166"/>
      <c r="J1193" s="166"/>
      <c r="K1193" s="166"/>
      <c r="L1193" s="166"/>
      <c r="M1193" s="166"/>
      <c r="N1193" s="166"/>
      <c r="O1193" s="166"/>
      <c r="P1193" s="166"/>
      <c r="Q1193" s="73"/>
      <c r="R1193" s="23"/>
      <c r="S1193" s="23"/>
      <c r="T1193" s="73"/>
      <c r="U1193" s="73"/>
      <c r="V1193" s="73"/>
    </row>
    <row r="1194" spans="2:22" x14ac:dyDescent="0.2">
      <c r="B1194" s="165" t="s">
        <v>10231</v>
      </c>
      <c r="C1194" s="165"/>
      <c r="D1194" s="165"/>
      <c r="E1194" s="165"/>
      <c r="F1194" s="165"/>
      <c r="G1194" s="165"/>
      <c r="H1194" s="165"/>
      <c r="I1194" s="165"/>
      <c r="J1194" s="165"/>
      <c r="K1194" s="165"/>
      <c r="L1194" s="165"/>
      <c r="M1194" s="165"/>
      <c r="N1194" s="165"/>
      <c r="O1194" s="165"/>
      <c r="P1194" s="165"/>
      <c r="Q1194" s="73"/>
      <c r="R1194" s="23"/>
      <c r="S1194" s="23"/>
      <c r="T1194" s="73"/>
      <c r="U1194" s="73"/>
      <c r="V1194" s="73"/>
    </row>
    <row r="1195" spans="2:22" x14ac:dyDescent="0.2">
      <c r="B1195" s="73" t="s">
        <v>10231</v>
      </c>
      <c r="C1195" s="33" t="s">
        <v>1063</v>
      </c>
      <c r="D1195" s="23" t="s">
        <v>1064</v>
      </c>
      <c r="E1195" s="73"/>
      <c r="F1195" s="73"/>
      <c r="G1195" s="73"/>
      <c r="H1195" s="73"/>
      <c r="I1195" s="73"/>
      <c r="J1195" s="33" t="s">
        <v>9374</v>
      </c>
      <c r="K1195" s="33" t="s">
        <v>11016</v>
      </c>
      <c r="L1195" s="33" t="s">
        <v>121</v>
      </c>
      <c r="M1195" s="33" t="s">
        <v>9376</v>
      </c>
      <c r="N1195" s="73"/>
      <c r="O1195" s="73"/>
      <c r="P1195" s="73"/>
      <c r="Q1195" s="73"/>
      <c r="R1195" s="23"/>
      <c r="S1195" s="23"/>
      <c r="T1195" s="73"/>
      <c r="U1195" s="73"/>
      <c r="V1195" s="73"/>
    </row>
    <row r="1196" spans="2:22" x14ac:dyDescent="0.2">
      <c r="B1196" s="166"/>
      <c r="C1196" s="166"/>
      <c r="D1196" s="166"/>
      <c r="E1196" s="166"/>
      <c r="F1196" s="166"/>
      <c r="G1196" s="166"/>
      <c r="H1196" s="166"/>
      <c r="I1196" s="166"/>
      <c r="J1196" s="166"/>
      <c r="K1196" s="166"/>
      <c r="L1196" s="166"/>
      <c r="M1196" s="166"/>
      <c r="N1196" s="166"/>
      <c r="O1196" s="166"/>
      <c r="P1196" s="166"/>
      <c r="Q1196" s="73"/>
      <c r="R1196" s="23"/>
      <c r="S1196" s="23"/>
      <c r="T1196" s="73"/>
      <c r="U1196" s="73"/>
      <c r="V1196" s="73"/>
    </row>
    <row r="1197" spans="2:22" x14ac:dyDescent="0.2">
      <c r="B1197" s="165" t="s">
        <v>10233</v>
      </c>
      <c r="C1197" s="165"/>
      <c r="D1197" s="165"/>
      <c r="E1197" s="165"/>
      <c r="F1197" s="165"/>
      <c r="G1197" s="165"/>
      <c r="H1197" s="165"/>
      <c r="I1197" s="165"/>
      <c r="J1197" s="165"/>
      <c r="K1197" s="165"/>
      <c r="L1197" s="165"/>
      <c r="M1197" s="165"/>
      <c r="N1197" s="165"/>
      <c r="O1197" s="165"/>
      <c r="P1197" s="165"/>
      <c r="Q1197" s="73"/>
      <c r="R1197" s="23"/>
      <c r="S1197" s="23"/>
      <c r="T1197" s="73"/>
      <c r="U1197" s="73"/>
      <c r="V1197" s="73"/>
    </row>
    <row r="1198" spans="2:22" x14ac:dyDescent="0.2">
      <c r="B1198" s="73" t="s">
        <v>10233</v>
      </c>
      <c r="C1198" s="33" t="s">
        <v>1065</v>
      </c>
      <c r="D1198" s="23" t="s">
        <v>1066</v>
      </c>
      <c r="E1198" s="73"/>
      <c r="F1198" s="73"/>
      <c r="G1198" s="73"/>
      <c r="H1198" s="73"/>
      <c r="I1198" s="73"/>
      <c r="J1198" s="33" t="s">
        <v>9374</v>
      </c>
      <c r="K1198" s="33" t="s">
        <v>11016</v>
      </c>
      <c r="L1198" s="33" t="s">
        <v>121</v>
      </c>
      <c r="M1198" s="33" t="s">
        <v>9376</v>
      </c>
      <c r="N1198" s="73"/>
      <c r="O1198" s="73"/>
      <c r="P1198" s="73"/>
      <c r="Q1198" s="73"/>
      <c r="R1198" s="23"/>
      <c r="S1198" s="23"/>
      <c r="T1198" s="73"/>
      <c r="U1198" s="73"/>
      <c r="V1198" s="73"/>
    </row>
    <row r="1199" spans="2:22" x14ac:dyDescent="0.2">
      <c r="B1199" s="166"/>
      <c r="C1199" s="166"/>
      <c r="D1199" s="166"/>
      <c r="E1199" s="166"/>
      <c r="F1199" s="166"/>
      <c r="G1199" s="166"/>
      <c r="H1199" s="166"/>
      <c r="I1199" s="166"/>
      <c r="J1199" s="166"/>
      <c r="K1199" s="166"/>
      <c r="L1199" s="166"/>
      <c r="M1199" s="166"/>
      <c r="N1199" s="166"/>
      <c r="O1199" s="166"/>
      <c r="P1199" s="166"/>
      <c r="Q1199" s="75"/>
      <c r="R1199" s="75"/>
      <c r="S1199" s="75"/>
      <c r="T1199" s="75"/>
      <c r="U1199" s="75"/>
      <c r="V1199" s="75"/>
    </row>
    <row r="1200" spans="2:22" x14ac:dyDescent="0.2">
      <c r="B1200" s="165" t="s">
        <v>10235</v>
      </c>
      <c r="C1200" s="165"/>
      <c r="D1200" s="165"/>
      <c r="E1200" s="165"/>
      <c r="F1200" s="165"/>
      <c r="G1200" s="165"/>
      <c r="H1200" s="165"/>
      <c r="I1200" s="165"/>
      <c r="J1200" s="165"/>
      <c r="K1200" s="165"/>
      <c r="L1200" s="165"/>
      <c r="M1200" s="165"/>
      <c r="N1200" s="165"/>
      <c r="O1200" s="165"/>
      <c r="P1200" s="165"/>
      <c r="Q1200" s="76"/>
      <c r="R1200" s="76"/>
      <c r="S1200" s="76"/>
      <c r="T1200" s="76"/>
      <c r="U1200" s="76"/>
      <c r="V1200" s="76"/>
    </row>
    <row r="1201" spans="2:22" x14ac:dyDescent="0.2">
      <c r="B1201" s="73" t="s">
        <v>10235</v>
      </c>
      <c r="C1201" s="33" t="s">
        <v>1067</v>
      </c>
      <c r="D1201" s="23" t="s">
        <v>1068</v>
      </c>
      <c r="E1201" s="73"/>
      <c r="F1201" s="73"/>
      <c r="G1201" s="73"/>
      <c r="H1201" s="73"/>
      <c r="I1201" s="73"/>
      <c r="J1201" s="33" t="s">
        <v>9374</v>
      </c>
      <c r="K1201" s="33" t="s">
        <v>9375</v>
      </c>
      <c r="L1201" s="33" t="s">
        <v>121</v>
      </c>
      <c r="M1201" s="33" t="s">
        <v>9376</v>
      </c>
      <c r="N1201" s="73"/>
      <c r="O1201" s="73"/>
      <c r="P1201" s="73"/>
      <c r="Q1201" s="73"/>
      <c r="R1201" s="23"/>
      <c r="S1201" s="23"/>
      <c r="T1201" s="73"/>
      <c r="U1201" s="73"/>
      <c r="V1201" s="73"/>
    </row>
    <row r="1202" spans="2:22" ht="153" x14ac:dyDescent="0.2">
      <c r="B1202" s="73" t="s">
        <v>10235</v>
      </c>
      <c r="C1202" s="33" t="s">
        <v>1622</v>
      </c>
      <c r="D1202" s="23" t="s">
        <v>1623</v>
      </c>
      <c r="E1202" s="73" t="s">
        <v>11158</v>
      </c>
      <c r="F1202" s="73" t="s">
        <v>10902</v>
      </c>
      <c r="G1202" s="73"/>
      <c r="H1202" s="73" t="s">
        <v>11014</v>
      </c>
      <c r="I1202" s="73" t="s">
        <v>11159</v>
      </c>
      <c r="J1202" s="33" t="s">
        <v>9374</v>
      </c>
      <c r="K1202" s="33" t="s">
        <v>9375</v>
      </c>
      <c r="L1202" s="33" t="s">
        <v>121</v>
      </c>
      <c r="M1202" s="33" t="s">
        <v>9376</v>
      </c>
      <c r="N1202" s="73"/>
      <c r="O1202" s="73"/>
      <c r="P1202" s="73"/>
      <c r="Q1202" s="75"/>
      <c r="R1202" s="75"/>
      <c r="S1202" s="75"/>
      <c r="T1202" s="75"/>
      <c r="U1202" s="75"/>
      <c r="V1202" s="75"/>
    </row>
    <row r="1203" spans="2:22" x14ac:dyDescent="0.2">
      <c r="B1203" s="166"/>
      <c r="C1203" s="166"/>
      <c r="D1203" s="166"/>
      <c r="E1203" s="166"/>
      <c r="F1203" s="166"/>
      <c r="G1203" s="166"/>
      <c r="H1203" s="166"/>
      <c r="I1203" s="166"/>
      <c r="J1203" s="166"/>
      <c r="K1203" s="166"/>
      <c r="L1203" s="166"/>
      <c r="M1203" s="166"/>
      <c r="N1203" s="166"/>
      <c r="O1203" s="166"/>
      <c r="P1203" s="166"/>
      <c r="Q1203" s="76"/>
      <c r="R1203" s="76"/>
      <c r="S1203" s="76"/>
      <c r="T1203" s="76"/>
      <c r="U1203" s="76"/>
      <c r="V1203" s="76"/>
    </row>
    <row r="1204" spans="2:22" x14ac:dyDescent="0.2">
      <c r="B1204" s="165" t="s">
        <v>10238</v>
      </c>
      <c r="C1204" s="165"/>
      <c r="D1204" s="165"/>
      <c r="E1204" s="165"/>
      <c r="F1204" s="165"/>
      <c r="G1204" s="165"/>
      <c r="H1204" s="165"/>
      <c r="I1204" s="165"/>
      <c r="J1204" s="165"/>
      <c r="K1204" s="165"/>
      <c r="L1204" s="165"/>
      <c r="M1204" s="165"/>
      <c r="N1204" s="165"/>
      <c r="O1204" s="165"/>
      <c r="P1204" s="165"/>
      <c r="Q1204" s="73"/>
      <c r="R1204" s="23"/>
      <c r="S1204" s="23"/>
      <c r="T1204" s="73"/>
      <c r="U1204" s="73"/>
      <c r="V1204" s="73"/>
    </row>
    <row r="1205" spans="2:22" x14ac:dyDescent="0.2">
      <c r="B1205" s="73" t="s">
        <v>10238</v>
      </c>
      <c r="C1205" s="33" t="s">
        <v>1069</v>
      </c>
      <c r="D1205" s="23" t="s">
        <v>1070</v>
      </c>
      <c r="E1205" s="73"/>
      <c r="F1205" s="73"/>
      <c r="G1205" s="73"/>
      <c r="H1205" s="73"/>
      <c r="I1205" s="73"/>
      <c r="J1205" s="33" t="s">
        <v>9374</v>
      </c>
      <c r="K1205" s="33" t="s">
        <v>11016</v>
      </c>
      <c r="L1205" s="33" t="s">
        <v>121</v>
      </c>
      <c r="M1205" s="33" t="s">
        <v>9376</v>
      </c>
      <c r="N1205" s="73"/>
      <c r="O1205" s="73"/>
      <c r="P1205" s="73"/>
      <c r="Q1205" s="73"/>
      <c r="R1205" s="23"/>
      <c r="S1205" s="23"/>
      <c r="T1205" s="73"/>
      <c r="U1205" s="73"/>
      <c r="V1205" s="73"/>
    </row>
    <row r="1206" spans="2:22" x14ac:dyDescent="0.2">
      <c r="B1206" s="166"/>
      <c r="C1206" s="166"/>
      <c r="D1206" s="166"/>
      <c r="E1206" s="166"/>
      <c r="F1206" s="166"/>
      <c r="G1206" s="166"/>
      <c r="H1206" s="166"/>
      <c r="I1206" s="166"/>
      <c r="J1206" s="166"/>
      <c r="K1206" s="166"/>
      <c r="L1206" s="166"/>
      <c r="M1206" s="166"/>
      <c r="N1206" s="166"/>
      <c r="O1206" s="166"/>
      <c r="P1206" s="166"/>
      <c r="Q1206" s="75"/>
      <c r="R1206" s="75"/>
      <c r="S1206" s="75"/>
      <c r="T1206" s="75"/>
      <c r="U1206" s="75"/>
      <c r="V1206" s="75"/>
    </row>
    <row r="1207" spans="2:22" x14ac:dyDescent="0.2">
      <c r="B1207" s="165" t="s">
        <v>10241</v>
      </c>
      <c r="C1207" s="165"/>
      <c r="D1207" s="165"/>
      <c r="E1207" s="165"/>
      <c r="F1207" s="165"/>
      <c r="G1207" s="165"/>
      <c r="H1207" s="165"/>
      <c r="I1207" s="165"/>
      <c r="J1207" s="165"/>
      <c r="K1207" s="165"/>
      <c r="L1207" s="165"/>
      <c r="M1207" s="165"/>
      <c r="N1207" s="165"/>
      <c r="O1207" s="165"/>
      <c r="P1207" s="165"/>
      <c r="Q1207" s="76"/>
      <c r="R1207" s="76"/>
      <c r="S1207" s="76"/>
      <c r="T1207" s="76"/>
      <c r="U1207" s="76"/>
      <c r="V1207" s="76"/>
    </row>
    <row r="1208" spans="2:22" x14ac:dyDescent="0.2">
      <c r="B1208" s="73" t="s">
        <v>10241</v>
      </c>
      <c r="C1208" s="33" t="s">
        <v>1071</v>
      </c>
      <c r="D1208" s="23" t="s">
        <v>1072</v>
      </c>
      <c r="E1208" s="73"/>
      <c r="F1208" s="73"/>
      <c r="G1208" s="73"/>
      <c r="H1208" s="73"/>
      <c r="I1208" s="73"/>
      <c r="J1208" s="33" t="s">
        <v>9374</v>
      </c>
      <c r="K1208" s="33" t="s">
        <v>11016</v>
      </c>
      <c r="L1208" s="33" t="s">
        <v>121</v>
      </c>
      <c r="M1208" s="33" t="s">
        <v>9376</v>
      </c>
      <c r="N1208" s="73"/>
      <c r="O1208" s="73"/>
      <c r="P1208" s="73"/>
      <c r="Q1208" s="73"/>
      <c r="R1208" s="23"/>
      <c r="S1208" s="23"/>
      <c r="T1208" s="73"/>
      <c r="U1208" s="73"/>
      <c r="V1208" s="73"/>
    </row>
    <row r="1209" spans="2:22" x14ac:dyDescent="0.2">
      <c r="B1209" s="166"/>
      <c r="C1209" s="166"/>
      <c r="D1209" s="166"/>
      <c r="E1209" s="166"/>
      <c r="F1209" s="166"/>
      <c r="G1209" s="166"/>
      <c r="H1209" s="166"/>
      <c r="I1209" s="166"/>
      <c r="J1209" s="166"/>
      <c r="K1209" s="166"/>
      <c r="L1209" s="166"/>
      <c r="M1209" s="166"/>
      <c r="N1209" s="166"/>
      <c r="O1209" s="166"/>
      <c r="P1209" s="166"/>
      <c r="Q1209" s="75"/>
      <c r="R1209" s="75"/>
      <c r="S1209" s="75"/>
      <c r="T1209" s="75"/>
      <c r="U1209" s="75"/>
      <c r="V1209" s="75"/>
    </row>
    <row r="1210" spans="2:22" x14ac:dyDescent="0.2">
      <c r="B1210" s="165" t="s">
        <v>10244</v>
      </c>
      <c r="C1210" s="165"/>
      <c r="D1210" s="165"/>
      <c r="E1210" s="165"/>
      <c r="F1210" s="165"/>
      <c r="G1210" s="165"/>
      <c r="H1210" s="165"/>
      <c r="I1210" s="165"/>
      <c r="J1210" s="165"/>
      <c r="K1210" s="165"/>
      <c r="L1210" s="165"/>
      <c r="M1210" s="165"/>
      <c r="N1210" s="165"/>
      <c r="O1210" s="165"/>
      <c r="P1210" s="165"/>
      <c r="Q1210" s="76"/>
      <c r="R1210" s="76"/>
      <c r="S1210" s="76"/>
      <c r="T1210" s="76"/>
      <c r="U1210" s="76"/>
      <c r="V1210" s="76"/>
    </row>
    <row r="1211" spans="2:22" x14ac:dyDescent="0.2">
      <c r="B1211" s="73" t="s">
        <v>10244</v>
      </c>
      <c r="C1211" s="33" t="s">
        <v>1073</v>
      </c>
      <c r="D1211" s="23" t="s">
        <v>1074</v>
      </c>
      <c r="E1211" s="73"/>
      <c r="F1211" s="73"/>
      <c r="G1211" s="73"/>
      <c r="H1211" s="73"/>
      <c r="I1211" s="73"/>
      <c r="J1211" s="33" t="s">
        <v>9374</v>
      </c>
      <c r="K1211" s="33" t="s">
        <v>9375</v>
      </c>
      <c r="L1211" s="33" t="s">
        <v>121</v>
      </c>
      <c r="M1211" s="33" t="s">
        <v>9376</v>
      </c>
      <c r="N1211" s="73"/>
      <c r="O1211" s="73"/>
      <c r="P1211" s="73"/>
      <c r="Q1211" s="73"/>
      <c r="R1211" s="23"/>
      <c r="S1211" s="23"/>
      <c r="T1211" s="73"/>
      <c r="U1211" s="73"/>
      <c r="V1211" s="73"/>
    </row>
    <row r="1212" spans="2:22" ht="30.6" x14ac:dyDescent="0.2">
      <c r="B1212" s="73" t="s">
        <v>10244</v>
      </c>
      <c r="C1212" s="33" t="s">
        <v>1628</v>
      </c>
      <c r="D1212" s="23" t="s">
        <v>1629</v>
      </c>
      <c r="E1212" s="73"/>
      <c r="F1212" s="73"/>
      <c r="G1212" s="73"/>
      <c r="H1212" s="73"/>
      <c r="I1212" s="73" t="s">
        <v>11160</v>
      </c>
      <c r="J1212" s="33" t="s">
        <v>9374</v>
      </c>
      <c r="K1212" s="33" t="s">
        <v>9375</v>
      </c>
      <c r="L1212" s="33" t="s">
        <v>121</v>
      </c>
      <c r="M1212" s="33" t="s">
        <v>9376</v>
      </c>
      <c r="N1212" s="73"/>
      <c r="O1212" s="73"/>
      <c r="P1212" s="73"/>
      <c r="Q1212" s="75"/>
      <c r="R1212" s="75"/>
      <c r="S1212" s="75"/>
      <c r="T1212" s="75"/>
      <c r="U1212" s="75"/>
      <c r="V1212" s="75"/>
    </row>
    <row r="1213" spans="2:22" x14ac:dyDescent="0.2">
      <c r="B1213" s="166"/>
      <c r="C1213" s="166"/>
      <c r="D1213" s="166"/>
      <c r="E1213" s="166"/>
      <c r="F1213" s="166"/>
      <c r="G1213" s="166"/>
      <c r="H1213" s="166"/>
      <c r="I1213" s="166"/>
      <c r="J1213" s="166"/>
      <c r="K1213" s="166"/>
      <c r="L1213" s="166"/>
      <c r="M1213" s="166"/>
      <c r="N1213" s="166"/>
      <c r="O1213" s="166"/>
      <c r="P1213" s="166"/>
      <c r="Q1213" s="76"/>
      <c r="R1213" s="76"/>
      <c r="S1213" s="76"/>
      <c r="T1213" s="76"/>
      <c r="U1213" s="76"/>
      <c r="V1213" s="76"/>
    </row>
    <row r="1214" spans="2:22" x14ac:dyDescent="0.2">
      <c r="B1214" s="165" t="s">
        <v>10247</v>
      </c>
      <c r="C1214" s="165"/>
      <c r="D1214" s="165"/>
      <c r="E1214" s="165"/>
      <c r="F1214" s="165"/>
      <c r="G1214" s="165"/>
      <c r="H1214" s="165"/>
      <c r="I1214" s="165"/>
      <c r="J1214" s="165"/>
      <c r="K1214" s="165"/>
      <c r="L1214" s="165"/>
      <c r="M1214" s="165"/>
      <c r="N1214" s="165"/>
      <c r="O1214" s="165"/>
      <c r="P1214" s="165"/>
      <c r="Q1214" s="73"/>
      <c r="R1214" s="23"/>
      <c r="S1214" s="23"/>
      <c r="T1214" s="73"/>
      <c r="U1214" s="73"/>
      <c r="V1214" s="73"/>
    </row>
    <row r="1215" spans="2:22" x14ac:dyDescent="0.2">
      <c r="B1215" s="73" t="s">
        <v>10247</v>
      </c>
      <c r="C1215" s="33" t="s">
        <v>1075</v>
      </c>
      <c r="D1215" s="23" t="s">
        <v>1076</v>
      </c>
      <c r="E1215" s="73"/>
      <c r="F1215" s="73"/>
      <c r="G1215" s="73"/>
      <c r="H1215" s="73"/>
      <c r="I1215" s="73"/>
      <c r="J1215" s="33" t="s">
        <v>9374</v>
      </c>
      <c r="K1215" s="33" t="s">
        <v>11016</v>
      </c>
      <c r="L1215" s="33" t="s">
        <v>121</v>
      </c>
      <c r="M1215" s="33" t="s">
        <v>9376</v>
      </c>
      <c r="N1215" s="73"/>
      <c r="O1215" s="73"/>
      <c r="P1215" s="73"/>
      <c r="Q1215" s="73"/>
      <c r="R1215" s="23"/>
      <c r="S1215" s="23"/>
      <c r="T1215" s="73"/>
      <c r="U1215" s="73"/>
      <c r="V1215" s="73"/>
    </row>
    <row r="1216" spans="2:22" x14ac:dyDescent="0.2">
      <c r="B1216" s="166"/>
      <c r="C1216" s="166"/>
      <c r="D1216" s="166"/>
      <c r="E1216" s="166"/>
      <c r="F1216" s="166"/>
      <c r="G1216" s="166"/>
      <c r="H1216" s="166"/>
      <c r="I1216" s="166"/>
      <c r="J1216" s="166"/>
      <c r="K1216" s="166"/>
      <c r="L1216" s="166"/>
      <c r="M1216" s="166"/>
      <c r="N1216" s="166"/>
      <c r="O1216" s="166"/>
      <c r="P1216" s="166"/>
      <c r="Q1216" s="73"/>
      <c r="R1216" s="23"/>
      <c r="S1216" s="23"/>
      <c r="T1216" s="73"/>
      <c r="U1216" s="73"/>
      <c r="V1216" s="73"/>
    </row>
    <row r="1217" spans="2:22" x14ac:dyDescent="0.2">
      <c r="B1217" s="165" t="s">
        <v>10249</v>
      </c>
      <c r="C1217" s="165"/>
      <c r="D1217" s="165"/>
      <c r="E1217" s="165"/>
      <c r="F1217" s="165"/>
      <c r="G1217" s="165"/>
      <c r="H1217" s="165"/>
      <c r="I1217" s="165"/>
      <c r="J1217" s="165"/>
      <c r="K1217" s="165"/>
      <c r="L1217" s="165"/>
      <c r="M1217" s="165"/>
      <c r="N1217" s="165"/>
      <c r="O1217" s="165"/>
      <c r="P1217" s="165"/>
      <c r="Q1217" s="73"/>
      <c r="R1217" s="23"/>
      <c r="S1217" s="23"/>
      <c r="T1217" s="73"/>
      <c r="U1217" s="73"/>
      <c r="V1217" s="73"/>
    </row>
    <row r="1218" spans="2:22" x14ac:dyDescent="0.2">
      <c r="B1218" s="73" t="s">
        <v>10249</v>
      </c>
      <c r="C1218" s="33" t="s">
        <v>1077</v>
      </c>
      <c r="D1218" s="23" t="s">
        <v>1078</v>
      </c>
      <c r="E1218" s="73"/>
      <c r="F1218" s="73"/>
      <c r="G1218" s="73"/>
      <c r="H1218" s="73"/>
      <c r="I1218" s="73"/>
      <c r="J1218" s="33" t="s">
        <v>9374</v>
      </c>
      <c r="K1218" s="33" t="s">
        <v>11016</v>
      </c>
      <c r="L1218" s="33" t="s">
        <v>121</v>
      </c>
      <c r="M1218" s="33" t="s">
        <v>9376</v>
      </c>
      <c r="N1218" s="73"/>
      <c r="O1218" s="73"/>
      <c r="P1218" s="73"/>
      <c r="Q1218" s="73"/>
      <c r="R1218" s="23"/>
      <c r="S1218" s="23"/>
      <c r="T1218" s="73"/>
      <c r="U1218" s="73"/>
      <c r="V1218" s="73"/>
    </row>
    <row r="1219" spans="2:22" x14ac:dyDescent="0.2">
      <c r="B1219" s="166"/>
      <c r="C1219" s="166"/>
      <c r="D1219" s="166"/>
      <c r="E1219" s="166"/>
      <c r="F1219" s="166"/>
      <c r="G1219" s="166"/>
      <c r="H1219" s="166"/>
      <c r="I1219" s="166"/>
      <c r="J1219" s="166"/>
      <c r="K1219" s="166"/>
      <c r="L1219" s="166"/>
      <c r="M1219" s="166"/>
      <c r="N1219" s="166"/>
      <c r="O1219" s="166"/>
      <c r="P1219" s="166"/>
      <c r="Q1219" s="75"/>
      <c r="R1219" s="75"/>
      <c r="S1219" s="75"/>
      <c r="T1219" s="75"/>
      <c r="U1219" s="75"/>
      <c r="V1219" s="75"/>
    </row>
    <row r="1220" spans="2:22" x14ac:dyDescent="0.2">
      <c r="B1220" s="165" t="s">
        <v>10252</v>
      </c>
      <c r="C1220" s="165"/>
      <c r="D1220" s="165"/>
      <c r="E1220" s="165"/>
      <c r="F1220" s="165"/>
      <c r="G1220" s="165"/>
      <c r="H1220" s="165"/>
      <c r="I1220" s="165"/>
      <c r="J1220" s="165"/>
      <c r="K1220" s="165"/>
      <c r="L1220" s="165"/>
      <c r="M1220" s="165"/>
      <c r="N1220" s="165"/>
      <c r="O1220" s="165"/>
      <c r="P1220" s="165"/>
      <c r="Q1220" s="76"/>
      <c r="R1220" s="76"/>
      <c r="S1220" s="76"/>
      <c r="T1220" s="76"/>
      <c r="U1220" s="76"/>
      <c r="V1220" s="76"/>
    </row>
    <row r="1221" spans="2:22" x14ac:dyDescent="0.2">
      <c r="B1221" s="73" t="s">
        <v>10252</v>
      </c>
      <c r="C1221" s="33" t="s">
        <v>1079</v>
      </c>
      <c r="D1221" s="23" t="s">
        <v>1080</v>
      </c>
      <c r="E1221" s="73"/>
      <c r="F1221" s="73"/>
      <c r="G1221" s="73"/>
      <c r="H1221" s="73"/>
      <c r="I1221" s="73"/>
      <c r="J1221" s="33" t="s">
        <v>9374</v>
      </c>
      <c r="K1221" s="33" t="s">
        <v>9375</v>
      </c>
      <c r="L1221" s="33" t="s">
        <v>121</v>
      </c>
      <c r="M1221" s="33" t="s">
        <v>9376</v>
      </c>
      <c r="N1221" s="73"/>
      <c r="O1221" s="73"/>
      <c r="P1221" s="73"/>
      <c r="Q1221" s="73"/>
      <c r="R1221" s="23"/>
      <c r="S1221" s="23"/>
      <c r="T1221" s="73"/>
      <c r="U1221" s="73"/>
      <c r="V1221" s="73"/>
    </row>
    <row r="1222" spans="2:22" x14ac:dyDescent="0.2">
      <c r="B1222" s="166"/>
      <c r="C1222" s="166"/>
      <c r="D1222" s="166"/>
      <c r="E1222" s="166"/>
      <c r="F1222" s="166"/>
      <c r="G1222" s="166"/>
      <c r="H1222" s="166"/>
      <c r="I1222" s="166"/>
      <c r="J1222" s="166"/>
      <c r="K1222" s="166"/>
      <c r="L1222" s="166"/>
      <c r="M1222" s="166"/>
      <c r="N1222" s="166"/>
      <c r="O1222" s="166"/>
      <c r="P1222" s="166"/>
      <c r="Q1222" s="75"/>
      <c r="R1222" s="75"/>
      <c r="S1222" s="75"/>
      <c r="T1222" s="75"/>
      <c r="U1222" s="75"/>
      <c r="V1222" s="75"/>
    </row>
    <row r="1223" spans="2:22" x14ac:dyDescent="0.2">
      <c r="B1223" s="165" t="s">
        <v>10255</v>
      </c>
      <c r="C1223" s="165"/>
      <c r="D1223" s="165"/>
      <c r="E1223" s="165"/>
      <c r="F1223" s="165"/>
      <c r="G1223" s="165"/>
      <c r="H1223" s="165"/>
      <c r="I1223" s="165"/>
      <c r="J1223" s="165"/>
      <c r="K1223" s="165"/>
      <c r="L1223" s="165"/>
      <c r="M1223" s="165"/>
      <c r="N1223" s="165"/>
      <c r="O1223" s="165"/>
      <c r="P1223" s="165"/>
      <c r="Q1223" s="76"/>
      <c r="R1223" s="76"/>
      <c r="S1223" s="76"/>
      <c r="T1223" s="76"/>
      <c r="U1223" s="76"/>
      <c r="V1223" s="76"/>
    </row>
    <row r="1224" spans="2:22" x14ac:dyDescent="0.2">
      <c r="B1224" s="73" t="s">
        <v>10255</v>
      </c>
      <c r="C1224" s="33" t="s">
        <v>1081</v>
      </c>
      <c r="D1224" s="23" t="s">
        <v>1082</v>
      </c>
      <c r="E1224" s="73"/>
      <c r="F1224" s="73"/>
      <c r="G1224" s="73"/>
      <c r="H1224" s="73"/>
      <c r="I1224" s="73"/>
      <c r="J1224" s="33" t="s">
        <v>9374</v>
      </c>
      <c r="K1224" s="33" t="s">
        <v>11016</v>
      </c>
      <c r="L1224" s="33" t="s">
        <v>121</v>
      </c>
      <c r="M1224" s="33" t="s">
        <v>9376</v>
      </c>
      <c r="N1224" s="73"/>
      <c r="O1224" s="73"/>
      <c r="P1224" s="73"/>
      <c r="Q1224" s="73"/>
      <c r="R1224" s="23"/>
      <c r="S1224" s="23"/>
      <c r="T1224" s="73"/>
      <c r="U1224" s="73"/>
      <c r="V1224" s="73"/>
    </row>
    <row r="1225" spans="2:22" x14ac:dyDescent="0.2">
      <c r="B1225" s="166"/>
      <c r="C1225" s="166"/>
      <c r="D1225" s="166"/>
      <c r="E1225" s="166"/>
      <c r="F1225" s="166"/>
      <c r="G1225" s="166"/>
      <c r="H1225" s="166"/>
      <c r="I1225" s="166"/>
      <c r="J1225" s="166"/>
      <c r="K1225" s="166"/>
      <c r="L1225" s="166"/>
      <c r="M1225" s="166"/>
      <c r="N1225" s="166"/>
      <c r="O1225" s="166"/>
      <c r="P1225" s="166"/>
      <c r="Q1225" s="73"/>
      <c r="R1225" s="23"/>
      <c r="S1225" s="23"/>
      <c r="T1225" s="73"/>
      <c r="U1225" s="73"/>
      <c r="V1225" s="73"/>
    </row>
    <row r="1226" spans="2:22" x14ac:dyDescent="0.2">
      <c r="B1226" s="165" t="s">
        <v>10258</v>
      </c>
      <c r="C1226" s="165"/>
      <c r="D1226" s="165"/>
      <c r="E1226" s="165"/>
      <c r="F1226" s="165"/>
      <c r="G1226" s="165"/>
      <c r="H1226" s="165"/>
      <c r="I1226" s="165"/>
      <c r="J1226" s="165"/>
      <c r="K1226" s="165"/>
      <c r="L1226" s="165"/>
      <c r="M1226" s="165"/>
      <c r="N1226" s="165"/>
      <c r="O1226" s="165"/>
      <c r="P1226" s="165"/>
      <c r="Q1226" s="75"/>
      <c r="R1226" s="75"/>
      <c r="S1226" s="75"/>
      <c r="T1226" s="75"/>
      <c r="U1226" s="75"/>
      <c r="V1226" s="75"/>
    </row>
    <row r="1227" spans="2:22" x14ac:dyDescent="0.2">
      <c r="B1227" s="73" t="s">
        <v>10258</v>
      </c>
      <c r="C1227" s="33" t="s">
        <v>1083</v>
      </c>
      <c r="D1227" s="23" t="s">
        <v>1084</v>
      </c>
      <c r="E1227" s="73"/>
      <c r="F1227" s="73"/>
      <c r="G1227" s="73"/>
      <c r="H1227" s="73"/>
      <c r="I1227" s="73"/>
      <c r="J1227" s="33" t="s">
        <v>9374</v>
      </c>
      <c r="K1227" s="33" t="s">
        <v>11016</v>
      </c>
      <c r="L1227" s="33" t="s">
        <v>121</v>
      </c>
      <c r="M1227" s="33" t="s">
        <v>9376</v>
      </c>
      <c r="N1227" s="73"/>
      <c r="O1227" s="73"/>
      <c r="P1227" s="73"/>
      <c r="Q1227" s="76"/>
      <c r="R1227" s="76"/>
      <c r="S1227" s="76"/>
      <c r="T1227" s="76"/>
      <c r="U1227" s="76"/>
      <c r="V1227" s="76"/>
    </row>
    <row r="1228" spans="2:22" x14ac:dyDescent="0.2">
      <c r="B1228" s="166"/>
      <c r="C1228" s="166"/>
      <c r="D1228" s="166"/>
      <c r="E1228" s="166"/>
      <c r="F1228" s="166"/>
      <c r="G1228" s="166"/>
      <c r="H1228" s="166"/>
      <c r="I1228" s="166"/>
      <c r="J1228" s="166"/>
      <c r="K1228" s="166"/>
      <c r="L1228" s="166"/>
      <c r="M1228" s="166"/>
      <c r="N1228" s="166"/>
      <c r="O1228" s="166"/>
      <c r="P1228" s="166"/>
      <c r="Q1228" s="73"/>
      <c r="R1228" s="23"/>
      <c r="S1228" s="23"/>
      <c r="T1228" s="73"/>
      <c r="U1228" s="73"/>
      <c r="V1228" s="73"/>
    </row>
    <row r="1229" spans="2:22" x14ac:dyDescent="0.2">
      <c r="B1229" s="165" t="s">
        <v>10261</v>
      </c>
      <c r="C1229" s="165"/>
      <c r="D1229" s="165"/>
      <c r="E1229" s="165"/>
      <c r="F1229" s="165"/>
      <c r="G1229" s="165"/>
      <c r="H1229" s="165"/>
      <c r="I1229" s="165"/>
      <c r="J1229" s="165"/>
      <c r="K1229" s="165"/>
      <c r="L1229" s="165"/>
      <c r="M1229" s="165"/>
      <c r="N1229" s="165"/>
      <c r="O1229" s="165"/>
      <c r="P1229" s="165"/>
      <c r="Q1229" s="75"/>
      <c r="R1229" s="75"/>
      <c r="S1229" s="75"/>
      <c r="T1229" s="75"/>
      <c r="U1229" s="75"/>
      <c r="V1229" s="75"/>
    </row>
    <row r="1230" spans="2:22" x14ac:dyDescent="0.2">
      <c r="B1230" s="73" t="s">
        <v>10261</v>
      </c>
      <c r="C1230" s="33" t="s">
        <v>1085</v>
      </c>
      <c r="D1230" s="23" t="s">
        <v>1086</v>
      </c>
      <c r="E1230" s="73"/>
      <c r="F1230" s="73"/>
      <c r="G1230" s="73"/>
      <c r="H1230" s="73"/>
      <c r="I1230" s="73"/>
      <c r="J1230" s="33" t="s">
        <v>9374</v>
      </c>
      <c r="K1230" s="33" t="s">
        <v>9375</v>
      </c>
      <c r="L1230" s="33" t="s">
        <v>121</v>
      </c>
      <c r="M1230" s="33" t="s">
        <v>9376</v>
      </c>
      <c r="N1230" s="73"/>
      <c r="O1230" s="73"/>
      <c r="P1230" s="73"/>
      <c r="Q1230" s="76"/>
      <c r="R1230" s="76"/>
      <c r="S1230" s="76"/>
      <c r="T1230" s="76"/>
      <c r="U1230" s="76"/>
      <c r="V1230" s="76"/>
    </row>
    <row r="1231" spans="2:22" x14ac:dyDescent="0.2">
      <c r="B1231" s="166"/>
      <c r="C1231" s="166"/>
      <c r="D1231" s="166"/>
      <c r="E1231" s="166"/>
      <c r="F1231" s="166"/>
      <c r="G1231" s="166"/>
      <c r="H1231" s="166"/>
      <c r="I1231" s="166"/>
      <c r="J1231" s="166"/>
      <c r="K1231" s="166"/>
      <c r="L1231" s="166"/>
      <c r="M1231" s="166"/>
      <c r="N1231" s="166"/>
      <c r="O1231" s="166"/>
      <c r="P1231" s="166"/>
      <c r="Q1231" s="73"/>
      <c r="R1231" s="23"/>
      <c r="S1231" s="23"/>
      <c r="T1231" s="73"/>
      <c r="U1231" s="73"/>
      <c r="V1231" s="73"/>
    </row>
    <row r="1232" spans="2:22" x14ac:dyDescent="0.2">
      <c r="B1232" s="165" t="s">
        <v>10265</v>
      </c>
      <c r="C1232" s="165"/>
      <c r="D1232" s="165"/>
      <c r="E1232" s="165"/>
      <c r="F1232" s="165"/>
      <c r="G1232" s="165"/>
      <c r="H1232" s="165"/>
      <c r="I1232" s="165"/>
      <c r="J1232" s="165"/>
      <c r="K1232" s="165"/>
      <c r="L1232" s="165"/>
      <c r="M1232" s="165"/>
      <c r="N1232" s="165"/>
      <c r="O1232" s="165"/>
      <c r="P1232" s="165"/>
      <c r="Q1232" s="75"/>
      <c r="R1232" s="75"/>
      <c r="S1232" s="75"/>
      <c r="T1232" s="75"/>
      <c r="U1232" s="75"/>
      <c r="V1232" s="75"/>
    </row>
    <row r="1233" spans="2:22" x14ac:dyDescent="0.2">
      <c r="B1233" s="73" t="s">
        <v>10265</v>
      </c>
      <c r="C1233" s="33" t="s">
        <v>1087</v>
      </c>
      <c r="D1233" s="23" t="s">
        <v>1088</v>
      </c>
      <c r="E1233" s="73"/>
      <c r="F1233" s="73"/>
      <c r="G1233" s="73"/>
      <c r="H1233" s="73"/>
      <c r="I1233" s="73"/>
      <c r="J1233" s="33" t="s">
        <v>9374</v>
      </c>
      <c r="K1233" s="33" t="s">
        <v>9375</v>
      </c>
      <c r="L1233" s="33" t="s">
        <v>121</v>
      </c>
      <c r="M1233" s="33" t="s">
        <v>9376</v>
      </c>
      <c r="N1233" s="73"/>
      <c r="O1233" s="73"/>
      <c r="P1233" s="73"/>
      <c r="Q1233" s="76"/>
      <c r="R1233" s="76"/>
      <c r="S1233" s="76"/>
      <c r="T1233" s="76"/>
      <c r="U1233" s="76"/>
      <c r="V1233" s="76"/>
    </row>
    <row r="1234" spans="2:22" x14ac:dyDescent="0.2">
      <c r="B1234" s="73" t="s">
        <v>10265</v>
      </c>
      <c r="C1234" s="33" t="s">
        <v>1608</v>
      </c>
      <c r="D1234" s="23" t="s">
        <v>1609</v>
      </c>
      <c r="E1234" s="73" t="s">
        <v>10914</v>
      </c>
      <c r="F1234" s="73" t="s">
        <v>10902</v>
      </c>
      <c r="G1234" s="73"/>
      <c r="H1234" s="73" t="s">
        <v>11161</v>
      </c>
      <c r="I1234" s="73" t="s">
        <v>11162</v>
      </c>
      <c r="J1234" s="33" t="s">
        <v>9374</v>
      </c>
      <c r="K1234" s="33" t="s">
        <v>9375</v>
      </c>
      <c r="L1234" s="33" t="s">
        <v>121</v>
      </c>
      <c r="M1234" s="33" t="s">
        <v>9376</v>
      </c>
      <c r="N1234" s="73"/>
      <c r="O1234" s="73"/>
      <c r="P1234" s="73"/>
      <c r="Q1234" s="73"/>
      <c r="R1234" s="23"/>
      <c r="S1234" s="23"/>
      <c r="T1234" s="73"/>
      <c r="U1234" s="73"/>
      <c r="V1234" s="73"/>
    </row>
    <row r="1235" spans="2:22" x14ac:dyDescent="0.2">
      <c r="B1235" s="166"/>
      <c r="C1235" s="166"/>
      <c r="D1235" s="166"/>
      <c r="E1235" s="166"/>
      <c r="F1235" s="166"/>
      <c r="G1235" s="166"/>
      <c r="H1235" s="166"/>
      <c r="I1235" s="166"/>
      <c r="J1235" s="166"/>
      <c r="K1235" s="166"/>
      <c r="L1235" s="166"/>
      <c r="M1235" s="166"/>
      <c r="N1235" s="166"/>
      <c r="O1235" s="166"/>
      <c r="P1235" s="166"/>
      <c r="Q1235" s="73"/>
      <c r="R1235" s="23"/>
      <c r="S1235" s="23"/>
      <c r="T1235" s="73"/>
      <c r="U1235" s="73"/>
      <c r="V1235" s="73"/>
    </row>
    <row r="1236" spans="2:22" x14ac:dyDescent="0.2">
      <c r="B1236" s="165" t="s">
        <v>10268</v>
      </c>
      <c r="C1236" s="165"/>
      <c r="D1236" s="165"/>
      <c r="E1236" s="165"/>
      <c r="F1236" s="165"/>
      <c r="G1236" s="165"/>
      <c r="H1236" s="165"/>
      <c r="I1236" s="165"/>
      <c r="J1236" s="165"/>
      <c r="K1236" s="165"/>
      <c r="L1236" s="165"/>
      <c r="M1236" s="165"/>
      <c r="N1236" s="165"/>
      <c r="O1236" s="165"/>
      <c r="P1236" s="165"/>
      <c r="Q1236" s="73"/>
      <c r="R1236" s="23"/>
      <c r="S1236" s="23"/>
      <c r="T1236" s="73"/>
      <c r="U1236" s="73"/>
      <c r="V1236" s="73"/>
    </row>
    <row r="1237" spans="2:22" x14ac:dyDescent="0.2">
      <c r="B1237" s="73" t="s">
        <v>10268</v>
      </c>
      <c r="C1237" s="33" t="s">
        <v>1089</v>
      </c>
      <c r="D1237" s="23" t="s">
        <v>1090</v>
      </c>
      <c r="E1237" s="73"/>
      <c r="F1237" s="73"/>
      <c r="G1237" s="73"/>
      <c r="H1237" s="73"/>
      <c r="I1237" s="73"/>
      <c r="J1237" s="33" t="s">
        <v>9374</v>
      </c>
      <c r="K1237" s="33" t="s">
        <v>9375</v>
      </c>
      <c r="L1237" s="33" t="s">
        <v>121</v>
      </c>
      <c r="M1237" s="33" t="s">
        <v>9376</v>
      </c>
      <c r="N1237" s="73"/>
      <c r="O1237" s="73"/>
      <c r="P1237" s="73"/>
      <c r="Q1237" s="73"/>
      <c r="R1237" s="23"/>
      <c r="S1237" s="23"/>
      <c r="T1237" s="73"/>
      <c r="U1237" s="73"/>
      <c r="V1237" s="73"/>
    </row>
    <row r="1238" spans="2:22" ht="51" x14ac:dyDescent="0.2">
      <c r="B1238" s="73" t="s">
        <v>10268</v>
      </c>
      <c r="C1238" s="33" t="s">
        <v>1624</v>
      </c>
      <c r="D1238" s="23" t="s">
        <v>1625</v>
      </c>
      <c r="E1238" s="73" t="s">
        <v>10960</v>
      </c>
      <c r="F1238" s="73" t="s">
        <v>10902</v>
      </c>
      <c r="G1238" s="73"/>
      <c r="H1238" s="73" t="s">
        <v>10961</v>
      </c>
      <c r="I1238" s="73" t="s">
        <v>11163</v>
      </c>
      <c r="J1238" s="33" t="s">
        <v>9374</v>
      </c>
      <c r="K1238" s="33" t="s">
        <v>9375</v>
      </c>
      <c r="L1238" s="33" t="s">
        <v>121</v>
      </c>
      <c r="M1238" s="33" t="s">
        <v>9376</v>
      </c>
      <c r="N1238" s="73"/>
      <c r="O1238" s="73"/>
      <c r="P1238" s="73"/>
      <c r="Q1238" s="73"/>
      <c r="R1238" s="23"/>
      <c r="S1238" s="23"/>
      <c r="T1238" s="73"/>
      <c r="U1238" s="73"/>
      <c r="V1238" s="73"/>
    </row>
    <row r="1239" spans="2:22" x14ac:dyDescent="0.2">
      <c r="B1239" s="166"/>
      <c r="C1239" s="166"/>
      <c r="D1239" s="166"/>
      <c r="E1239" s="166"/>
      <c r="F1239" s="166"/>
      <c r="G1239" s="166"/>
      <c r="H1239" s="166"/>
      <c r="I1239" s="166"/>
      <c r="J1239" s="166"/>
      <c r="K1239" s="166"/>
      <c r="L1239" s="166"/>
      <c r="M1239" s="166"/>
      <c r="N1239" s="166"/>
      <c r="O1239" s="166"/>
      <c r="P1239" s="166"/>
      <c r="Q1239" s="73"/>
      <c r="R1239" s="23"/>
      <c r="S1239" s="23"/>
      <c r="T1239" s="73"/>
      <c r="U1239" s="73"/>
      <c r="V1239" s="73"/>
    </row>
    <row r="1240" spans="2:22" x14ac:dyDescent="0.2">
      <c r="B1240" s="165" t="s">
        <v>10271</v>
      </c>
      <c r="C1240" s="165"/>
      <c r="D1240" s="165"/>
      <c r="E1240" s="165"/>
      <c r="F1240" s="165"/>
      <c r="G1240" s="165"/>
      <c r="H1240" s="165"/>
      <c r="I1240" s="165"/>
      <c r="J1240" s="165"/>
      <c r="K1240" s="165"/>
      <c r="L1240" s="165"/>
      <c r="M1240" s="165"/>
      <c r="N1240" s="165"/>
      <c r="O1240" s="165"/>
      <c r="P1240" s="165"/>
      <c r="Q1240" s="73"/>
      <c r="R1240" s="23"/>
      <c r="S1240" s="23"/>
      <c r="T1240" s="73"/>
      <c r="U1240" s="73"/>
      <c r="V1240" s="73"/>
    </row>
    <row r="1241" spans="2:22" x14ac:dyDescent="0.2">
      <c r="B1241" s="73" t="s">
        <v>10271</v>
      </c>
      <c r="C1241" s="33" t="s">
        <v>1091</v>
      </c>
      <c r="D1241" s="23" t="s">
        <v>1092</v>
      </c>
      <c r="E1241" s="73"/>
      <c r="F1241" s="73"/>
      <c r="G1241" s="73"/>
      <c r="H1241" s="73"/>
      <c r="I1241" s="73"/>
      <c r="J1241" s="33" t="s">
        <v>9374</v>
      </c>
      <c r="K1241" s="33" t="s">
        <v>11016</v>
      </c>
      <c r="L1241" s="33" t="s">
        <v>121</v>
      </c>
      <c r="M1241" s="33" t="s">
        <v>9376</v>
      </c>
      <c r="N1241" s="73"/>
      <c r="O1241" s="73"/>
      <c r="P1241" s="73"/>
      <c r="Q1241" s="75"/>
      <c r="R1241" s="75"/>
      <c r="S1241" s="75"/>
      <c r="T1241" s="75"/>
      <c r="U1241" s="75"/>
      <c r="V1241" s="75"/>
    </row>
    <row r="1242" spans="2:22" x14ac:dyDescent="0.2">
      <c r="B1242" s="166"/>
      <c r="C1242" s="166"/>
      <c r="D1242" s="166"/>
      <c r="E1242" s="166"/>
      <c r="F1242" s="166"/>
      <c r="G1242" s="166"/>
      <c r="H1242" s="166"/>
      <c r="I1242" s="166"/>
      <c r="J1242" s="166"/>
      <c r="K1242" s="166"/>
      <c r="L1242" s="166"/>
      <c r="M1242" s="166"/>
      <c r="N1242" s="166"/>
      <c r="O1242" s="166"/>
      <c r="P1242" s="166"/>
      <c r="Q1242" s="76"/>
      <c r="R1242" s="76"/>
      <c r="S1242" s="76"/>
      <c r="T1242" s="76"/>
      <c r="U1242" s="76"/>
      <c r="V1242" s="76"/>
    </row>
    <row r="1243" spans="2:22" x14ac:dyDescent="0.2">
      <c r="B1243" s="165" t="s">
        <v>10274</v>
      </c>
      <c r="C1243" s="165"/>
      <c r="D1243" s="165"/>
      <c r="E1243" s="165"/>
      <c r="F1243" s="165"/>
      <c r="G1243" s="165"/>
      <c r="H1243" s="165"/>
      <c r="I1243" s="165"/>
      <c r="J1243" s="165"/>
      <c r="K1243" s="165"/>
      <c r="L1243" s="165"/>
      <c r="M1243" s="165"/>
      <c r="N1243" s="165"/>
      <c r="O1243" s="165"/>
      <c r="P1243" s="165"/>
      <c r="Q1243" s="73"/>
      <c r="R1243" s="23"/>
      <c r="S1243" s="23"/>
      <c r="T1243" s="73"/>
      <c r="U1243" s="73"/>
      <c r="V1243" s="73"/>
    </row>
    <row r="1244" spans="2:22" x14ac:dyDescent="0.2">
      <c r="B1244" s="73" t="s">
        <v>10274</v>
      </c>
      <c r="C1244" s="33" t="s">
        <v>1093</v>
      </c>
      <c r="D1244" s="23" t="s">
        <v>1094</v>
      </c>
      <c r="E1244" s="73"/>
      <c r="F1244" s="73"/>
      <c r="G1244" s="73"/>
      <c r="H1244" s="73"/>
      <c r="I1244" s="73"/>
      <c r="J1244" s="33" t="s">
        <v>9374</v>
      </c>
      <c r="K1244" s="33" t="s">
        <v>11016</v>
      </c>
      <c r="L1244" s="33" t="s">
        <v>121</v>
      </c>
      <c r="M1244" s="33" t="s">
        <v>9376</v>
      </c>
      <c r="N1244" s="73"/>
      <c r="O1244" s="73"/>
      <c r="P1244" s="73"/>
      <c r="Q1244" s="75"/>
      <c r="R1244" s="75"/>
      <c r="S1244" s="75"/>
      <c r="T1244" s="75"/>
      <c r="U1244" s="75"/>
      <c r="V1244" s="75"/>
    </row>
    <row r="1245" spans="2:22" x14ac:dyDescent="0.2">
      <c r="B1245" s="166"/>
      <c r="C1245" s="166"/>
      <c r="D1245" s="166"/>
      <c r="E1245" s="166"/>
      <c r="F1245" s="166"/>
      <c r="G1245" s="166"/>
      <c r="H1245" s="166"/>
      <c r="I1245" s="166"/>
      <c r="J1245" s="166"/>
      <c r="K1245" s="166"/>
      <c r="L1245" s="166"/>
      <c r="M1245" s="166"/>
      <c r="N1245" s="166"/>
      <c r="O1245" s="166"/>
      <c r="P1245" s="166"/>
      <c r="Q1245" s="76"/>
      <c r="R1245" s="76"/>
      <c r="S1245" s="76"/>
      <c r="T1245" s="76"/>
      <c r="U1245" s="76"/>
      <c r="V1245" s="76"/>
    </row>
    <row r="1246" spans="2:22" x14ac:dyDescent="0.2">
      <c r="B1246" s="165" t="s">
        <v>10277</v>
      </c>
      <c r="C1246" s="165"/>
      <c r="D1246" s="165"/>
      <c r="E1246" s="165"/>
      <c r="F1246" s="165"/>
      <c r="G1246" s="165"/>
      <c r="H1246" s="165"/>
      <c r="I1246" s="165"/>
      <c r="J1246" s="165"/>
      <c r="K1246" s="165"/>
      <c r="L1246" s="165"/>
      <c r="M1246" s="165"/>
      <c r="N1246" s="165"/>
      <c r="O1246" s="165"/>
      <c r="P1246" s="165"/>
      <c r="Q1246" s="73"/>
      <c r="R1246" s="23"/>
      <c r="S1246" s="23"/>
      <c r="T1246" s="73"/>
      <c r="U1246" s="73"/>
      <c r="V1246" s="73"/>
    </row>
    <row r="1247" spans="2:22" x14ac:dyDescent="0.2">
      <c r="B1247" s="73" t="s">
        <v>10277</v>
      </c>
      <c r="C1247" s="33" t="s">
        <v>1095</v>
      </c>
      <c r="D1247" s="23" t="s">
        <v>1096</v>
      </c>
      <c r="E1247" s="73"/>
      <c r="F1247" s="73"/>
      <c r="G1247" s="73"/>
      <c r="H1247" s="73"/>
      <c r="I1247" s="73"/>
      <c r="J1247" s="33" t="s">
        <v>9374</v>
      </c>
      <c r="K1247" s="33" t="s">
        <v>11016</v>
      </c>
      <c r="L1247" s="33" t="s">
        <v>121</v>
      </c>
      <c r="M1247" s="33" t="s">
        <v>9376</v>
      </c>
      <c r="N1247" s="73"/>
      <c r="O1247" s="73"/>
      <c r="P1247" s="73"/>
      <c r="Q1247" s="73"/>
      <c r="R1247" s="23"/>
      <c r="S1247" s="23"/>
      <c r="T1247" s="73"/>
      <c r="U1247" s="73"/>
      <c r="V1247" s="73"/>
    </row>
    <row r="1248" spans="2:22" x14ac:dyDescent="0.2">
      <c r="B1248" s="166"/>
      <c r="C1248" s="166"/>
      <c r="D1248" s="166"/>
      <c r="E1248" s="166"/>
      <c r="F1248" s="166"/>
      <c r="G1248" s="166"/>
      <c r="H1248" s="166"/>
      <c r="I1248" s="166"/>
      <c r="J1248" s="166"/>
      <c r="K1248" s="166"/>
      <c r="L1248" s="166"/>
      <c r="M1248" s="166"/>
      <c r="N1248" s="166"/>
      <c r="O1248" s="166"/>
      <c r="P1248" s="166"/>
      <c r="Q1248" s="75"/>
      <c r="R1248" s="75"/>
      <c r="S1248" s="75"/>
      <c r="T1248" s="75"/>
      <c r="U1248" s="75"/>
      <c r="V1248" s="75"/>
    </row>
    <row r="1249" spans="2:22" x14ac:dyDescent="0.2">
      <c r="B1249" s="165" t="s">
        <v>10280</v>
      </c>
      <c r="C1249" s="165"/>
      <c r="D1249" s="165"/>
      <c r="E1249" s="165"/>
      <c r="F1249" s="165"/>
      <c r="G1249" s="165"/>
      <c r="H1249" s="165"/>
      <c r="I1249" s="165"/>
      <c r="J1249" s="165"/>
      <c r="K1249" s="165"/>
      <c r="L1249" s="165"/>
      <c r="M1249" s="165"/>
      <c r="N1249" s="165"/>
      <c r="O1249" s="165"/>
      <c r="P1249" s="165"/>
      <c r="Q1249" s="76"/>
      <c r="R1249" s="76"/>
      <c r="S1249" s="76"/>
      <c r="T1249" s="76"/>
      <c r="U1249" s="76"/>
      <c r="V1249" s="76"/>
    </row>
    <row r="1250" spans="2:22" x14ac:dyDescent="0.2">
      <c r="B1250" s="73" t="s">
        <v>10280</v>
      </c>
      <c r="C1250" s="33" t="s">
        <v>1097</v>
      </c>
      <c r="D1250" s="23" t="s">
        <v>1098</v>
      </c>
      <c r="E1250" s="73"/>
      <c r="F1250" s="73"/>
      <c r="G1250" s="73"/>
      <c r="H1250" s="73"/>
      <c r="I1250" s="73"/>
      <c r="J1250" s="33" t="s">
        <v>9374</v>
      </c>
      <c r="K1250" s="33" t="s">
        <v>11016</v>
      </c>
      <c r="L1250" s="33" t="s">
        <v>121</v>
      </c>
      <c r="M1250" s="33" t="s">
        <v>9376</v>
      </c>
      <c r="N1250" s="73"/>
      <c r="O1250" s="73"/>
      <c r="P1250" s="73"/>
      <c r="Q1250" s="73"/>
      <c r="R1250" s="23"/>
      <c r="S1250" s="23"/>
      <c r="T1250" s="73"/>
      <c r="U1250" s="73"/>
      <c r="V1250" s="73"/>
    </row>
    <row r="1251" spans="2:22" x14ac:dyDescent="0.2">
      <c r="B1251" s="166"/>
      <c r="C1251" s="166"/>
      <c r="D1251" s="166"/>
      <c r="E1251" s="166"/>
      <c r="F1251" s="166"/>
      <c r="G1251" s="166"/>
      <c r="H1251" s="166"/>
      <c r="I1251" s="166"/>
      <c r="J1251" s="166"/>
      <c r="K1251" s="166"/>
      <c r="L1251" s="166"/>
      <c r="M1251" s="166"/>
      <c r="N1251" s="166"/>
      <c r="O1251" s="166"/>
      <c r="P1251" s="166"/>
      <c r="Q1251" s="73"/>
      <c r="R1251" s="23"/>
      <c r="S1251" s="23"/>
      <c r="T1251" s="73"/>
      <c r="U1251" s="73"/>
      <c r="V1251" s="73"/>
    </row>
    <row r="1252" spans="2:22" x14ac:dyDescent="0.2">
      <c r="B1252" s="165" t="s">
        <v>10282</v>
      </c>
      <c r="C1252" s="165"/>
      <c r="D1252" s="165"/>
      <c r="E1252" s="165"/>
      <c r="F1252" s="165"/>
      <c r="G1252" s="165"/>
      <c r="H1252" s="165"/>
      <c r="I1252" s="165"/>
      <c r="J1252" s="165"/>
      <c r="K1252" s="165"/>
      <c r="L1252" s="165"/>
      <c r="M1252" s="165"/>
      <c r="N1252" s="165"/>
      <c r="O1252" s="165"/>
      <c r="P1252" s="165"/>
      <c r="Q1252" s="75"/>
      <c r="R1252" s="75"/>
      <c r="S1252" s="75"/>
      <c r="T1252" s="75"/>
      <c r="U1252" s="75"/>
      <c r="V1252" s="75"/>
    </row>
    <row r="1253" spans="2:22" x14ac:dyDescent="0.2">
      <c r="B1253" s="73" t="s">
        <v>10282</v>
      </c>
      <c r="C1253" s="33" t="s">
        <v>1099</v>
      </c>
      <c r="D1253" s="23" t="s">
        <v>1100</v>
      </c>
      <c r="E1253" s="73"/>
      <c r="F1253" s="73"/>
      <c r="G1253" s="73"/>
      <c r="H1253" s="73"/>
      <c r="I1253" s="73"/>
      <c r="J1253" s="33" t="s">
        <v>9374</v>
      </c>
      <c r="K1253" s="33" t="s">
        <v>9375</v>
      </c>
      <c r="L1253" s="33" t="s">
        <v>121</v>
      </c>
      <c r="M1253" s="33" t="s">
        <v>9376</v>
      </c>
      <c r="N1253" s="73"/>
      <c r="O1253" s="73"/>
      <c r="P1253" s="73"/>
      <c r="Q1253" s="76"/>
      <c r="R1253" s="76"/>
      <c r="S1253" s="76"/>
      <c r="T1253" s="76"/>
      <c r="U1253" s="76"/>
      <c r="V1253" s="76"/>
    </row>
    <row r="1254" spans="2:22" x14ac:dyDescent="0.2">
      <c r="B1254" s="166"/>
      <c r="C1254" s="166"/>
      <c r="D1254" s="166"/>
      <c r="E1254" s="166"/>
      <c r="F1254" s="166"/>
      <c r="G1254" s="166"/>
      <c r="H1254" s="166"/>
      <c r="I1254" s="166"/>
      <c r="J1254" s="166"/>
      <c r="K1254" s="166"/>
      <c r="L1254" s="166"/>
      <c r="M1254" s="166"/>
      <c r="N1254" s="166"/>
      <c r="O1254" s="166"/>
      <c r="P1254" s="166"/>
      <c r="Q1254" s="73"/>
      <c r="R1254" s="23"/>
      <c r="S1254" s="23"/>
      <c r="T1254" s="73"/>
      <c r="U1254" s="73"/>
      <c r="V1254" s="73"/>
    </row>
    <row r="1255" spans="2:22" x14ac:dyDescent="0.2">
      <c r="B1255" s="165" t="s">
        <v>10285</v>
      </c>
      <c r="C1255" s="165"/>
      <c r="D1255" s="165"/>
      <c r="E1255" s="165"/>
      <c r="F1255" s="165"/>
      <c r="G1255" s="165"/>
      <c r="H1255" s="165"/>
      <c r="I1255" s="165"/>
      <c r="J1255" s="165"/>
      <c r="K1255" s="165"/>
      <c r="L1255" s="165"/>
      <c r="M1255" s="165"/>
      <c r="N1255" s="165"/>
      <c r="O1255" s="165"/>
      <c r="P1255" s="165"/>
      <c r="Q1255" s="75"/>
      <c r="R1255" s="75"/>
      <c r="S1255" s="75"/>
      <c r="T1255" s="75"/>
      <c r="U1255" s="75"/>
      <c r="V1255" s="75"/>
    </row>
    <row r="1256" spans="2:22" x14ac:dyDescent="0.2">
      <c r="B1256" s="73" t="s">
        <v>10285</v>
      </c>
      <c r="C1256" s="33" t="s">
        <v>1101</v>
      </c>
      <c r="D1256" s="23" t="s">
        <v>1102</v>
      </c>
      <c r="E1256" s="73"/>
      <c r="F1256" s="73"/>
      <c r="G1256" s="73"/>
      <c r="H1256" s="73"/>
      <c r="I1256" s="73"/>
      <c r="J1256" s="33" t="s">
        <v>9374</v>
      </c>
      <c r="K1256" s="33" t="s">
        <v>11016</v>
      </c>
      <c r="L1256" s="33" t="s">
        <v>121</v>
      </c>
      <c r="M1256" s="33" t="s">
        <v>9376</v>
      </c>
      <c r="N1256" s="73"/>
      <c r="O1256" s="73"/>
      <c r="P1256" s="73"/>
      <c r="Q1256" s="76"/>
      <c r="R1256" s="76"/>
      <c r="S1256" s="76"/>
      <c r="T1256" s="76"/>
      <c r="U1256" s="76"/>
      <c r="V1256" s="76"/>
    </row>
    <row r="1257" spans="2:22" x14ac:dyDescent="0.2">
      <c r="B1257" s="166"/>
      <c r="C1257" s="166"/>
      <c r="D1257" s="166"/>
      <c r="E1257" s="166"/>
      <c r="F1257" s="166"/>
      <c r="G1257" s="166"/>
      <c r="H1257" s="166"/>
      <c r="I1257" s="166"/>
      <c r="J1257" s="166"/>
      <c r="K1257" s="166"/>
      <c r="L1257" s="166"/>
      <c r="M1257" s="166"/>
      <c r="N1257" s="166"/>
      <c r="O1257" s="166"/>
      <c r="P1257" s="166"/>
      <c r="Q1257" s="73"/>
      <c r="R1257" s="23"/>
      <c r="S1257" s="23"/>
      <c r="T1257" s="73"/>
      <c r="U1257" s="73"/>
      <c r="V1257" s="73"/>
    </row>
    <row r="1258" spans="2:22" x14ac:dyDescent="0.2">
      <c r="B1258" s="165" t="s">
        <v>10287</v>
      </c>
      <c r="C1258" s="165"/>
      <c r="D1258" s="165"/>
      <c r="E1258" s="165"/>
      <c r="F1258" s="165"/>
      <c r="G1258" s="165"/>
      <c r="H1258" s="165"/>
      <c r="I1258" s="165"/>
      <c r="J1258" s="165"/>
      <c r="K1258" s="165"/>
      <c r="L1258" s="165"/>
      <c r="M1258" s="165"/>
      <c r="N1258" s="165"/>
      <c r="O1258" s="165"/>
      <c r="P1258" s="165"/>
      <c r="Q1258" s="75"/>
      <c r="R1258" s="75"/>
      <c r="S1258" s="75"/>
      <c r="T1258" s="75"/>
      <c r="U1258" s="75"/>
      <c r="V1258" s="75"/>
    </row>
    <row r="1259" spans="2:22" x14ac:dyDescent="0.2">
      <c r="B1259" s="73" t="s">
        <v>10287</v>
      </c>
      <c r="C1259" s="33" t="s">
        <v>1103</v>
      </c>
      <c r="D1259" s="23" t="s">
        <v>1104</v>
      </c>
      <c r="E1259" s="73"/>
      <c r="F1259" s="73"/>
      <c r="G1259" s="73"/>
      <c r="H1259" s="73"/>
      <c r="I1259" s="73"/>
      <c r="J1259" s="33" t="s">
        <v>9374</v>
      </c>
      <c r="K1259" s="33" t="s">
        <v>9375</v>
      </c>
      <c r="L1259" s="33" t="s">
        <v>121</v>
      </c>
      <c r="M1259" s="33" t="s">
        <v>9376</v>
      </c>
      <c r="N1259" s="73"/>
      <c r="O1259" s="73"/>
      <c r="P1259" s="73"/>
      <c r="Q1259" s="76"/>
      <c r="R1259" s="76"/>
      <c r="S1259" s="76"/>
      <c r="T1259" s="76"/>
      <c r="U1259" s="76"/>
      <c r="V1259" s="76"/>
    </row>
    <row r="1260" spans="2:22" x14ac:dyDescent="0.2">
      <c r="B1260" s="166"/>
      <c r="C1260" s="166"/>
      <c r="D1260" s="166"/>
      <c r="E1260" s="166"/>
      <c r="F1260" s="166"/>
      <c r="G1260" s="166"/>
      <c r="H1260" s="166"/>
      <c r="I1260" s="166"/>
      <c r="J1260" s="166"/>
      <c r="K1260" s="166"/>
      <c r="L1260" s="166"/>
      <c r="M1260" s="166"/>
      <c r="N1260" s="166"/>
      <c r="O1260" s="166"/>
      <c r="P1260" s="166"/>
      <c r="Q1260" s="73"/>
      <c r="R1260" s="23"/>
      <c r="S1260" s="23"/>
      <c r="T1260" s="73"/>
      <c r="U1260" s="73"/>
      <c r="V1260" s="73"/>
    </row>
    <row r="1261" spans="2:22" x14ac:dyDescent="0.2">
      <c r="B1261" s="165" t="s">
        <v>10290</v>
      </c>
      <c r="C1261" s="165"/>
      <c r="D1261" s="165"/>
      <c r="E1261" s="165"/>
      <c r="F1261" s="165"/>
      <c r="G1261" s="165"/>
      <c r="H1261" s="165"/>
      <c r="I1261" s="165"/>
      <c r="J1261" s="165"/>
      <c r="K1261" s="165"/>
      <c r="L1261" s="165"/>
      <c r="M1261" s="165"/>
      <c r="N1261" s="165"/>
      <c r="O1261" s="165"/>
      <c r="P1261" s="165"/>
      <c r="Q1261" s="75"/>
      <c r="R1261" s="75"/>
      <c r="S1261" s="75"/>
      <c r="T1261" s="75"/>
      <c r="U1261" s="75"/>
      <c r="V1261" s="75"/>
    </row>
    <row r="1262" spans="2:22" x14ac:dyDescent="0.2">
      <c r="B1262" s="73" t="s">
        <v>10290</v>
      </c>
      <c r="C1262" s="33" t="s">
        <v>1105</v>
      </c>
      <c r="D1262" s="23" t="s">
        <v>1106</v>
      </c>
      <c r="E1262" s="73"/>
      <c r="F1262" s="73"/>
      <c r="G1262" s="73"/>
      <c r="H1262" s="73"/>
      <c r="I1262" s="73"/>
      <c r="J1262" s="33" t="s">
        <v>9374</v>
      </c>
      <c r="K1262" s="33" t="s">
        <v>9375</v>
      </c>
      <c r="L1262" s="33" t="s">
        <v>121</v>
      </c>
      <c r="M1262" s="33" t="s">
        <v>9376</v>
      </c>
      <c r="N1262" s="73"/>
      <c r="O1262" s="73"/>
      <c r="P1262" s="73"/>
      <c r="Q1262" s="76"/>
      <c r="R1262" s="76"/>
      <c r="S1262" s="76"/>
      <c r="T1262" s="76"/>
      <c r="U1262" s="76"/>
      <c r="V1262" s="76"/>
    </row>
    <row r="1263" spans="2:22" x14ac:dyDescent="0.2">
      <c r="B1263" s="166"/>
      <c r="C1263" s="166"/>
      <c r="D1263" s="166"/>
      <c r="E1263" s="166"/>
      <c r="F1263" s="166"/>
      <c r="G1263" s="166"/>
      <c r="H1263" s="166"/>
      <c r="I1263" s="166"/>
      <c r="J1263" s="166"/>
      <c r="K1263" s="166"/>
      <c r="L1263" s="166"/>
      <c r="M1263" s="166"/>
      <c r="N1263" s="166"/>
      <c r="O1263" s="166"/>
      <c r="P1263" s="166"/>
      <c r="Q1263" s="73"/>
      <c r="R1263" s="23"/>
      <c r="S1263" s="23"/>
      <c r="T1263" s="73"/>
      <c r="U1263" s="73"/>
      <c r="V1263" s="73"/>
    </row>
    <row r="1264" spans="2:22" x14ac:dyDescent="0.2">
      <c r="B1264" s="165" t="s">
        <v>10293</v>
      </c>
      <c r="C1264" s="165"/>
      <c r="D1264" s="165"/>
      <c r="E1264" s="165"/>
      <c r="F1264" s="165"/>
      <c r="G1264" s="165"/>
      <c r="H1264" s="165"/>
      <c r="I1264" s="165"/>
      <c r="J1264" s="165"/>
      <c r="K1264" s="165"/>
      <c r="L1264" s="165"/>
      <c r="M1264" s="165"/>
      <c r="N1264" s="165"/>
      <c r="O1264" s="165"/>
      <c r="P1264" s="165"/>
      <c r="Q1264" s="75"/>
      <c r="R1264" s="75"/>
      <c r="S1264" s="75"/>
      <c r="T1264" s="75"/>
      <c r="U1264" s="75"/>
      <c r="V1264" s="75"/>
    </row>
    <row r="1265" spans="2:22" x14ac:dyDescent="0.2">
      <c r="B1265" s="73" t="s">
        <v>10293</v>
      </c>
      <c r="C1265" s="33" t="s">
        <v>1107</v>
      </c>
      <c r="D1265" s="23" t="s">
        <v>1108</v>
      </c>
      <c r="E1265" s="73"/>
      <c r="F1265" s="73"/>
      <c r="G1265" s="73"/>
      <c r="H1265" s="73"/>
      <c r="I1265" s="73"/>
      <c r="J1265" s="33" t="s">
        <v>9374</v>
      </c>
      <c r="K1265" s="33" t="s">
        <v>11016</v>
      </c>
      <c r="L1265" s="33" t="s">
        <v>121</v>
      </c>
      <c r="M1265" s="33" t="s">
        <v>9376</v>
      </c>
      <c r="N1265" s="73"/>
      <c r="O1265" s="73"/>
      <c r="P1265" s="73"/>
      <c r="Q1265" s="76"/>
      <c r="R1265" s="76"/>
      <c r="S1265" s="76"/>
      <c r="T1265" s="76"/>
      <c r="U1265" s="76"/>
      <c r="V1265" s="76"/>
    </row>
    <row r="1266" spans="2:22" x14ac:dyDescent="0.2">
      <c r="B1266" s="166"/>
      <c r="C1266" s="166"/>
      <c r="D1266" s="166"/>
      <c r="E1266" s="166"/>
      <c r="F1266" s="166"/>
      <c r="G1266" s="166"/>
      <c r="H1266" s="166"/>
      <c r="I1266" s="166"/>
      <c r="J1266" s="166"/>
      <c r="K1266" s="166"/>
      <c r="L1266" s="166"/>
      <c r="M1266" s="166"/>
      <c r="N1266" s="166"/>
      <c r="O1266" s="166"/>
      <c r="P1266" s="166"/>
      <c r="Q1266" s="73"/>
      <c r="R1266" s="23"/>
      <c r="S1266" s="23"/>
      <c r="T1266" s="73"/>
      <c r="U1266" s="73"/>
      <c r="V1266" s="73"/>
    </row>
    <row r="1267" spans="2:22" x14ac:dyDescent="0.2">
      <c r="B1267" s="165" t="s">
        <v>10295</v>
      </c>
      <c r="C1267" s="165"/>
      <c r="D1267" s="165"/>
      <c r="E1267" s="165"/>
      <c r="F1267" s="165"/>
      <c r="G1267" s="165"/>
      <c r="H1267" s="165"/>
      <c r="I1267" s="165"/>
      <c r="J1267" s="165"/>
      <c r="K1267" s="165"/>
      <c r="L1267" s="165"/>
      <c r="M1267" s="165"/>
      <c r="N1267" s="165"/>
      <c r="O1267" s="165"/>
      <c r="P1267" s="165"/>
      <c r="Q1267" s="75"/>
      <c r="R1267" s="75"/>
      <c r="S1267" s="75"/>
      <c r="T1267" s="75"/>
      <c r="U1267" s="75"/>
      <c r="V1267" s="75"/>
    </row>
    <row r="1268" spans="2:22" x14ac:dyDescent="0.2">
      <c r="B1268" s="73" t="s">
        <v>10295</v>
      </c>
      <c r="C1268" s="33" t="s">
        <v>1109</v>
      </c>
      <c r="D1268" s="23" t="s">
        <v>1110</v>
      </c>
      <c r="E1268" s="73"/>
      <c r="F1268" s="73"/>
      <c r="G1268" s="73"/>
      <c r="H1268" s="73"/>
      <c r="I1268" s="73"/>
      <c r="J1268" s="33" t="s">
        <v>9374</v>
      </c>
      <c r="K1268" s="33" t="s">
        <v>11016</v>
      </c>
      <c r="L1268" s="33" t="s">
        <v>121</v>
      </c>
      <c r="M1268" s="33" t="s">
        <v>9376</v>
      </c>
      <c r="N1268" s="73"/>
      <c r="O1268" s="73"/>
      <c r="P1268" s="73"/>
      <c r="Q1268" s="76"/>
      <c r="R1268" s="76"/>
      <c r="S1268" s="76"/>
      <c r="T1268" s="76"/>
      <c r="U1268" s="76"/>
      <c r="V1268" s="76"/>
    </row>
    <row r="1269" spans="2:22" x14ac:dyDescent="0.2">
      <c r="B1269" s="166"/>
      <c r="C1269" s="166"/>
      <c r="D1269" s="166"/>
      <c r="E1269" s="166"/>
      <c r="F1269" s="166"/>
      <c r="G1269" s="166"/>
      <c r="H1269" s="166"/>
      <c r="I1269" s="166"/>
      <c r="J1269" s="166"/>
      <c r="K1269" s="166"/>
      <c r="L1269" s="166"/>
      <c r="M1269" s="166"/>
      <c r="N1269" s="166"/>
      <c r="O1269" s="166"/>
      <c r="P1269" s="166"/>
      <c r="Q1269" s="73"/>
      <c r="R1269" s="23"/>
      <c r="S1269" s="23"/>
      <c r="T1269" s="73"/>
      <c r="U1269" s="73"/>
      <c r="V1269" s="73"/>
    </row>
    <row r="1270" spans="2:22" x14ac:dyDescent="0.2">
      <c r="B1270" s="165" t="s">
        <v>10297</v>
      </c>
      <c r="C1270" s="165"/>
      <c r="D1270" s="165"/>
      <c r="E1270" s="165"/>
      <c r="F1270" s="165"/>
      <c r="G1270" s="165"/>
      <c r="H1270" s="165"/>
      <c r="I1270" s="165"/>
      <c r="J1270" s="165"/>
      <c r="K1270" s="165"/>
      <c r="L1270" s="165"/>
      <c r="M1270" s="165"/>
      <c r="N1270" s="165"/>
      <c r="O1270" s="165"/>
      <c r="P1270" s="165"/>
      <c r="Q1270" s="75"/>
      <c r="R1270" s="75"/>
      <c r="S1270" s="75"/>
      <c r="T1270" s="75"/>
      <c r="U1270" s="75"/>
      <c r="V1270" s="75"/>
    </row>
    <row r="1271" spans="2:22" x14ac:dyDescent="0.2">
      <c r="B1271" s="73" t="s">
        <v>10297</v>
      </c>
      <c r="C1271" s="33" t="s">
        <v>1111</v>
      </c>
      <c r="D1271" s="23" t="s">
        <v>1112</v>
      </c>
      <c r="E1271" s="73"/>
      <c r="F1271" s="73"/>
      <c r="G1271" s="73"/>
      <c r="H1271" s="73"/>
      <c r="I1271" s="73"/>
      <c r="J1271" s="33" t="s">
        <v>9374</v>
      </c>
      <c r="K1271" s="33" t="s">
        <v>11016</v>
      </c>
      <c r="L1271" s="33" t="s">
        <v>121</v>
      </c>
      <c r="M1271" s="33" t="s">
        <v>9376</v>
      </c>
      <c r="N1271" s="73"/>
      <c r="O1271" s="73"/>
      <c r="P1271" s="73"/>
      <c r="Q1271" s="76"/>
      <c r="R1271" s="76"/>
      <c r="S1271" s="76"/>
      <c r="T1271" s="76"/>
      <c r="U1271" s="76"/>
      <c r="V1271" s="76"/>
    </row>
    <row r="1272" spans="2:22" x14ac:dyDescent="0.2">
      <c r="B1272" s="166"/>
      <c r="C1272" s="166"/>
      <c r="D1272" s="166"/>
      <c r="E1272" s="166"/>
      <c r="F1272" s="166"/>
      <c r="G1272" s="166"/>
      <c r="H1272" s="166"/>
      <c r="I1272" s="166"/>
      <c r="J1272" s="166"/>
      <c r="K1272" s="166"/>
      <c r="L1272" s="166"/>
      <c r="M1272" s="166"/>
      <c r="N1272" s="166"/>
      <c r="O1272" s="166"/>
      <c r="P1272" s="166"/>
      <c r="Q1272" s="73"/>
      <c r="R1272" s="23"/>
      <c r="S1272" s="23"/>
      <c r="T1272" s="73"/>
      <c r="U1272" s="73"/>
      <c r="V1272" s="73"/>
    </row>
    <row r="1273" spans="2:22" x14ac:dyDescent="0.2">
      <c r="B1273" s="165" t="s">
        <v>10299</v>
      </c>
      <c r="C1273" s="165"/>
      <c r="D1273" s="165"/>
      <c r="E1273" s="165"/>
      <c r="F1273" s="165"/>
      <c r="G1273" s="165"/>
      <c r="H1273" s="165"/>
      <c r="I1273" s="165"/>
      <c r="J1273" s="165"/>
      <c r="K1273" s="165"/>
      <c r="L1273" s="165"/>
      <c r="M1273" s="165"/>
      <c r="N1273" s="165"/>
      <c r="O1273" s="165"/>
      <c r="P1273" s="165"/>
      <c r="Q1273" s="75"/>
      <c r="R1273" s="75"/>
      <c r="S1273" s="75"/>
      <c r="T1273" s="75"/>
      <c r="U1273" s="75"/>
      <c r="V1273" s="75"/>
    </row>
    <row r="1274" spans="2:22" x14ac:dyDescent="0.2">
      <c r="B1274" s="73" t="s">
        <v>10299</v>
      </c>
      <c r="C1274" s="33" t="s">
        <v>1113</v>
      </c>
      <c r="D1274" s="23" t="s">
        <v>1114</v>
      </c>
      <c r="E1274" s="73"/>
      <c r="F1274" s="73"/>
      <c r="G1274" s="73"/>
      <c r="H1274" s="73"/>
      <c r="I1274" s="73"/>
      <c r="J1274" s="33" t="s">
        <v>9374</v>
      </c>
      <c r="K1274" s="33" t="s">
        <v>11016</v>
      </c>
      <c r="L1274" s="33" t="s">
        <v>121</v>
      </c>
      <c r="M1274" s="33" t="s">
        <v>9376</v>
      </c>
      <c r="N1274" s="73"/>
      <c r="O1274" s="73"/>
      <c r="P1274" s="73"/>
      <c r="Q1274" s="76"/>
      <c r="R1274" s="76"/>
      <c r="S1274" s="76"/>
      <c r="T1274" s="76"/>
      <c r="U1274" s="76"/>
      <c r="V1274" s="76"/>
    </row>
    <row r="1275" spans="2:22" x14ac:dyDescent="0.2">
      <c r="B1275" s="166"/>
      <c r="C1275" s="166"/>
      <c r="D1275" s="166"/>
      <c r="E1275" s="166"/>
      <c r="F1275" s="166"/>
      <c r="G1275" s="166"/>
      <c r="H1275" s="166"/>
      <c r="I1275" s="166"/>
      <c r="J1275" s="166"/>
      <c r="K1275" s="166"/>
      <c r="L1275" s="166"/>
      <c r="M1275" s="166"/>
      <c r="N1275" s="166"/>
      <c r="O1275" s="166"/>
      <c r="P1275" s="166"/>
      <c r="Q1275" s="73"/>
      <c r="R1275" s="23"/>
      <c r="S1275" s="23"/>
      <c r="T1275" s="73"/>
      <c r="U1275" s="73"/>
      <c r="V1275" s="73"/>
    </row>
    <row r="1276" spans="2:22" x14ac:dyDescent="0.2">
      <c r="B1276" s="165" t="s">
        <v>10301</v>
      </c>
      <c r="C1276" s="165"/>
      <c r="D1276" s="165"/>
      <c r="E1276" s="165"/>
      <c r="F1276" s="165"/>
      <c r="G1276" s="165"/>
      <c r="H1276" s="165"/>
      <c r="I1276" s="165"/>
      <c r="J1276" s="165"/>
      <c r="K1276" s="165"/>
      <c r="L1276" s="165"/>
      <c r="M1276" s="165"/>
      <c r="N1276" s="165"/>
      <c r="O1276" s="165"/>
      <c r="P1276" s="165"/>
      <c r="Q1276" s="73"/>
      <c r="R1276" s="23"/>
      <c r="S1276" s="23"/>
      <c r="T1276" s="73"/>
      <c r="U1276" s="73"/>
      <c r="V1276" s="73"/>
    </row>
    <row r="1277" spans="2:22" x14ac:dyDescent="0.2">
      <c r="B1277" s="73" t="s">
        <v>10301</v>
      </c>
      <c r="C1277" s="33" t="s">
        <v>1115</v>
      </c>
      <c r="D1277" s="23" t="s">
        <v>1116</v>
      </c>
      <c r="E1277" s="73"/>
      <c r="F1277" s="73"/>
      <c r="G1277" s="73"/>
      <c r="H1277" s="73"/>
      <c r="I1277" s="73"/>
      <c r="J1277" s="33" t="s">
        <v>9374</v>
      </c>
      <c r="K1277" s="33" t="s">
        <v>11016</v>
      </c>
      <c r="L1277" s="33" t="s">
        <v>121</v>
      </c>
      <c r="M1277" s="33" t="s">
        <v>9376</v>
      </c>
      <c r="N1277" s="73"/>
      <c r="O1277" s="73"/>
      <c r="P1277" s="73"/>
      <c r="Q1277" s="73"/>
      <c r="R1277" s="23"/>
      <c r="S1277" s="23"/>
      <c r="T1277" s="73"/>
      <c r="U1277" s="73"/>
      <c r="V1277" s="73"/>
    </row>
    <row r="1278" spans="2:22" x14ac:dyDescent="0.2">
      <c r="B1278" s="166"/>
      <c r="C1278" s="166"/>
      <c r="D1278" s="166"/>
      <c r="E1278" s="166"/>
      <c r="F1278" s="166"/>
      <c r="G1278" s="166"/>
      <c r="H1278" s="166"/>
      <c r="I1278" s="166"/>
      <c r="J1278" s="166"/>
      <c r="K1278" s="166"/>
      <c r="L1278" s="166"/>
      <c r="M1278" s="166"/>
      <c r="N1278" s="166"/>
      <c r="O1278" s="166"/>
      <c r="P1278" s="166"/>
      <c r="Q1278" s="75"/>
      <c r="R1278" s="75"/>
      <c r="S1278" s="75"/>
      <c r="T1278" s="75"/>
      <c r="U1278" s="75"/>
      <c r="V1278" s="75"/>
    </row>
    <row r="1279" spans="2:22" x14ac:dyDescent="0.2">
      <c r="B1279" s="165" t="s">
        <v>10303</v>
      </c>
      <c r="C1279" s="165"/>
      <c r="D1279" s="165"/>
      <c r="E1279" s="165"/>
      <c r="F1279" s="165"/>
      <c r="G1279" s="165"/>
      <c r="H1279" s="165"/>
      <c r="I1279" s="165"/>
      <c r="J1279" s="165"/>
      <c r="K1279" s="165"/>
      <c r="L1279" s="165"/>
      <c r="M1279" s="165"/>
      <c r="N1279" s="165"/>
      <c r="O1279" s="165"/>
      <c r="P1279" s="165"/>
      <c r="Q1279" s="76"/>
      <c r="R1279" s="76"/>
      <c r="S1279" s="76"/>
      <c r="T1279" s="76"/>
      <c r="U1279" s="76"/>
      <c r="V1279" s="76"/>
    </row>
    <row r="1280" spans="2:22" x14ac:dyDescent="0.2">
      <c r="B1280" s="73" t="s">
        <v>10303</v>
      </c>
      <c r="C1280" s="33" t="s">
        <v>1117</v>
      </c>
      <c r="D1280" s="23" t="s">
        <v>1118</v>
      </c>
      <c r="E1280" s="73"/>
      <c r="F1280" s="73"/>
      <c r="G1280" s="73"/>
      <c r="H1280" s="73"/>
      <c r="I1280" s="73"/>
      <c r="J1280" s="33" t="s">
        <v>9374</v>
      </c>
      <c r="K1280" s="33" t="s">
        <v>11016</v>
      </c>
      <c r="L1280" s="33" t="s">
        <v>121</v>
      </c>
      <c r="M1280" s="33" t="s">
        <v>9376</v>
      </c>
      <c r="N1280" s="73"/>
      <c r="O1280" s="73"/>
      <c r="P1280" s="73"/>
      <c r="Q1280" s="73"/>
      <c r="R1280" s="23"/>
      <c r="S1280" s="23"/>
      <c r="T1280" s="73"/>
      <c r="U1280" s="73"/>
      <c r="V1280" s="73"/>
    </row>
    <row r="1281" spans="2:22" x14ac:dyDescent="0.2">
      <c r="B1281" s="166"/>
      <c r="C1281" s="166"/>
      <c r="D1281" s="166"/>
      <c r="E1281" s="166"/>
      <c r="F1281" s="166"/>
      <c r="G1281" s="166"/>
      <c r="H1281" s="166"/>
      <c r="I1281" s="166"/>
      <c r="J1281" s="166"/>
      <c r="K1281" s="166"/>
      <c r="L1281" s="166"/>
      <c r="M1281" s="166"/>
      <c r="N1281" s="166"/>
      <c r="O1281" s="166"/>
      <c r="P1281" s="166"/>
      <c r="Q1281" s="73"/>
      <c r="R1281" s="23"/>
      <c r="S1281" s="23"/>
      <c r="T1281" s="73"/>
      <c r="U1281" s="73"/>
      <c r="V1281" s="73"/>
    </row>
    <row r="1282" spans="2:22" x14ac:dyDescent="0.2">
      <c r="B1282" s="165" t="s">
        <v>10305</v>
      </c>
      <c r="C1282" s="165"/>
      <c r="D1282" s="165"/>
      <c r="E1282" s="165"/>
      <c r="F1282" s="165"/>
      <c r="G1282" s="165"/>
      <c r="H1282" s="165"/>
      <c r="I1282" s="165"/>
      <c r="J1282" s="165"/>
      <c r="K1282" s="165"/>
      <c r="L1282" s="165"/>
      <c r="M1282" s="165"/>
      <c r="N1282" s="165"/>
      <c r="O1282" s="165"/>
      <c r="P1282" s="165"/>
      <c r="Q1282" s="73"/>
      <c r="R1282" s="23"/>
      <c r="S1282" s="23"/>
      <c r="T1282" s="73"/>
      <c r="U1282" s="73"/>
      <c r="V1282" s="73"/>
    </row>
    <row r="1283" spans="2:22" x14ac:dyDescent="0.2">
      <c r="B1283" s="73" t="s">
        <v>10305</v>
      </c>
      <c r="C1283" s="33" t="s">
        <v>1119</v>
      </c>
      <c r="D1283" s="23" t="s">
        <v>1120</v>
      </c>
      <c r="E1283" s="73"/>
      <c r="F1283" s="73"/>
      <c r="G1283" s="73"/>
      <c r="H1283" s="73"/>
      <c r="I1283" s="73"/>
      <c r="J1283" s="33" t="s">
        <v>9374</v>
      </c>
      <c r="K1283" s="33" t="s">
        <v>11016</v>
      </c>
      <c r="L1283" s="33" t="s">
        <v>121</v>
      </c>
      <c r="M1283" s="33" t="s">
        <v>9376</v>
      </c>
      <c r="N1283" s="73"/>
      <c r="O1283" s="73"/>
      <c r="P1283" s="73"/>
      <c r="Q1283" s="75"/>
      <c r="R1283" s="75"/>
      <c r="S1283" s="75"/>
      <c r="T1283" s="75"/>
      <c r="U1283" s="75"/>
      <c r="V1283" s="75"/>
    </row>
    <row r="1284" spans="2:22" x14ac:dyDescent="0.2">
      <c r="B1284" s="166"/>
      <c r="C1284" s="166"/>
      <c r="D1284" s="166"/>
      <c r="E1284" s="166"/>
      <c r="F1284" s="166"/>
      <c r="G1284" s="166"/>
      <c r="H1284" s="166"/>
      <c r="I1284" s="166"/>
      <c r="J1284" s="166"/>
      <c r="K1284" s="166"/>
      <c r="L1284" s="166"/>
      <c r="M1284" s="166"/>
      <c r="N1284" s="166"/>
      <c r="O1284" s="166"/>
      <c r="P1284" s="166"/>
      <c r="Q1284" s="76"/>
      <c r="R1284" s="76"/>
      <c r="S1284" s="76"/>
      <c r="T1284" s="76"/>
      <c r="U1284" s="76"/>
      <c r="V1284" s="76"/>
    </row>
    <row r="1285" spans="2:22" x14ac:dyDescent="0.2">
      <c r="B1285" s="165" t="s">
        <v>10308</v>
      </c>
      <c r="C1285" s="165"/>
      <c r="D1285" s="165"/>
      <c r="E1285" s="165"/>
      <c r="F1285" s="165"/>
      <c r="G1285" s="165"/>
      <c r="H1285" s="165"/>
      <c r="I1285" s="165"/>
      <c r="J1285" s="165"/>
      <c r="K1285" s="165"/>
      <c r="L1285" s="165"/>
      <c r="M1285" s="165"/>
      <c r="N1285" s="165"/>
      <c r="O1285" s="165"/>
      <c r="P1285" s="165"/>
      <c r="Q1285" s="73"/>
      <c r="R1285" s="23"/>
      <c r="S1285" s="23"/>
      <c r="T1285" s="73"/>
      <c r="U1285" s="73"/>
      <c r="V1285" s="73"/>
    </row>
    <row r="1286" spans="2:22" x14ac:dyDescent="0.2">
      <c r="B1286" s="73" t="s">
        <v>10308</v>
      </c>
      <c r="C1286" s="33" t="s">
        <v>1121</v>
      </c>
      <c r="D1286" s="23" t="s">
        <v>1122</v>
      </c>
      <c r="E1286" s="73"/>
      <c r="F1286" s="73"/>
      <c r="G1286" s="73"/>
      <c r="H1286" s="73"/>
      <c r="I1286" s="73"/>
      <c r="J1286" s="33" t="s">
        <v>9374</v>
      </c>
      <c r="K1286" s="33" t="s">
        <v>11016</v>
      </c>
      <c r="L1286" s="33" t="s">
        <v>121</v>
      </c>
      <c r="M1286" s="33" t="s">
        <v>9376</v>
      </c>
      <c r="N1286" s="73"/>
      <c r="O1286" s="73"/>
      <c r="P1286" s="73"/>
      <c r="Q1286" s="73"/>
      <c r="R1286" s="23"/>
      <c r="S1286" s="23"/>
      <c r="T1286" s="73"/>
      <c r="U1286" s="73"/>
      <c r="V1286" s="73"/>
    </row>
    <row r="1287" spans="2:22" x14ac:dyDescent="0.2">
      <c r="B1287" s="166"/>
      <c r="C1287" s="166"/>
      <c r="D1287" s="166"/>
      <c r="E1287" s="166"/>
      <c r="F1287" s="166"/>
      <c r="G1287" s="166"/>
      <c r="H1287" s="166"/>
      <c r="I1287" s="166"/>
      <c r="J1287" s="166"/>
      <c r="K1287" s="166"/>
      <c r="L1287" s="166"/>
      <c r="M1287" s="166"/>
      <c r="N1287" s="166"/>
      <c r="O1287" s="166"/>
      <c r="P1287" s="166"/>
      <c r="Q1287" s="75"/>
      <c r="R1287" s="75"/>
      <c r="S1287" s="75"/>
      <c r="T1287" s="75"/>
      <c r="U1287" s="75"/>
      <c r="V1287" s="75"/>
    </row>
    <row r="1288" spans="2:22" x14ac:dyDescent="0.2">
      <c r="B1288" s="165" t="s">
        <v>10311</v>
      </c>
      <c r="C1288" s="165"/>
      <c r="D1288" s="165"/>
      <c r="E1288" s="165"/>
      <c r="F1288" s="165"/>
      <c r="G1288" s="165"/>
      <c r="H1288" s="165"/>
      <c r="I1288" s="165"/>
      <c r="J1288" s="165"/>
      <c r="K1288" s="165"/>
      <c r="L1288" s="165"/>
      <c r="M1288" s="165"/>
      <c r="N1288" s="165"/>
      <c r="O1288" s="165"/>
      <c r="P1288" s="165"/>
      <c r="Q1288" s="76"/>
      <c r="R1288" s="76"/>
      <c r="S1288" s="76"/>
      <c r="T1288" s="76"/>
      <c r="U1288" s="76"/>
      <c r="V1288" s="76"/>
    </row>
    <row r="1289" spans="2:22" x14ac:dyDescent="0.2">
      <c r="B1289" s="73" t="s">
        <v>10311</v>
      </c>
      <c r="C1289" s="33" t="s">
        <v>1123</v>
      </c>
      <c r="D1289" s="23" t="s">
        <v>1124</v>
      </c>
      <c r="E1289" s="73"/>
      <c r="F1289" s="73"/>
      <c r="G1289" s="73"/>
      <c r="H1289" s="73"/>
      <c r="I1289" s="73"/>
      <c r="J1289" s="33" t="s">
        <v>9374</v>
      </c>
      <c r="K1289" s="33" t="s">
        <v>11016</v>
      </c>
      <c r="L1289" s="33" t="s">
        <v>121</v>
      </c>
      <c r="M1289" s="33" t="s">
        <v>9376</v>
      </c>
      <c r="N1289" s="73"/>
      <c r="O1289" s="73"/>
      <c r="P1289" s="73"/>
      <c r="Q1289" s="73"/>
      <c r="R1289" s="23"/>
      <c r="S1289" s="23"/>
      <c r="T1289" s="73"/>
      <c r="U1289" s="73"/>
      <c r="V1289" s="73"/>
    </row>
    <row r="1290" spans="2:22" ht="30.6" x14ac:dyDescent="0.2">
      <c r="B1290" s="73" t="s">
        <v>10311</v>
      </c>
      <c r="C1290" s="33" t="s">
        <v>1723</v>
      </c>
      <c r="D1290" s="23" t="s">
        <v>1724</v>
      </c>
      <c r="E1290" s="73" t="s">
        <v>11164</v>
      </c>
      <c r="F1290" s="73" t="s">
        <v>10902</v>
      </c>
      <c r="G1290" s="73"/>
      <c r="H1290" s="73" t="s">
        <v>10961</v>
      </c>
      <c r="I1290" s="73" t="s">
        <v>11165</v>
      </c>
      <c r="J1290" s="33" t="s">
        <v>9374</v>
      </c>
      <c r="K1290" s="33" t="s">
        <v>11016</v>
      </c>
      <c r="L1290" s="33" t="s">
        <v>121</v>
      </c>
      <c r="M1290" s="33" t="s">
        <v>9376</v>
      </c>
      <c r="N1290" s="73"/>
      <c r="O1290" s="73"/>
      <c r="P1290" s="73"/>
      <c r="Q1290" s="73"/>
      <c r="R1290" s="23"/>
      <c r="S1290" s="23"/>
      <c r="T1290" s="73"/>
      <c r="U1290" s="73"/>
      <c r="V1290" s="73"/>
    </row>
    <row r="1291" spans="2:22" x14ac:dyDescent="0.2">
      <c r="B1291" s="73" t="s">
        <v>10311</v>
      </c>
      <c r="C1291" s="33" t="s">
        <v>2052</v>
      </c>
      <c r="D1291" s="23" t="s">
        <v>2053</v>
      </c>
      <c r="E1291" s="73" t="s">
        <v>11164</v>
      </c>
      <c r="F1291" s="73" t="s">
        <v>10902</v>
      </c>
      <c r="G1291" s="73"/>
      <c r="H1291" s="73" t="s">
        <v>10961</v>
      </c>
      <c r="I1291" s="73" t="s">
        <v>11166</v>
      </c>
      <c r="J1291" s="33" t="s">
        <v>9374</v>
      </c>
      <c r="K1291" s="33" t="s">
        <v>11016</v>
      </c>
      <c r="L1291" s="33" t="s">
        <v>121</v>
      </c>
      <c r="M1291" s="33" t="s">
        <v>9376</v>
      </c>
      <c r="N1291" s="73"/>
      <c r="O1291" s="73"/>
      <c r="P1291" s="73"/>
      <c r="Q1291" s="75"/>
      <c r="R1291" s="75"/>
      <c r="S1291" s="75"/>
      <c r="T1291" s="75"/>
      <c r="U1291" s="75"/>
      <c r="V1291" s="75"/>
    </row>
    <row r="1292" spans="2:22" x14ac:dyDescent="0.2">
      <c r="B1292" s="166"/>
      <c r="C1292" s="166"/>
      <c r="D1292" s="166"/>
      <c r="E1292" s="166"/>
      <c r="F1292" s="166"/>
      <c r="G1292" s="166"/>
      <c r="H1292" s="166"/>
      <c r="I1292" s="166"/>
      <c r="J1292" s="166"/>
      <c r="K1292" s="166"/>
      <c r="L1292" s="166"/>
      <c r="M1292" s="166"/>
      <c r="N1292" s="166"/>
      <c r="O1292" s="166"/>
      <c r="P1292" s="166"/>
      <c r="Q1292" s="76"/>
      <c r="R1292" s="76"/>
      <c r="S1292" s="76"/>
      <c r="T1292" s="76"/>
      <c r="U1292" s="76"/>
      <c r="V1292" s="76"/>
    </row>
    <row r="1293" spans="2:22" x14ac:dyDescent="0.2">
      <c r="B1293" s="165" t="s">
        <v>10313</v>
      </c>
      <c r="C1293" s="165"/>
      <c r="D1293" s="165"/>
      <c r="E1293" s="165"/>
      <c r="F1293" s="165"/>
      <c r="G1293" s="165"/>
      <c r="H1293" s="165"/>
      <c r="I1293" s="165"/>
      <c r="J1293" s="165"/>
      <c r="K1293" s="165"/>
      <c r="L1293" s="165"/>
      <c r="M1293" s="165"/>
      <c r="N1293" s="165"/>
      <c r="O1293" s="165"/>
      <c r="P1293" s="165"/>
      <c r="Q1293" s="73"/>
      <c r="R1293" s="23"/>
      <c r="S1293" s="23"/>
      <c r="T1293" s="73"/>
      <c r="U1293" s="73"/>
      <c r="V1293" s="73"/>
    </row>
    <row r="1294" spans="2:22" x14ac:dyDescent="0.2">
      <c r="B1294" s="73" t="s">
        <v>10313</v>
      </c>
      <c r="C1294" s="33" t="s">
        <v>1125</v>
      </c>
      <c r="D1294" s="23" t="s">
        <v>1126</v>
      </c>
      <c r="E1294" s="73"/>
      <c r="F1294" s="73"/>
      <c r="G1294" s="73"/>
      <c r="H1294" s="73"/>
      <c r="I1294" s="73"/>
      <c r="J1294" s="33" t="s">
        <v>9374</v>
      </c>
      <c r="K1294" s="33" t="s">
        <v>9375</v>
      </c>
      <c r="L1294" s="33" t="s">
        <v>121</v>
      </c>
      <c r="M1294" s="33" t="s">
        <v>9376</v>
      </c>
      <c r="N1294" s="73"/>
      <c r="O1294" s="73"/>
      <c r="P1294" s="73"/>
      <c r="Q1294" s="73"/>
      <c r="R1294" s="23"/>
      <c r="S1294" s="23"/>
      <c r="T1294" s="73"/>
      <c r="U1294" s="73"/>
      <c r="V1294" s="73"/>
    </row>
    <row r="1295" spans="2:22" ht="20.399999999999999" x14ac:dyDescent="0.2">
      <c r="B1295" s="73" t="s">
        <v>10313</v>
      </c>
      <c r="C1295" s="33" t="s">
        <v>1644</v>
      </c>
      <c r="D1295" s="23" t="s">
        <v>1645</v>
      </c>
      <c r="E1295" s="73" t="s">
        <v>11167</v>
      </c>
      <c r="F1295" s="73" t="s">
        <v>10902</v>
      </c>
      <c r="G1295" s="73"/>
      <c r="H1295" s="73" t="s">
        <v>11105</v>
      </c>
      <c r="I1295" s="73" t="s">
        <v>11168</v>
      </c>
      <c r="J1295" s="33" t="s">
        <v>9374</v>
      </c>
      <c r="K1295" s="33" t="s">
        <v>9375</v>
      </c>
      <c r="L1295" s="33" t="s">
        <v>121</v>
      </c>
      <c r="M1295" s="33" t="s">
        <v>9376</v>
      </c>
      <c r="N1295" s="73"/>
      <c r="O1295" s="73"/>
      <c r="P1295" s="73"/>
      <c r="Q1295" s="75"/>
      <c r="R1295" s="75"/>
      <c r="S1295" s="75"/>
      <c r="T1295" s="75"/>
      <c r="U1295" s="75"/>
      <c r="V1295" s="75"/>
    </row>
    <row r="1296" spans="2:22" x14ac:dyDescent="0.2">
      <c r="B1296" s="166"/>
      <c r="C1296" s="166"/>
      <c r="D1296" s="166"/>
      <c r="E1296" s="166"/>
      <c r="F1296" s="166"/>
      <c r="G1296" s="166"/>
      <c r="H1296" s="166"/>
      <c r="I1296" s="166"/>
      <c r="J1296" s="166"/>
      <c r="K1296" s="166"/>
      <c r="L1296" s="166"/>
      <c r="M1296" s="166"/>
      <c r="N1296" s="166"/>
      <c r="O1296" s="166"/>
      <c r="P1296" s="166"/>
      <c r="Q1296" s="76"/>
      <c r="R1296" s="76"/>
      <c r="S1296" s="76"/>
      <c r="T1296" s="76"/>
      <c r="U1296" s="76"/>
      <c r="V1296" s="76"/>
    </row>
    <row r="1297" spans="2:22" x14ac:dyDescent="0.2">
      <c r="B1297" s="165" t="s">
        <v>10316</v>
      </c>
      <c r="C1297" s="165"/>
      <c r="D1297" s="165"/>
      <c r="E1297" s="165"/>
      <c r="F1297" s="165"/>
      <c r="G1297" s="165"/>
      <c r="H1297" s="165"/>
      <c r="I1297" s="165"/>
      <c r="J1297" s="165"/>
      <c r="K1297" s="165"/>
      <c r="L1297" s="165"/>
      <c r="M1297" s="165"/>
      <c r="N1297" s="165"/>
      <c r="O1297" s="165"/>
      <c r="P1297" s="165"/>
      <c r="Q1297" s="73"/>
      <c r="R1297" s="23"/>
      <c r="S1297" s="23"/>
      <c r="T1297" s="73"/>
      <c r="U1297" s="73"/>
      <c r="V1297" s="73"/>
    </row>
    <row r="1298" spans="2:22" x14ac:dyDescent="0.2">
      <c r="B1298" s="73" t="s">
        <v>10316</v>
      </c>
      <c r="C1298" s="33" t="s">
        <v>1127</v>
      </c>
      <c r="D1298" s="23" t="s">
        <v>1128</v>
      </c>
      <c r="E1298" s="73"/>
      <c r="F1298" s="73"/>
      <c r="G1298" s="73"/>
      <c r="H1298" s="73"/>
      <c r="I1298" s="73"/>
      <c r="J1298" s="33" t="s">
        <v>9374</v>
      </c>
      <c r="K1298" s="33" t="s">
        <v>11016</v>
      </c>
      <c r="L1298" s="33" t="s">
        <v>121</v>
      </c>
      <c r="M1298" s="33" t="s">
        <v>9376</v>
      </c>
      <c r="N1298" s="73"/>
      <c r="O1298" s="73"/>
      <c r="P1298" s="73"/>
      <c r="Q1298" s="73"/>
      <c r="R1298" s="23"/>
      <c r="S1298" s="23"/>
      <c r="T1298" s="73"/>
      <c r="U1298" s="73"/>
      <c r="V1298" s="73"/>
    </row>
    <row r="1299" spans="2:22" x14ac:dyDescent="0.2">
      <c r="B1299" s="166"/>
      <c r="C1299" s="166"/>
      <c r="D1299" s="166"/>
      <c r="E1299" s="166"/>
      <c r="F1299" s="166"/>
      <c r="G1299" s="166"/>
      <c r="H1299" s="166"/>
      <c r="I1299" s="166"/>
      <c r="J1299" s="166"/>
      <c r="K1299" s="166"/>
      <c r="L1299" s="166"/>
      <c r="M1299" s="166"/>
      <c r="N1299" s="166"/>
      <c r="O1299" s="166"/>
      <c r="P1299" s="166"/>
      <c r="Q1299" s="75"/>
      <c r="R1299" s="75"/>
      <c r="S1299" s="75"/>
      <c r="T1299" s="75"/>
      <c r="U1299" s="75"/>
      <c r="V1299" s="75"/>
    </row>
    <row r="1300" spans="2:22" x14ac:dyDescent="0.2">
      <c r="B1300" s="165" t="s">
        <v>10319</v>
      </c>
      <c r="C1300" s="165"/>
      <c r="D1300" s="165"/>
      <c r="E1300" s="165"/>
      <c r="F1300" s="165"/>
      <c r="G1300" s="165"/>
      <c r="H1300" s="165"/>
      <c r="I1300" s="165"/>
      <c r="J1300" s="165"/>
      <c r="K1300" s="165"/>
      <c r="L1300" s="165"/>
      <c r="M1300" s="165"/>
      <c r="N1300" s="165"/>
      <c r="O1300" s="165"/>
      <c r="P1300" s="165"/>
      <c r="Q1300" s="76"/>
      <c r="R1300" s="76"/>
      <c r="S1300" s="76"/>
      <c r="T1300" s="76"/>
      <c r="U1300" s="76"/>
      <c r="V1300" s="76"/>
    </row>
    <row r="1301" spans="2:22" x14ac:dyDescent="0.2">
      <c r="B1301" s="73" t="s">
        <v>10319</v>
      </c>
      <c r="C1301" s="33" t="s">
        <v>1129</v>
      </c>
      <c r="D1301" s="23" t="s">
        <v>1130</v>
      </c>
      <c r="E1301" s="73"/>
      <c r="F1301" s="73"/>
      <c r="G1301" s="73"/>
      <c r="H1301" s="73"/>
      <c r="I1301" s="73"/>
      <c r="J1301" s="33" t="s">
        <v>9374</v>
      </c>
      <c r="K1301" s="33" t="s">
        <v>11016</v>
      </c>
      <c r="L1301" s="33" t="s">
        <v>121</v>
      </c>
      <c r="M1301" s="33" t="s">
        <v>9376</v>
      </c>
      <c r="N1301" s="73"/>
      <c r="O1301" s="73"/>
      <c r="P1301" s="73"/>
      <c r="Q1301" s="73"/>
      <c r="R1301" s="23"/>
      <c r="S1301" s="23"/>
      <c r="T1301" s="73"/>
      <c r="U1301" s="73"/>
      <c r="V1301" s="73"/>
    </row>
    <row r="1302" spans="2:22" x14ac:dyDescent="0.2">
      <c r="B1302" s="166"/>
      <c r="C1302" s="166"/>
      <c r="D1302" s="166"/>
      <c r="E1302" s="166"/>
      <c r="F1302" s="166"/>
      <c r="G1302" s="166"/>
      <c r="H1302" s="166"/>
      <c r="I1302" s="166"/>
      <c r="J1302" s="166"/>
      <c r="K1302" s="166"/>
      <c r="L1302" s="166"/>
      <c r="M1302" s="166"/>
      <c r="N1302" s="166"/>
      <c r="O1302" s="166"/>
      <c r="P1302" s="166"/>
      <c r="Q1302" s="73"/>
      <c r="R1302" s="23"/>
      <c r="S1302" s="23"/>
      <c r="T1302" s="73"/>
      <c r="U1302" s="73"/>
      <c r="V1302" s="73"/>
    </row>
    <row r="1303" spans="2:22" x14ac:dyDescent="0.2">
      <c r="B1303" s="165" t="s">
        <v>10322</v>
      </c>
      <c r="C1303" s="165"/>
      <c r="D1303" s="165"/>
      <c r="E1303" s="165"/>
      <c r="F1303" s="165"/>
      <c r="G1303" s="165"/>
      <c r="H1303" s="165"/>
      <c r="I1303" s="165"/>
      <c r="J1303" s="165"/>
      <c r="K1303" s="165"/>
      <c r="L1303" s="165"/>
      <c r="M1303" s="165"/>
      <c r="N1303" s="165"/>
      <c r="O1303" s="165"/>
      <c r="P1303" s="165"/>
      <c r="Q1303" s="75"/>
      <c r="R1303" s="75"/>
      <c r="S1303" s="75"/>
      <c r="T1303" s="75"/>
      <c r="U1303" s="75"/>
      <c r="V1303" s="75"/>
    </row>
    <row r="1304" spans="2:22" x14ac:dyDescent="0.2">
      <c r="B1304" s="73" t="s">
        <v>10322</v>
      </c>
      <c r="C1304" s="33" t="s">
        <v>1131</v>
      </c>
      <c r="D1304" s="23" t="s">
        <v>1132</v>
      </c>
      <c r="E1304" s="73"/>
      <c r="F1304" s="73"/>
      <c r="G1304" s="73"/>
      <c r="H1304" s="73"/>
      <c r="I1304" s="73"/>
      <c r="J1304" s="33" t="s">
        <v>9374</v>
      </c>
      <c r="K1304" s="33" t="s">
        <v>11016</v>
      </c>
      <c r="L1304" s="33" t="s">
        <v>121</v>
      </c>
      <c r="M1304" s="33" t="s">
        <v>9376</v>
      </c>
      <c r="N1304" s="73"/>
      <c r="O1304" s="73"/>
      <c r="P1304" s="73"/>
      <c r="Q1304" s="76"/>
      <c r="R1304" s="76"/>
      <c r="S1304" s="76"/>
      <c r="T1304" s="76"/>
      <c r="U1304" s="76"/>
      <c r="V1304" s="76"/>
    </row>
    <row r="1305" spans="2:22" x14ac:dyDescent="0.2">
      <c r="B1305" s="166"/>
      <c r="C1305" s="166"/>
      <c r="D1305" s="166"/>
      <c r="E1305" s="166"/>
      <c r="F1305" s="166"/>
      <c r="G1305" s="166"/>
      <c r="H1305" s="166"/>
      <c r="I1305" s="166"/>
      <c r="J1305" s="166"/>
      <c r="K1305" s="166"/>
      <c r="L1305" s="166"/>
      <c r="M1305" s="166"/>
      <c r="N1305" s="166"/>
      <c r="O1305" s="166"/>
      <c r="P1305" s="166"/>
      <c r="Q1305" s="73"/>
      <c r="R1305" s="23"/>
      <c r="S1305" s="23"/>
      <c r="T1305" s="73"/>
      <c r="U1305" s="73"/>
      <c r="V1305" s="73"/>
    </row>
    <row r="1306" spans="2:22" x14ac:dyDescent="0.2">
      <c r="B1306" s="165" t="s">
        <v>10325</v>
      </c>
      <c r="C1306" s="165"/>
      <c r="D1306" s="165"/>
      <c r="E1306" s="165"/>
      <c r="F1306" s="165"/>
      <c r="G1306" s="165"/>
      <c r="H1306" s="165"/>
      <c r="I1306" s="165"/>
      <c r="J1306" s="165"/>
      <c r="K1306" s="165"/>
      <c r="L1306" s="165"/>
      <c r="M1306" s="165"/>
      <c r="N1306" s="165"/>
      <c r="O1306" s="165"/>
      <c r="P1306" s="165"/>
      <c r="Q1306" s="73"/>
      <c r="R1306" s="23"/>
      <c r="S1306" s="23"/>
      <c r="T1306" s="73"/>
      <c r="U1306" s="73"/>
      <c r="V1306" s="73"/>
    </row>
    <row r="1307" spans="2:22" x14ac:dyDescent="0.2">
      <c r="B1307" s="73" t="s">
        <v>10325</v>
      </c>
      <c r="C1307" s="33" t="s">
        <v>1133</v>
      </c>
      <c r="D1307" s="23" t="s">
        <v>1134</v>
      </c>
      <c r="E1307" s="73"/>
      <c r="F1307" s="73"/>
      <c r="G1307" s="73"/>
      <c r="H1307" s="73"/>
      <c r="I1307" s="73"/>
      <c r="J1307" s="33" t="s">
        <v>9374</v>
      </c>
      <c r="K1307" s="33" t="s">
        <v>11016</v>
      </c>
      <c r="L1307" s="33" t="s">
        <v>121</v>
      </c>
      <c r="M1307" s="33" t="s">
        <v>9376</v>
      </c>
      <c r="N1307" s="73"/>
      <c r="O1307" s="73"/>
      <c r="P1307" s="73"/>
      <c r="Q1307" s="75"/>
      <c r="R1307" s="75"/>
      <c r="S1307" s="75"/>
      <c r="T1307" s="75"/>
      <c r="U1307" s="75"/>
      <c r="V1307" s="75"/>
    </row>
    <row r="1308" spans="2:22" x14ac:dyDescent="0.2">
      <c r="B1308" s="166"/>
      <c r="C1308" s="166"/>
      <c r="D1308" s="166"/>
      <c r="E1308" s="166"/>
      <c r="F1308" s="166"/>
      <c r="G1308" s="166"/>
      <c r="H1308" s="166"/>
      <c r="I1308" s="166"/>
      <c r="J1308" s="166"/>
      <c r="K1308" s="166"/>
      <c r="L1308" s="166"/>
      <c r="M1308" s="166"/>
      <c r="N1308" s="166"/>
      <c r="O1308" s="166"/>
      <c r="P1308" s="166"/>
      <c r="Q1308" s="76"/>
      <c r="R1308" s="76"/>
      <c r="S1308" s="76"/>
      <c r="T1308" s="76"/>
      <c r="U1308" s="76"/>
      <c r="V1308" s="76"/>
    </row>
    <row r="1309" spans="2:22" x14ac:dyDescent="0.2">
      <c r="B1309" s="165" t="s">
        <v>10328</v>
      </c>
      <c r="C1309" s="165"/>
      <c r="D1309" s="165"/>
      <c r="E1309" s="165"/>
      <c r="F1309" s="165"/>
      <c r="G1309" s="165"/>
      <c r="H1309" s="165"/>
      <c r="I1309" s="165"/>
      <c r="J1309" s="165"/>
      <c r="K1309" s="165"/>
      <c r="L1309" s="165"/>
      <c r="M1309" s="165"/>
      <c r="N1309" s="165"/>
      <c r="O1309" s="165"/>
      <c r="P1309" s="165"/>
      <c r="Q1309" s="73"/>
      <c r="R1309" s="23"/>
      <c r="S1309" s="23"/>
      <c r="T1309" s="73"/>
      <c r="U1309" s="73"/>
      <c r="V1309" s="73"/>
    </row>
    <row r="1310" spans="2:22" x14ac:dyDescent="0.2">
      <c r="B1310" s="73" t="s">
        <v>10328</v>
      </c>
      <c r="C1310" s="33" t="s">
        <v>1135</v>
      </c>
      <c r="D1310" s="23" t="s">
        <v>1136</v>
      </c>
      <c r="E1310" s="73"/>
      <c r="F1310" s="73"/>
      <c r="G1310" s="73"/>
      <c r="H1310" s="73"/>
      <c r="I1310" s="73"/>
      <c r="J1310" s="33" t="s">
        <v>9374</v>
      </c>
      <c r="K1310" s="33" t="s">
        <v>11016</v>
      </c>
      <c r="L1310" s="33" t="s">
        <v>121</v>
      </c>
      <c r="M1310" s="33" t="s">
        <v>9376</v>
      </c>
      <c r="N1310" s="73"/>
      <c r="O1310" s="73"/>
      <c r="P1310" s="73"/>
      <c r="Q1310" s="73"/>
      <c r="R1310" s="23"/>
      <c r="S1310" s="23"/>
      <c r="T1310" s="73"/>
      <c r="U1310" s="73"/>
      <c r="V1310" s="73"/>
    </row>
    <row r="1311" spans="2:22" x14ac:dyDescent="0.2">
      <c r="B1311" s="166"/>
      <c r="C1311" s="166"/>
      <c r="D1311" s="166"/>
      <c r="E1311" s="166"/>
      <c r="F1311" s="166"/>
      <c r="G1311" s="166"/>
      <c r="H1311" s="166"/>
      <c r="I1311" s="166"/>
      <c r="J1311" s="166"/>
      <c r="K1311" s="166"/>
      <c r="L1311" s="166"/>
      <c r="M1311" s="166"/>
      <c r="N1311" s="166"/>
      <c r="O1311" s="166"/>
      <c r="P1311" s="166"/>
      <c r="Q1311" s="75"/>
      <c r="R1311" s="75"/>
      <c r="S1311" s="75"/>
      <c r="T1311" s="75"/>
      <c r="U1311" s="75"/>
      <c r="V1311" s="75"/>
    </row>
    <row r="1312" spans="2:22" x14ac:dyDescent="0.2">
      <c r="B1312" s="165" t="s">
        <v>10331</v>
      </c>
      <c r="C1312" s="165"/>
      <c r="D1312" s="165"/>
      <c r="E1312" s="165"/>
      <c r="F1312" s="165"/>
      <c r="G1312" s="165"/>
      <c r="H1312" s="165"/>
      <c r="I1312" s="165"/>
      <c r="J1312" s="165"/>
      <c r="K1312" s="165"/>
      <c r="L1312" s="165"/>
      <c r="M1312" s="165"/>
      <c r="N1312" s="165"/>
      <c r="O1312" s="165"/>
      <c r="P1312" s="165"/>
      <c r="Q1312" s="76"/>
      <c r="R1312" s="76"/>
      <c r="S1312" s="76"/>
      <c r="T1312" s="76"/>
      <c r="U1312" s="76"/>
      <c r="V1312" s="76"/>
    </row>
    <row r="1313" spans="2:22" x14ac:dyDescent="0.2">
      <c r="B1313" s="73" t="s">
        <v>10331</v>
      </c>
      <c r="C1313" s="33" t="s">
        <v>1137</v>
      </c>
      <c r="D1313" s="23" t="s">
        <v>1138</v>
      </c>
      <c r="E1313" s="73"/>
      <c r="F1313" s="73"/>
      <c r="G1313" s="73"/>
      <c r="H1313" s="73"/>
      <c r="I1313" s="73"/>
      <c r="J1313" s="33" t="s">
        <v>9374</v>
      </c>
      <c r="K1313" s="33" t="s">
        <v>11016</v>
      </c>
      <c r="L1313" s="33" t="s">
        <v>121</v>
      </c>
      <c r="M1313" s="33" t="s">
        <v>9376</v>
      </c>
      <c r="N1313" s="73"/>
      <c r="O1313" s="73"/>
      <c r="P1313" s="73"/>
      <c r="Q1313" s="73"/>
      <c r="R1313" s="23"/>
      <c r="S1313" s="23"/>
      <c r="T1313" s="73"/>
      <c r="U1313" s="73"/>
      <c r="V1313" s="73"/>
    </row>
    <row r="1314" spans="2:22" x14ac:dyDescent="0.2">
      <c r="B1314" s="166"/>
      <c r="C1314" s="166"/>
      <c r="D1314" s="166"/>
      <c r="E1314" s="166"/>
      <c r="F1314" s="166"/>
      <c r="G1314" s="166"/>
      <c r="H1314" s="166"/>
      <c r="I1314" s="166"/>
      <c r="J1314" s="166"/>
      <c r="K1314" s="166"/>
      <c r="L1314" s="166"/>
      <c r="M1314" s="166"/>
      <c r="N1314" s="166"/>
      <c r="O1314" s="166"/>
      <c r="P1314" s="166"/>
      <c r="Q1314" s="73"/>
      <c r="R1314" s="23"/>
      <c r="S1314" s="23"/>
      <c r="T1314" s="73"/>
      <c r="U1314" s="73"/>
      <c r="V1314" s="73"/>
    </row>
    <row r="1315" spans="2:22" x14ac:dyDescent="0.2">
      <c r="B1315" s="165" t="s">
        <v>10334</v>
      </c>
      <c r="C1315" s="165"/>
      <c r="D1315" s="165"/>
      <c r="E1315" s="165"/>
      <c r="F1315" s="165"/>
      <c r="G1315" s="165"/>
      <c r="H1315" s="165"/>
      <c r="I1315" s="165"/>
      <c r="J1315" s="165"/>
      <c r="K1315" s="165"/>
      <c r="L1315" s="165"/>
      <c r="M1315" s="165"/>
      <c r="N1315" s="165"/>
      <c r="O1315" s="165"/>
      <c r="P1315" s="165"/>
      <c r="Q1315" s="75"/>
      <c r="R1315" s="75"/>
      <c r="S1315" s="75"/>
      <c r="T1315" s="75"/>
      <c r="U1315" s="75"/>
      <c r="V1315" s="75"/>
    </row>
    <row r="1316" spans="2:22" x14ac:dyDescent="0.2">
      <c r="B1316" s="73" t="s">
        <v>10334</v>
      </c>
      <c r="C1316" s="33" t="s">
        <v>1139</v>
      </c>
      <c r="D1316" s="23" t="s">
        <v>1140</v>
      </c>
      <c r="E1316" s="73"/>
      <c r="F1316" s="73"/>
      <c r="G1316" s="73"/>
      <c r="H1316" s="73"/>
      <c r="I1316" s="73"/>
      <c r="J1316" s="33" t="s">
        <v>9374</v>
      </c>
      <c r="K1316" s="33" t="s">
        <v>11016</v>
      </c>
      <c r="L1316" s="33" t="s">
        <v>121</v>
      </c>
      <c r="M1316" s="33" t="s">
        <v>9376</v>
      </c>
      <c r="N1316" s="73"/>
      <c r="O1316" s="73"/>
      <c r="P1316" s="73"/>
      <c r="Q1316" s="76"/>
      <c r="R1316" s="76"/>
      <c r="S1316" s="76"/>
      <c r="T1316" s="76"/>
      <c r="U1316" s="76"/>
      <c r="V1316" s="76"/>
    </row>
    <row r="1317" spans="2:22" x14ac:dyDescent="0.2">
      <c r="B1317" s="166"/>
      <c r="C1317" s="166"/>
      <c r="D1317" s="166"/>
      <c r="E1317" s="166"/>
      <c r="F1317" s="166"/>
      <c r="G1317" s="166"/>
      <c r="H1317" s="166"/>
      <c r="I1317" s="166"/>
      <c r="J1317" s="166"/>
      <c r="K1317" s="166"/>
      <c r="L1317" s="166"/>
      <c r="M1317" s="166"/>
      <c r="N1317" s="166"/>
      <c r="O1317" s="166"/>
      <c r="P1317" s="166"/>
      <c r="Q1317" s="73"/>
      <c r="R1317" s="23"/>
      <c r="S1317" s="23"/>
      <c r="T1317" s="73"/>
      <c r="U1317" s="73"/>
      <c r="V1317" s="73"/>
    </row>
    <row r="1318" spans="2:22" x14ac:dyDescent="0.2">
      <c r="B1318" s="165" t="s">
        <v>10336</v>
      </c>
      <c r="C1318" s="165"/>
      <c r="D1318" s="165"/>
      <c r="E1318" s="165"/>
      <c r="F1318" s="165"/>
      <c r="G1318" s="165"/>
      <c r="H1318" s="165"/>
      <c r="I1318" s="165"/>
      <c r="J1318" s="165"/>
      <c r="K1318" s="165"/>
      <c r="L1318" s="165"/>
      <c r="M1318" s="165"/>
      <c r="N1318" s="165"/>
      <c r="O1318" s="165"/>
      <c r="P1318" s="165"/>
      <c r="Q1318" s="73"/>
      <c r="R1318" s="23"/>
      <c r="S1318" s="23"/>
      <c r="T1318" s="73"/>
      <c r="U1318" s="73"/>
      <c r="V1318" s="73"/>
    </row>
    <row r="1319" spans="2:22" x14ac:dyDescent="0.2">
      <c r="B1319" s="73" t="s">
        <v>10336</v>
      </c>
      <c r="C1319" s="33" t="s">
        <v>1141</v>
      </c>
      <c r="D1319" s="23" t="s">
        <v>1142</v>
      </c>
      <c r="E1319" s="73"/>
      <c r="F1319" s="73"/>
      <c r="G1319" s="73"/>
      <c r="H1319" s="73"/>
      <c r="I1319" s="73"/>
      <c r="J1319" s="33" t="s">
        <v>9374</v>
      </c>
      <c r="K1319" s="33" t="s">
        <v>9375</v>
      </c>
      <c r="L1319" s="33" t="s">
        <v>121</v>
      </c>
      <c r="M1319" s="33" t="s">
        <v>9376</v>
      </c>
      <c r="N1319" s="73"/>
      <c r="O1319" s="73"/>
      <c r="P1319" s="73"/>
      <c r="Q1319" s="75"/>
      <c r="R1319" s="75"/>
      <c r="S1319" s="75"/>
      <c r="T1319" s="75"/>
      <c r="U1319" s="75"/>
      <c r="V1319" s="75"/>
    </row>
    <row r="1320" spans="2:22" ht="224.4" x14ac:dyDescent="0.2">
      <c r="B1320" s="73" t="s">
        <v>10336</v>
      </c>
      <c r="C1320" s="33" t="s">
        <v>1846</v>
      </c>
      <c r="D1320" s="23" t="s">
        <v>1847</v>
      </c>
      <c r="E1320" s="73" t="s">
        <v>11169</v>
      </c>
      <c r="F1320" s="73" t="s">
        <v>10902</v>
      </c>
      <c r="G1320" s="73"/>
      <c r="H1320" s="73" t="s">
        <v>11006</v>
      </c>
      <c r="I1320" s="73" t="s">
        <v>11170</v>
      </c>
      <c r="J1320" s="33" t="s">
        <v>9374</v>
      </c>
      <c r="K1320" s="33" t="s">
        <v>9375</v>
      </c>
      <c r="L1320" s="33" t="s">
        <v>121</v>
      </c>
      <c r="M1320" s="33" t="s">
        <v>9376</v>
      </c>
      <c r="N1320" s="73"/>
      <c r="O1320" s="73"/>
      <c r="P1320" s="73"/>
      <c r="Q1320" s="76"/>
      <c r="R1320" s="76"/>
      <c r="S1320" s="76"/>
      <c r="T1320" s="76"/>
      <c r="U1320" s="76"/>
      <c r="V1320" s="76"/>
    </row>
    <row r="1321" spans="2:22" x14ac:dyDescent="0.2">
      <c r="B1321" s="73" t="s">
        <v>10336</v>
      </c>
      <c r="C1321" s="33" t="s">
        <v>1909</v>
      </c>
      <c r="D1321" s="23" t="s">
        <v>1910</v>
      </c>
      <c r="E1321" s="73" t="s">
        <v>11169</v>
      </c>
      <c r="F1321" s="73" t="s">
        <v>10902</v>
      </c>
      <c r="G1321" s="73"/>
      <c r="H1321" s="73" t="s">
        <v>11006</v>
      </c>
      <c r="I1321" s="73" t="s">
        <v>11171</v>
      </c>
      <c r="J1321" s="33" t="s">
        <v>9374</v>
      </c>
      <c r="K1321" s="33" t="s">
        <v>9375</v>
      </c>
      <c r="L1321" s="33" t="s">
        <v>121</v>
      </c>
      <c r="M1321" s="33" t="s">
        <v>9376</v>
      </c>
      <c r="N1321" s="73"/>
      <c r="O1321" s="73"/>
      <c r="P1321" s="73"/>
      <c r="Q1321" s="73"/>
      <c r="R1321" s="23"/>
      <c r="S1321" s="23"/>
      <c r="T1321" s="73"/>
      <c r="U1321" s="73"/>
      <c r="V1321" s="73"/>
    </row>
    <row r="1322" spans="2:22" x14ac:dyDescent="0.2">
      <c r="B1322" s="73" t="s">
        <v>10336</v>
      </c>
      <c r="C1322" s="33" t="s">
        <v>1949</v>
      </c>
      <c r="D1322" s="23" t="s">
        <v>1950</v>
      </c>
      <c r="E1322" s="73" t="s">
        <v>11169</v>
      </c>
      <c r="F1322" s="73" t="s">
        <v>10902</v>
      </c>
      <c r="G1322" s="73"/>
      <c r="H1322" s="73" t="s">
        <v>11006</v>
      </c>
      <c r="I1322" s="73"/>
      <c r="J1322" s="33" t="s">
        <v>9374</v>
      </c>
      <c r="K1322" s="33" t="s">
        <v>9375</v>
      </c>
      <c r="L1322" s="33" t="s">
        <v>121</v>
      </c>
      <c r="M1322" s="33" t="s">
        <v>9376</v>
      </c>
      <c r="N1322" s="73"/>
      <c r="O1322" s="73"/>
      <c r="P1322" s="73"/>
      <c r="Q1322" s="73"/>
      <c r="R1322" s="23"/>
      <c r="S1322" s="23"/>
      <c r="T1322" s="73"/>
      <c r="U1322" s="73"/>
      <c r="V1322" s="73"/>
    </row>
    <row r="1323" spans="2:22" x14ac:dyDescent="0.2">
      <c r="B1323" s="166"/>
      <c r="C1323" s="166"/>
      <c r="D1323" s="166"/>
      <c r="E1323" s="166"/>
      <c r="F1323" s="166"/>
      <c r="G1323" s="166"/>
      <c r="H1323" s="166"/>
      <c r="I1323" s="166"/>
      <c r="J1323" s="166"/>
      <c r="K1323" s="166"/>
      <c r="L1323" s="166"/>
      <c r="M1323" s="166"/>
      <c r="N1323" s="166"/>
      <c r="O1323" s="166"/>
      <c r="P1323" s="166"/>
      <c r="Q1323" s="75"/>
      <c r="R1323" s="75"/>
      <c r="S1323" s="75"/>
      <c r="T1323" s="75"/>
      <c r="U1323" s="75"/>
      <c r="V1323" s="75"/>
    </row>
    <row r="1324" spans="2:22" x14ac:dyDescent="0.2">
      <c r="B1324" s="165" t="s">
        <v>10338</v>
      </c>
      <c r="C1324" s="165"/>
      <c r="D1324" s="165"/>
      <c r="E1324" s="165"/>
      <c r="F1324" s="165"/>
      <c r="G1324" s="165"/>
      <c r="H1324" s="165"/>
      <c r="I1324" s="165"/>
      <c r="J1324" s="165"/>
      <c r="K1324" s="165"/>
      <c r="L1324" s="165"/>
      <c r="M1324" s="165"/>
      <c r="N1324" s="165"/>
      <c r="O1324" s="165"/>
      <c r="P1324" s="165"/>
      <c r="Q1324" s="76"/>
      <c r="R1324" s="76"/>
      <c r="S1324" s="76"/>
      <c r="T1324" s="76"/>
      <c r="U1324" s="76"/>
      <c r="V1324" s="76"/>
    </row>
    <row r="1325" spans="2:22" x14ac:dyDescent="0.2">
      <c r="B1325" s="73" t="s">
        <v>10338</v>
      </c>
      <c r="C1325" s="33" t="s">
        <v>1143</v>
      </c>
      <c r="D1325" s="23" t="s">
        <v>1144</v>
      </c>
      <c r="E1325" s="73"/>
      <c r="F1325" s="73"/>
      <c r="G1325" s="73"/>
      <c r="H1325" s="73"/>
      <c r="I1325" s="73"/>
      <c r="J1325" s="33" t="s">
        <v>9374</v>
      </c>
      <c r="K1325" s="33" t="s">
        <v>9375</v>
      </c>
      <c r="L1325" s="33" t="s">
        <v>121</v>
      </c>
      <c r="M1325" s="33" t="s">
        <v>9376</v>
      </c>
      <c r="N1325" s="73"/>
      <c r="O1325" s="73"/>
      <c r="P1325" s="73"/>
      <c r="Q1325" s="73"/>
      <c r="R1325" s="23"/>
      <c r="S1325" s="23"/>
      <c r="T1325" s="73"/>
      <c r="U1325" s="73"/>
      <c r="V1325" s="73"/>
    </row>
    <row r="1326" spans="2:22" ht="409.6" x14ac:dyDescent="0.2">
      <c r="B1326" s="73" t="s">
        <v>10338</v>
      </c>
      <c r="C1326" s="33" t="s">
        <v>1860</v>
      </c>
      <c r="D1326" s="23" t="s">
        <v>1861</v>
      </c>
      <c r="E1326" s="73" t="s">
        <v>11172</v>
      </c>
      <c r="F1326" s="73" t="s">
        <v>10902</v>
      </c>
      <c r="G1326" s="73"/>
      <c r="H1326" s="73" t="s">
        <v>11173</v>
      </c>
      <c r="I1326" s="73" t="s">
        <v>11174</v>
      </c>
      <c r="J1326" s="33" t="s">
        <v>9374</v>
      </c>
      <c r="K1326" s="33" t="s">
        <v>9375</v>
      </c>
      <c r="L1326" s="33" t="s">
        <v>121</v>
      </c>
      <c r="M1326" s="33" t="s">
        <v>9376</v>
      </c>
      <c r="N1326" s="73"/>
      <c r="O1326" s="73"/>
      <c r="P1326" s="73"/>
      <c r="Q1326" s="73"/>
      <c r="R1326" s="23"/>
      <c r="S1326" s="23"/>
      <c r="T1326" s="73"/>
      <c r="U1326" s="73"/>
      <c r="V1326" s="73"/>
    </row>
    <row r="1327" spans="2:22" x14ac:dyDescent="0.2">
      <c r="B1327" s="73" t="s">
        <v>10338</v>
      </c>
      <c r="C1327" s="33" t="s">
        <v>1911</v>
      </c>
      <c r="D1327" s="23" t="s">
        <v>1912</v>
      </c>
      <c r="E1327" s="73" t="s">
        <v>11172</v>
      </c>
      <c r="F1327" s="73" t="s">
        <v>10902</v>
      </c>
      <c r="G1327" s="73"/>
      <c r="H1327" s="73" t="s">
        <v>11173</v>
      </c>
      <c r="I1327" s="73" t="s">
        <v>11175</v>
      </c>
      <c r="J1327" s="33" t="s">
        <v>9374</v>
      </c>
      <c r="K1327" s="33" t="s">
        <v>9375</v>
      </c>
      <c r="L1327" s="33" t="s">
        <v>121</v>
      </c>
      <c r="M1327" s="33" t="s">
        <v>9376</v>
      </c>
      <c r="N1327" s="73"/>
      <c r="O1327" s="73"/>
      <c r="P1327" s="73"/>
      <c r="Q1327" s="75"/>
      <c r="R1327" s="75"/>
      <c r="S1327" s="75"/>
      <c r="T1327" s="75"/>
      <c r="U1327" s="75"/>
      <c r="V1327" s="75"/>
    </row>
    <row r="1328" spans="2:22" x14ac:dyDescent="0.2">
      <c r="B1328" s="73" t="s">
        <v>10338</v>
      </c>
      <c r="C1328" s="33" t="s">
        <v>1947</v>
      </c>
      <c r="D1328" s="23" t="s">
        <v>1948</v>
      </c>
      <c r="E1328" s="73" t="s">
        <v>11172</v>
      </c>
      <c r="F1328" s="73" t="s">
        <v>10902</v>
      </c>
      <c r="G1328" s="73"/>
      <c r="H1328" s="73" t="s">
        <v>11173</v>
      </c>
      <c r="I1328" s="73"/>
      <c r="J1328" s="33" t="s">
        <v>9374</v>
      </c>
      <c r="K1328" s="33" t="s">
        <v>9375</v>
      </c>
      <c r="L1328" s="33" t="s">
        <v>121</v>
      </c>
      <c r="M1328" s="33" t="s">
        <v>9376</v>
      </c>
      <c r="N1328" s="73"/>
      <c r="O1328" s="73"/>
      <c r="P1328" s="73"/>
      <c r="Q1328" s="76"/>
      <c r="R1328" s="76"/>
      <c r="S1328" s="76"/>
      <c r="T1328" s="76"/>
      <c r="U1328" s="76"/>
      <c r="V1328" s="76"/>
    </row>
    <row r="1329" spans="2:22" x14ac:dyDescent="0.2">
      <c r="B1329" s="166"/>
      <c r="C1329" s="166"/>
      <c r="D1329" s="166"/>
      <c r="E1329" s="166"/>
      <c r="F1329" s="166"/>
      <c r="G1329" s="166"/>
      <c r="H1329" s="166"/>
      <c r="I1329" s="166"/>
      <c r="J1329" s="166"/>
      <c r="K1329" s="166"/>
      <c r="L1329" s="166"/>
      <c r="M1329" s="166"/>
      <c r="N1329" s="166"/>
      <c r="O1329" s="166"/>
      <c r="P1329" s="166"/>
      <c r="Q1329" s="73"/>
      <c r="R1329" s="23"/>
      <c r="S1329" s="23"/>
      <c r="T1329" s="73"/>
      <c r="U1329" s="73"/>
      <c r="V1329" s="73"/>
    </row>
    <row r="1330" spans="2:22" x14ac:dyDescent="0.2">
      <c r="B1330" s="165" t="s">
        <v>10340</v>
      </c>
      <c r="C1330" s="165"/>
      <c r="D1330" s="165"/>
      <c r="E1330" s="165"/>
      <c r="F1330" s="165"/>
      <c r="G1330" s="165"/>
      <c r="H1330" s="165"/>
      <c r="I1330" s="165"/>
      <c r="J1330" s="165"/>
      <c r="K1330" s="165"/>
      <c r="L1330" s="165"/>
      <c r="M1330" s="165"/>
      <c r="N1330" s="165"/>
      <c r="O1330" s="165"/>
      <c r="P1330" s="165"/>
      <c r="Q1330" s="75"/>
      <c r="R1330" s="75"/>
      <c r="S1330" s="75"/>
      <c r="T1330" s="75"/>
      <c r="U1330" s="75"/>
      <c r="V1330" s="75"/>
    </row>
    <row r="1331" spans="2:22" x14ac:dyDescent="0.2">
      <c r="B1331" s="73" t="s">
        <v>10340</v>
      </c>
      <c r="C1331" s="33" t="s">
        <v>1145</v>
      </c>
      <c r="D1331" s="23" t="s">
        <v>1146</v>
      </c>
      <c r="E1331" s="73"/>
      <c r="F1331" s="73"/>
      <c r="G1331" s="73"/>
      <c r="H1331" s="73"/>
      <c r="I1331" s="73"/>
      <c r="J1331" s="33" t="s">
        <v>9374</v>
      </c>
      <c r="K1331" s="33" t="s">
        <v>9375</v>
      </c>
      <c r="L1331" s="33" t="s">
        <v>121</v>
      </c>
      <c r="M1331" s="33" t="s">
        <v>9376</v>
      </c>
      <c r="N1331" s="73"/>
      <c r="O1331" s="73"/>
      <c r="P1331" s="73"/>
      <c r="Q1331" s="76"/>
      <c r="R1331" s="76"/>
      <c r="S1331" s="76"/>
      <c r="T1331" s="76"/>
      <c r="U1331" s="76"/>
      <c r="V1331" s="76"/>
    </row>
    <row r="1332" spans="2:22" ht="409.6" x14ac:dyDescent="0.2">
      <c r="B1332" s="73" t="s">
        <v>10340</v>
      </c>
      <c r="C1332" s="33" t="s">
        <v>1762</v>
      </c>
      <c r="D1332" s="23" t="s">
        <v>1763</v>
      </c>
      <c r="E1332" s="73" t="s">
        <v>11176</v>
      </c>
      <c r="F1332" s="73" t="s">
        <v>10902</v>
      </c>
      <c r="G1332" s="73"/>
      <c r="H1332" s="73" t="s">
        <v>10917</v>
      </c>
      <c r="I1332" s="73" t="s">
        <v>11177</v>
      </c>
      <c r="J1332" s="33" t="s">
        <v>9374</v>
      </c>
      <c r="K1332" s="33" t="s">
        <v>9375</v>
      </c>
      <c r="L1332" s="33" t="s">
        <v>121</v>
      </c>
      <c r="M1332" s="33" t="s">
        <v>9376</v>
      </c>
      <c r="N1332" s="73"/>
      <c r="O1332" s="73"/>
      <c r="P1332" s="73"/>
      <c r="Q1332" s="73"/>
      <c r="R1332" s="23"/>
      <c r="S1332" s="23"/>
      <c r="T1332" s="73"/>
      <c r="U1332" s="73"/>
      <c r="V1332" s="73"/>
    </row>
    <row r="1333" spans="2:22" x14ac:dyDescent="0.2">
      <c r="B1333" s="73" t="s">
        <v>10340</v>
      </c>
      <c r="C1333" s="33" t="s">
        <v>1906</v>
      </c>
      <c r="D1333" s="23" t="s">
        <v>1907</v>
      </c>
      <c r="E1333" s="73" t="s">
        <v>11176</v>
      </c>
      <c r="F1333" s="73" t="s">
        <v>10902</v>
      </c>
      <c r="G1333" s="73"/>
      <c r="H1333" s="73" t="s">
        <v>10917</v>
      </c>
      <c r="I1333" s="73" t="s">
        <v>11178</v>
      </c>
      <c r="J1333" s="33" t="s">
        <v>9374</v>
      </c>
      <c r="K1333" s="33" t="s">
        <v>9375</v>
      </c>
      <c r="L1333" s="33" t="s">
        <v>121</v>
      </c>
      <c r="M1333" s="33" t="s">
        <v>9376</v>
      </c>
      <c r="N1333" s="73"/>
      <c r="O1333" s="73"/>
      <c r="P1333" s="73"/>
      <c r="Q1333" s="75"/>
      <c r="R1333" s="75"/>
      <c r="S1333" s="75"/>
      <c r="T1333" s="75"/>
      <c r="U1333" s="75"/>
      <c r="V1333" s="75"/>
    </row>
    <row r="1334" spans="2:22" x14ac:dyDescent="0.2">
      <c r="B1334" s="73" t="s">
        <v>10340</v>
      </c>
      <c r="C1334" s="33" t="s">
        <v>1951</v>
      </c>
      <c r="D1334" s="23" t="s">
        <v>1952</v>
      </c>
      <c r="E1334" s="73" t="s">
        <v>11176</v>
      </c>
      <c r="F1334" s="73" t="s">
        <v>10902</v>
      </c>
      <c r="G1334" s="73"/>
      <c r="H1334" s="73" t="s">
        <v>10917</v>
      </c>
      <c r="I1334" s="73"/>
      <c r="J1334" s="33" t="s">
        <v>9374</v>
      </c>
      <c r="K1334" s="33" t="s">
        <v>9375</v>
      </c>
      <c r="L1334" s="33" t="s">
        <v>121</v>
      </c>
      <c r="M1334" s="33" t="s">
        <v>9376</v>
      </c>
      <c r="N1334" s="73"/>
      <c r="O1334" s="73"/>
      <c r="P1334" s="73"/>
      <c r="Q1334" s="76"/>
      <c r="R1334" s="76"/>
      <c r="S1334" s="76"/>
      <c r="T1334" s="76"/>
      <c r="U1334" s="76"/>
      <c r="V1334" s="76"/>
    </row>
    <row r="1335" spans="2:22" x14ac:dyDescent="0.2">
      <c r="B1335" s="73" t="s">
        <v>10340</v>
      </c>
      <c r="C1335" s="33" t="s">
        <v>2015</v>
      </c>
      <c r="D1335" s="23" t="s">
        <v>2016</v>
      </c>
      <c r="E1335" s="73" t="s">
        <v>11003</v>
      </c>
      <c r="F1335" s="73" t="s">
        <v>10902</v>
      </c>
      <c r="G1335" s="73"/>
      <c r="H1335" s="73" t="s">
        <v>11004</v>
      </c>
      <c r="I1335" s="73" t="s">
        <v>11179</v>
      </c>
      <c r="J1335" s="33" t="s">
        <v>9374</v>
      </c>
      <c r="K1335" s="33" t="s">
        <v>9375</v>
      </c>
      <c r="L1335" s="33" t="s">
        <v>121</v>
      </c>
      <c r="M1335" s="33" t="s">
        <v>9376</v>
      </c>
      <c r="N1335" s="73"/>
      <c r="O1335" s="73"/>
      <c r="P1335" s="73"/>
      <c r="Q1335" s="73"/>
      <c r="R1335" s="23"/>
      <c r="S1335" s="23"/>
      <c r="T1335" s="73"/>
      <c r="U1335" s="73"/>
      <c r="V1335" s="73"/>
    </row>
    <row r="1336" spans="2:22" x14ac:dyDescent="0.2">
      <c r="B1336" s="166"/>
      <c r="C1336" s="166"/>
      <c r="D1336" s="166"/>
      <c r="E1336" s="166"/>
      <c r="F1336" s="166"/>
      <c r="G1336" s="166"/>
      <c r="H1336" s="166"/>
      <c r="I1336" s="166"/>
      <c r="J1336" s="166"/>
      <c r="K1336" s="166"/>
      <c r="L1336" s="166"/>
      <c r="M1336" s="166"/>
      <c r="N1336" s="166"/>
      <c r="O1336" s="166"/>
      <c r="P1336" s="166"/>
      <c r="Q1336" s="75"/>
      <c r="R1336" s="75"/>
      <c r="S1336" s="75"/>
      <c r="T1336" s="75"/>
      <c r="U1336" s="75"/>
      <c r="V1336" s="75"/>
    </row>
    <row r="1337" spans="2:22" x14ac:dyDescent="0.2">
      <c r="B1337" s="165" t="s">
        <v>10342</v>
      </c>
      <c r="C1337" s="165"/>
      <c r="D1337" s="165"/>
      <c r="E1337" s="165"/>
      <c r="F1337" s="165"/>
      <c r="G1337" s="165"/>
      <c r="H1337" s="165"/>
      <c r="I1337" s="165"/>
      <c r="J1337" s="165"/>
      <c r="K1337" s="165"/>
      <c r="L1337" s="165"/>
      <c r="M1337" s="165"/>
      <c r="N1337" s="165"/>
      <c r="O1337" s="165"/>
      <c r="P1337" s="165"/>
      <c r="Q1337" s="76"/>
      <c r="R1337" s="76"/>
      <c r="S1337" s="76"/>
      <c r="T1337" s="76"/>
      <c r="U1337" s="76"/>
      <c r="V1337" s="76"/>
    </row>
    <row r="1338" spans="2:22" x14ac:dyDescent="0.2">
      <c r="B1338" s="73" t="s">
        <v>10342</v>
      </c>
      <c r="C1338" s="33" t="s">
        <v>1147</v>
      </c>
      <c r="D1338" s="23" t="s">
        <v>1148</v>
      </c>
      <c r="E1338" s="73"/>
      <c r="F1338" s="73"/>
      <c r="G1338" s="73"/>
      <c r="H1338" s="73"/>
      <c r="I1338" s="73"/>
      <c r="J1338" s="33" t="s">
        <v>9374</v>
      </c>
      <c r="K1338" s="33" t="s">
        <v>9375</v>
      </c>
      <c r="L1338" s="33" t="s">
        <v>121</v>
      </c>
      <c r="M1338" s="33" t="s">
        <v>9376</v>
      </c>
      <c r="N1338" s="73"/>
      <c r="O1338" s="73"/>
      <c r="P1338" s="73"/>
      <c r="Q1338" s="73"/>
      <c r="R1338" s="23"/>
      <c r="S1338" s="23"/>
      <c r="T1338" s="73"/>
      <c r="U1338" s="73"/>
      <c r="V1338" s="73"/>
    </row>
    <row r="1339" spans="2:22" x14ac:dyDescent="0.2">
      <c r="B1339" s="166"/>
      <c r="C1339" s="166"/>
      <c r="D1339" s="166"/>
      <c r="E1339" s="166"/>
      <c r="F1339" s="166"/>
      <c r="G1339" s="166"/>
      <c r="H1339" s="166"/>
      <c r="I1339" s="166"/>
      <c r="J1339" s="166"/>
      <c r="K1339" s="166"/>
      <c r="L1339" s="166"/>
      <c r="M1339" s="166"/>
      <c r="N1339" s="166"/>
      <c r="O1339" s="166"/>
      <c r="P1339" s="166"/>
      <c r="Q1339" s="73"/>
      <c r="R1339" s="23"/>
      <c r="S1339" s="23"/>
      <c r="T1339" s="73"/>
      <c r="U1339" s="73"/>
      <c r="V1339" s="73"/>
    </row>
    <row r="1340" spans="2:22" x14ac:dyDescent="0.2">
      <c r="B1340" s="165" t="s">
        <v>10344</v>
      </c>
      <c r="C1340" s="165"/>
      <c r="D1340" s="165"/>
      <c r="E1340" s="165"/>
      <c r="F1340" s="165"/>
      <c r="G1340" s="165"/>
      <c r="H1340" s="165"/>
      <c r="I1340" s="165"/>
      <c r="J1340" s="165"/>
      <c r="K1340" s="165"/>
      <c r="L1340" s="165"/>
      <c r="M1340" s="165"/>
      <c r="N1340" s="165"/>
      <c r="O1340" s="165"/>
      <c r="P1340" s="165"/>
      <c r="Q1340" s="73"/>
      <c r="R1340" s="23"/>
      <c r="S1340" s="23"/>
      <c r="T1340" s="73"/>
      <c r="U1340" s="73"/>
      <c r="V1340" s="73"/>
    </row>
    <row r="1341" spans="2:22" x14ac:dyDescent="0.2">
      <c r="B1341" s="73" t="s">
        <v>10344</v>
      </c>
      <c r="C1341" s="33" t="s">
        <v>1149</v>
      </c>
      <c r="D1341" s="23" t="s">
        <v>1150</v>
      </c>
      <c r="E1341" s="73"/>
      <c r="F1341" s="73"/>
      <c r="G1341" s="73"/>
      <c r="H1341" s="73"/>
      <c r="I1341" s="73"/>
      <c r="J1341" s="33" t="s">
        <v>9374</v>
      </c>
      <c r="K1341" s="33" t="s">
        <v>9375</v>
      </c>
      <c r="L1341" s="33" t="s">
        <v>121</v>
      </c>
      <c r="M1341" s="33" t="s">
        <v>9376</v>
      </c>
      <c r="N1341" s="73"/>
      <c r="O1341" s="73"/>
      <c r="P1341" s="73"/>
      <c r="Q1341" s="73"/>
      <c r="R1341" s="23"/>
      <c r="S1341" s="23"/>
      <c r="T1341" s="73"/>
      <c r="U1341" s="73"/>
      <c r="V1341" s="73"/>
    </row>
    <row r="1342" spans="2:22" x14ac:dyDescent="0.2">
      <c r="B1342" s="166"/>
      <c r="C1342" s="166"/>
      <c r="D1342" s="166"/>
      <c r="E1342" s="166"/>
      <c r="F1342" s="166"/>
      <c r="G1342" s="166"/>
      <c r="H1342" s="166"/>
      <c r="I1342" s="166"/>
      <c r="J1342" s="166"/>
      <c r="K1342" s="166"/>
      <c r="L1342" s="166"/>
      <c r="M1342" s="166"/>
      <c r="N1342" s="166"/>
      <c r="O1342" s="166"/>
      <c r="P1342" s="166"/>
      <c r="Q1342" s="73"/>
      <c r="R1342" s="23"/>
      <c r="S1342" s="23"/>
      <c r="T1342" s="73"/>
      <c r="U1342" s="73"/>
      <c r="V1342" s="73"/>
    </row>
    <row r="1343" spans="2:22" x14ac:dyDescent="0.2">
      <c r="B1343" s="165" t="s">
        <v>10346</v>
      </c>
      <c r="C1343" s="165"/>
      <c r="D1343" s="165"/>
      <c r="E1343" s="165"/>
      <c r="F1343" s="165"/>
      <c r="G1343" s="165"/>
      <c r="H1343" s="165"/>
      <c r="I1343" s="165"/>
      <c r="J1343" s="165"/>
      <c r="K1343" s="165"/>
      <c r="L1343" s="165"/>
      <c r="M1343" s="165"/>
      <c r="N1343" s="165"/>
      <c r="O1343" s="165"/>
      <c r="P1343" s="165"/>
      <c r="Q1343" s="75"/>
      <c r="R1343" s="75"/>
      <c r="S1343" s="75"/>
      <c r="T1343" s="75"/>
      <c r="U1343" s="75"/>
      <c r="V1343" s="75"/>
    </row>
    <row r="1344" spans="2:22" x14ac:dyDescent="0.2">
      <c r="B1344" s="73" t="s">
        <v>10346</v>
      </c>
      <c r="C1344" s="33" t="s">
        <v>1151</v>
      </c>
      <c r="D1344" s="23" t="s">
        <v>1152</v>
      </c>
      <c r="E1344" s="73"/>
      <c r="F1344" s="73"/>
      <c r="G1344" s="73"/>
      <c r="H1344" s="73"/>
      <c r="I1344" s="73"/>
      <c r="J1344" s="33" t="s">
        <v>9374</v>
      </c>
      <c r="K1344" s="33" t="s">
        <v>9375</v>
      </c>
      <c r="L1344" s="33" t="s">
        <v>121</v>
      </c>
      <c r="M1344" s="33" t="s">
        <v>9376</v>
      </c>
      <c r="N1344" s="73"/>
      <c r="O1344" s="73"/>
      <c r="P1344" s="73"/>
      <c r="Q1344" s="76"/>
      <c r="R1344" s="76"/>
      <c r="S1344" s="76"/>
      <c r="T1344" s="76"/>
      <c r="U1344" s="76"/>
      <c r="V1344" s="76"/>
    </row>
    <row r="1345" spans="2:22" x14ac:dyDescent="0.2">
      <c r="B1345" s="166"/>
      <c r="C1345" s="166"/>
      <c r="D1345" s="166"/>
      <c r="E1345" s="166"/>
      <c r="F1345" s="166"/>
      <c r="G1345" s="166"/>
      <c r="H1345" s="166"/>
      <c r="I1345" s="166"/>
      <c r="J1345" s="166"/>
      <c r="K1345" s="166"/>
      <c r="L1345" s="166"/>
      <c r="M1345" s="166"/>
      <c r="N1345" s="166"/>
      <c r="O1345" s="166"/>
      <c r="P1345" s="166"/>
      <c r="Q1345" s="73"/>
      <c r="R1345" s="23"/>
      <c r="S1345" s="23"/>
      <c r="T1345" s="73"/>
      <c r="U1345" s="73"/>
      <c r="V1345" s="73"/>
    </row>
    <row r="1346" spans="2:22" x14ac:dyDescent="0.2">
      <c r="B1346" s="165" t="s">
        <v>10348</v>
      </c>
      <c r="C1346" s="165"/>
      <c r="D1346" s="165"/>
      <c r="E1346" s="165"/>
      <c r="F1346" s="165"/>
      <c r="G1346" s="165"/>
      <c r="H1346" s="165"/>
      <c r="I1346" s="165"/>
      <c r="J1346" s="165"/>
      <c r="K1346" s="165"/>
      <c r="L1346" s="165"/>
      <c r="M1346" s="165"/>
      <c r="N1346" s="165"/>
      <c r="O1346" s="165"/>
      <c r="P1346" s="165"/>
      <c r="Q1346" s="75"/>
      <c r="R1346" s="75"/>
      <c r="S1346" s="75"/>
      <c r="T1346" s="75"/>
      <c r="U1346" s="75"/>
      <c r="V1346" s="75"/>
    </row>
    <row r="1347" spans="2:22" x14ac:dyDescent="0.2">
      <c r="B1347" s="73" t="s">
        <v>10348</v>
      </c>
      <c r="C1347" s="33" t="s">
        <v>1153</v>
      </c>
      <c r="D1347" s="23" t="s">
        <v>1154</v>
      </c>
      <c r="E1347" s="73"/>
      <c r="F1347" s="73"/>
      <c r="G1347" s="73"/>
      <c r="H1347" s="73"/>
      <c r="I1347" s="73"/>
      <c r="J1347" s="33" t="s">
        <v>9374</v>
      </c>
      <c r="K1347" s="33" t="s">
        <v>11016</v>
      </c>
      <c r="L1347" s="33" t="s">
        <v>121</v>
      </c>
      <c r="M1347" s="33" t="s">
        <v>9376</v>
      </c>
      <c r="N1347" s="73"/>
      <c r="O1347" s="73"/>
      <c r="P1347" s="73"/>
      <c r="Q1347" s="76"/>
      <c r="R1347" s="76"/>
      <c r="S1347" s="76"/>
      <c r="T1347" s="76"/>
      <c r="U1347" s="76"/>
      <c r="V1347" s="76"/>
    </row>
    <row r="1348" spans="2:22" x14ac:dyDescent="0.2">
      <c r="B1348" s="166"/>
      <c r="C1348" s="166"/>
      <c r="D1348" s="166"/>
      <c r="E1348" s="166"/>
      <c r="F1348" s="166"/>
      <c r="G1348" s="166"/>
      <c r="H1348" s="166"/>
      <c r="I1348" s="166"/>
      <c r="J1348" s="166"/>
      <c r="K1348" s="166"/>
      <c r="L1348" s="166"/>
      <c r="M1348" s="166"/>
      <c r="N1348" s="166"/>
      <c r="O1348" s="166"/>
      <c r="P1348" s="166"/>
      <c r="Q1348" s="73"/>
      <c r="R1348" s="23"/>
      <c r="S1348" s="23"/>
      <c r="T1348" s="73"/>
      <c r="U1348" s="73"/>
      <c r="V1348" s="73"/>
    </row>
    <row r="1349" spans="2:22" x14ac:dyDescent="0.2">
      <c r="B1349" s="165" t="s">
        <v>10351</v>
      </c>
      <c r="C1349" s="165"/>
      <c r="D1349" s="165"/>
      <c r="E1349" s="165"/>
      <c r="F1349" s="165"/>
      <c r="G1349" s="165"/>
      <c r="H1349" s="165"/>
      <c r="I1349" s="165"/>
      <c r="J1349" s="165"/>
      <c r="K1349" s="165"/>
      <c r="L1349" s="165"/>
      <c r="M1349" s="165"/>
      <c r="N1349" s="165"/>
      <c r="O1349" s="165"/>
      <c r="P1349" s="165"/>
      <c r="Q1349" s="75"/>
      <c r="R1349" s="75"/>
      <c r="S1349" s="75"/>
      <c r="T1349" s="75"/>
      <c r="U1349" s="75"/>
      <c r="V1349" s="75"/>
    </row>
    <row r="1350" spans="2:22" x14ac:dyDescent="0.2">
      <c r="B1350" s="73" t="s">
        <v>10351</v>
      </c>
      <c r="C1350" s="33" t="s">
        <v>1155</v>
      </c>
      <c r="D1350" s="23" t="s">
        <v>1156</v>
      </c>
      <c r="E1350" s="73"/>
      <c r="F1350" s="73"/>
      <c r="G1350" s="73"/>
      <c r="H1350" s="73"/>
      <c r="I1350" s="73"/>
      <c r="J1350" s="33" t="s">
        <v>9374</v>
      </c>
      <c r="K1350" s="33" t="s">
        <v>9375</v>
      </c>
      <c r="L1350" s="33" t="s">
        <v>121</v>
      </c>
      <c r="M1350" s="33" t="s">
        <v>9376</v>
      </c>
      <c r="N1350" s="73"/>
      <c r="O1350" s="73"/>
      <c r="P1350" s="73"/>
      <c r="Q1350" s="76"/>
      <c r="R1350" s="76"/>
      <c r="S1350" s="76"/>
      <c r="T1350" s="76"/>
      <c r="U1350" s="76"/>
      <c r="V1350" s="76"/>
    </row>
    <row r="1351" spans="2:22" x14ac:dyDescent="0.2">
      <c r="B1351" s="166"/>
      <c r="C1351" s="166"/>
      <c r="D1351" s="166"/>
      <c r="E1351" s="166"/>
      <c r="F1351" s="166"/>
      <c r="G1351" s="166"/>
      <c r="H1351" s="166"/>
      <c r="I1351" s="166"/>
      <c r="J1351" s="166"/>
      <c r="K1351" s="166"/>
      <c r="L1351" s="166"/>
      <c r="M1351" s="166"/>
      <c r="N1351" s="166"/>
      <c r="O1351" s="166"/>
      <c r="P1351" s="166"/>
      <c r="Q1351" s="73"/>
      <c r="R1351" s="23"/>
      <c r="S1351" s="23"/>
      <c r="T1351" s="73"/>
      <c r="U1351" s="73"/>
      <c r="V1351" s="73"/>
    </row>
    <row r="1352" spans="2:22" x14ac:dyDescent="0.2">
      <c r="B1352" s="165" t="s">
        <v>10354</v>
      </c>
      <c r="C1352" s="165"/>
      <c r="D1352" s="165"/>
      <c r="E1352" s="165"/>
      <c r="F1352" s="165"/>
      <c r="G1352" s="165"/>
      <c r="H1352" s="165"/>
      <c r="I1352" s="165"/>
      <c r="J1352" s="165"/>
      <c r="K1352" s="165"/>
      <c r="L1352" s="165"/>
      <c r="M1352" s="165"/>
      <c r="N1352" s="165"/>
      <c r="O1352" s="165"/>
      <c r="P1352" s="165"/>
      <c r="Q1352" s="73"/>
      <c r="R1352" s="23"/>
      <c r="S1352" s="23"/>
      <c r="T1352" s="73"/>
      <c r="U1352" s="73"/>
      <c r="V1352" s="73"/>
    </row>
    <row r="1353" spans="2:22" x14ac:dyDescent="0.2">
      <c r="B1353" s="73" t="s">
        <v>10354</v>
      </c>
      <c r="C1353" s="33" t="s">
        <v>1157</v>
      </c>
      <c r="D1353" s="23" t="s">
        <v>1158</v>
      </c>
      <c r="E1353" s="73"/>
      <c r="F1353" s="73"/>
      <c r="G1353" s="73"/>
      <c r="H1353" s="73"/>
      <c r="I1353" s="73"/>
      <c r="J1353" s="33" t="s">
        <v>9374</v>
      </c>
      <c r="K1353" s="33" t="s">
        <v>11016</v>
      </c>
      <c r="L1353" s="33" t="s">
        <v>121</v>
      </c>
      <c r="M1353" s="33" t="s">
        <v>9376</v>
      </c>
      <c r="N1353" s="73"/>
      <c r="O1353" s="73"/>
      <c r="P1353" s="73"/>
      <c r="Q1353" s="73"/>
      <c r="R1353" s="23"/>
      <c r="S1353" s="23"/>
      <c r="T1353" s="73"/>
      <c r="U1353" s="73"/>
      <c r="V1353" s="73"/>
    </row>
    <row r="1354" spans="2:22" x14ac:dyDescent="0.2">
      <c r="B1354" s="166"/>
      <c r="C1354" s="166"/>
      <c r="D1354" s="166"/>
      <c r="E1354" s="166"/>
      <c r="F1354" s="166"/>
      <c r="G1354" s="166"/>
      <c r="H1354" s="166"/>
      <c r="I1354" s="166"/>
      <c r="J1354" s="166"/>
      <c r="K1354" s="166"/>
      <c r="L1354" s="166"/>
      <c r="M1354" s="166"/>
      <c r="N1354" s="166"/>
      <c r="O1354" s="166"/>
      <c r="P1354" s="166"/>
      <c r="Q1354" s="73"/>
      <c r="R1354" s="23"/>
      <c r="S1354" s="23"/>
      <c r="T1354" s="73"/>
      <c r="U1354" s="73"/>
      <c r="V1354" s="73"/>
    </row>
    <row r="1355" spans="2:22" x14ac:dyDescent="0.2">
      <c r="B1355" s="165" t="s">
        <v>10357</v>
      </c>
      <c r="C1355" s="165"/>
      <c r="D1355" s="165"/>
      <c r="E1355" s="165"/>
      <c r="F1355" s="165"/>
      <c r="G1355" s="165"/>
      <c r="H1355" s="165"/>
      <c r="I1355" s="165"/>
      <c r="J1355" s="165"/>
      <c r="K1355" s="165"/>
      <c r="L1355" s="165"/>
      <c r="M1355" s="165"/>
      <c r="N1355" s="165"/>
      <c r="O1355" s="165"/>
      <c r="P1355" s="165"/>
      <c r="Q1355" s="75"/>
      <c r="R1355" s="75"/>
      <c r="S1355" s="75"/>
      <c r="T1355" s="75"/>
      <c r="U1355" s="75"/>
      <c r="V1355" s="75"/>
    </row>
    <row r="1356" spans="2:22" x14ac:dyDescent="0.2">
      <c r="B1356" s="73" t="s">
        <v>10357</v>
      </c>
      <c r="C1356" s="33" t="s">
        <v>1159</v>
      </c>
      <c r="D1356" s="23" t="s">
        <v>1160</v>
      </c>
      <c r="E1356" s="73"/>
      <c r="F1356" s="73"/>
      <c r="G1356" s="73"/>
      <c r="H1356" s="73"/>
      <c r="I1356" s="73"/>
      <c r="J1356" s="33" t="s">
        <v>9374</v>
      </c>
      <c r="K1356" s="33" t="s">
        <v>11016</v>
      </c>
      <c r="L1356" s="33" t="s">
        <v>121</v>
      </c>
      <c r="M1356" s="33" t="s">
        <v>9376</v>
      </c>
      <c r="N1356" s="73"/>
      <c r="O1356" s="73"/>
      <c r="P1356" s="73"/>
      <c r="Q1356" s="76"/>
      <c r="R1356" s="76"/>
      <c r="S1356" s="76"/>
      <c r="T1356" s="76"/>
      <c r="U1356" s="76"/>
      <c r="V1356" s="76"/>
    </row>
    <row r="1357" spans="2:22" x14ac:dyDescent="0.2">
      <c r="B1357" s="166"/>
      <c r="C1357" s="166"/>
      <c r="D1357" s="166"/>
      <c r="E1357" s="166"/>
      <c r="F1357" s="166"/>
      <c r="G1357" s="166"/>
      <c r="H1357" s="166"/>
      <c r="I1357" s="166"/>
      <c r="J1357" s="166"/>
      <c r="K1357" s="166"/>
      <c r="L1357" s="166"/>
      <c r="M1357" s="166"/>
      <c r="N1357" s="166"/>
      <c r="O1357" s="166"/>
      <c r="P1357" s="166"/>
      <c r="Q1357" s="73"/>
      <c r="R1357" s="23"/>
      <c r="S1357" s="23"/>
      <c r="T1357" s="73"/>
      <c r="U1357" s="73"/>
      <c r="V1357" s="73"/>
    </row>
    <row r="1358" spans="2:22" x14ac:dyDescent="0.2">
      <c r="B1358" s="165" t="s">
        <v>10360</v>
      </c>
      <c r="C1358" s="165"/>
      <c r="D1358" s="165"/>
      <c r="E1358" s="165"/>
      <c r="F1358" s="165"/>
      <c r="G1358" s="165"/>
      <c r="H1358" s="165"/>
      <c r="I1358" s="165"/>
      <c r="J1358" s="165"/>
      <c r="K1358" s="165"/>
      <c r="L1358" s="165"/>
      <c r="M1358" s="165"/>
      <c r="N1358" s="165"/>
      <c r="O1358" s="165"/>
      <c r="P1358" s="165"/>
      <c r="Q1358" s="73"/>
      <c r="R1358" s="23"/>
      <c r="S1358" s="23"/>
      <c r="T1358" s="73"/>
      <c r="U1358" s="73"/>
      <c r="V1358" s="73"/>
    </row>
    <row r="1359" spans="2:22" x14ac:dyDescent="0.2">
      <c r="B1359" s="73" t="s">
        <v>10360</v>
      </c>
      <c r="C1359" s="33" t="s">
        <v>1161</v>
      </c>
      <c r="D1359" s="23" t="s">
        <v>1162</v>
      </c>
      <c r="E1359" s="73"/>
      <c r="F1359" s="73"/>
      <c r="G1359" s="73"/>
      <c r="H1359" s="73"/>
      <c r="I1359" s="73"/>
      <c r="J1359" s="33" t="s">
        <v>9374</v>
      </c>
      <c r="K1359" s="33" t="s">
        <v>11016</v>
      </c>
      <c r="L1359" s="33" t="s">
        <v>121</v>
      </c>
      <c r="M1359" s="33" t="s">
        <v>9376</v>
      </c>
      <c r="N1359" s="73"/>
      <c r="O1359" s="73"/>
      <c r="P1359" s="73"/>
      <c r="Q1359" s="75"/>
      <c r="R1359" s="75"/>
      <c r="S1359" s="75"/>
      <c r="T1359" s="75"/>
      <c r="U1359" s="75"/>
      <c r="V1359" s="75"/>
    </row>
    <row r="1360" spans="2:22" x14ac:dyDescent="0.2">
      <c r="B1360" s="166"/>
      <c r="C1360" s="166"/>
      <c r="D1360" s="166"/>
      <c r="E1360" s="166"/>
      <c r="F1360" s="166"/>
      <c r="G1360" s="166"/>
      <c r="H1360" s="166"/>
      <c r="I1360" s="166"/>
      <c r="J1360" s="166"/>
      <c r="K1360" s="166"/>
      <c r="L1360" s="166"/>
      <c r="M1360" s="166"/>
      <c r="N1360" s="166"/>
      <c r="O1360" s="166"/>
      <c r="P1360" s="166"/>
      <c r="Q1360" s="76"/>
      <c r="R1360" s="76"/>
      <c r="S1360" s="76"/>
      <c r="T1360" s="76"/>
      <c r="U1360" s="76"/>
      <c r="V1360" s="76"/>
    </row>
    <row r="1361" spans="2:22" x14ac:dyDescent="0.2">
      <c r="B1361" s="165" t="s">
        <v>10363</v>
      </c>
      <c r="C1361" s="165"/>
      <c r="D1361" s="165"/>
      <c r="E1361" s="165"/>
      <c r="F1361" s="165"/>
      <c r="G1361" s="165"/>
      <c r="H1361" s="165"/>
      <c r="I1361" s="165"/>
      <c r="J1361" s="165"/>
      <c r="K1361" s="165"/>
      <c r="L1361" s="165"/>
      <c r="M1361" s="165"/>
      <c r="N1361" s="165"/>
      <c r="O1361" s="165"/>
      <c r="P1361" s="165"/>
      <c r="Q1361" s="73"/>
      <c r="R1361" s="23"/>
      <c r="S1361" s="23"/>
      <c r="T1361" s="73"/>
      <c r="U1361" s="73"/>
      <c r="V1361" s="73"/>
    </row>
    <row r="1362" spans="2:22" x14ac:dyDescent="0.2">
      <c r="B1362" s="73" t="s">
        <v>10363</v>
      </c>
      <c r="C1362" s="33" t="s">
        <v>1163</v>
      </c>
      <c r="D1362" s="23" t="s">
        <v>1164</v>
      </c>
      <c r="E1362" s="73"/>
      <c r="F1362" s="73"/>
      <c r="G1362" s="73"/>
      <c r="H1362" s="73"/>
      <c r="I1362" s="73"/>
      <c r="J1362" s="33" t="s">
        <v>9374</v>
      </c>
      <c r="K1362" s="33" t="s">
        <v>11016</v>
      </c>
      <c r="L1362" s="33" t="s">
        <v>121</v>
      </c>
      <c r="M1362" s="33" t="s">
        <v>9376</v>
      </c>
      <c r="N1362" s="73"/>
      <c r="O1362" s="73"/>
      <c r="P1362" s="73"/>
      <c r="Q1362" s="73"/>
      <c r="R1362" s="23"/>
      <c r="S1362" s="23"/>
      <c r="T1362" s="73"/>
      <c r="U1362" s="73"/>
      <c r="V1362" s="73"/>
    </row>
    <row r="1363" spans="2:22" x14ac:dyDescent="0.2">
      <c r="B1363" s="166"/>
      <c r="C1363" s="166"/>
      <c r="D1363" s="166"/>
      <c r="E1363" s="166"/>
      <c r="F1363" s="166"/>
      <c r="G1363" s="166"/>
      <c r="H1363" s="166"/>
      <c r="I1363" s="166"/>
      <c r="J1363" s="166"/>
      <c r="K1363" s="166"/>
      <c r="L1363" s="166"/>
      <c r="M1363" s="166"/>
      <c r="N1363" s="166"/>
      <c r="O1363" s="166"/>
      <c r="P1363" s="166"/>
      <c r="Q1363" s="75"/>
      <c r="R1363" s="75"/>
      <c r="S1363" s="75"/>
      <c r="T1363" s="75"/>
      <c r="U1363" s="75"/>
      <c r="V1363" s="75"/>
    </row>
    <row r="1364" spans="2:22" x14ac:dyDescent="0.2">
      <c r="B1364" s="165" t="s">
        <v>10366</v>
      </c>
      <c r="C1364" s="165"/>
      <c r="D1364" s="165"/>
      <c r="E1364" s="165"/>
      <c r="F1364" s="165"/>
      <c r="G1364" s="165"/>
      <c r="H1364" s="165"/>
      <c r="I1364" s="165"/>
      <c r="J1364" s="165"/>
      <c r="K1364" s="165"/>
      <c r="L1364" s="165"/>
      <c r="M1364" s="165"/>
      <c r="N1364" s="165"/>
      <c r="O1364" s="165"/>
      <c r="P1364" s="165"/>
      <c r="Q1364" s="76"/>
      <c r="R1364" s="76"/>
      <c r="S1364" s="76"/>
      <c r="T1364" s="76"/>
      <c r="U1364" s="76"/>
      <c r="V1364" s="76"/>
    </row>
    <row r="1365" spans="2:22" x14ac:dyDescent="0.2">
      <c r="B1365" s="73" t="s">
        <v>10366</v>
      </c>
      <c r="C1365" s="33" t="s">
        <v>1165</v>
      </c>
      <c r="D1365" s="23" t="s">
        <v>1166</v>
      </c>
      <c r="E1365" s="73"/>
      <c r="F1365" s="73"/>
      <c r="G1365" s="73"/>
      <c r="H1365" s="73"/>
      <c r="I1365" s="73"/>
      <c r="J1365" s="33" t="s">
        <v>9374</v>
      </c>
      <c r="K1365" s="33" t="s">
        <v>11016</v>
      </c>
      <c r="L1365" s="33" t="s">
        <v>121</v>
      </c>
      <c r="M1365" s="33" t="s">
        <v>9376</v>
      </c>
      <c r="N1365" s="73"/>
      <c r="O1365" s="73"/>
      <c r="P1365" s="73"/>
      <c r="Q1365" s="73"/>
      <c r="R1365" s="23"/>
      <c r="S1365" s="23"/>
      <c r="T1365" s="73"/>
      <c r="U1365" s="73"/>
      <c r="V1365" s="73"/>
    </row>
    <row r="1366" spans="2:22" x14ac:dyDescent="0.2">
      <c r="B1366" s="166"/>
      <c r="C1366" s="166"/>
      <c r="D1366" s="166"/>
      <c r="E1366" s="166"/>
      <c r="F1366" s="166"/>
      <c r="G1366" s="166"/>
      <c r="H1366" s="166"/>
      <c r="I1366" s="166"/>
      <c r="J1366" s="166"/>
      <c r="K1366" s="166"/>
      <c r="L1366" s="166"/>
      <c r="M1366" s="166"/>
      <c r="N1366" s="166"/>
      <c r="O1366" s="166"/>
      <c r="P1366" s="166"/>
      <c r="Q1366" s="75"/>
      <c r="R1366" s="75"/>
      <c r="S1366" s="75"/>
      <c r="T1366" s="75"/>
      <c r="U1366" s="75"/>
      <c r="V1366" s="75"/>
    </row>
    <row r="1367" spans="2:22" x14ac:dyDescent="0.2">
      <c r="B1367" s="165" t="s">
        <v>10369</v>
      </c>
      <c r="C1367" s="165"/>
      <c r="D1367" s="165"/>
      <c r="E1367" s="165"/>
      <c r="F1367" s="165"/>
      <c r="G1367" s="165"/>
      <c r="H1367" s="165"/>
      <c r="I1367" s="165"/>
      <c r="J1367" s="165"/>
      <c r="K1367" s="165"/>
      <c r="L1367" s="165"/>
      <c r="M1367" s="165"/>
      <c r="N1367" s="165"/>
      <c r="O1367" s="165"/>
      <c r="P1367" s="165"/>
      <c r="Q1367" s="76"/>
      <c r="R1367" s="76"/>
      <c r="S1367" s="76"/>
      <c r="T1367" s="76"/>
      <c r="U1367" s="76"/>
      <c r="V1367" s="76"/>
    </row>
    <row r="1368" spans="2:22" x14ac:dyDescent="0.2">
      <c r="B1368" s="73" t="s">
        <v>10369</v>
      </c>
      <c r="C1368" s="33" t="s">
        <v>1167</v>
      </c>
      <c r="D1368" s="23" t="s">
        <v>1168</v>
      </c>
      <c r="E1368" s="73"/>
      <c r="F1368" s="73"/>
      <c r="G1368" s="73"/>
      <c r="H1368" s="73"/>
      <c r="I1368" s="73"/>
      <c r="J1368" s="33" t="s">
        <v>9374</v>
      </c>
      <c r="K1368" s="33" t="s">
        <v>11016</v>
      </c>
      <c r="L1368" s="33" t="s">
        <v>121</v>
      </c>
      <c r="M1368" s="33" t="s">
        <v>9376</v>
      </c>
      <c r="N1368" s="73"/>
      <c r="O1368" s="73"/>
      <c r="P1368" s="73"/>
      <c r="Q1368" s="73"/>
      <c r="R1368" s="23"/>
      <c r="S1368" s="23"/>
      <c r="T1368" s="73"/>
      <c r="U1368" s="73"/>
      <c r="V1368" s="73"/>
    </row>
    <row r="1369" spans="2:22" x14ac:dyDescent="0.2">
      <c r="B1369" s="166"/>
      <c r="C1369" s="166"/>
      <c r="D1369" s="166"/>
      <c r="E1369" s="166"/>
      <c r="F1369" s="166"/>
      <c r="G1369" s="166"/>
      <c r="H1369" s="166"/>
      <c r="I1369" s="166"/>
      <c r="J1369" s="166"/>
      <c r="K1369" s="166"/>
      <c r="L1369" s="166"/>
      <c r="M1369" s="166"/>
      <c r="N1369" s="166"/>
      <c r="O1369" s="166"/>
      <c r="P1369" s="166"/>
      <c r="Q1369" s="73"/>
      <c r="R1369" s="23"/>
      <c r="S1369" s="23"/>
      <c r="T1369" s="73"/>
      <c r="U1369" s="73"/>
      <c r="V1369" s="73"/>
    </row>
    <row r="1370" spans="2:22" x14ac:dyDescent="0.2">
      <c r="B1370" s="165" t="s">
        <v>10372</v>
      </c>
      <c r="C1370" s="165"/>
      <c r="D1370" s="165"/>
      <c r="E1370" s="165"/>
      <c r="F1370" s="165"/>
      <c r="G1370" s="165"/>
      <c r="H1370" s="165"/>
      <c r="I1370" s="165"/>
      <c r="J1370" s="165"/>
      <c r="K1370" s="165"/>
      <c r="L1370" s="165"/>
      <c r="M1370" s="165"/>
      <c r="N1370" s="165"/>
      <c r="O1370" s="165"/>
      <c r="P1370" s="165"/>
      <c r="Q1370" s="73"/>
      <c r="R1370" s="23"/>
      <c r="S1370" s="23"/>
      <c r="T1370" s="73"/>
      <c r="U1370" s="73"/>
      <c r="V1370" s="73"/>
    </row>
    <row r="1371" spans="2:22" x14ac:dyDescent="0.2">
      <c r="B1371" s="73" t="s">
        <v>10372</v>
      </c>
      <c r="C1371" s="33" t="s">
        <v>1169</v>
      </c>
      <c r="D1371" s="23" t="s">
        <v>1170</v>
      </c>
      <c r="E1371" s="73"/>
      <c r="F1371" s="73"/>
      <c r="G1371" s="73"/>
      <c r="H1371" s="73"/>
      <c r="I1371" s="73"/>
      <c r="J1371" s="33" t="s">
        <v>9374</v>
      </c>
      <c r="K1371" s="33" t="s">
        <v>11016</v>
      </c>
      <c r="L1371" s="33" t="s">
        <v>121</v>
      </c>
      <c r="M1371" s="33" t="s">
        <v>9376</v>
      </c>
      <c r="N1371" s="73"/>
      <c r="O1371" s="73"/>
      <c r="P1371" s="73"/>
      <c r="Q1371" s="73"/>
      <c r="R1371" s="23"/>
      <c r="S1371" s="23"/>
      <c r="T1371" s="73"/>
      <c r="U1371" s="73"/>
      <c r="V1371" s="73"/>
    </row>
    <row r="1372" spans="2:22" x14ac:dyDescent="0.2">
      <c r="B1372" s="166"/>
      <c r="C1372" s="166"/>
      <c r="D1372" s="166"/>
      <c r="E1372" s="166"/>
      <c r="F1372" s="166"/>
      <c r="G1372" s="166"/>
      <c r="H1372" s="166"/>
      <c r="I1372" s="166"/>
      <c r="J1372" s="166"/>
      <c r="K1372" s="166"/>
      <c r="L1372" s="166"/>
      <c r="M1372" s="166"/>
      <c r="N1372" s="166"/>
      <c r="O1372" s="166"/>
      <c r="P1372" s="166"/>
      <c r="Q1372" s="75"/>
      <c r="R1372" s="75"/>
      <c r="S1372" s="75"/>
      <c r="T1372" s="75"/>
      <c r="U1372" s="75"/>
      <c r="V1372" s="75"/>
    </row>
    <row r="1373" spans="2:22" x14ac:dyDescent="0.2">
      <c r="B1373" s="165" t="s">
        <v>10375</v>
      </c>
      <c r="C1373" s="165"/>
      <c r="D1373" s="165"/>
      <c r="E1373" s="165"/>
      <c r="F1373" s="165"/>
      <c r="G1373" s="165"/>
      <c r="H1373" s="165"/>
      <c r="I1373" s="165"/>
      <c r="J1373" s="165"/>
      <c r="K1373" s="165"/>
      <c r="L1373" s="165"/>
      <c r="M1373" s="165"/>
      <c r="N1373" s="165"/>
      <c r="O1373" s="165"/>
      <c r="P1373" s="165"/>
      <c r="Q1373" s="76"/>
      <c r="R1373" s="76"/>
      <c r="S1373" s="76"/>
      <c r="T1373" s="76"/>
      <c r="U1373" s="76"/>
      <c r="V1373" s="76"/>
    </row>
    <row r="1374" spans="2:22" x14ac:dyDescent="0.2">
      <c r="B1374" s="73" t="s">
        <v>10375</v>
      </c>
      <c r="C1374" s="33" t="s">
        <v>1171</v>
      </c>
      <c r="D1374" s="23" t="s">
        <v>1172</v>
      </c>
      <c r="E1374" s="73"/>
      <c r="F1374" s="73"/>
      <c r="G1374" s="73"/>
      <c r="H1374" s="73"/>
      <c r="I1374" s="73"/>
      <c r="J1374" s="33" t="s">
        <v>9374</v>
      </c>
      <c r="K1374" s="33" t="s">
        <v>11016</v>
      </c>
      <c r="L1374" s="33" t="s">
        <v>121</v>
      </c>
      <c r="M1374" s="33" t="s">
        <v>9376</v>
      </c>
      <c r="N1374" s="73"/>
      <c r="O1374" s="73"/>
      <c r="P1374" s="73"/>
      <c r="Q1374" s="73"/>
      <c r="R1374" s="23"/>
      <c r="S1374" s="23"/>
      <c r="T1374" s="73"/>
      <c r="U1374" s="73"/>
      <c r="V1374" s="73"/>
    </row>
    <row r="1375" spans="2:22" x14ac:dyDescent="0.2">
      <c r="B1375" s="166"/>
      <c r="C1375" s="166"/>
      <c r="D1375" s="166"/>
      <c r="E1375" s="166"/>
      <c r="F1375" s="166"/>
      <c r="G1375" s="166"/>
      <c r="H1375" s="166"/>
      <c r="I1375" s="166"/>
      <c r="J1375" s="166"/>
      <c r="K1375" s="166"/>
      <c r="L1375" s="166"/>
      <c r="M1375" s="166"/>
      <c r="N1375" s="166"/>
      <c r="O1375" s="166"/>
      <c r="P1375" s="166"/>
      <c r="Q1375" s="75"/>
      <c r="R1375" s="75"/>
      <c r="S1375" s="75"/>
      <c r="T1375" s="75"/>
      <c r="U1375" s="75"/>
      <c r="V1375" s="75"/>
    </row>
    <row r="1376" spans="2:22" x14ac:dyDescent="0.2">
      <c r="B1376" s="165" t="s">
        <v>10377</v>
      </c>
      <c r="C1376" s="165"/>
      <c r="D1376" s="165"/>
      <c r="E1376" s="165"/>
      <c r="F1376" s="165"/>
      <c r="G1376" s="165"/>
      <c r="H1376" s="165"/>
      <c r="I1376" s="165"/>
      <c r="J1376" s="165"/>
      <c r="K1376" s="165"/>
      <c r="L1376" s="165"/>
      <c r="M1376" s="165"/>
      <c r="N1376" s="165"/>
      <c r="O1376" s="165"/>
      <c r="P1376" s="165"/>
      <c r="Q1376" s="76"/>
      <c r="R1376" s="76"/>
      <c r="S1376" s="76"/>
      <c r="T1376" s="76"/>
      <c r="U1376" s="76"/>
      <c r="V1376" s="76"/>
    </row>
    <row r="1377" spans="2:22" x14ac:dyDescent="0.2">
      <c r="B1377" s="73" t="s">
        <v>10377</v>
      </c>
      <c r="C1377" s="33" t="s">
        <v>1173</v>
      </c>
      <c r="D1377" s="23" t="s">
        <v>1174</v>
      </c>
      <c r="E1377" s="73"/>
      <c r="F1377" s="73"/>
      <c r="G1377" s="73"/>
      <c r="H1377" s="73"/>
      <c r="I1377" s="73"/>
      <c r="J1377" s="33" t="s">
        <v>9374</v>
      </c>
      <c r="K1377" s="33" t="s">
        <v>11016</v>
      </c>
      <c r="L1377" s="33" t="s">
        <v>121</v>
      </c>
      <c r="M1377" s="33" t="s">
        <v>9376</v>
      </c>
      <c r="N1377" s="73"/>
      <c r="O1377" s="73"/>
      <c r="P1377" s="73"/>
      <c r="Q1377" s="73"/>
      <c r="R1377" s="23"/>
      <c r="S1377" s="23"/>
      <c r="T1377" s="73"/>
      <c r="U1377" s="73"/>
      <c r="V1377" s="73"/>
    </row>
    <row r="1378" spans="2:22" x14ac:dyDescent="0.2">
      <c r="B1378" s="166"/>
      <c r="C1378" s="166"/>
      <c r="D1378" s="166"/>
      <c r="E1378" s="166"/>
      <c r="F1378" s="166"/>
      <c r="G1378" s="166"/>
      <c r="H1378" s="166"/>
      <c r="I1378" s="166"/>
      <c r="J1378" s="166"/>
      <c r="K1378" s="166"/>
      <c r="L1378" s="166"/>
      <c r="M1378" s="166"/>
      <c r="N1378" s="166"/>
      <c r="O1378" s="166"/>
      <c r="P1378" s="166"/>
      <c r="Q1378" s="73"/>
      <c r="R1378" s="23"/>
      <c r="S1378" s="23"/>
      <c r="T1378" s="73"/>
      <c r="U1378" s="73"/>
      <c r="V1378" s="73"/>
    </row>
    <row r="1379" spans="2:22" x14ac:dyDescent="0.2">
      <c r="B1379" s="165" t="s">
        <v>10379</v>
      </c>
      <c r="C1379" s="165"/>
      <c r="D1379" s="165"/>
      <c r="E1379" s="165"/>
      <c r="F1379" s="165"/>
      <c r="G1379" s="165"/>
      <c r="H1379" s="165"/>
      <c r="I1379" s="165"/>
      <c r="J1379" s="165"/>
      <c r="K1379" s="165"/>
      <c r="L1379" s="165"/>
      <c r="M1379" s="165"/>
      <c r="N1379" s="165"/>
      <c r="O1379" s="165"/>
      <c r="P1379" s="165"/>
      <c r="Q1379" s="75"/>
      <c r="R1379" s="75"/>
      <c r="S1379" s="75"/>
      <c r="T1379" s="75"/>
      <c r="U1379" s="75"/>
      <c r="V1379" s="75"/>
    </row>
    <row r="1380" spans="2:22" x14ac:dyDescent="0.2">
      <c r="B1380" s="73" t="s">
        <v>10379</v>
      </c>
      <c r="C1380" s="33" t="s">
        <v>1175</v>
      </c>
      <c r="D1380" s="23" t="s">
        <v>1176</v>
      </c>
      <c r="E1380" s="73"/>
      <c r="F1380" s="73"/>
      <c r="G1380" s="73"/>
      <c r="H1380" s="73"/>
      <c r="I1380" s="73"/>
      <c r="J1380" s="33" t="s">
        <v>9374</v>
      </c>
      <c r="K1380" s="33" t="s">
        <v>11016</v>
      </c>
      <c r="L1380" s="33" t="s">
        <v>121</v>
      </c>
      <c r="M1380" s="33" t="s">
        <v>9376</v>
      </c>
      <c r="N1380" s="73"/>
      <c r="O1380" s="73"/>
      <c r="P1380" s="73"/>
      <c r="Q1380" s="76"/>
      <c r="R1380" s="76"/>
      <c r="S1380" s="76"/>
      <c r="T1380" s="76"/>
      <c r="U1380" s="76"/>
      <c r="V1380" s="76"/>
    </row>
    <row r="1381" spans="2:22" x14ac:dyDescent="0.2">
      <c r="B1381" s="166"/>
      <c r="C1381" s="166"/>
      <c r="D1381" s="166"/>
      <c r="E1381" s="166"/>
      <c r="F1381" s="166"/>
      <c r="G1381" s="166"/>
      <c r="H1381" s="166"/>
      <c r="I1381" s="166"/>
      <c r="J1381" s="166"/>
      <c r="K1381" s="166"/>
      <c r="L1381" s="166"/>
      <c r="M1381" s="166"/>
      <c r="N1381" s="166"/>
      <c r="O1381" s="166"/>
      <c r="P1381" s="166"/>
      <c r="Q1381" s="73"/>
      <c r="R1381" s="23"/>
      <c r="S1381" s="23"/>
      <c r="T1381" s="73"/>
      <c r="U1381" s="73"/>
      <c r="V1381" s="73"/>
    </row>
    <row r="1382" spans="2:22" x14ac:dyDescent="0.2">
      <c r="B1382" s="165" t="s">
        <v>10381</v>
      </c>
      <c r="C1382" s="165"/>
      <c r="D1382" s="165"/>
      <c r="E1382" s="165"/>
      <c r="F1382" s="165"/>
      <c r="G1382" s="165"/>
      <c r="H1382" s="165"/>
      <c r="I1382" s="165"/>
      <c r="J1382" s="165"/>
      <c r="K1382" s="165"/>
      <c r="L1382" s="165"/>
      <c r="M1382" s="165"/>
      <c r="N1382" s="165"/>
      <c r="O1382" s="165"/>
      <c r="P1382" s="165"/>
      <c r="Q1382" s="73"/>
      <c r="R1382" s="23"/>
      <c r="S1382" s="23"/>
      <c r="T1382" s="73"/>
      <c r="U1382" s="73"/>
      <c r="V1382" s="73"/>
    </row>
    <row r="1383" spans="2:22" x14ac:dyDescent="0.2">
      <c r="B1383" s="73" t="s">
        <v>10381</v>
      </c>
      <c r="C1383" s="33" t="s">
        <v>1177</v>
      </c>
      <c r="D1383" s="23" t="s">
        <v>1178</v>
      </c>
      <c r="E1383" s="73"/>
      <c r="F1383" s="73"/>
      <c r="G1383" s="73"/>
      <c r="H1383" s="73"/>
      <c r="I1383" s="73"/>
      <c r="J1383" s="33" t="s">
        <v>9374</v>
      </c>
      <c r="K1383" s="33" t="s">
        <v>11016</v>
      </c>
      <c r="L1383" s="33" t="s">
        <v>121</v>
      </c>
      <c r="M1383" s="33" t="s">
        <v>9376</v>
      </c>
      <c r="N1383" s="73"/>
      <c r="O1383" s="73"/>
      <c r="P1383" s="73"/>
      <c r="Q1383" s="75"/>
      <c r="R1383" s="75"/>
      <c r="S1383" s="75"/>
      <c r="T1383" s="75"/>
      <c r="U1383" s="75"/>
      <c r="V1383" s="75"/>
    </row>
    <row r="1384" spans="2:22" x14ac:dyDescent="0.2">
      <c r="B1384" s="166"/>
      <c r="C1384" s="166"/>
      <c r="D1384" s="166"/>
      <c r="E1384" s="166"/>
      <c r="F1384" s="166"/>
      <c r="G1384" s="166"/>
      <c r="H1384" s="166"/>
      <c r="I1384" s="166"/>
      <c r="J1384" s="166"/>
      <c r="K1384" s="166"/>
      <c r="L1384" s="166"/>
      <c r="M1384" s="166"/>
      <c r="N1384" s="166"/>
      <c r="O1384" s="166"/>
      <c r="P1384" s="166"/>
      <c r="Q1384" s="76"/>
      <c r="R1384" s="76"/>
      <c r="S1384" s="76"/>
      <c r="T1384" s="76"/>
      <c r="U1384" s="76"/>
      <c r="V1384" s="76"/>
    </row>
    <row r="1385" spans="2:22" x14ac:dyDescent="0.2">
      <c r="B1385" s="165" t="s">
        <v>10383</v>
      </c>
      <c r="C1385" s="165"/>
      <c r="D1385" s="165"/>
      <c r="E1385" s="165"/>
      <c r="F1385" s="165"/>
      <c r="G1385" s="165"/>
      <c r="H1385" s="165"/>
      <c r="I1385" s="165"/>
      <c r="J1385" s="165"/>
      <c r="K1385" s="165"/>
      <c r="L1385" s="165"/>
      <c r="M1385" s="165"/>
      <c r="N1385" s="165"/>
      <c r="O1385" s="165"/>
      <c r="P1385" s="165"/>
      <c r="Q1385" s="73"/>
      <c r="R1385" s="23"/>
      <c r="S1385" s="23"/>
      <c r="T1385" s="73"/>
      <c r="U1385" s="73"/>
      <c r="V1385" s="73"/>
    </row>
    <row r="1386" spans="2:22" x14ac:dyDescent="0.2">
      <c r="B1386" s="73" t="s">
        <v>10383</v>
      </c>
      <c r="C1386" s="33" t="s">
        <v>1179</v>
      </c>
      <c r="D1386" s="23" t="s">
        <v>1180</v>
      </c>
      <c r="E1386" s="73"/>
      <c r="F1386" s="73"/>
      <c r="G1386" s="73"/>
      <c r="H1386" s="73"/>
      <c r="I1386" s="73"/>
      <c r="J1386" s="33" t="s">
        <v>9374</v>
      </c>
      <c r="K1386" s="33" t="s">
        <v>11016</v>
      </c>
      <c r="L1386" s="33" t="s">
        <v>121</v>
      </c>
      <c r="M1386" s="33" t="s">
        <v>9376</v>
      </c>
      <c r="N1386" s="73"/>
      <c r="O1386" s="73"/>
      <c r="P1386" s="73"/>
      <c r="Q1386" s="73"/>
      <c r="R1386" s="23"/>
      <c r="S1386" s="23"/>
      <c r="T1386" s="73"/>
      <c r="U1386" s="73"/>
      <c r="V1386" s="73"/>
    </row>
    <row r="1387" spans="2:22" x14ac:dyDescent="0.2">
      <c r="B1387" s="166"/>
      <c r="C1387" s="166"/>
      <c r="D1387" s="166"/>
      <c r="E1387" s="166"/>
      <c r="F1387" s="166"/>
      <c r="G1387" s="166"/>
      <c r="H1387" s="166"/>
      <c r="I1387" s="166"/>
      <c r="J1387" s="166"/>
      <c r="K1387" s="166"/>
      <c r="L1387" s="166"/>
      <c r="M1387" s="166"/>
      <c r="N1387" s="166"/>
      <c r="O1387" s="166"/>
      <c r="P1387" s="166"/>
      <c r="Q1387" s="75"/>
      <c r="R1387" s="75"/>
      <c r="S1387" s="75"/>
      <c r="T1387" s="75"/>
      <c r="U1387" s="75"/>
      <c r="V1387" s="75"/>
    </row>
    <row r="1388" spans="2:22" x14ac:dyDescent="0.2">
      <c r="B1388" s="165" t="s">
        <v>10385</v>
      </c>
      <c r="C1388" s="165"/>
      <c r="D1388" s="165"/>
      <c r="E1388" s="165"/>
      <c r="F1388" s="165"/>
      <c r="G1388" s="165"/>
      <c r="H1388" s="165"/>
      <c r="I1388" s="165"/>
      <c r="J1388" s="165"/>
      <c r="K1388" s="165"/>
      <c r="L1388" s="165"/>
      <c r="M1388" s="165"/>
      <c r="N1388" s="165"/>
      <c r="O1388" s="165"/>
      <c r="P1388" s="165"/>
      <c r="Q1388" s="76"/>
      <c r="R1388" s="76"/>
      <c r="S1388" s="76"/>
      <c r="T1388" s="76"/>
      <c r="U1388" s="76"/>
      <c r="V1388" s="76"/>
    </row>
    <row r="1389" spans="2:22" x14ac:dyDescent="0.2">
      <c r="B1389" s="73" t="s">
        <v>10385</v>
      </c>
      <c r="C1389" s="33" t="s">
        <v>1181</v>
      </c>
      <c r="D1389" s="23" t="s">
        <v>1182</v>
      </c>
      <c r="E1389" s="73"/>
      <c r="F1389" s="73"/>
      <c r="G1389" s="73"/>
      <c r="H1389" s="73"/>
      <c r="I1389" s="73"/>
      <c r="J1389" s="33" t="s">
        <v>9374</v>
      </c>
      <c r="K1389" s="33" t="s">
        <v>11016</v>
      </c>
      <c r="L1389" s="33" t="s">
        <v>121</v>
      </c>
      <c r="M1389" s="33" t="s">
        <v>9376</v>
      </c>
      <c r="N1389" s="73"/>
      <c r="O1389" s="73"/>
      <c r="P1389" s="73"/>
      <c r="Q1389" s="73"/>
      <c r="R1389" s="23"/>
      <c r="S1389" s="23"/>
      <c r="T1389" s="73"/>
      <c r="U1389" s="73"/>
      <c r="V1389" s="73"/>
    </row>
    <row r="1390" spans="2:22" x14ac:dyDescent="0.2">
      <c r="B1390" s="166"/>
      <c r="C1390" s="166"/>
      <c r="D1390" s="166"/>
      <c r="E1390" s="166"/>
      <c r="F1390" s="166"/>
      <c r="G1390" s="166"/>
      <c r="H1390" s="166"/>
      <c r="I1390" s="166"/>
      <c r="J1390" s="166"/>
      <c r="K1390" s="166"/>
      <c r="L1390" s="166"/>
      <c r="M1390" s="166"/>
      <c r="N1390" s="166"/>
      <c r="O1390" s="166"/>
      <c r="P1390" s="166"/>
      <c r="Q1390" s="73"/>
      <c r="R1390" s="23"/>
      <c r="S1390" s="23"/>
      <c r="T1390" s="73"/>
      <c r="U1390" s="73"/>
      <c r="V1390" s="73"/>
    </row>
    <row r="1391" spans="2:22" x14ac:dyDescent="0.2">
      <c r="B1391" s="165" t="s">
        <v>10388</v>
      </c>
      <c r="C1391" s="165"/>
      <c r="D1391" s="165"/>
      <c r="E1391" s="165"/>
      <c r="F1391" s="165"/>
      <c r="G1391" s="165"/>
      <c r="H1391" s="165"/>
      <c r="I1391" s="165"/>
      <c r="J1391" s="165"/>
      <c r="K1391" s="165"/>
      <c r="L1391" s="165"/>
      <c r="M1391" s="165"/>
      <c r="N1391" s="165"/>
      <c r="O1391" s="165"/>
      <c r="P1391" s="165"/>
      <c r="Q1391" s="75"/>
      <c r="R1391" s="75"/>
      <c r="S1391" s="75"/>
      <c r="T1391" s="75"/>
      <c r="U1391" s="75"/>
      <c r="V1391" s="75"/>
    </row>
    <row r="1392" spans="2:22" x14ac:dyDescent="0.2">
      <c r="B1392" s="73" t="s">
        <v>10388</v>
      </c>
      <c r="C1392" s="33" t="s">
        <v>1183</v>
      </c>
      <c r="D1392" s="23" t="s">
        <v>1184</v>
      </c>
      <c r="E1392" s="73"/>
      <c r="F1392" s="73"/>
      <c r="G1392" s="73"/>
      <c r="H1392" s="73"/>
      <c r="I1392" s="73"/>
      <c r="J1392" s="33" t="s">
        <v>9374</v>
      </c>
      <c r="K1392" s="33" t="s">
        <v>11016</v>
      </c>
      <c r="L1392" s="33" t="s">
        <v>121</v>
      </c>
      <c r="M1392" s="33" t="s">
        <v>9376</v>
      </c>
      <c r="N1392" s="73"/>
      <c r="O1392" s="73"/>
      <c r="P1392" s="73"/>
      <c r="Q1392" s="76"/>
      <c r="R1392" s="76"/>
      <c r="S1392" s="76"/>
      <c r="T1392" s="76"/>
      <c r="U1392" s="76"/>
      <c r="V1392" s="76"/>
    </row>
    <row r="1393" spans="2:22" x14ac:dyDescent="0.2">
      <c r="B1393" s="166"/>
      <c r="C1393" s="166"/>
      <c r="D1393" s="166"/>
      <c r="E1393" s="166"/>
      <c r="F1393" s="166"/>
      <c r="G1393" s="166"/>
      <c r="H1393" s="166"/>
      <c r="I1393" s="166"/>
      <c r="J1393" s="166"/>
      <c r="K1393" s="166"/>
      <c r="L1393" s="166"/>
      <c r="M1393" s="166"/>
      <c r="N1393" s="166"/>
      <c r="O1393" s="166"/>
      <c r="P1393" s="166"/>
      <c r="Q1393" s="73"/>
      <c r="R1393" s="23"/>
      <c r="S1393" s="23"/>
      <c r="T1393" s="73"/>
      <c r="U1393" s="73"/>
      <c r="V1393" s="73"/>
    </row>
    <row r="1394" spans="2:22" x14ac:dyDescent="0.2">
      <c r="B1394" s="165" t="s">
        <v>10389</v>
      </c>
      <c r="C1394" s="165"/>
      <c r="D1394" s="165"/>
      <c r="E1394" s="165"/>
      <c r="F1394" s="165"/>
      <c r="G1394" s="165"/>
      <c r="H1394" s="165"/>
      <c r="I1394" s="165"/>
      <c r="J1394" s="165"/>
      <c r="K1394" s="165"/>
      <c r="L1394" s="165"/>
      <c r="M1394" s="165"/>
      <c r="N1394" s="165"/>
      <c r="O1394" s="165"/>
      <c r="P1394" s="165"/>
      <c r="Q1394" s="73"/>
      <c r="R1394" s="23"/>
      <c r="S1394" s="23"/>
      <c r="T1394" s="73"/>
      <c r="U1394" s="73"/>
      <c r="V1394" s="73"/>
    </row>
    <row r="1395" spans="2:22" x14ac:dyDescent="0.2">
      <c r="B1395" s="73" t="s">
        <v>10389</v>
      </c>
      <c r="C1395" s="33" t="s">
        <v>1185</v>
      </c>
      <c r="D1395" s="23" t="s">
        <v>1186</v>
      </c>
      <c r="E1395" s="73"/>
      <c r="F1395" s="73"/>
      <c r="G1395" s="73"/>
      <c r="H1395" s="73"/>
      <c r="I1395" s="73"/>
      <c r="J1395" s="33" t="s">
        <v>9374</v>
      </c>
      <c r="K1395" s="33" t="s">
        <v>11016</v>
      </c>
      <c r="L1395" s="33" t="s">
        <v>121</v>
      </c>
      <c r="M1395" s="33" t="s">
        <v>9376</v>
      </c>
      <c r="N1395" s="73"/>
      <c r="O1395" s="73"/>
      <c r="P1395" s="73"/>
      <c r="Q1395" s="73" t="s">
        <v>11095</v>
      </c>
      <c r="R1395" s="23"/>
      <c r="S1395" s="23"/>
      <c r="T1395" s="73"/>
      <c r="U1395" s="73"/>
      <c r="V1395" s="73"/>
    </row>
    <row r="1396" spans="2:22" x14ac:dyDescent="0.2">
      <c r="B1396" s="166"/>
      <c r="C1396" s="166"/>
      <c r="D1396" s="166"/>
      <c r="E1396" s="166"/>
      <c r="F1396" s="166"/>
      <c r="G1396" s="166"/>
      <c r="H1396" s="166"/>
      <c r="I1396" s="166"/>
      <c r="J1396" s="166"/>
      <c r="K1396" s="166"/>
      <c r="L1396" s="166"/>
      <c r="M1396" s="166"/>
      <c r="N1396" s="166"/>
      <c r="O1396" s="166"/>
      <c r="P1396" s="166"/>
      <c r="Q1396" s="75"/>
      <c r="R1396" s="75"/>
      <c r="S1396" s="75"/>
      <c r="T1396" s="75"/>
      <c r="U1396" s="75"/>
      <c r="V1396" s="75"/>
    </row>
    <row r="1397" spans="2:22" x14ac:dyDescent="0.2">
      <c r="B1397" s="165" t="s">
        <v>10390</v>
      </c>
      <c r="C1397" s="165"/>
      <c r="D1397" s="165"/>
      <c r="E1397" s="165"/>
      <c r="F1397" s="165"/>
      <c r="G1397" s="165"/>
      <c r="H1397" s="165"/>
      <c r="I1397" s="165"/>
      <c r="J1397" s="165"/>
      <c r="K1397" s="165"/>
      <c r="L1397" s="165"/>
      <c r="M1397" s="165"/>
      <c r="N1397" s="165"/>
      <c r="O1397" s="165"/>
      <c r="P1397" s="165"/>
      <c r="Q1397" s="76"/>
      <c r="R1397" s="76"/>
      <c r="S1397" s="76"/>
      <c r="T1397" s="76"/>
      <c r="U1397" s="76"/>
      <c r="V1397" s="76"/>
    </row>
    <row r="1398" spans="2:22" x14ac:dyDescent="0.2">
      <c r="B1398" s="73" t="s">
        <v>10390</v>
      </c>
      <c r="C1398" s="33" t="s">
        <v>1187</v>
      </c>
      <c r="D1398" s="23" t="s">
        <v>1188</v>
      </c>
      <c r="E1398" s="73"/>
      <c r="F1398" s="73"/>
      <c r="G1398" s="73"/>
      <c r="H1398" s="73"/>
      <c r="I1398" s="73"/>
      <c r="J1398" s="33" t="s">
        <v>9374</v>
      </c>
      <c r="K1398" s="33" t="s">
        <v>11016</v>
      </c>
      <c r="L1398" s="33" t="s">
        <v>121</v>
      </c>
      <c r="M1398" s="33" t="s">
        <v>9376</v>
      </c>
      <c r="N1398" s="73"/>
      <c r="O1398" s="73"/>
      <c r="P1398" s="73"/>
      <c r="Q1398" s="73"/>
      <c r="R1398" s="23"/>
      <c r="S1398" s="23"/>
      <c r="T1398" s="73"/>
      <c r="U1398" s="73"/>
      <c r="V1398" s="73"/>
    </row>
    <row r="1399" spans="2:22" x14ac:dyDescent="0.2">
      <c r="B1399" s="166"/>
      <c r="C1399" s="166"/>
      <c r="D1399" s="166"/>
      <c r="E1399" s="166"/>
      <c r="F1399" s="166"/>
      <c r="G1399" s="166"/>
      <c r="H1399" s="166"/>
      <c r="I1399" s="166"/>
      <c r="J1399" s="166"/>
      <c r="K1399" s="166"/>
      <c r="L1399" s="166"/>
      <c r="M1399" s="166"/>
      <c r="N1399" s="166"/>
      <c r="O1399" s="166"/>
      <c r="P1399" s="166"/>
      <c r="Q1399" s="73"/>
      <c r="R1399" s="23"/>
      <c r="S1399" s="23"/>
      <c r="T1399" s="73"/>
      <c r="U1399" s="73"/>
      <c r="V1399" s="73"/>
    </row>
    <row r="1400" spans="2:22" x14ac:dyDescent="0.2">
      <c r="B1400" s="165" t="s">
        <v>10393</v>
      </c>
      <c r="C1400" s="165"/>
      <c r="D1400" s="165"/>
      <c r="E1400" s="165"/>
      <c r="F1400" s="165"/>
      <c r="G1400" s="165"/>
      <c r="H1400" s="165"/>
      <c r="I1400" s="165"/>
      <c r="J1400" s="165"/>
      <c r="K1400" s="165"/>
      <c r="L1400" s="165"/>
      <c r="M1400" s="165"/>
      <c r="N1400" s="165"/>
      <c r="O1400" s="165"/>
      <c r="P1400" s="165"/>
      <c r="Q1400" s="75"/>
      <c r="R1400" s="75"/>
      <c r="S1400" s="75"/>
      <c r="T1400" s="75"/>
      <c r="U1400" s="75"/>
      <c r="V1400" s="75"/>
    </row>
    <row r="1401" spans="2:22" x14ac:dyDescent="0.2">
      <c r="B1401" s="73" t="s">
        <v>10393</v>
      </c>
      <c r="C1401" s="33" t="s">
        <v>1189</v>
      </c>
      <c r="D1401" s="23" t="s">
        <v>1190</v>
      </c>
      <c r="E1401" s="73"/>
      <c r="F1401" s="73"/>
      <c r="G1401" s="73"/>
      <c r="H1401" s="73"/>
      <c r="I1401" s="73"/>
      <c r="J1401" s="33" t="s">
        <v>9374</v>
      </c>
      <c r="K1401" s="33" t="s">
        <v>11016</v>
      </c>
      <c r="L1401" s="33" t="s">
        <v>121</v>
      </c>
      <c r="M1401" s="33" t="s">
        <v>9376</v>
      </c>
      <c r="N1401" s="73"/>
      <c r="O1401" s="73"/>
      <c r="P1401" s="73"/>
      <c r="Q1401" s="76"/>
      <c r="R1401" s="76"/>
      <c r="S1401" s="76"/>
      <c r="T1401" s="76"/>
      <c r="U1401" s="76"/>
      <c r="V1401" s="76"/>
    </row>
    <row r="1402" spans="2:22" x14ac:dyDescent="0.2">
      <c r="B1402" s="166"/>
      <c r="C1402" s="166"/>
      <c r="D1402" s="166"/>
      <c r="E1402" s="166"/>
      <c r="F1402" s="166"/>
      <c r="G1402" s="166"/>
      <c r="H1402" s="166"/>
      <c r="I1402" s="166"/>
      <c r="J1402" s="166"/>
      <c r="K1402" s="166"/>
      <c r="L1402" s="166"/>
      <c r="M1402" s="166"/>
      <c r="N1402" s="166"/>
      <c r="O1402" s="166"/>
      <c r="P1402" s="166"/>
      <c r="Q1402" s="73"/>
      <c r="R1402" s="23"/>
      <c r="S1402" s="23"/>
      <c r="T1402" s="73"/>
      <c r="U1402" s="73"/>
      <c r="V1402" s="73"/>
    </row>
    <row r="1403" spans="2:22" x14ac:dyDescent="0.2">
      <c r="B1403" s="165" t="s">
        <v>10396</v>
      </c>
      <c r="C1403" s="165"/>
      <c r="D1403" s="165"/>
      <c r="E1403" s="165"/>
      <c r="F1403" s="165"/>
      <c r="G1403" s="165"/>
      <c r="H1403" s="165"/>
      <c r="I1403" s="165"/>
      <c r="J1403" s="165"/>
      <c r="K1403" s="165"/>
      <c r="L1403" s="165"/>
      <c r="M1403" s="165"/>
      <c r="N1403" s="165"/>
      <c r="O1403" s="165"/>
      <c r="P1403" s="165"/>
      <c r="Q1403" s="75"/>
      <c r="R1403" s="75"/>
      <c r="S1403" s="75"/>
      <c r="T1403" s="75"/>
      <c r="U1403" s="75"/>
      <c r="V1403" s="75"/>
    </row>
    <row r="1404" spans="2:22" x14ac:dyDescent="0.2">
      <c r="B1404" s="73" t="s">
        <v>10396</v>
      </c>
      <c r="C1404" s="33" t="s">
        <v>1191</v>
      </c>
      <c r="D1404" s="23" t="s">
        <v>1192</v>
      </c>
      <c r="E1404" s="73"/>
      <c r="F1404" s="73"/>
      <c r="G1404" s="73"/>
      <c r="H1404" s="73"/>
      <c r="I1404" s="73"/>
      <c r="J1404" s="33" t="s">
        <v>9374</v>
      </c>
      <c r="K1404" s="33" t="s">
        <v>11016</v>
      </c>
      <c r="L1404" s="33" t="s">
        <v>121</v>
      </c>
      <c r="M1404" s="33" t="s">
        <v>9376</v>
      </c>
      <c r="N1404" s="73"/>
      <c r="O1404" s="73"/>
      <c r="P1404" s="73"/>
      <c r="Q1404" s="76"/>
      <c r="R1404" s="76"/>
      <c r="S1404" s="76"/>
      <c r="T1404" s="76"/>
      <c r="U1404" s="76"/>
      <c r="V1404" s="76"/>
    </row>
    <row r="1405" spans="2:22" x14ac:dyDescent="0.2">
      <c r="B1405" s="166"/>
      <c r="C1405" s="166"/>
      <c r="D1405" s="166"/>
      <c r="E1405" s="166"/>
      <c r="F1405" s="166"/>
      <c r="G1405" s="166"/>
      <c r="H1405" s="166"/>
      <c r="I1405" s="166"/>
      <c r="J1405" s="166"/>
      <c r="K1405" s="166"/>
      <c r="L1405" s="166"/>
      <c r="M1405" s="166"/>
      <c r="N1405" s="166"/>
      <c r="O1405" s="166"/>
      <c r="P1405" s="166"/>
      <c r="Q1405" s="73"/>
      <c r="R1405" s="23"/>
      <c r="S1405" s="23"/>
      <c r="T1405" s="73"/>
      <c r="U1405" s="73"/>
      <c r="V1405" s="73"/>
    </row>
    <row r="1406" spans="2:22" x14ac:dyDescent="0.2">
      <c r="B1406" s="165" t="s">
        <v>10399</v>
      </c>
      <c r="C1406" s="165"/>
      <c r="D1406" s="165"/>
      <c r="E1406" s="165"/>
      <c r="F1406" s="165"/>
      <c r="G1406" s="165"/>
      <c r="H1406" s="165"/>
      <c r="I1406" s="165"/>
      <c r="J1406" s="165"/>
      <c r="K1406" s="165"/>
      <c r="L1406" s="165"/>
      <c r="M1406" s="165"/>
      <c r="N1406" s="165"/>
      <c r="O1406" s="165"/>
      <c r="P1406" s="165"/>
      <c r="Q1406" s="73"/>
      <c r="R1406" s="23"/>
      <c r="S1406" s="23"/>
      <c r="T1406" s="73"/>
      <c r="U1406" s="73"/>
      <c r="V1406" s="73"/>
    </row>
    <row r="1407" spans="2:22" x14ac:dyDescent="0.2">
      <c r="B1407" s="73" t="s">
        <v>10399</v>
      </c>
      <c r="C1407" s="33" t="s">
        <v>1193</v>
      </c>
      <c r="D1407" s="23" t="s">
        <v>1194</v>
      </c>
      <c r="E1407" s="73"/>
      <c r="F1407" s="73"/>
      <c r="G1407" s="73"/>
      <c r="H1407" s="73"/>
      <c r="I1407" s="73"/>
      <c r="J1407" s="33" t="s">
        <v>9374</v>
      </c>
      <c r="K1407" s="33" t="s">
        <v>9375</v>
      </c>
      <c r="L1407" s="33" t="s">
        <v>121</v>
      </c>
      <c r="M1407" s="33" t="s">
        <v>9376</v>
      </c>
      <c r="N1407" s="73"/>
      <c r="O1407" s="73"/>
      <c r="P1407" s="73"/>
      <c r="Q1407" s="73"/>
      <c r="R1407" s="23"/>
      <c r="S1407" s="23"/>
      <c r="T1407" s="73"/>
      <c r="U1407" s="73"/>
      <c r="V1407" s="73"/>
    </row>
    <row r="1408" spans="2:22" x14ac:dyDescent="0.2">
      <c r="B1408" s="73" t="s">
        <v>10399</v>
      </c>
      <c r="C1408" s="33" t="s">
        <v>1928</v>
      </c>
      <c r="D1408" s="23" t="s">
        <v>1929</v>
      </c>
      <c r="E1408" s="73"/>
      <c r="F1408" s="73"/>
      <c r="G1408" s="73"/>
      <c r="H1408" s="73"/>
      <c r="I1408" s="73" t="s">
        <v>11180</v>
      </c>
      <c r="J1408" s="33" t="s">
        <v>9374</v>
      </c>
      <c r="K1408" s="33" t="s">
        <v>9375</v>
      </c>
      <c r="L1408" s="33" t="s">
        <v>121</v>
      </c>
      <c r="M1408" s="33" t="s">
        <v>9376</v>
      </c>
      <c r="N1408" s="73"/>
      <c r="O1408" s="73"/>
      <c r="P1408" s="73"/>
      <c r="Q1408" s="75"/>
      <c r="R1408" s="75"/>
      <c r="S1408" s="75"/>
      <c r="T1408" s="75"/>
      <c r="U1408" s="75"/>
      <c r="V1408" s="75"/>
    </row>
    <row r="1409" spans="2:22" x14ac:dyDescent="0.2">
      <c r="B1409" s="166"/>
      <c r="C1409" s="166"/>
      <c r="D1409" s="166"/>
      <c r="E1409" s="166"/>
      <c r="F1409" s="166"/>
      <c r="G1409" s="166"/>
      <c r="H1409" s="166"/>
      <c r="I1409" s="166"/>
      <c r="J1409" s="166"/>
      <c r="K1409" s="166"/>
      <c r="L1409" s="166"/>
      <c r="M1409" s="166"/>
      <c r="N1409" s="166"/>
      <c r="O1409" s="166"/>
      <c r="P1409" s="166"/>
      <c r="Q1409" s="76"/>
      <c r="R1409" s="76"/>
      <c r="S1409" s="76"/>
      <c r="T1409" s="76"/>
      <c r="U1409" s="76"/>
      <c r="V1409" s="76"/>
    </row>
    <row r="1410" spans="2:22" x14ac:dyDescent="0.2">
      <c r="B1410" s="165" t="s">
        <v>10404</v>
      </c>
      <c r="C1410" s="165"/>
      <c r="D1410" s="165"/>
      <c r="E1410" s="165"/>
      <c r="F1410" s="165"/>
      <c r="G1410" s="165"/>
      <c r="H1410" s="165"/>
      <c r="I1410" s="165"/>
      <c r="J1410" s="165"/>
      <c r="K1410" s="165"/>
      <c r="L1410" s="165"/>
      <c r="M1410" s="165"/>
      <c r="N1410" s="165"/>
      <c r="O1410" s="165"/>
      <c r="P1410" s="165"/>
      <c r="Q1410" s="73"/>
      <c r="R1410" s="23"/>
      <c r="S1410" s="23"/>
      <c r="T1410" s="73"/>
      <c r="U1410" s="73"/>
      <c r="V1410" s="73"/>
    </row>
    <row r="1411" spans="2:22" x14ac:dyDescent="0.2">
      <c r="B1411" s="73" t="s">
        <v>10404</v>
      </c>
      <c r="C1411" s="33" t="s">
        <v>1195</v>
      </c>
      <c r="D1411" s="23" t="s">
        <v>1196</v>
      </c>
      <c r="E1411" s="73"/>
      <c r="F1411" s="73"/>
      <c r="G1411" s="73"/>
      <c r="H1411" s="73"/>
      <c r="I1411" s="73"/>
      <c r="J1411" s="33" t="s">
        <v>9374</v>
      </c>
      <c r="K1411" s="33" t="s">
        <v>9375</v>
      </c>
      <c r="L1411" s="33" t="s">
        <v>121</v>
      </c>
      <c r="M1411" s="33" t="s">
        <v>9376</v>
      </c>
      <c r="N1411" s="73"/>
      <c r="O1411" s="73"/>
      <c r="P1411" s="73"/>
      <c r="Q1411" s="73"/>
      <c r="R1411" s="23"/>
      <c r="S1411" s="23"/>
      <c r="T1411" s="73"/>
      <c r="U1411" s="73"/>
      <c r="V1411" s="73"/>
    </row>
    <row r="1412" spans="2:22" x14ac:dyDescent="0.2">
      <c r="B1412" s="166"/>
      <c r="C1412" s="166"/>
      <c r="D1412" s="166"/>
      <c r="E1412" s="166"/>
      <c r="F1412" s="166"/>
      <c r="G1412" s="166"/>
      <c r="H1412" s="166"/>
      <c r="I1412" s="166"/>
      <c r="J1412" s="166"/>
      <c r="K1412" s="166"/>
      <c r="L1412" s="166"/>
      <c r="M1412" s="166"/>
      <c r="N1412" s="166"/>
      <c r="O1412" s="166"/>
      <c r="P1412" s="166"/>
      <c r="Q1412" s="75"/>
      <c r="R1412" s="75"/>
      <c r="S1412" s="75"/>
      <c r="T1412" s="75"/>
      <c r="U1412" s="75"/>
      <c r="V1412" s="75"/>
    </row>
    <row r="1413" spans="2:22" x14ac:dyDescent="0.2">
      <c r="B1413" s="165" t="s">
        <v>10406</v>
      </c>
      <c r="C1413" s="165"/>
      <c r="D1413" s="165"/>
      <c r="E1413" s="165"/>
      <c r="F1413" s="165"/>
      <c r="G1413" s="165"/>
      <c r="H1413" s="165"/>
      <c r="I1413" s="165"/>
      <c r="J1413" s="165"/>
      <c r="K1413" s="165"/>
      <c r="L1413" s="165"/>
      <c r="M1413" s="165"/>
      <c r="N1413" s="165"/>
      <c r="O1413" s="165"/>
      <c r="P1413" s="165"/>
      <c r="Q1413" s="76"/>
      <c r="R1413" s="76"/>
      <c r="S1413" s="76"/>
      <c r="T1413" s="76"/>
      <c r="U1413" s="76"/>
      <c r="V1413" s="76"/>
    </row>
    <row r="1414" spans="2:22" x14ac:dyDescent="0.2">
      <c r="B1414" s="73" t="s">
        <v>10406</v>
      </c>
      <c r="C1414" s="33" t="s">
        <v>1197</v>
      </c>
      <c r="D1414" s="23" t="s">
        <v>1198</v>
      </c>
      <c r="E1414" s="73"/>
      <c r="F1414" s="73"/>
      <c r="G1414" s="73"/>
      <c r="H1414" s="73"/>
      <c r="I1414" s="73"/>
      <c r="J1414" s="33" t="s">
        <v>9374</v>
      </c>
      <c r="K1414" s="33" t="s">
        <v>11016</v>
      </c>
      <c r="L1414" s="33" t="s">
        <v>121</v>
      </c>
      <c r="M1414" s="33" t="s">
        <v>9376</v>
      </c>
      <c r="N1414" s="73"/>
      <c r="O1414" s="73"/>
      <c r="P1414" s="73"/>
      <c r="Q1414" s="73"/>
      <c r="R1414" s="23"/>
      <c r="S1414" s="23"/>
      <c r="T1414" s="73"/>
      <c r="U1414" s="73"/>
      <c r="V1414" s="73"/>
    </row>
    <row r="1415" spans="2:22" x14ac:dyDescent="0.2">
      <c r="B1415" s="166"/>
      <c r="C1415" s="166"/>
      <c r="D1415" s="166"/>
      <c r="E1415" s="166"/>
      <c r="F1415" s="166"/>
      <c r="G1415" s="166"/>
      <c r="H1415" s="166"/>
      <c r="I1415" s="166"/>
      <c r="J1415" s="166"/>
      <c r="K1415" s="166"/>
      <c r="L1415" s="166"/>
      <c r="M1415" s="166"/>
      <c r="N1415" s="166"/>
      <c r="O1415" s="166"/>
      <c r="P1415" s="166"/>
      <c r="Q1415" s="75"/>
      <c r="R1415" s="75"/>
      <c r="S1415" s="75"/>
      <c r="T1415" s="75"/>
      <c r="U1415" s="75"/>
      <c r="V1415" s="75"/>
    </row>
    <row r="1416" spans="2:22" x14ac:dyDescent="0.2">
      <c r="B1416" s="165" t="s">
        <v>10408</v>
      </c>
      <c r="C1416" s="165"/>
      <c r="D1416" s="165"/>
      <c r="E1416" s="165"/>
      <c r="F1416" s="165"/>
      <c r="G1416" s="165"/>
      <c r="H1416" s="165"/>
      <c r="I1416" s="165"/>
      <c r="J1416" s="165"/>
      <c r="K1416" s="165"/>
      <c r="L1416" s="165"/>
      <c r="M1416" s="165"/>
      <c r="N1416" s="165"/>
      <c r="O1416" s="165"/>
      <c r="P1416" s="165"/>
      <c r="Q1416" s="76"/>
      <c r="R1416" s="76"/>
      <c r="S1416" s="76"/>
      <c r="T1416" s="76"/>
      <c r="U1416" s="76"/>
      <c r="V1416" s="76"/>
    </row>
    <row r="1417" spans="2:22" x14ac:dyDescent="0.2">
      <c r="B1417" s="73" t="s">
        <v>10408</v>
      </c>
      <c r="C1417" s="33" t="s">
        <v>1199</v>
      </c>
      <c r="D1417" s="23" t="s">
        <v>1200</v>
      </c>
      <c r="E1417" s="73"/>
      <c r="F1417" s="73"/>
      <c r="G1417" s="73"/>
      <c r="H1417" s="73"/>
      <c r="I1417" s="73"/>
      <c r="J1417" s="33" t="s">
        <v>9374</v>
      </c>
      <c r="K1417" s="33" t="s">
        <v>11016</v>
      </c>
      <c r="L1417" s="33" t="s">
        <v>121</v>
      </c>
      <c r="M1417" s="33" t="s">
        <v>9376</v>
      </c>
      <c r="N1417" s="73"/>
      <c r="O1417" s="73"/>
      <c r="P1417" s="73"/>
      <c r="Q1417" s="73"/>
      <c r="R1417" s="23"/>
      <c r="S1417" s="23"/>
      <c r="T1417" s="73"/>
      <c r="U1417" s="73"/>
      <c r="V1417" s="73"/>
    </row>
    <row r="1418" spans="2:22" x14ac:dyDescent="0.2">
      <c r="B1418" s="166"/>
      <c r="C1418" s="166"/>
      <c r="D1418" s="166"/>
      <c r="E1418" s="166"/>
      <c r="F1418" s="166"/>
      <c r="G1418" s="166"/>
      <c r="H1418" s="166"/>
      <c r="I1418" s="166"/>
      <c r="J1418" s="166"/>
      <c r="K1418" s="166"/>
      <c r="L1418" s="166"/>
      <c r="M1418" s="166"/>
      <c r="N1418" s="166"/>
      <c r="O1418" s="166"/>
      <c r="P1418" s="166"/>
      <c r="Q1418" s="73"/>
      <c r="R1418" s="23"/>
      <c r="S1418" s="23"/>
      <c r="T1418" s="73"/>
      <c r="U1418" s="73"/>
      <c r="V1418" s="73"/>
    </row>
    <row r="1419" spans="2:22" x14ac:dyDescent="0.2">
      <c r="B1419" s="165" t="s">
        <v>10410</v>
      </c>
      <c r="C1419" s="165"/>
      <c r="D1419" s="165"/>
      <c r="E1419" s="165"/>
      <c r="F1419" s="165"/>
      <c r="G1419" s="165"/>
      <c r="H1419" s="165"/>
      <c r="I1419" s="165"/>
      <c r="J1419" s="165"/>
      <c r="K1419" s="165"/>
      <c r="L1419" s="165"/>
      <c r="M1419" s="165"/>
      <c r="N1419" s="165"/>
      <c r="O1419" s="165"/>
      <c r="P1419" s="165"/>
      <c r="Q1419" s="75"/>
      <c r="R1419" s="75"/>
      <c r="S1419" s="75"/>
      <c r="T1419" s="75"/>
      <c r="U1419" s="75"/>
      <c r="V1419" s="75"/>
    </row>
    <row r="1420" spans="2:22" x14ac:dyDescent="0.2">
      <c r="B1420" s="73" t="s">
        <v>10410</v>
      </c>
      <c r="C1420" s="33" t="s">
        <v>1201</v>
      </c>
      <c r="D1420" s="23" t="s">
        <v>1202</v>
      </c>
      <c r="E1420" s="73"/>
      <c r="F1420" s="73"/>
      <c r="G1420" s="73"/>
      <c r="H1420" s="73"/>
      <c r="I1420" s="73"/>
      <c r="J1420" s="33" t="s">
        <v>9374</v>
      </c>
      <c r="K1420" s="33" t="s">
        <v>11016</v>
      </c>
      <c r="L1420" s="33" t="s">
        <v>121</v>
      </c>
      <c r="M1420" s="33" t="s">
        <v>9376</v>
      </c>
      <c r="N1420" s="73"/>
      <c r="O1420" s="73"/>
      <c r="P1420" s="73"/>
      <c r="Q1420" s="76"/>
      <c r="R1420" s="76"/>
      <c r="S1420" s="76"/>
      <c r="T1420" s="76"/>
      <c r="U1420" s="76"/>
      <c r="V1420" s="76"/>
    </row>
    <row r="1421" spans="2:22" x14ac:dyDescent="0.2">
      <c r="B1421" s="166"/>
      <c r="C1421" s="166"/>
      <c r="D1421" s="166"/>
      <c r="E1421" s="166"/>
      <c r="F1421" s="166"/>
      <c r="G1421" s="166"/>
      <c r="H1421" s="166"/>
      <c r="I1421" s="166"/>
      <c r="J1421" s="166"/>
      <c r="K1421" s="166"/>
      <c r="L1421" s="166"/>
      <c r="M1421" s="166"/>
      <c r="N1421" s="166"/>
      <c r="O1421" s="166"/>
      <c r="P1421" s="166"/>
      <c r="Q1421" s="73"/>
      <c r="R1421" s="23"/>
      <c r="S1421" s="23"/>
      <c r="T1421" s="73"/>
      <c r="U1421" s="73"/>
      <c r="V1421" s="73"/>
    </row>
    <row r="1422" spans="2:22" x14ac:dyDescent="0.2">
      <c r="B1422" s="165" t="s">
        <v>10412</v>
      </c>
      <c r="C1422" s="165"/>
      <c r="D1422" s="165"/>
      <c r="E1422" s="165"/>
      <c r="F1422" s="165"/>
      <c r="G1422" s="165"/>
      <c r="H1422" s="165"/>
      <c r="I1422" s="165"/>
      <c r="J1422" s="165"/>
      <c r="K1422" s="165"/>
      <c r="L1422" s="165"/>
      <c r="M1422" s="165"/>
      <c r="N1422" s="165"/>
      <c r="O1422" s="165"/>
      <c r="P1422" s="165"/>
      <c r="Q1422" s="75"/>
      <c r="R1422" s="75"/>
      <c r="S1422" s="75"/>
      <c r="T1422" s="75"/>
      <c r="U1422" s="75"/>
      <c r="V1422" s="75"/>
    </row>
    <row r="1423" spans="2:22" x14ac:dyDescent="0.2">
      <c r="B1423" s="73" t="s">
        <v>10412</v>
      </c>
      <c r="C1423" s="33" t="s">
        <v>1203</v>
      </c>
      <c r="D1423" s="23" t="s">
        <v>1204</v>
      </c>
      <c r="E1423" s="73"/>
      <c r="F1423" s="73"/>
      <c r="G1423" s="73"/>
      <c r="H1423" s="73"/>
      <c r="I1423" s="73"/>
      <c r="J1423" s="33" t="s">
        <v>9374</v>
      </c>
      <c r="K1423" s="33" t="s">
        <v>11016</v>
      </c>
      <c r="L1423" s="33" t="s">
        <v>121</v>
      </c>
      <c r="M1423" s="33" t="s">
        <v>9376</v>
      </c>
      <c r="N1423" s="73"/>
      <c r="O1423" s="73"/>
      <c r="P1423" s="73"/>
      <c r="Q1423" s="76"/>
      <c r="R1423" s="76"/>
      <c r="S1423" s="76"/>
      <c r="T1423" s="76"/>
      <c r="U1423" s="76"/>
      <c r="V1423" s="76"/>
    </row>
    <row r="1424" spans="2:22" x14ac:dyDescent="0.2">
      <c r="B1424" s="166"/>
      <c r="C1424" s="166"/>
      <c r="D1424" s="166"/>
      <c r="E1424" s="166"/>
      <c r="F1424" s="166"/>
      <c r="G1424" s="166"/>
      <c r="H1424" s="166"/>
      <c r="I1424" s="166"/>
      <c r="J1424" s="166"/>
      <c r="K1424" s="166"/>
      <c r="L1424" s="166"/>
      <c r="M1424" s="166"/>
      <c r="N1424" s="166"/>
      <c r="O1424" s="166"/>
      <c r="P1424" s="166"/>
      <c r="Q1424" s="73"/>
      <c r="R1424" s="23"/>
      <c r="S1424" s="23"/>
      <c r="T1424" s="73"/>
      <c r="U1424" s="73"/>
      <c r="V1424" s="73"/>
    </row>
    <row r="1425" spans="2:22" x14ac:dyDescent="0.2">
      <c r="B1425" s="165" t="s">
        <v>10414</v>
      </c>
      <c r="C1425" s="165"/>
      <c r="D1425" s="165"/>
      <c r="E1425" s="165"/>
      <c r="F1425" s="165"/>
      <c r="G1425" s="165"/>
      <c r="H1425" s="165"/>
      <c r="I1425" s="165"/>
      <c r="J1425" s="165"/>
      <c r="K1425" s="165"/>
      <c r="L1425" s="165"/>
      <c r="M1425" s="165"/>
      <c r="N1425" s="165"/>
      <c r="O1425" s="165"/>
      <c r="P1425" s="165"/>
      <c r="Q1425" s="75"/>
      <c r="R1425" s="75"/>
      <c r="S1425" s="75"/>
      <c r="T1425" s="75"/>
      <c r="U1425" s="75"/>
      <c r="V1425" s="75"/>
    </row>
    <row r="1426" spans="2:22" x14ac:dyDescent="0.2">
      <c r="B1426" s="73" t="s">
        <v>10414</v>
      </c>
      <c r="C1426" s="33" t="s">
        <v>1205</v>
      </c>
      <c r="D1426" s="23" t="s">
        <v>1206</v>
      </c>
      <c r="E1426" s="73"/>
      <c r="F1426" s="73"/>
      <c r="G1426" s="73"/>
      <c r="H1426" s="73"/>
      <c r="I1426" s="73"/>
      <c r="J1426" s="33" t="s">
        <v>9374</v>
      </c>
      <c r="K1426" s="33" t="s">
        <v>11016</v>
      </c>
      <c r="L1426" s="33" t="s">
        <v>121</v>
      </c>
      <c r="M1426" s="33" t="s">
        <v>9376</v>
      </c>
      <c r="N1426" s="73"/>
      <c r="O1426" s="73"/>
      <c r="P1426" s="73"/>
      <c r="Q1426" s="76"/>
      <c r="R1426" s="76"/>
      <c r="S1426" s="76"/>
      <c r="T1426" s="76"/>
      <c r="U1426" s="76"/>
      <c r="V1426" s="76"/>
    </row>
    <row r="1427" spans="2:22" x14ac:dyDescent="0.2">
      <c r="B1427" s="166"/>
      <c r="C1427" s="166"/>
      <c r="D1427" s="166"/>
      <c r="E1427" s="166"/>
      <c r="F1427" s="166"/>
      <c r="G1427" s="166"/>
      <c r="H1427" s="166"/>
      <c r="I1427" s="166"/>
      <c r="J1427" s="166"/>
      <c r="K1427" s="166"/>
      <c r="L1427" s="166"/>
      <c r="M1427" s="166"/>
      <c r="N1427" s="166"/>
      <c r="O1427" s="166"/>
      <c r="P1427" s="166"/>
      <c r="Q1427" s="73"/>
      <c r="R1427" s="23"/>
      <c r="S1427" s="23"/>
      <c r="T1427" s="73"/>
      <c r="U1427" s="73"/>
      <c r="V1427" s="73"/>
    </row>
    <row r="1428" spans="2:22" x14ac:dyDescent="0.2">
      <c r="B1428" s="165" t="s">
        <v>10417</v>
      </c>
      <c r="C1428" s="165"/>
      <c r="D1428" s="165"/>
      <c r="E1428" s="165"/>
      <c r="F1428" s="165"/>
      <c r="G1428" s="165"/>
      <c r="H1428" s="165"/>
      <c r="I1428" s="165"/>
      <c r="J1428" s="165"/>
      <c r="K1428" s="165"/>
      <c r="L1428" s="165"/>
      <c r="M1428" s="165"/>
      <c r="N1428" s="165"/>
      <c r="O1428" s="165"/>
      <c r="P1428" s="165"/>
      <c r="Q1428" s="75"/>
      <c r="R1428" s="75"/>
      <c r="S1428" s="75"/>
      <c r="T1428" s="75"/>
      <c r="U1428" s="75"/>
      <c r="V1428" s="75"/>
    </row>
    <row r="1429" spans="2:22" x14ac:dyDescent="0.2">
      <c r="B1429" s="73" t="s">
        <v>10417</v>
      </c>
      <c r="C1429" s="33" t="s">
        <v>1207</v>
      </c>
      <c r="D1429" s="23" t="s">
        <v>1208</v>
      </c>
      <c r="E1429" s="73"/>
      <c r="F1429" s="73"/>
      <c r="G1429" s="73"/>
      <c r="H1429" s="73"/>
      <c r="I1429" s="73"/>
      <c r="J1429" s="33" t="s">
        <v>9374</v>
      </c>
      <c r="K1429" s="33" t="s">
        <v>11016</v>
      </c>
      <c r="L1429" s="33" t="s">
        <v>121</v>
      </c>
      <c r="M1429" s="33" t="s">
        <v>9376</v>
      </c>
      <c r="N1429" s="73"/>
      <c r="O1429" s="73"/>
      <c r="P1429" s="73"/>
      <c r="Q1429" s="76"/>
      <c r="R1429" s="76"/>
      <c r="S1429" s="76"/>
      <c r="T1429" s="76"/>
      <c r="U1429" s="76"/>
      <c r="V1429" s="76"/>
    </row>
    <row r="1430" spans="2:22" x14ac:dyDescent="0.2">
      <c r="B1430" s="166"/>
      <c r="C1430" s="166"/>
      <c r="D1430" s="166"/>
      <c r="E1430" s="166"/>
      <c r="F1430" s="166"/>
      <c r="G1430" s="166"/>
      <c r="H1430" s="166"/>
      <c r="I1430" s="166"/>
      <c r="J1430" s="166"/>
      <c r="K1430" s="166"/>
      <c r="L1430" s="166"/>
      <c r="M1430" s="166"/>
      <c r="N1430" s="166"/>
      <c r="O1430" s="166"/>
      <c r="P1430" s="166"/>
      <c r="Q1430" s="73"/>
      <c r="R1430" s="23"/>
      <c r="S1430" s="23"/>
      <c r="T1430" s="73"/>
      <c r="U1430" s="73"/>
      <c r="V1430" s="73"/>
    </row>
    <row r="1431" spans="2:22" x14ac:dyDescent="0.2">
      <c r="B1431" s="165" t="s">
        <v>10419</v>
      </c>
      <c r="C1431" s="165"/>
      <c r="D1431" s="165"/>
      <c r="E1431" s="165"/>
      <c r="F1431" s="165"/>
      <c r="G1431" s="165"/>
      <c r="H1431" s="165"/>
      <c r="I1431" s="165"/>
      <c r="J1431" s="165"/>
      <c r="K1431" s="165"/>
      <c r="L1431" s="165"/>
      <c r="M1431" s="165"/>
      <c r="N1431" s="165"/>
      <c r="O1431" s="165"/>
      <c r="P1431" s="165"/>
      <c r="Q1431" s="73"/>
      <c r="R1431" s="23"/>
      <c r="S1431" s="23"/>
      <c r="T1431" s="73"/>
      <c r="U1431" s="73"/>
      <c r="V1431" s="73"/>
    </row>
    <row r="1432" spans="2:22" x14ac:dyDescent="0.2">
      <c r="B1432" s="73" t="s">
        <v>10419</v>
      </c>
      <c r="C1432" s="33" t="s">
        <v>1209</v>
      </c>
      <c r="D1432" s="23" t="s">
        <v>1210</v>
      </c>
      <c r="E1432" s="73"/>
      <c r="F1432" s="73"/>
      <c r="G1432" s="73"/>
      <c r="H1432" s="73"/>
      <c r="I1432" s="73"/>
      <c r="J1432" s="33" t="s">
        <v>9374</v>
      </c>
      <c r="K1432" s="33" t="s">
        <v>11016</v>
      </c>
      <c r="L1432" s="33" t="s">
        <v>121</v>
      </c>
      <c r="M1432" s="33" t="s">
        <v>9376</v>
      </c>
      <c r="N1432" s="73"/>
      <c r="O1432" s="73"/>
      <c r="P1432" s="73"/>
      <c r="Q1432" s="73"/>
      <c r="R1432" s="23"/>
      <c r="S1432" s="23"/>
      <c r="T1432" s="73"/>
      <c r="U1432" s="73"/>
      <c r="V1432" s="73"/>
    </row>
    <row r="1433" spans="2:22" x14ac:dyDescent="0.2">
      <c r="B1433" s="73" t="s">
        <v>10419</v>
      </c>
      <c r="C1433" s="33" t="s">
        <v>1699</v>
      </c>
      <c r="D1433" s="23" t="s">
        <v>1700</v>
      </c>
      <c r="E1433" s="73" t="s">
        <v>11024</v>
      </c>
      <c r="F1433" s="73" t="s">
        <v>10902</v>
      </c>
      <c r="G1433" s="73"/>
      <c r="H1433" s="73" t="s">
        <v>11025</v>
      </c>
      <c r="I1433" s="73" t="s">
        <v>11181</v>
      </c>
      <c r="J1433" s="33" t="s">
        <v>9374</v>
      </c>
      <c r="K1433" s="33" t="s">
        <v>11016</v>
      </c>
      <c r="L1433" s="33" t="s">
        <v>121</v>
      </c>
      <c r="M1433" s="33" t="s">
        <v>9376</v>
      </c>
      <c r="N1433" s="73"/>
      <c r="O1433" s="73"/>
      <c r="P1433" s="73"/>
      <c r="Q1433" s="75"/>
      <c r="R1433" s="75"/>
      <c r="S1433" s="75"/>
      <c r="T1433" s="75"/>
      <c r="U1433" s="75"/>
      <c r="V1433" s="75"/>
    </row>
    <row r="1434" spans="2:22" x14ac:dyDescent="0.2">
      <c r="B1434" s="166"/>
      <c r="C1434" s="166"/>
      <c r="D1434" s="166"/>
      <c r="E1434" s="166"/>
      <c r="F1434" s="166"/>
      <c r="G1434" s="166"/>
      <c r="H1434" s="166"/>
      <c r="I1434" s="166"/>
      <c r="J1434" s="166"/>
      <c r="K1434" s="166"/>
      <c r="L1434" s="166"/>
      <c r="M1434" s="166"/>
      <c r="N1434" s="166"/>
      <c r="O1434" s="166"/>
      <c r="P1434" s="166"/>
      <c r="Q1434" s="76"/>
      <c r="R1434" s="76"/>
      <c r="S1434" s="76"/>
      <c r="T1434" s="76"/>
      <c r="U1434" s="76"/>
      <c r="V1434" s="76"/>
    </row>
    <row r="1435" spans="2:22" x14ac:dyDescent="0.2">
      <c r="B1435" s="165" t="s">
        <v>10421</v>
      </c>
      <c r="C1435" s="165"/>
      <c r="D1435" s="165"/>
      <c r="E1435" s="165"/>
      <c r="F1435" s="165"/>
      <c r="G1435" s="165"/>
      <c r="H1435" s="165"/>
      <c r="I1435" s="165"/>
      <c r="J1435" s="165"/>
      <c r="K1435" s="165"/>
      <c r="L1435" s="165"/>
      <c r="M1435" s="165"/>
      <c r="N1435" s="165"/>
      <c r="O1435" s="165"/>
      <c r="P1435" s="165"/>
      <c r="Q1435" s="73"/>
      <c r="R1435" s="23"/>
      <c r="S1435" s="23"/>
      <c r="T1435" s="73"/>
      <c r="U1435" s="73"/>
      <c r="V1435" s="73"/>
    </row>
    <row r="1436" spans="2:22" x14ac:dyDescent="0.2">
      <c r="B1436" s="73" t="s">
        <v>10421</v>
      </c>
      <c r="C1436" s="33" t="s">
        <v>1211</v>
      </c>
      <c r="D1436" s="23" t="s">
        <v>1212</v>
      </c>
      <c r="E1436" s="73"/>
      <c r="F1436" s="73"/>
      <c r="G1436" s="73"/>
      <c r="H1436" s="73"/>
      <c r="I1436" s="73"/>
      <c r="J1436" s="33" t="s">
        <v>9374</v>
      </c>
      <c r="K1436" s="33" t="s">
        <v>11016</v>
      </c>
      <c r="L1436" s="33" t="s">
        <v>121</v>
      </c>
      <c r="M1436" s="33" t="s">
        <v>9376</v>
      </c>
      <c r="N1436" s="73"/>
      <c r="O1436" s="73"/>
      <c r="P1436" s="73"/>
      <c r="Q1436" s="73"/>
      <c r="R1436" s="23"/>
      <c r="S1436" s="23"/>
      <c r="T1436" s="73"/>
      <c r="U1436" s="73"/>
      <c r="V1436" s="73"/>
    </row>
    <row r="1437" spans="2:22" x14ac:dyDescent="0.2">
      <c r="B1437" s="166"/>
      <c r="C1437" s="166"/>
      <c r="D1437" s="166"/>
      <c r="E1437" s="166"/>
      <c r="F1437" s="166"/>
      <c r="G1437" s="166"/>
      <c r="H1437" s="166"/>
      <c r="I1437" s="166"/>
      <c r="J1437" s="166"/>
      <c r="K1437" s="166"/>
      <c r="L1437" s="166"/>
      <c r="M1437" s="166"/>
      <c r="N1437" s="166"/>
      <c r="O1437" s="166"/>
      <c r="P1437" s="166"/>
      <c r="Q1437" s="73"/>
      <c r="R1437" s="23"/>
      <c r="S1437" s="23"/>
      <c r="T1437" s="73"/>
      <c r="U1437" s="73"/>
      <c r="V1437" s="73"/>
    </row>
    <row r="1438" spans="2:22" x14ac:dyDescent="0.2">
      <c r="B1438" s="165" t="s">
        <v>10424</v>
      </c>
      <c r="C1438" s="165"/>
      <c r="D1438" s="165"/>
      <c r="E1438" s="165"/>
      <c r="F1438" s="165"/>
      <c r="G1438" s="165"/>
      <c r="H1438" s="165"/>
      <c r="I1438" s="165"/>
      <c r="J1438" s="165"/>
      <c r="K1438" s="165"/>
      <c r="L1438" s="165"/>
      <c r="M1438" s="165"/>
      <c r="N1438" s="165"/>
      <c r="O1438" s="165"/>
      <c r="P1438" s="165"/>
      <c r="Q1438" s="75"/>
      <c r="R1438" s="75"/>
      <c r="S1438" s="75"/>
      <c r="T1438" s="75"/>
      <c r="U1438" s="75"/>
      <c r="V1438" s="75"/>
    </row>
    <row r="1439" spans="2:22" x14ac:dyDescent="0.2">
      <c r="B1439" s="73" t="s">
        <v>10424</v>
      </c>
      <c r="C1439" s="33" t="s">
        <v>1213</v>
      </c>
      <c r="D1439" s="23" t="s">
        <v>1214</v>
      </c>
      <c r="E1439" s="73"/>
      <c r="F1439" s="73"/>
      <c r="G1439" s="73"/>
      <c r="H1439" s="73"/>
      <c r="I1439" s="73"/>
      <c r="J1439" s="33" t="s">
        <v>9374</v>
      </c>
      <c r="K1439" s="33" t="s">
        <v>9375</v>
      </c>
      <c r="L1439" s="33" t="s">
        <v>121</v>
      </c>
      <c r="M1439" s="33" t="s">
        <v>9376</v>
      </c>
      <c r="N1439" s="73"/>
      <c r="O1439" s="73"/>
      <c r="P1439" s="73"/>
      <c r="Q1439" s="76"/>
      <c r="R1439" s="76"/>
      <c r="S1439" s="76"/>
      <c r="T1439" s="76"/>
      <c r="U1439" s="76"/>
      <c r="V1439" s="76"/>
    </row>
    <row r="1440" spans="2:22" x14ac:dyDescent="0.2">
      <c r="B1440" s="166"/>
      <c r="C1440" s="166"/>
      <c r="D1440" s="166"/>
      <c r="E1440" s="166"/>
      <c r="F1440" s="166"/>
      <c r="G1440" s="166"/>
      <c r="H1440" s="166"/>
      <c r="I1440" s="166"/>
      <c r="J1440" s="166"/>
      <c r="K1440" s="166"/>
      <c r="L1440" s="166"/>
      <c r="M1440" s="166"/>
      <c r="N1440" s="166"/>
      <c r="O1440" s="166"/>
      <c r="P1440" s="166"/>
      <c r="Q1440" s="73"/>
      <c r="R1440" s="23"/>
      <c r="S1440" s="23"/>
      <c r="T1440" s="73"/>
      <c r="U1440" s="73"/>
      <c r="V1440" s="73"/>
    </row>
    <row r="1441" spans="2:22" x14ac:dyDescent="0.2">
      <c r="B1441" s="165" t="s">
        <v>10430</v>
      </c>
      <c r="C1441" s="165"/>
      <c r="D1441" s="165"/>
      <c r="E1441" s="165"/>
      <c r="F1441" s="165"/>
      <c r="G1441" s="165"/>
      <c r="H1441" s="165"/>
      <c r="I1441" s="165"/>
      <c r="J1441" s="165"/>
      <c r="K1441" s="165"/>
      <c r="L1441" s="165"/>
      <c r="M1441" s="165"/>
      <c r="N1441" s="165"/>
      <c r="O1441" s="165"/>
      <c r="P1441" s="165"/>
      <c r="Q1441" s="75"/>
      <c r="R1441" s="75"/>
      <c r="S1441" s="75"/>
      <c r="T1441" s="75"/>
      <c r="U1441" s="75"/>
      <c r="V1441" s="75"/>
    </row>
    <row r="1442" spans="2:22" x14ac:dyDescent="0.2">
      <c r="B1442" s="73" t="s">
        <v>10430</v>
      </c>
      <c r="C1442" s="33" t="s">
        <v>1215</v>
      </c>
      <c r="D1442" s="23" t="s">
        <v>1216</v>
      </c>
      <c r="E1442" s="73"/>
      <c r="F1442" s="73"/>
      <c r="G1442" s="73"/>
      <c r="H1442" s="73"/>
      <c r="I1442" s="73"/>
      <c r="J1442" s="33" t="s">
        <v>9374</v>
      </c>
      <c r="K1442" s="33" t="s">
        <v>11016</v>
      </c>
      <c r="L1442" s="33" t="s">
        <v>121</v>
      </c>
      <c r="M1442" s="33" t="s">
        <v>9376</v>
      </c>
      <c r="N1442" s="73"/>
      <c r="O1442" s="73"/>
      <c r="P1442" s="73"/>
      <c r="Q1442" s="76"/>
      <c r="R1442" s="76"/>
      <c r="S1442" s="76"/>
      <c r="T1442" s="76"/>
      <c r="U1442" s="76"/>
      <c r="V1442" s="76"/>
    </row>
    <row r="1443" spans="2:22" x14ac:dyDescent="0.2">
      <c r="B1443" s="166"/>
      <c r="C1443" s="166"/>
      <c r="D1443" s="166"/>
      <c r="E1443" s="166"/>
      <c r="F1443" s="166"/>
      <c r="G1443" s="166"/>
      <c r="H1443" s="166"/>
      <c r="I1443" s="166"/>
      <c r="J1443" s="166"/>
      <c r="K1443" s="166"/>
      <c r="L1443" s="166"/>
      <c r="M1443" s="166"/>
      <c r="N1443" s="166"/>
      <c r="O1443" s="166"/>
      <c r="P1443" s="166"/>
      <c r="Q1443" s="73"/>
      <c r="R1443" s="23"/>
      <c r="S1443" s="23"/>
      <c r="T1443" s="73"/>
      <c r="U1443" s="73"/>
      <c r="V1443" s="73"/>
    </row>
    <row r="1444" spans="2:22" x14ac:dyDescent="0.2">
      <c r="B1444" s="165" t="s">
        <v>10433</v>
      </c>
      <c r="C1444" s="165"/>
      <c r="D1444" s="165"/>
      <c r="E1444" s="165"/>
      <c r="F1444" s="165"/>
      <c r="G1444" s="165"/>
      <c r="H1444" s="165"/>
      <c r="I1444" s="165"/>
      <c r="J1444" s="165"/>
      <c r="K1444" s="165"/>
      <c r="L1444" s="165"/>
      <c r="M1444" s="165"/>
      <c r="N1444" s="165"/>
      <c r="O1444" s="165"/>
      <c r="P1444" s="165"/>
      <c r="Q1444" s="75"/>
      <c r="R1444" s="75"/>
      <c r="S1444" s="75"/>
      <c r="T1444" s="75"/>
      <c r="U1444" s="75"/>
      <c r="V1444" s="75"/>
    </row>
    <row r="1445" spans="2:22" x14ac:dyDescent="0.2">
      <c r="B1445" s="73" t="s">
        <v>10433</v>
      </c>
      <c r="C1445" s="33" t="s">
        <v>1217</v>
      </c>
      <c r="D1445" s="23" t="s">
        <v>1218</v>
      </c>
      <c r="E1445" s="73"/>
      <c r="F1445" s="73"/>
      <c r="G1445" s="73"/>
      <c r="H1445" s="73"/>
      <c r="I1445" s="73"/>
      <c r="J1445" s="33" t="s">
        <v>9374</v>
      </c>
      <c r="K1445" s="33" t="s">
        <v>11016</v>
      </c>
      <c r="L1445" s="33" t="s">
        <v>121</v>
      </c>
      <c r="M1445" s="33" t="s">
        <v>9376</v>
      </c>
      <c r="N1445" s="73"/>
      <c r="O1445" s="73"/>
      <c r="P1445" s="73"/>
      <c r="Q1445" s="76"/>
      <c r="R1445" s="76"/>
      <c r="S1445" s="76"/>
      <c r="T1445" s="76"/>
      <c r="U1445" s="76"/>
      <c r="V1445" s="76"/>
    </row>
    <row r="1446" spans="2:22" x14ac:dyDescent="0.2">
      <c r="B1446" s="166"/>
      <c r="C1446" s="166"/>
      <c r="D1446" s="166"/>
      <c r="E1446" s="166"/>
      <c r="F1446" s="166"/>
      <c r="G1446" s="166"/>
      <c r="H1446" s="166"/>
      <c r="I1446" s="166"/>
      <c r="J1446" s="166"/>
      <c r="K1446" s="166"/>
      <c r="L1446" s="166"/>
      <c r="M1446" s="166"/>
      <c r="N1446" s="166"/>
      <c r="O1446" s="166"/>
      <c r="P1446" s="166"/>
      <c r="Q1446" s="73"/>
      <c r="R1446" s="23"/>
      <c r="S1446" s="23"/>
      <c r="T1446" s="73"/>
      <c r="U1446" s="73"/>
      <c r="V1446" s="73"/>
    </row>
    <row r="1447" spans="2:22" x14ac:dyDescent="0.2">
      <c r="B1447" s="165" t="s">
        <v>10436</v>
      </c>
      <c r="C1447" s="165"/>
      <c r="D1447" s="165"/>
      <c r="E1447" s="165"/>
      <c r="F1447" s="165"/>
      <c r="G1447" s="165"/>
      <c r="H1447" s="165"/>
      <c r="I1447" s="165"/>
      <c r="J1447" s="165"/>
      <c r="K1447" s="165"/>
      <c r="L1447" s="165"/>
      <c r="M1447" s="165"/>
      <c r="N1447" s="165"/>
      <c r="O1447" s="165"/>
      <c r="P1447" s="165"/>
      <c r="Q1447" s="75"/>
      <c r="R1447" s="75"/>
      <c r="S1447" s="75"/>
      <c r="T1447" s="75"/>
      <c r="U1447" s="75"/>
      <c r="V1447" s="75"/>
    </row>
    <row r="1448" spans="2:22" x14ac:dyDescent="0.2">
      <c r="B1448" s="73" t="s">
        <v>10436</v>
      </c>
      <c r="C1448" s="33" t="s">
        <v>1219</v>
      </c>
      <c r="D1448" s="23" t="s">
        <v>1220</v>
      </c>
      <c r="E1448" s="73"/>
      <c r="F1448" s="73"/>
      <c r="G1448" s="73"/>
      <c r="H1448" s="73"/>
      <c r="I1448" s="73"/>
      <c r="J1448" s="33" t="s">
        <v>9374</v>
      </c>
      <c r="K1448" s="33" t="s">
        <v>9375</v>
      </c>
      <c r="L1448" s="33" t="s">
        <v>121</v>
      </c>
      <c r="M1448" s="33" t="s">
        <v>9376</v>
      </c>
      <c r="N1448" s="73"/>
      <c r="O1448" s="73"/>
      <c r="P1448" s="73"/>
      <c r="Q1448" s="76"/>
      <c r="R1448" s="76"/>
      <c r="S1448" s="76"/>
      <c r="T1448" s="76"/>
      <c r="U1448" s="76"/>
      <c r="V1448" s="76"/>
    </row>
    <row r="1449" spans="2:22" ht="30.6" x14ac:dyDescent="0.2">
      <c r="B1449" s="73" t="s">
        <v>10436</v>
      </c>
      <c r="C1449" s="33" t="s">
        <v>1865</v>
      </c>
      <c r="D1449" s="23" t="s">
        <v>1866</v>
      </c>
      <c r="E1449" s="73" t="s">
        <v>11182</v>
      </c>
      <c r="F1449" s="73" t="s">
        <v>10902</v>
      </c>
      <c r="G1449" s="73"/>
      <c r="H1449" s="73" t="s">
        <v>11006</v>
      </c>
      <c r="I1449" s="73" t="s">
        <v>11183</v>
      </c>
      <c r="J1449" s="33" t="s">
        <v>9374</v>
      </c>
      <c r="K1449" s="33" t="s">
        <v>9375</v>
      </c>
      <c r="L1449" s="33" t="s">
        <v>121</v>
      </c>
      <c r="M1449" s="33" t="s">
        <v>9376</v>
      </c>
      <c r="N1449" s="73"/>
      <c r="O1449" s="73"/>
      <c r="P1449" s="73"/>
      <c r="Q1449" s="73"/>
      <c r="R1449" s="23"/>
      <c r="S1449" s="23"/>
      <c r="T1449" s="73"/>
      <c r="U1449" s="73"/>
      <c r="V1449" s="73"/>
    </row>
    <row r="1450" spans="2:22" x14ac:dyDescent="0.2">
      <c r="B1450" s="73" t="s">
        <v>10436</v>
      </c>
      <c r="C1450" s="33" t="s">
        <v>2002</v>
      </c>
      <c r="D1450" s="23" t="s">
        <v>2003</v>
      </c>
      <c r="E1450" s="73" t="s">
        <v>11009</v>
      </c>
      <c r="F1450" s="73" t="s">
        <v>10902</v>
      </c>
      <c r="G1450" s="73"/>
      <c r="H1450" s="73" t="s">
        <v>10917</v>
      </c>
      <c r="I1450" s="73" t="s">
        <v>11184</v>
      </c>
      <c r="J1450" s="33" t="s">
        <v>9374</v>
      </c>
      <c r="K1450" s="33" t="s">
        <v>9375</v>
      </c>
      <c r="L1450" s="33" t="s">
        <v>121</v>
      </c>
      <c r="M1450" s="33" t="s">
        <v>9376</v>
      </c>
      <c r="N1450" s="73"/>
      <c r="O1450" s="73"/>
      <c r="P1450" s="73"/>
      <c r="Q1450" s="73"/>
      <c r="R1450" s="23"/>
      <c r="S1450" s="23"/>
      <c r="T1450" s="73"/>
      <c r="U1450" s="73"/>
      <c r="V1450" s="73"/>
    </row>
    <row r="1451" spans="2:22" ht="20.399999999999999" x14ac:dyDescent="0.2">
      <c r="B1451" s="73" t="s">
        <v>10436</v>
      </c>
      <c r="C1451" s="33" t="s">
        <v>2039</v>
      </c>
      <c r="D1451" s="23" t="s">
        <v>2040</v>
      </c>
      <c r="E1451" s="73" t="s">
        <v>11009</v>
      </c>
      <c r="F1451" s="73" t="s">
        <v>10902</v>
      </c>
      <c r="G1451" s="73"/>
      <c r="H1451" s="73" t="s">
        <v>11173</v>
      </c>
      <c r="I1451" s="73" t="s">
        <v>11185</v>
      </c>
      <c r="J1451" s="33" t="s">
        <v>9374</v>
      </c>
      <c r="K1451" s="33" t="s">
        <v>9375</v>
      </c>
      <c r="L1451" s="33" t="s">
        <v>121</v>
      </c>
      <c r="M1451" s="33" t="s">
        <v>9376</v>
      </c>
      <c r="N1451" s="73"/>
      <c r="O1451" s="73"/>
      <c r="P1451" s="73"/>
      <c r="Q1451" s="75"/>
      <c r="R1451" s="75"/>
      <c r="S1451" s="75"/>
      <c r="T1451" s="75"/>
      <c r="U1451" s="75"/>
      <c r="V1451" s="75"/>
    </row>
    <row r="1452" spans="2:22" x14ac:dyDescent="0.2">
      <c r="B1452" s="166"/>
      <c r="C1452" s="166"/>
      <c r="D1452" s="166"/>
      <c r="E1452" s="166"/>
      <c r="F1452" s="166"/>
      <c r="G1452" s="166"/>
      <c r="H1452" s="166"/>
      <c r="I1452" s="166"/>
      <c r="J1452" s="166"/>
      <c r="K1452" s="166"/>
      <c r="L1452" s="166"/>
      <c r="M1452" s="166"/>
      <c r="N1452" s="166"/>
      <c r="O1452" s="166"/>
      <c r="P1452" s="166"/>
      <c r="Q1452" s="76"/>
      <c r="R1452" s="76"/>
      <c r="S1452" s="76"/>
      <c r="T1452" s="76"/>
      <c r="U1452" s="76"/>
      <c r="V1452" s="76"/>
    </row>
    <row r="1453" spans="2:22" x14ac:dyDescent="0.2">
      <c r="B1453" s="165" t="s">
        <v>10439</v>
      </c>
      <c r="C1453" s="165"/>
      <c r="D1453" s="165"/>
      <c r="E1453" s="165"/>
      <c r="F1453" s="165"/>
      <c r="G1453" s="165"/>
      <c r="H1453" s="165"/>
      <c r="I1453" s="165"/>
      <c r="J1453" s="165"/>
      <c r="K1453" s="165"/>
      <c r="L1453" s="165"/>
      <c r="M1453" s="165"/>
      <c r="N1453" s="165"/>
      <c r="O1453" s="165"/>
      <c r="P1453" s="165"/>
      <c r="Q1453" s="73"/>
      <c r="R1453" s="23"/>
      <c r="S1453" s="23"/>
      <c r="T1453" s="73"/>
      <c r="U1453" s="73"/>
      <c r="V1453" s="73"/>
    </row>
    <row r="1454" spans="2:22" x14ac:dyDescent="0.2">
      <c r="B1454" s="73" t="s">
        <v>10439</v>
      </c>
      <c r="C1454" s="33" t="s">
        <v>1221</v>
      </c>
      <c r="D1454" s="23" t="s">
        <v>1222</v>
      </c>
      <c r="E1454" s="73"/>
      <c r="F1454" s="73"/>
      <c r="G1454" s="73"/>
      <c r="H1454" s="73"/>
      <c r="I1454" s="73"/>
      <c r="J1454" s="33" t="s">
        <v>9374</v>
      </c>
      <c r="K1454" s="33" t="s">
        <v>9375</v>
      </c>
      <c r="L1454" s="33" t="s">
        <v>121</v>
      </c>
      <c r="M1454" s="33" t="s">
        <v>9376</v>
      </c>
      <c r="N1454" s="73"/>
      <c r="O1454" s="73"/>
      <c r="P1454" s="73"/>
      <c r="Q1454" s="73"/>
      <c r="R1454" s="23"/>
      <c r="S1454" s="23"/>
      <c r="T1454" s="73"/>
      <c r="U1454" s="73"/>
      <c r="V1454" s="73"/>
    </row>
    <row r="1455" spans="2:22" x14ac:dyDescent="0.2">
      <c r="B1455" s="166"/>
      <c r="C1455" s="166"/>
      <c r="D1455" s="166"/>
      <c r="E1455" s="166"/>
      <c r="F1455" s="166"/>
      <c r="G1455" s="166"/>
      <c r="H1455" s="166"/>
      <c r="I1455" s="166"/>
      <c r="J1455" s="166"/>
      <c r="K1455" s="166"/>
      <c r="L1455" s="166"/>
      <c r="M1455" s="166"/>
      <c r="N1455" s="166"/>
      <c r="O1455" s="166"/>
      <c r="P1455" s="166"/>
      <c r="Q1455" s="75"/>
      <c r="R1455" s="75"/>
      <c r="S1455" s="75"/>
      <c r="T1455" s="75"/>
      <c r="U1455" s="75"/>
      <c r="V1455" s="75"/>
    </row>
    <row r="1456" spans="2:22" x14ac:dyDescent="0.2">
      <c r="B1456" s="165" t="s">
        <v>10445</v>
      </c>
      <c r="C1456" s="165"/>
      <c r="D1456" s="165"/>
      <c r="E1456" s="165"/>
      <c r="F1456" s="165"/>
      <c r="G1456" s="165"/>
      <c r="H1456" s="165"/>
      <c r="I1456" s="165"/>
      <c r="J1456" s="165"/>
      <c r="K1456" s="165"/>
      <c r="L1456" s="165"/>
      <c r="M1456" s="165"/>
      <c r="N1456" s="165"/>
      <c r="O1456" s="165"/>
      <c r="P1456" s="165"/>
      <c r="Q1456" s="76"/>
      <c r="R1456" s="76"/>
      <c r="S1456" s="76"/>
      <c r="T1456" s="76"/>
      <c r="U1456" s="76"/>
      <c r="V1456" s="76"/>
    </row>
    <row r="1457" spans="2:22" x14ac:dyDescent="0.2">
      <c r="B1457" s="73" t="s">
        <v>10445</v>
      </c>
      <c r="C1457" s="33" t="s">
        <v>1223</v>
      </c>
      <c r="D1457" s="23" t="s">
        <v>1224</v>
      </c>
      <c r="E1457" s="73"/>
      <c r="F1457" s="73"/>
      <c r="G1457" s="73"/>
      <c r="H1457" s="73"/>
      <c r="I1457" s="73"/>
      <c r="J1457" s="33" t="s">
        <v>9374</v>
      </c>
      <c r="K1457" s="33" t="s">
        <v>11016</v>
      </c>
      <c r="L1457" s="33" t="s">
        <v>121</v>
      </c>
      <c r="M1457" s="33" t="s">
        <v>9376</v>
      </c>
      <c r="N1457" s="73"/>
      <c r="O1457" s="73"/>
      <c r="P1457" s="73"/>
      <c r="Q1457" s="73"/>
      <c r="R1457" s="23"/>
      <c r="S1457" s="23"/>
      <c r="T1457" s="73"/>
      <c r="U1457" s="73"/>
      <c r="V1457" s="73"/>
    </row>
    <row r="1458" spans="2:22" x14ac:dyDescent="0.2">
      <c r="B1458" s="166"/>
      <c r="C1458" s="166"/>
      <c r="D1458" s="166"/>
      <c r="E1458" s="166"/>
      <c r="F1458" s="166"/>
      <c r="G1458" s="166"/>
      <c r="H1458" s="166"/>
      <c r="I1458" s="166"/>
      <c r="J1458" s="166"/>
      <c r="K1458" s="166"/>
      <c r="L1458" s="166"/>
      <c r="M1458" s="166"/>
      <c r="N1458" s="166"/>
      <c r="O1458" s="166"/>
      <c r="P1458" s="166"/>
      <c r="Q1458" s="73"/>
      <c r="R1458" s="23"/>
      <c r="S1458" s="23"/>
      <c r="T1458" s="73"/>
      <c r="U1458" s="73"/>
      <c r="V1458" s="73"/>
    </row>
    <row r="1459" spans="2:22" x14ac:dyDescent="0.2">
      <c r="B1459" s="165" t="s">
        <v>10448</v>
      </c>
      <c r="C1459" s="165"/>
      <c r="D1459" s="165"/>
      <c r="E1459" s="165"/>
      <c r="F1459" s="165"/>
      <c r="G1459" s="165"/>
      <c r="H1459" s="165"/>
      <c r="I1459" s="165"/>
      <c r="J1459" s="165"/>
      <c r="K1459" s="165"/>
      <c r="L1459" s="165"/>
      <c r="M1459" s="165"/>
      <c r="N1459" s="165"/>
      <c r="O1459" s="165"/>
      <c r="P1459" s="165"/>
      <c r="Q1459" s="75"/>
      <c r="R1459" s="75"/>
      <c r="S1459" s="75"/>
      <c r="T1459" s="75"/>
      <c r="U1459" s="75"/>
      <c r="V1459" s="75"/>
    </row>
    <row r="1460" spans="2:22" x14ac:dyDescent="0.2">
      <c r="B1460" s="73" t="s">
        <v>10448</v>
      </c>
      <c r="C1460" s="33" t="s">
        <v>1225</v>
      </c>
      <c r="D1460" s="23" t="s">
        <v>1226</v>
      </c>
      <c r="E1460" s="73"/>
      <c r="F1460" s="73"/>
      <c r="G1460" s="73"/>
      <c r="H1460" s="73"/>
      <c r="I1460" s="73"/>
      <c r="J1460" s="33" t="s">
        <v>9374</v>
      </c>
      <c r="K1460" s="33" t="s">
        <v>11016</v>
      </c>
      <c r="L1460" s="33" t="s">
        <v>121</v>
      </c>
      <c r="M1460" s="33" t="s">
        <v>9376</v>
      </c>
      <c r="N1460" s="73"/>
      <c r="O1460" s="73"/>
      <c r="P1460" s="73"/>
      <c r="Q1460" s="76"/>
      <c r="R1460" s="76"/>
      <c r="S1460" s="76"/>
      <c r="T1460" s="76"/>
      <c r="U1460" s="76"/>
      <c r="V1460" s="76"/>
    </row>
    <row r="1461" spans="2:22" x14ac:dyDescent="0.2">
      <c r="B1461" s="166"/>
      <c r="C1461" s="166"/>
      <c r="D1461" s="166"/>
      <c r="E1461" s="166"/>
      <c r="F1461" s="166"/>
      <c r="G1461" s="166"/>
      <c r="H1461" s="166"/>
      <c r="I1461" s="166"/>
      <c r="J1461" s="166"/>
      <c r="K1461" s="166"/>
      <c r="L1461" s="166"/>
      <c r="M1461" s="166"/>
      <c r="N1461" s="166"/>
      <c r="O1461" s="166"/>
      <c r="P1461" s="166"/>
      <c r="Q1461" s="73"/>
      <c r="R1461" s="23"/>
      <c r="S1461" s="23"/>
      <c r="T1461" s="73"/>
      <c r="U1461" s="73"/>
      <c r="V1461" s="73"/>
    </row>
    <row r="1462" spans="2:22" x14ac:dyDescent="0.2">
      <c r="B1462" s="165" t="s">
        <v>10451</v>
      </c>
      <c r="C1462" s="165"/>
      <c r="D1462" s="165"/>
      <c r="E1462" s="165"/>
      <c r="F1462" s="165"/>
      <c r="G1462" s="165"/>
      <c r="H1462" s="165"/>
      <c r="I1462" s="165"/>
      <c r="J1462" s="165"/>
      <c r="K1462" s="165"/>
      <c r="L1462" s="165"/>
      <c r="M1462" s="165"/>
      <c r="N1462" s="165"/>
      <c r="O1462" s="165"/>
      <c r="P1462" s="165"/>
      <c r="Q1462" s="73"/>
      <c r="R1462" s="23"/>
      <c r="S1462" s="23"/>
      <c r="T1462" s="73"/>
      <c r="U1462" s="73"/>
      <c r="V1462" s="73"/>
    </row>
    <row r="1463" spans="2:22" x14ac:dyDescent="0.2">
      <c r="B1463" s="73" t="s">
        <v>10451</v>
      </c>
      <c r="C1463" s="33" t="s">
        <v>1227</v>
      </c>
      <c r="D1463" s="23" t="s">
        <v>1228</v>
      </c>
      <c r="E1463" s="73"/>
      <c r="F1463" s="73"/>
      <c r="G1463" s="73"/>
      <c r="H1463" s="73"/>
      <c r="I1463" s="73"/>
      <c r="J1463" s="33" t="s">
        <v>9374</v>
      </c>
      <c r="K1463" s="33" t="s">
        <v>9375</v>
      </c>
      <c r="L1463" s="33" t="s">
        <v>121</v>
      </c>
      <c r="M1463" s="33" t="s">
        <v>9376</v>
      </c>
      <c r="N1463" s="73"/>
      <c r="O1463" s="73"/>
      <c r="P1463" s="73"/>
      <c r="Q1463" s="75"/>
      <c r="R1463" s="75"/>
      <c r="S1463" s="75"/>
      <c r="T1463" s="75"/>
      <c r="U1463" s="75"/>
      <c r="V1463" s="75"/>
    </row>
    <row r="1464" spans="2:22" ht="30.6" x14ac:dyDescent="0.2">
      <c r="B1464" s="73" t="s">
        <v>10451</v>
      </c>
      <c r="C1464" s="33" t="s">
        <v>1868</v>
      </c>
      <c r="D1464" s="23" t="s">
        <v>1869</v>
      </c>
      <c r="E1464" s="73" t="s">
        <v>11007</v>
      </c>
      <c r="F1464" s="73" t="s">
        <v>10902</v>
      </c>
      <c r="G1464" s="73"/>
      <c r="H1464" s="73" t="s">
        <v>10917</v>
      </c>
      <c r="I1464" s="73" t="s">
        <v>11186</v>
      </c>
      <c r="J1464" s="33" t="s">
        <v>9374</v>
      </c>
      <c r="K1464" s="33" t="s">
        <v>9375</v>
      </c>
      <c r="L1464" s="33" t="s">
        <v>121</v>
      </c>
      <c r="M1464" s="33" t="s">
        <v>9376</v>
      </c>
      <c r="N1464" s="73"/>
      <c r="O1464" s="73"/>
      <c r="P1464" s="73"/>
      <c r="Q1464" s="76"/>
      <c r="R1464" s="76"/>
      <c r="S1464" s="76"/>
      <c r="T1464" s="76"/>
      <c r="U1464" s="76"/>
      <c r="V1464" s="76"/>
    </row>
    <row r="1465" spans="2:22" ht="20.399999999999999" x14ac:dyDescent="0.2">
      <c r="B1465" s="73" t="s">
        <v>10451</v>
      </c>
      <c r="C1465" s="33" t="s">
        <v>1876</v>
      </c>
      <c r="D1465" s="23" t="s">
        <v>1877</v>
      </c>
      <c r="E1465" s="73" t="s">
        <v>11007</v>
      </c>
      <c r="F1465" s="73" t="s">
        <v>10902</v>
      </c>
      <c r="G1465" s="73"/>
      <c r="H1465" s="73" t="s">
        <v>10917</v>
      </c>
      <c r="I1465" s="73" t="s">
        <v>11187</v>
      </c>
      <c r="J1465" s="33" t="s">
        <v>9374</v>
      </c>
      <c r="K1465" s="33" t="s">
        <v>9375</v>
      </c>
      <c r="L1465" s="33" t="s">
        <v>121</v>
      </c>
      <c r="M1465" s="33" t="s">
        <v>9376</v>
      </c>
      <c r="N1465" s="73"/>
      <c r="O1465" s="73"/>
      <c r="P1465" s="73"/>
      <c r="Q1465" s="73"/>
      <c r="R1465" s="23"/>
      <c r="S1465" s="23"/>
      <c r="T1465" s="73"/>
      <c r="U1465" s="73"/>
      <c r="V1465" s="73"/>
    </row>
    <row r="1466" spans="2:22" x14ac:dyDescent="0.2">
      <c r="B1466" s="166"/>
      <c r="C1466" s="166"/>
      <c r="D1466" s="166"/>
      <c r="E1466" s="166"/>
      <c r="F1466" s="166"/>
      <c r="G1466" s="166"/>
      <c r="H1466" s="166"/>
      <c r="I1466" s="166"/>
      <c r="J1466" s="166"/>
      <c r="K1466" s="166"/>
      <c r="L1466" s="166"/>
      <c r="M1466" s="166"/>
      <c r="N1466" s="166"/>
      <c r="O1466" s="166"/>
      <c r="P1466" s="166"/>
      <c r="Q1466" s="73"/>
      <c r="R1466" s="23"/>
      <c r="S1466" s="23"/>
      <c r="T1466" s="73"/>
      <c r="U1466" s="73"/>
      <c r="V1466" s="73"/>
    </row>
    <row r="1467" spans="2:22" x14ac:dyDescent="0.2">
      <c r="B1467" s="165" t="s">
        <v>10454</v>
      </c>
      <c r="C1467" s="165"/>
      <c r="D1467" s="165"/>
      <c r="E1467" s="165"/>
      <c r="F1467" s="165"/>
      <c r="G1467" s="165"/>
      <c r="H1467" s="165"/>
      <c r="I1467" s="165"/>
      <c r="J1467" s="165"/>
      <c r="K1467" s="165"/>
      <c r="L1467" s="165"/>
      <c r="M1467" s="165"/>
      <c r="N1467" s="165"/>
      <c r="O1467" s="165"/>
      <c r="P1467" s="165"/>
      <c r="Q1467" s="75"/>
      <c r="R1467" s="75"/>
      <c r="S1467" s="75"/>
      <c r="T1467" s="75"/>
      <c r="U1467" s="75"/>
      <c r="V1467" s="75"/>
    </row>
    <row r="1468" spans="2:22" x14ac:dyDescent="0.2">
      <c r="B1468" s="73" t="s">
        <v>10454</v>
      </c>
      <c r="C1468" s="33" t="s">
        <v>1229</v>
      </c>
      <c r="D1468" s="23" t="s">
        <v>1230</v>
      </c>
      <c r="E1468" s="73"/>
      <c r="F1468" s="73"/>
      <c r="G1468" s="73"/>
      <c r="H1468" s="73"/>
      <c r="I1468" s="73"/>
      <c r="J1468" s="33" t="s">
        <v>9374</v>
      </c>
      <c r="K1468" s="33" t="s">
        <v>11016</v>
      </c>
      <c r="L1468" s="33" t="s">
        <v>121</v>
      </c>
      <c r="M1468" s="33" t="s">
        <v>9376</v>
      </c>
      <c r="N1468" s="73"/>
      <c r="O1468" s="73"/>
      <c r="P1468" s="73"/>
      <c r="Q1468" s="76"/>
      <c r="R1468" s="76"/>
      <c r="S1468" s="76"/>
      <c r="T1468" s="76"/>
      <c r="U1468" s="76"/>
      <c r="V1468" s="76"/>
    </row>
    <row r="1469" spans="2:22" x14ac:dyDescent="0.2">
      <c r="B1469" s="166"/>
      <c r="C1469" s="166"/>
      <c r="D1469" s="166"/>
      <c r="E1469" s="166"/>
      <c r="F1469" s="166"/>
      <c r="G1469" s="166"/>
      <c r="H1469" s="166"/>
      <c r="I1469" s="166"/>
      <c r="J1469" s="166"/>
      <c r="K1469" s="166"/>
      <c r="L1469" s="166"/>
      <c r="M1469" s="166"/>
      <c r="N1469" s="166"/>
      <c r="O1469" s="166"/>
      <c r="P1469" s="166"/>
      <c r="Q1469" s="73"/>
      <c r="R1469" s="23"/>
      <c r="S1469" s="23"/>
      <c r="T1469" s="73"/>
      <c r="U1469" s="73"/>
      <c r="V1469" s="73"/>
    </row>
    <row r="1470" spans="2:22" x14ac:dyDescent="0.2">
      <c r="B1470" s="165" t="s">
        <v>10457</v>
      </c>
      <c r="C1470" s="165"/>
      <c r="D1470" s="165"/>
      <c r="E1470" s="165"/>
      <c r="F1470" s="165"/>
      <c r="G1470" s="165"/>
      <c r="H1470" s="165"/>
      <c r="I1470" s="165"/>
      <c r="J1470" s="165"/>
      <c r="K1470" s="165"/>
      <c r="L1470" s="165"/>
      <c r="M1470" s="165"/>
      <c r="N1470" s="165"/>
      <c r="O1470" s="165"/>
      <c r="P1470" s="165"/>
      <c r="Q1470" s="73"/>
      <c r="R1470" s="23"/>
      <c r="S1470" s="23"/>
      <c r="T1470" s="73"/>
      <c r="U1470" s="73"/>
      <c r="V1470" s="73"/>
    </row>
    <row r="1471" spans="2:22" x14ac:dyDescent="0.2">
      <c r="B1471" s="73" t="s">
        <v>10457</v>
      </c>
      <c r="C1471" s="33" t="s">
        <v>1231</v>
      </c>
      <c r="D1471" s="23" t="s">
        <v>1232</v>
      </c>
      <c r="E1471" s="73"/>
      <c r="F1471" s="73"/>
      <c r="G1471" s="73"/>
      <c r="H1471" s="73"/>
      <c r="I1471" s="73"/>
      <c r="J1471" s="33" t="s">
        <v>9374</v>
      </c>
      <c r="K1471" s="33" t="s">
        <v>9375</v>
      </c>
      <c r="L1471" s="33" t="s">
        <v>121</v>
      </c>
      <c r="M1471" s="33" t="s">
        <v>9376</v>
      </c>
      <c r="N1471" s="73"/>
      <c r="O1471" s="73"/>
      <c r="P1471" s="73"/>
      <c r="Q1471" s="75"/>
      <c r="R1471" s="75"/>
      <c r="S1471" s="75"/>
      <c r="T1471" s="75"/>
      <c r="U1471" s="75"/>
      <c r="V1471" s="75"/>
    </row>
    <row r="1472" spans="2:22" x14ac:dyDescent="0.2">
      <c r="B1472" s="166"/>
      <c r="C1472" s="166"/>
      <c r="D1472" s="166"/>
      <c r="E1472" s="166"/>
      <c r="F1472" s="166"/>
      <c r="G1472" s="166"/>
      <c r="H1472" s="166"/>
      <c r="I1472" s="166"/>
      <c r="J1472" s="166"/>
      <c r="K1472" s="166"/>
      <c r="L1472" s="166"/>
      <c r="M1472" s="166"/>
      <c r="N1472" s="166"/>
      <c r="O1472" s="166"/>
      <c r="P1472" s="166"/>
      <c r="Q1472" s="76"/>
      <c r="R1472" s="76"/>
      <c r="S1472" s="76"/>
      <c r="T1472" s="76"/>
      <c r="U1472" s="76"/>
      <c r="V1472" s="76"/>
    </row>
    <row r="1473" spans="2:22" x14ac:dyDescent="0.2">
      <c r="B1473" s="165" t="s">
        <v>10460</v>
      </c>
      <c r="C1473" s="165"/>
      <c r="D1473" s="165"/>
      <c r="E1473" s="165"/>
      <c r="F1473" s="165"/>
      <c r="G1473" s="165"/>
      <c r="H1473" s="165"/>
      <c r="I1473" s="165"/>
      <c r="J1473" s="165"/>
      <c r="K1473" s="165"/>
      <c r="L1473" s="165"/>
      <c r="M1473" s="165"/>
      <c r="N1473" s="165"/>
      <c r="O1473" s="165"/>
      <c r="P1473" s="165"/>
      <c r="Q1473" s="73"/>
      <c r="R1473" s="23"/>
      <c r="S1473" s="23"/>
      <c r="T1473" s="73"/>
      <c r="U1473" s="73"/>
      <c r="V1473" s="73"/>
    </row>
    <row r="1474" spans="2:22" x14ac:dyDescent="0.2">
      <c r="B1474" s="73" t="s">
        <v>10460</v>
      </c>
      <c r="C1474" s="33" t="s">
        <v>1233</v>
      </c>
      <c r="D1474" s="23" t="s">
        <v>1234</v>
      </c>
      <c r="E1474" s="73"/>
      <c r="F1474" s="73"/>
      <c r="G1474" s="73"/>
      <c r="H1474" s="73"/>
      <c r="I1474" s="73"/>
      <c r="J1474" s="33" t="s">
        <v>9374</v>
      </c>
      <c r="K1474" s="33" t="s">
        <v>9375</v>
      </c>
      <c r="L1474" s="33" t="s">
        <v>121</v>
      </c>
      <c r="M1474" s="33" t="s">
        <v>9376</v>
      </c>
      <c r="N1474" s="73"/>
      <c r="O1474" s="73"/>
      <c r="P1474" s="73"/>
      <c r="Q1474" s="73"/>
      <c r="R1474" s="23"/>
      <c r="S1474" s="23"/>
      <c r="T1474" s="73"/>
      <c r="U1474" s="73"/>
      <c r="V1474" s="73"/>
    </row>
    <row r="1475" spans="2:22" x14ac:dyDescent="0.2">
      <c r="B1475" s="73" t="s">
        <v>10460</v>
      </c>
      <c r="C1475" s="33" t="s">
        <v>1963</v>
      </c>
      <c r="D1475" s="23" t="s">
        <v>1964</v>
      </c>
      <c r="E1475" s="73" t="s">
        <v>11188</v>
      </c>
      <c r="F1475" s="73" t="s">
        <v>10902</v>
      </c>
      <c r="G1475" s="73"/>
      <c r="H1475" s="73" t="s">
        <v>11189</v>
      </c>
      <c r="I1475" s="73"/>
      <c r="J1475" s="33" t="s">
        <v>9374</v>
      </c>
      <c r="K1475" s="33" t="s">
        <v>9375</v>
      </c>
      <c r="L1475" s="33" t="s">
        <v>121</v>
      </c>
      <c r="M1475" s="33" t="s">
        <v>9376</v>
      </c>
      <c r="N1475" s="73"/>
      <c r="O1475" s="73"/>
      <c r="P1475" s="73"/>
      <c r="Q1475" s="75"/>
      <c r="R1475" s="75"/>
      <c r="S1475" s="75"/>
      <c r="T1475" s="75"/>
      <c r="U1475" s="75"/>
      <c r="V1475" s="75"/>
    </row>
    <row r="1476" spans="2:22" x14ac:dyDescent="0.2">
      <c r="B1476" s="73" t="s">
        <v>10460</v>
      </c>
      <c r="C1476" s="33" t="s">
        <v>1965</v>
      </c>
      <c r="D1476" s="23" t="s">
        <v>1966</v>
      </c>
      <c r="E1476" s="73" t="s">
        <v>11188</v>
      </c>
      <c r="F1476" s="73" t="s">
        <v>10902</v>
      </c>
      <c r="G1476" s="73"/>
      <c r="H1476" s="73" t="s">
        <v>10917</v>
      </c>
      <c r="I1476" s="73" t="s">
        <v>11190</v>
      </c>
      <c r="J1476" s="33" t="s">
        <v>9374</v>
      </c>
      <c r="K1476" s="33" t="s">
        <v>9375</v>
      </c>
      <c r="L1476" s="33" t="s">
        <v>121</v>
      </c>
      <c r="M1476" s="33" t="s">
        <v>9376</v>
      </c>
      <c r="N1476" s="73"/>
      <c r="O1476" s="73"/>
      <c r="P1476" s="73"/>
      <c r="Q1476" s="76"/>
      <c r="R1476" s="76"/>
      <c r="S1476" s="76"/>
      <c r="T1476" s="76"/>
      <c r="U1476" s="76"/>
      <c r="V1476" s="76"/>
    </row>
    <row r="1477" spans="2:22" ht="20.399999999999999" x14ac:dyDescent="0.2">
      <c r="B1477" s="73" t="s">
        <v>10460</v>
      </c>
      <c r="C1477" s="33" t="s">
        <v>1973</v>
      </c>
      <c r="D1477" s="23" t="s">
        <v>1974</v>
      </c>
      <c r="E1477" s="73" t="s">
        <v>11191</v>
      </c>
      <c r="F1477" s="73" t="s">
        <v>10902</v>
      </c>
      <c r="G1477" s="73"/>
      <c r="H1477" s="73" t="s">
        <v>11192</v>
      </c>
      <c r="I1477" s="73" t="s">
        <v>11193</v>
      </c>
      <c r="J1477" s="33" t="s">
        <v>9374</v>
      </c>
      <c r="K1477" s="33" t="s">
        <v>9375</v>
      </c>
      <c r="L1477" s="33" t="s">
        <v>121</v>
      </c>
      <c r="M1477" s="33" t="s">
        <v>9376</v>
      </c>
      <c r="N1477" s="73"/>
      <c r="O1477" s="73"/>
      <c r="P1477" s="73"/>
      <c r="Q1477" s="73"/>
      <c r="R1477" s="23"/>
      <c r="S1477" s="23"/>
      <c r="T1477" s="73"/>
      <c r="U1477" s="73"/>
      <c r="V1477" s="73"/>
    </row>
    <row r="1478" spans="2:22" x14ac:dyDescent="0.2">
      <c r="B1478" s="166"/>
      <c r="C1478" s="166"/>
      <c r="D1478" s="166"/>
      <c r="E1478" s="166"/>
      <c r="F1478" s="166"/>
      <c r="G1478" s="166"/>
      <c r="H1478" s="166"/>
      <c r="I1478" s="166"/>
      <c r="J1478" s="166"/>
      <c r="K1478" s="166"/>
      <c r="L1478" s="166"/>
      <c r="M1478" s="166"/>
      <c r="N1478" s="166"/>
      <c r="O1478" s="166"/>
      <c r="P1478" s="166"/>
      <c r="Q1478" s="73"/>
      <c r="R1478" s="23"/>
      <c r="S1478" s="23"/>
      <c r="T1478" s="73"/>
      <c r="U1478" s="73"/>
      <c r="V1478" s="73"/>
    </row>
    <row r="1479" spans="2:22" x14ac:dyDescent="0.2">
      <c r="B1479" s="165" t="s">
        <v>10463</v>
      </c>
      <c r="C1479" s="165"/>
      <c r="D1479" s="165"/>
      <c r="E1479" s="165"/>
      <c r="F1479" s="165"/>
      <c r="G1479" s="165"/>
      <c r="H1479" s="165"/>
      <c r="I1479" s="165"/>
      <c r="J1479" s="165"/>
      <c r="K1479" s="165"/>
      <c r="L1479" s="165"/>
      <c r="M1479" s="165"/>
      <c r="N1479" s="165"/>
      <c r="O1479" s="165"/>
      <c r="P1479" s="165"/>
      <c r="Q1479" s="75"/>
      <c r="R1479" s="75"/>
      <c r="S1479" s="75"/>
      <c r="T1479" s="75"/>
      <c r="U1479" s="75"/>
      <c r="V1479" s="75"/>
    </row>
    <row r="1480" spans="2:22" x14ac:dyDescent="0.2">
      <c r="B1480" s="73" t="s">
        <v>10463</v>
      </c>
      <c r="C1480" s="33" t="s">
        <v>1235</v>
      </c>
      <c r="D1480" s="23" t="s">
        <v>1236</v>
      </c>
      <c r="E1480" s="73"/>
      <c r="F1480" s="73"/>
      <c r="G1480" s="73"/>
      <c r="H1480" s="73"/>
      <c r="I1480" s="73"/>
      <c r="J1480" s="33" t="s">
        <v>9374</v>
      </c>
      <c r="K1480" s="33" t="s">
        <v>9375</v>
      </c>
      <c r="L1480" s="33" t="s">
        <v>121</v>
      </c>
      <c r="M1480" s="33" t="s">
        <v>9376</v>
      </c>
      <c r="N1480" s="73"/>
      <c r="O1480" s="73"/>
      <c r="P1480" s="73"/>
      <c r="Q1480" s="76"/>
      <c r="R1480" s="76"/>
      <c r="S1480" s="76"/>
      <c r="T1480" s="76"/>
      <c r="U1480" s="76"/>
      <c r="V1480" s="76"/>
    </row>
    <row r="1481" spans="2:22" x14ac:dyDescent="0.2">
      <c r="B1481" s="73" t="s">
        <v>10463</v>
      </c>
      <c r="C1481" s="33" t="s">
        <v>1967</v>
      </c>
      <c r="D1481" s="23" t="s">
        <v>1968</v>
      </c>
      <c r="E1481" s="73" t="s">
        <v>11194</v>
      </c>
      <c r="F1481" s="73" t="s">
        <v>10902</v>
      </c>
      <c r="G1481" s="73"/>
      <c r="H1481" s="73" t="s">
        <v>10917</v>
      </c>
      <c r="I1481" s="73"/>
      <c r="J1481" s="33" t="s">
        <v>9374</v>
      </c>
      <c r="K1481" s="33" t="s">
        <v>9375</v>
      </c>
      <c r="L1481" s="33" t="s">
        <v>121</v>
      </c>
      <c r="M1481" s="33" t="s">
        <v>9376</v>
      </c>
      <c r="N1481" s="73"/>
      <c r="O1481" s="73"/>
      <c r="P1481" s="73"/>
      <c r="Q1481" s="73"/>
      <c r="R1481" s="23"/>
      <c r="S1481" s="23"/>
      <c r="T1481" s="73"/>
      <c r="U1481" s="73"/>
      <c r="V1481" s="73"/>
    </row>
    <row r="1482" spans="2:22" x14ac:dyDescent="0.2">
      <c r="B1482" s="73" t="s">
        <v>10463</v>
      </c>
      <c r="C1482" s="33" t="s">
        <v>1969</v>
      </c>
      <c r="D1482" s="23" t="s">
        <v>1970</v>
      </c>
      <c r="E1482" s="73"/>
      <c r="F1482" s="73" t="s">
        <v>10902</v>
      </c>
      <c r="G1482" s="73"/>
      <c r="H1482" s="73" t="s">
        <v>10917</v>
      </c>
      <c r="I1482" s="73"/>
      <c r="J1482" s="33" t="s">
        <v>9374</v>
      </c>
      <c r="K1482" s="33" t="s">
        <v>9375</v>
      </c>
      <c r="L1482" s="33" t="s">
        <v>121</v>
      </c>
      <c r="M1482" s="33" t="s">
        <v>9376</v>
      </c>
      <c r="N1482" s="73"/>
      <c r="O1482" s="73"/>
      <c r="P1482" s="73"/>
      <c r="Q1482" s="73"/>
      <c r="R1482" s="23"/>
      <c r="S1482" s="23"/>
      <c r="T1482" s="73"/>
      <c r="U1482" s="73"/>
      <c r="V1482" s="73"/>
    </row>
    <row r="1483" spans="2:22" x14ac:dyDescent="0.2">
      <c r="B1483" s="73" t="s">
        <v>10463</v>
      </c>
      <c r="C1483" s="33" t="s">
        <v>1976</v>
      </c>
      <c r="D1483" s="23" t="s">
        <v>1977</v>
      </c>
      <c r="E1483" s="73" t="s">
        <v>11195</v>
      </c>
      <c r="F1483" s="73" t="s">
        <v>10902</v>
      </c>
      <c r="G1483" s="73"/>
      <c r="H1483" s="73" t="s">
        <v>11192</v>
      </c>
      <c r="I1483" s="73" t="s">
        <v>11196</v>
      </c>
      <c r="J1483" s="33" t="s">
        <v>9374</v>
      </c>
      <c r="K1483" s="33" t="s">
        <v>9375</v>
      </c>
      <c r="L1483" s="33" t="s">
        <v>121</v>
      </c>
      <c r="M1483" s="33" t="s">
        <v>9376</v>
      </c>
      <c r="N1483" s="73"/>
      <c r="O1483" s="73"/>
      <c r="P1483" s="73"/>
      <c r="Q1483" s="75"/>
      <c r="R1483" s="75"/>
      <c r="S1483" s="75"/>
      <c r="T1483" s="75"/>
      <c r="U1483" s="75"/>
      <c r="V1483" s="75"/>
    </row>
    <row r="1484" spans="2:22" x14ac:dyDescent="0.2">
      <c r="B1484" s="166"/>
      <c r="C1484" s="166"/>
      <c r="D1484" s="166"/>
      <c r="E1484" s="166"/>
      <c r="F1484" s="166"/>
      <c r="G1484" s="166"/>
      <c r="H1484" s="166"/>
      <c r="I1484" s="166"/>
      <c r="J1484" s="166"/>
      <c r="K1484" s="166"/>
      <c r="L1484" s="166"/>
      <c r="M1484" s="166"/>
      <c r="N1484" s="166"/>
      <c r="O1484" s="166"/>
      <c r="P1484" s="166"/>
      <c r="Q1484" s="76"/>
      <c r="R1484" s="76"/>
      <c r="S1484" s="76"/>
      <c r="T1484" s="76"/>
      <c r="U1484" s="76"/>
      <c r="V1484" s="76"/>
    </row>
    <row r="1485" spans="2:22" x14ac:dyDescent="0.2">
      <c r="B1485" s="165" t="s">
        <v>10466</v>
      </c>
      <c r="C1485" s="165"/>
      <c r="D1485" s="165"/>
      <c r="E1485" s="165"/>
      <c r="F1485" s="165"/>
      <c r="G1485" s="165"/>
      <c r="H1485" s="165"/>
      <c r="I1485" s="165"/>
      <c r="J1485" s="165"/>
      <c r="K1485" s="165"/>
      <c r="L1485" s="165"/>
      <c r="M1485" s="165"/>
      <c r="N1485" s="165"/>
      <c r="O1485" s="165"/>
      <c r="P1485" s="165"/>
      <c r="Q1485" s="73"/>
      <c r="R1485" s="23"/>
      <c r="S1485" s="23"/>
      <c r="T1485" s="73"/>
      <c r="U1485" s="73"/>
      <c r="V1485" s="73"/>
    </row>
    <row r="1486" spans="2:22" x14ac:dyDescent="0.2">
      <c r="B1486" s="73" t="s">
        <v>10466</v>
      </c>
      <c r="C1486" s="33" t="s">
        <v>1237</v>
      </c>
      <c r="D1486" s="23" t="s">
        <v>1238</v>
      </c>
      <c r="E1486" s="73"/>
      <c r="F1486" s="73"/>
      <c r="G1486" s="73"/>
      <c r="H1486" s="73"/>
      <c r="I1486" s="73"/>
      <c r="J1486" s="33" t="s">
        <v>9374</v>
      </c>
      <c r="K1486" s="33" t="s">
        <v>9375</v>
      </c>
      <c r="L1486" s="33" t="s">
        <v>121</v>
      </c>
      <c r="M1486" s="33" t="s">
        <v>9376</v>
      </c>
      <c r="N1486" s="73"/>
      <c r="O1486" s="73"/>
      <c r="P1486" s="73"/>
      <c r="Q1486" s="73"/>
      <c r="R1486" s="23"/>
      <c r="S1486" s="23"/>
      <c r="T1486" s="73"/>
      <c r="U1486" s="73"/>
      <c r="V1486" s="73"/>
    </row>
    <row r="1487" spans="2:22" x14ac:dyDescent="0.2">
      <c r="B1487" s="73" t="s">
        <v>10466</v>
      </c>
      <c r="C1487" s="33" t="s">
        <v>1919</v>
      </c>
      <c r="D1487" s="23" t="s">
        <v>1920</v>
      </c>
      <c r="E1487" s="73" t="s">
        <v>11197</v>
      </c>
      <c r="F1487" s="73" t="s">
        <v>10902</v>
      </c>
      <c r="G1487" s="73"/>
      <c r="H1487" s="73" t="s">
        <v>11198</v>
      </c>
      <c r="I1487" s="73"/>
      <c r="J1487" s="33" t="s">
        <v>9374</v>
      </c>
      <c r="K1487" s="33" t="s">
        <v>9375</v>
      </c>
      <c r="L1487" s="33" t="s">
        <v>121</v>
      </c>
      <c r="M1487" s="33" t="s">
        <v>9376</v>
      </c>
      <c r="N1487" s="73"/>
      <c r="O1487" s="73"/>
      <c r="P1487" s="73"/>
      <c r="Q1487" s="75"/>
      <c r="R1487" s="75"/>
      <c r="S1487" s="75"/>
      <c r="T1487" s="75"/>
      <c r="U1487" s="75"/>
      <c r="V1487" s="75"/>
    </row>
    <row r="1488" spans="2:22" x14ac:dyDescent="0.2">
      <c r="B1488" s="166"/>
      <c r="C1488" s="166"/>
      <c r="D1488" s="166"/>
      <c r="E1488" s="166"/>
      <c r="F1488" s="166"/>
      <c r="G1488" s="166"/>
      <c r="H1488" s="166"/>
      <c r="I1488" s="166"/>
      <c r="J1488" s="166"/>
      <c r="K1488" s="166"/>
      <c r="L1488" s="166"/>
      <c r="M1488" s="166"/>
      <c r="N1488" s="166"/>
      <c r="O1488" s="166"/>
      <c r="P1488" s="166"/>
      <c r="Q1488" s="76"/>
      <c r="R1488" s="76"/>
      <c r="S1488" s="76"/>
      <c r="T1488" s="76"/>
      <c r="U1488" s="76"/>
      <c r="V1488" s="76"/>
    </row>
    <row r="1489" spans="2:22" x14ac:dyDescent="0.2">
      <c r="B1489" s="165" t="s">
        <v>10469</v>
      </c>
      <c r="C1489" s="165"/>
      <c r="D1489" s="165"/>
      <c r="E1489" s="165"/>
      <c r="F1489" s="165"/>
      <c r="G1489" s="165"/>
      <c r="H1489" s="165"/>
      <c r="I1489" s="165"/>
      <c r="J1489" s="165"/>
      <c r="K1489" s="165"/>
      <c r="L1489" s="165"/>
      <c r="M1489" s="165"/>
      <c r="N1489" s="165"/>
      <c r="O1489" s="165"/>
      <c r="P1489" s="165"/>
      <c r="Q1489" s="73"/>
      <c r="R1489" s="23"/>
      <c r="S1489" s="23"/>
      <c r="T1489" s="73"/>
      <c r="U1489" s="73"/>
      <c r="V1489" s="73"/>
    </row>
    <row r="1490" spans="2:22" x14ac:dyDescent="0.2">
      <c r="B1490" s="73" t="s">
        <v>10469</v>
      </c>
      <c r="C1490" s="33" t="s">
        <v>1239</v>
      </c>
      <c r="D1490" s="23" t="s">
        <v>1240</v>
      </c>
      <c r="E1490" s="73"/>
      <c r="F1490" s="73"/>
      <c r="G1490" s="73"/>
      <c r="H1490" s="73"/>
      <c r="I1490" s="73"/>
      <c r="J1490" s="33" t="s">
        <v>9374</v>
      </c>
      <c r="K1490" s="33" t="s">
        <v>11016</v>
      </c>
      <c r="L1490" s="33" t="s">
        <v>121</v>
      </c>
      <c r="M1490" s="33" t="s">
        <v>9376</v>
      </c>
      <c r="N1490" s="73"/>
      <c r="O1490" s="73"/>
      <c r="P1490" s="73"/>
      <c r="Q1490" s="73"/>
      <c r="R1490" s="23"/>
      <c r="S1490" s="23"/>
      <c r="T1490" s="73"/>
      <c r="U1490" s="73"/>
      <c r="V1490" s="73"/>
    </row>
    <row r="1491" spans="2:22" x14ac:dyDescent="0.2">
      <c r="B1491" s="166"/>
      <c r="C1491" s="166"/>
      <c r="D1491" s="166"/>
      <c r="E1491" s="166"/>
      <c r="F1491" s="166"/>
      <c r="G1491" s="166"/>
      <c r="H1491" s="166"/>
      <c r="I1491" s="166"/>
      <c r="J1491" s="166"/>
      <c r="K1491" s="166"/>
      <c r="L1491" s="166"/>
      <c r="M1491" s="166"/>
      <c r="N1491" s="166"/>
      <c r="O1491" s="166"/>
      <c r="P1491" s="166"/>
      <c r="Q1491" s="75"/>
      <c r="R1491" s="75"/>
      <c r="S1491" s="75"/>
      <c r="T1491" s="75"/>
      <c r="U1491" s="75"/>
      <c r="V1491" s="75"/>
    </row>
    <row r="1492" spans="2:22" x14ac:dyDescent="0.2">
      <c r="B1492" s="165" t="s">
        <v>10472</v>
      </c>
      <c r="C1492" s="165"/>
      <c r="D1492" s="165"/>
      <c r="E1492" s="165"/>
      <c r="F1492" s="165"/>
      <c r="G1492" s="165"/>
      <c r="H1492" s="165"/>
      <c r="I1492" s="165"/>
      <c r="J1492" s="165"/>
      <c r="K1492" s="165"/>
      <c r="L1492" s="165"/>
      <c r="M1492" s="165"/>
      <c r="N1492" s="165"/>
      <c r="O1492" s="165"/>
      <c r="P1492" s="165"/>
      <c r="Q1492" s="76"/>
      <c r="R1492" s="76"/>
      <c r="S1492" s="76"/>
      <c r="T1492" s="76"/>
      <c r="U1492" s="76"/>
      <c r="V1492" s="76"/>
    </row>
    <row r="1493" spans="2:22" x14ac:dyDescent="0.2">
      <c r="B1493" s="73" t="s">
        <v>10472</v>
      </c>
      <c r="C1493" s="33" t="s">
        <v>1241</v>
      </c>
      <c r="D1493" s="23" t="s">
        <v>1242</v>
      </c>
      <c r="E1493" s="73"/>
      <c r="F1493" s="73"/>
      <c r="G1493" s="73"/>
      <c r="H1493" s="73"/>
      <c r="I1493" s="73"/>
      <c r="J1493" s="33" t="s">
        <v>9374</v>
      </c>
      <c r="K1493" s="33" t="s">
        <v>11016</v>
      </c>
      <c r="L1493" s="33" t="s">
        <v>121</v>
      </c>
      <c r="M1493" s="33" t="s">
        <v>9376</v>
      </c>
      <c r="N1493" s="73"/>
      <c r="O1493" s="73"/>
      <c r="P1493" s="73"/>
      <c r="Q1493" s="73"/>
      <c r="R1493" s="23"/>
      <c r="S1493" s="23"/>
      <c r="T1493" s="73"/>
      <c r="U1493" s="73"/>
      <c r="V1493" s="73"/>
    </row>
    <row r="1494" spans="2:22" x14ac:dyDescent="0.2">
      <c r="B1494" s="166"/>
      <c r="C1494" s="166"/>
      <c r="D1494" s="166"/>
      <c r="E1494" s="166"/>
      <c r="F1494" s="166"/>
      <c r="G1494" s="166"/>
      <c r="H1494" s="166"/>
      <c r="I1494" s="166"/>
      <c r="J1494" s="166"/>
      <c r="K1494" s="166"/>
      <c r="L1494" s="166"/>
      <c r="M1494" s="166"/>
      <c r="N1494" s="166"/>
      <c r="O1494" s="166"/>
      <c r="P1494" s="166"/>
      <c r="Q1494" s="75"/>
      <c r="R1494" s="75"/>
      <c r="S1494" s="75"/>
      <c r="T1494" s="75"/>
      <c r="U1494" s="75"/>
      <c r="V1494" s="75"/>
    </row>
    <row r="1495" spans="2:22" x14ac:dyDescent="0.2">
      <c r="B1495" s="165" t="s">
        <v>10475</v>
      </c>
      <c r="C1495" s="165"/>
      <c r="D1495" s="165"/>
      <c r="E1495" s="165"/>
      <c r="F1495" s="165"/>
      <c r="G1495" s="165"/>
      <c r="H1495" s="165"/>
      <c r="I1495" s="165"/>
      <c r="J1495" s="165"/>
      <c r="K1495" s="165"/>
      <c r="L1495" s="165"/>
      <c r="M1495" s="165"/>
      <c r="N1495" s="165"/>
      <c r="O1495" s="165"/>
      <c r="P1495" s="165"/>
      <c r="Q1495" s="76"/>
      <c r="R1495" s="76"/>
      <c r="S1495" s="76"/>
      <c r="T1495" s="76"/>
      <c r="U1495" s="76"/>
      <c r="V1495" s="76"/>
    </row>
    <row r="1496" spans="2:22" x14ac:dyDescent="0.2">
      <c r="B1496" s="73" t="s">
        <v>10475</v>
      </c>
      <c r="C1496" s="33" t="s">
        <v>1243</v>
      </c>
      <c r="D1496" s="23" t="s">
        <v>1244</v>
      </c>
      <c r="E1496" s="73"/>
      <c r="F1496" s="73"/>
      <c r="G1496" s="73"/>
      <c r="H1496" s="73"/>
      <c r="I1496" s="73"/>
      <c r="J1496" s="33" t="s">
        <v>9374</v>
      </c>
      <c r="K1496" s="33" t="s">
        <v>9375</v>
      </c>
      <c r="L1496" s="33" t="s">
        <v>121</v>
      </c>
      <c r="M1496" s="33" t="s">
        <v>9376</v>
      </c>
      <c r="N1496" s="73"/>
      <c r="O1496" s="73"/>
      <c r="P1496" s="73"/>
      <c r="Q1496" s="73"/>
      <c r="R1496" s="23"/>
      <c r="S1496" s="23"/>
      <c r="T1496" s="73"/>
      <c r="U1496" s="73"/>
      <c r="V1496" s="73"/>
    </row>
    <row r="1497" spans="2:22" x14ac:dyDescent="0.2">
      <c r="B1497" s="73" t="s">
        <v>10475</v>
      </c>
      <c r="C1497" s="33" t="s">
        <v>1871</v>
      </c>
      <c r="D1497" s="23" t="s">
        <v>1872</v>
      </c>
      <c r="E1497" s="73" t="s">
        <v>11199</v>
      </c>
      <c r="F1497" s="73" t="s">
        <v>10902</v>
      </c>
      <c r="G1497" s="73"/>
      <c r="H1497" s="73" t="s">
        <v>11192</v>
      </c>
      <c r="I1497" s="73" t="s">
        <v>11200</v>
      </c>
      <c r="J1497" s="33" t="s">
        <v>9374</v>
      </c>
      <c r="K1497" s="33" t="s">
        <v>9375</v>
      </c>
      <c r="L1497" s="33" t="s">
        <v>121</v>
      </c>
      <c r="M1497" s="33" t="s">
        <v>9376</v>
      </c>
      <c r="N1497" s="73"/>
      <c r="O1497" s="73"/>
      <c r="P1497" s="73"/>
      <c r="Q1497" s="75"/>
      <c r="R1497" s="75"/>
      <c r="S1497" s="75"/>
      <c r="T1497" s="75"/>
      <c r="U1497" s="75"/>
      <c r="V1497" s="75"/>
    </row>
    <row r="1498" spans="2:22" x14ac:dyDescent="0.2">
      <c r="B1498" s="166"/>
      <c r="C1498" s="166"/>
      <c r="D1498" s="166"/>
      <c r="E1498" s="166"/>
      <c r="F1498" s="166"/>
      <c r="G1498" s="166"/>
      <c r="H1498" s="166"/>
      <c r="I1498" s="166"/>
      <c r="J1498" s="166"/>
      <c r="K1498" s="166"/>
      <c r="L1498" s="166"/>
      <c r="M1498" s="166"/>
      <c r="N1498" s="166"/>
      <c r="O1498" s="166"/>
      <c r="P1498" s="166"/>
      <c r="Q1498" s="76"/>
      <c r="R1498" s="76"/>
      <c r="S1498" s="76"/>
      <c r="T1498" s="76"/>
      <c r="U1498" s="76"/>
      <c r="V1498" s="76"/>
    </row>
    <row r="1499" spans="2:22" x14ac:dyDescent="0.2">
      <c r="B1499" s="165" t="s">
        <v>10478</v>
      </c>
      <c r="C1499" s="165"/>
      <c r="D1499" s="165"/>
      <c r="E1499" s="165"/>
      <c r="F1499" s="165"/>
      <c r="G1499" s="165"/>
      <c r="H1499" s="165"/>
      <c r="I1499" s="165"/>
      <c r="J1499" s="165"/>
      <c r="K1499" s="165"/>
      <c r="L1499" s="165"/>
      <c r="M1499" s="165"/>
      <c r="N1499" s="165"/>
      <c r="O1499" s="165"/>
      <c r="P1499" s="165"/>
      <c r="Q1499" s="73"/>
      <c r="R1499" s="23"/>
      <c r="S1499" s="23"/>
      <c r="T1499" s="73"/>
      <c r="U1499" s="73"/>
      <c r="V1499" s="73"/>
    </row>
    <row r="1500" spans="2:22" x14ac:dyDescent="0.2">
      <c r="B1500" s="73" t="s">
        <v>10478</v>
      </c>
      <c r="C1500" s="33" t="s">
        <v>1245</v>
      </c>
      <c r="D1500" s="23" t="s">
        <v>1246</v>
      </c>
      <c r="E1500" s="73"/>
      <c r="F1500" s="73"/>
      <c r="G1500" s="73"/>
      <c r="H1500" s="73"/>
      <c r="I1500" s="73"/>
      <c r="J1500" s="33" t="s">
        <v>9374</v>
      </c>
      <c r="K1500" s="33" t="s">
        <v>9375</v>
      </c>
      <c r="L1500" s="33" t="s">
        <v>121</v>
      </c>
      <c r="M1500" s="33" t="s">
        <v>9376</v>
      </c>
      <c r="N1500" s="73"/>
      <c r="O1500" s="73"/>
      <c r="P1500" s="73"/>
      <c r="Q1500" s="73"/>
      <c r="R1500" s="23"/>
      <c r="S1500" s="23"/>
      <c r="T1500" s="73"/>
      <c r="U1500" s="73"/>
      <c r="V1500" s="73"/>
    </row>
    <row r="1501" spans="2:22" x14ac:dyDescent="0.2">
      <c r="B1501" s="166"/>
      <c r="C1501" s="166"/>
      <c r="D1501" s="166"/>
      <c r="E1501" s="166"/>
      <c r="F1501" s="166"/>
      <c r="G1501" s="166"/>
      <c r="H1501" s="166"/>
      <c r="I1501" s="166"/>
      <c r="J1501" s="166"/>
      <c r="K1501" s="166"/>
      <c r="L1501" s="166"/>
      <c r="M1501" s="166"/>
      <c r="N1501" s="166"/>
      <c r="O1501" s="166"/>
      <c r="P1501" s="166"/>
      <c r="Q1501" s="73"/>
      <c r="R1501" s="23"/>
      <c r="S1501" s="23"/>
      <c r="T1501" s="73"/>
      <c r="U1501" s="73"/>
      <c r="V1501" s="73"/>
    </row>
    <row r="1502" spans="2:22" x14ac:dyDescent="0.2">
      <c r="B1502" s="165" t="s">
        <v>10481</v>
      </c>
      <c r="C1502" s="165"/>
      <c r="D1502" s="165"/>
      <c r="E1502" s="165"/>
      <c r="F1502" s="165"/>
      <c r="G1502" s="165"/>
      <c r="H1502" s="165"/>
      <c r="I1502" s="165"/>
      <c r="J1502" s="165"/>
      <c r="K1502" s="165"/>
      <c r="L1502" s="165"/>
      <c r="M1502" s="165"/>
      <c r="N1502" s="165"/>
      <c r="O1502" s="165"/>
      <c r="P1502" s="165"/>
      <c r="Q1502" s="73"/>
      <c r="R1502" s="23"/>
      <c r="S1502" s="23"/>
      <c r="T1502" s="73"/>
      <c r="U1502" s="73"/>
      <c r="V1502" s="73"/>
    </row>
    <row r="1503" spans="2:22" x14ac:dyDescent="0.2">
      <c r="B1503" s="73" t="s">
        <v>10481</v>
      </c>
      <c r="C1503" s="33" t="s">
        <v>1247</v>
      </c>
      <c r="D1503" s="23" t="s">
        <v>1248</v>
      </c>
      <c r="E1503" s="73"/>
      <c r="F1503" s="73"/>
      <c r="G1503" s="73"/>
      <c r="H1503" s="73"/>
      <c r="I1503" s="73"/>
      <c r="J1503" s="33" t="s">
        <v>9374</v>
      </c>
      <c r="K1503" s="33" t="s">
        <v>9375</v>
      </c>
      <c r="L1503" s="33" t="s">
        <v>121</v>
      </c>
      <c r="M1503" s="33" t="s">
        <v>9376</v>
      </c>
      <c r="N1503" s="73"/>
      <c r="O1503" s="73"/>
      <c r="P1503" s="73"/>
      <c r="Q1503" s="75"/>
      <c r="R1503" s="75"/>
      <c r="S1503" s="75"/>
      <c r="T1503" s="75"/>
      <c r="U1503" s="75"/>
      <c r="V1503" s="75"/>
    </row>
    <row r="1504" spans="2:22" x14ac:dyDescent="0.2">
      <c r="B1504" s="166"/>
      <c r="C1504" s="166"/>
      <c r="D1504" s="166"/>
      <c r="E1504" s="166"/>
      <c r="F1504" s="166"/>
      <c r="G1504" s="166"/>
      <c r="H1504" s="166"/>
      <c r="I1504" s="166"/>
      <c r="J1504" s="166"/>
      <c r="K1504" s="166"/>
      <c r="L1504" s="166"/>
      <c r="M1504" s="166"/>
      <c r="N1504" s="166"/>
      <c r="O1504" s="166"/>
      <c r="P1504" s="166"/>
      <c r="Q1504" s="76"/>
      <c r="R1504" s="76"/>
      <c r="S1504" s="76"/>
      <c r="T1504" s="76"/>
      <c r="U1504" s="76"/>
      <c r="V1504" s="76"/>
    </row>
    <row r="1505" spans="2:22" x14ac:dyDescent="0.2">
      <c r="B1505" s="165" t="s">
        <v>10484</v>
      </c>
      <c r="C1505" s="165"/>
      <c r="D1505" s="165"/>
      <c r="E1505" s="165"/>
      <c r="F1505" s="165"/>
      <c r="G1505" s="165"/>
      <c r="H1505" s="165"/>
      <c r="I1505" s="165"/>
      <c r="J1505" s="165"/>
      <c r="K1505" s="165"/>
      <c r="L1505" s="165"/>
      <c r="M1505" s="165"/>
      <c r="N1505" s="165"/>
      <c r="O1505" s="165"/>
      <c r="P1505" s="165"/>
      <c r="Q1505" s="73"/>
      <c r="R1505" s="23"/>
      <c r="S1505" s="23"/>
      <c r="T1505" s="73"/>
      <c r="U1505" s="73"/>
      <c r="V1505" s="73"/>
    </row>
    <row r="1506" spans="2:22" x14ac:dyDescent="0.2">
      <c r="B1506" s="73" t="s">
        <v>10484</v>
      </c>
      <c r="C1506" s="33" t="s">
        <v>1249</v>
      </c>
      <c r="D1506" s="23" t="s">
        <v>1250</v>
      </c>
      <c r="E1506" s="73"/>
      <c r="F1506" s="73"/>
      <c r="G1506" s="73"/>
      <c r="H1506" s="73"/>
      <c r="I1506" s="73"/>
      <c r="J1506" s="33" t="s">
        <v>9374</v>
      </c>
      <c r="K1506" s="33" t="s">
        <v>9375</v>
      </c>
      <c r="L1506" s="33" t="s">
        <v>121</v>
      </c>
      <c r="M1506" s="33" t="s">
        <v>9376</v>
      </c>
      <c r="N1506" s="73"/>
      <c r="O1506" s="73"/>
      <c r="P1506" s="73"/>
      <c r="Q1506" s="73"/>
      <c r="R1506" s="23"/>
      <c r="S1506" s="23"/>
      <c r="T1506" s="73"/>
      <c r="U1506" s="73"/>
      <c r="V1506" s="73"/>
    </row>
    <row r="1507" spans="2:22" x14ac:dyDescent="0.2">
      <c r="B1507" s="166"/>
      <c r="C1507" s="166"/>
      <c r="D1507" s="166"/>
      <c r="E1507" s="166"/>
      <c r="F1507" s="166"/>
      <c r="G1507" s="166"/>
      <c r="H1507" s="166"/>
      <c r="I1507" s="166"/>
      <c r="J1507" s="166"/>
      <c r="K1507" s="166"/>
      <c r="L1507" s="166"/>
      <c r="M1507" s="166"/>
      <c r="N1507" s="166"/>
      <c r="O1507" s="166"/>
      <c r="P1507" s="166"/>
      <c r="Q1507" s="73"/>
      <c r="R1507" s="23"/>
      <c r="S1507" s="23"/>
      <c r="T1507" s="73"/>
      <c r="U1507" s="73"/>
      <c r="V1507" s="73"/>
    </row>
    <row r="1508" spans="2:22" x14ac:dyDescent="0.2">
      <c r="B1508" s="165" t="s">
        <v>10487</v>
      </c>
      <c r="C1508" s="165"/>
      <c r="D1508" s="165"/>
      <c r="E1508" s="165"/>
      <c r="F1508" s="165"/>
      <c r="G1508" s="165"/>
      <c r="H1508" s="165"/>
      <c r="I1508" s="165"/>
      <c r="J1508" s="165"/>
      <c r="K1508" s="165"/>
      <c r="L1508" s="165"/>
      <c r="M1508" s="165"/>
      <c r="N1508" s="165"/>
      <c r="O1508" s="165"/>
      <c r="P1508" s="165"/>
      <c r="Q1508" s="75"/>
      <c r="R1508" s="75"/>
      <c r="S1508" s="75"/>
      <c r="T1508" s="75"/>
      <c r="U1508" s="75"/>
      <c r="V1508" s="75"/>
    </row>
    <row r="1509" spans="2:22" x14ac:dyDescent="0.2">
      <c r="B1509" s="73" t="s">
        <v>10487</v>
      </c>
      <c r="C1509" s="33" t="s">
        <v>1251</v>
      </c>
      <c r="D1509" s="23" t="s">
        <v>1252</v>
      </c>
      <c r="E1509" s="73"/>
      <c r="F1509" s="73"/>
      <c r="G1509" s="73"/>
      <c r="H1509" s="73"/>
      <c r="I1509" s="73"/>
      <c r="J1509" s="33" t="s">
        <v>9374</v>
      </c>
      <c r="K1509" s="33" t="s">
        <v>9375</v>
      </c>
      <c r="L1509" s="33" t="s">
        <v>121</v>
      </c>
      <c r="M1509" s="33" t="s">
        <v>9376</v>
      </c>
      <c r="N1509" s="73"/>
      <c r="O1509" s="73"/>
      <c r="P1509" s="73"/>
      <c r="Q1509" s="76"/>
      <c r="R1509" s="76"/>
      <c r="S1509" s="76"/>
      <c r="T1509" s="76"/>
      <c r="U1509" s="76"/>
      <c r="V1509" s="76"/>
    </row>
    <row r="1510" spans="2:22" x14ac:dyDescent="0.2">
      <c r="B1510" s="166"/>
      <c r="C1510" s="166"/>
      <c r="D1510" s="166"/>
      <c r="E1510" s="166"/>
      <c r="F1510" s="166"/>
      <c r="G1510" s="166"/>
      <c r="H1510" s="166"/>
      <c r="I1510" s="166"/>
      <c r="J1510" s="166"/>
      <c r="K1510" s="166"/>
      <c r="L1510" s="166"/>
      <c r="M1510" s="166"/>
      <c r="N1510" s="166"/>
      <c r="O1510" s="166"/>
      <c r="P1510" s="166"/>
      <c r="Q1510" s="73"/>
      <c r="R1510" s="23"/>
      <c r="S1510" s="23"/>
      <c r="T1510" s="73"/>
      <c r="U1510" s="73"/>
      <c r="V1510" s="73"/>
    </row>
    <row r="1511" spans="2:22" x14ac:dyDescent="0.2">
      <c r="B1511" s="165" t="s">
        <v>10490</v>
      </c>
      <c r="C1511" s="165"/>
      <c r="D1511" s="165"/>
      <c r="E1511" s="165"/>
      <c r="F1511" s="165"/>
      <c r="G1511" s="165"/>
      <c r="H1511" s="165"/>
      <c r="I1511" s="165"/>
      <c r="J1511" s="165"/>
      <c r="K1511" s="165"/>
      <c r="L1511" s="165"/>
      <c r="M1511" s="165"/>
      <c r="N1511" s="165"/>
      <c r="O1511" s="165"/>
      <c r="P1511" s="165"/>
      <c r="Q1511" s="75"/>
      <c r="R1511" s="75"/>
      <c r="S1511" s="75"/>
      <c r="T1511" s="75"/>
      <c r="U1511" s="75"/>
      <c r="V1511" s="75"/>
    </row>
    <row r="1512" spans="2:22" x14ac:dyDescent="0.2">
      <c r="B1512" s="73" t="s">
        <v>10490</v>
      </c>
      <c r="C1512" s="33" t="s">
        <v>1253</v>
      </c>
      <c r="D1512" s="23" t="s">
        <v>1254</v>
      </c>
      <c r="E1512" s="73"/>
      <c r="F1512" s="73"/>
      <c r="G1512" s="73"/>
      <c r="H1512" s="73"/>
      <c r="I1512" s="73"/>
      <c r="J1512" s="33" t="s">
        <v>9374</v>
      </c>
      <c r="K1512" s="33" t="s">
        <v>9375</v>
      </c>
      <c r="L1512" s="33" t="s">
        <v>121</v>
      </c>
      <c r="M1512" s="33" t="s">
        <v>9376</v>
      </c>
      <c r="N1512" s="73"/>
      <c r="O1512" s="73"/>
      <c r="P1512" s="73"/>
      <c r="Q1512" s="76"/>
      <c r="R1512" s="76"/>
      <c r="S1512" s="76"/>
      <c r="T1512" s="76"/>
      <c r="U1512" s="76"/>
      <c r="V1512" s="76"/>
    </row>
    <row r="1513" spans="2:22" x14ac:dyDescent="0.2">
      <c r="B1513" s="166"/>
      <c r="C1513" s="166"/>
      <c r="D1513" s="166"/>
      <c r="E1513" s="166"/>
      <c r="F1513" s="166"/>
      <c r="G1513" s="166"/>
      <c r="H1513" s="166"/>
      <c r="I1513" s="166"/>
      <c r="J1513" s="166"/>
      <c r="K1513" s="166"/>
      <c r="L1513" s="166"/>
      <c r="M1513" s="166"/>
      <c r="N1513" s="166"/>
      <c r="O1513" s="166"/>
      <c r="P1513" s="166"/>
      <c r="Q1513" s="73"/>
      <c r="R1513" s="23"/>
      <c r="S1513" s="23"/>
      <c r="T1513" s="73"/>
      <c r="U1513" s="73"/>
      <c r="V1513" s="73"/>
    </row>
    <row r="1514" spans="2:22" x14ac:dyDescent="0.2">
      <c r="B1514" s="165" t="s">
        <v>10493</v>
      </c>
      <c r="C1514" s="165"/>
      <c r="D1514" s="165"/>
      <c r="E1514" s="165"/>
      <c r="F1514" s="165"/>
      <c r="G1514" s="165"/>
      <c r="H1514" s="165"/>
      <c r="I1514" s="165"/>
      <c r="J1514" s="165"/>
      <c r="K1514" s="165"/>
      <c r="L1514" s="165"/>
      <c r="M1514" s="165"/>
      <c r="N1514" s="165"/>
      <c r="O1514" s="165"/>
      <c r="P1514" s="165"/>
      <c r="Q1514" s="75"/>
      <c r="R1514" s="75"/>
      <c r="S1514" s="75"/>
      <c r="T1514" s="75"/>
      <c r="U1514" s="75"/>
      <c r="V1514" s="75"/>
    </row>
    <row r="1515" spans="2:22" x14ac:dyDescent="0.2">
      <c r="B1515" s="73" t="s">
        <v>10493</v>
      </c>
      <c r="C1515" s="33" t="s">
        <v>1255</v>
      </c>
      <c r="D1515" s="23" t="s">
        <v>1256</v>
      </c>
      <c r="E1515" s="73"/>
      <c r="F1515" s="73"/>
      <c r="G1515" s="73"/>
      <c r="H1515" s="73"/>
      <c r="I1515" s="73"/>
      <c r="J1515" s="33" t="s">
        <v>9374</v>
      </c>
      <c r="K1515" s="33" t="s">
        <v>9375</v>
      </c>
      <c r="L1515" s="33" t="s">
        <v>121</v>
      </c>
      <c r="M1515" s="33" t="s">
        <v>9376</v>
      </c>
      <c r="N1515" s="73"/>
      <c r="O1515" s="73"/>
      <c r="P1515" s="73"/>
      <c r="Q1515" s="76"/>
      <c r="R1515" s="76"/>
      <c r="S1515" s="76"/>
      <c r="T1515" s="76"/>
      <c r="U1515" s="76"/>
      <c r="V1515" s="76"/>
    </row>
    <row r="1516" spans="2:22" x14ac:dyDescent="0.2">
      <c r="B1516" s="166"/>
      <c r="C1516" s="166"/>
      <c r="D1516" s="166"/>
      <c r="E1516" s="166"/>
      <c r="F1516" s="166"/>
      <c r="G1516" s="166"/>
      <c r="H1516" s="166"/>
      <c r="I1516" s="166"/>
      <c r="J1516" s="166"/>
      <c r="K1516" s="166"/>
      <c r="L1516" s="166"/>
      <c r="M1516" s="166"/>
      <c r="N1516" s="166"/>
      <c r="O1516" s="166"/>
      <c r="P1516" s="166"/>
      <c r="Q1516" s="73"/>
      <c r="R1516" s="23"/>
      <c r="S1516" s="23"/>
      <c r="T1516" s="73"/>
      <c r="U1516" s="73"/>
      <c r="V1516" s="73"/>
    </row>
    <row r="1517" spans="2:22" x14ac:dyDescent="0.2">
      <c r="B1517" s="165" t="s">
        <v>10496</v>
      </c>
      <c r="C1517" s="165"/>
      <c r="D1517" s="165"/>
      <c r="E1517" s="165"/>
      <c r="F1517" s="165"/>
      <c r="G1517" s="165"/>
      <c r="H1517" s="165"/>
      <c r="I1517" s="165"/>
      <c r="J1517" s="165"/>
      <c r="K1517" s="165"/>
      <c r="L1517" s="165"/>
      <c r="M1517" s="165"/>
      <c r="N1517" s="165"/>
      <c r="O1517" s="165"/>
      <c r="P1517" s="165"/>
      <c r="Q1517" s="75"/>
      <c r="R1517" s="75"/>
      <c r="S1517" s="75"/>
      <c r="T1517" s="75"/>
      <c r="U1517" s="75"/>
      <c r="V1517" s="75"/>
    </row>
    <row r="1518" spans="2:22" x14ac:dyDescent="0.2">
      <c r="B1518" s="73" t="s">
        <v>10496</v>
      </c>
      <c r="C1518" s="33" t="s">
        <v>1257</v>
      </c>
      <c r="D1518" s="23" t="s">
        <v>1258</v>
      </c>
      <c r="E1518" s="73"/>
      <c r="F1518" s="73"/>
      <c r="G1518" s="73"/>
      <c r="H1518" s="73"/>
      <c r="I1518" s="73"/>
      <c r="J1518" s="33" t="s">
        <v>9374</v>
      </c>
      <c r="K1518" s="33" t="s">
        <v>11016</v>
      </c>
      <c r="L1518" s="33" t="s">
        <v>121</v>
      </c>
      <c r="M1518" s="33" t="s">
        <v>9376</v>
      </c>
      <c r="N1518" s="73"/>
      <c r="O1518" s="73"/>
      <c r="P1518" s="73"/>
      <c r="Q1518" s="76"/>
      <c r="R1518" s="76"/>
      <c r="S1518" s="76"/>
      <c r="T1518" s="76"/>
      <c r="U1518" s="76"/>
      <c r="V1518" s="76"/>
    </row>
    <row r="1519" spans="2:22" x14ac:dyDescent="0.2">
      <c r="B1519" s="166"/>
      <c r="C1519" s="166"/>
      <c r="D1519" s="166"/>
      <c r="E1519" s="166"/>
      <c r="F1519" s="166"/>
      <c r="G1519" s="166"/>
      <c r="H1519" s="166"/>
      <c r="I1519" s="166"/>
      <c r="J1519" s="166"/>
      <c r="K1519" s="166"/>
      <c r="L1519" s="166"/>
      <c r="M1519" s="166"/>
      <c r="N1519" s="166"/>
      <c r="O1519" s="166"/>
      <c r="P1519" s="166"/>
      <c r="Q1519" s="73"/>
      <c r="R1519" s="23"/>
      <c r="S1519" s="23"/>
      <c r="T1519" s="73"/>
      <c r="U1519" s="73"/>
      <c r="V1519" s="73"/>
    </row>
    <row r="1520" spans="2:22" x14ac:dyDescent="0.2">
      <c r="B1520" s="165" t="s">
        <v>10498</v>
      </c>
      <c r="C1520" s="165"/>
      <c r="D1520" s="165"/>
      <c r="E1520" s="165"/>
      <c r="F1520" s="165"/>
      <c r="G1520" s="165"/>
      <c r="H1520" s="165"/>
      <c r="I1520" s="165"/>
      <c r="J1520" s="165"/>
      <c r="K1520" s="165"/>
      <c r="L1520" s="165"/>
      <c r="M1520" s="165"/>
      <c r="N1520" s="165"/>
      <c r="O1520" s="165"/>
      <c r="P1520" s="165"/>
      <c r="Q1520" s="75"/>
      <c r="R1520" s="75"/>
      <c r="S1520" s="75"/>
      <c r="T1520" s="75"/>
      <c r="U1520" s="75"/>
      <c r="V1520" s="75"/>
    </row>
    <row r="1521" spans="2:22" x14ac:dyDescent="0.2">
      <c r="B1521" s="73" t="s">
        <v>10498</v>
      </c>
      <c r="C1521" s="33" t="s">
        <v>1259</v>
      </c>
      <c r="D1521" s="23" t="s">
        <v>1260</v>
      </c>
      <c r="E1521" s="73"/>
      <c r="F1521" s="73"/>
      <c r="G1521" s="73"/>
      <c r="H1521" s="73"/>
      <c r="I1521" s="73"/>
      <c r="J1521" s="33" t="s">
        <v>9374</v>
      </c>
      <c r="K1521" s="33" t="s">
        <v>11016</v>
      </c>
      <c r="L1521" s="33" t="s">
        <v>121</v>
      </c>
      <c r="M1521" s="33" t="s">
        <v>9376</v>
      </c>
      <c r="N1521" s="73"/>
      <c r="O1521" s="73"/>
      <c r="P1521" s="73"/>
      <c r="Q1521" s="76"/>
      <c r="R1521" s="76"/>
      <c r="S1521" s="76"/>
      <c r="T1521" s="76"/>
      <c r="U1521" s="76"/>
      <c r="V1521" s="76"/>
    </row>
    <row r="1522" spans="2:22" x14ac:dyDescent="0.2">
      <c r="B1522" s="166"/>
      <c r="C1522" s="166"/>
      <c r="D1522" s="166"/>
      <c r="E1522" s="166"/>
      <c r="F1522" s="166"/>
      <c r="G1522" s="166"/>
      <c r="H1522" s="166"/>
      <c r="I1522" s="166"/>
      <c r="J1522" s="166"/>
      <c r="K1522" s="166"/>
      <c r="L1522" s="166"/>
      <c r="M1522" s="166"/>
      <c r="N1522" s="166"/>
      <c r="O1522" s="166"/>
      <c r="P1522" s="166"/>
      <c r="Q1522" s="73"/>
      <c r="R1522" s="23"/>
      <c r="S1522" s="23"/>
      <c r="T1522" s="73"/>
      <c r="U1522" s="73"/>
      <c r="V1522" s="73"/>
    </row>
    <row r="1523" spans="2:22" x14ac:dyDescent="0.2">
      <c r="B1523" s="165" t="s">
        <v>10501</v>
      </c>
      <c r="C1523" s="165"/>
      <c r="D1523" s="165"/>
      <c r="E1523" s="165"/>
      <c r="F1523" s="165"/>
      <c r="G1523" s="165"/>
      <c r="H1523" s="165"/>
      <c r="I1523" s="165"/>
      <c r="J1523" s="165"/>
      <c r="K1523" s="165"/>
      <c r="L1523" s="165"/>
      <c r="M1523" s="165"/>
      <c r="N1523" s="165"/>
      <c r="O1523" s="165"/>
      <c r="P1523" s="165"/>
      <c r="Q1523" s="75"/>
      <c r="R1523" s="75"/>
      <c r="S1523" s="75"/>
      <c r="T1523" s="75"/>
      <c r="U1523" s="75"/>
      <c r="V1523" s="75"/>
    </row>
    <row r="1524" spans="2:22" x14ac:dyDescent="0.2">
      <c r="B1524" s="73" t="s">
        <v>10501</v>
      </c>
      <c r="C1524" s="33" t="s">
        <v>1261</v>
      </c>
      <c r="D1524" s="23" t="s">
        <v>1262</v>
      </c>
      <c r="E1524" s="73"/>
      <c r="F1524" s="73"/>
      <c r="G1524" s="73"/>
      <c r="H1524" s="73"/>
      <c r="I1524" s="73"/>
      <c r="J1524" s="33" t="s">
        <v>9374</v>
      </c>
      <c r="K1524" s="33" t="s">
        <v>11016</v>
      </c>
      <c r="L1524" s="33" t="s">
        <v>121</v>
      </c>
      <c r="M1524" s="33" t="s">
        <v>9376</v>
      </c>
      <c r="N1524" s="73"/>
      <c r="O1524" s="73"/>
      <c r="P1524" s="73"/>
      <c r="Q1524" s="76"/>
      <c r="R1524" s="76"/>
      <c r="S1524" s="76"/>
      <c r="T1524" s="76"/>
      <c r="U1524" s="76"/>
      <c r="V1524" s="76"/>
    </row>
    <row r="1525" spans="2:22" x14ac:dyDescent="0.2">
      <c r="B1525" s="166"/>
      <c r="C1525" s="166"/>
      <c r="D1525" s="166"/>
      <c r="E1525" s="166"/>
      <c r="F1525" s="166"/>
      <c r="G1525" s="166"/>
      <c r="H1525" s="166"/>
      <c r="I1525" s="166"/>
      <c r="J1525" s="166"/>
      <c r="K1525" s="166"/>
      <c r="L1525" s="166"/>
      <c r="M1525" s="166"/>
      <c r="N1525" s="166"/>
      <c r="O1525" s="166"/>
      <c r="P1525" s="166"/>
      <c r="Q1525" s="73"/>
      <c r="R1525" s="23"/>
      <c r="S1525" s="23"/>
      <c r="T1525" s="73"/>
      <c r="U1525" s="73"/>
      <c r="V1525" s="73"/>
    </row>
    <row r="1526" spans="2:22" x14ac:dyDescent="0.2">
      <c r="B1526" s="165" t="s">
        <v>10504</v>
      </c>
      <c r="C1526" s="165"/>
      <c r="D1526" s="165"/>
      <c r="E1526" s="165"/>
      <c r="F1526" s="165"/>
      <c r="G1526" s="165"/>
      <c r="H1526" s="165"/>
      <c r="I1526" s="165"/>
      <c r="J1526" s="165"/>
      <c r="K1526" s="165"/>
      <c r="L1526" s="165"/>
      <c r="M1526" s="165"/>
      <c r="N1526" s="165"/>
      <c r="O1526" s="165"/>
      <c r="P1526" s="165"/>
      <c r="Q1526" s="75"/>
      <c r="R1526" s="75"/>
      <c r="S1526" s="75"/>
      <c r="T1526" s="75"/>
      <c r="U1526" s="75"/>
      <c r="V1526" s="75"/>
    </row>
    <row r="1527" spans="2:22" x14ac:dyDescent="0.2">
      <c r="B1527" s="73" t="s">
        <v>10504</v>
      </c>
      <c r="C1527" s="33" t="s">
        <v>1263</v>
      </c>
      <c r="D1527" s="23" t="s">
        <v>1264</v>
      </c>
      <c r="E1527" s="73"/>
      <c r="F1527" s="73"/>
      <c r="G1527" s="73"/>
      <c r="H1527" s="73"/>
      <c r="I1527" s="73"/>
      <c r="J1527" s="33" t="s">
        <v>9374</v>
      </c>
      <c r="K1527" s="33" t="s">
        <v>11016</v>
      </c>
      <c r="L1527" s="33" t="s">
        <v>121</v>
      </c>
      <c r="M1527" s="33" t="s">
        <v>9376</v>
      </c>
      <c r="N1527" s="73"/>
      <c r="O1527" s="73"/>
      <c r="P1527" s="73"/>
      <c r="Q1527" s="76"/>
      <c r="R1527" s="76"/>
      <c r="S1527" s="76"/>
      <c r="T1527" s="76"/>
      <c r="U1527" s="76"/>
      <c r="V1527" s="76"/>
    </row>
    <row r="1528" spans="2:22" x14ac:dyDescent="0.2">
      <c r="B1528" s="166"/>
      <c r="C1528" s="166"/>
      <c r="D1528" s="166"/>
      <c r="E1528" s="166"/>
      <c r="F1528" s="166"/>
      <c r="G1528" s="166"/>
      <c r="H1528" s="166"/>
      <c r="I1528" s="166"/>
      <c r="J1528" s="166"/>
      <c r="K1528" s="166"/>
      <c r="L1528" s="166"/>
      <c r="M1528" s="166"/>
      <c r="N1528" s="166"/>
      <c r="O1528" s="166"/>
      <c r="P1528" s="166"/>
      <c r="Q1528" s="73"/>
      <c r="R1528" s="23"/>
      <c r="S1528" s="23"/>
      <c r="T1528" s="73"/>
      <c r="U1528" s="73"/>
      <c r="V1528" s="73"/>
    </row>
    <row r="1529" spans="2:22" x14ac:dyDescent="0.2">
      <c r="B1529" s="165" t="s">
        <v>10507</v>
      </c>
      <c r="C1529" s="165"/>
      <c r="D1529" s="165"/>
      <c r="E1529" s="165"/>
      <c r="F1529" s="165"/>
      <c r="G1529" s="165"/>
      <c r="H1529" s="165"/>
      <c r="I1529" s="165"/>
      <c r="J1529" s="165"/>
      <c r="K1529" s="165"/>
      <c r="L1529" s="165"/>
      <c r="M1529" s="165"/>
      <c r="N1529" s="165"/>
      <c r="O1529" s="165"/>
      <c r="P1529" s="165"/>
      <c r="Q1529" s="73"/>
      <c r="R1529" s="23"/>
      <c r="S1529" s="23"/>
      <c r="T1529" s="73"/>
      <c r="U1529" s="73"/>
      <c r="V1529" s="73"/>
    </row>
    <row r="1530" spans="2:22" x14ac:dyDescent="0.2">
      <c r="B1530" s="73" t="s">
        <v>10507</v>
      </c>
      <c r="C1530" s="33" t="s">
        <v>1265</v>
      </c>
      <c r="D1530" s="23" t="s">
        <v>1266</v>
      </c>
      <c r="E1530" s="73"/>
      <c r="F1530" s="73"/>
      <c r="G1530" s="73"/>
      <c r="H1530" s="73"/>
      <c r="I1530" s="73"/>
      <c r="J1530" s="33" t="s">
        <v>9374</v>
      </c>
      <c r="K1530" s="33" t="s">
        <v>11016</v>
      </c>
      <c r="L1530" s="33" t="s">
        <v>121</v>
      </c>
      <c r="M1530" s="33" t="s">
        <v>9376</v>
      </c>
      <c r="N1530" s="73"/>
      <c r="O1530" s="73"/>
      <c r="P1530" s="73"/>
      <c r="Q1530" s="75"/>
      <c r="R1530" s="75"/>
      <c r="S1530" s="75"/>
      <c r="T1530" s="75"/>
      <c r="U1530" s="75"/>
      <c r="V1530" s="75"/>
    </row>
    <row r="1531" spans="2:22" x14ac:dyDescent="0.2">
      <c r="B1531" s="166"/>
      <c r="C1531" s="166"/>
      <c r="D1531" s="166"/>
      <c r="E1531" s="166"/>
      <c r="F1531" s="166"/>
      <c r="G1531" s="166"/>
      <c r="H1531" s="166"/>
      <c r="I1531" s="166"/>
      <c r="J1531" s="166"/>
      <c r="K1531" s="166"/>
      <c r="L1531" s="166"/>
      <c r="M1531" s="166"/>
      <c r="N1531" s="166"/>
      <c r="O1531" s="166"/>
      <c r="P1531" s="166"/>
      <c r="Q1531" s="76"/>
      <c r="R1531" s="76"/>
      <c r="S1531" s="76"/>
      <c r="T1531" s="76"/>
      <c r="U1531" s="76"/>
      <c r="V1531" s="76"/>
    </row>
    <row r="1532" spans="2:22" x14ac:dyDescent="0.2">
      <c r="B1532" s="165" t="s">
        <v>10510</v>
      </c>
      <c r="C1532" s="165"/>
      <c r="D1532" s="165"/>
      <c r="E1532" s="165"/>
      <c r="F1532" s="165"/>
      <c r="G1532" s="165"/>
      <c r="H1532" s="165"/>
      <c r="I1532" s="165"/>
      <c r="J1532" s="165"/>
      <c r="K1532" s="165"/>
      <c r="L1532" s="165"/>
      <c r="M1532" s="165"/>
      <c r="N1532" s="165"/>
      <c r="O1532" s="165"/>
      <c r="P1532" s="165"/>
      <c r="Q1532" s="73"/>
      <c r="R1532" s="23"/>
      <c r="S1532" s="23"/>
      <c r="T1532" s="73"/>
      <c r="U1532" s="73"/>
      <c r="V1532" s="73"/>
    </row>
    <row r="1533" spans="2:22" x14ac:dyDescent="0.2">
      <c r="B1533" s="73" t="s">
        <v>10510</v>
      </c>
      <c r="C1533" s="33" t="s">
        <v>1267</v>
      </c>
      <c r="D1533" s="23" t="s">
        <v>1268</v>
      </c>
      <c r="E1533" s="73"/>
      <c r="F1533" s="73"/>
      <c r="G1533" s="73"/>
      <c r="H1533" s="73"/>
      <c r="I1533" s="73"/>
      <c r="J1533" s="33" t="s">
        <v>9374</v>
      </c>
      <c r="K1533" s="33" t="s">
        <v>11016</v>
      </c>
      <c r="L1533" s="33" t="s">
        <v>121</v>
      </c>
      <c r="M1533" s="33" t="s">
        <v>9376</v>
      </c>
      <c r="N1533" s="73"/>
      <c r="O1533" s="73"/>
      <c r="P1533" s="73"/>
      <c r="Q1533" s="73"/>
      <c r="R1533" s="23"/>
      <c r="S1533" s="23"/>
      <c r="T1533" s="73"/>
      <c r="U1533" s="73"/>
      <c r="V1533" s="73"/>
    </row>
    <row r="1534" spans="2:22" ht="20.399999999999999" x14ac:dyDescent="0.2">
      <c r="B1534" s="166"/>
      <c r="C1534" s="166"/>
      <c r="D1534" s="166"/>
      <c r="E1534" s="166"/>
      <c r="F1534" s="166"/>
      <c r="G1534" s="166"/>
      <c r="H1534" s="166"/>
      <c r="I1534" s="166"/>
      <c r="J1534" s="166"/>
      <c r="K1534" s="166"/>
      <c r="L1534" s="166"/>
      <c r="M1534" s="166"/>
      <c r="N1534" s="166"/>
      <c r="O1534" s="166"/>
      <c r="P1534" s="166"/>
      <c r="Q1534" s="73" t="s">
        <v>11201</v>
      </c>
      <c r="R1534" s="23"/>
      <c r="S1534" s="23"/>
      <c r="T1534" s="73"/>
      <c r="U1534" s="73"/>
      <c r="V1534" s="73"/>
    </row>
    <row r="1535" spans="2:22" x14ac:dyDescent="0.2">
      <c r="B1535" s="165" t="s">
        <v>10512</v>
      </c>
      <c r="C1535" s="165"/>
      <c r="D1535" s="165"/>
      <c r="E1535" s="165"/>
      <c r="F1535" s="165"/>
      <c r="G1535" s="165"/>
      <c r="H1535" s="165"/>
      <c r="I1535" s="165"/>
      <c r="J1535" s="165"/>
      <c r="K1535" s="165"/>
      <c r="L1535" s="165"/>
      <c r="M1535" s="165"/>
      <c r="N1535" s="165"/>
      <c r="O1535" s="165"/>
      <c r="P1535" s="165"/>
      <c r="Q1535" s="73"/>
      <c r="R1535" s="23"/>
      <c r="S1535" s="23"/>
      <c r="T1535" s="73"/>
      <c r="U1535" s="73"/>
      <c r="V1535" s="73"/>
    </row>
    <row r="1536" spans="2:22" x14ac:dyDescent="0.2">
      <c r="B1536" s="73" t="s">
        <v>10512</v>
      </c>
      <c r="C1536" s="33" t="s">
        <v>1269</v>
      </c>
      <c r="D1536" s="23" t="s">
        <v>1270</v>
      </c>
      <c r="E1536" s="73"/>
      <c r="F1536" s="73"/>
      <c r="G1536" s="73"/>
      <c r="H1536" s="73"/>
      <c r="I1536" s="73"/>
      <c r="J1536" s="33" t="s">
        <v>9374</v>
      </c>
      <c r="K1536" s="33" t="s">
        <v>11016</v>
      </c>
      <c r="L1536" s="33" t="s">
        <v>121</v>
      </c>
      <c r="M1536" s="33" t="s">
        <v>9376</v>
      </c>
      <c r="N1536" s="73"/>
      <c r="O1536" s="73"/>
      <c r="P1536" s="73"/>
      <c r="Q1536" s="73"/>
      <c r="R1536" s="23"/>
      <c r="S1536" s="23"/>
      <c r="T1536" s="73"/>
      <c r="U1536" s="73"/>
      <c r="V1536" s="73"/>
    </row>
    <row r="1537" spans="2:22" x14ac:dyDescent="0.2">
      <c r="B1537" s="166"/>
      <c r="C1537" s="166"/>
      <c r="D1537" s="166"/>
      <c r="E1537" s="166"/>
      <c r="F1537" s="166"/>
      <c r="G1537" s="166"/>
      <c r="H1537" s="166"/>
      <c r="I1537" s="166"/>
      <c r="J1537" s="166"/>
      <c r="K1537" s="166"/>
      <c r="L1537" s="166"/>
      <c r="M1537" s="166"/>
      <c r="N1537" s="166"/>
      <c r="O1537" s="166"/>
      <c r="P1537" s="166"/>
      <c r="Q1537" s="75"/>
      <c r="R1537" s="75"/>
      <c r="S1537" s="75"/>
      <c r="T1537" s="75"/>
      <c r="U1537" s="75"/>
      <c r="V1537" s="75"/>
    </row>
    <row r="1538" spans="2:22" x14ac:dyDescent="0.2">
      <c r="B1538" s="165" t="s">
        <v>10514</v>
      </c>
      <c r="C1538" s="165"/>
      <c r="D1538" s="165"/>
      <c r="E1538" s="165"/>
      <c r="F1538" s="165"/>
      <c r="G1538" s="165"/>
      <c r="H1538" s="165"/>
      <c r="I1538" s="165"/>
      <c r="J1538" s="165"/>
      <c r="K1538" s="165"/>
      <c r="L1538" s="165"/>
      <c r="M1538" s="165"/>
      <c r="N1538" s="165"/>
      <c r="O1538" s="165"/>
      <c r="P1538" s="165"/>
      <c r="Q1538" s="76"/>
      <c r="R1538" s="76"/>
      <c r="S1538" s="76"/>
      <c r="T1538" s="76"/>
      <c r="U1538" s="76"/>
      <c r="V1538" s="76"/>
    </row>
    <row r="1539" spans="2:22" x14ac:dyDescent="0.2">
      <c r="B1539" s="73" t="s">
        <v>10514</v>
      </c>
      <c r="C1539" s="33" t="s">
        <v>1271</v>
      </c>
      <c r="D1539" s="23" t="s">
        <v>1272</v>
      </c>
      <c r="E1539" s="73"/>
      <c r="F1539" s="73"/>
      <c r="G1539" s="73"/>
      <c r="H1539" s="73"/>
      <c r="I1539" s="73"/>
      <c r="J1539" s="33" t="s">
        <v>9374</v>
      </c>
      <c r="K1539" s="33" t="s">
        <v>11016</v>
      </c>
      <c r="L1539" s="33" t="s">
        <v>121</v>
      </c>
      <c r="M1539" s="33" t="s">
        <v>9376</v>
      </c>
      <c r="N1539" s="73"/>
      <c r="O1539" s="73"/>
      <c r="P1539" s="73"/>
      <c r="Q1539" s="73"/>
      <c r="R1539" s="23"/>
      <c r="S1539" s="23"/>
      <c r="T1539" s="73"/>
      <c r="U1539" s="73"/>
      <c r="V1539" s="73"/>
    </row>
    <row r="1540" spans="2:22" x14ac:dyDescent="0.2">
      <c r="B1540" s="166"/>
      <c r="C1540" s="166"/>
      <c r="D1540" s="166"/>
      <c r="E1540" s="166"/>
      <c r="F1540" s="166"/>
      <c r="G1540" s="166"/>
      <c r="H1540" s="166"/>
      <c r="I1540" s="166"/>
      <c r="J1540" s="166"/>
      <c r="K1540" s="166"/>
      <c r="L1540" s="166"/>
      <c r="M1540" s="166"/>
      <c r="N1540" s="166"/>
      <c r="O1540" s="166"/>
      <c r="P1540" s="166"/>
      <c r="Q1540" s="73"/>
      <c r="R1540" s="23"/>
      <c r="S1540" s="23"/>
      <c r="T1540" s="73"/>
      <c r="U1540" s="73"/>
      <c r="V1540" s="73"/>
    </row>
    <row r="1541" spans="2:22" ht="20.399999999999999" x14ac:dyDescent="0.2">
      <c r="B1541" s="165" t="s">
        <v>10516</v>
      </c>
      <c r="C1541" s="165"/>
      <c r="D1541" s="165"/>
      <c r="E1541" s="165"/>
      <c r="F1541" s="165"/>
      <c r="G1541" s="165"/>
      <c r="H1541" s="165"/>
      <c r="I1541" s="165"/>
      <c r="J1541" s="165"/>
      <c r="K1541" s="165"/>
      <c r="L1541" s="165"/>
      <c r="M1541" s="165"/>
      <c r="N1541" s="165"/>
      <c r="O1541" s="165"/>
      <c r="P1541" s="165"/>
      <c r="Q1541" s="73" t="s">
        <v>11201</v>
      </c>
      <c r="R1541" s="23"/>
      <c r="S1541" s="23"/>
      <c r="T1541" s="73"/>
      <c r="U1541" s="73"/>
      <c r="V1541" s="73"/>
    </row>
    <row r="1542" spans="2:22" x14ac:dyDescent="0.2">
      <c r="B1542" s="73" t="s">
        <v>10516</v>
      </c>
      <c r="C1542" s="33" t="s">
        <v>1273</v>
      </c>
      <c r="D1542" s="23" t="s">
        <v>1274</v>
      </c>
      <c r="E1542" s="73"/>
      <c r="F1542" s="73"/>
      <c r="G1542" s="73"/>
      <c r="H1542" s="73"/>
      <c r="I1542" s="73"/>
      <c r="J1542" s="33" t="s">
        <v>9374</v>
      </c>
      <c r="K1542" s="33" t="s">
        <v>9375</v>
      </c>
      <c r="L1542" s="33" t="s">
        <v>121</v>
      </c>
      <c r="M1542" s="33" t="s">
        <v>9376</v>
      </c>
      <c r="N1542" s="73"/>
      <c r="O1542" s="73"/>
      <c r="P1542" s="73"/>
      <c r="Q1542" s="73"/>
      <c r="R1542" s="23"/>
      <c r="S1542" s="23"/>
      <c r="T1542" s="73"/>
      <c r="U1542" s="73"/>
      <c r="V1542" s="73"/>
    </row>
    <row r="1543" spans="2:22" x14ac:dyDescent="0.2">
      <c r="B1543" s="166"/>
      <c r="C1543" s="166"/>
      <c r="D1543" s="166"/>
      <c r="E1543" s="166"/>
      <c r="F1543" s="166"/>
      <c r="G1543" s="166"/>
      <c r="H1543" s="166"/>
      <c r="I1543" s="166"/>
      <c r="J1543" s="166"/>
      <c r="K1543" s="166"/>
      <c r="L1543" s="166"/>
      <c r="M1543" s="166"/>
      <c r="N1543" s="166"/>
      <c r="O1543" s="166"/>
      <c r="P1543" s="166"/>
      <c r="Q1543" s="73"/>
      <c r="R1543" s="23"/>
      <c r="S1543" s="23"/>
      <c r="T1543" s="73"/>
      <c r="U1543" s="73"/>
      <c r="V1543" s="73"/>
    </row>
    <row r="1544" spans="2:22" x14ac:dyDescent="0.2">
      <c r="B1544" s="165" t="s">
        <v>10519</v>
      </c>
      <c r="C1544" s="165"/>
      <c r="D1544" s="165"/>
      <c r="E1544" s="165"/>
      <c r="F1544" s="165"/>
      <c r="G1544" s="165"/>
      <c r="H1544" s="165"/>
      <c r="I1544" s="165"/>
      <c r="J1544" s="165"/>
      <c r="K1544" s="165"/>
      <c r="L1544" s="165"/>
      <c r="M1544" s="165"/>
      <c r="N1544" s="165"/>
      <c r="O1544" s="165"/>
      <c r="P1544" s="165"/>
      <c r="Q1544" s="75"/>
      <c r="R1544" s="75"/>
      <c r="S1544" s="75"/>
      <c r="T1544" s="75"/>
      <c r="U1544" s="75"/>
      <c r="V1544" s="75"/>
    </row>
    <row r="1545" spans="2:22" x14ac:dyDescent="0.2">
      <c r="B1545" s="73" t="s">
        <v>10519</v>
      </c>
      <c r="C1545" s="33" t="s">
        <v>1275</v>
      </c>
      <c r="D1545" s="23" t="s">
        <v>1276</v>
      </c>
      <c r="E1545" s="73"/>
      <c r="F1545" s="73"/>
      <c r="G1545" s="73"/>
      <c r="H1545" s="73"/>
      <c r="I1545" s="73"/>
      <c r="J1545" s="33" t="s">
        <v>9374</v>
      </c>
      <c r="K1545" s="33" t="s">
        <v>11016</v>
      </c>
      <c r="L1545" s="33" t="s">
        <v>121</v>
      </c>
      <c r="M1545" s="33" t="s">
        <v>9376</v>
      </c>
      <c r="N1545" s="73"/>
      <c r="O1545" s="73"/>
      <c r="P1545" s="73"/>
      <c r="Q1545" s="76"/>
      <c r="R1545" s="76"/>
      <c r="S1545" s="76"/>
      <c r="T1545" s="76"/>
      <c r="U1545" s="76"/>
      <c r="V1545" s="76"/>
    </row>
    <row r="1546" spans="2:22" x14ac:dyDescent="0.2">
      <c r="B1546" s="166"/>
      <c r="C1546" s="166"/>
      <c r="D1546" s="166"/>
      <c r="E1546" s="166"/>
      <c r="F1546" s="166"/>
      <c r="G1546" s="166"/>
      <c r="H1546" s="166"/>
      <c r="I1546" s="166"/>
      <c r="J1546" s="166"/>
      <c r="K1546" s="166"/>
      <c r="L1546" s="166"/>
      <c r="M1546" s="166"/>
      <c r="N1546" s="166"/>
      <c r="O1546" s="166"/>
      <c r="P1546" s="166"/>
      <c r="Q1546" s="73"/>
      <c r="R1546" s="23"/>
      <c r="S1546" s="23"/>
      <c r="T1546" s="73"/>
      <c r="U1546" s="73"/>
      <c r="V1546" s="73"/>
    </row>
    <row r="1547" spans="2:22" x14ac:dyDescent="0.2">
      <c r="B1547" s="165" t="s">
        <v>10521</v>
      </c>
      <c r="C1547" s="165"/>
      <c r="D1547" s="165"/>
      <c r="E1547" s="165"/>
      <c r="F1547" s="165"/>
      <c r="G1547" s="165"/>
      <c r="H1547" s="165"/>
      <c r="I1547" s="165"/>
      <c r="J1547" s="165"/>
      <c r="K1547" s="165"/>
      <c r="L1547" s="165"/>
      <c r="M1547" s="165"/>
      <c r="N1547" s="165"/>
      <c r="O1547" s="165"/>
      <c r="P1547" s="165"/>
      <c r="Q1547" s="73"/>
      <c r="R1547" s="23"/>
      <c r="S1547" s="23"/>
      <c r="T1547" s="73"/>
      <c r="U1547" s="73"/>
      <c r="V1547" s="73"/>
    </row>
    <row r="1548" spans="2:22" ht="20.399999999999999" x14ac:dyDescent="0.2">
      <c r="B1548" s="73" t="s">
        <v>10521</v>
      </c>
      <c r="C1548" s="33" t="s">
        <v>1277</v>
      </c>
      <c r="D1548" s="23" t="s">
        <v>1278</v>
      </c>
      <c r="E1548" s="73"/>
      <c r="F1548" s="73"/>
      <c r="G1548" s="73"/>
      <c r="H1548" s="73"/>
      <c r="I1548" s="73"/>
      <c r="J1548" s="33" t="s">
        <v>9374</v>
      </c>
      <c r="K1548" s="33" t="s">
        <v>9375</v>
      </c>
      <c r="L1548" s="33" t="s">
        <v>121</v>
      </c>
      <c r="M1548" s="33" t="s">
        <v>9376</v>
      </c>
      <c r="N1548" s="73"/>
      <c r="O1548" s="73"/>
      <c r="P1548" s="73"/>
      <c r="Q1548" s="73" t="s">
        <v>11201</v>
      </c>
      <c r="R1548" s="23"/>
      <c r="S1548" s="23"/>
      <c r="T1548" s="73"/>
      <c r="U1548" s="73"/>
      <c r="V1548" s="73"/>
    </row>
    <row r="1549" spans="2:22" x14ac:dyDescent="0.2">
      <c r="B1549" s="166"/>
      <c r="C1549" s="166"/>
      <c r="D1549" s="166"/>
      <c r="E1549" s="166"/>
      <c r="F1549" s="166"/>
      <c r="G1549" s="166"/>
      <c r="H1549" s="166"/>
      <c r="I1549" s="166"/>
      <c r="J1549" s="166"/>
      <c r="K1549" s="166"/>
      <c r="L1549" s="166"/>
      <c r="M1549" s="166"/>
      <c r="N1549" s="166"/>
      <c r="O1549" s="166"/>
      <c r="P1549" s="166"/>
      <c r="Q1549" s="73"/>
      <c r="R1549" s="23"/>
      <c r="S1549" s="23"/>
      <c r="T1549" s="73"/>
      <c r="U1549" s="73"/>
      <c r="V1549" s="73"/>
    </row>
    <row r="1550" spans="2:22" x14ac:dyDescent="0.2">
      <c r="B1550" s="165" t="s">
        <v>10524</v>
      </c>
      <c r="C1550" s="165"/>
      <c r="D1550" s="165"/>
      <c r="E1550" s="165"/>
      <c r="F1550" s="165"/>
      <c r="G1550" s="165"/>
      <c r="H1550" s="165"/>
      <c r="I1550" s="165"/>
      <c r="J1550" s="165"/>
      <c r="K1550" s="165"/>
      <c r="L1550" s="165"/>
      <c r="M1550" s="165"/>
      <c r="N1550" s="165"/>
      <c r="O1550" s="165"/>
      <c r="P1550" s="165"/>
      <c r="Q1550" s="73"/>
      <c r="R1550" s="23"/>
      <c r="S1550" s="23"/>
      <c r="T1550" s="73"/>
      <c r="U1550" s="73"/>
      <c r="V1550" s="73"/>
    </row>
    <row r="1551" spans="2:22" x14ac:dyDescent="0.2">
      <c r="B1551" s="73" t="s">
        <v>10524</v>
      </c>
      <c r="C1551" s="33" t="s">
        <v>1279</v>
      </c>
      <c r="D1551" s="23" t="s">
        <v>1280</v>
      </c>
      <c r="E1551" s="73"/>
      <c r="F1551" s="73"/>
      <c r="G1551" s="73"/>
      <c r="H1551" s="73"/>
      <c r="I1551" s="73"/>
      <c r="J1551" s="33" t="s">
        <v>9374</v>
      </c>
      <c r="K1551" s="33" t="s">
        <v>9375</v>
      </c>
      <c r="L1551" s="33" t="s">
        <v>121</v>
      </c>
      <c r="M1551" s="33" t="s">
        <v>9376</v>
      </c>
      <c r="N1551" s="73"/>
      <c r="O1551" s="73"/>
      <c r="P1551" s="73"/>
      <c r="Q1551" s="73"/>
      <c r="R1551" s="23"/>
      <c r="S1551" s="23"/>
      <c r="T1551" s="73"/>
      <c r="U1551" s="73"/>
      <c r="V1551" s="73"/>
    </row>
    <row r="1552" spans="2:22" x14ac:dyDescent="0.2">
      <c r="B1552" s="166"/>
      <c r="C1552" s="166"/>
      <c r="D1552" s="166"/>
      <c r="E1552" s="166"/>
      <c r="F1552" s="166"/>
      <c r="G1552" s="166"/>
      <c r="H1552" s="166"/>
      <c r="I1552" s="166"/>
      <c r="J1552" s="166"/>
      <c r="K1552" s="166"/>
      <c r="L1552" s="166"/>
      <c r="M1552" s="166"/>
      <c r="N1552" s="166"/>
      <c r="O1552" s="166"/>
      <c r="P1552" s="166"/>
      <c r="Q1552" s="75"/>
      <c r="R1552" s="75"/>
      <c r="S1552" s="75"/>
      <c r="T1552" s="75"/>
      <c r="U1552" s="75"/>
      <c r="V1552" s="75"/>
    </row>
    <row r="1553" spans="2:22" x14ac:dyDescent="0.2">
      <c r="B1553" s="165" t="s">
        <v>10527</v>
      </c>
      <c r="C1553" s="165"/>
      <c r="D1553" s="165"/>
      <c r="E1553" s="165"/>
      <c r="F1553" s="165"/>
      <c r="G1553" s="165"/>
      <c r="H1553" s="165"/>
      <c r="I1553" s="165"/>
      <c r="J1553" s="165"/>
      <c r="K1553" s="165"/>
      <c r="L1553" s="165"/>
      <c r="M1553" s="165"/>
      <c r="N1553" s="165"/>
      <c r="O1553" s="165"/>
      <c r="P1553" s="165"/>
      <c r="Q1553" s="76"/>
      <c r="R1553" s="76"/>
      <c r="S1553" s="76"/>
      <c r="T1553" s="76"/>
      <c r="U1553" s="76"/>
      <c r="V1553" s="76"/>
    </row>
    <row r="1554" spans="2:22" x14ac:dyDescent="0.2">
      <c r="B1554" s="73" t="s">
        <v>10527</v>
      </c>
      <c r="C1554" s="33" t="s">
        <v>1281</v>
      </c>
      <c r="D1554" s="23" t="s">
        <v>1282</v>
      </c>
      <c r="E1554" s="73"/>
      <c r="F1554" s="73"/>
      <c r="G1554" s="73"/>
      <c r="H1554" s="73"/>
      <c r="I1554" s="73"/>
      <c r="J1554" s="33" t="s">
        <v>9374</v>
      </c>
      <c r="K1554" s="33" t="s">
        <v>11016</v>
      </c>
      <c r="L1554" s="33" t="s">
        <v>121</v>
      </c>
      <c r="M1554" s="33" t="s">
        <v>9376</v>
      </c>
      <c r="N1554" s="73"/>
      <c r="O1554" s="73"/>
      <c r="P1554" s="73"/>
      <c r="Q1554" s="73"/>
      <c r="R1554" s="23"/>
      <c r="S1554" s="23"/>
      <c r="T1554" s="73"/>
      <c r="U1554" s="73"/>
      <c r="V1554" s="73"/>
    </row>
    <row r="1555" spans="2:22" x14ac:dyDescent="0.2">
      <c r="B1555" s="166"/>
      <c r="C1555" s="166"/>
      <c r="D1555" s="166"/>
      <c r="E1555" s="166"/>
      <c r="F1555" s="166"/>
      <c r="G1555" s="166"/>
      <c r="H1555" s="166"/>
      <c r="I1555" s="166"/>
      <c r="J1555" s="166"/>
      <c r="K1555" s="166"/>
      <c r="L1555" s="166"/>
      <c r="M1555" s="166"/>
      <c r="N1555" s="166"/>
      <c r="O1555" s="166"/>
      <c r="P1555" s="166"/>
      <c r="Q1555" s="73"/>
      <c r="R1555" s="23"/>
      <c r="S1555" s="23"/>
      <c r="T1555" s="73"/>
      <c r="U1555" s="73"/>
      <c r="V1555" s="73"/>
    </row>
    <row r="1556" spans="2:22" x14ac:dyDescent="0.2">
      <c r="B1556" s="165" t="s">
        <v>10529</v>
      </c>
      <c r="C1556" s="165"/>
      <c r="D1556" s="165"/>
      <c r="E1556" s="165"/>
      <c r="F1556" s="165"/>
      <c r="G1556" s="165"/>
      <c r="H1556" s="165"/>
      <c r="I1556" s="165"/>
      <c r="J1556" s="165"/>
      <c r="K1556" s="165"/>
      <c r="L1556" s="165"/>
      <c r="M1556" s="165"/>
      <c r="N1556" s="165"/>
      <c r="O1556" s="165"/>
      <c r="P1556" s="165"/>
      <c r="Q1556" s="75"/>
      <c r="R1556" s="75"/>
      <c r="S1556" s="75"/>
      <c r="T1556" s="75"/>
      <c r="U1556" s="75"/>
      <c r="V1556" s="75"/>
    </row>
    <row r="1557" spans="2:22" x14ac:dyDescent="0.2">
      <c r="B1557" s="73" t="s">
        <v>10529</v>
      </c>
      <c r="C1557" s="33" t="s">
        <v>1283</v>
      </c>
      <c r="D1557" s="23" t="s">
        <v>1284</v>
      </c>
      <c r="E1557" s="73"/>
      <c r="F1557" s="73"/>
      <c r="G1557" s="73"/>
      <c r="H1557" s="73"/>
      <c r="I1557" s="73"/>
      <c r="J1557" s="33" t="s">
        <v>9374</v>
      </c>
      <c r="K1557" s="33" t="s">
        <v>9375</v>
      </c>
      <c r="L1557" s="33" t="s">
        <v>121</v>
      </c>
      <c r="M1557" s="33" t="s">
        <v>9376</v>
      </c>
      <c r="N1557" s="73"/>
      <c r="O1557" s="73"/>
      <c r="P1557" s="73"/>
      <c r="Q1557" s="76"/>
      <c r="R1557" s="76"/>
      <c r="S1557" s="76"/>
      <c r="T1557" s="76"/>
      <c r="U1557" s="76"/>
      <c r="V1557" s="76"/>
    </row>
    <row r="1558" spans="2:22" x14ac:dyDescent="0.2">
      <c r="B1558" s="166"/>
      <c r="C1558" s="166"/>
      <c r="D1558" s="166"/>
      <c r="E1558" s="166"/>
      <c r="F1558" s="166"/>
      <c r="G1558" s="166"/>
      <c r="H1558" s="166"/>
      <c r="I1558" s="166"/>
      <c r="J1558" s="166"/>
      <c r="K1558" s="166"/>
      <c r="L1558" s="166"/>
      <c r="M1558" s="166"/>
      <c r="N1558" s="166"/>
      <c r="O1558" s="166"/>
      <c r="P1558" s="166"/>
      <c r="Q1558" s="73"/>
      <c r="R1558" s="23"/>
      <c r="S1558" s="23"/>
      <c r="T1558" s="73"/>
      <c r="U1558" s="73"/>
      <c r="V1558" s="73"/>
    </row>
    <row r="1559" spans="2:22" x14ac:dyDescent="0.2">
      <c r="B1559" s="165" t="s">
        <v>10532</v>
      </c>
      <c r="C1559" s="165"/>
      <c r="D1559" s="165"/>
      <c r="E1559" s="165"/>
      <c r="F1559" s="165"/>
      <c r="G1559" s="165"/>
      <c r="H1559" s="165"/>
      <c r="I1559" s="165"/>
      <c r="J1559" s="165"/>
      <c r="K1559" s="165"/>
      <c r="L1559" s="165"/>
      <c r="M1559" s="165"/>
      <c r="N1559" s="165"/>
      <c r="O1559" s="165"/>
      <c r="P1559" s="165"/>
      <c r="Q1559" s="73"/>
      <c r="R1559" s="23"/>
      <c r="S1559" s="23"/>
      <c r="T1559" s="73"/>
      <c r="U1559" s="73"/>
      <c r="V1559" s="73"/>
    </row>
    <row r="1560" spans="2:22" x14ac:dyDescent="0.2">
      <c r="B1560" s="73" t="s">
        <v>10532</v>
      </c>
      <c r="C1560" s="33" t="s">
        <v>1285</v>
      </c>
      <c r="D1560" s="23" t="s">
        <v>1286</v>
      </c>
      <c r="E1560" s="73"/>
      <c r="F1560" s="73"/>
      <c r="G1560" s="73"/>
      <c r="H1560" s="73"/>
      <c r="I1560" s="73"/>
      <c r="J1560" s="33" t="s">
        <v>9374</v>
      </c>
      <c r="K1560" s="33" t="s">
        <v>11016</v>
      </c>
      <c r="L1560" s="33" t="s">
        <v>121</v>
      </c>
      <c r="M1560" s="33" t="s">
        <v>9376</v>
      </c>
      <c r="N1560" s="73"/>
      <c r="O1560" s="73"/>
      <c r="P1560" s="73"/>
      <c r="Q1560" s="75"/>
      <c r="R1560" s="75"/>
      <c r="S1560" s="75"/>
      <c r="T1560" s="75"/>
      <c r="U1560" s="75"/>
      <c r="V1560" s="75"/>
    </row>
    <row r="1561" spans="2:22" x14ac:dyDescent="0.2">
      <c r="B1561" s="166"/>
      <c r="C1561" s="166"/>
      <c r="D1561" s="166"/>
      <c r="E1561" s="166"/>
      <c r="F1561" s="166"/>
      <c r="G1561" s="166"/>
      <c r="H1561" s="166"/>
      <c r="I1561" s="166"/>
      <c r="J1561" s="166"/>
      <c r="K1561" s="166"/>
      <c r="L1561" s="166"/>
      <c r="M1561" s="166"/>
      <c r="N1561" s="166"/>
      <c r="O1561" s="166"/>
      <c r="P1561" s="166"/>
      <c r="Q1561" s="76"/>
      <c r="R1561" s="76"/>
      <c r="S1561" s="76"/>
      <c r="T1561" s="76"/>
      <c r="U1561" s="76"/>
      <c r="V1561" s="76"/>
    </row>
    <row r="1562" spans="2:22" x14ac:dyDescent="0.2">
      <c r="B1562" s="165" t="s">
        <v>10534</v>
      </c>
      <c r="C1562" s="165"/>
      <c r="D1562" s="165"/>
      <c r="E1562" s="165"/>
      <c r="F1562" s="165"/>
      <c r="G1562" s="165"/>
      <c r="H1562" s="165"/>
      <c r="I1562" s="165"/>
      <c r="J1562" s="165"/>
      <c r="K1562" s="165"/>
      <c r="L1562" s="165"/>
      <c r="M1562" s="165"/>
      <c r="N1562" s="165"/>
      <c r="O1562" s="165"/>
      <c r="P1562" s="165"/>
      <c r="Q1562" s="73"/>
      <c r="R1562" s="23"/>
      <c r="S1562" s="23"/>
      <c r="T1562" s="73"/>
      <c r="U1562" s="73"/>
      <c r="V1562" s="73"/>
    </row>
    <row r="1563" spans="2:22" x14ac:dyDescent="0.2">
      <c r="B1563" s="73" t="s">
        <v>10534</v>
      </c>
      <c r="C1563" s="33" t="s">
        <v>1287</v>
      </c>
      <c r="D1563" s="23" t="s">
        <v>1288</v>
      </c>
      <c r="E1563" s="73"/>
      <c r="F1563" s="73"/>
      <c r="G1563" s="73"/>
      <c r="H1563" s="73"/>
      <c r="I1563" s="73"/>
      <c r="J1563" s="33" t="s">
        <v>9374</v>
      </c>
      <c r="K1563" s="33" t="s">
        <v>9375</v>
      </c>
      <c r="L1563" s="33" t="s">
        <v>121</v>
      </c>
      <c r="M1563" s="33" t="s">
        <v>9376</v>
      </c>
      <c r="N1563" s="73"/>
      <c r="O1563" s="73"/>
      <c r="P1563" s="73"/>
      <c r="Q1563" s="73"/>
      <c r="R1563" s="23"/>
      <c r="S1563" s="23"/>
      <c r="T1563" s="73"/>
      <c r="U1563" s="73"/>
      <c r="V1563" s="73"/>
    </row>
    <row r="1564" spans="2:22" x14ac:dyDescent="0.2">
      <c r="B1564" s="73" t="s">
        <v>10534</v>
      </c>
      <c r="C1564" s="33" t="s">
        <v>1844</v>
      </c>
      <c r="D1564" s="23" t="s">
        <v>1845</v>
      </c>
      <c r="E1564" s="73" t="s">
        <v>11169</v>
      </c>
      <c r="F1564" s="73" t="s">
        <v>10902</v>
      </c>
      <c r="G1564" s="73"/>
      <c r="H1564" s="73" t="s">
        <v>11006</v>
      </c>
      <c r="I1564" s="73"/>
      <c r="J1564" s="33" t="s">
        <v>9374</v>
      </c>
      <c r="K1564" s="33" t="s">
        <v>9375</v>
      </c>
      <c r="L1564" s="33" t="s">
        <v>121</v>
      </c>
      <c r="M1564" s="33" t="s">
        <v>9376</v>
      </c>
      <c r="N1564" s="73"/>
      <c r="O1564" s="73"/>
      <c r="P1564" s="73"/>
      <c r="Q1564" s="75"/>
      <c r="R1564" s="75"/>
      <c r="S1564" s="75"/>
      <c r="T1564" s="75"/>
      <c r="U1564" s="75"/>
      <c r="V1564" s="75"/>
    </row>
    <row r="1565" spans="2:22" x14ac:dyDescent="0.2">
      <c r="B1565" s="73" t="s">
        <v>10534</v>
      </c>
      <c r="C1565" s="33" t="s">
        <v>1848</v>
      </c>
      <c r="D1565" s="23" t="s">
        <v>1849</v>
      </c>
      <c r="E1565" s="73" t="s">
        <v>11202</v>
      </c>
      <c r="F1565" s="73" t="s">
        <v>10902</v>
      </c>
      <c r="G1565" s="73"/>
      <c r="H1565" s="73" t="s">
        <v>11006</v>
      </c>
      <c r="I1565" s="73" t="s">
        <v>11203</v>
      </c>
      <c r="J1565" s="33" t="s">
        <v>9374</v>
      </c>
      <c r="K1565" s="33" t="s">
        <v>9375</v>
      </c>
      <c r="L1565" s="33" t="s">
        <v>121</v>
      </c>
      <c r="M1565" s="33" t="s">
        <v>9376</v>
      </c>
      <c r="N1565" s="73"/>
      <c r="O1565" s="73"/>
      <c r="P1565" s="73"/>
      <c r="Q1565" s="76"/>
      <c r="R1565" s="76"/>
      <c r="S1565" s="76"/>
      <c r="T1565" s="76"/>
      <c r="U1565" s="76"/>
      <c r="V1565" s="76"/>
    </row>
    <row r="1566" spans="2:22" x14ac:dyDescent="0.2">
      <c r="B1566" s="166"/>
      <c r="C1566" s="166"/>
      <c r="D1566" s="166"/>
      <c r="E1566" s="166"/>
      <c r="F1566" s="166"/>
      <c r="G1566" s="166"/>
      <c r="H1566" s="166"/>
      <c r="I1566" s="166"/>
      <c r="J1566" s="166"/>
      <c r="K1566" s="166"/>
      <c r="L1566" s="166"/>
      <c r="M1566" s="166"/>
      <c r="N1566" s="166"/>
      <c r="O1566" s="166"/>
      <c r="P1566" s="166"/>
      <c r="Q1566" s="73"/>
      <c r="R1566" s="23"/>
      <c r="S1566" s="23"/>
      <c r="T1566" s="73"/>
      <c r="U1566" s="73"/>
      <c r="V1566" s="73"/>
    </row>
    <row r="1567" spans="2:22" x14ac:dyDescent="0.2">
      <c r="B1567" s="165" t="s">
        <v>10537</v>
      </c>
      <c r="C1567" s="165"/>
      <c r="D1567" s="165"/>
      <c r="E1567" s="165"/>
      <c r="F1567" s="165"/>
      <c r="G1567" s="165"/>
      <c r="H1567" s="165"/>
      <c r="I1567" s="165"/>
      <c r="J1567" s="165"/>
      <c r="K1567" s="165"/>
      <c r="L1567" s="165"/>
      <c r="M1567" s="165"/>
      <c r="N1567" s="165"/>
      <c r="O1567" s="165"/>
      <c r="P1567" s="165"/>
      <c r="Q1567" s="73"/>
      <c r="R1567" s="23"/>
      <c r="S1567" s="23"/>
      <c r="T1567" s="73"/>
      <c r="U1567" s="73"/>
      <c r="V1567" s="73"/>
    </row>
    <row r="1568" spans="2:22" x14ac:dyDescent="0.2">
      <c r="B1568" s="73" t="s">
        <v>10537</v>
      </c>
      <c r="C1568" s="33" t="s">
        <v>1289</v>
      </c>
      <c r="D1568" s="23" t="s">
        <v>1290</v>
      </c>
      <c r="E1568" s="73"/>
      <c r="F1568" s="73"/>
      <c r="G1568" s="73"/>
      <c r="H1568" s="73"/>
      <c r="I1568" s="73"/>
      <c r="J1568" s="33" t="s">
        <v>9374</v>
      </c>
      <c r="K1568" s="33" t="s">
        <v>9375</v>
      </c>
      <c r="L1568" s="33" t="s">
        <v>121</v>
      </c>
      <c r="M1568" s="33" t="s">
        <v>9376</v>
      </c>
      <c r="N1568" s="73"/>
      <c r="O1568" s="73"/>
      <c r="P1568" s="73"/>
      <c r="Q1568" s="75"/>
      <c r="R1568" s="75"/>
      <c r="S1568" s="75"/>
      <c r="T1568" s="75"/>
      <c r="U1568" s="75"/>
      <c r="V1568" s="75"/>
    </row>
    <row r="1569" spans="2:22" x14ac:dyDescent="0.2">
      <c r="B1569" s="73" t="s">
        <v>10537</v>
      </c>
      <c r="C1569" s="33" t="s">
        <v>1858</v>
      </c>
      <c r="D1569" s="23" t="s">
        <v>1859</v>
      </c>
      <c r="E1569" s="73" t="s">
        <v>11172</v>
      </c>
      <c r="F1569" s="73" t="s">
        <v>10902</v>
      </c>
      <c r="G1569" s="73"/>
      <c r="H1569" s="73" t="s">
        <v>11173</v>
      </c>
      <c r="I1569" s="73"/>
      <c r="J1569" s="33" t="s">
        <v>9374</v>
      </c>
      <c r="K1569" s="33" t="s">
        <v>9375</v>
      </c>
      <c r="L1569" s="33" t="s">
        <v>121</v>
      </c>
      <c r="M1569" s="33" t="s">
        <v>9376</v>
      </c>
      <c r="N1569" s="73"/>
      <c r="O1569" s="73"/>
      <c r="P1569" s="73"/>
      <c r="Q1569" s="76"/>
      <c r="R1569" s="76"/>
      <c r="S1569" s="76"/>
      <c r="T1569" s="76"/>
      <c r="U1569" s="76"/>
      <c r="V1569" s="76"/>
    </row>
    <row r="1570" spans="2:22" ht="20.399999999999999" x14ac:dyDescent="0.2">
      <c r="B1570" s="73" t="s">
        <v>10537</v>
      </c>
      <c r="C1570" s="33" t="s">
        <v>1862</v>
      </c>
      <c r="D1570" s="23" t="s">
        <v>1863</v>
      </c>
      <c r="E1570" s="73" t="s">
        <v>11204</v>
      </c>
      <c r="F1570" s="73" t="s">
        <v>10902</v>
      </c>
      <c r="G1570" s="73"/>
      <c r="H1570" s="73" t="s">
        <v>11173</v>
      </c>
      <c r="I1570" s="73" t="s">
        <v>11205</v>
      </c>
      <c r="J1570" s="33" t="s">
        <v>9374</v>
      </c>
      <c r="K1570" s="33" t="s">
        <v>9375</v>
      </c>
      <c r="L1570" s="33" t="s">
        <v>121</v>
      </c>
      <c r="M1570" s="33" t="s">
        <v>9376</v>
      </c>
      <c r="N1570" s="73"/>
      <c r="O1570" s="73"/>
      <c r="P1570" s="73"/>
      <c r="Q1570" s="73"/>
      <c r="R1570" s="23"/>
      <c r="S1570" s="23"/>
      <c r="T1570" s="73"/>
      <c r="U1570" s="73"/>
      <c r="V1570" s="73"/>
    </row>
    <row r="1571" spans="2:22" x14ac:dyDescent="0.2">
      <c r="B1571" s="166"/>
      <c r="C1571" s="166"/>
      <c r="D1571" s="166"/>
      <c r="E1571" s="166"/>
      <c r="F1571" s="166"/>
      <c r="G1571" s="166"/>
      <c r="H1571" s="166"/>
      <c r="I1571" s="166"/>
      <c r="J1571" s="166"/>
      <c r="K1571" s="166"/>
      <c r="L1571" s="166"/>
      <c r="M1571" s="166"/>
      <c r="N1571" s="166"/>
      <c r="O1571" s="166"/>
      <c r="P1571" s="166"/>
      <c r="Q1571" s="73"/>
      <c r="R1571" s="23"/>
      <c r="S1571" s="23"/>
      <c r="T1571" s="73"/>
      <c r="U1571" s="73"/>
      <c r="V1571" s="73"/>
    </row>
    <row r="1572" spans="2:22" x14ac:dyDescent="0.2">
      <c r="B1572" s="165" t="s">
        <v>10540</v>
      </c>
      <c r="C1572" s="165"/>
      <c r="D1572" s="165"/>
      <c r="E1572" s="165"/>
      <c r="F1572" s="165"/>
      <c r="G1572" s="165"/>
      <c r="H1572" s="165"/>
      <c r="I1572" s="165"/>
      <c r="J1572" s="165"/>
      <c r="K1572" s="165"/>
      <c r="L1572" s="165"/>
      <c r="M1572" s="165"/>
      <c r="N1572" s="165"/>
      <c r="O1572" s="165"/>
      <c r="P1572" s="165"/>
      <c r="Q1572" s="75"/>
      <c r="R1572" s="75"/>
      <c r="S1572" s="75"/>
      <c r="T1572" s="75"/>
      <c r="U1572" s="75"/>
      <c r="V1572" s="75"/>
    </row>
    <row r="1573" spans="2:22" x14ac:dyDescent="0.2">
      <c r="B1573" s="73" t="s">
        <v>10540</v>
      </c>
      <c r="C1573" s="33" t="s">
        <v>1291</v>
      </c>
      <c r="D1573" s="23" t="s">
        <v>1292</v>
      </c>
      <c r="E1573" s="73"/>
      <c r="F1573" s="73"/>
      <c r="G1573" s="73"/>
      <c r="H1573" s="73"/>
      <c r="I1573" s="73"/>
      <c r="J1573" s="33" t="s">
        <v>9374</v>
      </c>
      <c r="K1573" s="33" t="s">
        <v>9375</v>
      </c>
      <c r="L1573" s="33" t="s">
        <v>121</v>
      </c>
      <c r="M1573" s="33" t="s">
        <v>9376</v>
      </c>
      <c r="N1573" s="73"/>
      <c r="O1573" s="73"/>
      <c r="P1573" s="73"/>
      <c r="Q1573" s="76"/>
      <c r="R1573" s="76"/>
      <c r="S1573" s="76"/>
      <c r="T1573" s="76"/>
      <c r="U1573" s="76"/>
      <c r="V1573" s="76"/>
    </row>
    <row r="1574" spans="2:22" x14ac:dyDescent="0.2">
      <c r="B1574" s="73" t="s">
        <v>10540</v>
      </c>
      <c r="C1574" s="33" t="s">
        <v>1958</v>
      </c>
      <c r="D1574" s="23" t="s">
        <v>1959</v>
      </c>
      <c r="E1574" s="73" t="s">
        <v>11206</v>
      </c>
      <c r="F1574" s="73" t="s">
        <v>10902</v>
      </c>
      <c r="G1574" s="73"/>
      <c r="H1574" s="73" t="s">
        <v>11207</v>
      </c>
      <c r="I1574" s="73" t="s">
        <v>11208</v>
      </c>
      <c r="J1574" s="33" t="s">
        <v>9374</v>
      </c>
      <c r="K1574" s="33" t="s">
        <v>9375</v>
      </c>
      <c r="L1574" s="33" t="s">
        <v>121</v>
      </c>
      <c r="M1574" s="33" t="s">
        <v>9376</v>
      </c>
      <c r="N1574" s="73"/>
      <c r="O1574" s="73"/>
      <c r="P1574" s="73"/>
      <c r="Q1574" s="73"/>
      <c r="R1574" s="23"/>
      <c r="S1574" s="23"/>
      <c r="T1574" s="73"/>
      <c r="U1574" s="73"/>
      <c r="V1574" s="73"/>
    </row>
    <row r="1575" spans="2:22" x14ac:dyDescent="0.2">
      <c r="B1575" s="166"/>
      <c r="C1575" s="166"/>
      <c r="D1575" s="166"/>
      <c r="E1575" s="166"/>
      <c r="F1575" s="166"/>
      <c r="G1575" s="166"/>
      <c r="H1575" s="166"/>
      <c r="I1575" s="166"/>
      <c r="J1575" s="166"/>
      <c r="K1575" s="166"/>
      <c r="L1575" s="166"/>
      <c r="M1575" s="166"/>
      <c r="N1575" s="166"/>
      <c r="O1575" s="166"/>
      <c r="P1575" s="166"/>
      <c r="Q1575" s="75"/>
      <c r="R1575" s="75"/>
      <c r="S1575" s="75"/>
      <c r="T1575" s="75"/>
      <c r="U1575" s="75"/>
      <c r="V1575" s="75"/>
    </row>
    <row r="1576" spans="2:22" x14ac:dyDescent="0.2">
      <c r="B1576" s="165" t="s">
        <v>10543</v>
      </c>
      <c r="C1576" s="165"/>
      <c r="D1576" s="165"/>
      <c r="E1576" s="165"/>
      <c r="F1576" s="165"/>
      <c r="G1576" s="165"/>
      <c r="H1576" s="165"/>
      <c r="I1576" s="165"/>
      <c r="J1576" s="165"/>
      <c r="K1576" s="165"/>
      <c r="L1576" s="165"/>
      <c r="M1576" s="165"/>
      <c r="N1576" s="165"/>
      <c r="O1576" s="165"/>
      <c r="P1576" s="165"/>
      <c r="Q1576" s="76"/>
      <c r="R1576" s="76"/>
      <c r="S1576" s="76"/>
      <c r="T1576" s="76"/>
      <c r="U1576" s="76"/>
      <c r="V1576" s="76"/>
    </row>
    <row r="1577" spans="2:22" x14ac:dyDescent="0.2">
      <c r="B1577" s="73" t="s">
        <v>10543</v>
      </c>
      <c r="C1577" s="33" t="s">
        <v>1293</v>
      </c>
      <c r="D1577" s="23" t="s">
        <v>1294</v>
      </c>
      <c r="E1577" s="73"/>
      <c r="F1577" s="73"/>
      <c r="G1577" s="73"/>
      <c r="H1577" s="73"/>
      <c r="I1577" s="73"/>
      <c r="J1577" s="33" t="s">
        <v>9374</v>
      </c>
      <c r="K1577" s="33" t="s">
        <v>9375</v>
      </c>
      <c r="L1577" s="33" t="s">
        <v>121</v>
      </c>
      <c r="M1577" s="33" t="s">
        <v>9376</v>
      </c>
      <c r="N1577" s="73"/>
      <c r="O1577" s="73"/>
      <c r="P1577" s="73"/>
      <c r="Q1577" s="73"/>
      <c r="R1577" s="23"/>
      <c r="S1577" s="23"/>
      <c r="T1577" s="73"/>
      <c r="U1577" s="73"/>
      <c r="V1577" s="73"/>
    </row>
    <row r="1578" spans="2:22" x14ac:dyDescent="0.2">
      <c r="B1578" s="166"/>
      <c r="C1578" s="166"/>
      <c r="D1578" s="166"/>
      <c r="E1578" s="166"/>
      <c r="F1578" s="166"/>
      <c r="G1578" s="166"/>
      <c r="H1578" s="166"/>
      <c r="I1578" s="166"/>
      <c r="J1578" s="166"/>
      <c r="K1578" s="166"/>
      <c r="L1578" s="166"/>
      <c r="M1578" s="166"/>
      <c r="N1578" s="166"/>
      <c r="O1578" s="166"/>
      <c r="P1578" s="166"/>
      <c r="Q1578" s="73"/>
      <c r="R1578" s="23"/>
      <c r="S1578" s="23"/>
      <c r="T1578" s="73"/>
      <c r="U1578" s="73"/>
      <c r="V1578" s="73"/>
    </row>
    <row r="1579" spans="2:22" x14ac:dyDescent="0.2">
      <c r="B1579" s="165" t="s">
        <v>10545</v>
      </c>
      <c r="C1579" s="165"/>
      <c r="D1579" s="165"/>
      <c r="E1579" s="165"/>
      <c r="F1579" s="165"/>
      <c r="G1579" s="165"/>
      <c r="H1579" s="165"/>
      <c r="I1579" s="165"/>
      <c r="J1579" s="165"/>
      <c r="K1579" s="165"/>
      <c r="L1579" s="165"/>
      <c r="M1579" s="165"/>
      <c r="N1579" s="165"/>
      <c r="O1579" s="165"/>
      <c r="P1579" s="165"/>
      <c r="Q1579" s="75"/>
      <c r="R1579" s="75"/>
      <c r="S1579" s="75"/>
      <c r="T1579" s="75"/>
      <c r="U1579" s="75"/>
      <c r="V1579" s="75"/>
    </row>
    <row r="1580" spans="2:22" x14ac:dyDescent="0.2">
      <c r="B1580" s="73" t="s">
        <v>10545</v>
      </c>
      <c r="C1580" s="33" t="s">
        <v>1296</v>
      </c>
      <c r="D1580" s="23" t="s">
        <v>1297</v>
      </c>
      <c r="E1580" s="73"/>
      <c r="F1580" s="73"/>
      <c r="G1580" s="73"/>
      <c r="H1580" s="73"/>
      <c r="I1580" s="73"/>
      <c r="J1580" s="33" t="s">
        <v>9374</v>
      </c>
      <c r="K1580" s="33" t="s">
        <v>9375</v>
      </c>
      <c r="L1580" s="33" t="s">
        <v>121</v>
      </c>
      <c r="M1580" s="33" t="s">
        <v>9376</v>
      </c>
      <c r="N1580" s="73"/>
      <c r="O1580" s="73"/>
      <c r="P1580" s="73"/>
      <c r="Q1580" s="76"/>
      <c r="R1580" s="76"/>
      <c r="S1580" s="76"/>
      <c r="T1580" s="76"/>
      <c r="U1580" s="76"/>
      <c r="V1580" s="76"/>
    </row>
    <row r="1581" spans="2:22" x14ac:dyDescent="0.2">
      <c r="B1581" s="73" t="s">
        <v>10545</v>
      </c>
      <c r="C1581" s="33" t="s">
        <v>1760</v>
      </c>
      <c r="D1581" s="23" t="s">
        <v>1761</v>
      </c>
      <c r="E1581" s="73" t="s">
        <v>11176</v>
      </c>
      <c r="F1581" s="73" t="s">
        <v>10902</v>
      </c>
      <c r="G1581" s="73"/>
      <c r="H1581" s="73" t="s">
        <v>10917</v>
      </c>
      <c r="I1581" s="73"/>
      <c r="J1581" s="33" t="s">
        <v>9374</v>
      </c>
      <c r="K1581" s="33" t="s">
        <v>9375</v>
      </c>
      <c r="L1581" s="33" t="s">
        <v>121</v>
      </c>
      <c r="M1581" s="33" t="s">
        <v>9376</v>
      </c>
      <c r="N1581" s="73"/>
      <c r="O1581" s="73"/>
      <c r="P1581" s="73"/>
      <c r="Q1581" s="73"/>
      <c r="R1581" s="23"/>
      <c r="S1581" s="23"/>
      <c r="T1581" s="73"/>
      <c r="U1581" s="73"/>
      <c r="V1581" s="73"/>
    </row>
    <row r="1582" spans="2:22" x14ac:dyDescent="0.2">
      <c r="B1582" s="73" t="s">
        <v>10545</v>
      </c>
      <c r="C1582" s="33" t="s">
        <v>1765</v>
      </c>
      <c r="D1582" s="23" t="s">
        <v>1766</v>
      </c>
      <c r="E1582" s="73"/>
      <c r="F1582" s="73"/>
      <c r="G1582" s="73"/>
      <c r="H1582" s="73"/>
      <c r="I1582" s="73"/>
      <c r="J1582" s="33" t="s">
        <v>9374</v>
      </c>
      <c r="K1582" s="33" t="s">
        <v>9375</v>
      </c>
      <c r="L1582" s="33" t="s">
        <v>121</v>
      </c>
      <c r="M1582" s="33" t="s">
        <v>9376</v>
      </c>
      <c r="N1582" s="73"/>
      <c r="O1582" s="73"/>
      <c r="P1582" s="73"/>
      <c r="Q1582" s="75"/>
      <c r="R1582" s="75"/>
      <c r="S1582" s="75"/>
      <c r="T1582" s="75"/>
      <c r="U1582" s="75"/>
      <c r="V1582" s="75"/>
    </row>
    <row r="1583" spans="2:22" x14ac:dyDescent="0.2">
      <c r="B1583" s="73" t="s">
        <v>10545</v>
      </c>
      <c r="C1583" s="33" t="s">
        <v>1767</v>
      </c>
      <c r="D1583" s="23" t="s">
        <v>1768</v>
      </c>
      <c r="E1583" s="73" t="s">
        <v>11003</v>
      </c>
      <c r="F1583" s="73" t="s">
        <v>10902</v>
      </c>
      <c r="G1583" s="73"/>
      <c r="H1583" s="73" t="s">
        <v>11004</v>
      </c>
      <c r="I1583" s="73" t="s">
        <v>11209</v>
      </c>
      <c r="J1583" s="33" t="s">
        <v>9374</v>
      </c>
      <c r="K1583" s="33" t="s">
        <v>9375</v>
      </c>
      <c r="L1583" s="33" t="s">
        <v>121</v>
      </c>
      <c r="M1583" s="33" t="s">
        <v>9376</v>
      </c>
      <c r="N1583" s="73"/>
      <c r="O1583" s="73"/>
      <c r="P1583" s="73"/>
      <c r="Q1583" s="76"/>
      <c r="R1583" s="76"/>
      <c r="S1583" s="76"/>
      <c r="T1583" s="76"/>
      <c r="U1583" s="76"/>
      <c r="V1583" s="76"/>
    </row>
    <row r="1584" spans="2:22" x14ac:dyDescent="0.2">
      <c r="B1584" s="166"/>
      <c r="C1584" s="166"/>
      <c r="D1584" s="166"/>
      <c r="E1584" s="166"/>
      <c r="F1584" s="166"/>
      <c r="G1584" s="166"/>
      <c r="H1584" s="166"/>
      <c r="I1584" s="166"/>
      <c r="J1584" s="166"/>
      <c r="K1584" s="166"/>
      <c r="L1584" s="166"/>
      <c r="M1584" s="166"/>
      <c r="N1584" s="166"/>
      <c r="O1584" s="166"/>
      <c r="P1584" s="166"/>
      <c r="Q1584" s="73"/>
      <c r="R1584" s="23"/>
      <c r="S1584" s="23"/>
      <c r="T1584" s="73"/>
      <c r="U1584" s="73"/>
      <c r="V1584" s="73"/>
    </row>
    <row r="1585" spans="2:22" x14ac:dyDescent="0.2">
      <c r="B1585" s="165" t="s">
        <v>10548</v>
      </c>
      <c r="C1585" s="165"/>
      <c r="D1585" s="165"/>
      <c r="E1585" s="165"/>
      <c r="F1585" s="165"/>
      <c r="G1585" s="165"/>
      <c r="H1585" s="165"/>
      <c r="I1585" s="165"/>
      <c r="J1585" s="165"/>
      <c r="K1585" s="165"/>
      <c r="L1585" s="165"/>
      <c r="M1585" s="165"/>
      <c r="N1585" s="165"/>
      <c r="O1585" s="165"/>
      <c r="P1585" s="165"/>
      <c r="Q1585" s="75"/>
      <c r="R1585" s="75"/>
      <c r="S1585" s="75"/>
      <c r="T1585" s="75"/>
      <c r="U1585" s="75"/>
      <c r="V1585" s="75"/>
    </row>
    <row r="1586" spans="2:22" x14ac:dyDescent="0.2">
      <c r="B1586" s="73" t="s">
        <v>10548</v>
      </c>
      <c r="C1586" s="33" t="s">
        <v>1298</v>
      </c>
      <c r="D1586" s="23" t="s">
        <v>1299</v>
      </c>
      <c r="E1586" s="73"/>
      <c r="F1586" s="73"/>
      <c r="G1586" s="73"/>
      <c r="H1586" s="73"/>
      <c r="I1586" s="73"/>
      <c r="J1586" s="33" t="s">
        <v>9374</v>
      </c>
      <c r="K1586" s="33" t="s">
        <v>11016</v>
      </c>
      <c r="L1586" s="33" t="s">
        <v>121</v>
      </c>
      <c r="M1586" s="33" t="s">
        <v>9376</v>
      </c>
      <c r="N1586" s="73"/>
      <c r="O1586" s="73"/>
      <c r="P1586" s="73"/>
      <c r="Q1586" s="76"/>
      <c r="R1586" s="76"/>
      <c r="S1586" s="76"/>
      <c r="T1586" s="76"/>
      <c r="U1586" s="76"/>
      <c r="V1586" s="76"/>
    </row>
    <row r="1587" spans="2:22" x14ac:dyDescent="0.2">
      <c r="B1587" s="166"/>
      <c r="C1587" s="166"/>
      <c r="D1587" s="166"/>
      <c r="E1587" s="166"/>
      <c r="F1587" s="166"/>
      <c r="G1587" s="166"/>
      <c r="H1587" s="166"/>
      <c r="I1587" s="166"/>
      <c r="J1587" s="166"/>
      <c r="K1587" s="166"/>
      <c r="L1587" s="166"/>
      <c r="M1587" s="166"/>
      <c r="N1587" s="166"/>
      <c r="O1587" s="166"/>
      <c r="P1587" s="166"/>
      <c r="Q1587" s="73"/>
      <c r="R1587" s="23"/>
      <c r="S1587" s="23"/>
      <c r="T1587" s="73"/>
      <c r="U1587" s="73"/>
      <c r="V1587" s="73"/>
    </row>
    <row r="1588" spans="2:22" x14ac:dyDescent="0.2">
      <c r="B1588" s="165" t="s">
        <v>10550</v>
      </c>
      <c r="C1588" s="165"/>
      <c r="D1588" s="165"/>
      <c r="E1588" s="165"/>
      <c r="F1588" s="165"/>
      <c r="G1588" s="165"/>
      <c r="H1588" s="165"/>
      <c r="I1588" s="165"/>
      <c r="J1588" s="165"/>
      <c r="K1588" s="165"/>
      <c r="L1588" s="165"/>
      <c r="M1588" s="165"/>
      <c r="N1588" s="165"/>
      <c r="O1588" s="165"/>
      <c r="P1588" s="165"/>
      <c r="Q1588" s="73"/>
      <c r="R1588" s="23"/>
      <c r="S1588" s="23"/>
      <c r="T1588" s="73"/>
      <c r="U1588" s="73"/>
      <c r="V1588" s="73"/>
    </row>
    <row r="1589" spans="2:22" x14ac:dyDescent="0.2">
      <c r="B1589" s="73" t="s">
        <v>10550</v>
      </c>
      <c r="C1589" s="33" t="s">
        <v>1300</v>
      </c>
      <c r="D1589" s="23" t="s">
        <v>1301</v>
      </c>
      <c r="E1589" s="73"/>
      <c r="F1589" s="73"/>
      <c r="G1589" s="73"/>
      <c r="H1589" s="73"/>
      <c r="I1589" s="73"/>
      <c r="J1589" s="33" t="s">
        <v>9374</v>
      </c>
      <c r="K1589" s="33" t="s">
        <v>11016</v>
      </c>
      <c r="L1589" s="33" t="s">
        <v>121</v>
      </c>
      <c r="M1589" s="33" t="s">
        <v>9376</v>
      </c>
      <c r="N1589" s="73"/>
      <c r="O1589" s="73"/>
      <c r="P1589" s="73"/>
      <c r="Q1589" s="75"/>
      <c r="R1589" s="75"/>
      <c r="S1589" s="75"/>
      <c r="T1589" s="75"/>
      <c r="U1589" s="75"/>
      <c r="V1589" s="75"/>
    </row>
    <row r="1590" spans="2:22" x14ac:dyDescent="0.2">
      <c r="B1590" s="166"/>
      <c r="C1590" s="166"/>
      <c r="D1590" s="166"/>
      <c r="E1590" s="166"/>
      <c r="F1590" s="166"/>
      <c r="G1590" s="166"/>
      <c r="H1590" s="166"/>
      <c r="I1590" s="166"/>
      <c r="J1590" s="166"/>
      <c r="K1590" s="166"/>
      <c r="L1590" s="166"/>
      <c r="M1590" s="166"/>
      <c r="N1590" s="166"/>
      <c r="O1590" s="166"/>
      <c r="P1590" s="166"/>
      <c r="Q1590" s="76"/>
      <c r="R1590" s="76"/>
      <c r="S1590" s="76"/>
      <c r="T1590" s="76"/>
      <c r="U1590" s="76"/>
      <c r="V1590" s="76"/>
    </row>
    <row r="1591" spans="2:22" x14ac:dyDescent="0.2">
      <c r="B1591" s="165" t="s">
        <v>10552</v>
      </c>
      <c r="C1591" s="165"/>
      <c r="D1591" s="165"/>
      <c r="E1591" s="165"/>
      <c r="F1591" s="165"/>
      <c r="G1591" s="165"/>
      <c r="H1591" s="165"/>
      <c r="I1591" s="165"/>
      <c r="J1591" s="165"/>
      <c r="K1591" s="165"/>
      <c r="L1591" s="165"/>
      <c r="M1591" s="165"/>
      <c r="N1591" s="165"/>
      <c r="O1591" s="165"/>
      <c r="P1591" s="165"/>
      <c r="Q1591" s="73"/>
      <c r="R1591" s="23"/>
      <c r="S1591" s="23"/>
      <c r="T1591" s="73"/>
      <c r="U1591" s="73"/>
      <c r="V1591" s="73"/>
    </row>
    <row r="1592" spans="2:22" x14ac:dyDescent="0.2">
      <c r="B1592" s="73" t="s">
        <v>10552</v>
      </c>
      <c r="C1592" s="33" t="s">
        <v>1302</v>
      </c>
      <c r="D1592" s="23" t="s">
        <v>1303</v>
      </c>
      <c r="E1592" s="73"/>
      <c r="F1592" s="73"/>
      <c r="G1592" s="73"/>
      <c r="H1592" s="73"/>
      <c r="I1592" s="73"/>
      <c r="J1592" s="33" t="s">
        <v>9374</v>
      </c>
      <c r="K1592" s="33" t="s">
        <v>11016</v>
      </c>
      <c r="L1592" s="33" t="s">
        <v>121</v>
      </c>
      <c r="M1592" s="33" t="s">
        <v>9376</v>
      </c>
      <c r="N1592" s="73"/>
      <c r="O1592" s="73"/>
      <c r="P1592" s="73"/>
      <c r="Q1592" s="75"/>
      <c r="R1592" s="75"/>
      <c r="S1592" s="75"/>
      <c r="T1592" s="75"/>
      <c r="U1592" s="75"/>
      <c r="V1592" s="75"/>
    </row>
    <row r="1593" spans="2:22" x14ac:dyDescent="0.2">
      <c r="B1593" s="166"/>
      <c r="C1593" s="166"/>
      <c r="D1593" s="166"/>
      <c r="E1593" s="166"/>
      <c r="F1593" s="166"/>
      <c r="G1593" s="166"/>
      <c r="H1593" s="166"/>
      <c r="I1593" s="166"/>
      <c r="J1593" s="166"/>
      <c r="K1593" s="166"/>
      <c r="L1593" s="166"/>
      <c r="M1593" s="166"/>
      <c r="N1593" s="166"/>
      <c r="O1593" s="166"/>
      <c r="P1593" s="166"/>
      <c r="Q1593" s="76"/>
      <c r="R1593" s="76"/>
      <c r="S1593" s="76"/>
      <c r="T1593" s="76"/>
      <c r="U1593" s="76"/>
      <c r="V1593" s="76"/>
    </row>
    <row r="1594" spans="2:22" x14ac:dyDescent="0.2">
      <c r="B1594" s="165" t="s">
        <v>10554</v>
      </c>
      <c r="C1594" s="165"/>
      <c r="D1594" s="165"/>
      <c r="E1594" s="165"/>
      <c r="F1594" s="165"/>
      <c r="G1594" s="165"/>
      <c r="H1594" s="165"/>
      <c r="I1594" s="165"/>
      <c r="J1594" s="165"/>
      <c r="K1594" s="165"/>
      <c r="L1594" s="165"/>
      <c r="M1594" s="165"/>
      <c r="N1594" s="165"/>
      <c r="O1594" s="165"/>
      <c r="P1594" s="165"/>
      <c r="Q1594" s="73"/>
      <c r="R1594" s="23"/>
      <c r="S1594" s="23"/>
      <c r="T1594" s="73"/>
      <c r="U1594" s="73"/>
      <c r="V1594" s="73"/>
    </row>
    <row r="1595" spans="2:22" x14ac:dyDescent="0.2">
      <c r="B1595" s="73" t="s">
        <v>10554</v>
      </c>
      <c r="C1595" s="33" t="s">
        <v>1304</v>
      </c>
      <c r="D1595" s="23" t="s">
        <v>1305</v>
      </c>
      <c r="E1595" s="73"/>
      <c r="F1595" s="73"/>
      <c r="G1595" s="73"/>
      <c r="H1595" s="73"/>
      <c r="I1595" s="73"/>
      <c r="J1595" s="33" t="s">
        <v>9374</v>
      </c>
      <c r="K1595" s="33" t="s">
        <v>9375</v>
      </c>
      <c r="L1595" s="33" t="s">
        <v>121</v>
      </c>
      <c r="M1595" s="33" t="s">
        <v>9376</v>
      </c>
      <c r="N1595" s="73"/>
      <c r="O1595" s="73"/>
      <c r="P1595" s="73"/>
      <c r="Q1595" s="75"/>
      <c r="R1595" s="75"/>
      <c r="S1595" s="75"/>
      <c r="T1595" s="75"/>
      <c r="U1595" s="75"/>
      <c r="V1595" s="75"/>
    </row>
    <row r="1596" spans="2:22" x14ac:dyDescent="0.2">
      <c r="B1596" s="166"/>
      <c r="C1596" s="166"/>
      <c r="D1596" s="166"/>
      <c r="E1596" s="166"/>
      <c r="F1596" s="166"/>
      <c r="G1596" s="166"/>
      <c r="H1596" s="166"/>
      <c r="I1596" s="166"/>
      <c r="J1596" s="166"/>
      <c r="K1596" s="166"/>
      <c r="L1596" s="166"/>
      <c r="M1596" s="166"/>
      <c r="N1596" s="166"/>
      <c r="O1596" s="166"/>
      <c r="P1596" s="166"/>
      <c r="Q1596" s="76"/>
      <c r="R1596" s="76"/>
      <c r="S1596" s="76"/>
      <c r="T1596" s="76"/>
      <c r="U1596" s="76"/>
      <c r="V1596" s="76"/>
    </row>
    <row r="1597" spans="2:22" x14ac:dyDescent="0.2">
      <c r="B1597" s="165" t="s">
        <v>10556</v>
      </c>
      <c r="C1597" s="165"/>
      <c r="D1597" s="165"/>
      <c r="E1597" s="165"/>
      <c r="F1597" s="165"/>
      <c r="G1597" s="165"/>
      <c r="H1597" s="165"/>
      <c r="I1597" s="165"/>
      <c r="J1597" s="165"/>
      <c r="K1597" s="165"/>
      <c r="L1597" s="165"/>
      <c r="M1597" s="165"/>
      <c r="N1597" s="165"/>
      <c r="O1597" s="165"/>
      <c r="P1597" s="165"/>
      <c r="Q1597" s="73"/>
      <c r="R1597" s="23"/>
      <c r="S1597" s="23"/>
      <c r="T1597" s="73"/>
      <c r="U1597" s="73"/>
      <c r="V1597" s="73"/>
    </row>
    <row r="1598" spans="2:22" x14ac:dyDescent="0.2">
      <c r="B1598" s="73" t="s">
        <v>10556</v>
      </c>
      <c r="C1598" s="33" t="s">
        <v>1307</v>
      </c>
      <c r="D1598" s="23" t="s">
        <v>1308</v>
      </c>
      <c r="E1598" s="73"/>
      <c r="F1598" s="73"/>
      <c r="G1598" s="73"/>
      <c r="H1598" s="73"/>
      <c r="I1598" s="73"/>
      <c r="J1598" s="33" t="s">
        <v>9374</v>
      </c>
      <c r="K1598" s="33" t="s">
        <v>11016</v>
      </c>
      <c r="L1598" s="33" t="s">
        <v>121</v>
      </c>
      <c r="M1598" s="33" t="s">
        <v>9376</v>
      </c>
      <c r="N1598" s="73"/>
      <c r="O1598" s="73"/>
      <c r="P1598" s="73"/>
      <c r="Q1598" s="73"/>
      <c r="R1598" s="23"/>
      <c r="S1598" s="23"/>
      <c r="T1598" s="73"/>
      <c r="U1598" s="73"/>
      <c r="V1598" s="73"/>
    </row>
    <row r="1599" spans="2:22" ht="91.8" x14ac:dyDescent="0.2">
      <c r="B1599" s="73" t="s">
        <v>10556</v>
      </c>
      <c r="C1599" s="33" t="s">
        <v>1720</v>
      </c>
      <c r="D1599" s="23" t="s">
        <v>1721</v>
      </c>
      <c r="E1599" s="73" t="s">
        <v>11210</v>
      </c>
      <c r="F1599" s="73" t="s">
        <v>10902</v>
      </c>
      <c r="G1599" s="73"/>
      <c r="H1599" s="73" t="s">
        <v>11211</v>
      </c>
      <c r="I1599" s="73" t="s">
        <v>11212</v>
      </c>
      <c r="J1599" s="33" t="s">
        <v>9374</v>
      </c>
      <c r="K1599" s="33" t="s">
        <v>11016</v>
      </c>
      <c r="L1599" s="33" t="s">
        <v>121</v>
      </c>
      <c r="M1599" s="33" t="s">
        <v>9376</v>
      </c>
      <c r="N1599" s="73"/>
      <c r="O1599" s="73"/>
      <c r="P1599" s="73"/>
      <c r="Q1599" s="75"/>
      <c r="R1599" s="75"/>
      <c r="S1599" s="75"/>
      <c r="T1599" s="75"/>
      <c r="U1599" s="75"/>
      <c r="V1599" s="75"/>
    </row>
    <row r="1600" spans="2:22" x14ac:dyDescent="0.2">
      <c r="B1600" s="166"/>
      <c r="C1600" s="166"/>
      <c r="D1600" s="166"/>
      <c r="E1600" s="166"/>
      <c r="F1600" s="166"/>
      <c r="G1600" s="166"/>
      <c r="H1600" s="166"/>
      <c r="I1600" s="166"/>
      <c r="J1600" s="166"/>
      <c r="K1600" s="166"/>
      <c r="L1600" s="166"/>
      <c r="M1600" s="166"/>
      <c r="N1600" s="166"/>
      <c r="O1600" s="166"/>
      <c r="P1600" s="166"/>
      <c r="Q1600" s="76"/>
      <c r="R1600" s="76"/>
      <c r="S1600" s="76"/>
      <c r="T1600" s="76"/>
      <c r="U1600" s="76"/>
      <c r="V1600" s="76"/>
    </row>
    <row r="1601" spans="2:22" x14ac:dyDescent="0.2">
      <c r="B1601" s="165" t="s">
        <v>10558</v>
      </c>
      <c r="C1601" s="165"/>
      <c r="D1601" s="165"/>
      <c r="E1601" s="165"/>
      <c r="F1601" s="165"/>
      <c r="G1601" s="165"/>
      <c r="H1601" s="165"/>
      <c r="I1601" s="165"/>
      <c r="J1601" s="165"/>
      <c r="K1601" s="165"/>
      <c r="L1601" s="165"/>
      <c r="M1601" s="165"/>
      <c r="N1601" s="165"/>
      <c r="O1601" s="165"/>
      <c r="P1601" s="165"/>
      <c r="Q1601" s="73"/>
      <c r="R1601" s="23"/>
      <c r="S1601" s="23"/>
      <c r="T1601" s="73"/>
      <c r="U1601" s="73"/>
      <c r="V1601" s="73"/>
    </row>
    <row r="1602" spans="2:22" x14ac:dyDescent="0.2">
      <c r="B1602" s="73" t="s">
        <v>10558</v>
      </c>
      <c r="C1602" s="33" t="s">
        <v>1309</v>
      </c>
      <c r="D1602" s="23" t="s">
        <v>1310</v>
      </c>
      <c r="E1602" s="73"/>
      <c r="F1602" s="73"/>
      <c r="G1602" s="73"/>
      <c r="H1602" s="73"/>
      <c r="I1602" s="73"/>
      <c r="J1602" s="33" t="s">
        <v>9374</v>
      </c>
      <c r="K1602" s="33" t="s">
        <v>11016</v>
      </c>
      <c r="L1602" s="33" t="s">
        <v>121</v>
      </c>
      <c r="M1602" s="33" t="s">
        <v>9376</v>
      </c>
      <c r="N1602" s="73"/>
      <c r="O1602" s="73"/>
      <c r="P1602" s="73"/>
      <c r="Q1602" s="73"/>
      <c r="R1602" s="23"/>
      <c r="S1602" s="23"/>
      <c r="T1602" s="73"/>
      <c r="U1602" s="73"/>
      <c r="V1602" s="73"/>
    </row>
    <row r="1603" spans="2:22" x14ac:dyDescent="0.2">
      <c r="B1603" s="166"/>
      <c r="C1603" s="166"/>
      <c r="D1603" s="166"/>
      <c r="E1603" s="166"/>
      <c r="F1603" s="166"/>
      <c r="G1603" s="166"/>
      <c r="H1603" s="166"/>
      <c r="I1603" s="166"/>
      <c r="J1603" s="166"/>
      <c r="K1603" s="166"/>
      <c r="L1603" s="166"/>
      <c r="M1603" s="166"/>
      <c r="N1603" s="166"/>
      <c r="O1603" s="166"/>
      <c r="P1603" s="166"/>
      <c r="Q1603" s="75"/>
      <c r="R1603" s="75"/>
      <c r="S1603" s="75"/>
      <c r="T1603" s="75"/>
      <c r="U1603" s="75"/>
      <c r="V1603" s="75"/>
    </row>
    <row r="1604" spans="2:22" x14ac:dyDescent="0.2">
      <c r="B1604" s="165" t="s">
        <v>10560</v>
      </c>
      <c r="C1604" s="165"/>
      <c r="D1604" s="165"/>
      <c r="E1604" s="165"/>
      <c r="F1604" s="165"/>
      <c r="G1604" s="165"/>
      <c r="H1604" s="165"/>
      <c r="I1604" s="165"/>
      <c r="J1604" s="165"/>
      <c r="K1604" s="165"/>
      <c r="L1604" s="165"/>
      <c r="M1604" s="165"/>
      <c r="N1604" s="165"/>
      <c r="O1604" s="165"/>
      <c r="P1604" s="165"/>
      <c r="Q1604" s="76"/>
      <c r="R1604" s="76"/>
      <c r="S1604" s="76"/>
      <c r="T1604" s="76"/>
      <c r="U1604" s="76"/>
      <c r="V1604" s="76"/>
    </row>
    <row r="1605" spans="2:22" x14ac:dyDescent="0.2">
      <c r="B1605" s="73" t="s">
        <v>10560</v>
      </c>
      <c r="C1605" s="33" t="s">
        <v>1311</v>
      </c>
      <c r="D1605" s="23" t="s">
        <v>1312</v>
      </c>
      <c r="E1605" s="73"/>
      <c r="F1605" s="73"/>
      <c r="G1605" s="73"/>
      <c r="H1605" s="73"/>
      <c r="I1605" s="73"/>
      <c r="J1605" s="33" t="s">
        <v>9374</v>
      </c>
      <c r="K1605" s="33" t="s">
        <v>11016</v>
      </c>
      <c r="L1605" s="33" t="s">
        <v>121</v>
      </c>
      <c r="M1605" s="33" t="s">
        <v>9376</v>
      </c>
      <c r="N1605" s="73"/>
      <c r="O1605" s="73"/>
      <c r="P1605" s="73"/>
      <c r="Q1605" s="73"/>
      <c r="R1605" s="23"/>
      <c r="S1605" s="23"/>
      <c r="T1605" s="73"/>
      <c r="U1605" s="73"/>
      <c r="V1605" s="73"/>
    </row>
    <row r="1606" spans="2:22" x14ac:dyDescent="0.2">
      <c r="B1606" s="166"/>
      <c r="C1606" s="166"/>
      <c r="D1606" s="166"/>
      <c r="E1606" s="166"/>
      <c r="F1606" s="166"/>
      <c r="G1606" s="166"/>
      <c r="H1606" s="166"/>
      <c r="I1606" s="166"/>
      <c r="J1606" s="166"/>
      <c r="K1606" s="166"/>
      <c r="L1606" s="166"/>
      <c r="M1606" s="166"/>
      <c r="N1606" s="166"/>
      <c r="O1606" s="166"/>
      <c r="P1606" s="166"/>
      <c r="Q1606" s="73"/>
      <c r="R1606" s="23"/>
      <c r="S1606" s="23"/>
      <c r="T1606" s="73"/>
      <c r="U1606" s="73"/>
      <c r="V1606" s="73"/>
    </row>
    <row r="1607" spans="2:22" x14ac:dyDescent="0.2">
      <c r="B1607" s="165" t="s">
        <v>10562</v>
      </c>
      <c r="C1607" s="165"/>
      <c r="D1607" s="165"/>
      <c r="E1607" s="165"/>
      <c r="F1607" s="165"/>
      <c r="G1607" s="165"/>
      <c r="H1607" s="165"/>
      <c r="I1607" s="165"/>
      <c r="J1607" s="165"/>
      <c r="K1607" s="165"/>
      <c r="L1607" s="165"/>
      <c r="M1607" s="165"/>
      <c r="N1607" s="165"/>
      <c r="O1607" s="165"/>
      <c r="P1607" s="165"/>
      <c r="Q1607" s="75"/>
      <c r="R1607" s="75"/>
      <c r="S1607" s="75"/>
      <c r="T1607" s="75"/>
      <c r="U1607" s="75"/>
      <c r="V1607" s="75"/>
    </row>
    <row r="1608" spans="2:22" x14ac:dyDescent="0.2">
      <c r="B1608" s="73" t="s">
        <v>10562</v>
      </c>
      <c r="C1608" s="33" t="s">
        <v>1313</v>
      </c>
      <c r="D1608" s="23" t="s">
        <v>1314</v>
      </c>
      <c r="E1608" s="73"/>
      <c r="F1608" s="73"/>
      <c r="G1608" s="73"/>
      <c r="H1608" s="73"/>
      <c r="I1608" s="73"/>
      <c r="J1608" s="33" t="s">
        <v>9374</v>
      </c>
      <c r="K1608" s="33" t="s">
        <v>11016</v>
      </c>
      <c r="L1608" s="33" t="s">
        <v>121</v>
      </c>
      <c r="M1608" s="33" t="s">
        <v>9376</v>
      </c>
      <c r="N1608" s="73"/>
      <c r="O1608" s="73"/>
      <c r="P1608" s="73"/>
      <c r="Q1608" s="76"/>
      <c r="R1608" s="76"/>
      <c r="S1608" s="76"/>
      <c r="T1608" s="76"/>
      <c r="U1608" s="76"/>
      <c r="V1608" s="76"/>
    </row>
    <row r="1609" spans="2:22" x14ac:dyDescent="0.2">
      <c r="B1609" s="166"/>
      <c r="C1609" s="166"/>
      <c r="D1609" s="166"/>
      <c r="E1609" s="166"/>
      <c r="F1609" s="166"/>
      <c r="G1609" s="166"/>
      <c r="H1609" s="166"/>
      <c r="I1609" s="166"/>
      <c r="J1609" s="166"/>
      <c r="K1609" s="166"/>
      <c r="L1609" s="166"/>
      <c r="M1609" s="166"/>
      <c r="N1609" s="166"/>
      <c r="O1609" s="166"/>
      <c r="P1609" s="166"/>
      <c r="Q1609" s="73"/>
      <c r="R1609" s="23"/>
      <c r="S1609" s="23"/>
      <c r="T1609" s="73"/>
      <c r="U1609" s="73"/>
      <c r="V1609" s="73"/>
    </row>
    <row r="1610" spans="2:22" x14ac:dyDescent="0.2">
      <c r="B1610" s="165" t="s">
        <v>10564</v>
      </c>
      <c r="C1610" s="165"/>
      <c r="D1610" s="165"/>
      <c r="E1610" s="165"/>
      <c r="F1610" s="165"/>
      <c r="G1610" s="165"/>
      <c r="H1610" s="165"/>
      <c r="I1610" s="165"/>
      <c r="J1610" s="165"/>
      <c r="K1610" s="165"/>
      <c r="L1610" s="165"/>
      <c r="M1610" s="165"/>
      <c r="N1610" s="165"/>
      <c r="O1610" s="165"/>
      <c r="P1610" s="165"/>
      <c r="Q1610" s="73"/>
      <c r="R1610" s="23"/>
      <c r="S1610" s="23"/>
      <c r="T1610" s="73"/>
      <c r="U1610" s="73"/>
      <c r="V1610" s="73"/>
    </row>
    <row r="1611" spans="2:22" x14ac:dyDescent="0.2">
      <c r="B1611" s="73" t="s">
        <v>10564</v>
      </c>
      <c r="C1611" s="33" t="s">
        <v>1315</v>
      </c>
      <c r="D1611" s="23" t="s">
        <v>1316</v>
      </c>
      <c r="E1611" s="73"/>
      <c r="F1611" s="73"/>
      <c r="G1611" s="73"/>
      <c r="H1611" s="73"/>
      <c r="I1611" s="73"/>
      <c r="J1611" s="33" t="s">
        <v>9374</v>
      </c>
      <c r="K1611" s="33" t="s">
        <v>9375</v>
      </c>
      <c r="L1611" s="33" t="s">
        <v>121</v>
      </c>
      <c r="M1611" s="33" t="s">
        <v>9376</v>
      </c>
      <c r="N1611" s="73"/>
      <c r="O1611" s="73"/>
      <c r="P1611" s="73"/>
      <c r="Q1611" s="75"/>
      <c r="R1611" s="75"/>
      <c r="S1611" s="75"/>
      <c r="T1611" s="75"/>
      <c r="U1611" s="75"/>
      <c r="V1611" s="75"/>
    </row>
    <row r="1612" spans="2:22" x14ac:dyDescent="0.2">
      <c r="B1612" s="73" t="s">
        <v>10564</v>
      </c>
      <c r="C1612" s="33" t="s">
        <v>1837</v>
      </c>
      <c r="D1612" s="23" t="s">
        <v>1838</v>
      </c>
      <c r="E1612" s="73" t="s">
        <v>11213</v>
      </c>
      <c r="F1612" s="73" t="s">
        <v>10902</v>
      </c>
      <c r="G1612" s="73"/>
      <c r="H1612" s="73" t="s">
        <v>11214</v>
      </c>
      <c r="I1612" s="73"/>
      <c r="J1612" s="33" t="s">
        <v>9374</v>
      </c>
      <c r="K1612" s="33" t="s">
        <v>9375</v>
      </c>
      <c r="L1612" s="33" t="s">
        <v>121</v>
      </c>
      <c r="M1612" s="33" t="s">
        <v>9376</v>
      </c>
      <c r="N1612" s="73"/>
      <c r="O1612" s="73"/>
      <c r="P1612" s="73"/>
      <c r="Q1612" s="76"/>
      <c r="R1612" s="76"/>
      <c r="S1612" s="76"/>
      <c r="T1612" s="76"/>
      <c r="U1612" s="76"/>
      <c r="V1612" s="76"/>
    </row>
    <row r="1613" spans="2:22" ht="409.6" x14ac:dyDescent="0.2">
      <c r="B1613" s="73" t="s">
        <v>10564</v>
      </c>
      <c r="C1613" s="33" t="s">
        <v>1839</v>
      </c>
      <c r="D1613" s="23" t="s">
        <v>1840</v>
      </c>
      <c r="E1613" s="73" t="s">
        <v>11213</v>
      </c>
      <c r="F1613" s="73" t="s">
        <v>10902</v>
      </c>
      <c r="G1613" s="73"/>
      <c r="H1613" s="73" t="s">
        <v>11214</v>
      </c>
      <c r="I1613" s="73" t="s">
        <v>11215</v>
      </c>
      <c r="J1613" s="33" t="s">
        <v>9374</v>
      </c>
      <c r="K1613" s="33" t="s">
        <v>9375</v>
      </c>
      <c r="L1613" s="33" t="s">
        <v>121</v>
      </c>
      <c r="M1613" s="33" t="s">
        <v>9376</v>
      </c>
      <c r="N1613" s="73"/>
      <c r="O1613" s="73"/>
      <c r="P1613" s="73"/>
      <c r="Q1613" s="73"/>
      <c r="R1613" s="23"/>
      <c r="S1613" s="23"/>
      <c r="T1613" s="73"/>
      <c r="U1613" s="73"/>
      <c r="V1613" s="73"/>
    </row>
    <row r="1614" spans="2:22" x14ac:dyDescent="0.2">
      <c r="B1614" s="73" t="s">
        <v>10564</v>
      </c>
      <c r="C1614" s="33" t="s">
        <v>1841</v>
      </c>
      <c r="D1614" s="23" t="s">
        <v>1842</v>
      </c>
      <c r="E1614" s="73" t="s">
        <v>11216</v>
      </c>
      <c r="F1614" s="73" t="s">
        <v>10902</v>
      </c>
      <c r="G1614" s="73"/>
      <c r="H1614" s="73" t="s">
        <v>11214</v>
      </c>
      <c r="I1614" s="73" t="s">
        <v>11217</v>
      </c>
      <c r="J1614" s="33" t="s">
        <v>9374</v>
      </c>
      <c r="K1614" s="33" t="s">
        <v>9375</v>
      </c>
      <c r="L1614" s="33" t="s">
        <v>121</v>
      </c>
      <c r="M1614" s="33" t="s">
        <v>9376</v>
      </c>
      <c r="N1614" s="73"/>
      <c r="O1614" s="73"/>
      <c r="P1614" s="73"/>
      <c r="Q1614" s="73"/>
      <c r="R1614" s="23"/>
      <c r="S1614" s="23"/>
      <c r="T1614" s="73"/>
      <c r="U1614" s="73"/>
      <c r="V1614" s="73"/>
    </row>
    <row r="1615" spans="2:22" x14ac:dyDescent="0.2">
      <c r="B1615" s="73" t="s">
        <v>10564</v>
      </c>
      <c r="C1615" s="33" t="s">
        <v>1898</v>
      </c>
      <c r="D1615" s="23" t="s">
        <v>1899</v>
      </c>
      <c r="E1615" s="73" t="s">
        <v>11083</v>
      </c>
      <c r="F1615" s="73" t="s">
        <v>10902</v>
      </c>
      <c r="G1615" s="73"/>
      <c r="H1615" s="73" t="s">
        <v>10917</v>
      </c>
      <c r="I1615" s="73"/>
      <c r="J1615" s="33" t="s">
        <v>9374</v>
      </c>
      <c r="K1615" s="33" t="s">
        <v>9375</v>
      </c>
      <c r="L1615" s="33" t="s">
        <v>121</v>
      </c>
      <c r="M1615" s="33" t="s">
        <v>9376</v>
      </c>
      <c r="N1615" s="73"/>
      <c r="O1615" s="73"/>
      <c r="P1615" s="73"/>
      <c r="Q1615" s="75"/>
      <c r="R1615" s="75"/>
      <c r="S1615" s="75"/>
      <c r="T1615" s="75"/>
      <c r="U1615" s="75"/>
      <c r="V1615" s="75"/>
    </row>
    <row r="1616" spans="2:22" x14ac:dyDescent="0.2">
      <c r="B1616" s="73" t="s">
        <v>10564</v>
      </c>
      <c r="C1616" s="33" t="s">
        <v>1913</v>
      </c>
      <c r="D1616" s="23" t="s">
        <v>1914</v>
      </c>
      <c r="E1616" s="73" t="s">
        <v>11213</v>
      </c>
      <c r="F1616" s="73" t="s">
        <v>10902</v>
      </c>
      <c r="G1616" s="73"/>
      <c r="H1616" s="73" t="s">
        <v>11214</v>
      </c>
      <c r="I1616" s="73"/>
      <c r="J1616" s="33" t="s">
        <v>9374</v>
      </c>
      <c r="K1616" s="33" t="s">
        <v>9375</v>
      </c>
      <c r="L1616" s="33" t="s">
        <v>121</v>
      </c>
      <c r="M1616" s="33" t="s">
        <v>9376</v>
      </c>
      <c r="N1616" s="73"/>
      <c r="O1616" s="73"/>
      <c r="P1616" s="73"/>
      <c r="Q1616" s="76"/>
      <c r="R1616" s="76"/>
      <c r="S1616" s="76"/>
      <c r="T1616" s="76"/>
      <c r="U1616" s="76"/>
      <c r="V1616" s="76"/>
    </row>
    <row r="1617" spans="2:22" ht="409.6" x14ac:dyDescent="0.2">
      <c r="B1617" s="73" t="s">
        <v>10564</v>
      </c>
      <c r="C1617" s="33" t="s">
        <v>11218</v>
      </c>
      <c r="D1617" s="23" t="s">
        <v>11219</v>
      </c>
      <c r="E1617" s="73" t="s">
        <v>11213</v>
      </c>
      <c r="F1617" s="73" t="s">
        <v>10902</v>
      </c>
      <c r="G1617" s="73"/>
      <c r="H1617" s="73" t="s">
        <v>11214</v>
      </c>
      <c r="I1617" s="73" t="s">
        <v>11215</v>
      </c>
      <c r="J1617" s="33" t="s">
        <v>9374</v>
      </c>
      <c r="K1617" s="33" t="s">
        <v>9375</v>
      </c>
      <c r="L1617" s="33" t="s">
        <v>121</v>
      </c>
      <c r="M1617" s="33" t="s">
        <v>9376</v>
      </c>
      <c r="N1617" s="73"/>
      <c r="O1617" s="73"/>
      <c r="P1617" s="73"/>
      <c r="Q1617" s="73"/>
      <c r="R1617" s="23"/>
      <c r="S1617" s="23"/>
      <c r="T1617" s="73"/>
      <c r="U1617" s="73"/>
      <c r="V1617" s="73"/>
    </row>
    <row r="1618" spans="2:22" x14ac:dyDescent="0.2">
      <c r="B1618" s="166"/>
      <c r="C1618" s="166"/>
      <c r="D1618" s="166"/>
      <c r="E1618" s="166"/>
      <c r="F1618" s="166"/>
      <c r="G1618" s="166"/>
      <c r="H1618" s="166"/>
      <c r="I1618" s="166"/>
      <c r="J1618" s="166"/>
      <c r="K1618" s="166"/>
      <c r="L1618" s="166"/>
      <c r="M1618" s="166"/>
      <c r="N1618" s="166"/>
      <c r="O1618" s="166"/>
      <c r="P1618" s="166"/>
      <c r="Q1618" s="73"/>
      <c r="R1618" s="23"/>
      <c r="S1618" s="23"/>
      <c r="T1618" s="73"/>
      <c r="U1618" s="73"/>
      <c r="V1618" s="73"/>
    </row>
    <row r="1619" spans="2:22" x14ac:dyDescent="0.2">
      <c r="B1619" s="165" t="s">
        <v>10566</v>
      </c>
      <c r="C1619" s="165"/>
      <c r="D1619" s="165"/>
      <c r="E1619" s="165"/>
      <c r="F1619" s="165"/>
      <c r="G1619" s="165"/>
      <c r="H1619" s="165"/>
      <c r="I1619" s="165"/>
      <c r="J1619" s="165"/>
      <c r="K1619" s="165"/>
      <c r="L1619" s="165"/>
      <c r="M1619" s="165"/>
      <c r="N1619" s="165"/>
      <c r="O1619" s="165"/>
      <c r="P1619" s="165"/>
      <c r="Q1619" s="75"/>
      <c r="R1619" s="75"/>
      <c r="S1619" s="75"/>
      <c r="T1619" s="75"/>
      <c r="U1619" s="75"/>
      <c r="V1619" s="75"/>
    </row>
    <row r="1620" spans="2:22" x14ac:dyDescent="0.2">
      <c r="B1620" s="73" t="s">
        <v>10566</v>
      </c>
      <c r="C1620" s="33" t="s">
        <v>1317</v>
      </c>
      <c r="D1620" s="23" t="s">
        <v>1318</v>
      </c>
      <c r="E1620" s="73"/>
      <c r="F1620" s="73"/>
      <c r="G1620" s="73"/>
      <c r="H1620" s="73"/>
      <c r="I1620" s="73"/>
      <c r="J1620" s="33" t="s">
        <v>9374</v>
      </c>
      <c r="K1620" s="33" t="s">
        <v>9375</v>
      </c>
      <c r="L1620" s="33" t="s">
        <v>121</v>
      </c>
      <c r="M1620" s="33" t="s">
        <v>9376</v>
      </c>
      <c r="N1620" s="73"/>
      <c r="O1620" s="73"/>
      <c r="P1620" s="73"/>
      <c r="Q1620" s="76"/>
      <c r="R1620" s="76"/>
      <c r="S1620" s="76"/>
      <c r="T1620" s="76"/>
      <c r="U1620" s="76"/>
      <c r="V1620" s="76"/>
    </row>
    <row r="1621" spans="2:22" x14ac:dyDescent="0.2">
      <c r="B1621" s="166"/>
      <c r="C1621" s="166"/>
      <c r="D1621" s="166"/>
      <c r="E1621" s="166"/>
      <c r="F1621" s="166"/>
      <c r="G1621" s="166"/>
      <c r="H1621" s="166"/>
      <c r="I1621" s="166"/>
      <c r="J1621" s="166"/>
      <c r="K1621" s="166"/>
      <c r="L1621" s="166"/>
      <c r="M1621" s="166"/>
      <c r="N1621" s="166"/>
      <c r="O1621" s="166"/>
      <c r="P1621" s="166"/>
      <c r="Q1621" s="73"/>
      <c r="R1621" s="23"/>
      <c r="S1621" s="23"/>
      <c r="T1621" s="73"/>
      <c r="U1621" s="73"/>
      <c r="V1621" s="73"/>
    </row>
    <row r="1622" spans="2:22" x14ac:dyDescent="0.2">
      <c r="B1622" s="165" t="s">
        <v>10570</v>
      </c>
      <c r="C1622" s="165"/>
      <c r="D1622" s="165"/>
      <c r="E1622" s="165"/>
      <c r="F1622" s="165"/>
      <c r="G1622" s="165"/>
      <c r="H1622" s="165"/>
      <c r="I1622" s="165"/>
      <c r="J1622" s="165"/>
      <c r="K1622" s="165"/>
      <c r="L1622" s="165"/>
      <c r="M1622" s="165"/>
      <c r="N1622" s="165"/>
      <c r="O1622" s="165"/>
      <c r="P1622" s="165"/>
      <c r="Q1622" s="73"/>
      <c r="R1622" s="23"/>
      <c r="S1622" s="23"/>
      <c r="T1622" s="73"/>
      <c r="U1622" s="73"/>
      <c r="V1622" s="73"/>
    </row>
    <row r="1623" spans="2:22" x14ac:dyDescent="0.2">
      <c r="B1623" s="73" t="s">
        <v>10570</v>
      </c>
      <c r="C1623" s="33" t="s">
        <v>1319</v>
      </c>
      <c r="D1623" s="23" t="s">
        <v>1320</v>
      </c>
      <c r="E1623" s="73"/>
      <c r="F1623" s="73"/>
      <c r="G1623" s="73"/>
      <c r="H1623" s="73"/>
      <c r="I1623" s="73"/>
      <c r="J1623" s="33" t="s">
        <v>9374</v>
      </c>
      <c r="K1623" s="33" t="s">
        <v>9375</v>
      </c>
      <c r="L1623" s="33" t="s">
        <v>121</v>
      </c>
      <c r="M1623" s="33" t="s">
        <v>9376</v>
      </c>
      <c r="N1623" s="73"/>
      <c r="O1623" s="73"/>
      <c r="P1623" s="73"/>
      <c r="Q1623" s="75"/>
      <c r="R1623" s="75"/>
      <c r="S1623" s="75"/>
      <c r="T1623" s="75"/>
      <c r="U1623" s="75"/>
      <c r="V1623" s="75"/>
    </row>
    <row r="1624" spans="2:22" x14ac:dyDescent="0.2">
      <c r="B1624" s="73" t="s">
        <v>10570</v>
      </c>
      <c r="C1624" s="33" t="s">
        <v>1851</v>
      </c>
      <c r="D1624" s="23" t="s">
        <v>1852</v>
      </c>
      <c r="E1624" s="73" t="s">
        <v>11220</v>
      </c>
      <c r="F1624" s="73" t="s">
        <v>10902</v>
      </c>
      <c r="G1624" s="73"/>
      <c r="H1624" s="73" t="s">
        <v>11221</v>
      </c>
      <c r="I1624" s="73"/>
      <c r="J1624" s="33" t="s">
        <v>9374</v>
      </c>
      <c r="K1624" s="33" t="s">
        <v>9375</v>
      </c>
      <c r="L1624" s="33" t="s">
        <v>121</v>
      </c>
      <c r="M1624" s="33" t="s">
        <v>9376</v>
      </c>
      <c r="N1624" s="73"/>
      <c r="O1624" s="73"/>
      <c r="P1624" s="73"/>
      <c r="Q1624" s="76"/>
      <c r="R1624" s="76"/>
      <c r="S1624" s="76"/>
      <c r="T1624" s="76"/>
      <c r="U1624" s="76"/>
      <c r="V1624" s="76"/>
    </row>
    <row r="1625" spans="2:22" ht="409.6" x14ac:dyDescent="0.2">
      <c r="B1625" s="73" t="s">
        <v>10570</v>
      </c>
      <c r="C1625" s="33" t="s">
        <v>1853</v>
      </c>
      <c r="D1625" s="23" t="s">
        <v>1854</v>
      </c>
      <c r="E1625" s="73" t="s">
        <v>11220</v>
      </c>
      <c r="F1625" s="73" t="s">
        <v>10902</v>
      </c>
      <c r="G1625" s="73"/>
      <c r="H1625" s="73" t="s">
        <v>11221</v>
      </c>
      <c r="I1625" s="73" t="s">
        <v>11222</v>
      </c>
      <c r="J1625" s="33" t="s">
        <v>9374</v>
      </c>
      <c r="K1625" s="33" t="s">
        <v>9375</v>
      </c>
      <c r="L1625" s="33" t="s">
        <v>121</v>
      </c>
      <c r="M1625" s="33" t="s">
        <v>9376</v>
      </c>
      <c r="N1625" s="73" t="s">
        <v>11223</v>
      </c>
      <c r="O1625" s="73"/>
      <c r="P1625" s="73" t="s">
        <v>11224</v>
      </c>
      <c r="Q1625" s="73"/>
      <c r="R1625" s="23"/>
      <c r="S1625" s="23"/>
      <c r="T1625" s="73"/>
      <c r="U1625" s="73"/>
      <c r="V1625" s="73"/>
    </row>
    <row r="1626" spans="2:22" ht="20.399999999999999" x14ac:dyDescent="0.2">
      <c r="B1626" s="73" t="s">
        <v>10570</v>
      </c>
      <c r="C1626" s="33" t="s">
        <v>1855</v>
      </c>
      <c r="D1626" s="23" t="s">
        <v>1856</v>
      </c>
      <c r="E1626" s="73" t="s">
        <v>11225</v>
      </c>
      <c r="F1626" s="73" t="s">
        <v>10902</v>
      </c>
      <c r="G1626" s="73"/>
      <c r="H1626" s="73" t="s">
        <v>11221</v>
      </c>
      <c r="I1626" s="73" t="s">
        <v>11226</v>
      </c>
      <c r="J1626" s="33" t="s">
        <v>9374</v>
      </c>
      <c r="K1626" s="33" t="s">
        <v>9375</v>
      </c>
      <c r="L1626" s="33" t="s">
        <v>121</v>
      </c>
      <c r="M1626" s="33" t="s">
        <v>9376</v>
      </c>
      <c r="N1626" s="73"/>
      <c r="O1626" s="73"/>
      <c r="P1626" s="73"/>
      <c r="Q1626" s="73"/>
      <c r="R1626" s="23"/>
      <c r="S1626" s="23"/>
      <c r="T1626" s="73"/>
      <c r="U1626" s="73"/>
      <c r="V1626" s="73"/>
    </row>
    <row r="1627" spans="2:22" x14ac:dyDescent="0.2">
      <c r="B1627" s="73" t="s">
        <v>10570</v>
      </c>
      <c r="C1627" s="33" t="s">
        <v>1915</v>
      </c>
      <c r="D1627" s="23" t="s">
        <v>1916</v>
      </c>
      <c r="E1627" s="73" t="s">
        <v>11220</v>
      </c>
      <c r="F1627" s="73" t="s">
        <v>10902</v>
      </c>
      <c r="G1627" s="73"/>
      <c r="H1627" s="73" t="s">
        <v>11221</v>
      </c>
      <c r="I1627" s="73"/>
      <c r="J1627" s="33" t="s">
        <v>9374</v>
      </c>
      <c r="K1627" s="33" t="s">
        <v>9375</v>
      </c>
      <c r="L1627" s="33" t="s">
        <v>121</v>
      </c>
      <c r="M1627" s="33" t="s">
        <v>9376</v>
      </c>
      <c r="N1627" s="73"/>
      <c r="O1627" s="73"/>
      <c r="P1627" s="73"/>
      <c r="Q1627" s="75"/>
      <c r="R1627" s="75"/>
      <c r="S1627" s="75"/>
      <c r="T1627" s="75"/>
      <c r="U1627" s="75"/>
      <c r="V1627" s="75"/>
    </row>
    <row r="1628" spans="2:22" ht="409.6" x14ac:dyDescent="0.2">
      <c r="B1628" s="73" t="s">
        <v>10570</v>
      </c>
      <c r="C1628" s="33" t="s">
        <v>11227</v>
      </c>
      <c r="D1628" s="23" t="s">
        <v>11228</v>
      </c>
      <c r="E1628" s="73" t="s">
        <v>11220</v>
      </c>
      <c r="F1628" s="73" t="s">
        <v>10902</v>
      </c>
      <c r="G1628" s="73"/>
      <c r="H1628" s="73" t="s">
        <v>11221</v>
      </c>
      <c r="I1628" s="73" t="s">
        <v>11222</v>
      </c>
      <c r="J1628" s="33" t="s">
        <v>9374</v>
      </c>
      <c r="K1628" s="33" t="s">
        <v>9375</v>
      </c>
      <c r="L1628" s="33" t="s">
        <v>121</v>
      </c>
      <c r="M1628" s="33" t="s">
        <v>9376</v>
      </c>
      <c r="N1628" s="73"/>
      <c r="O1628" s="73"/>
      <c r="P1628" s="73"/>
      <c r="Q1628" s="76"/>
      <c r="R1628" s="76"/>
      <c r="S1628" s="76"/>
      <c r="T1628" s="76"/>
      <c r="U1628" s="76"/>
      <c r="V1628" s="76"/>
    </row>
    <row r="1629" spans="2:22" x14ac:dyDescent="0.2">
      <c r="B1629" s="166"/>
      <c r="C1629" s="166"/>
      <c r="D1629" s="166"/>
      <c r="E1629" s="166"/>
      <c r="F1629" s="166"/>
      <c r="G1629" s="166"/>
      <c r="H1629" s="166"/>
      <c r="I1629" s="166"/>
      <c r="J1629" s="166"/>
      <c r="K1629" s="166"/>
      <c r="L1629" s="166"/>
      <c r="M1629" s="166"/>
      <c r="N1629" s="166"/>
      <c r="O1629" s="166"/>
      <c r="P1629" s="166"/>
      <c r="Q1629" s="73"/>
      <c r="R1629" s="23"/>
      <c r="S1629" s="23"/>
      <c r="T1629" s="73"/>
      <c r="U1629" s="73"/>
      <c r="V1629" s="73"/>
    </row>
    <row r="1630" spans="2:22" x14ac:dyDescent="0.2">
      <c r="B1630" s="165" t="s">
        <v>10572</v>
      </c>
      <c r="C1630" s="165"/>
      <c r="D1630" s="165"/>
      <c r="E1630" s="165"/>
      <c r="F1630" s="165"/>
      <c r="G1630" s="165"/>
      <c r="H1630" s="165"/>
      <c r="I1630" s="165"/>
      <c r="J1630" s="165"/>
      <c r="K1630" s="165"/>
      <c r="L1630" s="165"/>
      <c r="M1630" s="165"/>
      <c r="N1630" s="165"/>
      <c r="O1630" s="165"/>
      <c r="P1630" s="165"/>
      <c r="Q1630" s="75"/>
      <c r="R1630" s="75"/>
      <c r="S1630" s="75"/>
      <c r="T1630" s="75"/>
      <c r="U1630" s="75"/>
      <c r="V1630" s="75"/>
    </row>
    <row r="1631" spans="2:22" x14ac:dyDescent="0.2">
      <c r="B1631" s="73" t="s">
        <v>10572</v>
      </c>
      <c r="C1631" s="33" t="s">
        <v>1321</v>
      </c>
      <c r="D1631" s="23" t="s">
        <v>1322</v>
      </c>
      <c r="E1631" s="73"/>
      <c r="F1631" s="73"/>
      <c r="G1631" s="73"/>
      <c r="H1631" s="73"/>
      <c r="I1631" s="73"/>
      <c r="J1631" s="33" t="s">
        <v>9374</v>
      </c>
      <c r="K1631" s="33" t="s">
        <v>9375</v>
      </c>
      <c r="L1631" s="33" t="s">
        <v>121</v>
      </c>
      <c r="M1631" s="33" t="s">
        <v>9376</v>
      </c>
      <c r="N1631" s="73"/>
      <c r="O1631" s="73"/>
      <c r="P1631" s="73"/>
      <c r="Q1631" s="76"/>
      <c r="R1631" s="76"/>
      <c r="S1631" s="76"/>
      <c r="T1631" s="76"/>
      <c r="U1631" s="76"/>
      <c r="V1631" s="76"/>
    </row>
    <row r="1632" spans="2:22" x14ac:dyDescent="0.2">
      <c r="B1632" s="166"/>
      <c r="C1632" s="166"/>
      <c r="D1632" s="166"/>
      <c r="E1632" s="166"/>
      <c r="F1632" s="166"/>
      <c r="G1632" s="166"/>
      <c r="H1632" s="166"/>
      <c r="I1632" s="166"/>
      <c r="J1632" s="166"/>
      <c r="K1632" s="166"/>
      <c r="L1632" s="166"/>
      <c r="M1632" s="166"/>
      <c r="N1632" s="166"/>
      <c r="O1632" s="166"/>
      <c r="P1632" s="166"/>
      <c r="Q1632" s="73"/>
      <c r="R1632" s="23"/>
      <c r="S1632" s="23"/>
      <c r="T1632" s="73"/>
      <c r="U1632" s="73"/>
      <c r="V1632" s="73"/>
    </row>
    <row r="1633" spans="2:22" x14ac:dyDescent="0.2">
      <c r="B1633" s="165" t="s">
        <v>10576</v>
      </c>
      <c r="C1633" s="165"/>
      <c r="D1633" s="165"/>
      <c r="E1633" s="165"/>
      <c r="F1633" s="165"/>
      <c r="G1633" s="165"/>
      <c r="H1633" s="165"/>
      <c r="I1633" s="165"/>
      <c r="J1633" s="165"/>
      <c r="K1633" s="165"/>
      <c r="L1633" s="165"/>
      <c r="M1633" s="165"/>
      <c r="N1633" s="165"/>
      <c r="O1633" s="165"/>
      <c r="P1633" s="165"/>
      <c r="Q1633" s="75"/>
      <c r="R1633" s="75"/>
      <c r="S1633" s="75"/>
      <c r="T1633" s="75"/>
      <c r="U1633" s="75"/>
      <c r="V1633" s="75"/>
    </row>
    <row r="1634" spans="2:22" x14ac:dyDescent="0.2">
      <c r="B1634" s="73" t="s">
        <v>10576</v>
      </c>
      <c r="C1634" s="33" t="s">
        <v>1323</v>
      </c>
      <c r="D1634" s="23" t="s">
        <v>1324</v>
      </c>
      <c r="E1634" s="73"/>
      <c r="F1634" s="73"/>
      <c r="G1634" s="73"/>
      <c r="H1634" s="73"/>
      <c r="I1634" s="73"/>
      <c r="J1634" s="33" t="s">
        <v>9374</v>
      </c>
      <c r="K1634" s="33" t="s">
        <v>9375</v>
      </c>
      <c r="L1634" s="33" t="s">
        <v>121</v>
      </c>
      <c r="M1634" s="33" t="s">
        <v>9376</v>
      </c>
      <c r="N1634" s="73"/>
      <c r="O1634" s="73"/>
      <c r="P1634" s="73"/>
      <c r="Q1634" s="76"/>
      <c r="R1634" s="76"/>
      <c r="S1634" s="76"/>
      <c r="T1634" s="76"/>
      <c r="U1634" s="76"/>
      <c r="V1634" s="76"/>
    </row>
    <row r="1635" spans="2:22" ht="40.799999999999997" x14ac:dyDescent="0.2">
      <c r="B1635" s="73" t="s">
        <v>10576</v>
      </c>
      <c r="C1635" s="33" t="s">
        <v>1933</v>
      </c>
      <c r="D1635" s="23" t="s">
        <v>1934</v>
      </c>
      <c r="E1635" s="73" t="s">
        <v>11083</v>
      </c>
      <c r="F1635" s="73" t="s">
        <v>10902</v>
      </c>
      <c r="G1635" s="73"/>
      <c r="H1635" s="73" t="s">
        <v>10917</v>
      </c>
      <c r="I1635" s="73" t="s">
        <v>11229</v>
      </c>
      <c r="J1635" s="33" t="s">
        <v>9374</v>
      </c>
      <c r="K1635" s="33" t="s">
        <v>9375</v>
      </c>
      <c r="L1635" s="33" t="s">
        <v>121</v>
      </c>
      <c r="M1635" s="33" t="s">
        <v>9376</v>
      </c>
      <c r="N1635" s="73"/>
      <c r="O1635" s="73"/>
      <c r="P1635" s="73"/>
      <c r="Q1635" s="73"/>
      <c r="R1635" s="23"/>
      <c r="S1635" s="23"/>
      <c r="T1635" s="73"/>
      <c r="U1635" s="73"/>
      <c r="V1635" s="73"/>
    </row>
    <row r="1636" spans="2:22" x14ac:dyDescent="0.2">
      <c r="B1636" s="73" t="s">
        <v>10576</v>
      </c>
      <c r="C1636" s="33" t="s">
        <v>1945</v>
      </c>
      <c r="D1636" s="23" t="s">
        <v>1946</v>
      </c>
      <c r="E1636" s="73"/>
      <c r="F1636" s="73"/>
      <c r="G1636" s="73"/>
      <c r="H1636" s="73"/>
      <c r="I1636" s="73"/>
      <c r="J1636" s="33" t="s">
        <v>9374</v>
      </c>
      <c r="K1636" s="33" t="s">
        <v>9375</v>
      </c>
      <c r="L1636" s="33" t="s">
        <v>121</v>
      </c>
      <c r="M1636" s="33" t="s">
        <v>9376</v>
      </c>
      <c r="N1636" s="73"/>
      <c r="O1636" s="73"/>
      <c r="P1636" s="73"/>
      <c r="Q1636" s="75"/>
      <c r="R1636" s="75"/>
      <c r="S1636" s="75"/>
      <c r="T1636" s="75"/>
      <c r="U1636" s="75"/>
      <c r="V1636" s="75"/>
    </row>
    <row r="1637" spans="2:22" x14ac:dyDescent="0.2">
      <c r="B1637" s="166"/>
      <c r="C1637" s="166"/>
      <c r="D1637" s="166"/>
      <c r="E1637" s="166"/>
      <c r="F1637" s="166"/>
      <c r="G1637" s="166"/>
      <c r="H1637" s="166"/>
      <c r="I1637" s="166"/>
      <c r="J1637" s="166"/>
      <c r="K1637" s="166"/>
      <c r="L1637" s="166"/>
      <c r="M1637" s="166"/>
      <c r="N1637" s="166"/>
      <c r="O1637" s="166"/>
      <c r="P1637" s="166"/>
      <c r="Q1637" s="76"/>
      <c r="R1637" s="76"/>
      <c r="S1637" s="76"/>
      <c r="T1637" s="76"/>
      <c r="U1637" s="76"/>
      <c r="V1637" s="76"/>
    </row>
    <row r="1638" spans="2:22" ht="30.6" x14ac:dyDescent="0.2">
      <c r="B1638" s="165" t="s">
        <v>10578</v>
      </c>
      <c r="C1638" s="165"/>
      <c r="D1638" s="165"/>
      <c r="E1638" s="165"/>
      <c r="F1638" s="165"/>
      <c r="G1638" s="165"/>
      <c r="H1638" s="165"/>
      <c r="I1638" s="165"/>
      <c r="J1638" s="165"/>
      <c r="K1638" s="165"/>
      <c r="L1638" s="165"/>
      <c r="M1638" s="165"/>
      <c r="N1638" s="165"/>
      <c r="O1638" s="165"/>
      <c r="P1638" s="165"/>
      <c r="Q1638" s="73" t="s">
        <v>11230</v>
      </c>
      <c r="R1638" s="23"/>
      <c r="S1638" s="23"/>
      <c r="T1638" s="73"/>
      <c r="U1638" s="73"/>
      <c r="V1638" s="73"/>
    </row>
    <row r="1639" spans="2:22" x14ac:dyDescent="0.2">
      <c r="B1639" s="73" t="s">
        <v>10578</v>
      </c>
      <c r="C1639" s="33" t="s">
        <v>1325</v>
      </c>
      <c r="D1639" s="23" t="s">
        <v>1326</v>
      </c>
      <c r="E1639" s="73"/>
      <c r="F1639" s="73"/>
      <c r="G1639" s="73"/>
      <c r="H1639" s="73"/>
      <c r="I1639" s="73"/>
      <c r="J1639" s="33" t="s">
        <v>9374</v>
      </c>
      <c r="K1639" s="33" t="s">
        <v>11016</v>
      </c>
      <c r="L1639" s="33" t="s">
        <v>121</v>
      </c>
      <c r="M1639" s="33" t="s">
        <v>9376</v>
      </c>
      <c r="N1639" s="73"/>
      <c r="O1639" s="73"/>
      <c r="P1639" s="73"/>
      <c r="Q1639" s="73"/>
      <c r="R1639" s="23"/>
      <c r="S1639" s="23"/>
      <c r="T1639" s="73"/>
      <c r="U1639" s="73"/>
      <c r="V1639" s="73"/>
    </row>
    <row r="1640" spans="2:22" x14ac:dyDescent="0.2">
      <c r="B1640" s="166"/>
      <c r="C1640" s="166"/>
      <c r="D1640" s="166"/>
      <c r="E1640" s="166"/>
      <c r="F1640" s="166"/>
      <c r="G1640" s="166"/>
      <c r="H1640" s="166"/>
      <c r="I1640" s="166"/>
      <c r="J1640" s="166"/>
      <c r="K1640" s="166"/>
      <c r="L1640" s="166"/>
      <c r="M1640" s="166"/>
      <c r="N1640" s="166"/>
      <c r="O1640" s="166"/>
      <c r="P1640" s="166"/>
      <c r="Q1640" s="73" t="s">
        <v>11095</v>
      </c>
      <c r="R1640" s="23"/>
      <c r="S1640" s="23"/>
      <c r="T1640" s="73"/>
      <c r="U1640" s="73"/>
      <c r="V1640" s="73"/>
    </row>
    <row r="1641" spans="2:22" x14ac:dyDescent="0.2">
      <c r="B1641" s="165" t="s">
        <v>10580</v>
      </c>
      <c r="C1641" s="165"/>
      <c r="D1641" s="165"/>
      <c r="E1641" s="165"/>
      <c r="F1641" s="165"/>
      <c r="G1641" s="165"/>
      <c r="H1641" s="165"/>
      <c r="I1641" s="165"/>
      <c r="J1641" s="165"/>
      <c r="K1641" s="165"/>
      <c r="L1641" s="165"/>
      <c r="M1641" s="165"/>
      <c r="N1641" s="165"/>
      <c r="O1641" s="165"/>
      <c r="P1641" s="165"/>
      <c r="Q1641" s="75"/>
      <c r="R1641" s="75"/>
      <c r="S1641" s="75"/>
      <c r="T1641" s="75"/>
      <c r="U1641" s="75"/>
      <c r="V1641" s="75"/>
    </row>
    <row r="1642" spans="2:22" x14ac:dyDescent="0.2">
      <c r="B1642" s="73" t="s">
        <v>10580</v>
      </c>
      <c r="C1642" s="33" t="s">
        <v>1327</v>
      </c>
      <c r="D1642" s="23" t="s">
        <v>1328</v>
      </c>
      <c r="E1642" s="73"/>
      <c r="F1642" s="73"/>
      <c r="G1642" s="73"/>
      <c r="H1642" s="73"/>
      <c r="I1642" s="73"/>
      <c r="J1642" s="33" t="s">
        <v>9374</v>
      </c>
      <c r="K1642" s="33" t="s">
        <v>9375</v>
      </c>
      <c r="L1642" s="33" t="s">
        <v>121</v>
      </c>
      <c r="M1642" s="33" t="s">
        <v>9376</v>
      </c>
      <c r="N1642" s="73"/>
      <c r="O1642" s="73"/>
      <c r="P1642" s="73"/>
      <c r="Q1642" s="76"/>
      <c r="R1642" s="76"/>
      <c r="S1642" s="76"/>
      <c r="T1642" s="76"/>
      <c r="U1642" s="76"/>
      <c r="V1642" s="76"/>
    </row>
    <row r="1643" spans="2:22" x14ac:dyDescent="0.2">
      <c r="B1643" s="166"/>
      <c r="C1643" s="166"/>
      <c r="D1643" s="166"/>
      <c r="E1643" s="166"/>
      <c r="F1643" s="166"/>
      <c r="G1643" s="166"/>
      <c r="H1643" s="166"/>
      <c r="I1643" s="166"/>
      <c r="J1643" s="166"/>
      <c r="K1643" s="166"/>
      <c r="L1643" s="166"/>
      <c r="M1643" s="166"/>
      <c r="N1643" s="166"/>
      <c r="O1643" s="166"/>
      <c r="P1643" s="166"/>
      <c r="Q1643" s="73"/>
      <c r="R1643" s="23"/>
      <c r="S1643" s="23"/>
      <c r="T1643" s="73"/>
      <c r="U1643" s="73"/>
      <c r="V1643" s="73"/>
    </row>
    <row r="1644" spans="2:22" x14ac:dyDescent="0.2">
      <c r="B1644" s="165" t="s">
        <v>10583</v>
      </c>
      <c r="C1644" s="165"/>
      <c r="D1644" s="165"/>
      <c r="E1644" s="165"/>
      <c r="F1644" s="165"/>
      <c r="G1644" s="165"/>
      <c r="H1644" s="165"/>
      <c r="I1644" s="165"/>
      <c r="J1644" s="165"/>
      <c r="K1644" s="165"/>
      <c r="L1644" s="165"/>
      <c r="M1644" s="165"/>
      <c r="N1644" s="165"/>
      <c r="O1644" s="165"/>
      <c r="P1644" s="165"/>
      <c r="Q1644" s="73"/>
      <c r="R1644" s="23"/>
      <c r="S1644" s="23"/>
      <c r="T1644" s="73"/>
      <c r="U1644" s="73"/>
      <c r="V1644" s="73"/>
    </row>
    <row r="1645" spans="2:22" x14ac:dyDescent="0.2">
      <c r="B1645" s="73" t="s">
        <v>10583</v>
      </c>
      <c r="C1645" s="33" t="s">
        <v>1329</v>
      </c>
      <c r="D1645" s="23" t="s">
        <v>1330</v>
      </c>
      <c r="E1645" s="73"/>
      <c r="F1645" s="73"/>
      <c r="G1645" s="73"/>
      <c r="H1645" s="73"/>
      <c r="I1645" s="73"/>
      <c r="J1645" s="33" t="s">
        <v>9374</v>
      </c>
      <c r="K1645" s="33" t="s">
        <v>11016</v>
      </c>
      <c r="L1645" s="33" t="s">
        <v>121</v>
      </c>
      <c r="M1645" s="33" t="s">
        <v>9376</v>
      </c>
      <c r="N1645" s="73"/>
      <c r="O1645" s="73"/>
      <c r="P1645" s="73"/>
      <c r="Q1645" s="75"/>
      <c r="R1645" s="75"/>
      <c r="S1645" s="75"/>
      <c r="T1645" s="75"/>
      <c r="U1645" s="75"/>
      <c r="V1645" s="75"/>
    </row>
    <row r="1646" spans="2:22" x14ac:dyDescent="0.2">
      <c r="B1646" s="166"/>
      <c r="C1646" s="166"/>
      <c r="D1646" s="166"/>
      <c r="E1646" s="166"/>
      <c r="F1646" s="166"/>
      <c r="G1646" s="166"/>
      <c r="H1646" s="166"/>
      <c r="I1646" s="166"/>
      <c r="J1646" s="166"/>
      <c r="K1646" s="166"/>
      <c r="L1646" s="166"/>
      <c r="M1646" s="166"/>
      <c r="N1646" s="166"/>
      <c r="O1646" s="166"/>
      <c r="P1646" s="166"/>
      <c r="Q1646" s="76"/>
      <c r="R1646" s="76"/>
      <c r="S1646" s="76"/>
      <c r="T1646" s="76"/>
      <c r="U1646" s="76"/>
      <c r="V1646" s="76"/>
    </row>
    <row r="1647" spans="2:22" x14ac:dyDescent="0.2">
      <c r="B1647" s="165" t="s">
        <v>10585</v>
      </c>
      <c r="C1647" s="165"/>
      <c r="D1647" s="165"/>
      <c r="E1647" s="165"/>
      <c r="F1647" s="165"/>
      <c r="G1647" s="165"/>
      <c r="H1647" s="165"/>
      <c r="I1647" s="165"/>
      <c r="J1647" s="165"/>
      <c r="K1647" s="165"/>
      <c r="L1647" s="165"/>
      <c r="M1647" s="165"/>
      <c r="N1647" s="165"/>
      <c r="O1647" s="165"/>
      <c r="P1647" s="165"/>
      <c r="Q1647" s="73"/>
      <c r="R1647" s="23"/>
      <c r="S1647" s="23"/>
      <c r="T1647" s="73"/>
      <c r="U1647" s="73"/>
      <c r="V1647" s="73"/>
    </row>
    <row r="1648" spans="2:22" x14ac:dyDescent="0.2">
      <c r="B1648" s="73" t="s">
        <v>10585</v>
      </c>
      <c r="C1648" s="33" t="s">
        <v>1331</v>
      </c>
      <c r="D1648" s="23" t="s">
        <v>1332</v>
      </c>
      <c r="E1648" s="73"/>
      <c r="F1648" s="73"/>
      <c r="G1648" s="73"/>
      <c r="H1648" s="73"/>
      <c r="I1648" s="73"/>
      <c r="J1648" s="33" t="s">
        <v>9374</v>
      </c>
      <c r="K1648" s="33" t="s">
        <v>11016</v>
      </c>
      <c r="L1648" s="33" t="s">
        <v>121</v>
      </c>
      <c r="M1648" s="33" t="s">
        <v>9376</v>
      </c>
      <c r="N1648" s="73"/>
      <c r="O1648" s="73"/>
      <c r="P1648" s="73"/>
      <c r="Q1648" s="73"/>
      <c r="R1648" s="23"/>
      <c r="S1648" s="23"/>
      <c r="T1648" s="73"/>
      <c r="U1648" s="73"/>
      <c r="V1648" s="73"/>
    </row>
    <row r="1649" spans="2:22" x14ac:dyDescent="0.2">
      <c r="B1649" s="73" t="s">
        <v>10585</v>
      </c>
      <c r="C1649" s="33" t="s">
        <v>1794</v>
      </c>
      <c r="D1649" s="23" t="s">
        <v>1795</v>
      </c>
      <c r="E1649" s="73"/>
      <c r="F1649" s="73"/>
      <c r="G1649" s="73"/>
      <c r="H1649" s="73"/>
      <c r="I1649" s="73"/>
      <c r="J1649" s="33" t="s">
        <v>9374</v>
      </c>
      <c r="K1649" s="33" t="s">
        <v>11016</v>
      </c>
      <c r="L1649" s="33" t="s">
        <v>121</v>
      </c>
      <c r="M1649" s="33" t="s">
        <v>9376</v>
      </c>
      <c r="N1649" s="73"/>
      <c r="O1649" s="73"/>
      <c r="P1649" s="73"/>
      <c r="Q1649" s="75"/>
      <c r="R1649" s="75"/>
      <c r="S1649" s="75"/>
      <c r="T1649" s="75"/>
      <c r="U1649" s="75"/>
      <c r="V1649" s="75"/>
    </row>
    <row r="1650" spans="2:22" x14ac:dyDescent="0.2">
      <c r="B1650" s="166"/>
      <c r="C1650" s="166"/>
      <c r="D1650" s="166"/>
      <c r="E1650" s="166"/>
      <c r="F1650" s="166"/>
      <c r="G1650" s="166"/>
      <c r="H1650" s="166"/>
      <c r="I1650" s="166"/>
      <c r="J1650" s="166"/>
      <c r="K1650" s="166"/>
      <c r="L1650" s="166"/>
      <c r="M1650" s="166"/>
      <c r="N1650" s="166"/>
      <c r="O1650" s="166"/>
      <c r="P1650" s="166"/>
      <c r="Q1650" s="76"/>
      <c r="R1650" s="76"/>
      <c r="S1650" s="76"/>
      <c r="T1650" s="76"/>
      <c r="U1650" s="76"/>
      <c r="V1650" s="76"/>
    </row>
    <row r="1651" spans="2:22" x14ac:dyDescent="0.2">
      <c r="B1651" s="165" t="s">
        <v>10587</v>
      </c>
      <c r="C1651" s="165"/>
      <c r="D1651" s="165"/>
      <c r="E1651" s="165"/>
      <c r="F1651" s="165"/>
      <c r="G1651" s="165"/>
      <c r="H1651" s="165"/>
      <c r="I1651" s="165"/>
      <c r="J1651" s="165"/>
      <c r="K1651" s="165"/>
      <c r="L1651" s="165"/>
      <c r="M1651" s="165"/>
      <c r="N1651" s="165"/>
      <c r="O1651" s="165"/>
      <c r="P1651" s="165"/>
      <c r="Q1651" s="73"/>
      <c r="R1651" s="23"/>
      <c r="S1651" s="23"/>
      <c r="T1651" s="73"/>
      <c r="U1651" s="73"/>
      <c r="V1651" s="73"/>
    </row>
    <row r="1652" spans="2:22" x14ac:dyDescent="0.2">
      <c r="B1652" s="73" t="s">
        <v>10587</v>
      </c>
      <c r="C1652" s="33" t="s">
        <v>1333</v>
      </c>
      <c r="D1652" s="23" t="s">
        <v>1334</v>
      </c>
      <c r="E1652" s="73"/>
      <c r="F1652" s="73"/>
      <c r="G1652" s="73"/>
      <c r="H1652" s="73"/>
      <c r="I1652" s="73"/>
      <c r="J1652" s="33" t="s">
        <v>9374</v>
      </c>
      <c r="K1652" s="33" t="s">
        <v>11016</v>
      </c>
      <c r="L1652" s="33" t="s">
        <v>121</v>
      </c>
      <c r="M1652" s="33" t="s">
        <v>9376</v>
      </c>
      <c r="N1652" s="73"/>
      <c r="O1652" s="73"/>
      <c r="P1652" s="73"/>
      <c r="Q1652" s="73"/>
      <c r="R1652" s="23"/>
      <c r="S1652" s="23"/>
      <c r="T1652" s="73"/>
      <c r="U1652" s="73"/>
      <c r="V1652" s="73"/>
    </row>
    <row r="1653" spans="2:22" x14ac:dyDescent="0.2">
      <c r="B1653" s="166"/>
      <c r="C1653" s="166"/>
      <c r="D1653" s="166"/>
      <c r="E1653" s="166"/>
      <c r="F1653" s="166"/>
      <c r="G1653" s="166"/>
      <c r="H1653" s="166"/>
      <c r="I1653" s="166"/>
      <c r="J1653" s="166"/>
      <c r="K1653" s="166"/>
      <c r="L1653" s="166"/>
      <c r="M1653" s="166"/>
      <c r="N1653" s="166"/>
      <c r="O1653" s="166"/>
      <c r="P1653" s="166"/>
      <c r="Q1653" s="75"/>
      <c r="R1653" s="75"/>
      <c r="S1653" s="75"/>
      <c r="T1653" s="75"/>
      <c r="U1653" s="75"/>
      <c r="V1653" s="75"/>
    </row>
    <row r="1654" spans="2:22" x14ac:dyDescent="0.2">
      <c r="B1654" s="165" t="s">
        <v>10589</v>
      </c>
      <c r="C1654" s="165"/>
      <c r="D1654" s="165"/>
      <c r="E1654" s="165"/>
      <c r="F1654" s="165"/>
      <c r="G1654" s="165"/>
      <c r="H1654" s="165"/>
      <c r="I1654" s="165"/>
      <c r="J1654" s="165"/>
      <c r="K1654" s="165"/>
      <c r="L1654" s="165"/>
      <c r="M1654" s="165"/>
      <c r="N1654" s="165"/>
      <c r="O1654" s="165"/>
      <c r="P1654" s="165"/>
      <c r="Q1654" s="76"/>
      <c r="R1654" s="76"/>
      <c r="S1654" s="76"/>
      <c r="T1654" s="76"/>
      <c r="U1654" s="76"/>
      <c r="V1654" s="76"/>
    </row>
    <row r="1655" spans="2:22" x14ac:dyDescent="0.2">
      <c r="B1655" s="73" t="s">
        <v>10589</v>
      </c>
      <c r="C1655" s="33" t="s">
        <v>1335</v>
      </c>
      <c r="D1655" s="23" t="s">
        <v>1336</v>
      </c>
      <c r="E1655" s="73"/>
      <c r="F1655" s="73"/>
      <c r="G1655" s="73"/>
      <c r="H1655" s="73"/>
      <c r="I1655" s="73"/>
      <c r="J1655" s="33" t="s">
        <v>9374</v>
      </c>
      <c r="K1655" s="33" t="s">
        <v>11016</v>
      </c>
      <c r="L1655" s="33" t="s">
        <v>121</v>
      </c>
      <c r="M1655" s="33" t="s">
        <v>9376</v>
      </c>
      <c r="N1655" s="73"/>
      <c r="O1655" s="73"/>
      <c r="P1655" s="73"/>
      <c r="Q1655" s="73"/>
      <c r="R1655" s="23"/>
      <c r="S1655" s="23"/>
      <c r="T1655" s="73"/>
      <c r="U1655" s="73"/>
      <c r="V1655" s="73"/>
    </row>
    <row r="1656" spans="2:22" x14ac:dyDescent="0.2">
      <c r="B1656" s="73" t="s">
        <v>10589</v>
      </c>
      <c r="C1656" s="33" t="s">
        <v>1774</v>
      </c>
      <c r="D1656" s="23" t="s">
        <v>1775</v>
      </c>
      <c r="E1656" s="73" t="s">
        <v>11231</v>
      </c>
      <c r="F1656" s="73" t="s">
        <v>10902</v>
      </c>
      <c r="G1656" s="73"/>
      <c r="H1656" s="73" t="s">
        <v>11232</v>
      </c>
      <c r="I1656" s="73"/>
      <c r="J1656" s="33" t="s">
        <v>9374</v>
      </c>
      <c r="K1656" s="33" t="s">
        <v>11016</v>
      </c>
      <c r="L1656" s="33" t="s">
        <v>121</v>
      </c>
      <c r="M1656" s="33" t="s">
        <v>9376</v>
      </c>
      <c r="N1656" s="73"/>
      <c r="O1656" s="73"/>
      <c r="P1656" s="73"/>
      <c r="Q1656" s="73"/>
      <c r="R1656" s="23"/>
      <c r="S1656" s="23"/>
      <c r="T1656" s="73"/>
      <c r="U1656" s="73"/>
      <c r="V1656" s="73"/>
    </row>
    <row r="1657" spans="2:22" x14ac:dyDescent="0.2">
      <c r="B1657" s="73" t="s">
        <v>10589</v>
      </c>
      <c r="C1657" s="33" t="s">
        <v>1776</v>
      </c>
      <c r="D1657" s="23" t="s">
        <v>1777</v>
      </c>
      <c r="E1657" s="73" t="s">
        <v>11233</v>
      </c>
      <c r="F1657" s="73" t="s">
        <v>10902</v>
      </c>
      <c r="G1657" s="73"/>
      <c r="H1657" s="73" t="s">
        <v>11234</v>
      </c>
      <c r="I1657" s="73"/>
      <c r="J1657" s="33" t="s">
        <v>9374</v>
      </c>
      <c r="K1657" s="33" t="s">
        <v>11016</v>
      </c>
      <c r="L1657" s="33" t="s">
        <v>121</v>
      </c>
      <c r="M1657" s="33" t="s">
        <v>9376</v>
      </c>
      <c r="N1657" s="73"/>
      <c r="O1657" s="73"/>
      <c r="P1657" s="73"/>
      <c r="Q1657" s="75"/>
      <c r="R1657" s="75"/>
      <c r="S1657" s="75"/>
      <c r="T1657" s="75"/>
      <c r="U1657" s="75"/>
      <c r="V1657" s="75"/>
    </row>
    <row r="1658" spans="2:22" x14ac:dyDescent="0.2">
      <c r="B1658" s="73" t="s">
        <v>10589</v>
      </c>
      <c r="C1658" s="33" t="s">
        <v>1778</v>
      </c>
      <c r="D1658" s="23" t="s">
        <v>1779</v>
      </c>
      <c r="E1658" s="73" t="s">
        <v>11235</v>
      </c>
      <c r="F1658" s="73" t="s">
        <v>10902</v>
      </c>
      <c r="G1658" s="73"/>
      <c r="H1658" s="73" t="s">
        <v>11236</v>
      </c>
      <c r="I1658" s="73"/>
      <c r="J1658" s="33" t="s">
        <v>9374</v>
      </c>
      <c r="K1658" s="33" t="s">
        <v>11016</v>
      </c>
      <c r="L1658" s="33" t="s">
        <v>121</v>
      </c>
      <c r="M1658" s="33" t="s">
        <v>9376</v>
      </c>
      <c r="N1658" s="73"/>
      <c r="O1658" s="73"/>
      <c r="P1658" s="73"/>
      <c r="Q1658" s="76"/>
      <c r="R1658" s="76"/>
      <c r="S1658" s="76"/>
      <c r="T1658" s="76"/>
      <c r="U1658" s="76"/>
      <c r="V1658" s="76"/>
    </row>
    <row r="1659" spans="2:22" x14ac:dyDescent="0.2">
      <c r="B1659" s="73" t="s">
        <v>10589</v>
      </c>
      <c r="C1659" s="33" t="s">
        <v>1780</v>
      </c>
      <c r="D1659" s="23" t="s">
        <v>1781</v>
      </c>
      <c r="E1659" s="73" t="s">
        <v>11237</v>
      </c>
      <c r="F1659" s="73" t="s">
        <v>10902</v>
      </c>
      <c r="G1659" s="73"/>
      <c r="H1659" s="73" t="s">
        <v>11238</v>
      </c>
      <c r="I1659" s="73"/>
      <c r="J1659" s="33" t="s">
        <v>9374</v>
      </c>
      <c r="K1659" s="33" t="s">
        <v>11016</v>
      </c>
      <c r="L1659" s="33" t="s">
        <v>121</v>
      </c>
      <c r="M1659" s="33" t="s">
        <v>9376</v>
      </c>
      <c r="N1659" s="73"/>
      <c r="O1659" s="73"/>
      <c r="P1659" s="73"/>
      <c r="Q1659" s="73"/>
      <c r="R1659" s="23"/>
      <c r="S1659" s="23"/>
      <c r="T1659" s="73"/>
      <c r="U1659" s="73"/>
      <c r="V1659" s="73"/>
    </row>
    <row r="1660" spans="2:22" x14ac:dyDescent="0.2">
      <c r="B1660" s="166"/>
      <c r="C1660" s="166"/>
      <c r="D1660" s="166"/>
      <c r="E1660" s="166"/>
      <c r="F1660" s="166"/>
      <c r="G1660" s="166"/>
      <c r="H1660" s="166"/>
      <c r="I1660" s="166"/>
      <c r="J1660" s="166"/>
      <c r="K1660" s="166"/>
      <c r="L1660" s="166"/>
      <c r="M1660" s="166"/>
      <c r="N1660" s="166"/>
      <c r="O1660" s="166"/>
      <c r="P1660" s="166"/>
      <c r="Q1660" s="73"/>
      <c r="R1660" s="23"/>
      <c r="S1660" s="23"/>
      <c r="T1660" s="73"/>
      <c r="U1660" s="73"/>
      <c r="V1660" s="73"/>
    </row>
    <row r="1661" spans="2:22" x14ac:dyDescent="0.2">
      <c r="B1661" s="165" t="s">
        <v>10591</v>
      </c>
      <c r="C1661" s="165"/>
      <c r="D1661" s="165"/>
      <c r="E1661" s="165"/>
      <c r="F1661" s="165"/>
      <c r="G1661" s="165"/>
      <c r="H1661" s="165"/>
      <c r="I1661" s="165"/>
      <c r="J1661" s="165"/>
      <c r="K1661" s="165"/>
      <c r="L1661" s="165"/>
      <c r="M1661" s="165"/>
      <c r="N1661" s="165"/>
      <c r="O1661" s="165"/>
      <c r="P1661" s="165"/>
      <c r="Q1661" s="75"/>
      <c r="R1661" s="75"/>
      <c r="S1661" s="75"/>
      <c r="T1661" s="75"/>
      <c r="U1661" s="75"/>
      <c r="V1661" s="75"/>
    </row>
    <row r="1662" spans="2:22" x14ac:dyDescent="0.2">
      <c r="B1662" s="73" t="s">
        <v>10591</v>
      </c>
      <c r="C1662" s="33" t="s">
        <v>1337</v>
      </c>
      <c r="D1662" s="23" t="s">
        <v>1338</v>
      </c>
      <c r="E1662" s="73"/>
      <c r="F1662" s="73"/>
      <c r="G1662" s="73"/>
      <c r="H1662" s="73"/>
      <c r="I1662" s="73"/>
      <c r="J1662" s="33" t="s">
        <v>9374</v>
      </c>
      <c r="K1662" s="33" t="s">
        <v>11016</v>
      </c>
      <c r="L1662" s="33" t="s">
        <v>121</v>
      </c>
      <c r="M1662" s="33" t="s">
        <v>9376</v>
      </c>
      <c r="N1662" s="73"/>
      <c r="O1662" s="73"/>
      <c r="P1662" s="73"/>
      <c r="Q1662" s="76"/>
      <c r="R1662" s="76"/>
      <c r="S1662" s="76"/>
      <c r="T1662" s="76"/>
      <c r="U1662" s="76"/>
      <c r="V1662" s="76"/>
    </row>
    <row r="1663" spans="2:22" x14ac:dyDescent="0.2">
      <c r="B1663" s="166"/>
      <c r="C1663" s="166"/>
      <c r="D1663" s="166"/>
      <c r="E1663" s="166"/>
      <c r="F1663" s="166"/>
      <c r="G1663" s="166"/>
      <c r="H1663" s="166"/>
      <c r="I1663" s="166"/>
      <c r="J1663" s="166"/>
      <c r="K1663" s="166"/>
      <c r="L1663" s="166"/>
      <c r="M1663" s="166"/>
      <c r="N1663" s="166"/>
      <c r="O1663" s="166"/>
      <c r="P1663" s="166"/>
      <c r="Q1663" s="73"/>
      <c r="R1663" s="23"/>
      <c r="S1663" s="23"/>
      <c r="T1663" s="73"/>
      <c r="U1663" s="73"/>
      <c r="V1663" s="73"/>
    </row>
    <row r="1664" spans="2:22" x14ac:dyDescent="0.2">
      <c r="B1664" s="165" t="s">
        <v>10593</v>
      </c>
      <c r="C1664" s="165"/>
      <c r="D1664" s="165"/>
      <c r="E1664" s="165"/>
      <c r="F1664" s="165"/>
      <c r="G1664" s="165"/>
      <c r="H1664" s="165"/>
      <c r="I1664" s="165"/>
      <c r="J1664" s="165"/>
      <c r="K1664" s="165"/>
      <c r="L1664" s="165"/>
      <c r="M1664" s="165"/>
      <c r="N1664" s="165"/>
      <c r="O1664" s="165"/>
      <c r="P1664" s="165"/>
      <c r="Q1664" s="75"/>
      <c r="R1664" s="75"/>
      <c r="S1664" s="75"/>
      <c r="T1664" s="75"/>
      <c r="U1664" s="75"/>
      <c r="V1664" s="75"/>
    </row>
    <row r="1665" spans="2:22" x14ac:dyDescent="0.2">
      <c r="B1665" s="73" t="s">
        <v>10593</v>
      </c>
      <c r="C1665" s="33" t="s">
        <v>1339</v>
      </c>
      <c r="D1665" s="23" t="s">
        <v>1340</v>
      </c>
      <c r="E1665" s="73"/>
      <c r="F1665" s="73"/>
      <c r="G1665" s="73"/>
      <c r="H1665" s="73"/>
      <c r="I1665" s="73"/>
      <c r="J1665" s="33" t="s">
        <v>9374</v>
      </c>
      <c r="K1665" s="33" t="s">
        <v>11016</v>
      </c>
      <c r="L1665" s="33" t="s">
        <v>121</v>
      </c>
      <c r="M1665" s="33" t="s">
        <v>9376</v>
      </c>
      <c r="N1665" s="73"/>
      <c r="O1665" s="73"/>
      <c r="P1665" s="73"/>
      <c r="Q1665" s="76"/>
      <c r="R1665" s="76"/>
      <c r="S1665" s="76"/>
      <c r="T1665" s="76"/>
      <c r="U1665" s="76"/>
      <c r="V1665" s="76"/>
    </row>
    <row r="1666" spans="2:22" x14ac:dyDescent="0.2">
      <c r="B1666" s="166"/>
      <c r="C1666" s="166"/>
      <c r="D1666" s="166"/>
      <c r="E1666" s="166"/>
      <c r="F1666" s="166"/>
      <c r="G1666" s="166"/>
      <c r="H1666" s="166"/>
      <c r="I1666" s="166"/>
      <c r="J1666" s="166"/>
      <c r="K1666" s="166"/>
      <c r="L1666" s="166"/>
      <c r="M1666" s="166"/>
      <c r="N1666" s="166"/>
      <c r="O1666" s="166"/>
      <c r="P1666" s="166"/>
      <c r="Q1666" s="73"/>
      <c r="R1666" s="23"/>
      <c r="S1666" s="23"/>
      <c r="T1666" s="73"/>
      <c r="U1666" s="73"/>
      <c r="V1666" s="73"/>
    </row>
    <row r="1667" spans="2:22" x14ac:dyDescent="0.2">
      <c r="B1667" s="165" t="s">
        <v>10595</v>
      </c>
      <c r="C1667" s="165"/>
      <c r="D1667" s="165"/>
      <c r="E1667" s="165"/>
      <c r="F1667" s="165"/>
      <c r="G1667" s="165"/>
      <c r="H1667" s="165"/>
      <c r="I1667" s="165"/>
      <c r="J1667" s="165"/>
      <c r="K1667" s="165"/>
      <c r="L1667" s="165"/>
      <c r="M1667" s="165"/>
      <c r="N1667" s="165"/>
      <c r="O1667" s="165"/>
      <c r="P1667" s="165"/>
      <c r="Q1667" s="73"/>
      <c r="R1667" s="23"/>
      <c r="S1667" s="23"/>
      <c r="T1667" s="73"/>
      <c r="U1667" s="73"/>
      <c r="V1667" s="73"/>
    </row>
    <row r="1668" spans="2:22" x14ac:dyDescent="0.2">
      <c r="B1668" s="73" t="s">
        <v>10595</v>
      </c>
      <c r="C1668" s="33" t="s">
        <v>1341</v>
      </c>
      <c r="D1668" s="23" t="s">
        <v>1342</v>
      </c>
      <c r="E1668" s="73"/>
      <c r="F1668" s="73"/>
      <c r="G1668" s="73"/>
      <c r="H1668" s="73"/>
      <c r="I1668" s="73"/>
      <c r="J1668" s="33" t="s">
        <v>9374</v>
      </c>
      <c r="K1668" s="33" t="s">
        <v>9375</v>
      </c>
      <c r="L1668" s="33" t="s">
        <v>121</v>
      </c>
      <c r="M1668" s="33" t="s">
        <v>9376</v>
      </c>
      <c r="N1668" s="73"/>
      <c r="O1668" s="73"/>
      <c r="P1668" s="73"/>
      <c r="Q1668" s="75"/>
      <c r="R1668" s="75"/>
      <c r="S1668" s="75"/>
      <c r="T1668" s="75"/>
      <c r="U1668" s="75"/>
      <c r="V1668" s="75"/>
    </row>
    <row r="1669" spans="2:22" x14ac:dyDescent="0.2">
      <c r="B1669" s="166"/>
      <c r="C1669" s="166"/>
      <c r="D1669" s="166"/>
      <c r="E1669" s="166"/>
      <c r="F1669" s="166"/>
      <c r="G1669" s="166"/>
      <c r="H1669" s="166"/>
      <c r="I1669" s="166"/>
      <c r="J1669" s="166"/>
      <c r="K1669" s="166"/>
      <c r="L1669" s="166"/>
      <c r="M1669" s="166"/>
      <c r="N1669" s="166"/>
      <c r="O1669" s="166"/>
      <c r="P1669" s="166"/>
      <c r="Q1669" s="76"/>
      <c r="R1669" s="76"/>
      <c r="S1669" s="76"/>
      <c r="T1669" s="76"/>
      <c r="U1669" s="76"/>
      <c r="V1669" s="76"/>
    </row>
    <row r="1670" spans="2:22" x14ac:dyDescent="0.2">
      <c r="B1670" s="165" t="s">
        <v>10598</v>
      </c>
      <c r="C1670" s="165"/>
      <c r="D1670" s="165"/>
      <c r="E1670" s="165"/>
      <c r="F1670" s="165"/>
      <c r="G1670" s="165"/>
      <c r="H1670" s="165"/>
      <c r="I1670" s="165"/>
      <c r="J1670" s="165"/>
      <c r="K1670" s="165"/>
      <c r="L1670" s="165"/>
      <c r="M1670" s="165"/>
      <c r="N1670" s="165"/>
      <c r="O1670" s="165"/>
      <c r="P1670" s="165"/>
      <c r="Q1670" s="73"/>
      <c r="R1670" s="23"/>
      <c r="S1670" s="23"/>
      <c r="T1670" s="73"/>
      <c r="U1670" s="73"/>
      <c r="V1670" s="73"/>
    </row>
    <row r="1671" spans="2:22" x14ac:dyDescent="0.2">
      <c r="B1671" s="73" t="s">
        <v>10598</v>
      </c>
      <c r="C1671" s="33" t="s">
        <v>1343</v>
      </c>
      <c r="D1671" s="23" t="s">
        <v>1344</v>
      </c>
      <c r="E1671" s="73"/>
      <c r="F1671" s="73"/>
      <c r="G1671" s="73"/>
      <c r="H1671" s="73"/>
      <c r="I1671" s="73"/>
      <c r="J1671" s="33" t="s">
        <v>9374</v>
      </c>
      <c r="K1671" s="33" t="s">
        <v>11016</v>
      </c>
      <c r="L1671" s="33" t="s">
        <v>121</v>
      </c>
      <c r="M1671" s="33" t="s">
        <v>9376</v>
      </c>
      <c r="N1671" s="73"/>
      <c r="O1671" s="73"/>
      <c r="P1671" s="73"/>
      <c r="Q1671" s="73"/>
      <c r="R1671" s="23"/>
      <c r="S1671" s="23"/>
      <c r="T1671" s="73"/>
      <c r="U1671" s="73"/>
      <c r="V1671" s="73"/>
    </row>
    <row r="1672" spans="2:22" x14ac:dyDescent="0.2">
      <c r="B1672" s="166"/>
      <c r="C1672" s="166"/>
      <c r="D1672" s="166"/>
      <c r="E1672" s="166"/>
      <c r="F1672" s="166"/>
      <c r="G1672" s="166"/>
      <c r="H1672" s="166"/>
      <c r="I1672" s="166"/>
      <c r="J1672" s="166"/>
      <c r="K1672" s="166"/>
      <c r="L1672" s="166"/>
      <c r="M1672" s="166"/>
      <c r="N1672" s="166"/>
      <c r="O1672" s="166"/>
      <c r="P1672" s="166"/>
      <c r="Q1672" s="73"/>
      <c r="R1672" s="23"/>
      <c r="S1672" s="23"/>
      <c r="T1672" s="73"/>
      <c r="U1672" s="73"/>
      <c r="V1672" s="73"/>
    </row>
    <row r="1673" spans="2:22" x14ac:dyDescent="0.2">
      <c r="B1673" s="165" t="s">
        <v>10600</v>
      </c>
      <c r="C1673" s="165"/>
      <c r="D1673" s="165"/>
      <c r="E1673" s="165"/>
      <c r="F1673" s="165"/>
      <c r="G1673" s="165"/>
      <c r="H1673" s="165"/>
      <c r="I1673" s="165"/>
      <c r="J1673" s="165"/>
      <c r="K1673" s="165"/>
      <c r="L1673" s="165"/>
      <c r="M1673" s="165"/>
      <c r="N1673" s="165"/>
      <c r="O1673" s="165"/>
      <c r="P1673" s="165"/>
      <c r="Q1673" s="75"/>
      <c r="R1673" s="75"/>
      <c r="S1673" s="75"/>
      <c r="T1673" s="75"/>
      <c r="U1673" s="75"/>
      <c r="V1673" s="75"/>
    </row>
    <row r="1674" spans="2:22" x14ac:dyDescent="0.2">
      <c r="B1674" s="73" t="s">
        <v>10600</v>
      </c>
      <c r="C1674" s="33" t="s">
        <v>1345</v>
      </c>
      <c r="D1674" s="23" t="s">
        <v>1346</v>
      </c>
      <c r="E1674" s="73"/>
      <c r="F1674" s="73"/>
      <c r="G1674" s="73"/>
      <c r="H1674" s="73"/>
      <c r="I1674" s="73"/>
      <c r="J1674" s="33" t="s">
        <v>9374</v>
      </c>
      <c r="K1674" s="33" t="s">
        <v>11016</v>
      </c>
      <c r="L1674" s="33" t="s">
        <v>121</v>
      </c>
      <c r="M1674" s="33" t="s">
        <v>9376</v>
      </c>
      <c r="N1674" s="73"/>
      <c r="O1674" s="73"/>
      <c r="P1674" s="73"/>
      <c r="Q1674" s="76"/>
      <c r="R1674" s="76"/>
      <c r="S1674" s="76"/>
      <c r="T1674" s="76"/>
      <c r="U1674" s="76"/>
      <c r="V1674" s="76"/>
    </row>
    <row r="1675" spans="2:22" x14ac:dyDescent="0.2">
      <c r="B1675" s="166"/>
      <c r="C1675" s="166"/>
      <c r="D1675" s="166"/>
      <c r="E1675" s="166"/>
      <c r="F1675" s="166"/>
      <c r="G1675" s="166"/>
      <c r="H1675" s="166"/>
      <c r="I1675" s="166"/>
      <c r="J1675" s="166"/>
      <c r="K1675" s="166"/>
      <c r="L1675" s="166"/>
      <c r="M1675" s="166"/>
      <c r="N1675" s="166"/>
      <c r="O1675" s="166"/>
      <c r="P1675" s="166"/>
      <c r="Q1675" s="73"/>
      <c r="R1675" s="23"/>
      <c r="S1675" s="23"/>
      <c r="T1675" s="73"/>
      <c r="U1675" s="73"/>
      <c r="V1675" s="73"/>
    </row>
    <row r="1676" spans="2:22" x14ac:dyDescent="0.2">
      <c r="B1676" s="165" t="s">
        <v>10602</v>
      </c>
      <c r="C1676" s="165"/>
      <c r="D1676" s="165"/>
      <c r="E1676" s="165"/>
      <c r="F1676" s="165"/>
      <c r="G1676" s="165"/>
      <c r="H1676" s="165"/>
      <c r="I1676" s="165"/>
      <c r="J1676" s="165"/>
      <c r="K1676" s="165"/>
      <c r="L1676" s="165"/>
      <c r="M1676" s="165"/>
      <c r="N1676" s="165"/>
      <c r="O1676" s="165"/>
      <c r="P1676" s="165"/>
      <c r="Q1676" s="75"/>
      <c r="R1676" s="75"/>
      <c r="S1676" s="75"/>
      <c r="T1676" s="75"/>
      <c r="U1676" s="75"/>
      <c r="V1676" s="75"/>
    </row>
    <row r="1677" spans="2:22" x14ac:dyDescent="0.2">
      <c r="B1677" s="73" t="s">
        <v>10602</v>
      </c>
      <c r="C1677" s="33" t="s">
        <v>1347</v>
      </c>
      <c r="D1677" s="23" t="s">
        <v>1348</v>
      </c>
      <c r="E1677" s="73"/>
      <c r="F1677" s="73"/>
      <c r="G1677" s="73"/>
      <c r="H1677" s="73"/>
      <c r="I1677" s="73"/>
      <c r="J1677" s="33" t="s">
        <v>9374</v>
      </c>
      <c r="K1677" s="33" t="s">
        <v>11016</v>
      </c>
      <c r="L1677" s="33" t="s">
        <v>121</v>
      </c>
      <c r="M1677" s="33" t="s">
        <v>9376</v>
      </c>
      <c r="N1677" s="73"/>
      <c r="O1677" s="73"/>
      <c r="P1677" s="73"/>
      <c r="Q1677" s="76"/>
      <c r="R1677" s="76"/>
      <c r="S1677" s="76"/>
      <c r="T1677" s="76"/>
      <c r="U1677" s="76"/>
      <c r="V1677" s="76"/>
    </row>
    <row r="1678" spans="2:22" x14ac:dyDescent="0.2">
      <c r="B1678" s="166"/>
      <c r="C1678" s="166"/>
      <c r="D1678" s="166"/>
      <c r="E1678" s="166"/>
      <c r="F1678" s="166"/>
      <c r="G1678" s="166"/>
      <c r="H1678" s="166"/>
      <c r="I1678" s="166"/>
      <c r="J1678" s="166"/>
      <c r="K1678" s="166"/>
      <c r="L1678" s="166"/>
      <c r="M1678" s="166"/>
      <c r="N1678" s="166"/>
      <c r="O1678" s="166"/>
      <c r="P1678" s="166"/>
      <c r="Q1678" s="73"/>
      <c r="R1678" s="23"/>
      <c r="S1678" s="23"/>
      <c r="T1678" s="73"/>
      <c r="U1678" s="73"/>
      <c r="V1678" s="73"/>
    </row>
    <row r="1679" spans="2:22" x14ac:dyDescent="0.2">
      <c r="B1679" s="165" t="s">
        <v>10603</v>
      </c>
      <c r="C1679" s="165"/>
      <c r="D1679" s="165"/>
      <c r="E1679" s="165"/>
      <c r="F1679" s="165"/>
      <c r="G1679" s="165"/>
      <c r="H1679" s="165"/>
      <c r="I1679" s="165"/>
      <c r="J1679" s="165"/>
      <c r="K1679" s="165"/>
      <c r="L1679" s="165"/>
      <c r="M1679" s="165"/>
      <c r="N1679" s="165"/>
      <c r="O1679" s="165"/>
      <c r="P1679" s="165"/>
      <c r="Q1679" s="73"/>
      <c r="R1679" s="23"/>
      <c r="S1679" s="23"/>
      <c r="T1679" s="73"/>
      <c r="U1679" s="73"/>
      <c r="V1679" s="73"/>
    </row>
    <row r="1680" spans="2:22" x14ac:dyDescent="0.2">
      <c r="B1680" s="73" t="s">
        <v>10603</v>
      </c>
      <c r="C1680" s="33" t="s">
        <v>1349</v>
      </c>
      <c r="D1680" s="23" t="s">
        <v>1350</v>
      </c>
      <c r="E1680" s="73"/>
      <c r="F1680" s="73"/>
      <c r="G1680" s="73"/>
      <c r="H1680" s="73"/>
      <c r="I1680" s="73"/>
      <c r="J1680" s="33" t="s">
        <v>9374</v>
      </c>
      <c r="K1680" s="33" t="s">
        <v>11016</v>
      </c>
      <c r="L1680" s="33" t="s">
        <v>121</v>
      </c>
      <c r="M1680" s="33" t="s">
        <v>9376</v>
      </c>
      <c r="N1680" s="73"/>
      <c r="O1680" s="73"/>
      <c r="P1680" s="73"/>
      <c r="Q1680" s="75"/>
      <c r="R1680" s="75"/>
      <c r="S1680" s="75"/>
      <c r="T1680" s="75"/>
      <c r="U1680" s="75"/>
      <c r="V1680" s="75"/>
    </row>
    <row r="1681" spans="2:22" x14ac:dyDescent="0.2">
      <c r="B1681" s="166"/>
      <c r="C1681" s="166"/>
      <c r="D1681" s="166"/>
      <c r="E1681" s="166"/>
      <c r="F1681" s="166"/>
      <c r="G1681" s="166"/>
      <c r="H1681" s="166"/>
      <c r="I1681" s="166"/>
      <c r="J1681" s="166"/>
      <c r="K1681" s="166"/>
      <c r="L1681" s="166"/>
      <c r="M1681" s="166"/>
      <c r="N1681" s="166"/>
      <c r="O1681" s="166"/>
      <c r="P1681" s="166"/>
      <c r="Q1681" s="76"/>
      <c r="R1681" s="76"/>
      <c r="S1681" s="76"/>
      <c r="T1681" s="76"/>
      <c r="U1681" s="76"/>
      <c r="V1681" s="76"/>
    </row>
    <row r="1682" spans="2:22" x14ac:dyDescent="0.2">
      <c r="B1682" s="165" t="s">
        <v>10605</v>
      </c>
      <c r="C1682" s="165"/>
      <c r="D1682" s="165"/>
      <c r="E1682" s="165"/>
      <c r="F1682" s="165"/>
      <c r="G1682" s="165"/>
      <c r="H1682" s="165"/>
      <c r="I1682" s="165"/>
      <c r="J1682" s="165"/>
      <c r="K1682" s="165"/>
      <c r="L1682" s="165"/>
      <c r="M1682" s="165"/>
      <c r="N1682" s="165"/>
      <c r="O1682" s="165"/>
      <c r="P1682" s="165"/>
      <c r="Q1682" s="73"/>
      <c r="R1682" s="23"/>
      <c r="S1682" s="23"/>
      <c r="T1682" s="73"/>
      <c r="U1682" s="73"/>
      <c r="V1682" s="73"/>
    </row>
    <row r="1683" spans="2:22" x14ac:dyDescent="0.2">
      <c r="B1683" s="73" t="s">
        <v>10605</v>
      </c>
      <c r="C1683" s="33" t="s">
        <v>1351</v>
      </c>
      <c r="D1683" s="23" t="s">
        <v>1352</v>
      </c>
      <c r="E1683" s="73"/>
      <c r="F1683" s="73"/>
      <c r="G1683" s="73"/>
      <c r="H1683" s="73"/>
      <c r="I1683" s="73"/>
      <c r="J1683" s="33" t="s">
        <v>9374</v>
      </c>
      <c r="K1683" s="33" t="s">
        <v>9375</v>
      </c>
      <c r="L1683" s="33" t="s">
        <v>121</v>
      </c>
      <c r="M1683" s="33" t="s">
        <v>9376</v>
      </c>
      <c r="N1683" s="73"/>
      <c r="O1683" s="73"/>
      <c r="P1683" s="73"/>
      <c r="Q1683" s="73"/>
      <c r="R1683" s="23"/>
      <c r="S1683" s="23"/>
      <c r="T1683" s="73"/>
      <c r="U1683" s="73"/>
      <c r="V1683" s="73"/>
    </row>
    <row r="1684" spans="2:22" x14ac:dyDescent="0.2">
      <c r="B1684" s="166"/>
      <c r="C1684" s="166"/>
      <c r="D1684" s="166"/>
      <c r="E1684" s="166"/>
      <c r="F1684" s="166"/>
      <c r="G1684" s="166"/>
      <c r="H1684" s="166"/>
      <c r="I1684" s="166"/>
      <c r="J1684" s="166"/>
      <c r="K1684" s="166"/>
      <c r="L1684" s="166"/>
      <c r="M1684" s="166"/>
      <c r="N1684" s="166"/>
      <c r="O1684" s="166"/>
      <c r="P1684" s="166"/>
      <c r="Q1684" s="75"/>
      <c r="R1684" s="75"/>
      <c r="S1684" s="75"/>
      <c r="T1684" s="75"/>
      <c r="U1684" s="75"/>
      <c r="V1684" s="75"/>
    </row>
    <row r="1685" spans="2:22" x14ac:dyDescent="0.2">
      <c r="B1685" s="165" t="s">
        <v>10610</v>
      </c>
      <c r="C1685" s="165"/>
      <c r="D1685" s="165"/>
      <c r="E1685" s="165"/>
      <c r="F1685" s="165"/>
      <c r="G1685" s="165"/>
      <c r="H1685" s="165"/>
      <c r="I1685" s="165"/>
      <c r="J1685" s="165"/>
      <c r="K1685" s="165"/>
      <c r="L1685" s="165"/>
      <c r="M1685" s="165"/>
      <c r="N1685" s="165"/>
      <c r="O1685" s="165"/>
      <c r="P1685" s="165"/>
      <c r="Q1685" s="76"/>
      <c r="R1685" s="76"/>
      <c r="S1685" s="76"/>
      <c r="T1685" s="76"/>
      <c r="U1685" s="76"/>
      <c r="V1685" s="76"/>
    </row>
    <row r="1686" spans="2:22" x14ac:dyDescent="0.2">
      <c r="B1686" s="73" t="s">
        <v>10610</v>
      </c>
      <c r="C1686" s="33" t="s">
        <v>1353</v>
      </c>
      <c r="D1686" s="23" t="s">
        <v>1354</v>
      </c>
      <c r="E1686" s="73"/>
      <c r="F1686" s="73"/>
      <c r="G1686" s="73"/>
      <c r="H1686" s="73"/>
      <c r="I1686" s="73"/>
      <c r="J1686" s="33" t="s">
        <v>9374</v>
      </c>
      <c r="K1686" s="33" t="s">
        <v>9375</v>
      </c>
      <c r="L1686" s="33" t="s">
        <v>121</v>
      </c>
      <c r="M1686" s="33" t="s">
        <v>9376</v>
      </c>
      <c r="N1686" s="73"/>
      <c r="O1686" s="73"/>
      <c r="P1686" s="73"/>
      <c r="Q1686" s="73"/>
      <c r="R1686" s="23"/>
      <c r="S1686" s="23"/>
      <c r="T1686" s="73"/>
      <c r="U1686" s="73"/>
      <c r="V1686" s="73"/>
    </row>
    <row r="1687" spans="2:22" x14ac:dyDescent="0.2">
      <c r="B1687" s="166"/>
      <c r="C1687" s="166"/>
      <c r="D1687" s="166"/>
      <c r="E1687" s="166"/>
      <c r="F1687" s="166"/>
      <c r="G1687" s="166"/>
      <c r="H1687" s="166"/>
      <c r="I1687" s="166"/>
      <c r="J1687" s="166"/>
      <c r="K1687" s="166"/>
      <c r="L1687" s="166"/>
      <c r="M1687" s="166"/>
      <c r="N1687" s="166"/>
      <c r="O1687" s="166"/>
      <c r="P1687" s="166"/>
      <c r="Q1687" s="75"/>
      <c r="R1687" s="75"/>
      <c r="S1687" s="75"/>
      <c r="T1687" s="75"/>
      <c r="U1687" s="75"/>
      <c r="V1687" s="75"/>
    </row>
    <row r="1688" spans="2:22" x14ac:dyDescent="0.2">
      <c r="B1688" s="165" t="s">
        <v>10612</v>
      </c>
      <c r="C1688" s="165"/>
      <c r="D1688" s="165"/>
      <c r="E1688" s="165"/>
      <c r="F1688" s="165"/>
      <c r="G1688" s="165"/>
      <c r="H1688" s="165"/>
      <c r="I1688" s="165"/>
      <c r="J1688" s="165"/>
      <c r="K1688" s="165"/>
      <c r="L1688" s="165"/>
      <c r="M1688" s="165"/>
      <c r="N1688" s="165"/>
      <c r="O1688" s="165"/>
      <c r="P1688" s="165"/>
      <c r="Q1688" s="76"/>
      <c r="R1688" s="76"/>
      <c r="S1688" s="76"/>
      <c r="T1688" s="76"/>
      <c r="U1688" s="76"/>
      <c r="V1688" s="76"/>
    </row>
    <row r="1689" spans="2:22" x14ac:dyDescent="0.2">
      <c r="B1689" s="73" t="s">
        <v>10612</v>
      </c>
      <c r="C1689" s="33" t="s">
        <v>1355</v>
      </c>
      <c r="D1689" s="23" t="s">
        <v>1356</v>
      </c>
      <c r="E1689" s="73"/>
      <c r="F1689" s="73"/>
      <c r="G1689" s="73"/>
      <c r="H1689" s="73"/>
      <c r="I1689" s="73"/>
      <c r="J1689" s="33" t="s">
        <v>9374</v>
      </c>
      <c r="K1689" s="33" t="s">
        <v>11016</v>
      </c>
      <c r="L1689" s="33" t="s">
        <v>121</v>
      </c>
      <c r="M1689" s="33" t="s">
        <v>9376</v>
      </c>
      <c r="N1689" s="73"/>
      <c r="O1689" s="73"/>
      <c r="P1689" s="73"/>
      <c r="Q1689" s="73"/>
      <c r="R1689" s="23"/>
      <c r="S1689" s="23"/>
      <c r="T1689" s="73"/>
      <c r="U1689" s="73"/>
      <c r="V1689" s="73"/>
    </row>
    <row r="1690" spans="2:22" x14ac:dyDescent="0.2">
      <c r="B1690" s="166"/>
      <c r="C1690" s="166"/>
      <c r="D1690" s="166"/>
      <c r="E1690" s="166"/>
      <c r="F1690" s="166"/>
      <c r="G1690" s="166"/>
      <c r="H1690" s="166"/>
      <c r="I1690" s="166"/>
      <c r="J1690" s="166"/>
      <c r="K1690" s="166"/>
      <c r="L1690" s="166"/>
      <c r="M1690" s="166"/>
      <c r="N1690" s="166"/>
      <c r="O1690" s="166"/>
      <c r="P1690" s="166"/>
      <c r="Q1690" s="73"/>
      <c r="R1690" s="23"/>
      <c r="S1690" s="23"/>
      <c r="T1690" s="73"/>
      <c r="U1690" s="73"/>
      <c r="V1690" s="73"/>
    </row>
    <row r="1691" spans="2:22" x14ac:dyDescent="0.2">
      <c r="B1691" s="165" t="s">
        <v>10614</v>
      </c>
      <c r="C1691" s="165"/>
      <c r="D1691" s="165"/>
      <c r="E1691" s="165"/>
      <c r="F1691" s="165"/>
      <c r="G1691" s="165"/>
      <c r="H1691" s="165"/>
      <c r="I1691" s="165"/>
      <c r="J1691" s="165"/>
      <c r="K1691" s="165"/>
      <c r="L1691" s="165"/>
      <c r="M1691" s="165"/>
      <c r="N1691" s="165"/>
      <c r="O1691" s="165"/>
      <c r="P1691" s="165"/>
      <c r="Q1691" s="73"/>
      <c r="R1691" s="23"/>
      <c r="S1691" s="23"/>
      <c r="T1691" s="73"/>
      <c r="U1691" s="73"/>
      <c r="V1691" s="73"/>
    </row>
    <row r="1692" spans="2:22" x14ac:dyDescent="0.2">
      <c r="B1692" s="73" t="s">
        <v>10614</v>
      </c>
      <c r="C1692" s="33" t="s">
        <v>1357</v>
      </c>
      <c r="D1692" s="23" t="s">
        <v>1358</v>
      </c>
      <c r="E1692" s="73"/>
      <c r="F1692" s="73"/>
      <c r="G1692" s="73"/>
      <c r="H1692" s="73"/>
      <c r="I1692" s="73"/>
      <c r="J1692" s="33" t="s">
        <v>9374</v>
      </c>
      <c r="K1692" s="33" t="s">
        <v>9375</v>
      </c>
      <c r="L1692" s="33" t="s">
        <v>121</v>
      </c>
      <c r="M1692" s="33" t="s">
        <v>9376</v>
      </c>
      <c r="N1692" s="73"/>
      <c r="O1692" s="73"/>
      <c r="P1692" s="73"/>
      <c r="Q1692" s="73"/>
      <c r="R1692" s="23"/>
      <c r="S1692" s="23"/>
      <c r="T1692" s="73"/>
      <c r="U1692" s="73"/>
      <c r="V1692" s="73"/>
    </row>
    <row r="1693" spans="2:22" x14ac:dyDescent="0.2">
      <c r="B1693" s="166"/>
      <c r="C1693" s="166"/>
      <c r="D1693" s="166"/>
      <c r="E1693" s="166"/>
      <c r="F1693" s="166"/>
      <c r="G1693" s="166"/>
      <c r="H1693" s="166"/>
      <c r="I1693" s="166"/>
      <c r="J1693" s="166"/>
      <c r="K1693" s="166"/>
      <c r="L1693" s="166"/>
      <c r="M1693" s="166"/>
      <c r="N1693" s="166"/>
      <c r="O1693" s="166"/>
      <c r="P1693" s="166"/>
      <c r="Q1693" s="73"/>
      <c r="R1693" s="23"/>
      <c r="S1693" s="23"/>
      <c r="T1693" s="73"/>
      <c r="U1693" s="73"/>
      <c r="V1693" s="73"/>
    </row>
    <row r="1694" spans="2:22" x14ac:dyDescent="0.2">
      <c r="B1694" s="165" t="s">
        <v>10616</v>
      </c>
      <c r="C1694" s="165"/>
      <c r="D1694" s="165"/>
      <c r="E1694" s="165"/>
      <c r="F1694" s="165"/>
      <c r="G1694" s="165"/>
      <c r="H1694" s="165"/>
      <c r="I1694" s="165"/>
      <c r="J1694" s="165"/>
      <c r="K1694" s="165"/>
      <c r="L1694" s="165"/>
      <c r="M1694" s="165"/>
      <c r="N1694" s="165"/>
      <c r="O1694" s="165"/>
      <c r="P1694" s="165"/>
      <c r="Q1694" s="75"/>
      <c r="R1694" s="75"/>
      <c r="S1694" s="75"/>
      <c r="T1694" s="75"/>
      <c r="U1694" s="75"/>
      <c r="V1694" s="75"/>
    </row>
    <row r="1695" spans="2:22" x14ac:dyDescent="0.2">
      <c r="B1695" s="73" t="s">
        <v>10616</v>
      </c>
      <c r="C1695" s="33" t="s">
        <v>1359</v>
      </c>
      <c r="D1695" s="23" t="s">
        <v>1360</v>
      </c>
      <c r="E1695" s="73"/>
      <c r="F1695" s="73"/>
      <c r="G1695" s="73"/>
      <c r="H1695" s="73"/>
      <c r="I1695" s="73"/>
      <c r="J1695" s="33" t="s">
        <v>9374</v>
      </c>
      <c r="K1695" s="33" t="s">
        <v>11016</v>
      </c>
      <c r="L1695" s="33" t="s">
        <v>121</v>
      </c>
      <c r="M1695" s="33" t="s">
        <v>9376</v>
      </c>
      <c r="N1695" s="73"/>
      <c r="O1695" s="73"/>
      <c r="P1695" s="73"/>
      <c r="Q1695" s="76"/>
      <c r="R1695" s="76"/>
      <c r="S1695" s="76"/>
      <c r="T1695" s="76"/>
      <c r="U1695" s="76"/>
      <c r="V1695" s="76"/>
    </row>
    <row r="1696" spans="2:22" x14ac:dyDescent="0.2">
      <c r="B1696" s="166"/>
      <c r="C1696" s="166"/>
      <c r="D1696" s="166"/>
      <c r="E1696" s="166"/>
      <c r="F1696" s="166"/>
      <c r="G1696" s="166"/>
      <c r="H1696" s="166"/>
      <c r="I1696" s="166"/>
      <c r="J1696" s="166"/>
      <c r="K1696" s="166"/>
      <c r="L1696" s="166"/>
      <c r="M1696" s="166"/>
      <c r="N1696" s="166"/>
      <c r="O1696" s="166"/>
      <c r="P1696" s="166"/>
      <c r="Q1696" s="73"/>
      <c r="R1696" s="23"/>
      <c r="S1696" s="23"/>
      <c r="T1696" s="73"/>
      <c r="U1696" s="73"/>
      <c r="V1696" s="73"/>
    </row>
    <row r="1697" spans="2:22" x14ac:dyDescent="0.2">
      <c r="B1697" s="165" t="s">
        <v>10618</v>
      </c>
      <c r="C1697" s="165"/>
      <c r="D1697" s="165"/>
      <c r="E1697" s="165"/>
      <c r="F1697" s="165"/>
      <c r="G1697" s="165"/>
      <c r="H1697" s="165"/>
      <c r="I1697" s="165"/>
      <c r="J1697" s="165"/>
      <c r="K1697" s="165"/>
      <c r="L1697" s="165"/>
      <c r="M1697" s="165"/>
      <c r="N1697" s="165"/>
      <c r="O1697" s="165"/>
      <c r="P1697" s="165"/>
      <c r="Q1697" s="73"/>
      <c r="R1697" s="23"/>
      <c r="S1697" s="23"/>
      <c r="T1697" s="73"/>
      <c r="U1697" s="73"/>
      <c r="V1697" s="73"/>
    </row>
    <row r="1698" spans="2:22" x14ac:dyDescent="0.2">
      <c r="B1698" s="73" t="s">
        <v>10618</v>
      </c>
      <c r="C1698" s="33" t="s">
        <v>1361</v>
      </c>
      <c r="D1698" s="23" t="s">
        <v>1362</v>
      </c>
      <c r="E1698" s="73"/>
      <c r="F1698" s="73"/>
      <c r="G1698" s="73"/>
      <c r="H1698" s="73"/>
      <c r="I1698" s="73"/>
      <c r="J1698" s="33" t="s">
        <v>9374</v>
      </c>
      <c r="K1698" s="33" t="s">
        <v>11016</v>
      </c>
      <c r="L1698" s="33" t="s">
        <v>121</v>
      </c>
      <c r="M1698" s="33" t="s">
        <v>9376</v>
      </c>
      <c r="N1698" s="73"/>
      <c r="O1698" s="73"/>
      <c r="P1698" s="73"/>
      <c r="Q1698" s="75"/>
      <c r="R1698" s="75"/>
      <c r="S1698" s="75"/>
      <c r="T1698" s="75"/>
      <c r="U1698" s="75"/>
      <c r="V1698" s="75"/>
    </row>
    <row r="1699" spans="2:22" x14ac:dyDescent="0.2">
      <c r="B1699" s="73" t="s">
        <v>10618</v>
      </c>
      <c r="C1699" s="33" t="s">
        <v>1893</v>
      </c>
      <c r="D1699" s="23" t="s">
        <v>1894</v>
      </c>
      <c r="E1699" s="73" t="s">
        <v>11041</v>
      </c>
      <c r="F1699" s="73" t="s">
        <v>10902</v>
      </c>
      <c r="G1699" s="73"/>
      <c r="H1699" s="73" t="s">
        <v>10917</v>
      </c>
      <c r="I1699" s="73" t="s">
        <v>11239</v>
      </c>
      <c r="J1699" s="33" t="s">
        <v>9374</v>
      </c>
      <c r="K1699" s="33" t="s">
        <v>11016</v>
      </c>
      <c r="L1699" s="33" t="s">
        <v>121</v>
      </c>
      <c r="M1699" s="33" t="s">
        <v>9376</v>
      </c>
      <c r="N1699" s="73"/>
      <c r="O1699" s="73"/>
      <c r="P1699" s="73"/>
      <c r="Q1699" s="76"/>
      <c r="R1699" s="76"/>
      <c r="S1699" s="76"/>
      <c r="T1699" s="76"/>
      <c r="U1699" s="76"/>
      <c r="V1699" s="76"/>
    </row>
    <row r="1700" spans="2:22" x14ac:dyDescent="0.2">
      <c r="B1700" s="166"/>
      <c r="C1700" s="166"/>
      <c r="D1700" s="166"/>
      <c r="E1700" s="166"/>
      <c r="F1700" s="166"/>
      <c r="G1700" s="166"/>
      <c r="H1700" s="166"/>
      <c r="I1700" s="166"/>
      <c r="J1700" s="166"/>
      <c r="K1700" s="166"/>
      <c r="L1700" s="166"/>
      <c r="M1700" s="166"/>
      <c r="N1700" s="166"/>
      <c r="O1700" s="166"/>
      <c r="P1700" s="166"/>
      <c r="Q1700" s="73"/>
      <c r="R1700" s="23"/>
      <c r="S1700" s="23"/>
      <c r="T1700" s="73"/>
      <c r="U1700" s="73"/>
      <c r="V1700" s="73"/>
    </row>
    <row r="1701" spans="2:22" x14ac:dyDescent="0.2">
      <c r="B1701" s="165" t="s">
        <v>10620</v>
      </c>
      <c r="C1701" s="165"/>
      <c r="D1701" s="165"/>
      <c r="E1701" s="165"/>
      <c r="F1701" s="165"/>
      <c r="G1701" s="165"/>
      <c r="H1701" s="165"/>
      <c r="I1701" s="165"/>
      <c r="J1701" s="165"/>
      <c r="K1701" s="165"/>
      <c r="L1701" s="165"/>
      <c r="M1701" s="165"/>
      <c r="N1701" s="165"/>
      <c r="O1701" s="165"/>
      <c r="P1701" s="165"/>
      <c r="Q1701" s="73"/>
      <c r="R1701" s="23"/>
      <c r="S1701" s="23"/>
      <c r="T1701" s="73"/>
      <c r="U1701" s="73"/>
      <c r="V1701" s="73"/>
    </row>
    <row r="1702" spans="2:22" x14ac:dyDescent="0.2">
      <c r="B1702" s="73" t="s">
        <v>10620</v>
      </c>
      <c r="C1702" s="33" t="s">
        <v>1363</v>
      </c>
      <c r="D1702" s="23" t="s">
        <v>1364</v>
      </c>
      <c r="E1702" s="73"/>
      <c r="F1702" s="73"/>
      <c r="G1702" s="73"/>
      <c r="H1702" s="73"/>
      <c r="I1702" s="73"/>
      <c r="J1702" s="33" t="s">
        <v>9374</v>
      </c>
      <c r="K1702" s="33" t="s">
        <v>11016</v>
      </c>
      <c r="L1702" s="33" t="s">
        <v>121</v>
      </c>
      <c r="M1702" s="33" t="s">
        <v>9376</v>
      </c>
      <c r="N1702" s="73"/>
      <c r="O1702" s="73"/>
      <c r="P1702" s="73"/>
      <c r="Q1702" s="75"/>
      <c r="R1702" s="75"/>
      <c r="S1702" s="75"/>
      <c r="T1702" s="75"/>
      <c r="U1702" s="75"/>
      <c r="V1702" s="75"/>
    </row>
    <row r="1703" spans="2:22" x14ac:dyDescent="0.2">
      <c r="B1703" s="166"/>
      <c r="C1703" s="166"/>
      <c r="D1703" s="166"/>
      <c r="E1703" s="166"/>
      <c r="F1703" s="166"/>
      <c r="G1703" s="166"/>
      <c r="H1703" s="166"/>
      <c r="I1703" s="166"/>
      <c r="J1703" s="166"/>
      <c r="K1703" s="166"/>
      <c r="L1703" s="166"/>
      <c r="M1703" s="166"/>
      <c r="N1703" s="166"/>
      <c r="O1703" s="166"/>
      <c r="P1703" s="166"/>
      <c r="Q1703" s="76"/>
      <c r="R1703" s="76"/>
      <c r="S1703" s="76"/>
      <c r="T1703" s="76"/>
      <c r="U1703" s="76"/>
      <c r="V1703" s="76"/>
    </row>
    <row r="1704" spans="2:22" x14ac:dyDescent="0.2">
      <c r="B1704" s="165" t="s">
        <v>10622</v>
      </c>
      <c r="C1704" s="165"/>
      <c r="D1704" s="165"/>
      <c r="E1704" s="165"/>
      <c r="F1704" s="165"/>
      <c r="G1704" s="165"/>
      <c r="H1704" s="165"/>
      <c r="I1704" s="165"/>
      <c r="J1704" s="165"/>
      <c r="K1704" s="165"/>
      <c r="L1704" s="165"/>
      <c r="M1704" s="165"/>
      <c r="N1704" s="165"/>
      <c r="O1704" s="165"/>
      <c r="P1704" s="165"/>
      <c r="Q1704" s="73"/>
      <c r="R1704" s="23"/>
      <c r="S1704" s="23"/>
      <c r="T1704" s="73"/>
      <c r="U1704" s="73"/>
      <c r="V1704" s="73"/>
    </row>
    <row r="1705" spans="2:22" x14ac:dyDescent="0.2">
      <c r="B1705" s="73" t="s">
        <v>10622</v>
      </c>
      <c r="C1705" s="33" t="s">
        <v>1365</v>
      </c>
      <c r="D1705" s="23" t="s">
        <v>1366</v>
      </c>
      <c r="E1705" s="73"/>
      <c r="F1705" s="73"/>
      <c r="G1705" s="73"/>
      <c r="H1705" s="73"/>
      <c r="I1705" s="73"/>
      <c r="J1705" s="33" t="s">
        <v>9374</v>
      </c>
      <c r="K1705" s="33" t="s">
        <v>9375</v>
      </c>
      <c r="L1705" s="33" t="s">
        <v>121</v>
      </c>
      <c r="M1705" s="33" t="s">
        <v>9376</v>
      </c>
      <c r="N1705" s="73"/>
      <c r="O1705" s="73"/>
      <c r="P1705" s="73"/>
      <c r="Q1705" s="75"/>
      <c r="R1705" s="75"/>
      <c r="S1705" s="75"/>
      <c r="T1705" s="75"/>
      <c r="U1705" s="75"/>
      <c r="V1705" s="75"/>
    </row>
    <row r="1706" spans="2:22" x14ac:dyDescent="0.2">
      <c r="B1706" s="166"/>
      <c r="C1706" s="166"/>
      <c r="D1706" s="166"/>
      <c r="E1706" s="166"/>
      <c r="F1706" s="166"/>
      <c r="G1706" s="166"/>
      <c r="H1706" s="166"/>
      <c r="I1706" s="166"/>
      <c r="J1706" s="166"/>
      <c r="K1706" s="166"/>
      <c r="L1706" s="166"/>
      <c r="M1706" s="166"/>
      <c r="N1706" s="166"/>
      <c r="O1706" s="166"/>
      <c r="P1706" s="166"/>
      <c r="Q1706" s="76"/>
      <c r="R1706" s="76"/>
      <c r="S1706" s="76"/>
      <c r="T1706" s="76"/>
      <c r="U1706" s="76"/>
      <c r="V1706" s="76"/>
    </row>
    <row r="1707" spans="2:22" x14ac:dyDescent="0.2">
      <c r="B1707" s="165" t="s">
        <v>10625</v>
      </c>
      <c r="C1707" s="165"/>
      <c r="D1707" s="165"/>
      <c r="E1707" s="165"/>
      <c r="F1707" s="165"/>
      <c r="G1707" s="165"/>
      <c r="H1707" s="165"/>
      <c r="I1707" s="165"/>
      <c r="J1707" s="165"/>
      <c r="K1707" s="165"/>
      <c r="L1707" s="165"/>
      <c r="M1707" s="165"/>
      <c r="N1707" s="165"/>
      <c r="O1707" s="165"/>
      <c r="P1707" s="165"/>
      <c r="Q1707" s="73"/>
      <c r="R1707" s="23"/>
      <c r="S1707" s="23"/>
      <c r="T1707" s="73"/>
      <c r="U1707" s="73"/>
      <c r="V1707" s="73"/>
    </row>
    <row r="1708" spans="2:22" x14ac:dyDescent="0.2">
      <c r="B1708" s="73" t="s">
        <v>10625</v>
      </c>
      <c r="C1708" s="33" t="s">
        <v>1367</v>
      </c>
      <c r="D1708" s="23" t="s">
        <v>1368</v>
      </c>
      <c r="E1708" s="73"/>
      <c r="F1708" s="73"/>
      <c r="G1708" s="73"/>
      <c r="H1708" s="73"/>
      <c r="I1708" s="73"/>
      <c r="J1708" s="33" t="s">
        <v>9374</v>
      </c>
      <c r="K1708" s="33" t="s">
        <v>11016</v>
      </c>
      <c r="L1708" s="33" t="s">
        <v>121</v>
      </c>
      <c r="M1708" s="33" t="s">
        <v>9376</v>
      </c>
      <c r="N1708" s="73"/>
      <c r="O1708" s="73"/>
      <c r="P1708" s="73"/>
      <c r="Q1708" s="73"/>
      <c r="R1708" s="23"/>
      <c r="S1708" s="23"/>
      <c r="T1708" s="73"/>
      <c r="U1708" s="73"/>
      <c r="V1708" s="73"/>
    </row>
    <row r="1709" spans="2:22" ht="122.4" x14ac:dyDescent="0.2">
      <c r="B1709" s="74" t="s">
        <v>11240</v>
      </c>
      <c r="C1709" s="33" t="s">
        <v>1716</v>
      </c>
      <c r="D1709" s="23" t="s">
        <v>1717</v>
      </c>
      <c r="E1709" s="73" t="s">
        <v>11027</v>
      </c>
      <c r="F1709" s="73" t="s">
        <v>10902</v>
      </c>
      <c r="G1709" s="73"/>
      <c r="H1709" s="73" t="s">
        <v>11028</v>
      </c>
      <c r="I1709" s="73" t="s">
        <v>11241</v>
      </c>
      <c r="J1709" s="33" t="s">
        <v>9374</v>
      </c>
      <c r="K1709" s="33" t="s">
        <v>11016</v>
      </c>
      <c r="L1709" s="33" t="s">
        <v>121</v>
      </c>
      <c r="M1709" s="33" t="s">
        <v>9376</v>
      </c>
      <c r="N1709" s="73"/>
      <c r="O1709" s="73"/>
      <c r="P1709" s="73"/>
      <c r="Q1709" s="73" t="s">
        <v>10919</v>
      </c>
      <c r="R1709" s="23"/>
      <c r="S1709" s="23"/>
      <c r="T1709" s="73"/>
      <c r="U1709" s="73"/>
      <c r="V1709" s="73"/>
    </row>
    <row r="1710" spans="2:22" x14ac:dyDescent="0.2">
      <c r="B1710" s="166"/>
      <c r="C1710" s="166"/>
      <c r="D1710" s="166"/>
      <c r="E1710" s="166"/>
      <c r="F1710" s="166"/>
      <c r="G1710" s="166"/>
      <c r="H1710" s="166"/>
      <c r="I1710" s="166"/>
      <c r="J1710" s="166"/>
      <c r="K1710" s="166"/>
      <c r="L1710" s="166"/>
      <c r="M1710" s="166"/>
      <c r="N1710" s="166"/>
      <c r="O1710" s="166"/>
      <c r="P1710" s="166"/>
      <c r="Q1710" s="73"/>
      <c r="R1710" s="23"/>
      <c r="S1710" s="23"/>
      <c r="T1710" s="73"/>
      <c r="U1710" s="73"/>
      <c r="V1710" s="73"/>
    </row>
    <row r="1711" spans="2:22" x14ac:dyDescent="0.2">
      <c r="B1711" s="165" t="s">
        <v>10627</v>
      </c>
      <c r="C1711" s="165"/>
      <c r="D1711" s="165"/>
      <c r="E1711" s="165"/>
      <c r="F1711" s="165"/>
      <c r="G1711" s="165"/>
      <c r="H1711" s="165"/>
      <c r="I1711" s="165"/>
      <c r="J1711" s="165"/>
      <c r="K1711" s="165"/>
      <c r="L1711" s="165"/>
      <c r="M1711" s="165"/>
      <c r="N1711" s="165"/>
      <c r="O1711" s="165"/>
      <c r="P1711" s="165"/>
      <c r="Q1711" s="75"/>
      <c r="R1711" s="75"/>
      <c r="S1711" s="75"/>
      <c r="T1711" s="75"/>
      <c r="U1711" s="75"/>
      <c r="V1711" s="75"/>
    </row>
    <row r="1712" spans="2:22" x14ac:dyDescent="0.2">
      <c r="B1712" s="73" t="s">
        <v>10627</v>
      </c>
      <c r="C1712" s="33" t="s">
        <v>1369</v>
      </c>
      <c r="D1712" s="23" t="s">
        <v>1370</v>
      </c>
      <c r="E1712" s="73"/>
      <c r="F1712" s="73"/>
      <c r="G1712" s="73"/>
      <c r="H1712" s="73"/>
      <c r="I1712" s="73"/>
      <c r="J1712" s="33" t="s">
        <v>9374</v>
      </c>
      <c r="K1712" s="33" t="s">
        <v>11016</v>
      </c>
      <c r="L1712" s="33" t="s">
        <v>121</v>
      </c>
      <c r="M1712" s="33" t="s">
        <v>9376</v>
      </c>
      <c r="N1712" s="73"/>
      <c r="O1712" s="73"/>
      <c r="P1712" s="73"/>
      <c r="Q1712" s="76"/>
      <c r="R1712" s="76"/>
      <c r="S1712" s="76"/>
      <c r="T1712" s="76"/>
      <c r="U1712" s="76"/>
      <c r="V1712" s="76"/>
    </row>
    <row r="1713" spans="2:22" x14ac:dyDescent="0.2">
      <c r="B1713" s="166"/>
      <c r="C1713" s="166"/>
      <c r="D1713" s="166"/>
      <c r="E1713" s="166"/>
      <c r="F1713" s="166"/>
      <c r="G1713" s="166"/>
      <c r="H1713" s="166"/>
      <c r="I1713" s="166"/>
      <c r="J1713" s="166"/>
      <c r="K1713" s="166"/>
      <c r="L1713" s="166"/>
      <c r="M1713" s="166"/>
      <c r="N1713" s="166"/>
      <c r="O1713" s="166"/>
      <c r="P1713" s="166"/>
      <c r="Q1713" s="73"/>
      <c r="R1713" s="23"/>
      <c r="S1713" s="23"/>
      <c r="T1713" s="73"/>
      <c r="U1713" s="73"/>
      <c r="V1713" s="73"/>
    </row>
    <row r="1714" spans="2:22" x14ac:dyDescent="0.2">
      <c r="B1714" s="165" t="s">
        <v>10630</v>
      </c>
      <c r="C1714" s="165"/>
      <c r="D1714" s="165"/>
      <c r="E1714" s="165"/>
      <c r="F1714" s="165"/>
      <c r="G1714" s="165"/>
      <c r="H1714" s="165"/>
      <c r="I1714" s="165"/>
      <c r="J1714" s="165"/>
      <c r="K1714" s="165"/>
      <c r="L1714" s="165"/>
      <c r="M1714" s="165"/>
      <c r="N1714" s="165"/>
      <c r="O1714" s="165"/>
      <c r="P1714" s="165"/>
      <c r="Q1714" s="73"/>
      <c r="R1714" s="23"/>
      <c r="S1714" s="23"/>
      <c r="T1714" s="73"/>
      <c r="U1714" s="73"/>
      <c r="V1714" s="73"/>
    </row>
    <row r="1715" spans="2:22" x14ac:dyDescent="0.2">
      <c r="B1715" s="73" t="s">
        <v>10630</v>
      </c>
      <c r="C1715" s="33" t="s">
        <v>1371</v>
      </c>
      <c r="D1715" s="23" t="s">
        <v>1372</v>
      </c>
      <c r="E1715" s="73"/>
      <c r="F1715" s="73"/>
      <c r="G1715" s="73"/>
      <c r="H1715" s="73"/>
      <c r="I1715" s="73"/>
      <c r="J1715" s="33" t="s">
        <v>9374</v>
      </c>
      <c r="K1715" s="33" t="s">
        <v>11016</v>
      </c>
      <c r="L1715" s="33" t="s">
        <v>121</v>
      </c>
      <c r="M1715" s="33" t="s">
        <v>9376</v>
      </c>
      <c r="N1715" s="73"/>
      <c r="O1715" s="73"/>
      <c r="P1715" s="73"/>
      <c r="Q1715" s="75"/>
      <c r="R1715" s="75"/>
      <c r="S1715" s="75"/>
      <c r="T1715" s="75"/>
      <c r="U1715" s="75"/>
      <c r="V1715" s="75"/>
    </row>
    <row r="1716" spans="2:22" x14ac:dyDescent="0.2">
      <c r="B1716" s="166"/>
      <c r="C1716" s="166"/>
      <c r="D1716" s="166"/>
      <c r="E1716" s="166"/>
      <c r="F1716" s="166"/>
      <c r="G1716" s="166"/>
      <c r="H1716" s="166"/>
      <c r="I1716" s="166"/>
      <c r="J1716" s="166"/>
      <c r="K1716" s="166"/>
      <c r="L1716" s="166"/>
      <c r="M1716" s="166"/>
      <c r="N1716" s="166"/>
      <c r="O1716" s="166"/>
      <c r="P1716" s="166"/>
      <c r="Q1716" s="76"/>
      <c r="R1716" s="76"/>
      <c r="S1716" s="76"/>
      <c r="T1716" s="76"/>
      <c r="U1716" s="76"/>
      <c r="V1716" s="76"/>
    </row>
    <row r="1717" spans="2:22" x14ac:dyDescent="0.2">
      <c r="B1717" s="165" t="s">
        <v>10632</v>
      </c>
      <c r="C1717" s="165"/>
      <c r="D1717" s="165"/>
      <c r="E1717" s="165"/>
      <c r="F1717" s="165"/>
      <c r="G1717" s="165"/>
      <c r="H1717" s="165"/>
      <c r="I1717" s="165"/>
      <c r="J1717" s="165"/>
      <c r="K1717" s="165"/>
      <c r="L1717" s="165"/>
      <c r="M1717" s="165"/>
      <c r="N1717" s="165"/>
      <c r="O1717" s="165"/>
      <c r="P1717" s="165"/>
      <c r="Q1717" s="73"/>
      <c r="R1717" s="23"/>
      <c r="S1717" s="23"/>
      <c r="T1717" s="73"/>
      <c r="U1717" s="73"/>
      <c r="V1717" s="73"/>
    </row>
    <row r="1718" spans="2:22" x14ac:dyDescent="0.2">
      <c r="B1718" s="73" t="s">
        <v>10632</v>
      </c>
      <c r="C1718" s="33" t="s">
        <v>1374</v>
      </c>
      <c r="D1718" s="23" t="s">
        <v>1375</v>
      </c>
      <c r="E1718" s="73"/>
      <c r="F1718" s="73"/>
      <c r="G1718" s="73"/>
      <c r="H1718" s="73"/>
      <c r="I1718" s="73"/>
      <c r="J1718" s="33" t="s">
        <v>9374</v>
      </c>
      <c r="K1718" s="33" t="s">
        <v>11016</v>
      </c>
      <c r="L1718" s="33" t="s">
        <v>121</v>
      </c>
      <c r="M1718" s="33" t="s">
        <v>9376</v>
      </c>
      <c r="N1718" s="73"/>
      <c r="O1718" s="73"/>
      <c r="P1718" s="73"/>
      <c r="Q1718" s="73"/>
      <c r="R1718" s="23"/>
      <c r="S1718" s="23"/>
      <c r="T1718" s="73"/>
      <c r="U1718" s="73"/>
      <c r="V1718" s="73"/>
    </row>
    <row r="1719" spans="2:22" x14ac:dyDescent="0.2">
      <c r="B1719" s="166"/>
      <c r="C1719" s="166"/>
      <c r="D1719" s="166"/>
      <c r="E1719" s="166"/>
      <c r="F1719" s="166"/>
      <c r="G1719" s="166"/>
      <c r="H1719" s="166"/>
      <c r="I1719" s="166"/>
      <c r="J1719" s="166"/>
      <c r="K1719" s="166"/>
      <c r="L1719" s="166"/>
      <c r="M1719" s="166"/>
      <c r="N1719" s="166"/>
      <c r="O1719" s="166"/>
      <c r="P1719" s="166"/>
      <c r="Q1719" s="75"/>
      <c r="R1719" s="75"/>
      <c r="S1719" s="75"/>
      <c r="T1719" s="75"/>
      <c r="U1719" s="75"/>
      <c r="V1719" s="75"/>
    </row>
    <row r="1720" spans="2:22" x14ac:dyDescent="0.2">
      <c r="B1720" s="165" t="s">
        <v>10634</v>
      </c>
      <c r="C1720" s="165"/>
      <c r="D1720" s="165"/>
      <c r="E1720" s="165"/>
      <c r="F1720" s="165"/>
      <c r="G1720" s="165"/>
      <c r="H1720" s="165"/>
      <c r="I1720" s="165"/>
      <c r="J1720" s="165"/>
      <c r="K1720" s="165"/>
      <c r="L1720" s="165"/>
      <c r="M1720" s="165"/>
      <c r="N1720" s="165"/>
      <c r="O1720" s="165"/>
      <c r="P1720" s="165"/>
      <c r="Q1720" s="76"/>
      <c r="R1720" s="76"/>
      <c r="S1720" s="76"/>
      <c r="T1720" s="76"/>
      <c r="U1720" s="76"/>
      <c r="V1720" s="76"/>
    </row>
    <row r="1721" spans="2:22" x14ac:dyDescent="0.2">
      <c r="B1721" s="73" t="s">
        <v>10634</v>
      </c>
      <c r="C1721" s="33" t="s">
        <v>1376</v>
      </c>
      <c r="D1721" s="23" t="s">
        <v>1377</v>
      </c>
      <c r="E1721" s="73"/>
      <c r="F1721" s="73"/>
      <c r="G1721" s="73"/>
      <c r="H1721" s="73"/>
      <c r="I1721" s="73"/>
      <c r="J1721" s="33" t="s">
        <v>9374</v>
      </c>
      <c r="K1721" s="33" t="s">
        <v>11016</v>
      </c>
      <c r="L1721" s="33" t="s">
        <v>121</v>
      </c>
      <c r="M1721" s="33" t="s">
        <v>9376</v>
      </c>
      <c r="N1721" s="73"/>
      <c r="O1721" s="73"/>
      <c r="P1721" s="73"/>
      <c r="Q1721" s="73"/>
      <c r="R1721" s="23"/>
      <c r="S1721" s="23"/>
      <c r="T1721" s="73"/>
      <c r="U1721" s="73"/>
      <c r="V1721" s="73"/>
    </row>
    <row r="1722" spans="2:22" x14ac:dyDescent="0.2">
      <c r="B1722" s="166"/>
      <c r="C1722" s="166"/>
      <c r="D1722" s="166"/>
      <c r="E1722" s="166"/>
      <c r="F1722" s="166"/>
      <c r="G1722" s="166"/>
      <c r="H1722" s="166"/>
      <c r="I1722" s="166"/>
      <c r="J1722" s="166"/>
      <c r="K1722" s="166"/>
      <c r="L1722" s="166"/>
      <c r="M1722" s="166"/>
      <c r="N1722" s="166"/>
      <c r="O1722" s="166"/>
      <c r="P1722" s="166"/>
      <c r="Q1722" s="73"/>
      <c r="R1722" s="23"/>
      <c r="S1722" s="23"/>
      <c r="T1722" s="73"/>
      <c r="U1722" s="73"/>
      <c r="V1722" s="73"/>
    </row>
    <row r="1723" spans="2:22" x14ac:dyDescent="0.2">
      <c r="B1723" s="165" t="s">
        <v>10636</v>
      </c>
      <c r="C1723" s="165"/>
      <c r="D1723" s="165"/>
      <c r="E1723" s="165"/>
      <c r="F1723" s="165"/>
      <c r="G1723" s="165"/>
      <c r="H1723" s="165"/>
      <c r="I1723" s="165"/>
      <c r="J1723" s="165"/>
      <c r="K1723" s="165"/>
      <c r="L1723" s="165"/>
      <c r="M1723" s="165"/>
      <c r="N1723" s="165"/>
      <c r="O1723" s="165"/>
      <c r="P1723" s="165"/>
      <c r="Q1723" s="73"/>
      <c r="R1723" s="23"/>
      <c r="S1723" s="23"/>
      <c r="T1723" s="73"/>
      <c r="U1723" s="73"/>
      <c r="V1723" s="73"/>
    </row>
    <row r="1724" spans="2:22" x14ac:dyDescent="0.2">
      <c r="B1724" s="73" t="s">
        <v>10636</v>
      </c>
      <c r="C1724" s="33" t="s">
        <v>1378</v>
      </c>
      <c r="D1724" s="23" t="s">
        <v>1379</v>
      </c>
      <c r="E1724" s="73"/>
      <c r="F1724" s="73"/>
      <c r="G1724" s="73"/>
      <c r="H1724" s="73"/>
      <c r="I1724" s="73"/>
      <c r="J1724" s="33" t="s">
        <v>9374</v>
      </c>
      <c r="K1724" s="33" t="s">
        <v>11016</v>
      </c>
      <c r="L1724" s="33" t="s">
        <v>121</v>
      </c>
      <c r="M1724" s="33" t="s">
        <v>9376</v>
      </c>
      <c r="N1724" s="73"/>
      <c r="O1724" s="73"/>
      <c r="P1724" s="73"/>
      <c r="Q1724" s="73"/>
      <c r="R1724" s="23"/>
      <c r="S1724" s="23"/>
      <c r="T1724" s="73"/>
      <c r="U1724" s="73"/>
      <c r="V1724" s="73"/>
    </row>
    <row r="1725" spans="2:22" x14ac:dyDescent="0.2">
      <c r="B1725" s="166"/>
      <c r="C1725" s="166"/>
      <c r="D1725" s="166"/>
      <c r="E1725" s="166"/>
      <c r="F1725" s="166"/>
      <c r="G1725" s="166"/>
      <c r="H1725" s="166"/>
      <c r="I1725" s="166"/>
      <c r="J1725" s="166"/>
      <c r="K1725" s="166"/>
      <c r="L1725" s="166"/>
      <c r="M1725" s="166"/>
      <c r="N1725" s="166"/>
      <c r="O1725" s="166"/>
      <c r="P1725" s="166"/>
      <c r="Q1725" s="73" t="s">
        <v>11095</v>
      </c>
      <c r="R1725" s="23"/>
      <c r="S1725" s="23"/>
      <c r="T1725" s="73"/>
      <c r="U1725" s="73"/>
      <c r="V1725" s="73"/>
    </row>
    <row r="1726" spans="2:22" x14ac:dyDescent="0.2">
      <c r="B1726" s="165" t="s">
        <v>10638</v>
      </c>
      <c r="C1726" s="165"/>
      <c r="D1726" s="165"/>
      <c r="E1726" s="165"/>
      <c r="F1726" s="165"/>
      <c r="G1726" s="165"/>
      <c r="H1726" s="165"/>
      <c r="I1726" s="165"/>
      <c r="J1726" s="165"/>
      <c r="K1726" s="165"/>
      <c r="L1726" s="165"/>
      <c r="M1726" s="165"/>
      <c r="N1726" s="165"/>
      <c r="O1726" s="165"/>
      <c r="P1726" s="165"/>
      <c r="Q1726" s="75"/>
      <c r="R1726" s="75"/>
      <c r="S1726" s="75"/>
      <c r="T1726" s="75"/>
      <c r="U1726" s="75"/>
      <c r="V1726" s="75"/>
    </row>
    <row r="1727" spans="2:22" x14ac:dyDescent="0.2">
      <c r="B1727" s="73" t="s">
        <v>10638</v>
      </c>
      <c r="C1727" s="33" t="s">
        <v>1380</v>
      </c>
      <c r="D1727" s="23" t="s">
        <v>1381</v>
      </c>
      <c r="E1727" s="73"/>
      <c r="F1727" s="73"/>
      <c r="G1727" s="73"/>
      <c r="H1727" s="73"/>
      <c r="I1727" s="73"/>
      <c r="J1727" s="33" t="s">
        <v>9374</v>
      </c>
      <c r="K1727" s="33" t="s">
        <v>11016</v>
      </c>
      <c r="L1727" s="33" t="s">
        <v>121</v>
      </c>
      <c r="M1727" s="33" t="s">
        <v>9376</v>
      </c>
      <c r="N1727" s="73"/>
      <c r="O1727" s="73"/>
      <c r="P1727" s="73"/>
      <c r="Q1727" s="76"/>
      <c r="R1727" s="76"/>
      <c r="S1727" s="76"/>
      <c r="T1727" s="76"/>
      <c r="U1727" s="76"/>
      <c r="V1727" s="76"/>
    </row>
    <row r="1728" spans="2:22" x14ac:dyDescent="0.2">
      <c r="B1728" s="166"/>
      <c r="C1728" s="166"/>
      <c r="D1728" s="166"/>
      <c r="E1728" s="166"/>
      <c r="F1728" s="166"/>
      <c r="G1728" s="166"/>
      <c r="H1728" s="166"/>
      <c r="I1728" s="166"/>
      <c r="J1728" s="166"/>
      <c r="K1728" s="166"/>
      <c r="L1728" s="166"/>
      <c r="M1728" s="166"/>
      <c r="N1728" s="166"/>
      <c r="O1728" s="166"/>
      <c r="P1728" s="166"/>
      <c r="Q1728" s="73"/>
      <c r="R1728" s="23"/>
      <c r="S1728" s="23"/>
      <c r="T1728" s="73"/>
      <c r="U1728" s="73"/>
      <c r="V1728" s="73"/>
    </row>
    <row r="1729" spans="2:22" x14ac:dyDescent="0.2">
      <c r="B1729" s="165" t="s">
        <v>10640</v>
      </c>
      <c r="C1729" s="165"/>
      <c r="D1729" s="165"/>
      <c r="E1729" s="165"/>
      <c r="F1729" s="165"/>
      <c r="G1729" s="165"/>
      <c r="H1729" s="165"/>
      <c r="I1729" s="165"/>
      <c r="J1729" s="165"/>
      <c r="K1729" s="165"/>
      <c r="L1729" s="165"/>
      <c r="M1729" s="165"/>
      <c r="N1729" s="165"/>
      <c r="O1729" s="165"/>
      <c r="P1729" s="165"/>
      <c r="Q1729" s="73"/>
      <c r="R1729" s="23"/>
      <c r="S1729" s="23"/>
      <c r="T1729" s="73"/>
      <c r="U1729" s="73"/>
      <c r="V1729" s="73"/>
    </row>
    <row r="1730" spans="2:22" x14ac:dyDescent="0.2">
      <c r="B1730" s="73" t="s">
        <v>10640</v>
      </c>
      <c r="C1730" s="33" t="s">
        <v>1382</v>
      </c>
      <c r="D1730" s="23" t="s">
        <v>1383</v>
      </c>
      <c r="E1730" s="73"/>
      <c r="F1730" s="73"/>
      <c r="G1730" s="73"/>
      <c r="H1730" s="73"/>
      <c r="I1730" s="73"/>
      <c r="J1730" s="33" t="s">
        <v>9374</v>
      </c>
      <c r="K1730" s="33" t="s">
        <v>11016</v>
      </c>
      <c r="L1730" s="33" t="s">
        <v>121</v>
      </c>
      <c r="M1730" s="33" t="s">
        <v>9376</v>
      </c>
      <c r="N1730" s="73"/>
      <c r="O1730" s="73"/>
      <c r="P1730" s="73"/>
      <c r="Q1730" s="73"/>
      <c r="R1730" s="23"/>
      <c r="S1730" s="23"/>
      <c r="T1730" s="73"/>
      <c r="U1730" s="73"/>
      <c r="V1730" s="73"/>
    </row>
    <row r="1731" spans="2:22" x14ac:dyDescent="0.2">
      <c r="B1731" s="166"/>
      <c r="C1731" s="166"/>
      <c r="D1731" s="166"/>
      <c r="E1731" s="166"/>
      <c r="F1731" s="166"/>
      <c r="G1731" s="166"/>
      <c r="H1731" s="166"/>
      <c r="I1731" s="166"/>
      <c r="J1731" s="166"/>
      <c r="K1731" s="166"/>
      <c r="L1731" s="166"/>
      <c r="M1731" s="166"/>
      <c r="N1731" s="166"/>
      <c r="O1731" s="166"/>
      <c r="P1731" s="166"/>
      <c r="Q1731" s="73"/>
      <c r="R1731" s="23"/>
      <c r="S1731" s="23"/>
      <c r="T1731" s="73"/>
      <c r="U1731" s="73"/>
      <c r="V1731" s="73"/>
    </row>
    <row r="1732" spans="2:22" x14ac:dyDescent="0.2">
      <c r="B1732" s="165" t="s">
        <v>10642</v>
      </c>
      <c r="C1732" s="165"/>
      <c r="D1732" s="165"/>
      <c r="E1732" s="165"/>
      <c r="F1732" s="165"/>
      <c r="G1732" s="165"/>
      <c r="H1732" s="165"/>
      <c r="I1732" s="165"/>
      <c r="J1732" s="165"/>
      <c r="K1732" s="165"/>
      <c r="L1732" s="165"/>
      <c r="M1732" s="165"/>
      <c r="N1732" s="165"/>
      <c r="O1732" s="165"/>
      <c r="P1732" s="165"/>
      <c r="Q1732" s="75"/>
      <c r="R1732" s="75"/>
      <c r="S1732" s="75"/>
      <c r="T1732" s="75"/>
      <c r="U1732" s="75"/>
      <c r="V1732" s="75"/>
    </row>
    <row r="1733" spans="2:22" x14ac:dyDescent="0.2">
      <c r="B1733" s="73" t="s">
        <v>10642</v>
      </c>
      <c r="C1733" s="33" t="s">
        <v>1384</v>
      </c>
      <c r="D1733" s="23" t="s">
        <v>1385</v>
      </c>
      <c r="E1733" s="73"/>
      <c r="F1733" s="73"/>
      <c r="G1733" s="73"/>
      <c r="H1733" s="73"/>
      <c r="I1733" s="73"/>
      <c r="J1733" s="33" t="s">
        <v>9374</v>
      </c>
      <c r="K1733" s="33" t="s">
        <v>11016</v>
      </c>
      <c r="L1733" s="33" t="s">
        <v>121</v>
      </c>
      <c r="M1733" s="33" t="s">
        <v>9376</v>
      </c>
      <c r="N1733" s="73"/>
      <c r="O1733" s="73"/>
      <c r="P1733" s="73"/>
      <c r="Q1733" s="76"/>
      <c r="R1733" s="76"/>
      <c r="S1733" s="76"/>
      <c r="T1733" s="76"/>
      <c r="U1733" s="76"/>
      <c r="V1733" s="76"/>
    </row>
    <row r="1734" spans="2:22" x14ac:dyDescent="0.2">
      <c r="B1734" s="166"/>
      <c r="C1734" s="166"/>
      <c r="D1734" s="166"/>
      <c r="E1734" s="166"/>
      <c r="F1734" s="166"/>
      <c r="G1734" s="166"/>
      <c r="H1734" s="166"/>
      <c r="I1734" s="166"/>
      <c r="J1734" s="166"/>
      <c r="K1734" s="166"/>
      <c r="L1734" s="166"/>
      <c r="M1734" s="166"/>
      <c r="N1734" s="166"/>
      <c r="O1734" s="166"/>
      <c r="P1734" s="166"/>
      <c r="Q1734" s="73"/>
      <c r="R1734" s="23"/>
      <c r="S1734" s="23"/>
      <c r="T1734" s="73"/>
      <c r="U1734" s="73"/>
      <c r="V1734" s="73"/>
    </row>
    <row r="1735" spans="2:22" x14ac:dyDescent="0.2">
      <c r="B1735" s="165" t="s">
        <v>10644</v>
      </c>
      <c r="C1735" s="165"/>
      <c r="D1735" s="165"/>
      <c r="E1735" s="165"/>
      <c r="F1735" s="165"/>
      <c r="G1735" s="165"/>
      <c r="H1735" s="165"/>
      <c r="I1735" s="165"/>
      <c r="J1735" s="165"/>
      <c r="K1735" s="165"/>
      <c r="L1735" s="165"/>
      <c r="M1735" s="165"/>
      <c r="N1735" s="165"/>
      <c r="O1735" s="165"/>
      <c r="P1735" s="165"/>
      <c r="Q1735" s="73"/>
      <c r="R1735" s="23"/>
      <c r="S1735" s="23"/>
      <c r="T1735" s="73"/>
      <c r="U1735" s="73"/>
      <c r="V1735" s="73"/>
    </row>
    <row r="1736" spans="2:22" x14ac:dyDescent="0.2">
      <c r="B1736" s="73" t="s">
        <v>10644</v>
      </c>
      <c r="C1736" s="33" t="s">
        <v>1386</v>
      </c>
      <c r="D1736" s="23" t="s">
        <v>1387</v>
      </c>
      <c r="E1736" s="73"/>
      <c r="F1736" s="73"/>
      <c r="G1736" s="73"/>
      <c r="H1736" s="73"/>
      <c r="I1736" s="73"/>
      <c r="J1736" s="33" t="s">
        <v>9374</v>
      </c>
      <c r="K1736" s="33" t="s">
        <v>11016</v>
      </c>
      <c r="L1736" s="33" t="s">
        <v>121</v>
      </c>
      <c r="M1736" s="33" t="s">
        <v>9376</v>
      </c>
      <c r="N1736" s="73"/>
      <c r="O1736" s="73"/>
      <c r="P1736" s="73"/>
      <c r="Q1736" s="73"/>
      <c r="R1736" s="23"/>
      <c r="S1736" s="23"/>
      <c r="T1736" s="73"/>
      <c r="U1736" s="73"/>
      <c r="V1736" s="73"/>
    </row>
    <row r="1737" spans="2:22" x14ac:dyDescent="0.2">
      <c r="B1737" s="166"/>
      <c r="C1737" s="166"/>
      <c r="D1737" s="166"/>
      <c r="E1737" s="166"/>
      <c r="F1737" s="166"/>
      <c r="G1737" s="166"/>
      <c r="H1737" s="166"/>
      <c r="I1737" s="166"/>
      <c r="J1737" s="166"/>
      <c r="K1737" s="166"/>
      <c r="L1737" s="166"/>
      <c r="M1737" s="166"/>
      <c r="N1737" s="166"/>
      <c r="O1737" s="166"/>
      <c r="P1737" s="166"/>
      <c r="Q1737" s="75"/>
      <c r="R1737" s="75"/>
      <c r="S1737" s="75"/>
      <c r="T1737" s="75"/>
      <c r="U1737" s="75"/>
      <c r="V1737" s="75"/>
    </row>
    <row r="1738" spans="2:22" x14ac:dyDescent="0.2">
      <c r="B1738" s="165" t="s">
        <v>10646</v>
      </c>
      <c r="C1738" s="165"/>
      <c r="D1738" s="165"/>
      <c r="E1738" s="165"/>
      <c r="F1738" s="165"/>
      <c r="G1738" s="165"/>
      <c r="H1738" s="165"/>
      <c r="I1738" s="165"/>
      <c r="J1738" s="165"/>
      <c r="K1738" s="165"/>
      <c r="L1738" s="165"/>
      <c r="M1738" s="165"/>
      <c r="N1738" s="165"/>
      <c r="O1738" s="165"/>
      <c r="P1738" s="165"/>
      <c r="Q1738" s="76"/>
      <c r="R1738" s="76"/>
      <c r="S1738" s="76"/>
      <c r="T1738" s="76"/>
      <c r="U1738" s="76"/>
      <c r="V1738" s="76"/>
    </row>
    <row r="1739" spans="2:22" x14ac:dyDescent="0.2">
      <c r="B1739" s="73" t="s">
        <v>10646</v>
      </c>
      <c r="C1739" s="33" t="s">
        <v>1388</v>
      </c>
      <c r="D1739" s="23" t="s">
        <v>1389</v>
      </c>
      <c r="E1739" s="73"/>
      <c r="F1739" s="73"/>
      <c r="G1739" s="73"/>
      <c r="H1739" s="73"/>
      <c r="I1739" s="73"/>
      <c r="J1739" s="33" t="s">
        <v>9374</v>
      </c>
      <c r="K1739" s="33" t="s">
        <v>11016</v>
      </c>
      <c r="L1739" s="33" t="s">
        <v>121</v>
      </c>
      <c r="M1739" s="33" t="s">
        <v>9376</v>
      </c>
      <c r="N1739" s="73"/>
      <c r="O1739" s="73"/>
      <c r="P1739" s="73"/>
      <c r="Q1739" s="73"/>
      <c r="R1739" s="23"/>
      <c r="S1739" s="23"/>
      <c r="T1739" s="73"/>
      <c r="U1739" s="73"/>
      <c r="V1739" s="73"/>
    </row>
    <row r="1740" spans="2:22" x14ac:dyDescent="0.2">
      <c r="B1740" s="166"/>
      <c r="C1740" s="166"/>
      <c r="D1740" s="166"/>
      <c r="E1740" s="166"/>
      <c r="F1740" s="166"/>
      <c r="G1740" s="166"/>
      <c r="H1740" s="166"/>
      <c r="I1740" s="166"/>
      <c r="J1740" s="166"/>
      <c r="K1740" s="166"/>
      <c r="L1740" s="166"/>
      <c r="M1740" s="166"/>
      <c r="N1740" s="166"/>
      <c r="O1740" s="166"/>
      <c r="P1740" s="166"/>
      <c r="Q1740" s="73"/>
      <c r="R1740" s="23"/>
      <c r="S1740" s="23"/>
      <c r="T1740" s="73"/>
      <c r="U1740" s="73"/>
      <c r="V1740" s="73"/>
    </row>
    <row r="1741" spans="2:22" x14ac:dyDescent="0.2">
      <c r="B1741" s="165" t="s">
        <v>10648</v>
      </c>
      <c r="C1741" s="165"/>
      <c r="D1741" s="165"/>
      <c r="E1741" s="165"/>
      <c r="F1741" s="165"/>
      <c r="G1741" s="165"/>
      <c r="H1741" s="165"/>
      <c r="I1741" s="165"/>
      <c r="J1741" s="165"/>
      <c r="K1741" s="165"/>
      <c r="L1741" s="165"/>
      <c r="M1741" s="165"/>
      <c r="N1741" s="165"/>
      <c r="O1741" s="165"/>
      <c r="P1741" s="165"/>
      <c r="Q1741" s="75"/>
      <c r="R1741" s="75"/>
      <c r="S1741" s="75"/>
      <c r="T1741" s="75"/>
      <c r="U1741" s="75"/>
      <c r="V1741" s="75"/>
    </row>
    <row r="1742" spans="2:22" x14ac:dyDescent="0.2">
      <c r="B1742" s="73" t="s">
        <v>10648</v>
      </c>
      <c r="C1742" s="33" t="s">
        <v>1390</v>
      </c>
      <c r="D1742" s="23" t="s">
        <v>1391</v>
      </c>
      <c r="E1742" s="73"/>
      <c r="F1742" s="73"/>
      <c r="G1742" s="73"/>
      <c r="H1742" s="73"/>
      <c r="I1742" s="73"/>
      <c r="J1742" s="33" t="s">
        <v>9374</v>
      </c>
      <c r="K1742" s="33" t="s">
        <v>11016</v>
      </c>
      <c r="L1742" s="33" t="s">
        <v>121</v>
      </c>
      <c r="M1742" s="33" t="s">
        <v>9376</v>
      </c>
      <c r="N1742" s="73"/>
      <c r="O1742" s="73"/>
      <c r="P1742" s="73"/>
      <c r="Q1742" s="76"/>
      <c r="R1742" s="76"/>
      <c r="S1742" s="76"/>
      <c r="T1742" s="76"/>
      <c r="U1742" s="76"/>
      <c r="V1742" s="76"/>
    </row>
    <row r="1743" spans="2:22" x14ac:dyDescent="0.2">
      <c r="B1743" s="166"/>
      <c r="C1743" s="166"/>
      <c r="D1743" s="166"/>
      <c r="E1743" s="166"/>
      <c r="F1743" s="166"/>
      <c r="G1743" s="166"/>
      <c r="H1743" s="166"/>
      <c r="I1743" s="166"/>
      <c r="J1743" s="166"/>
      <c r="K1743" s="166"/>
      <c r="L1743" s="166"/>
      <c r="M1743" s="166"/>
      <c r="N1743" s="166"/>
      <c r="O1743" s="166"/>
      <c r="P1743" s="166"/>
      <c r="Q1743" s="73"/>
      <c r="R1743" s="23"/>
      <c r="S1743" s="23"/>
      <c r="T1743" s="73"/>
      <c r="U1743" s="73"/>
      <c r="V1743" s="73"/>
    </row>
    <row r="1744" spans="2:22" x14ac:dyDescent="0.2">
      <c r="B1744" s="165" t="s">
        <v>10650</v>
      </c>
      <c r="C1744" s="165"/>
      <c r="D1744" s="165"/>
      <c r="E1744" s="165"/>
      <c r="F1744" s="165"/>
      <c r="G1744" s="165"/>
      <c r="H1744" s="165"/>
      <c r="I1744" s="165"/>
      <c r="J1744" s="165"/>
      <c r="K1744" s="165"/>
      <c r="L1744" s="165"/>
      <c r="M1744" s="165"/>
      <c r="N1744" s="165"/>
      <c r="O1744" s="165"/>
      <c r="P1744" s="165"/>
      <c r="Q1744" s="75"/>
      <c r="R1744" s="75"/>
      <c r="S1744" s="75"/>
      <c r="T1744" s="75"/>
      <c r="U1744" s="75"/>
      <c r="V1744" s="75"/>
    </row>
    <row r="1745" spans="2:22" x14ac:dyDescent="0.2">
      <c r="B1745" s="73" t="s">
        <v>10650</v>
      </c>
      <c r="C1745" s="33" t="s">
        <v>1392</v>
      </c>
      <c r="D1745" s="23" t="s">
        <v>1393</v>
      </c>
      <c r="E1745" s="73"/>
      <c r="F1745" s="73"/>
      <c r="G1745" s="73"/>
      <c r="H1745" s="73"/>
      <c r="I1745" s="73"/>
      <c r="J1745" s="33" t="s">
        <v>9374</v>
      </c>
      <c r="K1745" s="33" t="s">
        <v>9375</v>
      </c>
      <c r="L1745" s="33" t="s">
        <v>121</v>
      </c>
      <c r="M1745" s="33" t="s">
        <v>9376</v>
      </c>
      <c r="N1745" s="73"/>
      <c r="O1745" s="73"/>
      <c r="P1745" s="73"/>
      <c r="Q1745" s="76"/>
      <c r="R1745" s="76"/>
      <c r="S1745" s="76"/>
      <c r="T1745" s="76"/>
      <c r="U1745" s="76"/>
      <c r="V1745" s="76"/>
    </row>
    <row r="1746" spans="2:22" x14ac:dyDescent="0.2">
      <c r="B1746" s="166"/>
      <c r="C1746" s="166"/>
      <c r="D1746" s="166"/>
      <c r="E1746" s="166"/>
      <c r="F1746" s="166"/>
      <c r="G1746" s="166"/>
      <c r="H1746" s="166"/>
      <c r="I1746" s="166"/>
      <c r="J1746" s="166"/>
      <c r="K1746" s="166"/>
      <c r="L1746" s="166"/>
      <c r="M1746" s="166"/>
      <c r="N1746" s="166"/>
      <c r="O1746" s="166"/>
      <c r="P1746" s="166"/>
      <c r="Q1746" s="73"/>
      <c r="R1746" s="23"/>
      <c r="S1746" s="23"/>
      <c r="T1746" s="73"/>
      <c r="U1746" s="73"/>
      <c r="V1746" s="73"/>
    </row>
    <row r="1747" spans="2:22" x14ac:dyDescent="0.2">
      <c r="B1747" s="165" t="s">
        <v>10655</v>
      </c>
      <c r="C1747" s="165"/>
      <c r="D1747" s="165"/>
      <c r="E1747" s="165"/>
      <c r="F1747" s="165"/>
      <c r="G1747" s="165"/>
      <c r="H1747" s="165"/>
      <c r="I1747" s="165"/>
      <c r="J1747" s="165"/>
      <c r="K1747" s="165"/>
      <c r="L1747" s="165"/>
      <c r="M1747" s="165"/>
      <c r="N1747" s="165"/>
      <c r="O1747" s="165"/>
      <c r="P1747" s="165"/>
      <c r="Q1747" s="73"/>
      <c r="R1747" s="23"/>
      <c r="S1747" s="23"/>
      <c r="T1747" s="73"/>
      <c r="U1747" s="73"/>
      <c r="V1747" s="73"/>
    </row>
    <row r="1748" spans="2:22" x14ac:dyDescent="0.2">
      <c r="B1748" s="73" t="s">
        <v>10655</v>
      </c>
      <c r="C1748" s="33" t="s">
        <v>1394</v>
      </c>
      <c r="D1748" s="23" t="s">
        <v>1395</v>
      </c>
      <c r="E1748" s="73"/>
      <c r="F1748" s="73"/>
      <c r="G1748" s="73"/>
      <c r="H1748" s="73"/>
      <c r="I1748" s="73"/>
      <c r="J1748" s="33" t="s">
        <v>9374</v>
      </c>
      <c r="K1748" s="33" t="s">
        <v>9375</v>
      </c>
      <c r="L1748" s="33" t="s">
        <v>121</v>
      </c>
      <c r="M1748" s="33" t="s">
        <v>9376</v>
      </c>
      <c r="N1748" s="73"/>
      <c r="O1748" s="73"/>
      <c r="P1748" s="73"/>
      <c r="Q1748" s="73"/>
      <c r="R1748" s="23"/>
      <c r="S1748" s="23"/>
      <c r="T1748" s="73"/>
      <c r="U1748" s="73"/>
      <c r="V1748" s="73"/>
    </row>
    <row r="1749" spans="2:22" x14ac:dyDescent="0.2">
      <c r="B1749" s="166"/>
      <c r="C1749" s="166"/>
      <c r="D1749" s="166"/>
      <c r="E1749" s="166"/>
      <c r="F1749" s="166"/>
      <c r="G1749" s="166"/>
      <c r="H1749" s="166"/>
      <c r="I1749" s="166"/>
      <c r="J1749" s="166"/>
      <c r="K1749" s="166"/>
      <c r="L1749" s="166"/>
      <c r="M1749" s="166"/>
      <c r="N1749" s="166"/>
      <c r="O1749" s="166"/>
      <c r="P1749" s="166"/>
      <c r="Q1749" s="75"/>
      <c r="R1749" s="75"/>
      <c r="S1749" s="75"/>
      <c r="T1749" s="75"/>
      <c r="U1749" s="75"/>
      <c r="V1749" s="75"/>
    </row>
    <row r="1750" spans="2:22" x14ac:dyDescent="0.2">
      <c r="B1750" s="165" t="s">
        <v>10660</v>
      </c>
      <c r="C1750" s="165"/>
      <c r="D1750" s="165"/>
      <c r="E1750" s="165"/>
      <c r="F1750" s="165"/>
      <c r="G1750" s="165"/>
      <c r="H1750" s="165"/>
      <c r="I1750" s="165"/>
      <c r="J1750" s="165"/>
      <c r="K1750" s="165"/>
      <c r="L1750" s="165"/>
      <c r="M1750" s="165"/>
      <c r="N1750" s="165"/>
      <c r="O1750" s="165"/>
      <c r="P1750" s="165"/>
      <c r="Q1750" s="76"/>
      <c r="R1750" s="76"/>
      <c r="S1750" s="76"/>
      <c r="T1750" s="76"/>
      <c r="U1750" s="76"/>
      <c r="V1750" s="76"/>
    </row>
    <row r="1751" spans="2:22" x14ac:dyDescent="0.2">
      <c r="B1751" s="73" t="s">
        <v>10660</v>
      </c>
      <c r="C1751" s="33" t="s">
        <v>1396</v>
      </c>
      <c r="D1751" s="23" t="s">
        <v>1397</v>
      </c>
      <c r="E1751" s="73"/>
      <c r="F1751" s="73"/>
      <c r="G1751" s="73"/>
      <c r="H1751" s="73"/>
      <c r="I1751" s="73"/>
      <c r="J1751" s="33" t="s">
        <v>9374</v>
      </c>
      <c r="K1751" s="33" t="s">
        <v>9375</v>
      </c>
      <c r="L1751" s="33" t="s">
        <v>121</v>
      </c>
      <c r="M1751" s="33" t="s">
        <v>9376</v>
      </c>
      <c r="N1751" s="73"/>
      <c r="O1751" s="73"/>
      <c r="P1751" s="73"/>
      <c r="Q1751" s="73"/>
      <c r="R1751" s="23"/>
      <c r="S1751" s="23"/>
      <c r="T1751" s="73"/>
      <c r="U1751" s="73"/>
      <c r="V1751" s="73"/>
    </row>
    <row r="1752" spans="2:22" x14ac:dyDescent="0.2">
      <c r="B1752" s="166"/>
      <c r="C1752" s="166"/>
      <c r="D1752" s="166"/>
      <c r="E1752" s="166"/>
      <c r="F1752" s="166"/>
      <c r="G1752" s="166"/>
      <c r="H1752" s="166"/>
      <c r="I1752" s="166"/>
      <c r="J1752" s="166"/>
      <c r="K1752" s="166"/>
      <c r="L1752" s="166"/>
      <c r="M1752" s="166"/>
      <c r="N1752" s="166"/>
      <c r="O1752" s="166"/>
      <c r="P1752" s="166"/>
      <c r="Q1752" s="73"/>
      <c r="R1752" s="23"/>
      <c r="S1752" s="23"/>
      <c r="T1752" s="73"/>
      <c r="U1752" s="73"/>
      <c r="V1752" s="73"/>
    </row>
    <row r="1753" spans="2:22" x14ac:dyDescent="0.2">
      <c r="B1753" s="165" t="s">
        <v>10663</v>
      </c>
      <c r="C1753" s="165"/>
      <c r="D1753" s="165"/>
      <c r="E1753" s="165"/>
      <c r="F1753" s="165"/>
      <c r="G1753" s="165"/>
      <c r="H1753" s="165"/>
      <c r="I1753" s="165"/>
      <c r="J1753" s="165"/>
      <c r="K1753" s="165"/>
      <c r="L1753" s="165"/>
      <c r="M1753" s="165"/>
      <c r="N1753" s="165"/>
      <c r="O1753" s="165"/>
      <c r="P1753" s="165"/>
      <c r="Q1753" s="75"/>
      <c r="R1753" s="75"/>
      <c r="S1753" s="75"/>
      <c r="T1753" s="75"/>
      <c r="U1753" s="75"/>
      <c r="V1753" s="75"/>
    </row>
    <row r="1754" spans="2:22" x14ac:dyDescent="0.2">
      <c r="B1754" s="73" t="s">
        <v>10663</v>
      </c>
      <c r="C1754" s="33" t="s">
        <v>1398</v>
      </c>
      <c r="D1754" s="23" t="s">
        <v>1399</v>
      </c>
      <c r="E1754" s="73"/>
      <c r="F1754" s="73"/>
      <c r="G1754" s="73"/>
      <c r="H1754" s="73"/>
      <c r="I1754" s="73"/>
      <c r="J1754" s="33" t="s">
        <v>9374</v>
      </c>
      <c r="K1754" s="33" t="s">
        <v>9375</v>
      </c>
      <c r="L1754" s="33" t="s">
        <v>121</v>
      </c>
      <c r="M1754" s="33" t="s">
        <v>9376</v>
      </c>
      <c r="N1754" s="73"/>
      <c r="O1754" s="73"/>
      <c r="P1754" s="73"/>
      <c r="Q1754" s="76"/>
      <c r="R1754" s="76"/>
      <c r="S1754" s="76"/>
      <c r="T1754" s="76"/>
      <c r="U1754" s="76"/>
      <c r="V1754" s="76"/>
    </row>
    <row r="1755" spans="2:22" ht="20.399999999999999" x14ac:dyDescent="0.2">
      <c r="B1755" s="73" t="s">
        <v>10663</v>
      </c>
      <c r="C1755" s="33" t="s">
        <v>2056</v>
      </c>
      <c r="D1755" s="23" t="s">
        <v>2057</v>
      </c>
      <c r="E1755" s="73" t="s">
        <v>11242</v>
      </c>
      <c r="F1755" s="73" t="s">
        <v>10902</v>
      </c>
      <c r="G1755" s="73"/>
      <c r="H1755" s="73" t="s">
        <v>11243</v>
      </c>
      <c r="I1755" s="73" t="s">
        <v>11244</v>
      </c>
      <c r="J1755" s="33" t="s">
        <v>9374</v>
      </c>
      <c r="K1755" s="33" t="s">
        <v>9375</v>
      </c>
      <c r="L1755" s="33" t="s">
        <v>121</v>
      </c>
      <c r="M1755" s="33" t="s">
        <v>9376</v>
      </c>
      <c r="N1755" s="73"/>
      <c r="O1755" s="73"/>
      <c r="P1755" s="73"/>
      <c r="Q1755" s="73"/>
      <c r="R1755" s="23"/>
      <c r="S1755" s="23"/>
      <c r="T1755" s="73"/>
      <c r="U1755" s="73"/>
      <c r="V1755" s="73"/>
    </row>
    <row r="1756" spans="2:22" ht="112.2" x14ac:dyDescent="0.2">
      <c r="B1756" s="73" t="s">
        <v>10663</v>
      </c>
      <c r="C1756" s="33" t="s">
        <v>2059</v>
      </c>
      <c r="D1756" s="23" t="s">
        <v>2060</v>
      </c>
      <c r="E1756" s="73" t="s">
        <v>11242</v>
      </c>
      <c r="F1756" s="73" t="s">
        <v>10902</v>
      </c>
      <c r="G1756" s="73"/>
      <c r="H1756" s="73" t="s">
        <v>11192</v>
      </c>
      <c r="I1756" s="73" t="s">
        <v>11245</v>
      </c>
      <c r="J1756" s="33" t="s">
        <v>9374</v>
      </c>
      <c r="K1756" s="33" t="s">
        <v>9375</v>
      </c>
      <c r="L1756" s="33" t="s">
        <v>121</v>
      </c>
      <c r="M1756" s="33" t="s">
        <v>9376</v>
      </c>
      <c r="N1756" s="73"/>
      <c r="O1756" s="73"/>
      <c r="P1756" s="73"/>
      <c r="Q1756" s="73"/>
      <c r="R1756" s="23"/>
      <c r="S1756" s="23"/>
      <c r="T1756" s="73"/>
      <c r="U1756" s="73"/>
      <c r="V1756" s="73"/>
    </row>
    <row r="1757" spans="2:22" ht="112.2" x14ac:dyDescent="0.2">
      <c r="B1757" s="73" t="s">
        <v>10663</v>
      </c>
      <c r="C1757" s="33" t="s">
        <v>11246</v>
      </c>
      <c r="D1757" s="23" t="s">
        <v>11247</v>
      </c>
      <c r="E1757" s="73" t="s">
        <v>11248</v>
      </c>
      <c r="F1757" s="73" t="s">
        <v>10902</v>
      </c>
      <c r="G1757" s="73"/>
      <c r="H1757" s="73" t="s">
        <v>11192</v>
      </c>
      <c r="I1757" s="73" t="s">
        <v>11245</v>
      </c>
      <c r="J1757" s="33" t="s">
        <v>9374</v>
      </c>
      <c r="K1757" s="33" t="s">
        <v>9375</v>
      </c>
      <c r="L1757" s="33" t="s">
        <v>121</v>
      </c>
      <c r="M1757" s="33" t="s">
        <v>9376</v>
      </c>
      <c r="N1757" s="73"/>
      <c r="O1757" s="73"/>
      <c r="P1757" s="73"/>
      <c r="Q1757" s="75"/>
      <c r="R1757" s="75"/>
      <c r="S1757" s="75"/>
      <c r="T1757" s="75"/>
      <c r="U1757" s="75"/>
      <c r="V1757" s="75"/>
    </row>
    <row r="1758" spans="2:22" x14ac:dyDescent="0.2">
      <c r="B1758" s="166"/>
      <c r="C1758" s="166"/>
      <c r="D1758" s="166"/>
      <c r="E1758" s="166"/>
      <c r="F1758" s="166"/>
      <c r="G1758" s="166"/>
      <c r="H1758" s="166"/>
      <c r="I1758" s="166"/>
      <c r="J1758" s="166"/>
      <c r="K1758" s="166"/>
      <c r="L1758" s="166"/>
      <c r="M1758" s="166"/>
      <c r="N1758" s="166"/>
      <c r="O1758" s="166"/>
      <c r="P1758" s="166"/>
      <c r="Q1758" s="76"/>
      <c r="R1758" s="76"/>
      <c r="S1758" s="76"/>
      <c r="T1758" s="76"/>
      <c r="U1758" s="76"/>
      <c r="V1758" s="76"/>
    </row>
    <row r="1759" spans="2:22" x14ac:dyDescent="0.2">
      <c r="B1759" s="165" t="s">
        <v>10666</v>
      </c>
      <c r="C1759" s="165"/>
      <c r="D1759" s="165"/>
      <c r="E1759" s="165"/>
      <c r="F1759" s="165"/>
      <c r="G1759" s="165"/>
      <c r="H1759" s="165"/>
      <c r="I1759" s="165"/>
      <c r="J1759" s="165"/>
      <c r="K1759" s="165"/>
      <c r="L1759" s="165"/>
      <c r="M1759" s="165"/>
      <c r="N1759" s="165"/>
      <c r="O1759" s="165"/>
      <c r="P1759" s="165"/>
      <c r="Q1759" s="73"/>
      <c r="R1759" s="23"/>
      <c r="S1759" s="23"/>
      <c r="T1759" s="73"/>
      <c r="U1759" s="73"/>
      <c r="V1759" s="73"/>
    </row>
    <row r="1760" spans="2:22" x14ac:dyDescent="0.2">
      <c r="B1760" s="73" t="s">
        <v>10666</v>
      </c>
      <c r="C1760" s="33" t="s">
        <v>1400</v>
      </c>
      <c r="D1760" s="23" t="s">
        <v>1401</v>
      </c>
      <c r="E1760" s="73"/>
      <c r="F1760" s="73"/>
      <c r="G1760" s="73"/>
      <c r="H1760" s="73"/>
      <c r="I1760" s="73"/>
      <c r="J1760" s="33" t="s">
        <v>9374</v>
      </c>
      <c r="K1760" s="33" t="s">
        <v>9375</v>
      </c>
      <c r="L1760" s="33" t="s">
        <v>121</v>
      </c>
      <c r="M1760" s="33" t="s">
        <v>9376</v>
      </c>
      <c r="N1760" s="73"/>
      <c r="O1760" s="73"/>
      <c r="P1760" s="73"/>
      <c r="Q1760" s="73"/>
      <c r="R1760" s="23"/>
      <c r="S1760" s="23"/>
      <c r="T1760" s="73"/>
      <c r="U1760" s="73"/>
      <c r="V1760" s="73"/>
    </row>
    <row r="1761" spans="2:22" x14ac:dyDescent="0.2">
      <c r="B1761" s="166"/>
      <c r="C1761" s="166"/>
      <c r="D1761" s="166"/>
      <c r="E1761" s="166"/>
      <c r="F1761" s="166"/>
      <c r="G1761" s="166"/>
      <c r="H1761" s="166"/>
      <c r="I1761" s="166"/>
      <c r="J1761" s="166"/>
      <c r="K1761" s="166"/>
      <c r="L1761" s="166"/>
      <c r="M1761" s="166"/>
      <c r="N1761" s="166"/>
      <c r="O1761" s="166"/>
      <c r="P1761" s="166"/>
      <c r="Q1761" s="75"/>
      <c r="R1761" s="75"/>
      <c r="S1761" s="75"/>
      <c r="T1761" s="75"/>
      <c r="U1761" s="75"/>
      <c r="V1761" s="75"/>
    </row>
    <row r="1762" spans="2:22" x14ac:dyDescent="0.2">
      <c r="B1762" s="165" t="s">
        <v>10669</v>
      </c>
      <c r="C1762" s="165"/>
      <c r="D1762" s="165"/>
      <c r="E1762" s="165"/>
      <c r="F1762" s="165"/>
      <c r="G1762" s="165"/>
      <c r="H1762" s="165"/>
      <c r="I1762" s="165"/>
      <c r="J1762" s="165"/>
      <c r="K1762" s="165"/>
      <c r="L1762" s="165"/>
      <c r="M1762" s="165"/>
      <c r="N1762" s="165"/>
      <c r="O1762" s="165"/>
      <c r="P1762" s="165"/>
      <c r="Q1762" s="76"/>
      <c r="R1762" s="76"/>
      <c r="S1762" s="76"/>
      <c r="T1762" s="76"/>
      <c r="U1762" s="76"/>
      <c r="V1762" s="76"/>
    </row>
    <row r="1763" spans="2:22" x14ac:dyDescent="0.2">
      <c r="B1763" s="73" t="s">
        <v>10669</v>
      </c>
      <c r="C1763" s="33" t="s">
        <v>1402</v>
      </c>
      <c r="D1763" s="23" t="s">
        <v>1403</v>
      </c>
      <c r="E1763" s="73"/>
      <c r="F1763" s="73"/>
      <c r="G1763" s="73"/>
      <c r="H1763" s="73"/>
      <c r="I1763" s="73"/>
      <c r="J1763" s="33" t="s">
        <v>9374</v>
      </c>
      <c r="K1763" s="33" t="s">
        <v>9375</v>
      </c>
      <c r="L1763" s="33" t="s">
        <v>121</v>
      </c>
      <c r="M1763" s="33" t="s">
        <v>9376</v>
      </c>
      <c r="N1763" s="73"/>
      <c r="O1763" s="73"/>
      <c r="P1763" s="73"/>
      <c r="Q1763" s="73"/>
      <c r="R1763" s="23"/>
      <c r="S1763" s="23"/>
      <c r="T1763" s="73"/>
      <c r="U1763" s="73"/>
      <c r="V1763" s="73"/>
    </row>
    <row r="1764" spans="2:22" x14ac:dyDescent="0.2">
      <c r="B1764" s="166"/>
      <c r="C1764" s="166"/>
      <c r="D1764" s="166"/>
      <c r="E1764" s="166"/>
      <c r="F1764" s="166"/>
      <c r="G1764" s="166"/>
      <c r="H1764" s="166"/>
      <c r="I1764" s="166"/>
      <c r="J1764" s="166"/>
      <c r="K1764" s="166"/>
      <c r="L1764" s="166"/>
      <c r="M1764" s="166"/>
      <c r="N1764" s="166"/>
      <c r="O1764" s="166"/>
      <c r="P1764" s="166"/>
      <c r="Q1764" s="73"/>
      <c r="R1764" s="23"/>
      <c r="S1764" s="23"/>
      <c r="T1764" s="73"/>
      <c r="U1764" s="73"/>
      <c r="V1764" s="73"/>
    </row>
    <row r="1765" spans="2:22" x14ac:dyDescent="0.2">
      <c r="B1765" s="165" t="s">
        <v>10672</v>
      </c>
      <c r="C1765" s="165"/>
      <c r="D1765" s="165"/>
      <c r="E1765" s="165"/>
      <c r="F1765" s="165"/>
      <c r="G1765" s="165"/>
      <c r="H1765" s="165"/>
      <c r="I1765" s="165"/>
      <c r="J1765" s="165"/>
      <c r="K1765" s="165"/>
      <c r="L1765" s="165"/>
      <c r="M1765" s="165"/>
      <c r="N1765" s="165"/>
      <c r="O1765" s="165"/>
      <c r="P1765" s="165"/>
      <c r="Q1765" s="75"/>
      <c r="R1765" s="75"/>
      <c r="S1765" s="75"/>
      <c r="T1765" s="75"/>
      <c r="U1765" s="75"/>
      <c r="V1765" s="75"/>
    </row>
    <row r="1766" spans="2:22" x14ac:dyDescent="0.2">
      <c r="B1766" s="73" t="s">
        <v>10672</v>
      </c>
      <c r="C1766" s="33" t="s">
        <v>1404</v>
      </c>
      <c r="D1766" s="23" t="s">
        <v>1405</v>
      </c>
      <c r="E1766" s="73"/>
      <c r="F1766" s="73"/>
      <c r="G1766" s="73"/>
      <c r="H1766" s="73"/>
      <c r="I1766" s="73"/>
      <c r="J1766" s="33" t="s">
        <v>9374</v>
      </c>
      <c r="K1766" s="33" t="s">
        <v>9375</v>
      </c>
      <c r="L1766" s="33" t="s">
        <v>121</v>
      </c>
      <c r="M1766" s="33" t="s">
        <v>9376</v>
      </c>
      <c r="N1766" s="73"/>
      <c r="O1766" s="73"/>
      <c r="P1766" s="73"/>
      <c r="Q1766" s="76"/>
      <c r="R1766" s="76"/>
      <c r="S1766" s="76"/>
      <c r="T1766" s="76"/>
      <c r="U1766" s="76"/>
      <c r="V1766" s="76"/>
    </row>
    <row r="1767" spans="2:22" x14ac:dyDescent="0.2">
      <c r="B1767" s="166"/>
      <c r="C1767" s="166"/>
      <c r="D1767" s="166"/>
      <c r="E1767" s="166"/>
      <c r="F1767" s="166"/>
      <c r="G1767" s="166"/>
      <c r="H1767" s="166"/>
      <c r="I1767" s="166"/>
      <c r="J1767" s="166"/>
      <c r="K1767" s="166"/>
      <c r="L1767" s="166"/>
      <c r="M1767" s="166"/>
      <c r="N1767" s="166"/>
      <c r="O1767" s="166"/>
      <c r="P1767" s="166"/>
      <c r="Q1767" s="73"/>
      <c r="R1767" s="23"/>
      <c r="S1767" s="23"/>
      <c r="T1767" s="73"/>
      <c r="U1767" s="73"/>
      <c r="V1767" s="73"/>
    </row>
    <row r="1768" spans="2:22" x14ac:dyDescent="0.2">
      <c r="B1768" s="165" t="s">
        <v>10675</v>
      </c>
      <c r="C1768" s="165"/>
      <c r="D1768" s="165"/>
      <c r="E1768" s="165"/>
      <c r="F1768" s="165"/>
      <c r="G1768" s="165"/>
      <c r="H1768" s="165"/>
      <c r="I1768" s="165"/>
      <c r="J1768" s="165"/>
      <c r="K1768" s="165"/>
      <c r="L1768" s="165"/>
      <c r="M1768" s="165"/>
      <c r="N1768" s="165"/>
      <c r="O1768" s="165"/>
      <c r="P1768" s="165"/>
      <c r="Q1768" s="73"/>
      <c r="R1768" s="23"/>
      <c r="S1768" s="23"/>
      <c r="T1768" s="73"/>
      <c r="U1768" s="73"/>
      <c r="V1768" s="73"/>
    </row>
    <row r="1769" spans="2:22" x14ac:dyDescent="0.2">
      <c r="B1769" s="73" t="s">
        <v>10675</v>
      </c>
      <c r="C1769" s="33" t="s">
        <v>1406</v>
      </c>
      <c r="D1769" s="23" t="s">
        <v>1407</v>
      </c>
      <c r="E1769" s="73"/>
      <c r="F1769" s="73"/>
      <c r="G1769" s="73"/>
      <c r="H1769" s="73"/>
      <c r="I1769" s="73"/>
      <c r="J1769" s="33" t="s">
        <v>9374</v>
      </c>
      <c r="K1769" s="33" t="s">
        <v>9375</v>
      </c>
      <c r="L1769" s="33" t="s">
        <v>121</v>
      </c>
      <c r="M1769" s="33" t="s">
        <v>9376</v>
      </c>
      <c r="N1769" s="73"/>
      <c r="O1769" s="73"/>
      <c r="P1769" s="73"/>
      <c r="Q1769" s="75"/>
      <c r="R1769" s="75"/>
      <c r="S1769" s="75"/>
      <c r="T1769" s="75"/>
      <c r="U1769" s="75"/>
      <c r="V1769" s="75"/>
    </row>
    <row r="1770" spans="2:22" x14ac:dyDescent="0.2">
      <c r="B1770" s="166"/>
      <c r="C1770" s="166"/>
      <c r="D1770" s="166"/>
      <c r="E1770" s="166"/>
      <c r="F1770" s="166"/>
      <c r="G1770" s="166"/>
      <c r="H1770" s="166"/>
      <c r="I1770" s="166"/>
      <c r="J1770" s="166"/>
      <c r="K1770" s="166"/>
      <c r="L1770" s="166"/>
      <c r="M1770" s="166"/>
      <c r="N1770" s="166"/>
      <c r="O1770" s="166"/>
      <c r="P1770" s="166"/>
      <c r="Q1770" s="76"/>
      <c r="R1770" s="76"/>
      <c r="S1770" s="76"/>
      <c r="T1770" s="76"/>
      <c r="U1770" s="76"/>
      <c r="V1770" s="76"/>
    </row>
    <row r="1771" spans="2:22" x14ac:dyDescent="0.2">
      <c r="B1771" s="165" t="s">
        <v>10678</v>
      </c>
      <c r="C1771" s="165"/>
      <c r="D1771" s="165"/>
      <c r="E1771" s="165"/>
      <c r="F1771" s="165"/>
      <c r="G1771" s="165"/>
      <c r="H1771" s="165"/>
      <c r="I1771" s="165"/>
      <c r="J1771" s="165"/>
      <c r="K1771" s="165"/>
      <c r="L1771" s="165"/>
      <c r="M1771" s="165"/>
      <c r="N1771" s="165"/>
      <c r="O1771" s="165"/>
      <c r="P1771" s="165"/>
      <c r="Q1771" s="73"/>
      <c r="R1771" s="23"/>
      <c r="S1771" s="23"/>
      <c r="T1771" s="73"/>
      <c r="U1771" s="73"/>
      <c r="V1771" s="73"/>
    </row>
    <row r="1772" spans="2:22" x14ac:dyDescent="0.2">
      <c r="B1772" s="73" t="s">
        <v>10678</v>
      </c>
      <c r="C1772" s="33" t="s">
        <v>1408</v>
      </c>
      <c r="D1772" s="23" t="s">
        <v>1409</v>
      </c>
      <c r="E1772" s="73"/>
      <c r="F1772" s="73"/>
      <c r="G1772" s="73"/>
      <c r="H1772" s="73"/>
      <c r="I1772" s="73"/>
      <c r="J1772" s="33" t="s">
        <v>9374</v>
      </c>
      <c r="K1772" s="33" t="s">
        <v>11016</v>
      </c>
      <c r="L1772" s="33" t="s">
        <v>121</v>
      </c>
      <c r="M1772" s="33" t="s">
        <v>9376</v>
      </c>
      <c r="N1772" s="73"/>
      <c r="O1772" s="73"/>
      <c r="P1772" s="73"/>
      <c r="Q1772" s="73"/>
      <c r="R1772" s="23"/>
      <c r="S1772" s="23"/>
      <c r="T1772" s="73"/>
      <c r="U1772" s="73"/>
      <c r="V1772" s="73"/>
    </row>
    <row r="1773" spans="2:22" x14ac:dyDescent="0.2">
      <c r="B1773" s="166"/>
      <c r="C1773" s="166"/>
      <c r="D1773" s="166"/>
      <c r="E1773" s="166"/>
      <c r="F1773" s="166"/>
      <c r="G1773" s="166"/>
      <c r="H1773" s="166"/>
      <c r="I1773" s="166"/>
      <c r="J1773" s="166"/>
      <c r="K1773" s="166"/>
      <c r="L1773" s="166"/>
      <c r="M1773" s="166"/>
      <c r="N1773" s="166"/>
      <c r="O1773" s="166"/>
      <c r="P1773" s="166"/>
      <c r="Q1773" s="75"/>
      <c r="R1773" s="75"/>
      <c r="S1773" s="75"/>
      <c r="T1773" s="75"/>
      <c r="U1773" s="75"/>
      <c r="V1773" s="75"/>
    </row>
    <row r="1774" spans="2:22" x14ac:dyDescent="0.2">
      <c r="B1774" s="165" t="s">
        <v>10680</v>
      </c>
      <c r="C1774" s="165"/>
      <c r="D1774" s="165"/>
      <c r="E1774" s="165"/>
      <c r="F1774" s="165"/>
      <c r="G1774" s="165"/>
      <c r="H1774" s="165"/>
      <c r="I1774" s="165"/>
      <c r="J1774" s="165"/>
      <c r="K1774" s="165"/>
      <c r="L1774" s="165"/>
      <c r="M1774" s="165"/>
      <c r="N1774" s="165"/>
      <c r="O1774" s="165"/>
      <c r="P1774" s="165"/>
      <c r="Q1774" s="76"/>
      <c r="R1774" s="76"/>
      <c r="S1774" s="76"/>
      <c r="T1774" s="76"/>
      <c r="U1774" s="76"/>
      <c r="V1774" s="76"/>
    </row>
    <row r="1775" spans="2:22" x14ac:dyDescent="0.2">
      <c r="B1775" s="73" t="s">
        <v>10680</v>
      </c>
      <c r="C1775" s="33" t="s">
        <v>1410</v>
      </c>
      <c r="D1775" s="23" t="s">
        <v>1411</v>
      </c>
      <c r="E1775" s="73"/>
      <c r="F1775" s="73"/>
      <c r="G1775" s="73"/>
      <c r="H1775" s="73"/>
      <c r="I1775" s="73"/>
      <c r="J1775" s="33" t="s">
        <v>9374</v>
      </c>
      <c r="K1775" s="33" t="s">
        <v>11016</v>
      </c>
      <c r="L1775" s="33" t="s">
        <v>121</v>
      </c>
      <c r="M1775" s="33" t="s">
        <v>9376</v>
      </c>
      <c r="N1775" s="73"/>
      <c r="O1775" s="73"/>
      <c r="P1775" s="73"/>
      <c r="Q1775" s="73"/>
      <c r="R1775" s="23"/>
      <c r="S1775" s="23"/>
      <c r="T1775" s="73"/>
      <c r="U1775" s="73"/>
      <c r="V1775" s="73"/>
    </row>
    <row r="1776" spans="2:22" x14ac:dyDescent="0.2">
      <c r="B1776" s="166"/>
      <c r="C1776" s="166"/>
      <c r="D1776" s="166"/>
      <c r="E1776" s="166"/>
      <c r="F1776" s="166"/>
      <c r="G1776" s="166"/>
      <c r="H1776" s="166"/>
      <c r="I1776" s="166"/>
      <c r="J1776" s="166"/>
      <c r="K1776" s="166"/>
      <c r="L1776" s="166"/>
      <c r="M1776" s="166"/>
      <c r="N1776" s="166"/>
      <c r="O1776" s="166"/>
      <c r="P1776" s="166"/>
      <c r="Q1776" s="73"/>
      <c r="R1776" s="23"/>
      <c r="S1776" s="23"/>
      <c r="T1776" s="73"/>
      <c r="U1776" s="73"/>
      <c r="V1776" s="73"/>
    </row>
    <row r="1777" spans="2:22" x14ac:dyDescent="0.2">
      <c r="B1777" s="165" t="s">
        <v>10682</v>
      </c>
      <c r="C1777" s="165"/>
      <c r="D1777" s="165"/>
      <c r="E1777" s="165"/>
      <c r="F1777" s="165"/>
      <c r="G1777" s="165"/>
      <c r="H1777" s="165"/>
      <c r="I1777" s="165"/>
      <c r="J1777" s="165"/>
      <c r="K1777" s="165"/>
      <c r="L1777" s="165"/>
      <c r="M1777" s="165"/>
      <c r="N1777" s="165"/>
      <c r="O1777" s="165"/>
      <c r="P1777" s="165"/>
      <c r="Q1777" s="75"/>
      <c r="R1777" s="75"/>
      <c r="S1777" s="75"/>
      <c r="T1777" s="75"/>
      <c r="U1777" s="75"/>
      <c r="V1777" s="75"/>
    </row>
    <row r="1778" spans="2:22" x14ac:dyDescent="0.2">
      <c r="B1778" s="73" t="s">
        <v>10682</v>
      </c>
      <c r="C1778" s="33" t="s">
        <v>1412</v>
      </c>
      <c r="D1778" s="23" t="s">
        <v>1413</v>
      </c>
      <c r="E1778" s="73"/>
      <c r="F1778" s="73"/>
      <c r="G1778" s="73"/>
      <c r="H1778" s="73"/>
      <c r="I1778" s="73"/>
      <c r="J1778" s="33" t="s">
        <v>9374</v>
      </c>
      <c r="K1778" s="33" t="s">
        <v>11016</v>
      </c>
      <c r="L1778" s="33" t="s">
        <v>121</v>
      </c>
      <c r="M1778" s="33" t="s">
        <v>9376</v>
      </c>
      <c r="N1778" s="73"/>
      <c r="O1778" s="73"/>
      <c r="P1778" s="73"/>
      <c r="Q1778" s="76"/>
      <c r="R1778" s="76"/>
      <c r="S1778" s="76"/>
      <c r="T1778" s="76"/>
      <c r="U1778" s="76"/>
      <c r="V1778" s="76"/>
    </row>
    <row r="1779" spans="2:22" x14ac:dyDescent="0.2">
      <c r="B1779" s="166"/>
      <c r="C1779" s="166"/>
      <c r="D1779" s="166"/>
      <c r="E1779" s="166"/>
      <c r="F1779" s="166"/>
      <c r="G1779" s="166"/>
      <c r="H1779" s="166"/>
      <c r="I1779" s="166"/>
      <c r="J1779" s="166"/>
      <c r="K1779" s="166"/>
      <c r="L1779" s="166"/>
      <c r="M1779" s="166"/>
      <c r="N1779" s="166"/>
      <c r="O1779" s="166"/>
      <c r="P1779" s="166"/>
      <c r="Q1779" s="73"/>
      <c r="R1779" s="23"/>
      <c r="S1779" s="23"/>
      <c r="T1779" s="73"/>
      <c r="U1779" s="73"/>
      <c r="V1779" s="73"/>
    </row>
    <row r="1780" spans="2:22" x14ac:dyDescent="0.2">
      <c r="B1780" s="165" t="s">
        <v>10684</v>
      </c>
      <c r="C1780" s="165"/>
      <c r="D1780" s="165"/>
      <c r="E1780" s="165"/>
      <c r="F1780" s="165"/>
      <c r="G1780" s="165"/>
      <c r="H1780" s="165"/>
      <c r="I1780" s="165"/>
      <c r="J1780" s="165"/>
      <c r="K1780" s="165"/>
      <c r="L1780" s="165"/>
      <c r="M1780" s="165"/>
      <c r="N1780" s="165"/>
      <c r="O1780" s="165"/>
      <c r="P1780" s="165"/>
      <c r="Q1780" s="75"/>
      <c r="R1780" s="75"/>
      <c r="S1780" s="75"/>
      <c r="T1780" s="75"/>
      <c r="U1780" s="75"/>
      <c r="V1780" s="75"/>
    </row>
    <row r="1781" spans="2:22" x14ac:dyDescent="0.2">
      <c r="B1781" s="73" t="s">
        <v>10684</v>
      </c>
      <c r="C1781" s="33" t="s">
        <v>1414</v>
      </c>
      <c r="D1781" s="23" t="s">
        <v>1415</v>
      </c>
      <c r="E1781" s="73"/>
      <c r="F1781" s="73"/>
      <c r="G1781" s="73"/>
      <c r="H1781" s="73"/>
      <c r="I1781" s="73"/>
      <c r="J1781" s="33" t="s">
        <v>9374</v>
      </c>
      <c r="K1781" s="33" t="s">
        <v>9375</v>
      </c>
      <c r="L1781" s="33" t="s">
        <v>121</v>
      </c>
      <c r="M1781" s="33" t="s">
        <v>9376</v>
      </c>
      <c r="N1781" s="73"/>
      <c r="O1781" s="73"/>
      <c r="P1781" s="73"/>
      <c r="Q1781" s="76"/>
      <c r="R1781" s="76"/>
      <c r="S1781" s="76"/>
      <c r="T1781" s="76"/>
      <c r="U1781" s="76"/>
      <c r="V1781" s="76"/>
    </row>
    <row r="1782" spans="2:22" ht="20.399999999999999" x14ac:dyDescent="0.2">
      <c r="B1782" s="73" t="s">
        <v>10684</v>
      </c>
      <c r="C1782" s="33" t="s">
        <v>1693</v>
      </c>
      <c r="D1782" s="23" t="s">
        <v>1694</v>
      </c>
      <c r="E1782" s="73" t="s">
        <v>11041</v>
      </c>
      <c r="F1782" s="73" t="s">
        <v>10902</v>
      </c>
      <c r="G1782" s="73"/>
      <c r="H1782" s="73" t="s">
        <v>10917</v>
      </c>
      <c r="I1782" s="73" t="s">
        <v>11249</v>
      </c>
      <c r="J1782" s="33" t="s">
        <v>9374</v>
      </c>
      <c r="K1782" s="33" t="s">
        <v>9375</v>
      </c>
      <c r="L1782" s="33" t="s">
        <v>121</v>
      </c>
      <c r="M1782" s="33" t="s">
        <v>9376</v>
      </c>
      <c r="N1782" s="73"/>
      <c r="O1782" s="73"/>
      <c r="P1782" s="73"/>
      <c r="Q1782" s="73"/>
      <c r="R1782" s="23"/>
      <c r="S1782" s="23"/>
      <c r="T1782" s="73"/>
      <c r="U1782" s="73"/>
      <c r="V1782" s="73"/>
    </row>
    <row r="1783" spans="2:22" x14ac:dyDescent="0.2">
      <c r="B1783" s="166"/>
      <c r="C1783" s="166"/>
      <c r="D1783" s="166"/>
      <c r="E1783" s="166"/>
      <c r="F1783" s="166"/>
      <c r="G1783" s="166"/>
      <c r="H1783" s="166"/>
      <c r="I1783" s="166"/>
      <c r="J1783" s="166"/>
      <c r="K1783" s="166"/>
      <c r="L1783" s="166"/>
      <c r="M1783" s="166"/>
      <c r="N1783" s="166"/>
      <c r="O1783" s="166"/>
      <c r="P1783" s="166"/>
      <c r="Q1783" s="75"/>
      <c r="R1783" s="75"/>
      <c r="S1783" s="75"/>
      <c r="T1783" s="75"/>
      <c r="U1783" s="75"/>
      <c r="V1783" s="75"/>
    </row>
    <row r="1784" spans="2:22" x14ac:dyDescent="0.2">
      <c r="B1784" s="165" t="s">
        <v>10687</v>
      </c>
      <c r="C1784" s="165"/>
      <c r="D1784" s="165"/>
      <c r="E1784" s="165"/>
      <c r="F1784" s="165"/>
      <c r="G1784" s="165"/>
      <c r="H1784" s="165"/>
      <c r="I1784" s="165"/>
      <c r="J1784" s="165"/>
      <c r="K1784" s="165"/>
      <c r="L1784" s="165"/>
      <c r="M1784" s="165"/>
      <c r="N1784" s="165"/>
      <c r="O1784" s="165"/>
      <c r="P1784" s="165"/>
      <c r="Q1784" s="76"/>
      <c r="R1784" s="76"/>
      <c r="S1784" s="76"/>
      <c r="T1784" s="76"/>
      <c r="U1784" s="76"/>
      <c r="V1784" s="76"/>
    </row>
    <row r="1785" spans="2:22" x14ac:dyDescent="0.2">
      <c r="B1785" s="73" t="s">
        <v>10687</v>
      </c>
      <c r="C1785" s="33" t="s">
        <v>1416</v>
      </c>
      <c r="D1785" s="23" t="s">
        <v>1417</v>
      </c>
      <c r="E1785" s="73"/>
      <c r="F1785" s="73"/>
      <c r="G1785" s="73"/>
      <c r="H1785" s="73"/>
      <c r="I1785" s="73"/>
      <c r="J1785" s="33" t="s">
        <v>9374</v>
      </c>
      <c r="K1785" s="33" t="s">
        <v>11016</v>
      </c>
      <c r="L1785" s="33" t="s">
        <v>121</v>
      </c>
      <c r="M1785" s="33" t="s">
        <v>9376</v>
      </c>
      <c r="N1785" s="73"/>
      <c r="O1785" s="73"/>
      <c r="P1785" s="73"/>
      <c r="Q1785" s="73"/>
      <c r="R1785" s="23"/>
      <c r="S1785" s="23"/>
      <c r="T1785" s="73"/>
      <c r="U1785" s="73"/>
      <c r="V1785" s="73"/>
    </row>
    <row r="1786" spans="2:22" x14ac:dyDescent="0.2">
      <c r="B1786" s="166"/>
      <c r="C1786" s="166"/>
      <c r="D1786" s="166"/>
      <c r="E1786" s="166"/>
      <c r="F1786" s="166"/>
      <c r="G1786" s="166"/>
      <c r="H1786" s="166"/>
      <c r="I1786" s="166"/>
      <c r="J1786" s="166"/>
      <c r="K1786" s="166"/>
      <c r="L1786" s="166"/>
      <c r="M1786" s="166"/>
      <c r="N1786" s="166"/>
      <c r="O1786" s="166"/>
      <c r="P1786" s="166"/>
      <c r="Q1786" s="73"/>
      <c r="R1786" s="23"/>
      <c r="S1786" s="23"/>
      <c r="T1786" s="73"/>
      <c r="U1786" s="73"/>
      <c r="V1786" s="73"/>
    </row>
    <row r="1787" spans="2:22" x14ac:dyDescent="0.2">
      <c r="B1787" s="165" t="s">
        <v>10689</v>
      </c>
      <c r="C1787" s="165"/>
      <c r="D1787" s="165"/>
      <c r="E1787" s="165"/>
      <c r="F1787" s="165"/>
      <c r="G1787" s="165"/>
      <c r="H1787" s="165"/>
      <c r="I1787" s="165"/>
      <c r="J1787" s="165"/>
      <c r="K1787" s="165"/>
      <c r="L1787" s="165"/>
      <c r="M1787" s="165"/>
      <c r="N1787" s="165"/>
      <c r="O1787" s="165"/>
      <c r="P1787" s="165"/>
      <c r="Q1787" s="75"/>
      <c r="R1787" s="75"/>
      <c r="S1787" s="75"/>
      <c r="T1787" s="75"/>
      <c r="U1787" s="75"/>
      <c r="V1787" s="75"/>
    </row>
    <row r="1788" spans="2:22" x14ac:dyDescent="0.2">
      <c r="B1788" s="73" t="s">
        <v>10689</v>
      </c>
      <c r="C1788" s="33" t="s">
        <v>1418</v>
      </c>
      <c r="D1788" s="23" t="s">
        <v>1419</v>
      </c>
      <c r="E1788" s="73"/>
      <c r="F1788" s="73"/>
      <c r="G1788" s="73"/>
      <c r="H1788" s="73"/>
      <c r="I1788" s="73"/>
      <c r="J1788" s="33" t="s">
        <v>9374</v>
      </c>
      <c r="K1788" s="33" t="s">
        <v>11016</v>
      </c>
      <c r="L1788" s="33" t="s">
        <v>121</v>
      </c>
      <c r="M1788" s="33" t="s">
        <v>9376</v>
      </c>
      <c r="N1788" s="73"/>
      <c r="O1788" s="73"/>
      <c r="P1788" s="73"/>
      <c r="Q1788" s="76"/>
      <c r="R1788" s="76"/>
      <c r="S1788" s="76"/>
      <c r="T1788" s="76"/>
      <c r="U1788" s="76"/>
      <c r="V1788" s="76"/>
    </row>
    <row r="1789" spans="2:22" x14ac:dyDescent="0.2">
      <c r="B1789" s="166"/>
      <c r="C1789" s="166"/>
      <c r="D1789" s="166"/>
      <c r="E1789" s="166"/>
      <c r="F1789" s="166"/>
      <c r="G1789" s="166"/>
      <c r="H1789" s="166"/>
      <c r="I1789" s="166"/>
      <c r="J1789" s="166"/>
      <c r="K1789" s="166"/>
      <c r="L1789" s="166"/>
      <c r="M1789" s="166"/>
      <c r="N1789" s="166"/>
      <c r="O1789" s="166"/>
      <c r="P1789" s="166"/>
      <c r="Q1789" s="73"/>
      <c r="R1789" s="23"/>
      <c r="S1789" s="23"/>
      <c r="T1789" s="73"/>
      <c r="U1789" s="73"/>
      <c r="V1789" s="73"/>
    </row>
    <row r="1790" spans="2:22" x14ac:dyDescent="0.2">
      <c r="B1790" s="165" t="s">
        <v>10691</v>
      </c>
      <c r="C1790" s="165"/>
      <c r="D1790" s="165"/>
      <c r="E1790" s="165"/>
      <c r="F1790" s="165"/>
      <c r="G1790" s="165"/>
      <c r="H1790" s="165"/>
      <c r="I1790" s="165"/>
      <c r="J1790" s="165"/>
      <c r="K1790" s="165"/>
      <c r="L1790" s="165"/>
      <c r="M1790" s="165"/>
      <c r="N1790" s="165"/>
      <c r="O1790" s="165"/>
      <c r="P1790" s="165"/>
      <c r="Q1790" s="75"/>
      <c r="R1790" s="75"/>
      <c r="S1790" s="75"/>
      <c r="T1790" s="75"/>
      <c r="U1790" s="75"/>
      <c r="V1790" s="75"/>
    </row>
    <row r="1791" spans="2:22" x14ac:dyDescent="0.2">
      <c r="B1791" s="73" t="s">
        <v>10691</v>
      </c>
      <c r="C1791" s="33" t="s">
        <v>1420</v>
      </c>
      <c r="D1791" s="23" t="s">
        <v>1421</v>
      </c>
      <c r="E1791" s="73"/>
      <c r="F1791" s="73"/>
      <c r="G1791" s="73"/>
      <c r="H1791" s="73"/>
      <c r="I1791" s="73"/>
      <c r="J1791" s="33" t="s">
        <v>9374</v>
      </c>
      <c r="K1791" s="33" t="s">
        <v>11016</v>
      </c>
      <c r="L1791" s="33" t="s">
        <v>121</v>
      </c>
      <c r="M1791" s="33" t="s">
        <v>9376</v>
      </c>
      <c r="N1791" s="73"/>
      <c r="O1791" s="73"/>
      <c r="P1791" s="73"/>
      <c r="Q1791" s="76"/>
      <c r="R1791" s="76"/>
      <c r="S1791" s="76"/>
      <c r="T1791" s="76"/>
      <c r="U1791" s="76"/>
      <c r="V1791" s="76"/>
    </row>
    <row r="1792" spans="2:22" x14ac:dyDescent="0.2">
      <c r="B1792" s="166"/>
      <c r="C1792" s="166"/>
      <c r="D1792" s="166"/>
      <c r="E1792" s="166"/>
      <c r="F1792" s="166"/>
      <c r="G1792" s="166"/>
      <c r="H1792" s="166"/>
      <c r="I1792" s="166"/>
      <c r="J1792" s="166"/>
      <c r="K1792" s="166"/>
      <c r="L1792" s="166"/>
      <c r="M1792" s="166"/>
      <c r="N1792" s="166"/>
      <c r="O1792" s="166"/>
      <c r="P1792" s="166"/>
      <c r="Q1792" s="73"/>
      <c r="R1792" s="23"/>
      <c r="S1792" s="23"/>
      <c r="T1792" s="73"/>
      <c r="U1792" s="73"/>
      <c r="V1792" s="73"/>
    </row>
    <row r="1793" spans="2:22" x14ac:dyDescent="0.2">
      <c r="B1793" s="165" t="s">
        <v>10693</v>
      </c>
      <c r="C1793" s="165"/>
      <c r="D1793" s="165"/>
      <c r="E1793" s="165"/>
      <c r="F1793" s="165"/>
      <c r="G1793" s="165"/>
      <c r="H1793" s="165"/>
      <c r="I1793" s="165"/>
      <c r="J1793" s="165"/>
      <c r="K1793" s="165"/>
      <c r="L1793" s="165"/>
      <c r="M1793" s="165"/>
      <c r="N1793" s="165"/>
      <c r="O1793" s="165"/>
      <c r="P1793" s="165"/>
      <c r="Q1793" s="73"/>
      <c r="R1793" s="23"/>
      <c r="S1793" s="23"/>
      <c r="T1793" s="73"/>
      <c r="U1793" s="73"/>
      <c r="V1793" s="73"/>
    </row>
    <row r="1794" spans="2:22" x14ac:dyDescent="0.2">
      <c r="B1794" s="73" t="s">
        <v>10693</v>
      </c>
      <c r="C1794" s="33" t="s">
        <v>1422</v>
      </c>
      <c r="D1794" s="23" t="s">
        <v>1423</v>
      </c>
      <c r="E1794" s="73"/>
      <c r="F1794" s="73"/>
      <c r="G1794" s="73"/>
      <c r="H1794" s="73"/>
      <c r="I1794" s="73"/>
      <c r="J1794" s="33" t="s">
        <v>9374</v>
      </c>
      <c r="K1794" s="33" t="s">
        <v>11016</v>
      </c>
      <c r="L1794" s="33" t="s">
        <v>121</v>
      </c>
      <c r="M1794" s="33" t="s">
        <v>9376</v>
      </c>
      <c r="N1794" s="73"/>
      <c r="O1794" s="73"/>
      <c r="P1794" s="73"/>
      <c r="Q1794" s="75"/>
      <c r="R1794" s="75"/>
      <c r="S1794" s="75"/>
      <c r="T1794" s="75"/>
      <c r="U1794" s="75"/>
      <c r="V1794" s="75"/>
    </row>
    <row r="1795" spans="2:22" x14ac:dyDescent="0.2">
      <c r="B1795" s="166"/>
      <c r="C1795" s="166"/>
      <c r="D1795" s="166"/>
      <c r="E1795" s="166"/>
      <c r="F1795" s="166"/>
      <c r="G1795" s="166"/>
      <c r="H1795" s="166"/>
      <c r="I1795" s="166"/>
      <c r="J1795" s="166"/>
      <c r="K1795" s="166"/>
      <c r="L1795" s="166"/>
      <c r="M1795" s="166"/>
      <c r="N1795" s="166"/>
      <c r="O1795" s="166"/>
      <c r="P1795" s="166"/>
      <c r="Q1795" s="76"/>
      <c r="R1795" s="76"/>
      <c r="S1795" s="76"/>
      <c r="T1795" s="76"/>
      <c r="U1795" s="76"/>
      <c r="V1795" s="76"/>
    </row>
    <row r="1796" spans="2:22" x14ac:dyDescent="0.2">
      <c r="B1796" s="165" t="s">
        <v>10696</v>
      </c>
      <c r="C1796" s="165"/>
      <c r="D1796" s="165"/>
      <c r="E1796" s="165"/>
      <c r="F1796" s="165"/>
      <c r="G1796" s="165"/>
      <c r="H1796" s="165"/>
      <c r="I1796" s="165"/>
      <c r="J1796" s="165"/>
      <c r="K1796" s="165"/>
      <c r="L1796" s="165"/>
      <c r="M1796" s="165"/>
      <c r="N1796" s="165"/>
      <c r="O1796" s="165"/>
      <c r="P1796" s="165"/>
      <c r="Q1796" s="73"/>
      <c r="R1796" s="23"/>
      <c r="S1796" s="23"/>
      <c r="T1796" s="73"/>
      <c r="U1796" s="73"/>
      <c r="V1796" s="73"/>
    </row>
    <row r="1797" spans="2:22" x14ac:dyDescent="0.2">
      <c r="B1797" s="73" t="s">
        <v>10696</v>
      </c>
      <c r="C1797" s="33" t="s">
        <v>1424</v>
      </c>
      <c r="D1797" s="23" t="s">
        <v>1425</v>
      </c>
      <c r="E1797" s="73"/>
      <c r="F1797" s="73"/>
      <c r="G1797" s="73"/>
      <c r="H1797" s="73"/>
      <c r="I1797" s="73"/>
      <c r="J1797" s="33" t="s">
        <v>9374</v>
      </c>
      <c r="K1797" s="33" t="s">
        <v>9375</v>
      </c>
      <c r="L1797" s="33" t="s">
        <v>121</v>
      </c>
      <c r="M1797" s="33" t="s">
        <v>9376</v>
      </c>
      <c r="N1797" s="73"/>
      <c r="O1797" s="73"/>
      <c r="P1797" s="73"/>
      <c r="Q1797" s="73"/>
      <c r="R1797" s="23"/>
      <c r="S1797" s="23"/>
      <c r="T1797" s="73"/>
      <c r="U1797" s="73"/>
      <c r="V1797" s="73"/>
    </row>
    <row r="1798" spans="2:22" ht="20.399999999999999" x14ac:dyDescent="0.2">
      <c r="B1798" s="73" t="s">
        <v>10696</v>
      </c>
      <c r="C1798" s="33" t="s">
        <v>1687</v>
      </c>
      <c r="D1798" s="23" t="s">
        <v>1688</v>
      </c>
      <c r="E1798" s="73" t="s">
        <v>11038</v>
      </c>
      <c r="F1798" s="73" t="s">
        <v>10902</v>
      </c>
      <c r="G1798" s="73"/>
      <c r="H1798" s="73" t="s">
        <v>11039</v>
      </c>
      <c r="I1798" s="73" t="s">
        <v>11250</v>
      </c>
      <c r="J1798" s="33" t="s">
        <v>9374</v>
      </c>
      <c r="K1798" s="33" t="s">
        <v>9375</v>
      </c>
      <c r="L1798" s="33" t="s">
        <v>121</v>
      </c>
      <c r="M1798" s="33" t="s">
        <v>9376</v>
      </c>
      <c r="N1798" s="73"/>
      <c r="O1798" s="73"/>
      <c r="P1798" s="73"/>
      <c r="Q1798" s="75"/>
      <c r="R1798" s="75"/>
      <c r="S1798" s="75"/>
      <c r="T1798" s="75"/>
      <c r="U1798" s="75"/>
      <c r="V1798" s="75"/>
    </row>
    <row r="1799" spans="2:22" x14ac:dyDescent="0.2">
      <c r="B1799" s="166"/>
      <c r="C1799" s="166"/>
      <c r="D1799" s="166"/>
      <c r="E1799" s="166"/>
      <c r="F1799" s="166"/>
      <c r="G1799" s="166"/>
      <c r="H1799" s="166"/>
      <c r="I1799" s="166"/>
      <c r="J1799" s="166"/>
      <c r="K1799" s="166"/>
      <c r="L1799" s="166"/>
      <c r="M1799" s="166"/>
      <c r="N1799" s="166"/>
      <c r="O1799" s="166"/>
      <c r="P1799" s="166"/>
      <c r="Q1799" s="76"/>
      <c r="R1799" s="76"/>
      <c r="S1799" s="76"/>
      <c r="T1799" s="76"/>
      <c r="U1799" s="76"/>
      <c r="V1799" s="76"/>
    </row>
    <row r="1800" spans="2:22" x14ac:dyDescent="0.2">
      <c r="B1800" s="165" t="s">
        <v>10699</v>
      </c>
      <c r="C1800" s="165"/>
      <c r="D1800" s="165"/>
      <c r="E1800" s="165"/>
      <c r="F1800" s="165"/>
      <c r="G1800" s="165"/>
      <c r="H1800" s="165"/>
      <c r="I1800" s="165"/>
      <c r="J1800" s="165"/>
      <c r="K1800" s="165"/>
      <c r="L1800" s="165"/>
      <c r="M1800" s="165"/>
      <c r="N1800" s="165"/>
      <c r="O1800" s="165"/>
      <c r="P1800" s="165"/>
      <c r="Q1800" s="73"/>
      <c r="R1800" s="23"/>
      <c r="S1800" s="23"/>
      <c r="T1800" s="73"/>
      <c r="U1800" s="73"/>
      <c r="V1800" s="73"/>
    </row>
    <row r="1801" spans="2:22" x14ac:dyDescent="0.2">
      <c r="B1801" s="73" t="s">
        <v>10699</v>
      </c>
      <c r="C1801" s="33" t="s">
        <v>1426</v>
      </c>
      <c r="D1801" s="23" t="s">
        <v>1427</v>
      </c>
      <c r="E1801" s="73"/>
      <c r="F1801" s="73"/>
      <c r="G1801" s="73"/>
      <c r="H1801" s="73"/>
      <c r="I1801" s="73"/>
      <c r="J1801" s="33" t="s">
        <v>9374</v>
      </c>
      <c r="K1801" s="33" t="s">
        <v>9375</v>
      </c>
      <c r="L1801" s="33" t="s">
        <v>121</v>
      </c>
      <c r="M1801" s="33" t="s">
        <v>9376</v>
      </c>
      <c r="N1801" s="73"/>
      <c r="O1801" s="73"/>
      <c r="P1801" s="73"/>
      <c r="Q1801" s="73"/>
      <c r="R1801" s="23"/>
      <c r="S1801" s="23"/>
      <c r="T1801" s="73"/>
      <c r="U1801" s="73"/>
      <c r="V1801" s="73"/>
    </row>
    <row r="1802" spans="2:22" x14ac:dyDescent="0.2">
      <c r="B1802" s="166"/>
      <c r="C1802" s="166"/>
      <c r="D1802" s="166"/>
      <c r="E1802" s="166"/>
      <c r="F1802" s="166"/>
      <c r="G1802" s="166"/>
      <c r="H1802" s="166"/>
      <c r="I1802" s="166"/>
      <c r="J1802" s="166"/>
      <c r="K1802" s="166"/>
      <c r="L1802" s="166"/>
      <c r="M1802" s="166"/>
      <c r="N1802" s="166"/>
      <c r="O1802" s="166"/>
      <c r="P1802" s="166"/>
      <c r="Q1802" s="75"/>
      <c r="R1802" s="75"/>
      <c r="S1802" s="75"/>
      <c r="T1802" s="75"/>
      <c r="U1802" s="75"/>
      <c r="V1802" s="75"/>
    </row>
    <row r="1803" spans="2:22" x14ac:dyDescent="0.2">
      <c r="B1803" s="165" t="s">
        <v>10702</v>
      </c>
      <c r="C1803" s="165"/>
      <c r="D1803" s="165"/>
      <c r="E1803" s="165"/>
      <c r="F1803" s="165"/>
      <c r="G1803" s="165"/>
      <c r="H1803" s="165"/>
      <c r="I1803" s="165"/>
      <c r="J1803" s="165"/>
      <c r="K1803" s="165"/>
      <c r="L1803" s="165"/>
      <c r="M1803" s="165"/>
      <c r="N1803" s="165"/>
      <c r="O1803" s="165"/>
      <c r="P1803" s="165"/>
      <c r="Q1803" s="76"/>
      <c r="R1803" s="76"/>
      <c r="S1803" s="76"/>
      <c r="T1803" s="76"/>
      <c r="U1803" s="76"/>
      <c r="V1803" s="76"/>
    </row>
    <row r="1804" spans="2:22" x14ac:dyDescent="0.2">
      <c r="B1804" s="73" t="s">
        <v>10702</v>
      </c>
      <c r="C1804" s="33" t="s">
        <v>1428</v>
      </c>
      <c r="D1804" s="23" t="s">
        <v>1429</v>
      </c>
      <c r="E1804" s="73"/>
      <c r="F1804" s="73"/>
      <c r="G1804" s="73"/>
      <c r="H1804" s="73"/>
      <c r="I1804" s="73"/>
      <c r="J1804" s="33" t="s">
        <v>9374</v>
      </c>
      <c r="K1804" s="33" t="s">
        <v>9375</v>
      </c>
      <c r="L1804" s="33" t="s">
        <v>121</v>
      </c>
      <c r="M1804" s="33" t="s">
        <v>9376</v>
      </c>
      <c r="N1804" s="73"/>
      <c r="O1804" s="73"/>
      <c r="P1804" s="73"/>
      <c r="Q1804" s="73"/>
      <c r="R1804" s="23"/>
      <c r="S1804" s="23"/>
      <c r="T1804" s="73"/>
      <c r="U1804" s="73"/>
      <c r="V1804" s="73"/>
    </row>
    <row r="1805" spans="2:22" x14ac:dyDescent="0.2">
      <c r="B1805" s="166"/>
      <c r="C1805" s="166"/>
      <c r="D1805" s="166"/>
      <c r="E1805" s="166"/>
      <c r="F1805" s="166"/>
      <c r="G1805" s="166"/>
      <c r="H1805" s="166"/>
      <c r="I1805" s="166"/>
      <c r="J1805" s="166"/>
      <c r="K1805" s="166"/>
      <c r="L1805" s="166"/>
      <c r="M1805" s="166"/>
      <c r="N1805" s="166"/>
      <c r="O1805" s="166"/>
      <c r="P1805" s="166"/>
      <c r="Q1805" s="73"/>
      <c r="R1805" s="23"/>
      <c r="S1805" s="23"/>
      <c r="T1805" s="73"/>
      <c r="U1805" s="73"/>
      <c r="V1805" s="73"/>
    </row>
    <row r="1806" spans="2:22" x14ac:dyDescent="0.2">
      <c r="B1806" s="165" t="s">
        <v>10705</v>
      </c>
      <c r="C1806" s="165"/>
      <c r="D1806" s="165"/>
      <c r="E1806" s="165"/>
      <c r="F1806" s="165"/>
      <c r="G1806" s="165"/>
      <c r="H1806" s="165"/>
      <c r="I1806" s="165"/>
      <c r="J1806" s="165"/>
      <c r="K1806" s="165"/>
      <c r="L1806" s="165"/>
      <c r="M1806" s="165"/>
      <c r="N1806" s="165"/>
      <c r="O1806" s="165"/>
      <c r="P1806" s="165"/>
      <c r="Q1806" s="75"/>
      <c r="R1806" s="75"/>
      <c r="S1806" s="75"/>
      <c r="T1806" s="75"/>
      <c r="U1806" s="75"/>
      <c r="V1806" s="75"/>
    </row>
    <row r="1807" spans="2:22" x14ac:dyDescent="0.2">
      <c r="B1807" s="73" t="s">
        <v>10705</v>
      </c>
      <c r="C1807" s="33" t="s">
        <v>1430</v>
      </c>
      <c r="D1807" s="23" t="s">
        <v>1431</v>
      </c>
      <c r="E1807" s="73"/>
      <c r="F1807" s="73"/>
      <c r="G1807" s="73"/>
      <c r="H1807" s="73"/>
      <c r="I1807" s="73"/>
      <c r="J1807" s="33" t="s">
        <v>9374</v>
      </c>
      <c r="K1807" s="33" t="s">
        <v>9375</v>
      </c>
      <c r="L1807" s="33" t="s">
        <v>121</v>
      </c>
      <c r="M1807" s="33" t="s">
        <v>9376</v>
      </c>
      <c r="N1807" s="73"/>
      <c r="O1807" s="73"/>
      <c r="P1807" s="73"/>
      <c r="Q1807" s="76"/>
      <c r="R1807" s="76"/>
      <c r="S1807" s="76"/>
      <c r="T1807" s="76"/>
      <c r="U1807" s="76"/>
      <c r="V1807" s="76"/>
    </row>
    <row r="1808" spans="2:22" x14ac:dyDescent="0.2">
      <c r="B1808" s="166"/>
      <c r="C1808" s="166"/>
      <c r="D1808" s="166"/>
      <c r="E1808" s="166"/>
      <c r="F1808" s="166"/>
      <c r="G1808" s="166"/>
      <c r="H1808" s="166"/>
      <c r="I1808" s="166"/>
      <c r="J1808" s="166"/>
      <c r="K1808" s="166"/>
      <c r="L1808" s="166"/>
      <c r="M1808" s="166"/>
      <c r="N1808" s="166"/>
      <c r="O1808" s="166"/>
      <c r="P1808" s="166"/>
      <c r="Q1808" s="73"/>
      <c r="R1808" s="23"/>
      <c r="S1808" s="23"/>
      <c r="T1808" s="73"/>
      <c r="U1808" s="73"/>
      <c r="V1808" s="73"/>
    </row>
    <row r="1809" spans="2:22" x14ac:dyDescent="0.2">
      <c r="B1809" s="165" t="s">
        <v>10708</v>
      </c>
      <c r="C1809" s="165"/>
      <c r="D1809" s="165"/>
      <c r="E1809" s="165"/>
      <c r="F1809" s="165"/>
      <c r="G1809" s="165"/>
      <c r="H1809" s="165"/>
      <c r="I1809" s="165"/>
      <c r="J1809" s="165"/>
      <c r="K1809" s="165"/>
      <c r="L1809" s="165"/>
      <c r="M1809" s="165"/>
      <c r="N1809" s="165"/>
      <c r="O1809" s="165"/>
      <c r="P1809" s="165"/>
      <c r="Q1809" s="73"/>
      <c r="R1809" s="23"/>
      <c r="S1809" s="23"/>
      <c r="T1809" s="73"/>
      <c r="U1809" s="73"/>
      <c r="V1809" s="73"/>
    </row>
    <row r="1810" spans="2:22" x14ac:dyDescent="0.2">
      <c r="B1810" s="73" t="s">
        <v>10708</v>
      </c>
      <c r="C1810" s="33" t="s">
        <v>1432</v>
      </c>
      <c r="D1810" s="23" t="s">
        <v>1433</v>
      </c>
      <c r="E1810" s="73"/>
      <c r="F1810" s="73"/>
      <c r="G1810" s="73"/>
      <c r="H1810" s="73"/>
      <c r="I1810" s="73"/>
      <c r="J1810" s="33" t="s">
        <v>9374</v>
      </c>
      <c r="K1810" s="33" t="s">
        <v>9375</v>
      </c>
      <c r="L1810" s="33" t="s">
        <v>121</v>
      </c>
      <c r="M1810" s="33" t="s">
        <v>9376</v>
      </c>
      <c r="N1810" s="73"/>
      <c r="O1810" s="73"/>
      <c r="P1810" s="73"/>
      <c r="Q1810" s="75"/>
      <c r="R1810" s="75"/>
      <c r="S1810" s="75"/>
      <c r="T1810" s="75"/>
      <c r="U1810" s="75"/>
      <c r="V1810" s="75"/>
    </row>
    <row r="1811" spans="2:22" x14ac:dyDescent="0.2">
      <c r="B1811" s="166"/>
      <c r="C1811" s="166"/>
      <c r="D1811" s="166"/>
      <c r="E1811" s="166"/>
      <c r="F1811" s="166"/>
      <c r="G1811" s="166"/>
      <c r="H1811" s="166"/>
      <c r="I1811" s="166"/>
      <c r="J1811" s="166"/>
      <c r="K1811" s="166"/>
      <c r="L1811" s="166"/>
      <c r="M1811" s="166"/>
      <c r="N1811" s="166"/>
      <c r="O1811" s="166"/>
      <c r="P1811" s="166"/>
      <c r="Q1811" s="76"/>
      <c r="R1811" s="76"/>
      <c r="S1811" s="76"/>
      <c r="T1811" s="76"/>
      <c r="U1811" s="76"/>
      <c r="V1811" s="76"/>
    </row>
    <row r="1812" spans="2:22" x14ac:dyDescent="0.2">
      <c r="B1812" s="165" t="s">
        <v>10711</v>
      </c>
      <c r="C1812" s="165"/>
      <c r="D1812" s="165"/>
      <c r="E1812" s="165"/>
      <c r="F1812" s="165"/>
      <c r="G1812" s="165"/>
      <c r="H1812" s="165"/>
      <c r="I1812" s="165"/>
      <c r="J1812" s="165"/>
      <c r="K1812" s="165"/>
      <c r="L1812" s="165"/>
      <c r="M1812" s="165"/>
      <c r="N1812" s="165"/>
      <c r="O1812" s="165"/>
      <c r="P1812" s="165"/>
      <c r="Q1812" s="73"/>
      <c r="R1812" s="23"/>
      <c r="S1812" s="23"/>
      <c r="T1812" s="73"/>
      <c r="U1812" s="73"/>
      <c r="V1812" s="73"/>
    </row>
    <row r="1813" spans="2:22" x14ac:dyDescent="0.2">
      <c r="B1813" s="73" t="s">
        <v>10711</v>
      </c>
      <c r="C1813" s="33" t="s">
        <v>1434</v>
      </c>
      <c r="D1813" s="23" t="s">
        <v>1435</v>
      </c>
      <c r="E1813" s="73"/>
      <c r="F1813" s="73"/>
      <c r="G1813" s="73"/>
      <c r="H1813" s="73"/>
      <c r="I1813" s="73"/>
      <c r="J1813" s="33" t="s">
        <v>9374</v>
      </c>
      <c r="K1813" s="33" t="s">
        <v>9375</v>
      </c>
      <c r="L1813" s="33" t="s">
        <v>121</v>
      </c>
      <c r="M1813" s="33" t="s">
        <v>9376</v>
      </c>
      <c r="N1813" s="73"/>
      <c r="O1813" s="73"/>
      <c r="P1813" s="73"/>
      <c r="Q1813" s="73"/>
      <c r="R1813" s="23"/>
      <c r="S1813" s="23"/>
      <c r="T1813" s="73"/>
      <c r="U1813" s="73"/>
      <c r="V1813" s="73"/>
    </row>
    <row r="1814" spans="2:22" x14ac:dyDescent="0.2">
      <c r="B1814" s="166"/>
      <c r="C1814" s="166"/>
      <c r="D1814" s="166"/>
      <c r="E1814" s="166"/>
      <c r="F1814" s="166"/>
      <c r="G1814" s="166"/>
      <c r="H1814" s="166"/>
      <c r="I1814" s="166"/>
      <c r="J1814" s="166"/>
      <c r="K1814" s="166"/>
      <c r="L1814" s="166"/>
      <c r="M1814" s="166"/>
      <c r="N1814" s="166"/>
      <c r="O1814" s="166"/>
      <c r="P1814" s="166"/>
      <c r="Q1814" s="75"/>
      <c r="R1814" s="75"/>
      <c r="S1814" s="75"/>
      <c r="T1814" s="75"/>
      <c r="U1814" s="75"/>
      <c r="V1814" s="75"/>
    </row>
    <row r="1815" spans="2:22" x14ac:dyDescent="0.2">
      <c r="B1815" s="165" t="s">
        <v>10714</v>
      </c>
      <c r="C1815" s="165"/>
      <c r="D1815" s="165"/>
      <c r="E1815" s="165"/>
      <c r="F1815" s="165"/>
      <c r="G1815" s="165"/>
      <c r="H1815" s="165"/>
      <c r="I1815" s="165"/>
      <c r="J1815" s="165"/>
      <c r="K1815" s="165"/>
      <c r="L1815" s="165"/>
      <c r="M1815" s="165"/>
      <c r="N1815" s="165"/>
      <c r="O1815" s="165"/>
      <c r="P1815" s="165"/>
      <c r="Q1815" s="76"/>
      <c r="R1815" s="76"/>
      <c r="S1815" s="76"/>
      <c r="T1815" s="76"/>
      <c r="U1815" s="76"/>
      <c r="V1815" s="76"/>
    </row>
    <row r="1816" spans="2:22" x14ac:dyDescent="0.2">
      <c r="B1816" s="73" t="s">
        <v>10714</v>
      </c>
      <c r="C1816" s="33" t="s">
        <v>1436</v>
      </c>
      <c r="D1816" s="23" t="s">
        <v>1437</v>
      </c>
      <c r="E1816" s="73"/>
      <c r="F1816" s="73"/>
      <c r="G1816" s="73"/>
      <c r="H1816" s="73"/>
      <c r="I1816" s="73"/>
      <c r="J1816" s="33" t="s">
        <v>9374</v>
      </c>
      <c r="K1816" s="33" t="s">
        <v>9375</v>
      </c>
      <c r="L1816" s="33" t="s">
        <v>121</v>
      </c>
      <c r="M1816" s="33" t="s">
        <v>9376</v>
      </c>
      <c r="N1816" s="73"/>
      <c r="O1816" s="73"/>
      <c r="P1816" s="73"/>
      <c r="Q1816" s="73"/>
      <c r="R1816" s="23"/>
      <c r="S1816" s="23"/>
      <c r="T1816" s="73"/>
      <c r="U1816" s="73"/>
      <c r="V1816" s="73"/>
    </row>
    <row r="1817" spans="2:22" x14ac:dyDescent="0.2">
      <c r="B1817" s="166"/>
      <c r="C1817" s="166"/>
      <c r="D1817" s="166"/>
      <c r="E1817" s="166"/>
      <c r="F1817" s="166"/>
      <c r="G1817" s="166"/>
      <c r="H1817" s="166"/>
      <c r="I1817" s="166"/>
      <c r="J1817" s="166"/>
      <c r="K1817" s="166"/>
      <c r="L1817" s="166"/>
      <c r="M1817" s="166"/>
      <c r="N1817" s="166"/>
      <c r="O1817" s="166"/>
      <c r="P1817" s="166"/>
      <c r="Q1817" s="73"/>
      <c r="R1817" s="23"/>
      <c r="S1817" s="23"/>
      <c r="T1817" s="73"/>
      <c r="U1817" s="73"/>
      <c r="V1817" s="73"/>
    </row>
    <row r="1818" spans="2:22" x14ac:dyDescent="0.2">
      <c r="B1818" s="165" t="s">
        <v>10717</v>
      </c>
      <c r="C1818" s="165"/>
      <c r="D1818" s="165"/>
      <c r="E1818" s="165"/>
      <c r="F1818" s="165"/>
      <c r="G1818" s="165"/>
      <c r="H1818" s="165"/>
      <c r="I1818" s="165"/>
      <c r="J1818" s="165"/>
      <c r="K1818" s="165"/>
      <c r="L1818" s="165"/>
      <c r="M1818" s="165"/>
      <c r="N1818" s="165"/>
      <c r="O1818" s="165"/>
      <c r="P1818" s="165"/>
      <c r="Q1818" s="75"/>
      <c r="R1818" s="75"/>
      <c r="S1818" s="75"/>
      <c r="T1818" s="75"/>
      <c r="U1818" s="75"/>
      <c r="V1818" s="75"/>
    </row>
    <row r="1819" spans="2:22" x14ac:dyDescent="0.2">
      <c r="B1819" s="73" t="s">
        <v>10717</v>
      </c>
      <c r="C1819" s="33" t="s">
        <v>1438</v>
      </c>
      <c r="D1819" s="23" t="s">
        <v>1439</v>
      </c>
      <c r="E1819" s="73"/>
      <c r="F1819" s="73"/>
      <c r="G1819" s="73"/>
      <c r="H1819" s="73"/>
      <c r="I1819" s="73"/>
      <c r="J1819" s="33" t="s">
        <v>9374</v>
      </c>
      <c r="K1819" s="33" t="s">
        <v>11016</v>
      </c>
      <c r="L1819" s="33" t="s">
        <v>121</v>
      </c>
      <c r="M1819" s="33" t="s">
        <v>9376</v>
      </c>
      <c r="N1819" s="73"/>
      <c r="O1819" s="73"/>
      <c r="P1819" s="73"/>
      <c r="Q1819" s="76"/>
      <c r="R1819" s="76"/>
      <c r="S1819" s="76"/>
      <c r="T1819" s="76"/>
      <c r="U1819" s="76"/>
      <c r="V1819" s="76"/>
    </row>
    <row r="1820" spans="2:22" x14ac:dyDescent="0.2">
      <c r="B1820" s="166"/>
      <c r="C1820" s="166"/>
      <c r="D1820" s="166"/>
      <c r="E1820" s="166"/>
      <c r="F1820" s="166"/>
      <c r="G1820" s="166"/>
      <c r="H1820" s="166"/>
      <c r="I1820" s="166"/>
      <c r="J1820" s="166"/>
      <c r="K1820" s="166"/>
      <c r="L1820" s="166"/>
      <c r="M1820" s="166"/>
      <c r="N1820" s="166"/>
      <c r="O1820" s="166"/>
      <c r="P1820" s="166"/>
      <c r="Q1820" s="73"/>
      <c r="R1820" s="23"/>
      <c r="S1820" s="23"/>
      <c r="T1820" s="73"/>
      <c r="U1820" s="73"/>
      <c r="V1820" s="73"/>
    </row>
    <row r="1821" spans="2:22" x14ac:dyDescent="0.2">
      <c r="B1821" s="165" t="s">
        <v>10719</v>
      </c>
      <c r="C1821" s="165"/>
      <c r="D1821" s="165"/>
      <c r="E1821" s="165"/>
      <c r="F1821" s="165"/>
      <c r="G1821" s="165"/>
      <c r="H1821" s="165"/>
      <c r="I1821" s="165"/>
      <c r="J1821" s="165"/>
      <c r="K1821" s="165"/>
      <c r="L1821" s="165"/>
      <c r="M1821" s="165"/>
      <c r="N1821" s="165"/>
      <c r="O1821" s="165"/>
      <c r="P1821" s="165"/>
      <c r="Q1821" s="73"/>
      <c r="R1821" s="23"/>
      <c r="S1821" s="23"/>
      <c r="T1821" s="73"/>
      <c r="U1821" s="73"/>
      <c r="V1821" s="73"/>
    </row>
    <row r="1822" spans="2:22" x14ac:dyDescent="0.2">
      <c r="B1822" s="73" t="s">
        <v>10719</v>
      </c>
      <c r="C1822" s="33" t="s">
        <v>1440</v>
      </c>
      <c r="D1822" s="23" t="s">
        <v>1441</v>
      </c>
      <c r="E1822" s="73"/>
      <c r="F1822" s="73"/>
      <c r="G1822" s="73"/>
      <c r="H1822" s="73"/>
      <c r="I1822" s="73"/>
      <c r="J1822" s="33" t="s">
        <v>9374</v>
      </c>
      <c r="K1822" s="33" t="s">
        <v>9375</v>
      </c>
      <c r="L1822" s="33" t="s">
        <v>121</v>
      </c>
      <c r="M1822" s="33" t="s">
        <v>9376</v>
      </c>
      <c r="N1822" s="73"/>
      <c r="O1822" s="73"/>
      <c r="P1822" s="73"/>
      <c r="Q1822" s="75"/>
      <c r="R1822" s="75"/>
      <c r="S1822" s="75"/>
      <c r="T1822" s="75"/>
      <c r="U1822" s="75"/>
      <c r="V1822" s="75"/>
    </row>
    <row r="1823" spans="2:22" x14ac:dyDescent="0.2">
      <c r="B1823" s="166"/>
      <c r="C1823" s="166"/>
      <c r="D1823" s="166"/>
      <c r="E1823" s="166"/>
      <c r="F1823" s="166"/>
      <c r="G1823" s="166"/>
      <c r="H1823" s="166"/>
      <c r="I1823" s="166"/>
      <c r="J1823" s="166"/>
      <c r="K1823" s="166"/>
      <c r="L1823" s="166"/>
      <c r="M1823" s="166"/>
      <c r="N1823" s="166"/>
      <c r="O1823" s="166"/>
      <c r="P1823" s="166"/>
      <c r="Q1823" s="76"/>
      <c r="R1823" s="76"/>
      <c r="S1823" s="76"/>
      <c r="T1823" s="76"/>
      <c r="U1823" s="76"/>
      <c r="V1823" s="76"/>
    </row>
    <row r="1824" spans="2:22" x14ac:dyDescent="0.2">
      <c r="B1824" s="165" t="s">
        <v>10722</v>
      </c>
      <c r="C1824" s="165"/>
      <c r="D1824" s="165"/>
      <c r="E1824" s="165"/>
      <c r="F1824" s="165"/>
      <c r="G1824" s="165"/>
      <c r="H1824" s="165"/>
      <c r="I1824" s="165"/>
      <c r="J1824" s="165"/>
      <c r="K1824" s="165"/>
      <c r="L1824" s="165"/>
      <c r="M1824" s="165"/>
      <c r="N1824" s="165"/>
      <c r="O1824" s="165"/>
      <c r="P1824" s="165"/>
      <c r="Q1824" s="73"/>
      <c r="R1824" s="23"/>
      <c r="S1824" s="23"/>
      <c r="T1824" s="73"/>
      <c r="U1824" s="73"/>
      <c r="V1824" s="73"/>
    </row>
    <row r="1825" spans="2:22" x14ac:dyDescent="0.2">
      <c r="B1825" s="73" t="s">
        <v>10722</v>
      </c>
      <c r="C1825" s="33" t="s">
        <v>1442</v>
      </c>
      <c r="D1825" s="23" t="s">
        <v>1443</v>
      </c>
      <c r="E1825" s="73"/>
      <c r="F1825" s="73"/>
      <c r="G1825" s="73"/>
      <c r="H1825" s="73"/>
      <c r="I1825" s="73"/>
      <c r="J1825" s="33" t="s">
        <v>9374</v>
      </c>
      <c r="K1825" s="33" t="s">
        <v>9375</v>
      </c>
      <c r="L1825" s="33" t="s">
        <v>121</v>
      </c>
      <c r="M1825" s="33" t="s">
        <v>9376</v>
      </c>
      <c r="N1825" s="73"/>
      <c r="O1825" s="73"/>
      <c r="P1825" s="73"/>
      <c r="Q1825" s="73"/>
      <c r="R1825" s="23"/>
      <c r="S1825" s="23"/>
      <c r="T1825" s="73"/>
      <c r="U1825" s="73"/>
      <c r="V1825" s="73"/>
    </row>
    <row r="1826" spans="2:22" ht="20.399999999999999" x14ac:dyDescent="0.2">
      <c r="B1826" s="73" t="s">
        <v>10722</v>
      </c>
      <c r="C1826" s="33" t="s">
        <v>2013</v>
      </c>
      <c r="D1826" s="23" t="s">
        <v>2014</v>
      </c>
      <c r="E1826" s="73" t="s">
        <v>11009</v>
      </c>
      <c r="F1826" s="73" t="s">
        <v>10902</v>
      </c>
      <c r="G1826" s="73"/>
      <c r="H1826" s="73" t="s">
        <v>11173</v>
      </c>
      <c r="I1826" s="73" t="s">
        <v>11251</v>
      </c>
      <c r="J1826" s="33" t="s">
        <v>9374</v>
      </c>
      <c r="K1826" s="33" t="s">
        <v>9375</v>
      </c>
      <c r="L1826" s="33" t="s">
        <v>121</v>
      </c>
      <c r="M1826" s="33" t="s">
        <v>9376</v>
      </c>
      <c r="N1826" s="73"/>
      <c r="O1826" s="73"/>
      <c r="P1826" s="73"/>
      <c r="Q1826" s="75"/>
      <c r="R1826" s="75"/>
      <c r="S1826" s="75"/>
      <c r="T1826" s="75"/>
      <c r="U1826" s="75"/>
      <c r="V1826" s="75"/>
    </row>
    <row r="1827" spans="2:22" x14ac:dyDescent="0.2">
      <c r="B1827" s="166"/>
      <c r="C1827" s="166"/>
      <c r="D1827" s="166"/>
      <c r="E1827" s="166"/>
      <c r="F1827" s="166"/>
      <c r="G1827" s="166"/>
      <c r="H1827" s="166"/>
      <c r="I1827" s="166"/>
      <c r="J1827" s="166"/>
      <c r="K1827" s="166"/>
      <c r="L1827" s="166"/>
      <c r="M1827" s="166"/>
      <c r="N1827" s="166"/>
      <c r="O1827" s="166"/>
      <c r="P1827" s="166"/>
      <c r="Q1827" s="76"/>
      <c r="R1827" s="76"/>
      <c r="S1827" s="76"/>
      <c r="T1827" s="76"/>
      <c r="U1827" s="76"/>
      <c r="V1827" s="76"/>
    </row>
    <row r="1828" spans="2:22" x14ac:dyDescent="0.2">
      <c r="B1828" s="165" t="s">
        <v>10725</v>
      </c>
      <c r="C1828" s="165"/>
      <c r="D1828" s="165"/>
      <c r="E1828" s="165"/>
      <c r="F1828" s="165"/>
      <c r="G1828" s="165"/>
      <c r="H1828" s="165"/>
      <c r="I1828" s="165"/>
      <c r="J1828" s="165"/>
      <c r="K1828" s="165"/>
      <c r="L1828" s="165"/>
      <c r="M1828" s="165"/>
      <c r="N1828" s="165"/>
      <c r="O1828" s="165"/>
      <c r="P1828" s="165"/>
      <c r="Q1828" s="73"/>
      <c r="R1828" s="23"/>
      <c r="S1828" s="23"/>
      <c r="T1828" s="73"/>
      <c r="U1828" s="73"/>
      <c r="V1828" s="73"/>
    </row>
    <row r="1829" spans="2:22" x14ac:dyDescent="0.2">
      <c r="B1829" s="73" t="s">
        <v>10725</v>
      </c>
      <c r="C1829" s="33" t="s">
        <v>1444</v>
      </c>
      <c r="D1829" s="23" t="s">
        <v>1445</v>
      </c>
      <c r="E1829" s="73"/>
      <c r="F1829" s="73"/>
      <c r="G1829" s="73"/>
      <c r="H1829" s="73"/>
      <c r="I1829" s="73"/>
      <c r="J1829" s="33" t="s">
        <v>9374</v>
      </c>
      <c r="K1829" s="33" t="s">
        <v>11016</v>
      </c>
      <c r="L1829" s="33" t="s">
        <v>121</v>
      </c>
      <c r="M1829" s="33" t="s">
        <v>9376</v>
      </c>
      <c r="N1829" s="73"/>
      <c r="O1829" s="73"/>
      <c r="P1829" s="73"/>
      <c r="Q1829" s="73"/>
      <c r="R1829" s="23"/>
      <c r="S1829" s="23"/>
      <c r="T1829" s="73"/>
      <c r="U1829" s="73"/>
      <c r="V1829" s="73"/>
    </row>
    <row r="1830" spans="2:22" x14ac:dyDescent="0.2">
      <c r="B1830" s="166"/>
      <c r="C1830" s="166"/>
      <c r="D1830" s="166"/>
      <c r="E1830" s="166"/>
      <c r="F1830" s="166"/>
      <c r="G1830" s="166"/>
      <c r="H1830" s="166"/>
      <c r="I1830" s="166"/>
      <c r="J1830" s="166"/>
      <c r="K1830" s="166"/>
      <c r="L1830" s="166"/>
      <c r="M1830" s="166"/>
      <c r="N1830" s="166"/>
      <c r="O1830" s="166"/>
      <c r="P1830" s="166"/>
      <c r="Q1830" s="75"/>
      <c r="R1830" s="75"/>
      <c r="S1830" s="75"/>
      <c r="T1830" s="75"/>
      <c r="U1830" s="75"/>
      <c r="V1830" s="75"/>
    </row>
    <row r="1831" spans="2:22" x14ac:dyDescent="0.2">
      <c r="B1831" s="165" t="s">
        <v>10728</v>
      </c>
      <c r="C1831" s="165"/>
      <c r="D1831" s="165"/>
      <c r="E1831" s="165"/>
      <c r="F1831" s="165"/>
      <c r="G1831" s="165"/>
      <c r="H1831" s="165"/>
      <c r="I1831" s="165"/>
      <c r="J1831" s="165"/>
      <c r="K1831" s="165"/>
      <c r="L1831" s="165"/>
      <c r="M1831" s="165"/>
      <c r="N1831" s="165"/>
      <c r="O1831" s="165"/>
      <c r="P1831" s="165"/>
      <c r="Q1831" s="76"/>
      <c r="R1831" s="76"/>
      <c r="S1831" s="76"/>
      <c r="T1831" s="76"/>
      <c r="U1831" s="76"/>
      <c r="V1831" s="76"/>
    </row>
    <row r="1832" spans="2:22" x14ac:dyDescent="0.2">
      <c r="B1832" s="73" t="s">
        <v>10728</v>
      </c>
      <c r="C1832" s="33" t="s">
        <v>1446</v>
      </c>
      <c r="D1832" s="23" t="s">
        <v>1447</v>
      </c>
      <c r="E1832" s="73"/>
      <c r="F1832" s="73"/>
      <c r="G1832" s="73"/>
      <c r="H1832" s="73"/>
      <c r="I1832" s="73"/>
      <c r="J1832" s="33" t="s">
        <v>9374</v>
      </c>
      <c r="K1832" s="33" t="s">
        <v>11016</v>
      </c>
      <c r="L1832" s="33" t="s">
        <v>121</v>
      </c>
      <c r="M1832" s="33" t="s">
        <v>9376</v>
      </c>
      <c r="N1832" s="73"/>
      <c r="O1832" s="73"/>
      <c r="P1832" s="73"/>
      <c r="Q1832" s="73"/>
      <c r="R1832" s="23"/>
      <c r="S1832" s="23"/>
      <c r="T1832" s="73"/>
      <c r="U1832" s="73"/>
      <c r="V1832" s="73"/>
    </row>
    <row r="1833" spans="2:22" x14ac:dyDescent="0.2">
      <c r="B1833" s="166"/>
      <c r="C1833" s="166"/>
      <c r="D1833" s="166"/>
      <c r="E1833" s="166"/>
      <c r="F1833" s="166"/>
      <c r="G1833" s="166"/>
      <c r="H1833" s="166"/>
      <c r="I1833" s="166"/>
      <c r="J1833" s="166"/>
      <c r="K1833" s="166"/>
      <c r="L1833" s="166"/>
      <c r="M1833" s="166"/>
      <c r="N1833" s="166"/>
      <c r="O1833" s="166"/>
      <c r="P1833" s="166"/>
      <c r="Q1833" s="73"/>
      <c r="R1833" s="23"/>
      <c r="S1833" s="23"/>
      <c r="T1833" s="73"/>
      <c r="U1833" s="73"/>
      <c r="V1833" s="73"/>
    </row>
    <row r="1834" spans="2:22" x14ac:dyDescent="0.2">
      <c r="B1834" s="165" t="s">
        <v>10731</v>
      </c>
      <c r="C1834" s="165"/>
      <c r="D1834" s="165"/>
      <c r="E1834" s="165"/>
      <c r="F1834" s="165"/>
      <c r="G1834" s="165"/>
      <c r="H1834" s="165"/>
      <c r="I1834" s="165"/>
      <c r="J1834" s="165"/>
      <c r="K1834" s="165"/>
      <c r="L1834" s="165"/>
      <c r="M1834" s="165"/>
      <c r="N1834" s="165"/>
      <c r="O1834" s="165"/>
      <c r="P1834" s="165"/>
      <c r="Q1834" s="73"/>
      <c r="R1834" s="23"/>
      <c r="S1834" s="23"/>
      <c r="T1834" s="73"/>
      <c r="U1834" s="73"/>
      <c r="V1834" s="73"/>
    </row>
    <row r="1835" spans="2:22" x14ac:dyDescent="0.2">
      <c r="B1835" s="73" t="s">
        <v>10731</v>
      </c>
      <c r="C1835" s="33" t="s">
        <v>1448</v>
      </c>
      <c r="D1835" s="23" t="s">
        <v>1449</v>
      </c>
      <c r="E1835" s="73"/>
      <c r="F1835" s="73"/>
      <c r="G1835" s="73"/>
      <c r="H1835" s="73"/>
      <c r="I1835" s="73"/>
      <c r="J1835" s="33" t="s">
        <v>9374</v>
      </c>
      <c r="K1835" s="33" t="s">
        <v>11016</v>
      </c>
      <c r="L1835" s="33" t="s">
        <v>121</v>
      </c>
      <c r="M1835" s="33" t="s">
        <v>9376</v>
      </c>
      <c r="N1835" s="73"/>
      <c r="O1835" s="73"/>
      <c r="P1835" s="73"/>
      <c r="Q1835" s="73" t="s">
        <v>11095</v>
      </c>
      <c r="R1835" s="23"/>
      <c r="S1835" s="23"/>
      <c r="T1835" s="73"/>
      <c r="U1835" s="73"/>
      <c r="V1835" s="73"/>
    </row>
    <row r="1836" spans="2:22" x14ac:dyDescent="0.2">
      <c r="B1836" s="166"/>
      <c r="C1836" s="166"/>
      <c r="D1836" s="166"/>
      <c r="E1836" s="166"/>
      <c r="F1836" s="166"/>
      <c r="G1836" s="166"/>
      <c r="H1836" s="166"/>
      <c r="I1836" s="166"/>
      <c r="J1836" s="166"/>
      <c r="K1836" s="166"/>
      <c r="L1836" s="166"/>
      <c r="M1836" s="166"/>
      <c r="N1836" s="166"/>
      <c r="O1836" s="166"/>
      <c r="P1836" s="166"/>
      <c r="Q1836" s="75"/>
      <c r="R1836" s="75"/>
      <c r="S1836" s="75"/>
      <c r="T1836" s="75"/>
      <c r="U1836" s="75"/>
      <c r="V1836" s="75"/>
    </row>
    <row r="1837" spans="2:22" x14ac:dyDescent="0.2">
      <c r="B1837" s="165" t="s">
        <v>10733</v>
      </c>
      <c r="C1837" s="165"/>
      <c r="D1837" s="165"/>
      <c r="E1837" s="165"/>
      <c r="F1837" s="165"/>
      <c r="G1837" s="165"/>
      <c r="H1837" s="165"/>
      <c r="I1837" s="165"/>
      <c r="J1837" s="165"/>
      <c r="K1837" s="165"/>
      <c r="L1837" s="165"/>
      <c r="M1837" s="165"/>
      <c r="N1837" s="165"/>
      <c r="O1837" s="165"/>
      <c r="P1837" s="165"/>
      <c r="Q1837" s="76"/>
      <c r="R1837" s="76"/>
      <c r="S1837" s="76"/>
      <c r="T1837" s="76"/>
      <c r="U1837" s="76"/>
      <c r="V1837" s="76"/>
    </row>
    <row r="1838" spans="2:22" x14ac:dyDescent="0.2">
      <c r="B1838" s="73" t="s">
        <v>10733</v>
      </c>
      <c r="C1838" s="33" t="s">
        <v>1450</v>
      </c>
      <c r="D1838" s="23" t="s">
        <v>1451</v>
      </c>
      <c r="E1838" s="73"/>
      <c r="F1838" s="73"/>
      <c r="G1838" s="73"/>
      <c r="H1838" s="73"/>
      <c r="I1838" s="73"/>
      <c r="J1838" s="33" t="s">
        <v>9374</v>
      </c>
      <c r="K1838" s="33" t="s">
        <v>11016</v>
      </c>
      <c r="L1838" s="33" t="s">
        <v>121</v>
      </c>
      <c r="M1838" s="33" t="s">
        <v>9376</v>
      </c>
      <c r="N1838" s="73"/>
      <c r="O1838" s="73"/>
      <c r="P1838" s="73"/>
      <c r="Q1838" s="73"/>
      <c r="R1838" s="23"/>
      <c r="S1838" s="23"/>
      <c r="T1838" s="73"/>
      <c r="U1838" s="73"/>
      <c r="V1838" s="73"/>
    </row>
    <row r="1839" spans="2:22" x14ac:dyDescent="0.2">
      <c r="B1839" s="166"/>
      <c r="C1839" s="166"/>
      <c r="D1839" s="166"/>
      <c r="E1839" s="166"/>
      <c r="F1839" s="166"/>
      <c r="G1839" s="166"/>
      <c r="H1839" s="166"/>
      <c r="I1839" s="166"/>
      <c r="J1839" s="166"/>
      <c r="K1839" s="166"/>
      <c r="L1839" s="166"/>
      <c r="M1839" s="166"/>
      <c r="N1839" s="166"/>
      <c r="O1839" s="166"/>
      <c r="P1839" s="166"/>
      <c r="Q1839" s="73"/>
      <c r="R1839" s="23"/>
      <c r="S1839" s="23"/>
      <c r="T1839" s="73"/>
      <c r="U1839" s="73"/>
      <c r="V1839" s="73"/>
    </row>
    <row r="1840" spans="2:22" x14ac:dyDescent="0.2">
      <c r="B1840" s="165" t="s">
        <v>10735</v>
      </c>
      <c r="C1840" s="165"/>
      <c r="D1840" s="165"/>
      <c r="E1840" s="165"/>
      <c r="F1840" s="165"/>
      <c r="G1840" s="165"/>
      <c r="H1840" s="165"/>
      <c r="I1840" s="165"/>
      <c r="J1840" s="165"/>
      <c r="K1840" s="165"/>
      <c r="L1840" s="165"/>
      <c r="M1840" s="165"/>
      <c r="N1840" s="165"/>
      <c r="O1840" s="165"/>
      <c r="P1840" s="165"/>
      <c r="Q1840" s="73"/>
      <c r="R1840" s="23"/>
      <c r="S1840" s="23"/>
      <c r="T1840" s="73"/>
      <c r="U1840" s="73"/>
      <c r="V1840" s="73"/>
    </row>
    <row r="1841" spans="2:22" x14ac:dyDescent="0.2">
      <c r="B1841" s="73" t="s">
        <v>10735</v>
      </c>
      <c r="C1841" s="33" t="s">
        <v>1452</v>
      </c>
      <c r="D1841" s="23" t="s">
        <v>1453</v>
      </c>
      <c r="E1841" s="73"/>
      <c r="F1841" s="73"/>
      <c r="G1841" s="73"/>
      <c r="H1841" s="73"/>
      <c r="I1841" s="73"/>
      <c r="J1841" s="33" t="s">
        <v>9374</v>
      </c>
      <c r="K1841" s="33" t="s">
        <v>9375</v>
      </c>
      <c r="L1841" s="33" t="s">
        <v>121</v>
      </c>
      <c r="M1841" s="33" t="s">
        <v>9376</v>
      </c>
      <c r="N1841" s="73"/>
      <c r="O1841" s="73"/>
      <c r="P1841" s="73"/>
      <c r="Q1841" s="73"/>
      <c r="R1841" s="23"/>
      <c r="S1841" s="23"/>
      <c r="T1841" s="73"/>
      <c r="U1841" s="73"/>
      <c r="V1841" s="73"/>
    </row>
    <row r="1842" spans="2:22" ht="224.4" x14ac:dyDescent="0.2">
      <c r="B1842" s="73" t="s">
        <v>10735</v>
      </c>
      <c r="C1842" s="33" t="s">
        <v>1921</v>
      </c>
      <c r="D1842" s="23" t="s">
        <v>1922</v>
      </c>
      <c r="E1842" s="73" t="s">
        <v>11252</v>
      </c>
      <c r="F1842" s="73" t="s">
        <v>10902</v>
      </c>
      <c r="G1842" s="73"/>
      <c r="H1842" s="73" t="s">
        <v>11207</v>
      </c>
      <c r="I1842" s="73" t="s">
        <v>11253</v>
      </c>
      <c r="J1842" s="33" t="s">
        <v>9374</v>
      </c>
      <c r="K1842" s="33" t="s">
        <v>9375</v>
      </c>
      <c r="L1842" s="33" t="s">
        <v>121</v>
      </c>
      <c r="M1842" s="33" t="s">
        <v>9376</v>
      </c>
      <c r="N1842" s="73"/>
      <c r="O1842" s="73"/>
      <c r="P1842" s="73"/>
      <c r="Q1842" s="75"/>
      <c r="R1842" s="75"/>
      <c r="S1842" s="75"/>
      <c r="T1842" s="75"/>
      <c r="U1842" s="75"/>
      <c r="V1842" s="75"/>
    </row>
    <row r="1843" spans="2:22" x14ac:dyDescent="0.2">
      <c r="B1843" s="73" t="s">
        <v>10735</v>
      </c>
      <c r="C1843" s="33" t="s">
        <v>1953</v>
      </c>
      <c r="D1843" s="23" t="s">
        <v>1954</v>
      </c>
      <c r="E1843" s="73" t="s">
        <v>11252</v>
      </c>
      <c r="F1843" s="73" t="s">
        <v>10902</v>
      </c>
      <c r="G1843" s="73"/>
      <c r="H1843" s="73" t="s">
        <v>11207</v>
      </c>
      <c r="I1843" s="73" t="s">
        <v>11254</v>
      </c>
      <c r="J1843" s="33" t="s">
        <v>9374</v>
      </c>
      <c r="K1843" s="33" t="s">
        <v>9375</v>
      </c>
      <c r="L1843" s="33" t="s">
        <v>121</v>
      </c>
      <c r="M1843" s="33" t="s">
        <v>9376</v>
      </c>
      <c r="N1843" s="73"/>
      <c r="O1843" s="73"/>
      <c r="P1843" s="73"/>
      <c r="Q1843" s="76"/>
      <c r="R1843" s="76"/>
      <c r="S1843" s="76"/>
      <c r="T1843" s="76"/>
      <c r="U1843" s="76"/>
      <c r="V1843" s="76"/>
    </row>
    <row r="1844" spans="2:22" x14ac:dyDescent="0.2">
      <c r="B1844" s="73" t="s">
        <v>10735</v>
      </c>
      <c r="C1844" s="33" t="s">
        <v>1956</v>
      </c>
      <c r="D1844" s="23" t="s">
        <v>1957</v>
      </c>
      <c r="E1844" s="73" t="s">
        <v>11252</v>
      </c>
      <c r="F1844" s="73" t="s">
        <v>10902</v>
      </c>
      <c r="G1844" s="73"/>
      <c r="H1844" s="73" t="s">
        <v>11207</v>
      </c>
      <c r="I1844" s="73"/>
      <c r="J1844" s="33" t="s">
        <v>9374</v>
      </c>
      <c r="K1844" s="33" t="s">
        <v>9375</v>
      </c>
      <c r="L1844" s="33" t="s">
        <v>121</v>
      </c>
      <c r="M1844" s="33" t="s">
        <v>9376</v>
      </c>
      <c r="N1844" s="73"/>
      <c r="O1844" s="73"/>
      <c r="P1844" s="73"/>
      <c r="Q1844" s="73"/>
      <c r="R1844" s="23"/>
      <c r="S1844" s="23"/>
      <c r="T1844" s="73"/>
      <c r="U1844" s="73"/>
      <c r="V1844" s="73"/>
    </row>
    <row r="1845" spans="2:22" x14ac:dyDescent="0.2">
      <c r="B1845" s="73" t="s">
        <v>10735</v>
      </c>
      <c r="C1845" s="33" t="s">
        <v>1961</v>
      </c>
      <c r="D1845" s="23" t="s">
        <v>1962</v>
      </c>
      <c r="E1845" s="73" t="s">
        <v>11255</v>
      </c>
      <c r="F1845" s="73" t="s">
        <v>10902</v>
      </c>
      <c r="G1845" s="73"/>
      <c r="H1845" s="73" t="s">
        <v>10917</v>
      </c>
      <c r="I1845" s="73"/>
      <c r="J1845" s="33" t="s">
        <v>9374</v>
      </c>
      <c r="K1845" s="33" t="s">
        <v>9375</v>
      </c>
      <c r="L1845" s="33" t="s">
        <v>121</v>
      </c>
      <c r="M1845" s="33" t="s">
        <v>9376</v>
      </c>
      <c r="N1845" s="73"/>
      <c r="O1845" s="73"/>
      <c r="P1845" s="73"/>
      <c r="Q1845" s="73"/>
      <c r="R1845" s="23"/>
      <c r="S1845" s="23"/>
      <c r="T1845" s="73"/>
      <c r="U1845" s="73"/>
      <c r="V1845" s="73"/>
    </row>
    <row r="1846" spans="2:22" x14ac:dyDescent="0.2">
      <c r="B1846" s="166"/>
      <c r="C1846" s="166"/>
      <c r="D1846" s="166"/>
      <c r="E1846" s="166"/>
      <c r="F1846" s="166"/>
      <c r="G1846" s="166"/>
      <c r="H1846" s="166"/>
      <c r="I1846" s="166"/>
      <c r="J1846" s="166"/>
      <c r="K1846" s="166"/>
      <c r="L1846" s="166"/>
      <c r="M1846" s="166"/>
      <c r="N1846" s="166"/>
      <c r="O1846" s="166"/>
      <c r="P1846" s="166"/>
      <c r="Q1846" s="73"/>
      <c r="R1846" s="23"/>
      <c r="S1846" s="23"/>
      <c r="T1846" s="73"/>
      <c r="U1846" s="73"/>
      <c r="V1846" s="73"/>
    </row>
    <row r="1847" spans="2:22" x14ac:dyDescent="0.2">
      <c r="B1847" s="165" t="s">
        <v>10737</v>
      </c>
      <c r="C1847" s="165"/>
      <c r="D1847" s="165"/>
      <c r="E1847" s="165"/>
      <c r="F1847" s="165"/>
      <c r="G1847" s="165"/>
      <c r="H1847" s="165"/>
      <c r="I1847" s="165"/>
      <c r="J1847" s="165"/>
      <c r="K1847" s="165"/>
      <c r="L1847" s="165"/>
      <c r="M1847" s="165"/>
      <c r="N1847" s="165"/>
      <c r="O1847" s="165"/>
      <c r="P1847" s="165"/>
      <c r="Q1847" s="75"/>
      <c r="R1847" s="75"/>
      <c r="S1847" s="75"/>
      <c r="T1847" s="75"/>
      <c r="U1847" s="75"/>
      <c r="V1847" s="75"/>
    </row>
    <row r="1848" spans="2:22" x14ac:dyDescent="0.2">
      <c r="B1848" s="73" t="s">
        <v>10737</v>
      </c>
      <c r="C1848" s="33" t="s">
        <v>1454</v>
      </c>
      <c r="D1848" s="23" t="s">
        <v>1455</v>
      </c>
      <c r="E1848" s="73"/>
      <c r="F1848" s="73"/>
      <c r="G1848" s="73"/>
      <c r="H1848" s="73"/>
      <c r="I1848" s="73"/>
      <c r="J1848" s="33" t="s">
        <v>9374</v>
      </c>
      <c r="K1848" s="33" t="s">
        <v>11016</v>
      </c>
      <c r="L1848" s="33" t="s">
        <v>121</v>
      </c>
      <c r="M1848" s="33"/>
      <c r="N1848" s="73"/>
      <c r="O1848" s="73"/>
      <c r="P1848" s="73"/>
      <c r="Q1848" s="76"/>
      <c r="R1848" s="76"/>
      <c r="S1848" s="76"/>
      <c r="T1848" s="76"/>
      <c r="U1848" s="76"/>
      <c r="V1848" s="76"/>
    </row>
    <row r="1849" spans="2:22" x14ac:dyDescent="0.2">
      <c r="B1849" s="166"/>
      <c r="C1849" s="166"/>
      <c r="D1849" s="166"/>
      <c r="E1849" s="166"/>
      <c r="F1849" s="166"/>
      <c r="G1849" s="166"/>
      <c r="H1849" s="166"/>
      <c r="I1849" s="166"/>
      <c r="J1849" s="166"/>
      <c r="K1849" s="166"/>
      <c r="L1849" s="166"/>
      <c r="M1849" s="166"/>
      <c r="N1849" s="166"/>
      <c r="O1849" s="166"/>
      <c r="P1849" s="166"/>
      <c r="Q1849" s="73"/>
      <c r="R1849" s="23"/>
      <c r="S1849" s="23"/>
      <c r="T1849" s="73"/>
      <c r="U1849" s="73"/>
      <c r="V1849" s="73"/>
    </row>
    <row r="1850" spans="2:22" x14ac:dyDescent="0.2">
      <c r="B1850" s="165" t="s">
        <v>10739</v>
      </c>
      <c r="C1850" s="165"/>
      <c r="D1850" s="165"/>
      <c r="E1850" s="165"/>
      <c r="F1850" s="165"/>
      <c r="G1850" s="165"/>
      <c r="H1850" s="165"/>
      <c r="I1850" s="165"/>
      <c r="J1850" s="165"/>
      <c r="K1850" s="165"/>
      <c r="L1850" s="165"/>
      <c r="M1850" s="165"/>
      <c r="N1850" s="165"/>
      <c r="O1850" s="165"/>
      <c r="P1850" s="165"/>
      <c r="Q1850" s="73"/>
      <c r="R1850" s="23"/>
      <c r="S1850" s="23"/>
      <c r="T1850" s="73"/>
      <c r="U1850" s="73"/>
      <c r="V1850" s="73"/>
    </row>
    <row r="1851" spans="2:22" x14ac:dyDescent="0.2">
      <c r="B1851" s="73" t="s">
        <v>10739</v>
      </c>
      <c r="C1851" s="33" t="s">
        <v>1456</v>
      </c>
      <c r="D1851" s="23" t="s">
        <v>1457</v>
      </c>
      <c r="E1851" s="73"/>
      <c r="F1851" s="73"/>
      <c r="G1851" s="73"/>
      <c r="H1851" s="73"/>
      <c r="I1851" s="73"/>
      <c r="J1851" s="33" t="s">
        <v>9374</v>
      </c>
      <c r="K1851" s="33" t="s">
        <v>11016</v>
      </c>
      <c r="L1851" s="33" t="s">
        <v>121</v>
      </c>
      <c r="M1851" s="33" t="s">
        <v>9376</v>
      </c>
      <c r="N1851" s="73"/>
      <c r="O1851" s="73"/>
      <c r="P1851" s="73"/>
      <c r="Q1851" s="75"/>
      <c r="R1851" s="75"/>
      <c r="S1851" s="75"/>
      <c r="T1851" s="75"/>
      <c r="U1851" s="75"/>
      <c r="V1851" s="75"/>
    </row>
    <row r="1852" spans="2:22" x14ac:dyDescent="0.2">
      <c r="B1852" s="166"/>
      <c r="C1852" s="166"/>
      <c r="D1852" s="166"/>
      <c r="E1852" s="166"/>
      <c r="F1852" s="166"/>
      <c r="G1852" s="166"/>
      <c r="H1852" s="166"/>
      <c r="I1852" s="166"/>
      <c r="J1852" s="166"/>
      <c r="K1852" s="166"/>
      <c r="L1852" s="166"/>
      <c r="M1852" s="166"/>
      <c r="N1852" s="166"/>
      <c r="O1852" s="166"/>
      <c r="P1852" s="166"/>
      <c r="Q1852" s="76"/>
      <c r="R1852" s="76"/>
      <c r="S1852" s="76"/>
      <c r="T1852" s="76"/>
      <c r="U1852" s="76"/>
      <c r="V1852" s="76"/>
    </row>
    <row r="1853" spans="2:22" x14ac:dyDescent="0.2">
      <c r="B1853" s="165" t="s">
        <v>10741</v>
      </c>
      <c r="C1853" s="165"/>
      <c r="D1853" s="165"/>
      <c r="E1853" s="165"/>
      <c r="F1853" s="165"/>
      <c r="G1853" s="165"/>
      <c r="H1853" s="165"/>
      <c r="I1853" s="165"/>
      <c r="J1853" s="165"/>
      <c r="K1853" s="165"/>
      <c r="L1853" s="165"/>
      <c r="M1853" s="165"/>
      <c r="N1853" s="165"/>
      <c r="O1853" s="165"/>
      <c r="P1853" s="165"/>
      <c r="Q1853" s="73"/>
      <c r="R1853" s="23"/>
      <c r="S1853" s="23"/>
      <c r="T1853" s="73"/>
      <c r="U1853" s="73"/>
      <c r="V1853" s="73"/>
    </row>
    <row r="1854" spans="2:22" x14ac:dyDescent="0.2">
      <c r="B1854" s="73" t="s">
        <v>10741</v>
      </c>
      <c r="C1854" s="33" t="s">
        <v>1458</v>
      </c>
      <c r="D1854" s="23" t="s">
        <v>1459</v>
      </c>
      <c r="E1854" s="73"/>
      <c r="F1854" s="73"/>
      <c r="G1854" s="73"/>
      <c r="H1854" s="73"/>
      <c r="I1854" s="73"/>
      <c r="J1854" s="33" t="s">
        <v>9374</v>
      </c>
      <c r="K1854" s="33" t="s">
        <v>11016</v>
      </c>
      <c r="L1854" s="33" t="s">
        <v>121</v>
      </c>
      <c r="M1854" s="33" t="s">
        <v>9376</v>
      </c>
      <c r="N1854" s="73"/>
      <c r="O1854" s="73"/>
      <c r="P1854" s="73"/>
      <c r="Q1854" s="73"/>
      <c r="R1854" s="23"/>
      <c r="S1854" s="23"/>
      <c r="T1854" s="73"/>
      <c r="U1854" s="73"/>
      <c r="V1854" s="73"/>
    </row>
    <row r="1855" spans="2:22" x14ac:dyDescent="0.2">
      <c r="B1855" s="166"/>
      <c r="C1855" s="166"/>
      <c r="D1855" s="166"/>
      <c r="E1855" s="166"/>
      <c r="F1855" s="166"/>
      <c r="G1855" s="166"/>
      <c r="H1855" s="166"/>
      <c r="I1855" s="166"/>
      <c r="J1855" s="166"/>
      <c r="K1855" s="166"/>
      <c r="L1855" s="166"/>
      <c r="M1855" s="166"/>
      <c r="N1855" s="166"/>
      <c r="O1855" s="166"/>
      <c r="P1855" s="166"/>
      <c r="Q1855" s="73"/>
      <c r="R1855" s="23"/>
      <c r="S1855" s="23"/>
      <c r="T1855" s="73"/>
      <c r="U1855" s="73"/>
      <c r="V1855" s="73"/>
    </row>
    <row r="1856" spans="2:22" x14ac:dyDescent="0.2">
      <c r="B1856" s="165" t="s">
        <v>10742</v>
      </c>
      <c r="C1856" s="165"/>
      <c r="D1856" s="165"/>
      <c r="E1856" s="165"/>
      <c r="F1856" s="165"/>
      <c r="G1856" s="165"/>
      <c r="H1856" s="165"/>
      <c r="I1856" s="165"/>
      <c r="J1856" s="165"/>
      <c r="K1856" s="165"/>
      <c r="L1856" s="165"/>
      <c r="M1856" s="165"/>
      <c r="N1856" s="165"/>
      <c r="O1856" s="165"/>
      <c r="P1856" s="165"/>
      <c r="Q1856" s="73"/>
      <c r="R1856" s="23"/>
      <c r="S1856" s="23"/>
      <c r="T1856" s="73"/>
      <c r="U1856" s="73"/>
      <c r="V1856" s="73"/>
    </row>
    <row r="1857" spans="2:22" x14ac:dyDescent="0.2">
      <c r="B1857" s="73" t="s">
        <v>10742</v>
      </c>
      <c r="C1857" s="33" t="s">
        <v>1460</v>
      </c>
      <c r="D1857" s="23" t="s">
        <v>1461</v>
      </c>
      <c r="E1857" s="73"/>
      <c r="F1857" s="73"/>
      <c r="G1857" s="73"/>
      <c r="H1857" s="73"/>
      <c r="I1857" s="73"/>
      <c r="J1857" s="33" t="s">
        <v>9374</v>
      </c>
      <c r="K1857" s="33" t="s">
        <v>9375</v>
      </c>
      <c r="L1857" s="33" t="s">
        <v>121</v>
      </c>
      <c r="M1857" s="33"/>
      <c r="N1857" s="73"/>
      <c r="O1857" s="73"/>
      <c r="P1857" s="73"/>
      <c r="Q1857" s="75"/>
      <c r="R1857" s="75"/>
      <c r="S1857" s="75"/>
      <c r="T1857" s="75"/>
      <c r="U1857" s="75"/>
      <c r="V1857" s="75"/>
    </row>
    <row r="1858" spans="2:22" x14ac:dyDescent="0.2">
      <c r="B1858" s="166"/>
      <c r="C1858" s="166"/>
      <c r="D1858" s="166"/>
      <c r="E1858" s="166"/>
      <c r="F1858" s="166"/>
      <c r="G1858" s="166"/>
      <c r="H1858" s="166"/>
      <c r="I1858" s="166"/>
      <c r="J1858" s="166"/>
      <c r="K1858" s="166"/>
      <c r="L1858" s="166"/>
      <c r="M1858" s="166"/>
      <c r="N1858" s="166"/>
      <c r="O1858" s="166"/>
      <c r="P1858" s="166"/>
      <c r="Q1858" s="76"/>
      <c r="R1858" s="76"/>
      <c r="S1858" s="76"/>
      <c r="T1858" s="76"/>
      <c r="U1858" s="76"/>
      <c r="V1858" s="76"/>
    </row>
    <row r="1859" spans="2:22" x14ac:dyDescent="0.2">
      <c r="B1859" s="165" t="s">
        <v>10745</v>
      </c>
      <c r="C1859" s="165"/>
      <c r="D1859" s="165"/>
      <c r="E1859" s="165"/>
      <c r="F1859" s="165"/>
      <c r="G1859" s="165"/>
      <c r="H1859" s="165"/>
      <c r="I1859" s="165"/>
      <c r="J1859" s="165"/>
      <c r="K1859" s="165"/>
      <c r="L1859" s="165"/>
      <c r="M1859" s="165"/>
      <c r="N1859" s="165"/>
      <c r="O1859" s="165"/>
      <c r="P1859" s="165"/>
      <c r="Q1859" s="73"/>
      <c r="R1859" s="23"/>
      <c r="S1859" s="23"/>
      <c r="T1859" s="73"/>
      <c r="U1859" s="73"/>
      <c r="V1859" s="73"/>
    </row>
    <row r="1860" spans="2:22" x14ac:dyDescent="0.2">
      <c r="B1860" s="73" t="s">
        <v>10745</v>
      </c>
      <c r="C1860" s="33" t="s">
        <v>1462</v>
      </c>
      <c r="D1860" s="23" t="s">
        <v>1463</v>
      </c>
      <c r="E1860" s="73"/>
      <c r="F1860" s="73"/>
      <c r="G1860" s="73"/>
      <c r="H1860" s="73"/>
      <c r="I1860" s="73"/>
      <c r="J1860" s="33" t="s">
        <v>9374</v>
      </c>
      <c r="K1860" s="33" t="s">
        <v>11016</v>
      </c>
      <c r="L1860" s="33" t="s">
        <v>121</v>
      </c>
      <c r="M1860" s="33" t="s">
        <v>9376</v>
      </c>
      <c r="N1860" s="73"/>
      <c r="O1860" s="73"/>
      <c r="P1860" s="73"/>
      <c r="Q1860" s="73"/>
      <c r="R1860" s="23"/>
      <c r="S1860" s="23"/>
      <c r="T1860" s="73"/>
      <c r="U1860" s="73"/>
      <c r="V1860" s="73"/>
    </row>
    <row r="1861" spans="2:22" x14ac:dyDescent="0.2">
      <c r="B1861" s="166"/>
      <c r="C1861" s="166"/>
      <c r="D1861" s="166"/>
      <c r="E1861" s="166"/>
      <c r="F1861" s="166"/>
      <c r="G1861" s="166"/>
      <c r="H1861" s="166"/>
      <c r="I1861" s="166"/>
      <c r="J1861" s="166"/>
      <c r="K1861" s="166"/>
      <c r="L1861" s="166"/>
      <c r="M1861" s="166"/>
      <c r="N1861" s="166"/>
      <c r="O1861" s="166"/>
      <c r="P1861" s="166"/>
      <c r="Q1861" s="75"/>
      <c r="R1861" s="75"/>
      <c r="S1861" s="75"/>
      <c r="T1861" s="75"/>
      <c r="U1861" s="75"/>
      <c r="V1861" s="75"/>
    </row>
    <row r="1862" spans="2:22" x14ac:dyDescent="0.2">
      <c r="B1862" s="165" t="s">
        <v>10748</v>
      </c>
      <c r="C1862" s="165"/>
      <c r="D1862" s="165"/>
      <c r="E1862" s="165"/>
      <c r="F1862" s="165"/>
      <c r="G1862" s="165"/>
      <c r="H1862" s="165"/>
      <c r="I1862" s="165"/>
      <c r="J1862" s="165"/>
      <c r="K1862" s="165"/>
      <c r="L1862" s="165"/>
      <c r="M1862" s="165"/>
      <c r="N1862" s="165"/>
      <c r="O1862" s="165"/>
      <c r="P1862" s="165"/>
      <c r="Q1862" s="76"/>
      <c r="R1862" s="76"/>
      <c r="S1862" s="76"/>
      <c r="T1862" s="76"/>
      <c r="U1862" s="76"/>
      <c r="V1862" s="76"/>
    </row>
    <row r="1863" spans="2:22" x14ac:dyDescent="0.2">
      <c r="B1863" s="73" t="s">
        <v>10748</v>
      </c>
      <c r="C1863" s="33" t="s">
        <v>1464</v>
      </c>
      <c r="D1863" s="23" t="s">
        <v>1465</v>
      </c>
      <c r="E1863" s="73"/>
      <c r="F1863" s="73"/>
      <c r="G1863" s="73"/>
      <c r="H1863" s="73"/>
      <c r="I1863" s="73"/>
      <c r="J1863" s="33" t="s">
        <v>9374</v>
      </c>
      <c r="K1863" s="33" t="s">
        <v>9375</v>
      </c>
      <c r="L1863" s="33" t="s">
        <v>121</v>
      </c>
      <c r="M1863" s="33" t="s">
        <v>9376</v>
      </c>
      <c r="N1863" s="73"/>
      <c r="O1863" s="73"/>
      <c r="P1863" s="73"/>
      <c r="Q1863" s="73"/>
      <c r="R1863" s="23"/>
      <c r="S1863" s="23"/>
      <c r="T1863" s="73"/>
      <c r="U1863" s="73"/>
      <c r="V1863" s="73"/>
    </row>
    <row r="1864" spans="2:22" ht="71.400000000000006" x14ac:dyDescent="0.2">
      <c r="B1864" s="73" t="s">
        <v>10748</v>
      </c>
      <c r="C1864" s="33" t="s">
        <v>1990</v>
      </c>
      <c r="D1864" s="23" t="s">
        <v>1991</v>
      </c>
      <c r="E1864" s="73" t="s">
        <v>11033</v>
      </c>
      <c r="F1864" s="73" t="s">
        <v>10902</v>
      </c>
      <c r="G1864" s="73"/>
      <c r="H1864" s="73" t="s">
        <v>10945</v>
      </c>
      <c r="I1864" s="73" t="s">
        <v>11256</v>
      </c>
      <c r="J1864" s="33" t="s">
        <v>9374</v>
      </c>
      <c r="K1864" s="33" t="s">
        <v>9375</v>
      </c>
      <c r="L1864" s="33" t="s">
        <v>121</v>
      </c>
      <c r="M1864" s="33" t="s">
        <v>9376</v>
      </c>
      <c r="N1864" s="73"/>
      <c r="O1864" s="73"/>
      <c r="P1864" s="73"/>
      <c r="Q1864" s="73"/>
      <c r="R1864" s="23"/>
      <c r="S1864" s="23"/>
      <c r="T1864" s="73"/>
      <c r="U1864" s="73"/>
      <c r="V1864" s="73"/>
    </row>
    <row r="1865" spans="2:22" ht="51" x14ac:dyDescent="0.2">
      <c r="B1865" s="73" t="s">
        <v>10748</v>
      </c>
      <c r="C1865" s="33" t="s">
        <v>1993</v>
      </c>
      <c r="D1865" s="23" t="s">
        <v>1994</v>
      </c>
      <c r="E1865" s="73" t="s">
        <v>10975</v>
      </c>
      <c r="F1865" s="73" t="s">
        <v>10902</v>
      </c>
      <c r="G1865" s="73"/>
      <c r="H1865" s="73" t="s">
        <v>10976</v>
      </c>
      <c r="I1865" s="73" t="s">
        <v>11257</v>
      </c>
      <c r="J1865" s="33" t="s">
        <v>9374</v>
      </c>
      <c r="K1865" s="33" t="s">
        <v>9375</v>
      </c>
      <c r="L1865" s="33" t="s">
        <v>121</v>
      </c>
      <c r="M1865" s="33" t="s">
        <v>9376</v>
      </c>
      <c r="N1865" s="73"/>
      <c r="O1865" s="73"/>
      <c r="P1865" s="73"/>
      <c r="Q1865" s="75"/>
      <c r="R1865" s="75"/>
      <c r="S1865" s="75"/>
      <c r="T1865" s="75"/>
      <c r="U1865" s="75"/>
      <c r="V1865" s="75"/>
    </row>
    <row r="1866" spans="2:22" ht="91.8" x14ac:dyDescent="0.2">
      <c r="B1866" s="73" t="s">
        <v>10748</v>
      </c>
      <c r="C1866" s="33" t="s">
        <v>2018</v>
      </c>
      <c r="D1866" s="23" t="s">
        <v>2019</v>
      </c>
      <c r="E1866" s="73"/>
      <c r="F1866" s="73"/>
      <c r="G1866" s="73"/>
      <c r="H1866" s="73"/>
      <c r="I1866" s="73" t="s">
        <v>11258</v>
      </c>
      <c r="J1866" s="33" t="s">
        <v>9374</v>
      </c>
      <c r="K1866" s="33" t="s">
        <v>9375</v>
      </c>
      <c r="L1866" s="33" t="s">
        <v>121</v>
      </c>
      <c r="M1866" s="33" t="s">
        <v>9376</v>
      </c>
      <c r="N1866" s="73"/>
      <c r="O1866" s="73"/>
      <c r="P1866" s="73"/>
      <c r="Q1866" s="76"/>
      <c r="R1866" s="76"/>
      <c r="S1866" s="76"/>
      <c r="T1866" s="76"/>
      <c r="U1866" s="76"/>
      <c r="V1866" s="76"/>
    </row>
    <row r="1867" spans="2:22" ht="20.399999999999999" x14ac:dyDescent="0.2">
      <c r="B1867" s="73" t="s">
        <v>10748</v>
      </c>
      <c r="C1867" s="33" t="s">
        <v>2021</v>
      </c>
      <c r="D1867" s="23" t="s">
        <v>2022</v>
      </c>
      <c r="E1867" s="73" t="s">
        <v>11010</v>
      </c>
      <c r="F1867" s="73" t="s">
        <v>10902</v>
      </c>
      <c r="G1867" s="73"/>
      <c r="H1867" s="73" t="s">
        <v>11047</v>
      </c>
      <c r="I1867" s="73" t="s">
        <v>11259</v>
      </c>
      <c r="J1867" s="33" t="s">
        <v>9374</v>
      </c>
      <c r="K1867" s="33" t="s">
        <v>9375</v>
      </c>
      <c r="L1867" s="33" t="s">
        <v>121</v>
      </c>
      <c r="M1867" s="33" t="s">
        <v>9376</v>
      </c>
      <c r="N1867" s="73"/>
      <c r="O1867" s="73"/>
      <c r="P1867" s="73"/>
      <c r="Q1867" s="73"/>
      <c r="R1867" s="23"/>
      <c r="S1867" s="23"/>
      <c r="T1867" s="73"/>
      <c r="U1867" s="73"/>
      <c r="V1867" s="73"/>
    </row>
    <row r="1868" spans="2:22" ht="40.799999999999997" x14ac:dyDescent="0.2">
      <c r="B1868" s="73" t="s">
        <v>10748</v>
      </c>
      <c r="C1868" s="33" t="s">
        <v>2023</v>
      </c>
      <c r="D1868" s="23" t="s">
        <v>2024</v>
      </c>
      <c r="E1868" s="73" t="s">
        <v>11050</v>
      </c>
      <c r="F1868" s="73" t="s">
        <v>10902</v>
      </c>
      <c r="G1868" s="73"/>
      <c r="H1868" s="73" t="s">
        <v>11012</v>
      </c>
      <c r="I1868" s="73" t="s">
        <v>11260</v>
      </c>
      <c r="J1868" s="33" t="s">
        <v>9374</v>
      </c>
      <c r="K1868" s="33" t="s">
        <v>9375</v>
      </c>
      <c r="L1868" s="33" t="s">
        <v>121</v>
      </c>
      <c r="M1868" s="33" t="s">
        <v>9376</v>
      </c>
      <c r="N1868" s="73"/>
      <c r="O1868" s="73"/>
      <c r="P1868" s="73"/>
      <c r="Q1868" s="73"/>
      <c r="R1868" s="23"/>
      <c r="S1868" s="23"/>
      <c r="T1868" s="73"/>
      <c r="U1868" s="73"/>
      <c r="V1868" s="73"/>
    </row>
    <row r="1869" spans="2:22" ht="30.6" x14ac:dyDescent="0.2">
      <c r="B1869" s="73" t="s">
        <v>10748</v>
      </c>
      <c r="C1869" s="33" t="s">
        <v>2026</v>
      </c>
      <c r="D1869" s="23" t="s">
        <v>2027</v>
      </c>
      <c r="E1869" s="73" t="s">
        <v>11013</v>
      </c>
      <c r="F1869" s="73" t="s">
        <v>10902</v>
      </c>
      <c r="G1869" s="73"/>
      <c r="H1869" s="73" t="s">
        <v>11014</v>
      </c>
      <c r="I1869" s="73" t="s">
        <v>11261</v>
      </c>
      <c r="J1869" s="33" t="s">
        <v>9374</v>
      </c>
      <c r="K1869" s="33" t="s">
        <v>9375</v>
      </c>
      <c r="L1869" s="33" t="s">
        <v>121</v>
      </c>
      <c r="M1869" s="33" t="s">
        <v>9376</v>
      </c>
      <c r="N1869" s="73"/>
      <c r="O1869" s="73"/>
      <c r="P1869" s="73"/>
      <c r="Q1869" s="75"/>
      <c r="R1869" s="75"/>
      <c r="S1869" s="75"/>
      <c r="T1869" s="75"/>
      <c r="U1869" s="75"/>
      <c r="V1869" s="75"/>
    </row>
    <row r="1870" spans="2:22" ht="244.8" x14ac:dyDescent="0.2">
      <c r="B1870" s="73" t="s">
        <v>10748</v>
      </c>
      <c r="C1870" s="33" t="s">
        <v>2028</v>
      </c>
      <c r="D1870" s="23" t="s">
        <v>2029</v>
      </c>
      <c r="E1870" s="73" t="s">
        <v>10972</v>
      </c>
      <c r="F1870" s="73" t="s">
        <v>10902</v>
      </c>
      <c r="G1870" s="73"/>
      <c r="H1870" s="73" t="s">
        <v>10973</v>
      </c>
      <c r="I1870" s="73" t="s">
        <v>11262</v>
      </c>
      <c r="J1870" s="33" t="s">
        <v>9374</v>
      </c>
      <c r="K1870" s="33" t="s">
        <v>9375</v>
      </c>
      <c r="L1870" s="33" t="s">
        <v>121</v>
      </c>
      <c r="M1870" s="33" t="s">
        <v>9376</v>
      </c>
      <c r="N1870" s="73"/>
      <c r="O1870" s="73"/>
      <c r="P1870" s="73"/>
      <c r="Q1870" s="76"/>
      <c r="R1870" s="76"/>
      <c r="S1870" s="76"/>
      <c r="T1870" s="76"/>
      <c r="U1870" s="76"/>
      <c r="V1870" s="76"/>
    </row>
    <row r="1871" spans="2:22" ht="71.400000000000006" x14ac:dyDescent="0.2">
      <c r="B1871" s="73" t="s">
        <v>10748</v>
      </c>
      <c r="C1871" s="33" t="s">
        <v>2031</v>
      </c>
      <c r="D1871" s="23" t="s">
        <v>2032</v>
      </c>
      <c r="E1871" s="73" t="s">
        <v>11061</v>
      </c>
      <c r="F1871" s="73" t="s">
        <v>10902</v>
      </c>
      <c r="G1871" s="73"/>
      <c r="H1871" s="73" t="s">
        <v>11062</v>
      </c>
      <c r="I1871" s="73" t="s">
        <v>11263</v>
      </c>
      <c r="J1871" s="33" t="s">
        <v>9374</v>
      </c>
      <c r="K1871" s="33" t="s">
        <v>9375</v>
      </c>
      <c r="L1871" s="33" t="s">
        <v>121</v>
      </c>
      <c r="M1871" s="33" t="s">
        <v>9376</v>
      </c>
      <c r="N1871" s="73"/>
      <c r="O1871" s="73"/>
      <c r="P1871" s="73"/>
      <c r="Q1871" s="73"/>
      <c r="R1871" s="23"/>
      <c r="S1871" s="23"/>
      <c r="T1871" s="73"/>
      <c r="U1871" s="73"/>
      <c r="V1871" s="73"/>
    </row>
    <row r="1872" spans="2:22" ht="163.19999999999999" x14ac:dyDescent="0.2">
      <c r="B1872" s="73" t="s">
        <v>10748</v>
      </c>
      <c r="C1872" s="33" t="s">
        <v>2033</v>
      </c>
      <c r="D1872" s="23" t="s">
        <v>2034</v>
      </c>
      <c r="E1872" s="73" t="s">
        <v>11158</v>
      </c>
      <c r="F1872" s="73" t="s">
        <v>10902</v>
      </c>
      <c r="G1872" s="73"/>
      <c r="H1872" s="73" t="s">
        <v>11014</v>
      </c>
      <c r="I1872" s="73" t="s">
        <v>11264</v>
      </c>
      <c r="J1872" s="33" t="s">
        <v>9374</v>
      </c>
      <c r="K1872" s="33" t="s">
        <v>9375</v>
      </c>
      <c r="L1872" s="33" t="s">
        <v>121</v>
      </c>
      <c r="M1872" s="33" t="s">
        <v>9376</v>
      </c>
      <c r="N1872" s="73"/>
      <c r="O1872" s="73"/>
      <c r="P1872" s="73"/>
      <c r="Q1872" s="73"/>
      <c r="R1872" s="23"/>
      <c r="S1872" s="23"/>
      <c r="T1872" s="73"/>
      <c r="U1872" s="73"/>
      <c r="V1872" s="73"/>
    </row>
    <row r="1873" spans="2:22" x14ac:dyDescent="0.2">
      <c r="B1873" s="73" t="s">
        <v>10748</v>
      </c>
      <c r="C1873" s="33" t="s">
        <v>2062</v>
      </c>
      <c r="D1873" s="23" t="s">
        <v>2063</v>
      </c>
      <c r="E1873" s="73" t="s">
        <v>11066</v>
      </c>
      <c r="F1873" s="73" t="s">
        <v>10902</v>
      </c>
      <c r="G1873" s="73"/>
      <c r="H1873" s="73" t="s">
        <v>10917</v>
      </c>
      <c r="I1873" s="73" t="s">
        <v>11265</v>
      </c>
      <c r="J1873" s="33" t="s">
        <v>9374</v>
      </c>
      <c r="K1873" s="33" t="s">
        <v>9375</v>
      </c>
      <c r="L1873" s="33" t="s">
        <v>121</v>
      </c>
      <c r="M1873" s="33" t="s">
        <v>9376</v>
      </c>
      <c r="N1873" s="73"/>
      <c r="O1873" s="73"/>
      <c r="P1873" s="73"/>
      <c r="Q1873" s="75"/>
      <c r="R1873" s="75"/>
      <c r="S1873" s="75"/>
      <c r="T1873" s="75"/>
      <c r="U1873" s="75"/>
      <c r="V1873" s="75"/>
    </row>
    <row r="1874" spans="2:22" x14ac:dyDescent="0.2">
      <c r="B1874" s="73" t="s">
        <v>10748</v>
      </c>
      <c r="C1874" s="33" t="s">
        <v>2101</v>
      </c>
      <c r="D1874" s="23" t="s">
        <v>2102</v>
      </c>
      <c r="E1874" s="73" t="s">
        <v>10991</v>
      </c>
      <c r="F1874" s="73" t="s">
        <v>10902</v>
      </c>
      <c r="G1874" s="73"/>
      <c r="H1874" s="73" t="s">
        <v>10992</v>
      </c>
      <c r="I1874" s="73" t="s">
        <v>11266</v>
      </c>
      <c r="J1874" s="33" t="s">
        <v>9374</v>
      </c>
      <c r="K1874" s="33" t="s">
        <v>9375</v>
      </c>
      <c r="L1874" s="33" t="s">
        <v>121</v>
      </c>
      <c r="M1874" s="33" t="s">
        <v>9376</v>
      </c>
      <c r="N1874" s="73"/>
      <c r="O1874" s="73"/>
      <c r="P1874" s="73"/>
      <c r="Q1874" s="76"/>
      <c r="R1874" s="76"/>
      <c r="S1874" s="76"/>
      <c r="T1874" s="76"/>
      <c r="U1874" s="76"/>
      <c r="V1874" s="76"/>
    </row>
    <row r="1875" spans="2:22" ht="51" x14ac:dyDescent="0.2">
      <c r="B1875" s="73" t="s">
        <v>10748</v>
      </c>
      <c r="C1875" s="33" t="s">
        <v>2103</v>
      </c>
      <c r="D1875" s="23" t="s">
        <v>2104</v>
      </c>
      <c r="E1875" s="73" t="s">
        <v>10960</v>
      </c>
      <c r="F1875" s="73" t="s">
        <v>10902</v>
      </c>
      <c r="G1875" s="73"/>
      <c r="H1875" s="73" t="s">
        <v>10961</v>
      </c>
      <c r="I1875" s="73" t="s">
        <v>11267</v>
      </c>
      <c r="J1875" s="33" t="s">
        <v>9374</v>
      </c>
      <c r="K1875" s="33" t="s">
        <v>9375</v>
      </c>
      <c r="L1875" s="33" t="s">
        <v>121</v>
      </c>
      <c r="M1875" s="33" t="s">
        <v>9376</v>
      </c>
      <c r="N1875" s="73"/>
      <c r="O1875" s="73"/>
      <c r="P1875" s="73"/>
      <c r="Q1875" s="73"/>
      <c r="R1875" s="23"/>
      <c r="S1875" s="23"/>
      <c r="T1875" s="73"/>
      <c r="U1875" s="73"/>
      <c r="V1875" s="73"/>
    </row>
    <row r="1876" spans="2:22" ht="20.399999999999999" x14ac:dyDescent="0.2">
      <c r="B1876" s="73" t="s">
        <v>10748</v>
      </c>
      <c r="C1876" s="33" t="s">
        <v>2105</v>
      </c>
      <c r="D1876" s="23" t="s">
        <v>2106</v>
      </c>
      <c r="E1876" s="73" t="s">
        <v>10963</v>
      </c>
      <c r="F1876" s="73" t="s">
        <v>10902</v>
      </c>
      <c r="G1876" s="73"/>
      <c r="H1876" s="73" t="s">
        <v>10964</v>
      </c>
      <c r="I1876" s="73" t="s">
        <v>11268</v>
      </c>
      <c r="J1876" s="33" t="s">
        <v>9374</v>
      </c>
      <c r="K1876" s="33" t="s">
        <v>9375</v>
      </c>
      <c r="L1876" s="33" t="s">
        <v>121</v>
      </c>
      <c r="M1876" s="33" t="s">
        <v>9376</v>
      </c>
      <c r="N1876" s="73"/>
      <c r="O1876" s="73"/>
      <c r="P1876" s="73"/>
      <c r="Q1876" s="73"/>
      <c r="R1876" s="23"/>
      <c r="S1876" s="23"/>
      <c r="T1876" s="73"/>
      <c r="U1876" s="73"/>
      <c r="V1876" s="73"/>
    </row>
    <row r="1877" spans="2:22" x14ac:dyDescent="0.2">
      <c r="B1877" s="166"/>
      <c r="C1877" s="166"/>
      <c r="D1877" s="166"/>
      <c r="E1877" s="166"/>
      <c r="F1877" s="166"/>
      <c r="G1877" s="166"/>
      <c r="H1877" s="166"/>
      <c r="I1877" s="166"/>
      <c r="J1877" s="166"/>
      <c r="K1877" s="166"/>
      <c r="L1877" s="166"/>
      <c r="M1877" s="166"/>
      <c r="N1877" s="166"/>
      <c r="O1877" s="166"/>
      <c r="P1877" s="166"/>
      <c r="Q1877" s="73"/>
      <c r="R1877" s="23"/>
      <c r="S1877" s="23"/>
      <c r="T1877" s="73"/>
      <c r="U1877" s="73"/>
      <c r="V1877" s="73"/>
    </row>
    <row r="1878" spans="2:22" x14ac:dyDescent="0.2">
      <c r="B1878" s="165" t="s">
        <v>10751</v>
      </c>
      <c r="C1878" s="165"/>
      <c r="D1878" s="165"/>
      <c r="E1878" s="165"/>
      <c r="F1878" s="165"/>
      <c r="G1878" s="165"/>
      <c r="H1878" s="165"/>
      <c r="I1878" s="165"/>
      <c r="J1878" s="165"/>
      <c r="K1878" s="165"/>
      <c r="L1878" s="165"/>
      <c r="M1878" s="165"/>
      <c r="N1878" s="165"/>
      <c r="O1878" s="165"/>
      <c r="P1878" s="165"/>
      <c r="Q1878" s="75"/>
      <c r="R1878" s="75"/>
      <c r="S1878" s="75"/>
      <c r="T1878" s="75"/>
      <c r="U1878" s="75"/>
      <c r="V1878" s="75"/>
    </row>
    <row r="1879" spans="2:22" x14ac:dyDescent="0.2">
      <c r="B1879" s="73" t="s">
        <v>10751</v>
      </c>
      <c r="C1879" s="33" t="s">
        <v>1466</v>
      </c>
      <c r="D1879" s="23" t="s">
        <v>1467</v>
      </c>
      <c r="E1879" s="73"/>
      <c r="F1879" s="73"/>
      <c r="G1879" s="73"/>
      <c r="H1879" s="73"/>
      <c r="I1879" s="73"/>
      <c r="J1879" s="33" t="s">
        <v>9374</v>
      </c>
      <c r="K1879" s="33" t="s">
        <v>9375</v>
      </c>
      <c r="L1879" s="33" t="s">
        <v>121</v>
      </c>
      <c r="M1879" s="33" t="s">
        <v>9376</v>
      </c>
      <c r="N1879" s="73"/>
      <c r="O1879" s="73"/>
      <c r="P1879" s="73"/>
      <c r="Q1879" s="76"/>
      <c r="R1879" s="76"/>
      <c r="S1879" s="76"/>
      <c r="T1879" s="76"/>
      <c r="U1879" s="76"/>
      <c r="V1879" s="76"/>
    </row>
    <row r="1880" spans="2:22" x14ac:dyDescent="0.2">
      <c r="B1880" s="166"/>
      <c r="C1880" s="166"/>
      <c r="D1880" s="166"/>
      <c r="E1880" s="166"/>
      <c r="F1880" s="166"/>
      <c r="G1880" s="166"/>
      <c r="H1880" s="166"/>
      <c r="I1880" s="166"/>
      <c r="J1880" s="166"/>
      <c r="K1880" s="166"/>
      <c r="L1880" s="166"/>
      <c r="M1880" s="166"/>
      <c r="N1880" s="166"/>
      <c r="O1880" s="166"/>
      <c r="P1880" s="166"/>
      <c r="Q1880" s="73"/>
      <c r="R1880" s="23"/>
      <c r="S1880" s="23"/>
      <c r="T1880" s="73"/>
      <c r="U1880" s="73"/>
      <c r="V1880" s="73"/>
    </row>
    <row r="1881" spans="2:22" x14ac:dyDescent="0.2">
      <c r="B1881" s="165" t="s">
        <v>10755</v>
      </c>
      <c r="C1881" s="165"/>
      <c r="D1881" s="165"/>
      <c r="E1881" s="165"/>
      <c r="F1881" s="165"/>
      <c r="G1881" s="165"/>
      <c r="H1881" s="165"/>
      <c r="I1881" s="165"/>
      <c r="J1881" s="165"/>
      <c r="K1881" s="165"/>
      <c r="L1881" s="165"/>
      <c r="M1881" s="165"/>
      <c r="N1881" s="165"/>
      <c r="O1881" s="165"/>
      <c r="P1881" s="165"/>
      <c r="Q1881" s="73"/>
      <c r="R1881" s="23"/>
      <c r="S1881" s="23"/>
      <c r="T1881" s="73"/>
      <c r="U1881" s="73"/>
      <c r="V1881" s="73"/>
    </row>
    <row r="1882" spans="2:22" x14ac:dyDescent="0.2">
      <c r="B1882" s="73" t="s">
        <v>10755</v>
      </c>
      <c r="C1882" s="33" t="s">
        <v>1468</v>
      </c>
      <c r="D1882" s="23" t="s">
        <v>1469</v>
      </c>
      <c r="E1882" s="73"/>
      <c r="F1882" s="73"/>
      <c r="G1882" s="73"/>
      <c r="H1882" s="73"/>
      <c r="I1882" s="73"/>
      <c r="J1882" s="33" t="s">
        <v>9374</v>
      </c>
      <c r="K1882" s="33" t="s">
        <v>9375</v>
      </c>
      <c r="L1882" s="33" t="s">
        <v>121</v>
      </c>
      <c r="M1882" s="33" t="s">
        <v>9376</v>
      </c>
      <c r="N1882" s="73"/>
      <c r="O1882" s="73"/>
      <c r="P1882" s="73"/>
      <c r="Q1882" s="75"/>
      <c r="R1882" s="75"/>
      <c r="S1882" s="75"/>
      <c r="T1882" s="75"/>
      <c r="U1882" s="75"/>
      <c r="V1882" s="75"/>
    </row>
    <row r="1883" spans="2:22" x14ac:dyDescent="0.2">
      <c r="B1883" s="166"/>
      <c r="C1883" s="166"/>
      <c r="D1883" s="166"/>
      <c r="E1883" s="166"/>
      <c r="F1883" s="166"/>
      <c r="G1883" s="166"/>
      <c r="H1883" s="166"/>
      <c r="I1883" s="166"/>
      <c r="J1883" s="166"/>
      <c r="K1883" s="166"/>
      <c r="L1883" s="166"/>
      <c r="M1883" s="166"/>
      <c r="N1883" s="166"/>
      <c r="O1883" s="166"/>
      <c r="P1883" s="166"/>
      <c r="Q1883" s="76"/>
      <c r="R1883" s="76"/>
      <c r="S1883" s="76"/>
      <c r="T1883" s="76"/>
      <c r="U1883" s="76"/>
      <c r="V1883" s="76"/>
    </row>
    <row r="1884" spans="2:22" x14ac:dyDescent="0.2">
      <c r="B1884" s="165" t="s">
        <v>10758</v>
      </c>
      <c r="C1884" s="165"/>
      <c r="D1884" s="165"/>
      <c r="E1884" s="165"/>
      <c r="F1884" s="165"/>
      <c r="G1884" s="165"/>
      <c r="H1884" s="165"/>
      <c r="I1884" s="165"/>
      <c r="J1884" s="165"/>
      <c r="K1884" s="165"/>
      <c r="L1884" s="165"/>
      <c r="M1884" s="165"/>
      <c r="N1884" s="165"/>
      <c r="O1884" s="165"/>
      <c r="P1884" s="165"/>
      <c r="Q1884" s="73"/>
      <c r="R1884" s="23"/>
      <c r="S1884" s="23"/>
      <c r="T1884" s="73"/>
      <c r="U1884" s="73"/>
      <c r="V1884" s="73"/>
    </row>
    <row r="1885" spans="2:22" x14ac:dyDescent="0.2">
      <c r="B1885" s="73" t="s">
        <v>10758</v>
      </c>
      <c r="C1885" s="33" t="s">
        <v>1471</v>
      </c>
      <c r="D1885" s="23" t="s">
        <v>1472</v>
      </c>
      <c r="E1885" s="73"/>
      <c r="F1885" s="73"/>
      <c r="G1885" s="73"/>
      <c r="H1885" s="73"/>
      <c r="I1885" s="73"/>
      <c r="J1885" s="33" t="s">
        <v>9374</v>
      </c>
      <c r="K1885" s="33" t="s">
        <v>9375</v>
      </c>
      <c r="L1885" s="33" t="s">
        <v>121</v>
      </c>
      <c r="M1885" s="33" t="s">
        <v>9376</v>
      </c>
      <c r="N1885" s="73"/>
      <c r="O1885" s="73"/>
      <c r="P1885" s="73"/>
      <c r="Q1885" s="73"/>
      <c r="R1885" s="23"/>
      <c r="S1885" s="23"/>
      <c r="T1885" s="73"/>
      <c r="U1885" s="73"/>
      <c r="V1885" s="73"/>
    </row>
    <row r="1886" spans="2:22" x14ac:dyDescent="0.2">
      <c r="B1886" s="166"/>
      <c r="C1886" s="166"/>
      <c r="D1886" s="166"/>
      <c r="E1886" s="166"/>
      <c r="F1886" s="166"/>
      <c r="G1886" s="166"/>
      <c r="H1886" s="166"/>
      <c r="I1886" s="166"/>
      <c r="J1886" s="166"/>
      <c r="K1886" s="166"/>
      <c r="L1886" s="166"/>
      <c r="M1886" s="166"/>
      <c r="N1886" s="166"/>
      <c r="O1886" s="166"/>
      <c r="P1886" s="166"/>
      <c r="Q1886" s="75"/>
      <c r="R1886" s="75"/>
      <c r="S1886" s="75"/>
      <c r="T1886" s="75"/>
      <c r="U1886" s="75"/>
      <c r="V1886" s="75"/>
    </row>
    <row r="1887" spans="2:22" x14ac:dyDescent="0.2">
      <c r="B1887" s="165" t="s">
        <v>10761</v>
      </c>
      <c r="C1887" s="165"/>
      <c r="D1887" s="165"/>
      <c r="E1887" s="165"/>
      <c r="F1887" s="165"/>
      <c r="G1887" s="165"/>
      <c r="H1887" s="165"/>
      <c r="I1887" s="165"/>
      <c r="J1887" s="165"/>
      <c r="K1887" s="165"/>
      <c r="L1887" s="165"/>
      <c r="M1887" s="165"/>
      <c r="N1887" s="165"/>
      <c r="O1887" s="165"/>
      <c r="P1887" s="165"/>
      <c r="Q1887" s="76"/>
      <c r="R1887" s="76"/>
      <c r="S1887" s="76"/>
      <c r="T1887" s="76"/>
      <c r="U1887" s="76"/>
      <c r="V1887" s="76"/>
    </row>
    <row r="1888" spans="2:22" x14ac:dyDescent="0.2">
      <c r="B1888" s="73" t="s">
        <v>10761</v>
      </c>
      <c r="C1888" s="33" t="s">
        <v>1473</v>
      </c>
      <c r="D1888" s="23" t="s">
        <v>1474</v>
      </c>
      <c r="E1888" s="73"/>
      <c r="F1888" s="73"/>
      <c r="G1888" s="73"/>
      <c r="H1888" s="73"/>
      <c r="I1888" s="73"/>
      <c r="J1888" s="33" t="s">
        <v>9374</v>
      </c>
      <c r="K1888" s="33" t="s">
        <v>9375</v>
      </c>
      <c r="L1888" s="33" t="s">
        <v>121</v>
      </c>
      <c r="M1888" s="33" t="s">
        <v>9376</v>
      </c>
      <c r="N1888" s="73"/>
      <c r="O1888" s="73"/>
      <c r="P1888" s="73"/>
      <c r="Q1888" s="73"/>
      <c r="R1888" s="23"/>
      <c r="S1888" s="23"/>
      <c r="T1888" s="73"/>
      <c r="U1888" s="73"/>
      <c r="V1888" s="73"/>
    </row>
    <row r="1889" spans="2:22" x14ac:dyDescent="0.2">
      <c r="B1889" s="166"/>
      <c r="C1889" s="166"/>
      <c r="D1889" s="166"/>
      <c r="E1889" s="166"/>
      <c r="F1889" s="166"/>
      <c r="G1889" s="166"/>
      <c r="H1889" s="166"/>
      <c r="I1889" s="166"/>
      <c r="J1889" s="166"/>
      <c r="K1889" s="166"/>
      <c r="L1889" s="166"/>
      <c r="M1889" s="166"/>
      <c r="N1889" s="166"/>
      <c r="O1889" s="166"/>
      <c r="P1889" s="166"/>
      <c r="Q1889" s="73"/>
      <c r="R1889" s="23"/>
      <c r="S1889" s="23"/>
      <c r="T1889" s="73"/>
      <c r="U1889" s="73"/>
      <c r="V1889" s="73"/>
    </row>
    <row r="1890" spans="2:22" x14ac:dyDescent="0.2">
      <c r="B1890" s="165" t="s">
        <v>10764</v>
      </c>
      <c r="C1890" s="165"/>
      <c r="D1890" s="165"/>
      <c r="E1890" s="165"/>
      <c r="F1890" s="165"/>
      <c r="G1890" s="165"/>
      <c r="H1890" s="165"/>
      <c r="I1890" s="165"/>
      <c r="J1890" s="165"/>
      <c r="K1890" s="165"/>
      <c r="L1890" s="165"/>
      <c r="M1890" s="165"/>
      <c r="N1890" s="165"/>
      <c r="O1890" s="165"/>
      <c r="P1890" s="165"/>
      <c r="Q1890" s="75"/>
      <c r="R1890" s="75"/>
      <c r="S1890" s="75"/>
      <c r="T1890" s="75"/>
      <c r="U1890" s="75"/>
      <c r="V1890" s="75"/>
    </row>
    <row r="1891" spans="2:22" x14ac:dyDescent="0.2">
      <c r="B1891" s="73" t="s">
        <v>10764</v>
      </c>
      <c r="C1891" s="33" t="s">
        <v>1475</v>
      </c>
      <c r="D1891" s="23" t="s">
        <v>1476</v>
      </c>
      <c r="E1891" s="73"/>
      <c r="F1891" s="73"/>
      <c r="G1891" s="73"/>
      <c r="H1891" s="73"/>
      <c r="I1891" s="73"/>
      <c r="J1891" s="33" t="s">
        <v>9374</v>
      </c>
      <c r="K1891" s="33" t="s">
        <v>9375</v>
      </c>
      <c r="L1891" s="33" t="s">
        <v>121</v>
      </c>
      <c r="M1891" s="33" t="s">
        <v>9376</v>
      </c>
      <c r="N1891" s="73"/>
      <c r="O1891" s="73"/>
      <c r="P1891" s="73"/>
      <c r="Q1891" s="76"/>
      <c r="R1891" s="76"/>
      <c r="S1891" s="76"/>
      <c r="T1891" s="76"/>
      <c r="U1891" s="76"/>
      <c r="V1891" s="76"/>
    </row>
    <row r="1892" spans="2:22" x14ac:dyDescent="0.2">
      <c r="B1892" s="166"/>
      <c r="C1892" s="166"/>
      <c r="D1892" s="166"/>
      <c r="E1892" s="166"/>
      <c r="F1892" s="166"/>
      <c r="G1892" s="166"/>
      <c r="H1892" s="166"/>
      <c r="I1892" s="166"/>
      <c r="J1892" s="166"/>
      <c r="K1892" s="166"/>
      <c r="L1892" s="166"/>
      <c r="M1892" s="166"/>
      <c r="N1892" s="166"/>
      <c r="O1892" s="166"/>
      <c r="P1892" s="166"/>
      <c r="Q1892" s="73"/>
      <c r="R1892" s="23"/>
      <c r="S1892" s="23"/>
      <c r="T1892" s="73"/>
      <c r="U1892" s="73"/>
      <c r="V1892" s="73"/>
    </row>
    <row r="1893" spans="2:22" x14ac:dyDescent="0.2">
      <c r="B1893" s="165" t="s">
        <v>10767</v>
      </c>
      <c r="C1893" s="165"/>
      <c r="D1893" s="165"/>
      <c r="E1893" s="165"/>
      <c r="F1893" s="165"/>
      <c r="G1893" s="165"/>
      <c r="H1893" s="165"/>
      <c r="I1893" s="165"/>
      <c r="J1893" s="165"/>
      <c r="K1893" s="165"/>
      <c r="L1893" s="165"/>
      <c r="M1893" s="165"/>
      <c r="N1893" s="165"/>
      <c r="O1893" s="165"/>
      <c r="P1893" s="165"/>
      <c r="Q1893" s="73"/>
      <c r="R1893" s="23"/>
      <c r="S1893" s="23"/>
      <c r="T1893" s="73"/>
      <c r="U1893" s="73"/>
      <c r="V1893" s="73"/>
    </row>
    <row r="1894" spans="2:22" x14ac:dyDescent="0.2">
      <c r="B1894" s="73" t="s">
        <v>10767</v>
      </c>
      <c r="C1894" s="33" t="s">
        <v>1477</v>
      </c>
      <c r="D1894" s="23" t="s">
        <v>1478</v>
      </c>
      <c r="E1894" s="73"/>
      <c r="F1894" s="73"/>
      <c r="G1894" s="73"/>
      <c r="H1894" s="73"/>
      <c r="I1894" s="73"/>
      <c r="J1894" s="33" t="s">
        <v>9374</v>
      </c>
      <c r="K1894" s="33" t="s">
        <v>11016</v>
      </c>
      <c r="L1894" s="33" t="s">
        <v>121</v>
      </c>
      <c r="M1894" s="33" t="s">
        <v>9376</v>
      </c>
      <c r="N1894" s="73"/>
      <c r="O1894" s="73"/>
      <c r="P1894" s="73"/>
      <c r="Q1894" s="73"/>
      <c r="R1894" s="23"/>
      <c r="S1894" s="23"/>
      <c r="T1894" s="73"/>
      <c r="U1894" s="73"/>
      <c r="V1894" s="73"/>
    </row>
    <row r="1895" spans="2:22" x14ac:dyDescent="0.2">
      <c r="B1895" s="166"/>
      <c r="C1895" s="166"/>
      <c r="D1895" s="166"/>
      <c r="E1895" s="166"/>
      <c r="F1895" s="166"/>
      <c r="G1895" s="166"/>
      <c r="H1895" s="166"/>
      <c r="I1895" s="166"/>
      <c r="J1895" s="166"/>
      <c r="K1895" s="166"/>
      <c r="L1895" s="166"/>
      <c r="M1895" s="166"/>
      <c r="N1895" s="166"/>
      <c r="O1895" s="166"/>
      <c r="P1895" s="166"/>
      <c r="Q1895" s="73"/>
      <c r="R1895" s="23"/>
      <c r="S1895" s="23"/>
      <c r="T1895" s="73"/>
      <c r="U1895" s="73"/>
      <c r="V1895" s="73"/>
    </row>
    <row r="1896" spans="2:22" x14ac:dyDescent="0.2">
      <c r="B1896" s="165" t="s">
        <v>10769</v>
      </c>
      <c r="C1896" s="165"/>
      <c r="D1896" s="165"/>
      <c r="E1896" s="165"/>
      <c r="F1896" s="165"/>
      <c r="G1896" s="165"/>
      <c r="H1896" s="165"/>
      <c r="I1896" s="165"/>
      <c r="J1896" s="165"/>
      <c r="K1896" s="165"/>
      <c r="L1896" s="165"/>
      <c r="M1896" s="165"/>
      <c r="N1896" s="165"/>
      <c r="O1896" s="165"/>
      <c r="P1896" s="165"/>
      <c r="Q1896" s="73" t="s">
        <v>11095</v>
      </c>
      <c r="R1896" s="23"/>
      <c r="S1896" s="23"/>
      <c r="T1896" s="73"/>
      <c r="U1896" s="73"/>
      <c r="V1896" s="73"/>
    </row>
    <row r="1897" spans="2:22" x14ac:dyDescent="0.2">
      <c r="B1897" s="73" t="s">
        <v>10769</v>
      </c>
      <c r="C1897" s="33" t="s">
        <v>1479</v>
      </c>
      <c r="D1897" s="23" t="s">
        <v>1480</v>
      </c>
      <c r="E1897" s="73"/>
      <c r="F1897" s="73"/>
      <c r="G1897" s="73"/>
      <c r="H1897" s="73"/>
      <c r="I1897" s="73"/>
      <c r="J1897" s="33" t="s">
        <v>9374</v>
      </c>
      <c r="K1897" s="33" t="s">
        <v>9375</v>
      </c>
      <c r="L1897" s="33" t="s">
        <v>121</v>
      </c>
      <c r="M1897" s="33" t="s">
        <v>9376</v>
      </c>
      <c r="N1897" s="73"/>
      <c r="O1897" s="73"/>
      <c r="P1897" s="73"/>
      <c r="Q1897" s="73"/>
      <c r="R1897" s="23"/>
      <c r="S1897" s="23"/>
      <c r="T1897" s="73"/>
      <c r="U1897" s="73"/>
      <c r="V1897" s="73"/>
    </row>
    <row r="1898" spans="2:22" x14ac:dyDescent="0.2">
      <c r="B1898" s="166"/>
      <c r="C1898" s="166"/>
      <c r="D1898" s="166"/>
      <c r="E1898" s="166"/>
      <c r="F1898" s="166"/>
      <c r="G1898" s="166"/>
      <c r="H1898" s="166"/>
      <c r="I1898" s="166"/>
      <c r="J1898" s="166"/>
      <c r="K1898" s="166"/>
      <c r="L1898" s="166"/>
      <c r="M1898" s="166"/>
      <c r="N1898" s="166"/>
      <c r="O1898" s="166"/>
      <c r="P1898" s="166"/>
      <c r="Q1898" s="73"/>
      <c r="R1898" s="23"/>
      <c r="S1898" s="23"/>
      <c r="T1898" s="73"/>
      <c r="U1898" s="73"/>
      <c r="V1898" s="73"/>
    </row>
    <row r="1899" spans="2:22" x14ac:dyDescent="0.2">
      <c r="B1899" s="165" t="s">
        <v>10772</v>
      </c>
      <c r="C1899" s="165"/>
      <c r="D1899" s="165"/>
      <c r="E1899" s="165"/>
      <c r="F1899" s="165"/>
      <c r="G1899" s="165"/>
      <c r="H1899" s="165"/>
      <c r="I1899" s="165"/>
      <c r="J1899" s="165"/>
      <c r="K1899" s="165"/>
      <c r="L1899" s="165"/>
      <c r="M1899" s="165"/>
      <c r="N1899" s="165"/>
      <c r="O1899" s="165"/>
      <c r="P1899" s="165"/>
      <c r="Q1899" s="73"/>
      <c r="R1899" s="23"/>
      <c r="S1899" s="23"/>
      <c r="T1899" s="73"/>
      <c r="U1899" s="73"/>
      <c r="V1899" s="73"/>
    </row>
    <row r="1900" spans="2:22" x14ac:dyDescent="0.2">
      <c r="B1900" s="73" t="s">
        <v>10772</v>
      </c>
      <c r="C1900" s="33" t="s">
        <v>1482</v>
      </c>
      <c r="D1900" s="23" t="s">
        <v>1483</v>
      </c>
      <c r="E1900" s="73"/>
      <c r="F1900" s="73"/>
      <c r="G1900" s="73"/>
      <c r="H1900" s="73"/>
      <c r="I1900" s="73"/>
      <c r="J1900" s="33" t="s">
        <v>9374</v>
      </c>
      <c r="K1900" s="33" t="s">
        <v>11016</v>
      </c>
      <c r="L1900" s="33" t="s">
        <v>121</v>
      </c>
      <c r="M1900" s="33" t="s">
        <v>9376</v>
      </c>
      <c r="N1900" s="73"/>
      <c r="O1900" s="73"/>
      <c r="P1900" s="73"/>
      <c r="Q1900" s="75"/>
      <c r="R1900" s="75"/>
      <c r="S1900" s="75"/>
      <c r="T1900" s="75"/>
      <c r="U1900" s="75"/>
      <c r="V1900" s="75"/>
    </row>
    <row r="1901" spans="2:22" x14ac:dyDescent="0.2">
      <c r="B1901" s="166"/>
      <c r="C1901" s="166"/>
      <c r="D1901" s="166"/>
      <c r="E1901" s="166"/>
      <c r="F1901" s="166"/>
      <c r="G1901" s="166"/>
      <c r="H1901" s="166"/>
      <c r="I1901" s="166"/>
      <c r="J1901" s="166"/>
      <c r="K1901" s="166"/>
      <c r="L1901" s="166"/>
      <c r="M1901" s="166"/>
      <c r="N1901" s="166"/>
      <c r="O1901" s="166"/>
      <c r="P1901" s="166"/>
      <c r="Q1901" s="76"/>
      <c r="R1901" s="76"/>
      <c r="S1901" s="76"/>
      <c r="T1901" s="76"/>
      <c r="U1901" s="76"/>
      <c r="V1901" s="76"/>
    </row>
    <row r="1902" spans="2:22" x14ac:dyDescent="0.2">
      <c r="B1902" s="165" t="s">
        <v>10774</v>
      </c>
      <c r="C1902" s="165"/>
      <c r="D1902" s="165"/>
      <c r="E1902" s="165"/>
      <c r="F1902" s="165"/>
      <c r="G1902" s="165"/>
      <c r="H1902" s="165"/>
      <c r="I1902" s="165"/>
      <c r="J1902" s="165"/>
      <c r="K1902" s="165"/>
      <c r="L1902" s="165"/>
      <c r="M1902" s="165"/>
      <c r="N1902" s="165"/>
      <c r="O1902" s="165"/>
      <c r="P1902" s="165"/>
      <c r="Q1902" s="73"/>
      <c r="R1902" s="23"/>
      <c r="S1902" s="23"/>
      <c r="T1902" s="73"/>
      <c r="U1902" s="73"/>
      <c r="V1902" s="73"/>
    </row>
    <row r="1903" spans="2:22" x14ac:dyDescent="0.2">
      <c r="B1903" s="73" t="s">
        <v>10774</v>
      </c>
      <c r="C1903" s="33" t="s">
        <v>1484</v>
      </c>
      <c r="D1903" s="23" t="s">
        <v>1485</v>
      </c>
      <c r="E1903" s="73"/>
      <c r="F1903" s="73"/>
      <c r="G1903" s="73"/>
      <c r="H1903" s="73"/>
      <c r="I1903" s="73"/>
      <c r="J1903" s="33" t="s">
        <v>9374</v>
      </c>
      <c r="K1903" s="33" t="s">
        <v>11016</v>
      </c>
      <c r="L1903" s="33" t="s">
        <v>121</v>
      </c>
      <c r="M1903" s="33" t="s">
        <v>9376</v>
      </c>
      <c r="N1903" s="73"/>
      <c r="O1903" s="73"/>
      <c r="P1903" s="73"/>
      <c r="Q1903" s="73"/>
      <c r="R1903" s="23"/>
      <c r="S1903" s="23"/>
      <c r="T1903" s="73"/>
      <c r="U1903" s="73"/>
      <c r="V1903" s="73"/>
    </row>
    <row r="1904" spans="2:22" x14ac:dyDescent="0.2">
      <c r="B1904" s="166"/>
      <c r="C1904" s="166"/>
      <c r="D1904" s="166"/>
      <c r="E1904" s="166"/>
      <c r="F1904" s="166"/>
      <c r="G1904" s="166"/>
      <c r="H1904" s="166"/>
      <c r="I1904" s="166"/>
      <c r="J1904" s="166"/>
      <c r="K1904" s="166"/>
      <c r="L1904" s="166"/>
      <c r="M1904" s="166"/>
      <c r="N1904" s="166"/>
      <c r="O1904" s="166"/>
      <c r="P1904" s="166"/>
      <c r="Q1904" s="75"/>
      <c r="R1904" s="75"/>
      <c r="S1904" s="75"/>
      <c r="T1904" s="75"/>
      <c r="U1904" s="75"/>
      <c r="V1904" s="75"/>
    </row>
    <row r="1905" spans="2:22" x14ac:dyDescent="0.2">
      <c r="B1905" s="165" t="s">
        <v>10776</v>
      </c>
      <c r="C1905" s="165"/>
      <c r="D1905" s="165"/>
      <c r="E1905" s="165"/>
      <c r="F1905" s="165"/>
      <c r="G1905" s="165"/>
      <c r="H1905" s="165"/>
      <c r="I1905" s="165"/>
      <c r="J1905" s="165"/>
      <c r="K1905" s="165"/>
      <c r="L1905" s="165"/>
      <c r="M1905" s="165"/>
      <c r="N1905" s="165"/>
      <c r="O1905" s="165"/>
      <c r="P1905" s="165"/>
      <c r="Q1905" s="76"/>
      <c r="R1905" s="76"/>
      <c r="S1905" s="76"/>
      <c r="T1905" s="76"/>
      <c r="U1905" s="76"/>
      <c r="V1905" s="76"/>
    </row>
    <row r="1906" spans="2:22" x14ac:dyDescent="0.2">
      <c r="B1906" s="73" t="s">
        <v>10776</v>
      </c>
      <c r="C1906" s="33" t="s">
        <v>1486</v>
      </c>
      <c r="D1906" s="23" t="s">
        <v>1487</v>
      </c>
      <c r="E1906" s="73"/>
      <c r="F1906" s="73"/>
      <c r="G1906" s="73"/>
      <c r="H1906" s="73"/>
      <c r="I1906" s="73"/>
      <c r="J1906" s="33" t="s">
        <v>9374</v>
      </c>
      <c r="K1906" s="33" t="s">
        <v>11016</v>
      </c>
      <c r="L1906" s="33" t="s">
        <v>121</v>
      </c>
      <c r="M1906" s="33" t="s">
        <v>9376</v>
      </c>
      <c r="N1906" s="73"/>
      <c r="O1906" s="73"/>
      <c r="P1906" s="73"/>
      <c r="Q1906" s="73"/>
      <c r="R1906" s="23"/>
      <c r="S1906" s="23"/>
      <c r="T1906" s="73"/>
      <c r="U1906" s="73"/>
      <c r="V1906" s="73"/>
    </row>
    <row r="1907" spans="2:22" x14ac:dyDescent="0.2">
      <c r="B1907" s="166"/>
      <c r="C1907" s="166"/>
      <c r="D1907" s="166"/>
      <c r="E1907" s="166"/>
      <c r="F1907" s="166"/>
      <c r="G1907" s="166"/>
      <c r="H1907" s="166"/>
      <c r="I1907" s="166"/>
      <c r="J1907" s="166"/>
      <c r="K1907" s="166"/>
      <c r="L1907" s="166"/>
      <c r="M1907" s="166"/>
      <c r="N1907" s="166"/>
      <c r="O1907" s="166"/>
      <c r="P1907" s="166"/>
      <c r="Q1907" s="73"/>
      <c r="R1907" s="23"/>
      <c r="S1907" s="23"/>
      <c r="T1907" s="73"/>
      <c r="U1907" s="73"/>
      <c r="V1907" s="73"/>
    </row>
    <row r="1908" spans="2:22" x14ac:dyDescent="0.2">
      <c r="B1908" s="165" t="s">
        <v>10778</v>
      </c>
      <c r="C1908" s="165"/>
      <c r="D1908" s="165"/>
      <c r="E1908" s="165"/>
      <c r="F1908" s="165"/>
      <c r="G1908" s="165"/>
      <c r="H1908" s="165"/>
      <c r="I1908" s="165"/>
      <c r="J1908" s="165"/>
      <c r="K1908" s="165"/>
      <c r="L1908" s="165"/>
      <c r="M1908" s="165"/>
      <c r="N1908" s="165"/>
      <c r="O1908" s="165"/>
      <c r="P1908" s="165"/>
      <c r="Q1908" s="73"/>
      <c r="R1908" s="23"/>
      <c r="S1908" s="23"/>
      <c r="T1908" s="73"/>
      <c r="U1908" s="73"/>
      <c r="V1908" s="73"/>
    </row>
    <row r="1909" spans="2:22" ht="30.6" x14ac:dyDescent="0.2">
      <c r="B1909" s="73" t="s">
        <v>10778</v>
      </c>
      <c r="C1909" s="33" t="s">
        <v>1488</v>
      </c>
      <c r="D1909" s="23" t="s">
        <v>1489</v>
      </c>
      <c r="E1909" s="73"/>
      <c r="F1909" s="73"/>
      <c r="G1909" s="73"/>
      <c r="H1909" s="73"/>
      <c r="I1909" s="73"/>
      <c r="J1909" s="33" t="s">
        <v>9374</v>
      </c>
      <c r="K1909" s="33" t="s">
        <v>11016</v>
      </c>
      <c r="L1909" s="33" t="s">
        <v>121</v>
      </c>
      <c r="M1909" s="33" t="s">
        <v>9376</v>
      </c>
      <c r="N1909" s="73"/>
      <c r="O1909" s="73"/>
      <c r="P1909" s="73"/>
      <c r="Q1909" s="73" t="s">
        <v>11269</v>
      </c>
      <c r="R1909" s="23"/>
      <c r="S1909" s="23"/>
      <c r="T1909" s="73"/>
      <c r="U1909" s="73" t="s">
        <v>11270</v>
      </c>
      <c r="V1909" s="73"/>
    </row>
    <row r="1910" spans="2:22" x14ac:dyDescent="0.2">
      <c r="B1910" s="166"/>
      <c r="C1910" s="166"/>
      <c r="D1910" s="166"/>
      <c r="E1910" s="166"/>
      <c r="F1910" s="166"/>
      <c r="G1910" s="166"/>
      <c r="H1910" s="166"/>
      <c r="I1910" s="166"/>
      <c r="J1910" s="166"/>
      <c r="K1910" s="166"/>
      <c r="L1910" s="166"/>
      <c r="M1910" s="166"/>
      <c r="N1910" s="166"/>
      <c r="O1910" s="166"/>
      <c r="P1910" s="166"/>
      <c r="Q1910" s="73"/>
      <c r="R1910" s="23"/>
      <c r="S1910" s="23"/>
      <c r="T1910" s="73"/>
      <c r="U1910" s="73"/>
      <c r="V1910" s="73"/>
    </row>
    <row r="1911" spans="2:22" x14ac:dyDescent="0.2">
      <c r="B1911" s="165" t="s">
        <v>10780</v>
      </c>
      <c r="C1911" s="165"/>
      <c r="D1911" s="165"/>
      <c r="E1911" s="165"/>
      <c r="F1911" s="165"/>
      <c r="G1911" s="165"/>
      <c r="H1911" s="165"/>
      <c r="I1911" s="165"/>
      <c r="J1911" s="165"/>
      <c r="K1911" s="165"/>
      <c r="L1911" s="165"/>
      <c r="M1911" s="165"/>
      <c r="N1911" s="165"/>
      <c r="O1911" s="165"/>
      <c r="P1911" s="165"/>
      <c r="Q1911" s="73"/>
      <c r="R1911" s="23"/>
      <c r="S1911" s="23"/>
      <c r="T1911" s="73"/>
      <c r="U1911" s="73"/>
      <c r="V1911" s="73"/>
    </row>
    <row r="1912" spans="2:22" x14ac:dyDescent="0.2">
      <c r="B1912" s="73" t="s">
        <v>10780</v>
      </c>
      <c r="C1912" s="33" t="s">
        <v>1490</v>
      </c>
      <c r="D1912" s="23" t="s">
        <v>1491</v>
      </c>
      <c r="E1912" s="73"/>
      <c r="F1912" s="73"/>
      <c r="G1912" s="73"/>
      <c r="H1912" s="73"/>
      <c r="I1912" s="73"/>
      <c r="J1912" s="33" t="s">
        <v>9374</v>
      </c>
      <c r="K1912" s="33" t="s">
        <v>9375</v>
      </c>
      <c r="L1912" s="33" t="s">
        <v>121</v>
      </c>
      <c r="M1912" s="33" t="s">
        <v>9376</v>
      </c>
      <c r="N1912" s="73"/>
      <c r="O1912" s="73"/>
      <c r="P1912" s="73"/>
      <c r="Q1912" s="73"/>
      <c r="R1912" s="23"/>
      <c r="S1912" s="23"/>
      <c r="T1912" s="73"/>
      <c r="U1912" s="73"/>
      <c r="V1912" s="73"/>
    </row>
    <row r="1913" spans="2:22" x14ac:dyDescent="0.2">
      <c r="B1913" s="166"/>
      <c r="C1913" s="166"/>
      <c r="D1913" s="166"/>
      <c r="E1913" s="166"/>
      <c r="F1913" s="166"/>
      <c r="G1913" s="166"/>
      <c r="H1913" s="166"/>
      <c r="I1913" s="166"/>
      <c r="J1913" s="166"/>
      <c r="K1913" s="166"/>
      <c r="L1913" s="166"/>
      <c r="M1913" s="166"/>
      <c r="N1913" s="166"/>
      <c r="O1913" s="166"/>
      <c r="P1913" s="166"/>
      <c r="Q1913" s="75"/>
      <c r="R1913" s="75"/>
      <c r="S1913" s="75"/>
      <c r="T1913" s="75"/>
      <c r="U1913" s="75"/>
      <c r="V1913" s="75"/>
    </row>
    <row r="1914" spans="2:22" x14ac:dyDescent="0.2">
      <c r="B1914" s="165" t="s">
        <v>10783</v>
      </c>
      <c r="C1914" s="165"/>
      <c r="D1914" s="165"/>
      <c r="E1914" s="165"/>
      <c r="F1914" s="165"/>
      <c r="G1914" s="165"/>
      <c r="H1914" s="165"/>
      <c r="I1914" s="165"/>
      <c r="J1914" s="165"/>
      <c r="K1914" s="165"/>
      <c r="L1914" s="165"/>
      <c r="M1914" s="165"/>
      <c r="N1914" s="165"/>
      <c r="O1914" s="165"/>
      <c r="P1914" s="165"/>
      <c r="Q1914" s="76"/>
      <c r="R1914" s="76"/>
      <c r="S1914" s="76"/>
      <c r="T1914" s="76"/>
      <c r="U1914" s="76"/>
      <c r="V1914" s="76"/>
    </row>
    <row r="1915" spans="2:22" x14ac:dyDescent="0.2">
      <c r="B1915" s="73" t="s">
        <v>10783</v>
      </c>
      <c r="C1915" s="33" t="s">
        <v>1492</v>
      </c>
      <c r="D1915" s="23" t="s">
        <v>1493</v>
      </c>
      <c r="E1915" s="73"/>
      <c r="F1915" s="73"/>
      <c r="G1915" s="73"/>
      <c r="H1915" s="73"/>
      <c r="I1915" s="73"/>
      <c r="J1915" s="33" t="s">
        <v>9374</v>
      </c>
      <c r="K1915" s="33" t="s">
        <v>9375</v>
      </c>
      <c r="L1915" s="33" t="s">
        <v>121</v>
      </c>
      <c r="M1915" s="33" t="s">
        <v>9376</v>
      </c>
      <c r="N1915" s="73"/>
      <c r="O1915" s="73"/>
      <c r="P1915" s="73"/>
      <c r="Q1915" s="73"/>
      <c r="R1915" s="23"/>
      <c r="S1915" s="23"/>
      <c r="T1915" s="73"/>
      <c r="U1915" s="73"/>
      <c r="V1915" s="73"/>
    </row>
    <row r="1916" spans="2:22" x14ac:dyDescent="0.2">
      <c r="B1916" s="166"/>
      <c r="C1916" s="166"/>
      <c r="D1916" s="166"/>
      <c r="E1916" s="166"/>
      <c r="F1916" s="166"/>
      <c r="G1916" s="166"/>
      <c r="H1916" s="166"/>
      <c r="I1916" s="166"/>
      <c r="J1916" s="166"/>
      <c r="K1916" s="166"/>
      <c r="L1916" s="166"/>
      <c r="M1916" s="166"/>
      <c r="N1916" s="166"/>
      <c r="O1916" s="166"/>
      <c r="P1916" s="166"/>
      <c r="Q1916" s="73"/>
      <c r="R1916" s="23"/>
      <c r="S1916" s="23"/>
      <c r="T1916" s="73"/>
      <c r="U1916" s="73"/>
      <c r="V1916" s="73"/>
    </row>
    <row r="1917" spans="2:22" x14ac:dyDescent="0.2">
      <c r="B1917" s="165" t="s">
        <v>10788</v>
      </c>
      <c r="C1917" s="165"/>
      <c r="D1917" s="165"/>
      <c r="E1917" s="165"/>
      <c r="F1917" s="165"/>
      <c r="G1917" s="165"/>
      <c r="H1917" s="165"/>
      <c r="I1917" s="165"/>
      <c r="J1917" s="165"/>
      <c r="K1917" s="165"/>
      <c r="L1917" s="165"/>
      <c r="M1917" s="165"/>
      <c r="N1917" s="165"/>
      <c r="O1917" s="165"/>
      <c r="P1917" s="165"/>
      <c r="Q1917" s="75"/>
      <c r="R1917" s="75"/>
      <c r="S1917" s="75"/>
      <c r="T1917" s="75"/>
      <c r="U1917" s="75"/>
      <c r="V1917" s="75"/>
    </row>
    <row r="1918" spans="2:22" x14ac:dyDescent="0.2">
      <c r="B1918" s="73" t="s">
        <v>10788</v>
      </c>
      <c r="C1918" s="33" t="s">
        <v>1494</v>
      </c>
      <c r="D1918" s="23" t="s">
        <v>1495</v>
      </c>
      <c r="E1918" s="73"/>
      <c r="F1918" s="73"/>
      <c r="G1918" s="73"/>
      <c r="H1918" s="73"/>
      <c r="I1918" s="73"/>
      <c r="J1918" s="33" t="s">
        <v>9374</v>
      </c>
      <c r="K1918" s="33" t="s">
        <v>11016</v>
      </c>
      <c r="L1918" s="33" t="s">
        <v>121</v>
      </c>
      <c r="M1918" s="33" t="s">
        <v>9376</v>
      </c>
      <c r="N1918" s="73"/>
      <c r="O1918" s="73"/>
      <c r="P1918" s="73"/>
      <c r="Q1918" s="76"/>
      <c r="R1918" s="76"/>
      <c r="S1918" s="76"/>
      <c r="T1918" s="76"/>
      <c r="U1918" s="76"/>
      <c r="V1918" s="76"/>
    </row>
    <row r="1919" spans="2:22" x14ac:dyDescent="0.2">
      <c r="B1919" s="166"/>
      <c r="C1919" s="166"/>
      <c r="D1919" s="166"/>
      <c r="E1919" s="166"/>
      <c r="F1919" s="166"/>
      <c r="G1919" s="166"/>
      <c r="H1919" s="166"/>
      <c r="I1919" s="166"/>
      <c r="J1919" s="166"/>
      <c r="K1919" s="166"/>
      <c r="L1919" s="166"/>
      <c r="M1919" s="166"/>
      <c r="N1919" s="166"/>
      <c r="O1919" s="166"/>
      <c r="P1919" s="166"/>
      <c r="Q1919" s="73"/>
      <c r="R1919" s="23"/>
      <c r="S1919" s="23"/>
      <c r="T1919" s="73"/>
      <c r="U1919" s="73"/>
      <c r="V1919" s="73"/>
    </row>
    <row r="1920" spans="2:22" x14ac:dyDescent="0.2">
      <c r="B1920" s="165" t="s">
        <v>10790</v>
      </c>
      <c r="C1920" s="165"/>
      <c r="D1920" s="165"/>
      <c r="E1920" s="165"/>
      <c r="F1920" s="165"/>
      <c r="G1920" s="165"/>
      <c r="H1920" s="165"/>
      <c r="I1920" s="165"/>
      <c r="J1920" s="165"/>
      <c r="K1920" s="165"/>
      <c r="L1920" s="165"/>
      <c r="M1920" s="165"/>
      <c r="N1920" s="165"/>
      <c r="O1920" s="165"/>
      <c r="P1920" s="165"/>
      <c r="Q1920" s="73"/>
      <c r="R1920" s="23"/>
      <c r="S1920" s="23"/>
      <c r="T1920" s="73"/>
      <c r="U1920" s="73"/>
      <c r="V1920" s="73"/>
    </row>
    <row r="1921" spans="2:22" x14ac:dyDescent="0.2">
      <c r="B1921" s="73" t="s">
        <v>10790</v>
      </c>
      <c r="C1921" s="33" t="s">
        <v>1496</v>
      </c>
      <c r="D1921" s="23" t="s">
        <v>1497</v>
      </c>
      <c r="E1921" s="73"/>
      <c r="F1921" s="73"/>
      <c r="G1921" s="73"/>
      <c r="H1921" s="73"/>
      <c r="I1921" s="73"/>
      <c r="J1921" s="33" t="s">
        <v>9374</v>
      </c>
      <c r="K1921" s="33" t="s">
        <v>11016</v>
      </c>
      <c r="L1921" s="33" t="s">
        <v>121</v>
      </c>
      <c r="M1921" s="33" t="s">
        <v>9376</v>
      </c>
      <c r="N1921" s="73"/>
      <c r="O1921" s="73"/>
      <c r="P1921" s="73"/>
      <c r="Q1921" s="73"/>
      <c r="R1921" s="23"/>
      <c r="S1921" s="23"/>
      <c r="T1921" s="73"/>
      <c r="U1921" s="73"/>
      <c r="V1921" s="73"/>
    </row>
    <row r="1922" spans="2:22" x14ac:dyDescent="0.2">
      <c r="B1922" s="166"/>
      <c r="C1922" s="166"/>
      <c r="D1922" s="166"/>
      <c r="E1922" s="166"/>
      <c r="F1922" s="166"/>
      <c r="G1922" s="166"/>
      <c r="H1922" s="166"/>
      <c r="I1922" s="166"/>
      <c r="J1922" s="166"/>
      <c r="K1922" s="166"/>
      <c r="L1922" s="166"/>
      <c r="M1922" s="166"/>
      <c r="N1922" s="166"/>
      <c r="O1922" s="166"/>
      <c r="P1922" s="166"/>
      <c r="Q1922" s="73"/>
      <c r="R1922" s="23"/>
      <c r="S1922" s="23"/>
      <c r="T1922" s="73"/>
      <c r="U1922" s="73"/>
      <c r="V1922" s="73"/>
    </row>
    <row r="1923" spans="2:22" x14ac:dyDescent="0.2">
      <c r="B1923" s="165" t="s">
        <v>10792</v>
      </c>
      <c r="C1923" s="165"/>
      <c r="D1923" s="165"/>
      <c r="E1923" s="165"/>
      <c r="F1923" s="165"/>
      <c r="G1923" s="165"/>
      <c r="H1923" s="165"/>
      <c r="I1923" s="165"/>
      <c r="J1923" s="165"/>
      <c r="K1923" s="165"/>
      <c r="L1923" s="165"/>
      <c r="M1923" s="165"/>
      <c r="N1923" s="165"/>
      <c r="O1923" s="165"/>
      <c r="P1923" s="165"/>
      <c r="Q1923" s="75"/>
      <c r="R1923" s="75"/>
      <c r="S1923" s="75"/>
      <c r="T1923" s="75"/>
      <c r="U1923" s="75"/>
      <c r="V1923" s="75"/>
    </row>
    <row r="1924" spans="2:22" x14ac:dyDescent="0.2">
      <c r="B1924" s="73" t="s">
        <v>10792</v>
      </c>
      <c r="C1924" s="33" t="s">
        <v>1498</v>
      </c>
      <c r="D1924" s="23" t="s">
        <v>1499</v>
      </c>
      <c r="E1924" s="73"/>
      <c r="F1924" s="73"/>
      <c r="G1924" s="73"/>
      <c r="H1924" s="73"/>
      <c r="I1924" s="73"/>
      <c r="J1924" s="33" t="s">
        <v>9374</v>
      </c>
      <c r="K1924" s="33" t="s">
        <v>11016</v>
      </c>
      <c r="L1924" s="33" t="s">
        <v>121</v>
      </c>
      <c r="M1924" s="33" t="s">
        <v>9376</v>
      </c>
      <c r="N1924" s="73"/>
      <c r="O1924" s="73"/>
      <c r="P1924" s="73"/>
      <c r="Q1924" s="76"/>
      <c r="R1924" s="76"/>
      <c r="S1924" s="76"/>
      <c r="T1924" s="76"/>
      <c r="U1924" s="76"/>
      <c r="V1924" s="76"/>
    </row>
    <row r="1925" spans="2:22" x14ac:dyDescent="0.2">
      <c r="B1925" s="166"/>
      <c r="C1925" s="166"/>
      <c r="D1925" s="166"/>
      <c r="E1925" s="166"/>
      <c r="F1925" s="166"/>
      <c r="G1925" s="166"/>
      <c r="H1925" s="166"/>
      <c r="I1925" s="166"/>
      <c r="J1925" s="166"/>
      <c r="K1925" s="166"/>
      <c r="L1925" s="166"/>
      <c r="M1925" s="166"/>
      <c r="N1925" s="166"/>
      <c r="O1925" s="166"/>
      <c r="P1925" s="166"/>
      <c r="Q1925" s="73"/>
      <c r="R1925" s="23"/>
      <c r="S1925" s="23"/>
      <c r="T1925" s="73"/>
      <c r="U1925" s="73"/>
      <c r="V1925" s="73"/>
    </row>
    <row r="1926" spans="2:22" x14ac:dyDescent="0.2">
      <c r="B1926" s="165" t="s">
        <v>10794</v>
      </c>
      <c r="C1926" s="165"/>
      <c r="D1926" s="165"/>
      <c r="E1926" s="165"/>
      <c r="F1926" s="165"/>
      <c r="G1926" s="165"/>
      <c r="H1926" s="165"/>
      <c r="I1926" s="165"/>
      <c r="J1926" s="165"/>
      <c r="K1926" s="165"/>
      <c r="L1926" s="165"/>
      <c r="M1926" s="165"/>
      <c r="N1926" s="165"/>
      <c r="O1926" s="165"/>
      <c r="P1926" s="165"/>
      <c r="Q1926" s="73"/>
      <c r="R1926" s="23"/>
      <c r="S1926" s="23"/>
      <c r="T1926" s="73"/>
      <c r="U1926" s="73"/>
      <c r="V1926" s="73"/>
    </row>
    <row r="1927" spans="2:22" x14ac:dyDescent="0.2">
      <c r="B1927" s="73" t="s">
        <v>10794</v>
      </c>
      <c r="C1927" s="33" t="s">
        <v>1500</v>
      </c>
      <c r="D1927" s="23" t="s">
        <v>1501</v>
      </c>
      <c r="E1927" s="73"/>
      <c r="F1927" s="73"/>
      <c r="G1927" s="73"/>
      <c r="H1927" s="73"/>
      <c r="I1927" s="73"/>
      <c r="J1927" s="33" t="s">
        <v>9374</v>
      </c>
      <c r="K1927" s="33" t="s">
        <v>11016</v>
      </c>
      <c r="L1927" s="33" t="s">
        <v>121</v>
      </c>
      <c r="M1927" s="33" t="s">
        <v>9376</v>
      </c>
      <c r="N1927" s="73"/>
      <c r="O1927" s="73"/>
      <c r="P1927" s="73"/>
      <c r="Q1927" s="75"/>
      <c r="R1927" s="75"/>
      <c r="S1927" s="75"/>
      <c r="T1927" s="75"/>
      <c r="U1927" s="75"/>
      <c r="V1927" s="75"/>
    </row>
    <row r="1928" spans="2:22" x14ac:dyDescent="0.2">
      <c r="B1928" s="166"/>
      <c r="C1928" s="166"/>
      <c r="D1928" s="166"/>
      <c r="E1928" s="166"/>
      <c r="F1928" s="166"/>
      <c r="G1928" s="166"/>
      <c r="H1928" s="166"/>
      <c r="I1928" s="166"/>
      <c r="J1928" s="166"/>
      <c r="K1928" s="166"/>
      <c r="L1928" s="166"/>
      <c r="M1928" s="166"/>
      <c r="N1928" s="166"/>
      <c r="O1928" s="166"/>
      <c r="P1928" s="166"/>
      <c r="Q1928" s="76"/>
      <c r="R1928" s="76"/>
      <c r="S1928" s="76"/>
      <c r="T1928" s="76"/>
      <c r="U1928" s="76"/>
      <c r="V1928" s="76"/>
    </row>
    <row r="1929" spans="2:22" x14ac:dyDescent="0.2">
      <c r="B1929" s="165" t="s">
        <v>10796</v>
      </c>
      <c r="C1929" s="165"/>
      <c r="D1929" s="165"/>
      <c r="E1929" s="165"/>
      <c r="F1929" s="165"/>
      <c r="G1929" s="165"/>
      <c r="H1929" s="165"/>
      <c r="I1929" s="165"/>
      <c r="J1929" s="165"/>
      <c r="K1929" s="165"/>
      <c r="L1929" s="165"/>
      <c r="M1929" s="165"/>
      <c r="N1929" s="165"/>
      <c r="O1929" s="165"/>
      <c r="P1929" s="165"/>
      <c r="Q1929" s="73"/>
      <c r="R1929" s="23"/>
      <c r="S1929" s="23"/>
      <c r="T1929" s="73"/>
      <c r="U1929" s="73"/>
      <c r="V1929" s="73"/>
    </row>
    <row r="1930" spans="2:22" x14ac:dyDescent="0.2">
      <c r="B1930" s="73" t="s">
        <v>10796</v>
      </c>
      <c r="C1930" s="33" t="s">
        <v>1502</v>
      </c>
      <c r="D1930" s="23" t="s">
        <v>1503</v>
      </c>
      <c r="E1930" s="73"/>
      <c r="F1930" s="73"/>
      <c r="G1930" s="73"/>
      <c r="H1930" s="73"/>
      <c r="I1930" s="73"/>
      <c r="J1930" s="33" t="s">
        <v>9374</v>
      </c>
      <c r="K1930" s="33" t="s">
        <v>11016</v>
      </c>
      <c r="L1930" s="33" t="s">
        <v>121</v>
      </c>
      <c r="M1930" s="33" t="s">
        <v>9376</v>
      </c>
      <c r="N1930" s="73"/>
      <c r="O1930" s="73"/>
      <c r="P1930" s="73"/>
      <c r="Q1930" s="73"/>
      <c r="R1930" s="23"/>
      <c r="S1930" s="23"/>
      <c r="T1930" s="73"/>
      <c r="U1930" s="73"/>
      <c r="V1930" s="73"/>
    </row>
    <row r="1931" spans="2:22" x14ac:dyDescent="0.2">
      <c r="B1931" s="166"/>
      <c r="C1931" s="166"/>
      <c r="D1931" s="166"/>
      <c r="E1931" s="166"/>
      <c r="F1931" s="166"/>
      <c r="G1931" s="166"/>
      <c r="H1931" s="166"/>
      <c r="I1931" s="166"/>
      <c r="J1931" s="166"/>
      <c r="K1931" s="166"/>
      <c r="L1931" s="166"/>
      <c r="M1931" s="166"/>
      <c r="N1931" s="166"/>
      <c r="O1931" s="166"/>
      <c r="P1931" s="166"/>
      <c r="Q1931" s="75"/>
      <c r="R1931" s="75"/>
      <c r="S1931" s="75"/>
      <c r="T1931" s="75"/>
      <c r="U1931" s="75"/>
      <c r="V1931" s="75"/>
    </row>
    <row r="1932" spans="2:22" x14ac:dyDescent="0.2">
      <c r="B1932" s="165" t="s">
        <v>10798</v>
      </c>
      <c r="C1932" s="165"/>
      <c r="D1932" s="165"/>
      <c r="E1932" s="165"/>
      <c r="F1932" s="165"/>
      <c r="G1932" s="165"/>
      <c r="H1932" s="165"/>
      <c r="I1932" s="165"/>
      <c r="J1932" s="165"/>
      <c r="K1932" s="165"/>
      <c r="L1932" s="165"/>
      <c r="M1932" s="165"/>
      <c r="N1932" s="165"/>
      <c r="O1932" s="165"/>
      <c r="P1932" s="165"/>
      <c r="Q1932" s="76"/>
      <c r="R1932" s="76"/>
      <c r="S1932" s="76"/>
      <c r="T1932" s="76"/>
      <c r="U1932" s="76"/>
      <c r="V1932" s="76"/>
    </row>
    <row r="1933" spans="2:22" x14ac:dyDescent="0.2">
      <c r="B1933" s="73" t="s">
        <v>10798</v>
      </c>
      <c r="C1933" s="33" t="s">
        <v>1504</v>
      </c>
      <c r="D1933" s="23" t="s">
        <v>1505</v>
      </c>
      <c r="E1933" s="73"/>
      <c r="F1933" s="73"/>
      <c r="G1933" s="73"/>
      <c r="H1933" s="73"/>
      <c r="I1933" s="73"/>
      <c r="J1933" s="33" t="s">
        <v>9374</v>
      </c>
      <c r="K1933" s="33" t="s">
        <v>9375</v>
      </c>
      <c r="L1933" s="33" t="s">
        <v>121</v>
      </c>
      <c r="M1933" s="33" t="s">
        <v>9376</v>
      </c>
      <c r="N1933" s="73"/>
      <c r="O1933" s="73"/>
      <c r="P1933" s="73"/>
      <c r="Q1933" s="73"/>
      <c r="R1933" s="23"/>
      <c r="S1933" s="23"/>
      <c r="T1933" s="73"/>
      <c r="U1933" s="73"/>
      <c r="V1933" s="73"/>
    </row>
    <row r="1934" spans="2:22" x14ac:dyDescent="0.2">
      <c r="B1934" s="73" t="s">
        <v>10798</v>
      </c>
      <c r="C1934" s="33" t="s">
        <v>2145</v>
      </c>
      <c r="D1934" s="23" t="s">
        <v>2146</v>
      </c>
      <c r="E1934" s="73" t="s">
        <v>11271</v>
      </c>
      <c r="F1934" s="73" t="s">
        <v>10902</v>
      </c>
      <c r="G1934" s="73"/>
      <c r="H1934" s="73" t="s">
        <v>10917</v>
      </c>
      <c r="I1934" s="73"/>
      <c r="J1934" s="33" t="s">
        <v>9374</v>
      </c>
      <c r="K1934" s="33" t="s">
        <v>9375</v>
      </c>
      <c r="L1934" s="33" t="s">
        <v>121</v>
      </c>
      <c r="M1934" s="33" t="s">
        <v>9376</v>
      </c>
      <c r="N1934" s="73"/>
      <c r="O1934" s="73"/>
      <c r="P1934" s="73"/>
      <c r="Q1934" s="73"/>
      <c r="R1934" s="23"/>
      <c r="S1934" s="23"/>
      <c r="T1934" s="73"/>
      <c r="U1934" s="73"/>
      <c r="V1934" s="73"/>
    </row>
    <row r="1935" spans="2:22" x14ac:dyDescent="0.2">
      <c r="B1935" s="166"/>
      <c r="C1935" s="166"/>
      <c r="D1935" s="166"/>
      <c r="E1935" s="166"/>
      <c r="F1935" s="166"/>
      <c r="G1935" s="166"/>
      <c r="H1935" s="166"/>
      <c r="I1935" s="166"/>
      <c r="J1935" s="166"/>
      <c r="K1935" s="166"/>
      <c r="L1935" s="166"/>
      <c r="M1935" s="166"/>
      <c r="N1935" s="166"/>
      <c r="O1935" s="166"/>
      <c r="P1935" s="166"/>
      <c r="Q1935" s="75"/>
      <c r="R1935" s="75"/>
      <c r="S1935" s="75"/>
      <c r="T1935" s="75"/>
      <c r="U1935" s="75"/>
      <c r="V1935" s="75"/>
    </row>
    <row r="1936" spans="2:22" x14ac:dyDescent="0.2">
      <c r="B1936" s="165" t="s">
        <v>10803</v>
      </c>
      <c r="C1936" s="165"/>
      <c r="D1936" s="165"/>
      <c r="E1936" s="165"/>
      <c r="F1936" s="165"/>
      <c r="G1936" s="165"/>
      <c r="H1936" s="165"/>
      <c r="I1936" s="165"/>
      <c r="J1936" s="165"/>
      <c r="K1936" s="165"/>
      <c r="L1936" s="165"/>
      <c r="M1936" s="165"/>
      <c r="N1936" s="165"/>
      <c r="O1936" s="165"/>
      <c r="P1936" s="165"/>
      <c r="Q1936" s="76"/>
      <c r="R1936" s="76"/>
      <c r="S1936" s="76"/>
      <c r="T1936" s="76"/>
      <c r="U1936" s="76"/>
      <c r="V1936" s="76"/>
    </row>
    <row r="1937" spans="2:22" x14ac:dyDescent="0.2">
      <c r="B1937" s="73" t="s">
        <v>10803</v>
      </c>
      <c r="C1937" s="33" t="s">
        <v>1506</v>
      </c>
      <c r="D1937" s="23" t="s">
        <v>1507</v>
      </c>
      <c r="E1937" s="73"/>
      <c r="F1937" s="73"/>
      <c r="G1937" s="73"/>
      <c r="H1937" s="73"/>
      <c r="I1937" s="73"/>
      <c r="J1937" s="33" t="s">
        <v>9374</v>
      </c>
      <c r="K1937" s="33" t="s">
        <v>9375</v>
      </c>
      <c r="L1937" s="33" t="s">
        <v>121</v>
      </c>
      <c r="M1937" s="33" t="s">
        <v>9376</v>
      </c>
      <c r="N1937" s="73"/>
      <c r="O1937" s="73"/>
      <c r="P1937" s="73"/>
      <c r="Q1937" s="73"/>
      <c r="R1937" s="23"/>
      <c r="S1937" s="23"/>
      <c r="T1937" s="73"/>
      <c r="U1937" s="73"/>
      <c r="V1937" s="73"/>
    </row>
    <row r="1938" spans="2:22" x14ac:dyDescent="0.2">
      <c r="B1938" s="166"/>
      <c r="C1938" s="166"/>
      <c r="D1938" s="166"/>
      <c r="E1938" s="166"/>
      <c r="F1938" s="166"/>
      <c r="G1938" s="166"/>
      <c r="H1938" s="166"/>
      <c r="I1938" s="166"/>
      <c r="J1938" s="166"/>
      <c r="K1938" s="166"/>
      <c r="L1938" s="166"/>
      <c r="M1938" s="166"/>
      <c r="N1938" s="166"/>
      <c r="O1938" s="166"/>
      <c r="P1938" s="166"/>
      <c r="Q1938" s="73"/>
      <c r="R1938" s="23"/>
      <c r="S1938" s="23"/>
      <c r="T1938" s="73"/>
      <c r="U1938" s="73"/>
      <c r="V1938" s="73"/>
    </row>
    <row r="1939" spans="2:22" x14ac:dyDescent="0.2">
      <c r="B1939" s="165" t="s">
        <v>10805</v>
      </c>
      <c r="C1939" s="165"/>
      <c r="D1939" s="165"/>
      <c r="E1939" s="165"/>
      <c r="F1939" s="165"/>
      <c r="G1939" s="165"/>
      <c r="H1939" s="165"/>
      <c r="I1939" s="165"/>
      <c r="J1939" s="165"/>
      <c r="K1939" s="165"/>
      <c r="L1939" s="165"/>
      <c r="M1939" s="165"/>
      <c r="N1939" s="165"/>
      <c r="O1939" s="165"/>
      <c r="P1939" s="165"/>
      <c r="Q1939" s="73"/>
      <c r="R1939" s="23"/>
      <c r="S1939" s="23"/>
      <c r="T1939" s="73"/>
      <c r="U1939" s="73"/>
      <c r="V1939" s="73"/>
    </row>
    <row r="1940" spans="2:22" x14ac:dyDescent="0.2">
      <c r="B1940" s="73" t="s">
        <v>10805</v>
      </c>
      <c r="C1940" s="33" t="s">
        <v>1508</v>
      </c>
      <c r="D1940" s="23" t="s">
        <v>1509</v>
      </c>
      <c r="E1940" s="73"/>
      <c r="F1940" s="73"/>
      <c r="G1940" s="73"/>
      <c r="H1940" s="73"/>
      <c r="I1940" s="73"/>
      <c r="J1940" s="33" t="s">
        <v>9374</v>
      </c>
      <c r="K1940" s="33" t="s">
        <v>9375</v>
      </c>
      <c r="L1940" s="33" t="s">
        <v>121</v>
      </c>
      <c r="M1940" s="33" t="s">
        <v>9376</v>
      </c>
      <c r="N1940" s="73"/>
      <c r="O1940" s="73"/>
      <c r="P1940" s="73"/>
      <c r="Q1940" s="75"/>
      <c r="R1940" s="75"/>
      <c r="S1940" s="75"/>
      <c r="T1940" s="75"/>
      <c r="U1940" s="75"/>
      <c r="V1940" s="75"/>
    </row>
    <row r="1941" spans="2:22" x14ac:dyDescent="0.2">
      <c r="B1941" s="166"/>
      <c r="C1941" s="166"/>
      <c r="D1941" s="166"/>
      <c r="E1941" s="166"/>
      <c r="F1941" s="166"/>
      <c r="G1941" s="166"/>
      <c r="H1941" s="166"/>
      <c r="I1941" s="166"/>
      <c r="J1941" s="166"/>
      <c r="K1941" s="166"/>
      <c r="L1941" s="166"/>
      <c r="M1941" s="166"/>
      <c r="N1941" s="166"/>
      <c r="O1941" s="166"/>
      <c r="P1941" s="166"/>
      <c r="Q1941" s="76"/>
      <c r="R1941" s="76"/>
      <c r="S1941" s="76"/>
      <c r="T1941" s="76"/>
      <c r="U1941" s="76"/>
      <c r="V1941" s="76"/>
    </row>
    <row r="1942" spans="2:22" x14ac:dyDescent="0.2">
      <c r="B1942" s="165" t="s">
        <v>10810</v>
      </c>
      <c r="C1942" s="165"/>
      <c r="D1942" s="165"/>
      <c r="E1942" s="165"/>
      <c r="F1942" s="165"/>
      <c r="G1942" s="165"/>
      <c r="H1942" s="165"/>
      <c r="I1942" s="165"/>
      <c r="J1942" s="165"/>
      <c r="K1942" s="165"/>
      <c r="L1942" s="165"/>
      <c r="M1942" s="165"/>
      <c r="N1942" s="165"/>
      <c r="O1942" s="165"/>
      <c r="P1942" s="165"/>
      <c r="Q1942" s="73"/>
      <c r="R1942" s="23"/>
      <c r="S1942" s="23"/>
      <c r="T1942" s="73"/>
      <c r="U1942" s="73"/>
      <c r="V1942" s="73"/>
    </row>
    <row r="1943" spans="2:22" x14ac:dyDescent="0.2">
      <c r="B1943" s="73" t="s">
        <v>10810</v>
      </c>
      <c r="C1943" s="33" t="s">
        <v>1510</v>
      </c>
      <c r="D1943" s="23" t="s">
        <v>1511</v>
      </c>
      <c r="E1943" s="73"/>
      <c r="F1943" s="73"/>
      <c r="G1943" s="73"/>
      <c r="H1943" s="73"/>
      <c r="I1943" s="73"/>
      <c r="J1943" s="33" t="s">
        <v>9374</v>
      </c>
      <c r="K1943" s="33" t="s">
        <v>9375</v>
      </c>
      <c r="L1943" s="33" t="s">
        <v>121</v>
      </c>
      <c r="M1943" s="33" t="s">
        <v>9376</v>
      </c>
      <c r="N1943" s="73"/>
      <c r="O1943" s="73"/>
      <c r="P1943" s="73"/>
      <c r="Q1943" s="73"/>
      <c r="R1943" s="23"/>
      <c r="S1943" s="23"/>
      <c r="T1943" s="73"/>
      <c r="U1943" s="73"/>
      <c r="V1943" s="73"/>
    </row>
    <row r="1944" spans="2:22" x14ac:dyDescent="0.2">
      <c r="B1944" s="166"/>
      <c r="C1944" s="166"/>
      <c r="D1944" s="166"/>
      <c r="E1944" s="166"/>
      <c r="F1944" s="166"/>
      <c r="G1944" s="166"/>
      <c r="H1944" s="166"/>
      <c r="I1944" s="166"/>
      <c r="J1944" s="166"/>
      <c r="K1944" s="166"/>
      <c r="L1944" s="166"/>
      <c r="M1944" s="166"/>
      <c r="N1944" s="166"/>
      <c r="O1944" s="166"/>
      <c r="P1944" s="166"/>
      <c r="Q1944" s="75"/>
      <c r="R1944" s="75"/>
      <c r="S1944" s="75"/>
      <c r="T1944" s="75"/>
      <c r="U1944" s="75"/>
      <c r="V1944" s="75"/>
    </row>
    <row r="1945" spans="2:22" x14ac:dyDescent="0.2">
      <c r="B1945" s="165" t="s">
        <v>10812</v>
      </c>
      <c r="C1945" s="165"/>
      <c r="D1945" s="165"/>
      <c r="E1945" s="165"/>
      <c r="F1945" s="165"/>
      <c r="G1945" s="165"/>
      <c r="H1945" s="165"/>
      <c r="I1945" s="165"/>
      <c r="J1945" s="165"/>
      <c r="K1945" s="165"/>
      <c r="L1945" s="165"/>
      <c r="M1945" s="165"/>
      <c r="N1945" s="165"/>
      <c r="O1945" s="165"/>
      <c r="P1945" s="165"/>
      <c r="Q1945" s="76"/>
      <c r="R1945" s="76"/>
      <c r="S1945" s="76"/>
      <c r="T1945" s="76"/>
      <c r="U1945" s="76"/>
      <c r="V1945" s="76"/>
    </row>
    <row r="1946" spans="2:22" x14ac:dyDescent="0.2">
      <c r="B1946" s="73" t="s">
        <v>10812</v>
      </c>
      <c r="C1946" s="33" t="s">
        <v>1512</v>
      </c>
      <c r="D1946" s="23" t="s">
        <v>1513</v>
      </c>
      <c r="E1946" s="73"/>
      <c r="F1946" s="73"/>
      <c r="G1946" s="73"/>
      <c r="H1946" s="73"/>
      <c r="I1946" s="73"/>
      <c r="J1946" s="33" t="s">
        <v>9374</v>
      </c>
      <c r="K1946" s="33" t="s">
        <v>9375</v>
      </c>
      <c r="L1946" s="33" t="s">
        <v>121</v>
      </c>
      <c r="M1946" s="33" t="s">
        <v>9376</v>
      </c>
      <c r="N1946" s="73"/>
      <c r="O1946" s="73"/>
      <c r="P1946" s="73"/>
      <c r="Q1946" s="73"/>
      <c r="R1946" s="23"/>
      <c r="S1946" s="23"/>
      <c r="T1946" s="73"/>
      <c r="U1946" s="73"/>
      <c r="V1946" s="73"/>
    </row>
    <row r="1947" spans="2:22" x14ac:dyDescent="0.2">
      <c r="B1947" s="166"/>
      <c r="C1947" s="166"/>
      <c r="D1947" s="166"/>
      <c r="E1947" s="166"/>
      <c r="F1947" s="166"/>
      <c r="G1947" s="166"/>
      <c r="H1947" s="166"/>
      <c r="I1947" s="166"/>
      <c r="J1947" s="166"/>
      <c r="K1947" s="166"/>
      <c r="L1947" s="166"/>
      <c r="M1947" s="166"/>
      <c r="N1947" s="166"/>
      <c r="O1947" s="166"/>
      <c r="P1947" s="166"/>
      <c r="Q1947" s="73"/>
      <c r="R1947" s="23"/>
      <c r="S1947" s="23"/>
      <c r="T1947" s="73"/>
      <c r="U1947" s="73"/>
      <c r="V1947" s="73"/>
    </row>
    <row r="1948" spans="2:22" x14ac:dyDescent="0.2">
      <c r="B1948" s="165" t="s">
        <v>10815</v>
      </c>
      <c r="C1948" s="165"/>
      <c r="D1948" s="165"/>
      <c r="E1948" s="165"/>
      <c r="F1948" s="165"/>
      <c r="G1948" s="165"/>
      <c r="H1948" s="165"/>
      <c r="I1948" s="165"/>
      <c r="J1948" s="165"/>
      <c r="K1948" s="165"/>
      <c r="L1948" s="165"/>
      <c r="M1948" s="165"/>
      <c r="N1948" s="165"/>
      <c r="O1948" s="165"/>
      <c r="P1948" s="165"/>
      <c r="Q1948" s="73"/>
      <c r="R1948" s="23"/>
      <c r="S1948" s="23"/>
      <c r="T1948" s="73"/>
      <c r="U1948" s="73"/>
      <c r="V1948" s="73"/>
    </row>
    <row r="1949" spans="2:22" x14ac:dyDescent="0.2">
      <c r="B1949" s="73" t="s">
        <v>10815</v>
      </c>
      <c r="C1949" s="33" t="s">
        <v>1514</v>
      </c>
      <c r="D1949" s="23" t="s">
        <v>1515</v>
      </c>
      <c r="E1949" s="73"/>
      <c r="F1949" s="73"/>
      <c r="G1949" s="73"/>
      <c r="H1949" s="73"/>
      <c r="I1949" s="73"/>
      <c r="J1949" s="33" t="s">
        <v>9374</v>
      </c>
      <c r="K1949" s="33" t="s">
        <v>11016</v>
      </c>
      <c r="L1949" s="33" t="s">
        <v>121</v>
      </c>
      <c r="M1949" s="33" t="s">
        <v>9376</v>
      </c>
      <c r="N1949" s="73"/>
      <c r="O1949" s="73"/>
      <c r="P1949" s="73"/>
      <c r="Q1949" s="73"/>
      <c r="R1949" s="23"/>
      <c r="S1949" s="23"/>
      <c r="T1949" s="73"/>
      <c r="U1949" s="73"/>
      <c r="V1949" s="73"/>
    </row>
    <row r="1950" spans="2:22" x14ac:dyDescent="0.2">
      <c r="B1950" s="166"/>
      <c r="C1950" s="166"/>
      <c r="D1950" s="166"/>
      <c r="E1950" s="166"/>
      <c r="F1950" s="166"/>
      <c r="G1950" s="166"/>
      <c r="H1950" s="166"/>
      <c r="I1950" s="166"/>
      <c r="J1950" s="166"/>
      <c r="K1950" s="166"/>
      <c r="L1950" s="166"/>
      <c r="M1950" s="166"/>
      <c r="N1950" s="166"/>
      <c r="O1950" s="166"/>
      <c r="P1950" s="166"/>
      <c r="Q1950" s="73"/>
      <c r="R1950" s="23"/>
      <c r="S1950" s="23"/>
      <c r="T1950" s="73"/>
      <c r="U1950" s="73"/>
      <c r="V1950" s="73"/>
    </row>
    <row r="1951" spans="2:22" x14ac:dyDescent="0.2">
      <c r="B1951" s="165" t="s">
        <v>10817</v>
      </c>
      <c r="C1951" s="165"/>
      <c r="D1951" s="165"/>
      <c r="E1951" s="165"/>
      <c r="F1951" s="165"/>
      <c r="G1951" s="165"/>
      <c r="H1951" s="165"/>
      <c r="I1951" s="165"/>
      <c r="J1951" s="165"/>
      <c r="K1951" s="165"/>
      <c r="L1951" s="165"/>
      <c r="M1951" s="165"/>
      <c r="N1951" s="165"/>
      <c r="O1951" s="165"/>
      <c r="P1951" s="165"/>
      <c r="Q1951" s="73"/>
      <c r="R1951" s="23"/>
      <c r="S1951" s="23"/>
      <c r="T1951" s="73"/>
      <c r="U1951" s="73"/>
      <c r="V1951" s="73"/>
    </row>
    <row r="1952" spans="2:22" x14ac:dyDescent="0.2">
      <c r="B1952" s="73" t="s">
        <v>10817</v>
      </c>
      <c r="C1952" s="33" t="s">
        <v>1516</v>
      </c>
      <c r="D1952" s="23" t="s">
        <v>1517</v>
      </c>
      <c r="E1952" s="73"/>
      <c r="F1952" s="73"/>
      <c r="G1952" s="73"/>
      <c r="H1952" s="73"/>
      <c r="I1952" s="73"/>
      <c r="J1952" s="33" t="s">
        <v>9374</v>
      </c>
      <c r="K1952" s="33" t="s">
        <v>9375</v>
      </c>
      <c r="L1952" s="33" t="s">
        <v>121</v>
      </c>
      <c r="M1952" s="33" t="s">
        <v>9376</v>
      </c>
      <c r="N1952" s="73"/>
      <c r="O1952" s="73"/>
      <c r="P1952" s="73"/>
      <c r="Q1952" s="75"/>
      <c r="R1952" s="75"/>
      <c r="S1952" s="75"/>
      <c r="T1952" s="75"/>
      <c r="U1952" s="75"/>
      <c r="V1952" s="75"/>
    </row>
    <row r="1953" spans="2:22" x14ac:dyDescent="0.2">
      <c r="B1953" s="166"/>
      <c r="C1953" s="166"/>
      <c r="D1953" s="166"/>
      <c r="E1953" s="166"/>
      <c r="F1953" s="166"/>
      <c r="G1953" s="166"/>
      <c r="H1953" s="166"/>
      <c r="I1953" s="166"/>
      <c r="J1953" s="166"/>
      <c r="K1953" s="166"/>
      <c r="L1953" s="166"/>
      <c r="M1953" s="166"/>
      <c r="N1953" s="166"/>
      <c r="O1953" s="166"/>
      <c r="P1953" s="166"/>
      <c r="Q1953" s="76"/>
      <c r="R1953" s="76"/>
      <c r="S1953" s="76"/>
      <c r="T1953" s="76"/>
      <c r="U1953" s="76"/>
      <c r="V1953" s="76"/>
    </row>
    <row r="1954" spans="2:22" x14ac:dyDescent="0.2">
      <c r="B1954" s="165" t="s">
        <v>10820</v>
      </c>
      <c r="C1954" s="165"/>
      <c r="D1954" s="165"/>
      <c r="E1954" s="165"/>
      <c r="F1954" s="165"/>
      <c r="G1954" s="165"/>
      <c r="H1954" s="165"/>
      <c r="I1954" s="165"/>
      <c r="J1954" s="165"/>
      <c r="K1954" s="165"/>
      <c r="L1954" s="165"/>
      <c r="M1954" s="165"/>
      <c r="N1954" s="165"/>
      <c r="O1954" s="165"/>
      <c r="P1954" s="165"/>
      <c r="Q1954" s="73"/>
      <c r="R1954" s="23"/>
      <c r="S1954" s="23"/>
      <c r="T1954" s="73"/>
      <c r="U1954" s="73"/>
      <c r="V1954" s="73"/>
    </row>
    <row r="1955" spans="2:22" x14ac:dyDescent="0.2">
      <c r="B1955" s="73" t="s">
        <v>10820</v>
      </c>
      <c r="C1955" s="33" t="s">
        <v>1518</v>
      </c>
      <c r="D1955" s="23" t="s">
        <v>1519</v>
      </c>
      <c r="E1955" s="73"/>
      <c r="F1955" s="73"/>
      <c r="G1955" s="73"/>
      <c r="H1955" s="73"/>
      <c r="I1955" s="73"/>
      <c r="J1955" s="33" t="s">
        <v>9374</v>
      </c>
      <c r="K1955" s="33" t="s">
        <v>11016</v>
      </c>
      <c r="L1955" s="33" t="s">
        <v>121</v>
      </c>
      <c r="M1955" s="33" t="s">
        <v>9376</v>
      </c>
      <c r="N1955" s="73"/>
      <c r="O1955" s="73"/>
      <c r="P1955" s="73"/>
      <c r="Q1955" s="73"/>
      <c r="R1955" s="23"/>
      <c r="S1955" s="23"/>
      <c r="T1955" s="73"/>
      <c r="U1955" s="73"/>
      <c r="V1955" s="73"/>
    </row>
    <row r="1956" spans="2:22" x14ac:dyDescent="0.2">
      <c r="B1956" s="166"/>
      <c r="C1956" s="166"/>
      <c r="D1956" s="166"/>
      <c r="E1956" s="166"/>
      <c r="F1956" s="166"/>
      <c r="G1956" s="166"/>
      <c r="H1956" s="166"/>
      <c r="I1956" s="166"/>
      <c r="J1956" s="166"/>
      <c r="K1956" s="166"/>
      <c r="L1956" s="166"/>
      <c r="M1956" s="166"/>
      <c r="N1956" s="166"/>
      <c r="O1956" s="166"/>
      <c r="P1956" s="166"/>
      <c r="Q1956" s="75"/>
      <c r="R1956" s="75"/>
      <c r="S1956" s="75"/>
      <c r="T1956" s="75"/>
      <c r="U1956" s="75"/>
      <c r="V1956" s="75"/>
    </row>
    <row r="1957" spans="2:22" x14ac:dyDescent="0.2">
      <c r="B1957" s="165" t="s">
        <v>10822</v>
      </c>
      <c r="C1957" s="165"/>
      <c r="D1957" s="165"/>
      <c r="E1957" s="165"/>
      <c r="F1957" s="165"/>
      <c r="G1957" s="165"/>
      <c r="H1957" s="165"/>
      <c r="I1957" s="165"/>
      <c r="J1957" s="165"/>
      <c r="K1957" s="165"/>
      <c r="L1957" s="165"/>
      <c r="M1957" s="165"/>
      <c r="N1957" s="165"/>
      <c r="O1957" s="165"/>
      <c r="P1957" s="165"/>
      <c r="Q1957" s="76"/>
      <c r="R1957" s="76"/>
      <c r="S1957" s="76"/>
      <c r="T1957" s="76"/>
      <c r="U1957" s="76"/>
      <c r="V1957" s="76"/>
    </row>
    <row r="1958" spans="2:22" x14ac:dyDescent="0.2">
      <c r="B1958" s="73" t="s">
        <v>10822</v>
      </c>
      <c r="C1958" s="33" t="s">
        <v>1520</v>
      </c>
      <c r="D1958" s="23" t="s">
        <v>1521</v>
      </c>
      <c r="E1958" s="73"/>
      <c r="F1958" s="73"/>
      <c r="G1958" s="73"/>
      <c r="H1958" s="73"/>
      <c r="I1958" s="73"/>
      <c r="J1958" s="33" t="s">
        <v>9374</v>
      </c>
      <c r="K1958" s="33" t="s">
        <v>11016</v>
      </c>
      <c r="L1958" s="33" t="s">
        <v>121</v>
      </c>
      <c r="M1958" s="33" t="s">
        <v>9376</v>
      </c>
      <c r="N1958" s="73"/>
      <c r="O1958" s="73"/>
      <c r="P1958" s="73"/>
      <c r="Q1958" s="73"/>
      <c r="R1958" s="23"/>
      <c r="S1958" s="23"/>
      <c r="T1958" s="73"/>
      <c r="U1958" s="73"/>
      <c r="V1958" s="73"/>
    </row>
    <row r="1959" spans="2:22" x14ac:dyDescent="0.2">
      <c r="B1959" s="166"/>
      <c r="C1959" s="166"/>
      <c r="D1959" s="166"/>
      <c r="E1959" s="166"/>
      <c r="F1959" s="166"/>
      <c r="G1959" s="166"/>
      <c r="H1959" s="166"/>
      <c r="I1959" s="166"/>
      <c r="J1959" s="166"/>
      <c r="K1959" s="166"/>
      <c r="L1959" s="166"/>
      <c r="M1959" s="166"/>
      <c r="N1959" s="166"/>
      <c r="O1959" s="166"/>
      <c r="P1959" s="166"/>
      <c r="Q1959" s="73"/>
      <c r="R1959" s="23"/>
      <c r="S1959" s="23"/>
      <c r="T1959" s="73"/>
      <c r="U1959" s="73"/>
      <c r="V1959" s="73"/>
    </row>
    <row r="1960" spans="2:22" x14ac:dyDescent="0.2">
      <c r="B1960" s="165" t="s">
        <v>10824</v>
      </c>
      <c r="C1960" s="165"/>
      <c r="D1960" s="165"/>
      <c r="E1960" s="165"/>
      <c r="F1960" s="165"/>
      <c r="G1960" s="165"/>
      <c r="H1960" s="165"/>
      <c r="I1960" s="165"/>
      <c r="J1960" s="165"/>
      <c r="K1960" s="165"/>
      <c r="L1960" s="165"/>
      <c r="M1960" s="165"/>
      <c r="N1960" s="165"/>
      <c r="O1960" s="165"/>
      <c r="P1960" s="165"/>
      <c r="Q1960" s="75"/>
      <c r="R1960" s="75"/>
      <c r="S1960" s="75"/>
      <c r="T1960" s="75"/>
      <c r="U1960" s="75"/>
      <c r="V1960" s="75"/>
    </row>
    <row r="1961" spans="2:22" x14ac:dyDescent="0.2">
      <c r="B1961" s="73" t="s">
        <v>10824</v>
      </c>
      <c r="C1961" s="33" t="s">
        <v>1522</v>
      </c>
      <c r="D1961" s="23" t="s">
        <v>1523</v>
      </c>
      <c r="E1961" s="73"/>
      <c r="F1961" s="73"/>
      <c r="G1961" s="73"/>
      <c r="H1961" s="73"/>
      <c r="I1961" s="73"/>
      <c r="J1961" s="33" t="s">
        <v>9374</v>
      </c>
      <c r="K1961" s="33" t="s">
        <v>11016</v>
      </c>
      <c r="L1961" s="33" t="s">
        <v>121</v>
      </c>
      <c r="M1961" s="33" t="s">
        <v>9376</v>
      </c>
      <c r="N1961" s="73"/>
      <c r="O1961" s="73"/>
      <c r="P1961" s="73"/>
      <c r="Q1961" s="76"/>
      <c r="R1961" s="76"/>
      <c r="S1961" s="76"/>
      <c r="T1961" s="76"/>
      <c r="U1961" s="76"/>
      <c r="V1961" s="76"/>
    </row>
    <row r="1962" spans="2:22" x14ac:dyDescent="0.2">
      <c r="B1962" s="166"/>
      <c r="C1962" s="166"/>
      <c r="D1962" s="166"/>
      <c r="E1962" s="166"/>
      <c r="F1962" s="166"/>
      <c r="G1962" s="166"/>
      <c r="H1962" s="166"/>
      <c r="I1962" s="166"/>
      <c r="J1962" s="166"/>
      <c r="K1962" s="166"/>
      <c r="L1962" s="166"/>
      <c r="M1962" s="166"/>
      <c r="N1962" s="166"/>
      <c r="O1962" s="166"/>
      <c r="P1962" s="166"/>
      <c r="Q1962" s="73"/>
      <c r="R1962" s="23"/>
      <c r="S1962" s="23"/>
      <c r="T1962" s="73"/>
      <c r="U1962" s="73"/>
      <c r="V1962" s="73"/>
    </row>
    <row r="1963" spans="2:22" x14ac:dyDescent="0.2">
      <c r="B1963" s="165" t="s">
        <v>10826</v>
      </c>
      <c r="C1963" s="165"/>
      <c r="D1963" s="165"/>
      <c r="E1963" s="165"/>
      <c r="F1963" s="165"/>
      <c r="G1963" s="165"/>
      <c r="H1963" s="165"/>
      <c r="I1963" s="165"/>
      <c r="J1963" s="165"/>
      <c r="K1963" s="165"/>
      <c r="L1963" s="165"/>
      <c r="M1963" s="165"/>
      <c r="N1963" s="165"/>
      <c r="O1963" s="165"/>
      <c r="P1963" s="165"/>
      <c r="Q1963" s="75"/>
      <c r="R1963" s="75"/>
      <c r="S1963" s="75"/>
      <c r="T1963" s="75"/>
      <c r="U1963" s="75"/>
      <c r="V1963" s="75"/>
    </row>
    <row r="1964" spans="2:22" x14ac:dyDescent="0.2">
      <c r="B1964" s="73" t="s">
        <v>10826</v>
      </c>
      <c r="C1964" s="33" t="s">
        <v>1524</v>
      </c>
      <c r="D1964" s="23" t="s">
        <v>1525</v>
      </c>
      <c r="E1964" s="73"/>
      <c r="F1964" s="73"/>
      <c r="G1964" s="73"/>
      <c r="H1964" s="73"/>
      <c r="I1964" s="73"/>
      <c r="J1964" s="33" t="s">
        <v>9374</v>
      </c>
      <c r="K1964" s="33" t="s">
        <v>11016</v>
      </c>
      <c r="L1964" s="33" t="s">
        <v>121</v>
      </c>
      <c r="M1964" s="33" t="s">
        <v>9376</v>
      </c>
      <c r="N1964" s="73"/>
      <c r="O1964" s="73"/>
      <c r="P1964" s="73"/>
      <c r="Q1964" s="76"/>
      <c r="R1964" s="76"/>
      <c r="S1964" s="76"/>
      <c r="T1964" s="76"/>
      <c r="U1964" s="76"/>
      <c r="V1964" s="76"/>
    </row>
    <row r="1965" spans="2:22" x14ac:dyDescent="0.2">
      <c r="B1965" s="166"/>
      <c r="C1965" s="166"/>
      <c r="D1965" s="166"/>
      <c r="E1965" s="166"/>
      <c r="F1965" s="166"/>
      <c r="G1965" s="166"/>
      <c r="H1965" s="166"/>
      <c r="I1965" s="166"/>
      <c r="J1965" s="166"/>
      <c r="K1965" s="166"/>
      <c r="L1965" s="166"/>
      <c r="M1965" s="166"/>
      <c r="N1965" s="166"/>
      <c r="O1965" s="166"/>
      <c r="P1965" s="166"/>
      <c r="Q1965" s="73"/>
      <c r="R1965" s="23"/>
      <c r="S1965" s="23"/>
      <c r="T1965" s="73"/>
      <c r="U1965" s="73"/>
      <c r="V1965" s="73"/>
    </row>
    <row r="1966" spans="2:22" x14ac:dyDescent="0.2">
      <c r="B1966" s="165" t="s">
        <v>10828</v>
      </c>
      <c r="C1966" s="165"/>
      <c r="D1966" s="165"/>
      <c r="E1966" s="165"/>
      <c r="F1966" s="165"/>
      <c r="G1966" s="165"/>
      <c r="H1966" s="165"/>
      <c r="I1966" s="165"/>
      <c r="J1966" s="165"/>
      <c r="K1966" s="165"/>
      <c r="L1966" s="165"/>
      <c r="M1966" s="165"/>
      <c r="N1966" s="165"/>
      <c r="O1966" s="165"/>
      <c r="P1966" s="165"/>
      <c r="Q1966" s="75"/>
      <c r="R1966" s="75"/>
      <c r="S1966" s="75"/>
      <c r="T1966" s="75"/>
      <c r="U1966" s="75"/>
      <c r="V1966" s="75"/>
    </row>
    <row r="1967" spans="2:22" x14ac:dyDescent="0.2">
      <c r="B1967" s="73" t="s">
        <v>10828</v>
      </c>
      <c r="C1967" s="33" t="s">
        <v>1526</v>
      </c>
      <c r="D1967" s="23" t="s">
        <v>1527</v>
      </c>
      <c r="E1967" s="73"/>
      <c r="F1967" s="73"/>
      <c r="G1967" s="73"/>
      <c r="H1967" s="73"/>
      <c r="I1967" s="73"/>
      <c r="J1967" s="33" t="s">
        <v>9374</v>
      </c>
      <c r="K1967" s="33" t="s">
        <v>11016</v>
      </c>
      <c r="L1967" s="33" t="s">
        <v>121</v>
      </c>
      <c r="M1967" s="33" t="s">
        <v>9376</v>
      </c>
      <c r="N1967" s="73"/>
      <c r="O1967" s="73"/>
      <c r="P1967" s="73"/>
      <c r="Q1967" s="76"/>
      <c r="R1967" s="76"/>
      <c r="S1967" s="76"/>
      <c r="T1967" s="76"/>
      <c r="U1967" s="76"/>
      <c r="V1967" s="76"/>
    </row>
    <row r="1968" spans="2:22" x14ac:dyDescent="0.2">
      <c r="B1968" s="166"/>
      <c r="C1968" s="166"/>
      <c r="D1968" s="166"/>
      <c r="E1968" s="166"/>
      <c r="F1968" s="166"/>
      <c r="G1968" s="166"/>
      <c r="H1968" s="166"/>
      <c r="I1968" s="166"/>
      <c r="J1968" s="166"/>
      <c r="K1968" s="166"/>
      <c r="L1968" s="166"/>
      <c r="M1968" s="166"/>
      <c r="N1968" s="166"/>
      <c r="O1968" s="166"/>
      <c r="P1968" s="166"/>
      <c r="Q1968" s="73"/>
      <c r="R1968" s="23"/>
      <c r="S1968" s="23"/>
      <c r="T1968" s="73"/>
      <c r="U1968" s="73"/>
      <c r="V1968" s="73"/>
    </row>
    <row r="1969" spans="2:22" x14ac:dyDescent="0.2">
      <c r="B1969" s="165" t="s">
        <v>10830</v>
      </c>
      <c r="C1969" s="165"/>
      <c r="D1969" s="165"/>
      <c r="E1969" s="165"/>
      <c r="F1969" s="165"/>
      <c r="G1969" s="165"/>
      <c r="H1969" s="165"/>
      <c r="I1969" s="165"/>
      <c r="J1969" s="165"/>
      <c r="K1969" s="165"/>
      <c r="L1969" s="165"/>
      <c r="M1969" s="165"/>
      <c r="N1969" s="165"/>
      <c r="O1969" s="165"/>
      <c r="P1969" s="165"/>
      <c r="Q1969" s="75"/>
      <c r="R1969" s="75"/>
      <c r="S1969" s="75"/>
      <c r="T1969" s="75"/>
      <c r="U1969" s="75"/>
      <c r="V1969" s="75"/>
    </row>
    <row r="1970" spans="2:22" x14ac:dyDescent="0.2">
      <c r="B1970" s="73" t="s">
        <v>10830</v>
      </c>
      <c r="C1970" s="33" t="s">
        <v>1528</v>
      </c>
      <c r="D1970" s="23" t="s">
        <v>1529</v>
      </c>
      <c r="E1970" s="73"/>
      <c r="F1970" s="73"/>
      <c r="G1970" s="73"/>
      <c r="H1970" s="73"/>
      <c r="I1970" s="73"/>
      <c r="J1970" s="33" t="s">
        <v>9374</v>
      </c>
      <c r="K1970" s="33" t="s">
        <v>11016</v>
      </c>
      <c r="L1970" s="33" t="s">
        <v>121</v>
      </c>
      <c r="M1970" s="33" t="s">
        <v>9376</v>
      </c>
      <c r="N1970" s="73"/>
      <c r="O1970" s="73"/>
      <c r="P1970" s="73"/>
      <c r="Q1970" s="76"/>
      <c r="R1970" s="76"/>
      <c r="S1970" s="76"/>
      <c r="T1970" s="76"/>
      <c r="U1970" s="76"/>
      <c r="V1970" s="76"/>
    </row>
    <row r="1971" spans="2:22" x14ac:dyDescent="0.2">
      <c r="B1971" s="166"/>
      <c r="C1971" s="166"/>
      <c r="D1971" s="166"/>
      <c r="E1971" s="166"/>
      <c r="F1971" s="166"/>
      <c r="G1971" s="166"/>
      <c r="H1971" s="166"/>
      <c r="I1971" s="166"/>
      <c r="J1971" s="166"/>
      <c r="K1971" s="166"/>
      <c r="L1971" s="166"/>
      <c r="M1971" s="166"/>
      <c r="N1971" s="166"/>
      <c r="O1971" s="166"/>
      <c r="P1971" s="166"/>
      <c r="Q1971" s="73"/>
      <c r="R1971" s="23"/>
      <c r="S1971" s="23"/>
      <c r="T1971" s="73"/>
      <c r="U1971" s="73"/>
      <c r="V1971" s="73"/>
    </row>
    <row r="1972" spans="2:22" x14ac:dyDescent="0.2">
      <c r="B1972" s="165" t="s">
        <v>10832</v>
      </c>
      <c r="C1972" s="165"/>
      <c r="D1972" s="165"/>
      <c r="E1972" s="165"/>
      <c r="F1972" s="165"/>
      <c r="G1972" s="165"/>
      <c r="H1972" s="165"/>
      <c r="I1972" s="165"/>
      <c r="J1972" s="165"/>
      <c r="K1972" s="165"/>
      <c r="L1972" s="165"/>
      <c r="M1972" s="165"/>
      <c r="N1972" s="165"/>
      <c r="O1972" s="165"/>
      <c r="P1972" s="165"/>
      <c r="Q1972" s="73"/>
      <c r="R1972" s="23"/>
      <c r="S1972" s="23"/>
      <c r="T1972" s="73"/>
      <c r="U1972" s="73"/>
      <c r="V1972" s="73"/>
    </row>
    <row r="1973" spans="2:22" x14ac:dyDescent="0.2">
      <c r="B1973" s="73" t="s">
        <v>10832</v>
      </c>
      <c r="C1973" s="33" t="s">
        <v>1530</v>
      </c>
      <c r="D1973" s="23" t="s">
        <v>1531</v>
      </c>
      <c r="E1973" s="73"/>
      <c r="F1973" s="73"/>
      <c r="G1973" s="73"/>
      <c r="H1973" s="73"/>
      <c r="I1973" s="73"/>
      <c r="J1973" s="33" t="s">
        <v>9374</v>
      </c>
      <c r="K1973" s="33" t="s">
        <v>9375</v>
      </c>
      <c r="L1973" s="33" t="s">
        <v>121</v>
      </c>
      <c r="M1973" s="33" t="s">
        <v>9376</v>
      </c>
      <c r="N1973" s="73"/>
      <c r="O1973" s="73"/>
      <c r="P1973" s="73"/>
      <c r="Q1973" s="75"/>
      <c r="R1973" s="75"/>
      <c r="S1973" s="75"/>
      <c r="T1973" s="75"/>
      <c r="U1973" s="75"/>
      <c r="V1973" s="75"/>
    </row>
    <row r="1974" spans="2:22" ht="20.399999999999999" x14ac:dyDescent="0.2">
      <c r="B1974" s="73" t="s">
        <v>10832</v>
      </c>
      <c r="C1974" s="33" t="s">
        <v>2087</v>
      </c>
      <c r="D1974" s="23" t="s">
        <v>2088</v>
      </c>
      <c r="E1974" s="73" t="s">
        <v>11272</v>
      </c>
      <c r="F1974" s="73" t="s">
        <v>10902</v>
      </c>
      <c r="G1974" s="73"/>
      <c r="H1974" s="73" t="s">
        <v>11273</v>
      </c>
      <c r="I1974" s="73" t="s">
        <v>11274</v>
      </c>
      <c r="J1974" s="33" t="s">
        <v>9374</v>
      </c>
      <c r="K1974" s="33" t="s">
        <v>9375</v>
      </c>
      <c r="L1974" s="33" t="s">
        <v>121</v>
      </c>
      <c r="M1974" s="33" t="s">
        <v>9376</v>
      </c>
      <c r="N1974" s="73"/>
      <c r="O1974" s="73"/>
      <c r="P1974" s="73"/>
      <c r="Q1974" s="76"/>
      <c r="R1974" s="76"/>
      <c r="S1974" s="76"/>
      <c r="T1974" s="76"/>
      <c r="U1974" s="76"/>
      <c r="V1974" s="76"/>
    </row>
    <row r="1975" spans="2:22" x14ac:dyDescent="0.2">
      <c r="B1975" s="73" t="s">
        <v>10832</v>
      </c>
      <c r="C1975" s="33" t="s">
        <v>2089</v>
      </c>
      <c r="D1975" s="23" t="s">
        <v>2090</v>
      </c>
      <c r="E1975" s="73" t="s">
        <v>11272</v>
      </c>
      <c r="F1975" s="73" t="s">
        <v>10902</v>
      </c>
      <c r="G1975" s="73"/>
      <c r="H1975" s="73" t="s">
        <v>11273</v>
      </c>
      <c r="I1975" s="73" t="s">
        <v>11275</v>
      </c>
      <c r="J1975" s="33" t="s">
        <v>9374</v>
      </c>
      <c r="K1975" s="33" t="s">
        <v>9375</v>
      </c>
      <c r="L1975" s="33" t="s">
        <v>121</v>
      </c>
      <c r="M1975" s="33" t="s">
        <v>9376</v>
      </c>
      <c r="N1975" s="73"/>
      <c r="O1975" s="73"/>
      <c r="P1975" s="73"/>
      <c r="Q1975" s="73"/>
      <c r="R1975" s="23"/>
      <c r="S1975" s="23"/>
      <c r="T1975" s="73"/>
      <c r="U1975" s="73"/>
      <c r="V1975" s="73"/>
    </row>
    <row r="1976" spans="2:22" x14ac:dyDescent="0.2">
      <c r="B1976" s="73" t="s">
        <v>10832</v>
      </c>
      <c r="C1976" s="33" t="s">
        <v>2092</v>
      </c>
      <c r="D1976" s="23" t="s">
        <v>2093</v>
      </c>
      <c r="E1976" s="73" t="s">
        <v>11272</v>
      </c>
      <c r="F1976" s="73" t="s">
        <v>10902</v>
      </c>
      <c r="G1976" s="73"/>
      <c r="H1976" s="73" t="s">
        <v>11273</v>
      </c>
      <c r="I1976" s="73"/>
      <c r="J1976" s="33" t="s">
        <v>9374</v>
      </c>
      <c r="K1976" s="33" t="s">
        <v>9375</v>
      </c>
      <c r="L1976" s="33" t="s">
        <v>121</v>
      </c>
      <c r="M1976" s="33" t="s">
        <v>9376</v>
      </c>
      <c r="N1976" s="73"/>
      <c r="O1976" s="73"/>
      <c r="P1976" s="73"/>
      <c r="Q1976" s="73"/>
      <c r="R1976" s="23"/>
      <c r="S1976" s="23"/>
      <c r="T1976" s="73"/>
      <c r="U1976" s="73"/>
      <c r="V1976" s="73"/>
    </row>
    <row r="1977" spans="2:22" x14ac:dyDescent="0.2">
      <c r="B1977" s="166"/>
      <c r="C1977" s="166"/>
      <c r="D1977" s="166"/>
      <c r="E1977" s="166"/>
      <c r="F1977" s="166"/>
      <c r="G1977" s="166"/>
      <c r="H1977" s="166"/>
      <c r="I1977" s="166"/>
      <c r="J1977" s="166"/>
      <c r="K1977" s="166"/>
      <c r="L1977" s="166"/>
      <c r="M1977" s="166"/>
      <c r="N1977" s="166"/>
      <c r="O1977" s="166"/>
      <c r="P1977" s="166"/>
      <c r="Q1977" s="75"/>
      <c r="R1977" s="75"/>
      <c r="S1977" s="75"/>
      <c r="T1977" s="75"/>
      <c r="U1977" s="75"/>
      <c r="V1977" s="75"/>
    </row>
    <row r="1978" spans="2:22" x14ac:dyDescent="0.2">
      <c r="B1978" s="165" t="s">
        <v>10834</v>
      </c>
      <c r="C1978" s="165"/>
      <c r="D1978" s="165"/>
      <c r="E1978" s="165"/>
      <c r="F1978" s="165"/>
      <c r="G1978" s="165"/>
      <c r="H1978" s="165"/>
      <c r="I1978" s="165"/>
      <c r="J1978" s="165"/>
      <c r="K1978" s="165"/>
      <c r="L1978" s="165"/>
      <c r="M1978" s="165"/>
      <c r="N1978" s="165"/>
      <c r="O1978" s="165"/>
      <c r="P1978" s="165"/>
      <c r="Q1978" s="76"/>
      <c r="R1978" s="76"/>
      <c r="S1978" s="76"/>
      <c r="T1978" s="76"/>
      <c r="U1978" s="76"/>
      <c r="V1978" s="76"/>
    </row>
    <row r="1979" spans="2:22" x14ac:dyDescent="0.2">
      <c r="B1979" s="73" t="s">
        <v>10834</v>
      </c>
      <c r="C1979" s="33" t="s">
        <v>1532</v>
      </c>
      <c r="D1979" s="23" t="s">
        <v>1533</v>
      </c>
      <c r="E1979" s="73"/>
      <c r="F1979" s="73"/>
      <c r="G1979" s="73"/>
      <c r="H1979" s="73"/>
      <c r="I1979" s="73"/>
      <c r="J1979" s="33" t="s">
        <v>9374</v>
      </c>
      <c r="K1979" s="33" t="s">
        <v>9375</v>
      </c>
      <c r="L1979" s="33" t="s">
        <v>121</v>
      </c>
      <c r="M1979" s="33" t="s">
        <v>9376</v>
      </c>
      <c r="N1979" s="73"/>
      <c r="O1979" s="73"/>
      <c r="P1979" s="73"/>
      <c r="Q1979" s="73"/>
      <c r="R1979" s="23"/>
      <c r="S1979" s="23"/>
      <c r="T1979" s="73"/>
      <c r="U1979" s="73"/>
      <c r="V1979" s="73"/>
    </row>
    <row r="1980" spans="2:22" ht="20.399999999999999" x14ac:dyDescent="0.2">
      <c r="B1980" s="73" t="s">
        <v>10834</v>
      </c>
      <c r="C1980" s="33" t="s">
        <v>2095</v>
      </c>
      <c r="D1980" s="23" t="s">
        <v>2096</v>
      </c>
      <c r="E1980" s="73" t="s">
        <v>11276</v>
      </c>
      <c r="F1980" s="73" t="s">
        <v>10902</v>
      </c>
      <c r="G1980" s="73"/>
      <c r="H1980" s="73" t="s">
        <v>11273</v>
      </c>
      <c r="I1980" s="73" t="s">
        <v>11277</v>
      </c>
      <c r="J1980" s="33" t="s">
        <v>9374</v>
      </c>
      <c r="K1980" s="33" t="s">
        <v>9375</v>
      </c>
      <c r="L1980" s="33" t="s">
        <v>121</v>
      </c>
      <c r="M1980" s="33" t="s">
        <v>9376</v>
      </c>
      <c r="N1980" s="73"/>
      <c r="O1980" s="73"/>
      <c r="P1980" s="73"/>
      <c r="Q1980" s="73"/>
      <c r="R1980" s="23"/>
      <c r="S1980" s="23"/>
      <c r="T1980" s="73"/>
      <c r="U1980" s="73"/>
      <c r="V1980" s="73"/>
    </row>
    <row r="1981" spans="2:22" x14ac:dyDescent="0.2">
      <c r="B1981" s="73" t="s">
        <v>10834</v>
      </c>
      <c r="C1981" s="33" t="s">
        <v>2097</v>
      </c>
      <c r="D1981" s="23" t="s">
        <v>2098</v>
      </c>
      <c r="E1981" s="73" t="s">
        <v>11276</v>
      </c>
      <c r="F1981" s="73" t="s">
        <v>10902</v>
      </c>
      <c r="G1981" s="73"/>
      <c r="H1981" s="73" t="s">
        <v>11273</v>
      </c>
      <c r="I1981" s="73" t="s">
        <v>11278</v>
      </c>
      <c r="J1981" s="33" t="s">
        <v>9374</v>
      </c>
      <c r="K1981" s="33" t="s">
        <v>9375</v>
      </c>
      <c r="L1981" s="33" t="s">
        <v>121</v>
      </c>
      <c r="M1981" s="33" t="s">
        <v>9376</v>
      </c>
      <c r="N1981" s="73"/>
      <c r="O1981" s="73"/>
      <c r="P1981" s="73"/>
      <c r="Q1981" s="75"/>
      <c r="R1981" s="75"/>
      <c r="S1981" s="75"/>
      <c r="T1981" s="75"/>
      <c r="U1981" s="75"/>
      <c r="V1981" s="75"/>
    </row>
    <row r="1982" spans="2:22" x14ac:dyDescent="0.2">
      <c r="B1982" s="73" t="s">
        <v>10834</v>
      </c>
      <c r="C1982" s="33" t="s">
        <v>2099</v>
      </c>
      <c r="D1982" s="23" t="s">
        <v>2100</v>
      </c>
      <c r="E1982" s="73" t="s">
        <v>11276</v>
      </c>
      <c r="F1982" s="73" t="s">
        <v>10902</v>
      </c>
      <c r="G1982" s="73"/>
      <c r="H1982" s="73" t="s">
        <v>11273</v>
      </c>
      <c r="I1982" s="73"/>
      <c r="J1982" s="33" t="s">
        <v>9374</v>
      </c>
      <c r="K1982" s="33" t="s">
        <v>9375</v>
      </c>
      <c r="L1982" s="33" t="s">
        <v>121</v>
      </c>
      <c r="M1982" s="33" t="s">
        <v>9376</v>
      </c>
      <c r="N1982" s="73"/>
      <c r="O1982" s="73"/>
      <c r="P1982" s="73"/>
      <c r="Q1982" s="76"/>
      <c r="R1982" s="76"/>
      <c r="S1982" s="76"/>
      <c r="T1982" s="76"/>
      <c r="U1982" s="76"/>
      <c r="V1982" s="76"/>
    </row>
    <row r="1983" spans="2:22" x14ac:dyDescent="0.2">
      <c r="B1983" s="166"/>
      <c r="C1983" s="166"/>
      <c r="D1983" s="166"/>
      <c r="E1983" s="166"/>
      <c r="F1983" s="166"/>
      <c r="G1983" s="166"/>
      <c r="H1983" s="166"/>
      <c r="I1983" s="166"/>
      <c r="J1983" s="166"/>
      <c r="K1983" s="166"/>
      <c r="L1983" s="166"/>
      <c r="M1983" s="166"/>
      <c r="N1983" s="166"/>
      <c r="O1983" s="166"/>
      <c r="P1983" s="166"/>
      <c r="Q1983" s="73"/>
      <c r="R1983" s="23"/>
      <c r="S1983" s="23"/>
      <c r="T1983" s="73"/>
      <c r="U1983" s="73"/>
      <c r="V1983" s="73"/>
    </row>
    <row r="1984" spans="2:22" x14ac:dyDescent="0.2">
      <c r="B1984" s="165" t="s">
        <v>10836</v>
      </c>
      <c r="C1984" s="165"/>
      <c r="D1984" s="165"/>
      <c r="E1984" s="165"/>
      <c r="F1984" s="165"/>
      <c r="G1984" s="165"/>
      <c r="H1984" s="165"/>
      <c r="I1984" s="165"/>
      <c r="J1984" s="165"/>
      <c r="K1984" s="165"/>
      <c r="L1984" s="165"/>
      <c r="M1984" s="165"/>
      <c r="N1984" s="165"/>
      <c r="O1984" s="165"/>
      <c r="P1984" s="165"/>
      <c r="Q1984" s="73"/>
      <c r="R1984" s="23"/>
      <c r="S1984" s="23"/>
      <c r="T1984" s="73"/>
      <c r="U1984" s="73"/>
      <c r="V1984" s="73"/>
    </row>
    <row r="1985" spans="2:22" x14ac:dyDescent="0.2">
      <c r="B1985" s="73" t="s">
        <v>10836</v>
      </c>
      <c r="C1985" s="33" t="s">
        <v>1534</v>
      </c>
      <c r="D1985" s="23" t="s">
        <v>1535</v>
      </c>
      <c r="E1985" s="73"/>
      <c r="F1985" s="73"/>
      <c r="G1985" s="73"/>
      <c r="H1985" s="73"/>
      <c r="I1985" s="73"/>
      <c r="J1985" s="33" t="s">
        <v>9374</v>
      </c>
      <c r="K1985" s="33" t="s">
        <v>9375</v>
      </c>
      <c r="L1985" s="33" t="s">
        <v>121</v>
      </c>
      <c r="M1985" s="33" t="s">
        <v>9376</v>
      </c>
      <c r="N1985" s="73"/>
      <c r="O1985" s="73"/>
      <c r="P1985" s="73"/>
      <c r="Q1985" s="75"/>
      <c r="R1985" s="75"/>
      <c r="S1985" s="75"/>
      <c r="T1985" s="75"/>
      <c r="U1985" s="75"/>
      <c r="V1985" s="75"/>
    </row>
    <row r="1986" spans="2:22" x14ac:dyDescent="0.2">
      <c r="B1986" s="73" t="s">
        <v>10836</v>
      </c>
      <c r="C1986" s="33" t="s">
        <v>2065</v>
      </c>
      <c r="D1986" s="23" t="s">
        <v>2066</v>
      </c>
      <c r="E1986" s="73" t="s">
        <v>11272</v>
      </c>
      <c r="F1986" s="73"/>
      <c r="G1986" s="73" t="s">
        <v>10902</v>
      </c>
      <c r="H1986" s="73" t="s">
        <v>11273</v>
      </c>
      <c r="I1986" s="73"/>
      <c r="J1986" s="33" t="s">
        <v>9374</v>
      </c>
      <c r="K1986" s="33" t="s">
        <v>9375</v>
      </c>
      <c r="L1986" s="33" t="s">
        <v>121</v>
      </c>
      <c r="M1986" s="33" t="s">
        <v>9376</v>
      </c>
      <c r="N1986" s="73"/>
      <c r="O1986" s="73"/>
      <c r="P1986" s="73"/>
      <c r="Q1986" s="76"/>
      <c r="R1986" s="76"/>
      <c r="S1986" s="76"/>
      <c r="T1986" s="76"/>
      <c r="U1986" s="76"/>
      <c r="V1986" s="76"/>
    </row>
    <row r="1987" spans="2:22" x14ac:dyDescent="0.2">
      <c r="B1987" s="73" t="s">
        <v>10836</v>
      </c>
      <c r="C1987" s="33" t="s">
        <v>2068</v>
      </c>
      <c r="D1987" s="23" t="s">
        <v>2069</v>
      </c>
      <c r="E1987" s="73" t="s">
        <v>11279</v>
      </c>
      <c r="F1987" s="73"/>
      <c r="G1987" s="73" t="s">
        <v>10902</v>
      </c>
      <c r="H1987" s="73" t="s">
        <v>11273</v>
      </c>
      <c r="I1987" s="73"/>
      <c r="J1987" s="33" t="s">
        <v>9374</v>
      </c>
      <c r="K1987" s="33" t="s">
        <v>9375</v>
      </c>
      <c r="L1987" s="33" t="s">
        <v>121</v>
      </c>
      <c r="M1987" s="33" t="s">
        <v>9376</v>
      </c>
      <c r="N1987" s="73"/>
      <c r="O1987" s="73"/>
      <c r="P1987" s="73"/>
      <c r="Q1987" s="73"/>
      <c r="R1987" s="23"/>
      <c r="S1987" s="23"/>
      <c r="T1987" s="73"/>
      <c r="U1987" s="73"/>
      <c r="V1987" s="73"/>
    </row>
    <row r="1988" spans="2:22" x14ac:dyDescent="0.2">
      <c r="B1988" s="166"/>
      <c r="C1988" s="166"/>
      <c r="D1988" s="166"/>
      <c r="E1988" s="166"/>
      <c r="F1988" s="166"/>
      <c r="G1988" s="166"/>
      <c r="H1988" s="166"/>
      <c r="I1988" s="166"/>
      <c r="J1988" s="166"/>
      <c r="K1988" s="166"/>
      <c r="L1988" s="166"/>
      <c r="M1988" s="166"/>
      <c r="N1988" s="166"/>
      <c r="O1988" s="166"/>
      <c r="P1988" s="166"/>
      <c r="Q1988" s="73"/>
      <c r="R1988" s="23"/>
      <c r="S1988" s="23"/>
      <c r="T1988" s="73"/>
      <c r="U1988" s="73"/>
      <c r="V1988" s="73"/>
    </row>
    <row r="1989" spans="2:22" x14ac:dyDescent="0.2">
      <c r="B1989" s="165" t="s">
        <v>10839</v>
      </c>
      <c r="C1989" s="165"/>
      <c r="D1989" s="165"/>
      <c r="E1989" s="165"/>
      <c r="F1989" s="165"/>
      <c r="G1989" s="165"/>
      <c r="H1989" s="165"/>
      <c r="I1989" s="165"/>
      <c r="J1989" s="165"/>
      <c r="K1989" s="165"/>
      <c r="L1989" s="165"/>
      <c r="M1989" s="165"/>
      <c r="N1989" s="165"/>
      <c r="O1989" s="165"/>
      <c r="P1989" s="165"/>
      <c r="Q1989" s="75"/>
      <c r="R1989" s="75"/>
      <c r="S1989" s="75"/>
      <c r="T1989" s="75"/>
      <c r="U1989" s="75"/>
      <c r="V1989" s="75"/>
    </row>
    <row r="1990" spans="2:22" x14ac:dyDescent="0.2">
      <c r="B1990" s="73" t="s">
        <v>10839</v>
      </c>
      <c r="C1990" s="33" t="s">
        <v>1536</v>
      </c>
      <c r="D1990" s="23" t="s">
        <v>1537</v>
      </c>
      <c r="E1990" s="73"/>
      <c r="F1990" s="73"/>
      <c r="G1990" s="73"/>
      <c r="H1990" s="73"/>
      <c r="I1990" s="73"/>
      <c r="J1990" s="33" t="s">
        <v>9374</v>
      </c>
      <c r="K1990" s="33" t="s">
        <v>11016</v>
      </c>
      <c r="L1990" s="33" t="s">
        <v>121</v>
      </c>
      <c r="M1990" s="33" t="s">
        <v>9376</v>
      </c>
      <c r="N1990" s="73"/>
      <c r="O1990" s="73"/>
      <c r="P1990" s="73"/>
      <c r="Q1990" s="76"/>
      <c r="R1990" s="76"/>
      <c r="S1990" s="76"/>
      <c r="T1990" s="76"/>
      <c r="U1990" s="76"/>
      <c r="V1990" s="76"/>
    </row>
    <row r="1991" spans="2:22" x14ac:dyDescent="0.2">
      <c r="B1991" s="166"/>
      <c r="C1991" s="166"/>
      <c r="D1991" s="166"/>
      <c r="E1991" s="166"/>
      <c r="F1991" s="166"/>
      <c r="G1991" s="166"/>
      <c r="H1991" s="166"/>
      <c r="I1991" s="166"/>
      <c r="J1991" s="166"/>
      <c r="K1991" s="166"/>
      <c r="L1991" s="166"/>
      <c r="M1991" s="166"/>
      <c r="N1991" s="166"/>
      <c r="O1991" s="166"/>
      <c r="P1991" s="166"/>
      <c r="Q1991" s="73"/>
      <c r="R1991" s="23"/>
      <c r="S1991" s="23"/>
      <c r="T1991" s="73"/>
      <c r="U1991" s="73"/>
      <c r="V1991" s="73"/>
    </row>
    <row r="1992" spans="2:22" x14ac:dyDescent="0.2">
      <c r="B1992" s="165" t="s">
        <v>10841</v>
      </c>
      <c r="C1992" s="165"/>
      <c r="D1992" s="165"/>
      <c r="E1992" s="165"/>
      <c r="F1992" s="165"/>
      <c r="G1992" s="165"/>
      <c r="H1992" s="165"/>
      <c r="I1992" s="165"/>
      <c r="J1992" s="165"/>
      <c r="K1992" s="165"/>
      <c r="L1992" s="165"/>
      <c r="M1992" s="165"/>
      <c r="N1992" s="165"/>
      <c r="O1992" s="165"/>
      <c r="P1992" s="165"/>
      <c r="Q1992" s="73"/>
      <c r="R1992" s="23"/>
      <c r="S1992" s="23"/>
      <c r="T1992" s="73"/>
      <c r="U1992" s="73"/>
      <c r="V1992" s="73"/>
    </row>
    <row r="1993" spans="2:22" x14ac:dyDescent="0.2">
      <c r="B1993" s="73" t="s">
        <v>10841</v>
      </c>
      <c r="C1993" s="33" t="s">
        <v>1538</v>
      </c>
      <c r="D1993" s="23" t="s">
        <v>1539</v>
      </c>
      <c r="E1993" s="73"/>
      <c r="F1993" s="73"/>
      <c r="G1993" s="73"/>
      <c r="H1993" s="73"/>
      <c r="I1993" s="73"/>
      <c r="J1993" s="33" t="s">
        <v>9374</v>
      </c>
      <c r="K1993" s="33" t="s">
        <v>9375</v>
      </c>
      <c r="L1993" s="33" t="s">
        <v>121</v>
      </c>
      <c r="M1993" s="33" t="s">
        <v>9376</v>
      </c>
      <c r="N1993" s="73"/>
      <c r="O1993" s="73"/>
      <c r="P1993" s="73"/>
      <c r="Q1993" s="75"/>
      <c r="R1993" s="75"/>
      <c r="S1993" s="75"/>
      <c r="T1993" s="75"/>
      <c r="U1993" s="75"/>
      <c r="V1993" s="75"/>
    </row>
    <row r="1994" spans="2:22" x14ac:dyDescent="0.2">
      <c r="B1994" s="73" t="s">
        <v>10841</v>
      </c>
      <c r="C1994" s="33" t="s">
        <v>2071</v>
      </c>
      <c r="D1994" s="23" t="s">
        <v>2072</v>
      </c>
      <c r="E1994" s="73" t="s">
        <v>11009</v>
      </c>
      <c r="F1994" s="73" t="s">
        <v>10902</v>
      </c>
      <c r="G1994" s="73"/>
      <c r="H1994" s="73" t="s">
        <v>10917</v>
      </c>
      <c r="I1994" s="73" t="s">
        <v>11280</v>
      </c>
      <c r="J1994" s="33" t="s">
        <v>9374</v>
      </c>
      <c r="K1994" s="33" t="s">
        <v>9375</v>
      </c>
      <c r="L1994" s="33" t="s">
        <v>121</v>
      </c>
      <c r="M1994" s="33" t="s">
        <v>9376</v>
      </c>
      <c r="N1994" s="73"/>
      <c r="O1994" s="73"/>
      <c r="P1994" s="73"/>
      <c r="Q1994" s="76"/>
      <c r="R1994" s="76"/>
      <c r="S1994" s="76"/>
      <c r="T1994" s="76"/>
      <c r="U1994" s="76"/>
      <c r="V1994" s="76"/>
    </row>
    <row r="1995" spans="2:22" ht="30.6" x14ac:dyDescent="0.2">
      <c r="B1995" s="73" t="s">
        <v>10841</v>
      </c>
      <c r="C1995" s="33" t="s">
        <v>2074</v>
      </c>
      <c r="D1995" s="23" t="s">
        <v>2075</v>
      </c>
      <c r="E1995" s="73" t="s">
        <v>11182</v>
      </c>
      <c r="F1995" s="73" t="s">
        <v>10902</v>
      </c>
      <c r="G1995" s="73"/>
      <c r="H1995" s="73" t="s">
        <v>11006</v>
      </c>
      <c r="I1995" s="73" t="s">
        <v>11281</v>
      </c>
      <c r="J1995" s="33" t="s">
        <v>9374</v>
      </c>
      <c r="K1995" s="33" t="s">
        <v>9375</v>
      </c>
      <c r="L1995" s="33" t="s">
        <v>121</v>
      </c>
      <c r="M1995" s="33" t="s">
        <v>9376</v>
      </c>
      <c r="N1995" s="73"/>
      <c r="O1995" s="73"/>
      <c r="P1995" s="73"/>
      <c r="Q1995" s="73"/>
      <c r="R1995" s="23"/>
      <c r="S1995" s="23"/>
      <c r="T1995" s="73"/>
      <c r="U1995" s="73"/>
      <c r="V1995" s="73"/>
    </row>
    <row r="1996" spans="2:22" ht="20.399999999999999" x14ac:dyDescent="0.2">
      <c r="B1996" s="73" t="s">
        <v>10841</v>
      </c>
      <c r="C1996" s="33" t="s">
        <v>2077</v>
      </c>
      <c r="D1996" s="23" t="s">
        <v>2078</v>
      </c>
      <c r="E1996" s="73" t="s">
        <v>11009</v>
      </c>
      <c r="F1996" s="73" t="s">
        <v>10902</v>
      </c>
      <c r="G1996" s="73"/>
      <c r="H1996" s="73" t="s">
        <v>11173</v>
      </c>
      <c r="I1996" s="73" t="s">
        <v>11282</v>
      </c>
      <c r="J1996" s="33" t="s">
        <v>9374</v>
      </c>
      <c r="K1996" s="33" t="s">
        <v>9375</v>
      </c>
      <c r="L1996" s="33" t="s">
        <v>121</v>
      </c>
      <c r="M1996" s="33" t="s">
        <v>9376</v>
      </c>
      <c r="N1996" s="73"/>
      <c r="O1996" s="73"/>
      <c r="P1996" s="73"/>
      <c r="Q1996" s="75"/>
      <c r="R1996" s="75"/>
      <c r="S1996" s="75"/>
      <c r="T1996" s="75"/>
      <c r="U1996" s="75"/>
      <c r="V1996" s="75"/>
    </row>
    <row r="1997" spans="2:22" x14ac:dyDescent="0.2">
      <c r="B1997" s="166"/>
      <c r="C1997" s="166"/>
      <c r="D1997" s="166"/>
      <c r="E1997" s="166"/>
      <c r="F1997" s="166"/>
      <c r="G1997" s="166"/>
      <c r="H1997" s="166"/>
      <c r="I1997" s="166"/>
      <c r="J1997" s="166"/>
      <c r="K1997" s="166"/>
      <c r="L1997" s="166"/>
      <c r="M1997" s="166"/>
      <c r="N1997" s="166"/>
      <c r="O1997" s="166"/>
      <c r="P1997" s="166"/>
      <c r="Q1997" s="76"/>
      <c r="R1997" s="76"/>
      <c r="S1997" s="76"/>
      <c r="T1997" s="76"/>
      <c r="U1997" s="76"/>
      <c r="V1997" s="76"/>
    </row>
    <row r="1998" spans="2:22" x14ac:dyDescent="0.2">
      <c r="B1998" s="165" t="s">
        <v>10844</v>
      </c>
      <c r="C1998" s="165"/>
      <c r="D1998" s="165"/>
      <c r="E1998" s="165"/>
      <c r="F1998" s="165"/>
      <c r="G1998" s="165"/>
      <c r="H1998" s="165"/>
      <c r="I1998" s="165"/>
      <c r="J1998" s="165"/>
      <c r="K1998" s="165"/>
      <c r="L1998" s="165"/>
      <c r="M1998" s="165"/>
      <c r="N1998" s="165"/>
      <c r="O1998" s="165"/>
      <c r="P1998" s="165"/>
      <c r="Q1998" s="73"/>
      <c r="R1998" s="23"/>
      <c r="S1998" s="23"/>
      <c r="T1998" s="73"/>
      <c r="U1998" s="73"/>
      <c r="V1998" s="73"/>
    </row>
    <row r="1999" spans="2:22" x14ac:dyDescent="0.2">
      <c r="B1999" s="73" t="s">
        <v>10844</v>
      </c>
      <c r="C1999" s="33" t="s">
        <v>1540</v>
      </c>
      <c r="D1999" s="23" t="s">
        <v>1541</v>
      </c>
      <c r="E1999" s="73"/>
      <c r="F1999" s="73"/>
      <c r="G1999" s="73"/>
      <c r="H1999" s="73"/>
      <c r="I1999" s="73"/>
      <c r="J1999" s="33" t="s">
        <v>9374</v>
      </c>
      <c r="K1999" s="33" t="s">
        <v>9375</v>
      </c>
      <c r="L1999" s="33" t="s">
        <v>121</v>
      </c>
      <c r="M1999" s="33" t="s">
        <v>9376</v>
      </c>
      <c r="N1999" s="73"/>
      <c r="O1999" s="73"/>
      <c r="P1999" s="73"/>
      <c r="Q1999" s="73"/>
      <c r="R1999" s="23"/>
      <c r="S1999" s="23"/>
      <c r="T1999" s="73"/>
      <c r="U1999" s="73"/>
      <c r="V1999" s="73"/>
    </row>
    <row r="2000" spans="2:22" ht="20.399999999999999" x14ac:dyDescent="0.2">
      <c r="B2000" s="73" t="s">
        <v>10844</v>
      </c>
      <c r="C2000" s="33" t="s">
        <v>2079</v>
      </c>
      <c r="D2000" s="23" t="s">
        <v>2080</v>
      </c>
      <c r="E2000" s="73" t="s">
        <v>11007</v>
      </c>
      <c r="F2000" s="73" t="s">
        <v>10902</v>
      </c>
      <c r="G2000" s="73"/>
      <c r="H2000" s="73" t="s">
        <v>10917</v>
      </c>
      <c r="I2000" s="73" t="s">
        <v>11283</v>
      </c>
      <c r="J2000" s="33" t="s">
        <v>9374</v>
      </c>
      <c r="K2000" s="33" t="s">
        <v>9375</v>
      </c>
      <c r="L2000" s="33" t="s">
        <v>121</v>
      </c>
      <c r="M2000" s="33" t="s">
        <v>9376</v>
      </c>
      <c r="N2000" s="73"/>
      <c r="O2000" s="73"/>
      <c r="P2000" s="73"/>
      <c r="Q2000" s="73"/>
      <c r="R2000" s="23"/>
      <c r="S2000" s="23"/>
      <c r="T2000" s="73"/>
      <c r="U2000" s="73"/>
      <c r="V2000" s="73"/>
    </row>
    <row r="2001" spans="2:22" ht="30.6" x14ac:dyDescent="0.2">
      <c r="B2001" s="73" t="s">
        <v>10844</v>
      </c>
      <c r="C2001" s="33" t="s">
        <v>2081</v>
      </c>
      <c r="D2001" s="23" t="s">
        <v>2082</v>
      </c>
      <c r="E2001" s="73" t="s">
        <v>11007</v>
      </c>
      <c r="F2001" s="73" t="s">
        <v>10902</v>
      </c>
      <c r="G2001" s="73"/>
      <c r="H2001" s="73" t="s">
        <v>10917</v>
      </c>
      <c r="I2001" s="73" t="s">
        <v>11284</v>
      </c>
      <c r="J2001" s="33" t="s">
        <v>9374</v>
      </c>
      <c r="K2001" s="33" t="s">
        <v>9375</v>
      </c>
      <c r="L2001" s="33" t="s">
        <v>121</v>
      </c>
      <c r="M2001" s="33" t="s">
        <v>9376</v>
      </c>
      <c r="N2001" s="73"/>
      <c r="O2001" s="73"/>
      <c r="P2001" s="73"/>
      <c r="Q2001" s="75"/>
      <c r="R2001" s="75"/>
      <c r="S2001" s="75"/>
      <c r="T2001" s="75"/>
      <c r="U2001" s="75"/>
      <c r="V2001" s="75"/>
    </row>
    <row r="2002" spans="2:22" x14ac:dyDescent="0.2">
      <c r="B2002" s="166"/>
      <c r="C2002" s="166"/>
      <c r="D2002" s="166"/>
      <c r="E2002" s="166"/>
      <c r="F2002" s="166"/>
      <c r="G2002" s="166"/>
      <c r="H2002" s="166"/>
      <c r="I2002" s="166"/>
      <c r="J2002" s="166"/>
      <c r="K2002" s="166"/>
      <c r="L2002" s="166"/>
      <c r="M2002" s="166"/>
      <c r="N2002" s="166"/>
      <c r="O2002" s="166"/>
      <c r="P2002" s="166"/>
      <c r="Q2002" s="76"/>
      <c r="R2002" s="76"/>
      <c r="S2002" s="76"/>
      <c r="T2002" s="76"/>
      <c r="U2002" s="76"/>
      <c r="V2002" s="76"/>
    </row>
    <row r="2003" spans="2:22" x14ac:dyDescent="0.2">
      <c r="B2003" s="165" t="s">
        <v>10847</v>
      </c>
      <c r="C2003" s="165"/>
      <c r="D2003" s="165"/>
      <c r="E2003" s="165"/>
      <c r="F2003" s="165"/>
      <c r="G2003" s="165"/>
      <c r="H2003" s="165"/>
      <c r="I2003" s="165"/>
      <c r="J2003" s="165"/>
      <c r="K2003" s="165"/>
      <c r="L2003" s="165"/>
      <c r="M2003" s="165"/>
      <c r="N2003" s="165"/>
      <c r="O2003" s="165"/>
      <c r="P2003" s="165"/>
      <c r="Q2003" s="73"/>
      <c r="R2003" s="23"/>
      <c r="S2003" s="23"/>
      <c r="T2003" s="73"/>
      <c r="U2003" s="73"/>
      <c r="V2003" s="73"/>
    </row>
    <row r="2004" spans="2:22" x14ac:dyDescent="0.2">
      <c r="B2004" s="73" t="s">
        <v>10847</v>
      </c>
      <c r="C2004" s="33" t="s">
        <v>1542</v>
      </c>
      <c r="D2004" s="23" t="s">
        <v>1543</v>
      </c>
      <c r="E2004" s="73"/>
      <c r="F2004" s="73"/>
      <c r="G2004" s="73"/>
      <c r="H2004" s="73"/>
      <c r="I2004" s="73"/>
      <c r="J2004" s="33" t="s">
        <v>9374</v>
      </c>
      <c r="K2004" s="33" t="s">
        <v>9375</v>
      </c>
      <c r="L2004" s="33" t="s">
        <v>121</v>
      </c>
      <c r="M2004" s="33" t="s">
        <v>9376</v>
      </c>
      <c r="N2004" s="73"/>
      <c r="O2004" s="73"/>
      <c r="P2004" s="73"/>
      <c r="Q2004" s="73"/>
      <c r="R2004" s="23"/>
      <c r="S2004" s="23"/>
      <c r="T2004" s="73"/>
      <c r="U2004" s="73"/>
      <c r="V2004" s="73"/>
    </row>
    <row r="2005" spans="2:22" x14ac:dyDescent="0.2">
      <c r="B2005" s="73" t="s">
        <v>10847</v>
      </c>
      <c r="C2005" s="33" t="s">
        <v>2138</v>
      </c>
      <c r="D2005" s="23" t="s">
        <v>2139</v>
      </c>
      <c r="E2005" s="73" t="s">
        <v>11038</v>
      </c>
      <c r="F2005" s="73" t="s">
        <v>10902</v>
      </c>
      <c r="G2005" s="73"/>
      <c r="H2005" s="73" t="s">
        <v>10917</v>
      </c>
      <c r="I2005" s="73" t="s">
        <v>11285</v>
      </c>
      <c r="J2005" s="33" t="s">
        <v>9374</v>
      </c>
      <c r="K2005" s="33" t="s">
        <v>9375</v>
      </c>
      <c r="L2005" s="33" t="s">
        <v>121</v>
      </c>
      <c r="M2005" s="33" t="s">
        <v>9376</v>
      </c>
      <c r="N2005" s="73"/>
      <c r="O2005" s="73"/>
      <c r="P2005" s="73"/>
      <c r="Q2005" s="75"/>
      <c r="R2005" s="75"/>
      <c r="S2005" s="75"/>
      <c r="T2005" s="75"/>
      <c r="U2005" s="75"/>
      <c r="V2005" s="75"/>
    </row>
    <row r="2006" spans="2:22" x14ac:dyDescent="0.2">
      <c r="B2006" s="166"/>
      <c r="C2006" s="166"/>
      <c r="D2006" s="166"/>
      <c r="E2006" s="166"/>
      <c r="F2006" s="166"/>
      <c r="G2006" s="166"/>
      <c r="H2006" s="166"/>
      <c r="I2006" s="166"/>
      <c r="J2006" s="166"/>
      <c r="K2006" s="166"/>
      <c r="L2006" s="166"/>
      <c r="M2006" s="166"/>
      <c r="N2006" s="166"/>
      <c r="O2006" s="166"/>
      <c r="P2006" s="166"/>
      <c r="Q2006" s="76"/>
      <c r="R2006" s="76"/>
      <c r="S2006" s="76"/>
      <c r="T2006" s="76"/>
      <c r="U2006" s="76"/>
      <c r="V2006" s="76"/>
    </row>
    <row r="2007" spans="2:22" x14ac:dyDescent="0.2">
      <c r="B2007" s="165" t="s">
        <v>10850</v>
      </c>
      <c r="C2007" s="165"/>
      <c r="D2007" s="165"/>
      <c r="E2007" s="165"/>
      <c r="F2007" s="165"/>
      <c r="G2007" s="165"/>
      <c r="H2007" s="165"/>
      <c r="I2007" s="165"/>
      <c r="J2007" s="165"/>
      <c r="K2007" s="165"/>
      <c r="L2007" s="165"/>
      <c r="M2007" s="165"/>
      <c r="N2007" s="165"/>
      <c r="O2007" s="165"/>
      <c r="P2007" s="165"/>
      <c r="Q2007" s="73"/>
      <c r="R2007" s="23"/>
      <c r="S2007" s="23"/>
      <c r="T2007" s="73"/>
      <c r="U2007" s="73"/>
      <c r="V2007" s="73"/>
    </row>
    <row r="2008" spans="2:22" x14ac:dyDescent="0.2">
      <c r="B2008" s="73" t="s">
        <v>10850</v>
      </c>
      <c r="C2008" s="33" t="s">
        <v>1544</v>
      </c>
      <c r="D2008" s="23" t="s">
        <v>1545</v>
      </c>
      <c r="E2008" s="73"/>
      <c r="F2008" s="73"/>
      <c r="G2008" s="73"/>
      <c r="H2008" s="73"/>
      <c r="I2008" s="73"/>
      <c r="J2008" s="33" t="s">
        <v>9374</v>
      </c>
      <c r="K2008" s="33" t="s">
        <v>9375</v>
      </c>
      <c r="L2008" s="33" t="s">
        <v>121</v>
      </c>
      <c r="M2008" s="33" t="s">
        <v>9376</v>
      </c>
      <c r="N2008" s="73"/>
      <c r="O2008" s="73"/>
      <c r="P2008" s="73"/>
      <c r="Q2008" s="73"/>
      <c r="R2008" s="23"/>
      <c r="S2008" s="23"/>
      <c r="T2008" s="73"/>
      <c r="U2008" s="73"/>
      <c r="V2008" s="73"/>
    </row>
    <row r="2009" spans="2:22" x14ac:dyDescent="0.2">
      <c r="B2009" s="166"/>
      <c r="C2009" s="166"/>
      <c r="D2009" s="166"/>
      <c r="E2009" s="166"/>
      <c r="F2009" s="166"/>
      <c r="G2009" s="166"/>
      <c r="H2009" s="166"/>
      <c r="I2009" s="166"/>
      <c r="J2009" s="166"/>
      <c r="K2009" s="166"/>
      <c r="L2009" s="166"/>
      <c r="M2009" s="166"/>
      <c r="N2009" s="166"/>
      <c r="O2009" s="166"/>
      <c r="P2009" s="166"/>
      <c r="Q2009" s="75"/>
      <c r="R2009" s="75"/>
      <c r="S2009" s="75"/>
      <c r="T2009" s="75"/>
      <c r="U2009" s="75"/>
      <c r="V2009" s="75"/>
    </row>
    <row r="2010" spans="2:22" x14ac:dyDescent="0.2">
      <c r="B2010" s="165" t="s">
        <v>10852</v>
      </c>
      <c r="C2010" s="165"/>
      <c r="D2010" s="165"/>
      <c r="E2010" s="165"/>
      <c r="F2010" s="165"/>
      <c r="G2010" s="165"/>
      <c r="H2010" s="165"/>
      <c r="I2010" s="165"/>
      <c r="J2010" s="165"/>
      <c r="K2010" s="165"/>
      <c r="L2010" s="165"/>
      <c r="M2010" s="165"/>
      <c r="N2010" s="165"/>
      <c r="O2010" s="165"/>
      <c r="P2010" s="165"/>
      <c r="Q2010" s="76"/>
      <c r="R2010" s="76"/>
      <c r="S2010" s="76"/>
      <c r="T2010" s="76"/>
      <c r="U2010" s="76"/>
      <c r="V2010" s="76"/>
    </row>
    <row r="2011" spans="2:22" x14ac:dyDescent="0.2">
      <c r="B2011" s="73" t="s">
        <v>10852</v>
      </c>
      <c r="C2011" s="33" t="s">
        <v>1546</v>
      </c>
      <c r="D2011" s="23" t="s">
        <v>1547</v>
      </c>
      <c r="E2011" s="73"/>
      <c r="F2011" s="73"/>
      <c r="G2011" s="73"/>
      <c r="H2011" s="73"/>
      <c r="I2011" s="73"/>
      <c r="J2011" s="33" t="s">
        <v>9374</v>
      </c>
      <c r="K2011" s="33" t="s">
        <v>9375</v>
      </c>
      <c r="L2011" s="33" t="s">
        <v>121</v>
      </c>
      <c r="M2011" s="33" t="s">
        <v>9376</v>
      </c>
      <c r="N2011" s="73"/>
      <c r="O2011" s="73"/>
      <c r="P2011" s="73"/>
      <c r="Q2011" s="73"/>
      <c r="R2011" s="23"/>
      <c r="S2011" s="23"/>
      <c r="T2011" s="73"/>
      <c r="U2011" s="73"/>
      <c r="V2011" s="73"/>
    </row>
    <row r="2012" spans="2:22" x14ac:dyDescent="0.2">
      <c r="B2012" s="166"/>
      <c r="C2012" s="166"/>
      <c r="D2012" s="166"/>
      <c r="E2012" s="166"/>
      <c r="F2012" s="166"/>
      <c r="G2012" s="166"/>
      <c r="H2012" s="166"/>
      <c r="I2012" s="166"/>
      <c r="J2012" s="166"/>
      <c r="K2012" s="166"/>
      <c r="L2012" s="166"/>
      <c r="M2012" s="166"/>
      <c r="N2012" s="166"/>
      <c r="O2012" s="166"/>
      <c r="P2012" s="166"/>
      <c r="Q2012" s="73"/>
      <c r="R2012" s="23"/>
      <c r="S2012" s="23"/>
      <c r="T2012" s="73"/>
      <c r="U2012" s="73"/>
      <c r="V2012" s="73"/>
    </row>
    <row r="2013" spans="2:22" x14ac:dyDescent="0.2">
      <c r="B2013" s="165" t="s">
        <v>10854</v>
      </c>
      <c r="C2013" s="165"/>
      <c r="D2013" s="165"/>
      <c r="E2013" s="165"/>
      <c r="F2013" s="165"/>
      <c r="G2013" s="165"/>
      <c r="H2013" s="165"/>
      <c r="I2013" s="165"/>
      <c r="J2013" s="165"/>
      <c r="K2013" s="165"/>
      <c r="L2013" s="165"/>
      <c r="M2013" s="165"/>
      <c r="N2013" s="165"/>
      <c r="O2013" s="165"/>
      <c r="P2013" s="165"/>
      <c r="Q2013" s="73" t="s">
        <v>11095</v>
      </c>
      <c r="R2013" s="23"/>
      <c r="S2013" s="23"/>
      <c r="T2013" s="73"/>
      <c r="U2013" s="73"/>
      <c r="V2013" s="73"/>
    </row>
    <row r="2014" spans="2:22" x14ac:dyDescent="0.2">
      <c r="B2014" s="73" t="s">
        <v>10854</v>
      </c>
      <c r="C2014" s="33" t="s">
        <v>1548</v>
      </c>
      <c r="D2014" s="23" t="s">
        <v>1549</v>
      </c>
      <c r="E2014" s="73"/>
      <c r="F2014" s="73"/>
      <c r="G2014" s="73"/>
      <c r="H2014" s="73"/>
      <c r="I2014" s="73"/>
      <c r="J2014" s="33" t="s">
        <v>9374</v>
      </c>
      <c r="K2014" s="33" t="s">
        <v>9375</v>
      </c>
      <c r="L2014" s="33" t="s">
        <v>121</v>
      </c>
      <c r="M2014" s="33" t="s">
        <v>9376</v>
      </c>
      <c r="N2014" s="73"/>
      <c r="O2014" s="73"/>
      <c r="P2014" s="73"/>
      <c r="Q2014" s="75"/>
      <c r="R2014" s="75"/>
      <c r="S2014" s="75"/>
      <c r="T2014" s="75"/>
      <c r="U2014" s="75"/>
      <c r="V2014" s="75"/>
    </row>
    <row r="2015" spans="2:22" x14ac:dyDescent="0.2">
      <c r="B2015" s="166"/>
      <c r="C2015" s="166"/>
      <c r="D2015" s="166"/>
      <c r="E2015" s="166"/>
      <c r="F2015" s="166"/>
      <c r="G2015" s="166"/>
      <c r="H2015" s="166"/>
      <c r="I2015" s="166"/>
      <c r="J2015" s="166"/>
      <c r="K2015" s="166"/>
      <c r="L2015" s="166"/>
      <c r="M2015" s="166"/>
      <c r="N2015" s="166"/>
      <c r="O2015" s="166"/>
      <c r="P2015" s="166"/>
      <c r="Q2015" s="76"/>
      <c r="R2015" s="76"/>
      <c r="S2015" s="76"/>
      <c r="T2015" s="76"/>
      <c r="U2015" s="76"/>
      <c r="V2015" s="76"/>
    </row>
    <row r="2016" spans="2:22" x14ac:dyDescent="0.2">
      <c r="B2016" s="165" t="s">
        <v>10856</v>
      </c>
      <c r="C2016" s="165"/>
      <c r="D2016" s="165"/>
      <c r="E2016" s="165"/>
      <c r="F2016" s="165"/>
      <c r="G2016" s="165"/>
      <c r="H2016" s="165"/>
      <c r="I2016" s="165"/>
      <c r="J2016" s="165"/>
      <c r="K2016" s="165"/>
      <c r="L2016" s="165"/>
      <c r="M2016" s="165"/>
      <c r="N2016" s="165"/>
      <c r="O2016" s="165"/>
      <c r="P2016" s="165"/>
      <c r="Q2016" s="73"/>
      <c r="R2016" s="23"/>
      <c r="S2016" s="23"/>
      <c r="T2016" s="73"/>
      <c r="U2016" s="73"/>
      <c r="V2016" s="73"/>
    </row>
    <row r="2017" spans="2:22" x14ac:dyDescent="0.2">
      <c r="B2017" s="73" t="s">
        <v>10856</v>
      </c>
      <c r="C2017" s="33" t="s">
        <v>1550</v>
      </c>
      <c r="D2017" s="23" t="s">
        <v>1551</v>
      </c>
      <c r="E2017" s="73"/>
      <c r="F2017" s="73"/>
      <c r="G2017" s="73"/>
      <c r="H2017" s="73"/>
      <c r="I2017" s="73"/>
      <c r="J2017" s="33" t="s">
        <v>9374</v>
      </c>
      <c r="K2017" s="33" t="s">
        <v>9375</v>
      </c>
      <c r="L2017" s="33" t="s">
        <v>121</v>
      </c>
      <c r="M2017" s="33" t="s">
        <v>9376</v>
      </c>
      <c r="N2017" s="73"/>
      <c r="O2017" s="73"/>
      <c r="P2017" s="73"/>
      <c r="Q2017" s="75"/>
      <c r="R2017" s="75"/>
      <c r="S2017" s="75"/>
      <c r="T2017" s="75"/>
      <c r="U2017" s="75"/>
      <c r="V2017" s="75"/>
    </row>
    <row r="2018" spans="2:22" x14ac:dyDescent="0.2">
      <c r="B2018" s="166"/>
      <c r="C2018" s="166"/>
      <c r="D2018" s="166"/>
      <c r="E2018" s="166"/>
      <c r="F2018" s="166"/>
      <c r="G2018" s="166"/>
      <c r="H2018" s="166"/>
      <c r="I2018" s="166"/>
      <c r="J2018" s="166"/>
      <c r="K2018" s="166"/>
      <c r="L2018" s="166"/>
      <c r="M2018" s="166"/>
      <c r="N2018" s="166"/>
      <c r="O2018" s="166"/>
      <c r="P2018" s="166"/>
      <c r="Q2018" s="76"/>
      <c r="R2018" s="76"/>
      <c r="S2018" s="76"/>
      <c r="T2018" s="76"/>
      <c r="U2018" s="76"/>
      <c r="V2018" s="76"/>
    </row>
    <row r="2019" spans="2:22" x14ac:dyDescent="0.2">
      <c r="B2019" s="165" t="s">
        <v>10859</v>
      </c>
      <c r="C2019" s="165"/>
      <c r="D2019" s="165"/>
      <c r="E2019" s="165"/>
      <c r="F2019" s="165"/>
      <c r="G2019" s="165"/>
      <c r="H2019" s="165"/>
      <c r="I2019" s="165"/>
      <c r="J2019" s="165"/>
      <c r="K2019" s="165"/>
      <c r="L2019" s="165"/>
      <c r="M2019" s="165"/>
      <c r="N2019" s="165"/>
      <c r="O2019" s="165"/>
      <c r="P2019" s="165"/>
      <c r="Q2019" s="73"/>
      <c r="R2019" s="23"/>
      <c r="S2019" s="23"/>
      <c r="T2019" s="73"/>
      <c r="U2019" s="73"/>
      <c r="V2019" s="73"/>
    </row>
    <row r="2020" spans="2:22" x14ac:dyDescent="0.2">
      <c r="B2020" s="73" t="s">
        <v>10859</v>
      </c>
      <c r="C2020" s="33" t="s">
        <v>1552</v>
      </c>
      <c r="D2020" s="23" t="s">
        <v>1553</v>
      </c>
      <c r="E2020" s="73"/>
      <c r="F2020" s="73"/>
      <c r="G2020" s="73"/>
      <c r="H2020" s="73"/>
      <c r="I2020" s="73"/>
      <c r="J2020" s="33" t="s">
        <v>9374</v>
      </c>
      <c r="K2020" s="33" t="s">
        <v>9375</v>
      </c>
      <c r="L2020" s="33" t="s">
        <v>121</v>
      </c>
      <c r="M2020" s="33" t="s">
        <v>9376</v>
      </c>
      <c r="N2020" s="73"/>
      <c r="O2020" s="73"/>
      <c r="P2020" s="73"/>
      <c r="Q2020" s="73"/>
      <c r="R2020" s="23"/>
      <c r="S2020" s="23"/>
      <c r="T2020" s="73"/>
      <c r="U2020" s="73"/>
      <c r="V2020" s="73"/>
    </row>
    <row r="2021" spans="2:22" x14ac:dyDescent="0.2">
      <c r="B2021" s="166"/>
      <c r="C2021" s="166"/>
      <c r="D2021" s="166"/>
      <c r="E2021" s="166"/>
      <c r="F2021" s="166"/>
      <c r="G2021" s="166"/>
      <c r="H2021" s="166"/>
      <c r="I2021" s="166"/>
      <c r="J2021" s="166"/>
      <c r="K2021" s="166"/>
      <c r="L2021" s="166"/>
      <c r="M2021" s="166"/>
      <c r="N2021" s="166"/>
      <c r="O2021" s="166"/>
      <c r="P2021" s="166"/>
      <c r="Q2021" s="75"/>
      <c r="R2021" s="75"/>
      <c r="S2021" s="75"/>
      <c r="T2021" s="75"/>
      <c r="U2021" s="75"/>
      <c r="V2021" s="75"/>
    </row>
    <row r="2022" spans="2:22" x14ac:dyDescent="0.2">
      <c r="B2022" s="165" t="s">
        <v>10861</v>
      </c>
      <c r="C2022" s="165"/>
      <c r="D2022" s="165"/>
      <c r="E2022" s="165"/>
      <c r="F2022" s="165"/>
      <c r="G2022" s="165"/>
      <c r="H2022" s="165"/>
      <c r="I2022" s="165"/>
      <c r="J2022" s="165"/>
      <c r="K2022" s="165"/>
      <c r="L2022" s="165"/>
      <c r="M2022" s="165"/>
      <c r="N2022" s="165"/>
      <c r="O2022" s="165"/>
      <c r="P2022" s="165"/>
      <c r="Q2022" s="76"/>
      <c r="R2022" s="76"/>
      <c r="S2022" s="76"/>
      <c r="T2022" s="76"/>
      <c r="U2022" s="76"/>
      <c r="V2022" s="76"/>
    </row>
    <row r="2023" spans="2:22" x14ac:dyDescent="0.2">
      <c r="B2023" s="73" t="s">
        <v>10861</v>
      </c>
      <c r="C2023" s="33" t="s">
        <v>1554</v>
      </c>
      <c r="D2023" s="23" t="s">
        <v>1555</v>
      </c>
      <c r="E2023" s="73"/>
      <c r="F2023" s="73"/>
      <c r="G2023" s="73"/>
      <c r="H2023" s="73"/>
      <c r="I2023" s="73"/>
      <c r="J2023" s="33" t="s">
        <v>9374</v>
      </c>
      <c r="K2023" s="33" t="s">
        <v>9375</v>
      </c>
      <c r="L2023" s="33" t="s">
        <v>121</v>
      </c>
      <c r="M2023" s="33" t="s">
        <v>9376</v>
      </c>
      <c r="N2023" s="73"/>
      <c r="O2023" s="73"/>
      <c r="P2023" s="73"/>
      <c r="Q2023" s="73"/>
      <c r="R2023" s="23"/>
      <c r="S2023" s="23"/>
      <c r="T2023" s="73"/>
      <c r="U2023" s="73"/>
      <c r="V2023" s="73"/>
    </row>
    <row r="2024" spans="2:22" x14ac:dyDescent="0.2">
      <c r="B2024" s="166"/>
      <c r="C2024" s="166"/>
      <c r="D2024" s="166"/>
      <c r="E2024" s="166"/>
      <c r="F2024" s="166"/>
      <c r="G2024" s="166"/>
      <c r="H2024" s="166"/>
      <c r="I2024" s="166"/>
      <c r="J2024" s="166"/>
      <c r="K2024" s="166"/>
      <c r="L2024" s="166"/>
      <c r="M2024" s="166"/>
      <c r="N2024" s="166"/>
      <c r="O2024" s="166"/>
      <c r="P2024" s="166"/>
      <c r="Q2024" s="73"/>
      <c r="R2024" s="23"/>
      <c r="S2024" s="23"/>
      <c r="T2024" s="73"/>
      <c r="U2024" s="73"/>
      <c r="V2024" s="73"/>
    </row>
    <row r="2025" spans="2:22" x14ac:dyDescent="0.2">
      <c r="B2025" s="165" t="s">
        <v>10863</v>
      </c>
      <c r="C2025" s="165"/>
      <c r="D2025" s="165"/>
      <c r="E2025" s="165"/>
      <c r="F2025" s="165"/>
      <c r="G2025" s="165"/>
      <c r="H2025" s="165"/>
      <c r="I2025" s="165"/>
      <c r="J2025" s="165"/>
      <c r="K2025" s="165"/>
      <c r="L2025" s="165"/>
      <c r="M2025" s="165"/>
      <c r="N2025" s="165"/>
      <c r="O2025" s="165"/>
      <c r="P2025" s="165"/>
      <c r="Q2025" s="75"/>
      <c r="R2025" s="75"/>
      <c r="S2025" s="75"/>
      <c r="T2025" s="75"/>
      <c r="U2025" s="75"/>
      <c r="V2025" s="75"/>
    </row>
    <row r="2026" spans="2:22" x14ac:dyDescent="0.2">
      <c r="B2026" s="73" t="s">
        <v>10863</v>
      </c>
      <c r="C2026" s="33" t="s">
        <v>1556</v>
      </c>
      <c r="D2026" s="23" t="s">
        <v>1557</v>
      </c>
      <c r="E2026" s="73"/>
      <c r="F2026" s="73"/>
      <c r="G2026" s="73"/>
      <c r="H2026" s="73"/>
      <c r="I2026" s="73"/>
      <c r="J2026" s="33" t="s">
        <v>9374</v>
      </c>
      <c r="K2026" s="33" t="s">
        <v>11016</v>
      </c>
      <c r="L2026" s="33" t="s">
        <v>121</v>
      </c>
      <c r="M2026" s="33"/>
      <c r="N2026" s="73"/>
      <c r="O2026" s="73"/>
      <c r="P2026" s="73"/>
      <c r="Q2026" s="76"/>
      <c r="R2026" s="76"/>
      <c r="S2026" s="76"/>
      <c r="T2026" s="76"/>
      <c r="U2026" s="76"/>
      <c r="V2026" s="76"/>
    </row>
    <row r="2027" spans="2:22" x14ac:dyDescent="0.2">
      <c r="B2027" s="166"/>
      <c r="C2027" s="166"/>
      <c r="D2027" s="166"/>
      <c r="E2027" s="166"/>
      <c r="F2027" s="166"/>
      <c r="G2027" s="166"/>
      <c r="H2027" s="166"/>
      <c r="I2027" s="166"/>
      <c r="J2027" s="166"/>
      <c r="K2027" s="166"/>
      <c r="L2027" s="166"/>
      <c r="M2027" s="166"/>
      <c r="N2027" s="166"/>
      <c r="O2027" s="166"/>
      <c r="P2027" s="166"/>
      <c r="Q2027" s="73"/>
      <c r="R2027" s="23"/>
      <c r="S2027" s="23"/>
      <c r="T2027" s="73"/>
      <c r="U2027" s="73"/>
      <c r="V2027" s="73"/>
    </row>
    <row r="2028" spans="2:22" x14ac:dyDescent="0.2">
      <c r="B2028" s="165" t="s">
        <v>10865</v>
      </c>
      <c r="C2028" s="165"/>
      <c r="D2028" s="165"/>
      <c r="E2028" s="165"/>
      <c r="F2028" s="165"/>
      <c r="G2028" s="165"/>
      <c r="H2028" s="165"/>
      <c r="I2028" s="165"/>
      <c r="J2028" s="165"/>
      <c r="K2028" s="165"/>
      <c r="L2028" s="165"/>
      <c r="M2028" s="165"/>
      <c r="N2028" s="165"/>
      <c r="O2028" s="165"/>
      <c r="P2028" s="165"/>
      <c r="Q2028" s="73"/>
      <c r="R2028" s="23"/>
      <c r="S2028" s="23"/>
      <c r="T2028" s="73"/>
      <c r="U2028" s="73"/>
      <c r="V2028" s="73"/>
    </row>
    <row r="2029" spans="2:22" x14ac:dyDescent="0.2">
      <c r="B2029" s="73" t="s">
        <v>10865</v>
      </c>
      <c r="C2029" s="33" t="s">
        <v>1558</v>
      </c>
      <c r="D2029" s="23" t="s">
        <v>1559</v>
      </c>
      <c r="E2029" s="73"/>
      <c r="F2029" s="73"/>
      <c r="G2029" s="73"/>
      <c r="H2029" s="73"/>
      <c r="I2029" s="73"/>
      <c r="J2029" s="33" t="s">
        <v>9374</v>
      </c>
      <c r="K2029" s="33" t="s">
        <v>11016</v>
      </c>
      <c r="L2029" s="33" t="s">
        <v>121</v>
      </c>
      <c r="M2029" s="33"/>
      <c r="N2029" s="73"/>
      <c r="O2029" s="73"/>
      <c r="P2029" s="73"/>
      <c r="Q2029" s="75"/>
      <c r="R2029" s="75"/>
      <c r="S2029" s="75"/>
      <c r="T2029" s="75"/>
      <c r="U2029" s="75"/>
      <c r="V2029" s="75"/>
    </row>
    <row r="2030" spans="2:22" x14ac:dyDescent="0.2">
      <c r="B2030" s="166"/>
      <c r="C2030" s="166"/>
      <c r="D2030" s="166"/>
      <c r="E2030" s="166"/>
      <c r="F2030" s="166"/>
      <c r="G2030" s="166"/>
      <c r="H2030" s="166"/>
      <c r="I2030" s="166"/>
      <c r="J2030" s="166"/>
      <c r="K2030" s="166"/>
      <c r="L2030" s="166"/>
      <c r="M2030" s="166"/>
      <c r="N2030" s="166"/>
      <c r="O2030" s="166"/>
      <c r="P2030" s="166"/>
      <c r="Q2030" s="76"/>
      <c r="R2030" s="76"/>
      <c r="S2030" s="76"/>
      <c r="T2030" s="76"/>
      <c r="U2030" s="76"/>
      <c r="V2030" s="76"/>
    </row>
    <row r="2031" spans="2:22" x14ac:dyDescent="0.2">
      <c r="B2031" s="165" t="s">
        <v>10867</v>
      </c>
      <c r="C2031" s="165"/>
      <c r="D2031" s="165"/>
      <c r="E2031" s="165"/>
      <c r="F2031" s="165"/>
      <c r="G2031" s="165"/>
      <c r="H2031" s="165"/>
      <c r="I2031" s="165"/>
      <c r="J2031" s="165"/>
      <c r="K2031" s="165"/>
      <c r="L2031" s="165"/>
      <c r="M2031" s="165"/>
      <c r="N2031" s="165"/>
      <c r="O2031" s="165"/>
      <c r="P2031" s="165"/>
      <c r="Q2031" s="73"/>
      <c r="R2031" s="23"/>
      <c r="S2031" s="23"/>
      <c r="T2031" s="73"/>
      <c r="U2031" s="73"/>
      <c r="V2031" s="73"/>
    </row>
    <row r="2032" spans="2:22" x14ac:dyDescent="0.2">
      <c r="B2032" s="73" t="s">
        <v>10867</v>
      </c>
      <c r="C2032" s="33" t="s">
        <v>1560</v>
      </c>
      <c r="D2032" s="23" t="s">
        <v>1561</v>
      </c>
      <c r="E2032" s="73"/>
      <c r="F2032" s="73"/>
      <c r="G2032" s="73"/>
      <c r="H2032" s="73"/>
      <c r="I2032" s="73"/>
      <c r="J2032" s="33" t="s">
        <v>9374</v>
      </c>
      <c r="K2032" s="33" t="s">
        <v>9375</v>
      </c>
      <c r="L2032" s="33" t="s">
        <v>121</v>
      </c>
      <c r="M2032" s="33"/>
      <c r="N2032" s="73"/>
      <c r="O2032" s="73"/>
      <c r="P2032" s="73"/>
      <c r="Q2032" s="73"/>
      <c r="R2032" s="23"/>
      <c r="S2032" s="23"/>
      <c r="T2032" s="73"/>
      <c r="U2032" s="73"/>
      <c r="V2032" s="73"/>
    </row>
    <row r="2033" spans="2:22" x14ac:dyDescent="0.2">
      <c r="B2033" s="73" t="s">
        <v>10867</v>
      </c>
      <c r="C2033" s="33" t="s">
        <v>2107</v>
      </c>
      <c r="D2033" s="23" t="s">
        <v>2108</v>
      </c>
      <c r="E2033" s="73" t="s">
        <v>10914</v>
      </c>
      <c r="F2033" s="73" t="s">
        <v>10902</v>
      </c>
      <c r="G2033" s="73"/>
      <c r="H2033" s="73" t="s">
        <v>11161</v>
      </c>
      <c r="I2033" s="73" t="s">
        <v>11286</v>
      </c>
      <c r="J2033" s="33" t="s">
        <v>9374</v>
      </c>
      <c r="K2033" s="33" t="s">
        <v>9375</v>
      </c>
      <c r="L2033" s="33" t="s">
        <v>121</v>
      </c>
      <c r="M2033" s="33"/>
      <c r="N2033" s="73"/>
      <c r="O2033" s="73"/>
      <c r="P2033" s="73"/>
      <c r="Q2033" s="75"/>
      <c r="R2033" s="75"/>
      <c r="S2033" s="75"/>
      <c r="T2033" s="75"/>
      <c r="U2033" s="75"/>
      <c r="V2033" s="75"/>
    </row>
    <row r="2034" spans="2:22" x14ac:dyDescent="0.2">
      <c r="B2034" s="73" t="s">
        <v>10867</v>
      </c>
      <c r="C2034" s="33" t="s">
        <v>2109</v>
      </c>
      <c r="D2034" s="23" t="s">
        <v>2110</v>
      </c>
      <c r="E2034" s="73" t="s">
        <v>10914</v>
      </c>
      <c r="F2034" s="73" t="s">
        <v>10902</v>
      </c>
      <c r="G2034" s="73"/>
      <c r="H2034" s="73" t="s">
        <v>10917</v>
      </c>
      <c r="I2034" s="73" t="s">
        <v>11287</v>
      </c>
      <c r="J2034" s="33" t="s">
        <v>9374</v>
      </c>
      <c r="K2034" s="33" t="s">
        <v>9375</v>
      </c>
      <c r="L2034" s="33" t="s">
        <v>121</v>
      </c>
      <c r="M2034" s="33"/>
      <c r="N2034" s="73"/>
      <c r="O2034" s="73"/>
      <c r="P2034" s="73"/>
      <c r="Q2034" s="76"/>
      <c r="R2034" s="76"/>
      <c r="S2034" s="76"/>
      <c r="T2034" s="76"/>
      <c r="U2034" s="76"/>
      <c r="V2034" s="76"/>
    </row>
    <row r="2035" spans="2:22" ht="30.6" x14ac:dyDescent="0.2">
      <c r="B2035" s="73" t="s">
        <v>10867</v>
      </c>
      <c r="C2035" s="33" t="s">
        <v>2111</v>
      </c>
      <c r="D2035" s="23" t="s">
        <v>2112</v>
      </c>
      <c r="E2035" s="73"/>
      <c r="F2035" s="73"/>
      <c r="G2035" s="73"/>
      <c r="H2035" s="73"/>
      <c r="I2035" s="73" t="s">
        <v>11288</v>
      </c>
      <c r="J2035" s="33" t="s">
        <v>9374</v>
      </c>
      <c r="K2035" s="33" t="s">
        <v>9375</v>
      </c>
      <c r="L2035" s="33" t="s">
        <v>121</v>
      </c>
      <c r="M2035" s="33"/>
      <c r="N2035" s="73"/>
      <c r="O2035" s="73"/>
      <c r="P2035" s="73"/>
      <c r="Q2035" s="73"/>
      <c r="R2035" s="23"/>
      <c r="S2035" s="23"/>
      <c r="T2035" s="73"/>
      <c r="U2035" s="73"/>
      <c r="V2035" s="73"/>
    </row>
    <row r="2036" spans="2:22" x14ac:dyDescent="0.2">
      <c r="B2036" s="73" t="s">
        <v>10867</v>
      </c>
      <c r="C2036" s="33" t="s">
        <v>2113</v>
      </c>
      <c r="D2036" s="23" t="s">
        <v>2114</v>
      </c>
      <c r="E2036" s="73"/>
      <c r="F2036" s="73"/>
      <c r="G2036" s="73"/>
      <c r="H2036" s="73"/>
      <c r="I2036" s="73" t="s">
        <v>11289</v>
      </c>
      <c r="J2036" s="33" t="s">
        <v>9374</v>
      </c>
      <c r="K2036" s="33" t="s">
        <v>9375</v>
      </c>
      <c r="L2036" s="33" t="s">
        <v>121</v>
      </c>
      <c r="M2036" s="33"/>
      <c r="N2036" s="73"/>
      <c r="O2036" s="73"/>
      <c r="P2036" s="73"/>
      <c r="Q2036" s="73"/>
      <c r="R2036" s="23"/>
      <c r="S2036" s="23"/>
      <c r="T2036" s="73"/>
      <c r="U2036" s="73"/>
      <c r="V2036" s="73"/>
    </row>
    <row r="2037" spans="2:22" x14ac:dyDescent="0.2">
      <c r="B2037" s="73" t="s">
        <v>10867</v>
      </c>
      <c r="C2037" s="33" t="s">
        <v>2115</v>
      </c>
      <c r="D2037" s="23" t="s">
        <v>2116</v>
      </c>
      <c r="E2037" s="73" t="s">
        <v>10980</v>
      </c>
      <c r="F2037" s="73" t="s">
        <v>10902</v>
      </c>
      <c r="G2037" s="73"/>
      <c r="H2037" s="73" t="s">
        <v>10981</v>
      </c>
      <c r="I2037" s="73" t="s">
        <v>11290</v>
      </c>
      <c r="J2037" s="33" t="s">
        <v>9374</v>
      </c>
      <c r="K2037" s="33" t="s">
        <v>9375</v>
      </c>
      <c r="L2037" s="33" t="s">
        <v>121</v>
      </c>
      <c r="M2037" s="33"/>
      <c r="N2037" s="73"/>
      <c r="O2037" s="73"/>
      <c r="P2037" s="73"/>
      <c r="Q2037" s="75"/>
      <c r="R2037" s="75"/>
      <c r="S2037" s="75"/>
      <c r="T2037" s="75"/>
      <c r="U2037" s="75"/>
      <c r="V2037" s="75"/>
    </row>
    <row r="2038" spans="2:22" x14ac:dyDescent="0.2">
      <c r="B2038" s="73" t="s">
        <v>10867</v>
      </c>
      <c r="C2038" s="33" t="s">
        <v>2117</v>
      </c>
      <c r="D2038" s="23" t="s">
        <v>2118</v>
      </c>
      <c r="E2038" s="73" t="s">
        <v>10932</v>
      </c>
      <c r="F2038" s="73" t="s">
        <v>10902</v>
      </c>
      <c r="G2038" s="73"/>
      <c r="H2038" s="73" t="s">
        <v>10933</v>
      </c>
      <c r="I2038" s="73" t="s">
        <v>11291</v>
      </c>
      <c r="J2038" s="33" t="s">
        <v>9374</v>
      </c>
      <c r="K2038" s="33" t="s">
        <v>9375</v>
      </c>
      <c r="L2038" s="33" t="s">
        <v>121</v>
      </c>
      <c r="M2038" s="33"/>
      <c r="N2038" s="73"/>
      <c r="O2038" s="73"/>
      <c r="P2038" s="73"/>
      <c r="Q2038" s="76"/>
      <c r="R2038" s="76"/>
      <c r="S2038" s="76"/>
      <c r="T2038" s="76"/>
      <c r="U2038" s="76"/>
      <c r="V2038" s="76"/>
    </row>
    <row r="2039" spans="2:22" x14ac:dyDescent="0.2">
      <c r="B2039" s="73" t="s">
        <v>10867</v>
      </c>
      <c r="C2039" s="33" t="s">
        <v>2119</v>
      </c>
      <c r="D2039" s="23" t="s">
        <v>2120</v>
      </c>
      <c r="E2039" s="73" t="s">
        <v>11104</v>
      </c>
      <c r="F2039" s="73" t="s">
        <v>10902</v>
      </c>
      <c r="G2039" s="73"/>
      <c r="H2039" s="73" t="s">
        <v>11105</v>
      </c>
      <c r="I2039" s="73" t="s">
        <v>11292</v>
      </c>
      <c r="J2039" s="33" t="s">
        <v>9374</v>
      </c>
      <c r="K2039" s="33" t="s">
        <v>9375</v>
      </c>
      <c r="L2039" s="33" t="s">
        <v>121</v>
      </c>
      <c r="M2039" s="33"/>
      <c r="N2039" s="73"/>
      <c r="O2039" s="73"/>
      <c r="P2039" s="73"/>
      <c r="Q2039" s="73"/>
      <c r="R2039" s="23"/>
      <c r="S2039" s="23"/>
      <c r="T2039" s="73"/>
      <c r="U2039" s="73"/>
      <c r="V2039" s="73"/>
    </row>
    <row r="2040" spans="2:22" ht="20.399999999999999" x14ac:dyDescent="0.2">
      <c r="B2040" s="73" t="s">
        <v>10867</v>
      </c>
      <c r="C2040" s="33" t="s">
        <v>2121</v>
      </c>
      <c r="D2040" s="23" t="s">
        <v>2122</v>
      </c>
      <c r="E2040" s="73" t="s">
        <v>11167</v>
      </c>
      <c r="F2040" s="73" t="s">
        <v>10902</v>
      </c>
      <c r="G2040" s="73"/>
      <c r="H2040" s="73" t="s">
        <v>11105</v>
      </c>
      <c r="I2040" s="73" t="s">
        <v>11293</v>
      </c>
      <c r="J2040" s="33" t="s">
        <v>9374</v>
      </c>
      <c r="K2040" s="33" t="s">
        <v>9375</v>
      </c>
      <c r="L2040" s="33" t="s">
        <v>121</v>
      </c>
      <c r="M2040" s="33"/>
      <c r="N2040" s="73"/>
      <c r="O2040" s="73"/>
      <c r="P2040" s="73"/>
      <c r="Q2040" s="73"/>
      <c r="R2040" s="23"/>
      <c r="S2040" s="23"/>
      <c r="T2040" s="73"/>
      <c r="U2040" s="73"/>
      <c r="V2040" s="73"/>
    </row>
    <row r="2041" spans="2:22" x14ac:dyDescent="0.2">
      <c r="B2041" s="73" t="s">
        <v>10867</v>
      </c>
      <c r="C2041" s="33" t="s">
        <v>2123</v>
      </c>
      <c r="D2041" s="23" t="s">
        <v>2124</v>
      </c>
      <c r="E2041" s="73" t="s">
        <v>10921</v>
      </c>
      <c r="F2041" s="73" t="s">
        <v>10902</v>
      </c>
      <c r="G2041" s="73"/>
      <c r="H2041" s="73" t="s">
        <v>10922</v>
      </c>
      <c r="I2041" s="73" t="s">
        <v>11294</v>
      </c>
      <c r="J2041" s="33" t="s">
        <v>9374</v>
      </c>
      <c r="K2041" s="33" t="s">
        <v>9375</v>
      </c>
      <c r="L2041" s="33" t="s">
        <v>121</v>
      </c>
      <c r="M2041" s="33"/>
      <c r="N2041" s="73"/>
      <c r="O2041" s="73"/>
      <c r="P2041" s="73"/>
      <c r="Q2041" s="75"/>
      <c r="R2041" s="75"/>
      <c r="S2041" s="75"/>
      <c r="T2041" s="75"/>
      <c r="U2041" s="75"/>
      <c r="V2041" s="75"/>
    </row>
    <row r="2042" spans="2:22" x14ac:dyDescent="0.2">
      <c r="B2042" s="73" t="s">
        <v>10867</v>
      </c>
      <c r="C2042" s="33" t="s">
        <v>2125</v>
      </c>
      <c r="D2042" s="23" t="s">
        <v>2126</v>
      </c>
      <c r="E2042" s="73" t="s">
        <v>10924</v>
      </c>
      <c r="F2042" s="73" t="s">
        <v>10902</v>
      </c>
      <c r="G2042" s="73"/>
      <c r="H2042" s="73" t="s">
        <v>10925</v>
      </c>
      <c r="I2042" s="73" t="s">
        <v>11295</v>
      </c>
      <c r="J2042" s="33" t="s">
        <v>9374</v>
      </c>
      <c r="K2042" s="33" t="s">
        <v>9375</v>
      </c>
      <c r="L2042" s="33" t="s">
        <v>121</v>
      </c>
      <c r="M2042" s="33"/>
      <c r="N2042" s="73"/>
      <c r="O2042" s="73"/>
      <c r="P2042" s="73"/>
      <c r="Q2042" s="76"/>
      <c r="R2042" s="76"/>
      <c r="S2042" s="76"/>
      <c r="T2042" s="76"/>
      <c r="U2042" s="76"/>
      <c r="V2042" s="76"/>
    </row>
    <row r="2043" spans="2:22" x14ac:dyDescent="0.2">
      <c r="B2043" s="73" t="s">
        <v>10867</v>
      </c>
      <c r="C2043" s="33" t="s">
        <v>2127</v>
      </c>
      <c r="D2043" s="23" t="s">
        <v>2128</v>
      </c>
      <c r="E2043" s="73" t="s">
        <v>10965</v>
      </c>
      <c r="F2043" s="73"/>
      <c r="G2043" s="73"/>
      <c r="H2043" s="73" t="s">
        <v>10966</v>
      </c>
      <c r="I2043" s="73" t="s">
        <v>11296</v>
      </c>
      <c r="J2043" s="33" t="s">
        <v>9374</v>
      </c>
      <c r="K2043" s="33" t="s">
        <v>9375</v>
      </c>
      <c r="L2043" s="33" t="s">
        <v>121</v>
      </c>
      <c r="M2043" s="33"/>
      <c r="N2043" s="73"/>
      <c r="O2043" s="73"/>
      <c r="P2043" s="73"/>
      <c r="Q2043" s="73"/>
      <c r="R2043" s="23"/>
      <c r="S2043" s="23"/>
      <c r="T2043" s="73"/>
      <c r="U2043" s="73"/>
      <c r="V2043" s="73"/>
    </row>
    <row r="2044" spans="2:22" x14ac:dyDescent="0.2">
      <c r="B2044" s="73" t="s">
        <v>10867</v>
      </c>
      <c r="C2044" s="33" t="s">
        <v>2129</v>
      </c>
      <c r="D2044" s="23" t="s">
        <v>2130</v>
      </c>
      <c r="E2044" s="73" t="s">
        <v>10968</v>
      </c>
      <c r="F2044" s="73" t="s">
        <v>10902</v>
      </c>
      <c r="G2044" s="73"/>
      <c r="H2044" s="73" t="s">
        <v>10966</v>
      </c>
      <c r="I2044" s="73" t="s">
        <v>11297</v>
      </c>
      <c r="J2044" s="33" t="s">
        <v>9374</v>
      </c>
      <c r="K2044" s="33" t="s">
        <v>9375</v>
      </c>
      <c r="L2044" s="33" t="s">
        <v>121</v>
      </c>
      <c r="M2044" s="33"/>
      <c r="N2044" s="73"/>
      <c r="O2044" s="73"/>
      <c r="P2044" s="73"/>
      <c r="Q2044" s="73"/>
      <c r="R2044" s="23"/>
      <c r="S2044" s="23"/>
      <c r="T2044" s="73"/>
      <c r="U2044" s="73"/>
      <c r="V2044" s="73"/>
    </row>
    <row r="2045" spans="2:22" x14ac:dyDescent="0.2">
      <c r="B2045" s="166"/>
      <c r="C2045" s="166"/>
      <c r="D2045" s="166"/>
      <c r="E2045" s="166"/>
      <c r="F2045" s="166"/>
      <c r="G2045" s="166"/>
      <c r="H2045" s="166"/>
      <c r="I2045" s="166"/>
      <c r="J2045" s="166"/>
      <c r="K2045" s="166"/>
      <c r="L2045" s="166"/>
      <c r="M2045" s="166"/>
      <c r="N2045" s="166"/>
      <c r="O2045" s="166"/>
      <c r="P2045" s="166"/>
      <c r="Q2045" s="75"/>
      <c r="R2045" s="75"/>
      <c r="S2045" s="75"/>
      <c r="T2045" s="75"/>
      <c r="U2045" s="75"/>
      <c r="V2045" s="75"/>
    </row>
    <row r="2046" spans="2:22" x14ac:dyDescent="0.2">
      <c r="B2046" s="165" t="s">
        <v>10870</v>
      </c>
      <c r="C2046" s="165"/>
      <c r="D2046" s="165"/>
      <c r="E2046" s="165"/>
      <c r="F2046" s="165"/>
      <c r="G2046" s="165"/>
      <c r="H2046" s="165"/>
      <c r="I2046" s="165"/>
      <c r="J2046" s="165"/>
      <c r="K2046" s="165"/>
      <c r="L2046" s="165"/>
      <c r="M2046" s="165"/>
      <c r="N2046" s="165"/>
      <c r="O2046" s="165"/>
      <c r="P2046" s="165"/>
      <c r="Q2046" s="76"/>
      <c r="R2046" s="76"/>
      <c r="S2046" s="76"/>
      <c r="T2046" s="76"/>
      <c r="U2046" s="76"/>
      <c r="V2046" s="76"/>
    </row>
    <row r="2047" spans="2:22" x14ac:dyDescent="0.2">
      <c r="B2047" s="73" t="s">
        <v>10870</v>
      </c>
      <c r="C2047" s="33" t="s">
        <v>1562</v>
      </c>
      <c r="D2047" s="23" t="s">
        <v>1563</v>
      </c>
      <c r="E2047" s="73"/>
      <c r="F2047" s="73"/>
      <c r="G2047" s="73"/>
      <c r="H2047" s="73"/>
      <c r="I2047" s="73"/>
      <c r="J2047" s="33" t="s">
        <v>9374</v>
      </c>
      <c r="K2047" s="33" t="s">
        <v>11016</v>
      </c>
      <c r="L2047" s="33" t="s">
        <v>121</v>
      </c>
      <c r="M2047" s="33" t="s">
        <v>9376</v>
      </c>
      <c r="N2047" s="73"/>
      <c r="O2047" s="73"/>
      <c r="P2047" s="73"/>
      <c r="Q2047" s="73"/>
      <c r="R2047" s="23"/>
      <c r="S2047" s="23"/>
      <c r="T2047" s="73"/>
      <c r="U2047" s="73"/>
      <c r="V2047" s="73"/>
    </row>
    <row r="2048" spans="2:22" x14ac:dyDescent="0.2">
      <c r="B2048" s="166"/>
      <c r="C2048" s="166"/>
      <c r="D2048" s="166"/>
      <c r="E2048" s="166"/>
      <c r="F2048" s="166"/>
      <c r="G2048" s="166"/>
      <c r="H2048" s="166"/>
      <c r="I2048" s="166"/>
      <c r="J2048" s="166"/>
      <c r="K2048" s="166"/>
      <c r="L2048" s="166"/>
      <c r="M2048" s="166"/>
      <c r="N2048" s="166"/>
      <c r="O2048" s="166"/>
      <c r="P2048" s="166"/>
      <c r="Q2048" s="73"/>
      <c r="R2048" s="23"/>
      <c r="S2048" s="23"/>
      <c r="T2048" s="73"/>
      <c r="U2048" s="73"/>
      <c r="V2048" s="73"/>
    </row>
    <row r="2049" spans="2:22" x14ac:dyDescent="0.2">
      <c r="B2049" s="165" t="s">
        <v>10871</v>
      </c>
      <c r="C2049" s="165"/>
      <c r="D2049" s="165"/>
      <c r="E2049" s="165"/>
      <c r="F2049" s="165"/>
      <c r="G2049" s="165"/>
      <c r="H2049" s="165"/>
      <c r="I2049" s="165"/>
      <c r="J2049" s="165"/>
      <c r="K2049" s="165"/>
      <c r="L2049" s="165"/>
      <c r="M2049" s="165"/>
      <c r="N2049" s="165"/>
      <c r="O2049" s="165"/>
      <c r="P2049" s="165"/>
      <c r="Q2049" s="75"/>
      <c r="R2049" s="75"/>
      <c r="S2049" s="75"/>
      <c r="T2049" s="75"/>
      <c r="U2049" s="75"/>
      <c r="V2049" s="75"/>
    </row>
    <row r="2050" spans="2:22" x14ac:dyDescent="0.2">
      <c r="B2050" s="73" t="s">
        <v>10871</v>
      </c>
      <c r="C2050" s="33" t="s">
        <v>1564</v>
      </c>
      <c r="D2050" s="23" t="s">
        <v>1565</v>
      </c>
      <c r="E2050" s="73"/>
      <c r="F2050" s="73"/>
      <c r="G2050" s="73"/>
      <c r="H2050" s="73"/>
      <c r="I2050" s="73"/>
      <c r="J2050" s="33" t="s">
        <v>9374</v>
      </c>
      <c r="K2050" s="33" t="s">
        <v>11016</v>
      </c>
      <c r="L2050" s="33" t="s">
        <v>121</v>
      </c>
      <c r="M2050" s="33" t="s">
        <v>9376</v>
      </c>
      <c r="N2050" s="73"/>
      <c r="O2050" s="73"/>
      <c r="P2050" s="73"/>
      <c r="Q2050" s="76"/>
      <c r="R2050" s="76"/>
      <c r="S2050" s="76"/>
      <c r="T2050" s="76"/>
      <c r="U2050" s="76"/>
      <c r="V2050" s="76"/>
    </row>
    <row r="2051" spans="2:22" x14ac:dyDescent="0.2">
      <c r="B2051" s="166"/>
      <c r="C2051" s="166"/>
      <c r="D2051" s="166"/>
      <c r="E2051" s="166"/>
      <c r="F2051" s="166"/>
      <c r="G2051" s="166"/>
      <c r="H2051" s="166"/>
      <c r="I2051" s="166"/>
      <c r="J2051" s="166"/>
      <c r="K2051" s="166"/>
      <c r="L2051" s="166"/>
      <c r="M2051" s="166"/>
      <c r="N2051" s="166"/>
      <c r="O2051" s="166"/>
      <c r="P2051" s="166"/>
      <c r="Q2051" s="73"/>
      <c r="R2051" s="23"/>
      <c r="S2051" s="23"/>
      <c r="T2051" s="73"/>
      <c r="U2051" s="73"/>
      <c r="V2051" s="73"/>
    </row>
    <row r="2052" spans="2:22" x14ac:dyDescent="0.2">
      <c r="B2052" s="165" t="s">
        <v>10872</v>
      </c>
      <c r="C2052" s="165"/>
      <c r="D2052" s="165"/>
      <c r="E2052" s="165"/>
      <c r="F2052" s="165"/>
      <c r="G2052" s="165"/>
      <c r="H2052" s="165"/>
      <c r="I2052" s="165"/>
      <c r="J2052" s="165"/>
      <c r="K2052" s="165"/>
      <c r="L2052" s="165"/>
      <c r="M2052" s="165"/>
      <c r="N2052" s="165"/>
      <c r="O2052" s="165"/>
      <c r="P2052" s="165"/>
      <c r="Q2052" s="73"/>
      <c r="R2052" s="23"/>
      <c r="S2052" s="23"/>
      <c r="T2052" s="73"/>
      <c r="U2052" s="73"/>
      <c r="V2052" s="73"/>
    </row>
    <row r="2053" spans="2:22" x14ac:dyDescent="0.2">
      <c r="B2053" s="73" t="s">
        <v>10872</v>
      </c>
      <c r="C2053" s="33" t="s">
        <v>1566</v>
      </c>
      <c r="D2053" s="23" t="s">
        <v>1567</v>
      </c>
      <c r="E2053" s="73"/>
      <c r="F2053" s="73"/>
      <c r="G2053" s="73"/>
      <c r="H2053" s="73"/>
      <c r="I2053" s="73"/>
      <c r="J2053" s="33" t="s">
        <v>9374</v>
      </c>
      <c r="K2053" s="33" t="s">
        <v>11016</v>
      </c>
      <c r="L2053" s="33" t="s">
        <v>121</v>
      </c>
      <c r="M2053" s="33" t="s">
        <v>9376</v>
      </c>
      <c r="N2053" s="73"/>
      <c r="O2053" s="73"/>
      <c r="P2053" s="73"/>
      <c r="Q2053" s="75"/>
      <c r="R2053" s="75"/>
      <c r="S2053" s="75"/>
      <c r="T2053" s="75"/>
      <c r="U2053" s="75"/>
      <c r="V2053" s="75"/>
    </row>
    <row r="2054" spans="2:22" ht="30.6" x14ac:dyDescent="0.2">
      <c r="B2054" s="73" t="s">
        <v>10872</v>
      </c>
      <c r="C2054" s="33" t="s">
        <v>1971</v>
      </c>
      <c r="D2054" s="23" t="s">
        <v>1972</v>
      </c>
      <c r="E2054" s="73" t="s">
        <v>10947</v>
      </c>
      <c r="F2054" s="73" t="s">
        <v>10902</v>
      </c>
      <c r="G2054" s="73"/>
      <c r="H2054" s="73" t="s">
        <v>10948</v>
      </c>
      <c r="I2054" s="73" t="s">
        <v>11298</v>
      </c>
      <c r="J2054" s="33" t="s">
        <v>9374</v>
      </c>
      <c r="K2054" s="33" t="s">
        <v>11016</v>
      </c>
      <c r="L2054" s="33" t="s">
        <v>121</v>
      </c>
      <c r="M2054" s="33" t="s">
        <v>9376</v>
      </c>
      <c r="N2054" s="73"/>
      <c r="O2054" s="73"/>
      <c r="P2054" s="73"/>
      <c r="Q2054" s="76"/>
      <c r="R2054" s="76"/>
      <c r="S2054" s="76"/>
      <c r="T2054" s="76"/>
      <c r="U2054" s="76"/>
      <c r="V2054" s="76"/>
    </row>
    <row r="2055" spans="2:22" x14ac:dyDescent="0.2">
      <c r="B2055" s="166"/>
      <c r="C2055" s="166"/>
      <c r="D2055" s="166"/>
      <c r="E2055" s="166"/>
      <c r="F2055" s="166"/>
      <c r="G2055" s="166"/>
      <c r="H2055" s="166"/>
      <c r="I2055" s="166"/>
      <c r="J2055" s="166"/>
      <c r="K2055" s="166"/>
      <c r="L2055" s="166"/>
      <c r="M2055" s="166"/>
      <c r="N2055" s="166"/>
      <c r="O2055" s="166"/>
      <c r="P2055" s="166"/>
      <c r="Q2055" s="73"/>
      <c r="R2055" s="23"/>
      <c r="S2055" s="23"/>
      <c r="T2055" s="73"/>
      <c r="U2055" s="73"/>
      <c r="V2055" s="73"/>
    </row>
    <row r="2056" spans="2:22" x14ac:dyDescent="0.2">
      <c r="B2056" s="165" t="s">
        <v>10873</v>
      </c>
      <c r="C2056" s="165"/>
      <c r="D2056" s="165"/>
      <c r="E2056" s="165"/>
      <c r="F2056" s="165"/>
      <c r="G2056" s="165"/>
      <c r="H2056" s="165"/>
      <c r="I2056" s="165"/>
      <c r="J2056" s="165"/>
      <c r="K2056" s="165"/>
      <c r="L2056" s="165"/>
      <c r="M2056" s="165"/>
      <c r="N2056" s="165"/>
      <c r="O2056" s="165"/>
      <c r="P2056" s="165"/>
      <c r="Q2056" s="73"/>
      <c r="R2056" s="23"/>
      <c r="S2056" s="23"/>
      <c r="T2056" s="73"/>
      <c r="U2056" s="73"/>
      <c r="V2056" s="73"/>
    </row>
    <row r="2057" spans="2:22" x14ac:dyDescent="0.2">
      <c r="B2057" s="73" t="s">
        <v>10873</v>
      </c>
      <c r="C2057" s="33" t="s">
        <v>1568</v>
      </c>
      <c r="D2057" s="23" t="s">
        <v>1569</v>
      </c>
      <c r="E2057" s="73"/>
      <c r="F2057" s="73"/>
      <c r="G2057" s="73"/>
      <c r="H2057" s="73"/>
      <c r="I2057" s="73"/>
      <c r="J2057" s="33" t="s">
        <v>9374</v>
      </c>
      <c r="K2057" s="33" t="s">
        <v>11016</v>
      </c>
      <c r="L2057" s="33" t="s">
        <v>121</v>
      </c>
      <c r="M2057" s="33" t="s">
        <v>9376</v>
      </c>
      <c r="N2057" s="73"/>
      <c r="O2057" s="73"/>
      <c r="P2057" s="73"/>
      <c r="Q2057" s="75"/>
      <c r="R2057" s="75"/>
      <c r="S2057" s="75"/>
      <c r="T2057" s="75"/>
      <c r="U2057" s="75"/>
      <c r="V2057" s="75"/>
    </row>
    <row r="2058" spans="2:22" x14ac:dyDescent="0.2">
      <c r="B2058" s="166"/>
      <c r="C2058" s="166"/>
      <c r="D2058" s="166"/>
      <c r="E2058" s="166"/>
      <c r="F2058" s="166"/>
      <c r="G2058" s="166"/>
      <c r="H2058" s="166"/>
      <c r="I2058" s="166"/>
      <c r="J2058" s="166"/>
      <c r="K2058" s="166"/>
      <c r="L2058" s="166"/>
      <c r="M2058" s="166"/>
      <c r="N2058" s="166"/>
      <c r="O2058" s="166"/>
      <c r="P2058" s="166"/>
      <c r="Q2058" s="76"/>
      <c r="R2058" s="76"/>
      <c r="S2058" s="76"/>
      <c r="T2058" s="76"/>
      <c r="U2058" s="76"/>
      <c r="V2058" s="76"/>
    </row>
    <row r="2059" spans="2:22" x14ac:dyDescent="0.2">
      <c r="B2059" s="165" t="s">
        <v>10874</v>
      </c>
      <c r="C2059" s="165"/>
      <c r="D2059" s="165"/>
      <c r="E2059" s="165"/>
      <c r="F2059" s="165"/>
      <c r="G2059" s="165"/>
      <c r="H2059" s="165"/>
      <c r="I2059" s="165"/>
      <c r="J2059" s="165"/>
      <c r="K2059" s="165"/>
      <c r="L2059" s="165"/>
      <c r="M2059" s="165"/>
      <c r="N2059" s="165"/>
      <c r="O2059" s="165"/>
      <c r="P2059" s="165"/>
      <c r="Q2059" s="73"/>
      <c r="R2059" s="23"/>
      <c r="S2059" s="23"/>
      <c r="T2059" s="73"/>
      <c r="U2059" s="73"/>
      <c r="V2059" s="73"/>
    </row>
    <row r="2060" spans="2:22" x14ac:dyDescent="0.2">
      <c r="B2060" s="73" t="s">
        <v>10874</v>
      </c>
      <c r="C2060" s="33" t="s">
        <v>1570</v>
      </c>
      <c r="D2060" s="23" t="s">
        <v>1571</v>
      </c>
      <c r="E2060" s="73"/>
      <c r="F2060" s="73"/>
      <c r="G2060" s="73"/>
      <c r="H2060" s="73"/>
      <c r="I2060" s="73"/>
      <c r="J2060" s="33" t="s">
        <v>9374</v>
      </c>
      <c r="K2060" s="33" t="s">
        <v>11016</v>
      </c>
      <c r="L2060" s="33" t="s">
        <v>121</v>
      </c>
      <c r="M2060" s="33" t="s">
        <v>9376</v>
      </c>
      <c r="N2060" s="73"/>
      <c r="O2060" s="73"/>
      <c r="P2060" s="73"/>
      <c r="Q2060" s="73"/>
      <c r="R2060" s="23"/>
      <c r="S2060" s="23"/>
      <c r="T2060" s="73"/>
      <c r="U2060" s="73"/>
      <c r="V2060" s="73"/>
    </row>
    <row r="2061" spans="2:22" x14ac:dyDescent="0.2">
      <c r="B2061" s="166"/>
      <c r="C2061" s="166"/>
      <c r="D2061" s="166"/>
      <c r="E2061" s="166"/>
      <c r="F2061" s="166"/>
      <c r="G2061" s="166"/>
      <c r="H2061" s="166"/>
      <c r="I2061" s="166"/>
      <c r="J2061" s="166"/>
      <c r="K2061" s="166"/>
      <c r="L2061" s="166"/>
      <c r="M2061" s="166"/>
      <c r="N2061" s="166"/>
      <c r="O2061" s="166"/>
      <c r="P2061" s="166"/>
      <c r="Q2061" s="75"/>
      <c r="R2061" s="75"/>
      <c r="S2061" s="75"/>
      <c r="T2061" s="75"/>
      <c r="U2061" s="75"/>
      <c r="V2061" s="75"/>
    </row>
    <row r="2062" spans="2:22" x14ac:dyDescent="0.2">
      <c r="B2062" s="165" t="s">
        <v>10875</v>
      </c>
      <c r="C2062" s="165"/>
      <c r="D2062" s="165"/>
      <c r="E2062" s="165"/>
      <c r="F2062" s="165"/>
      <c r="G2062" s="165"/>
      <c r="H2062" s="165"/>
      <c r="I2062" s="165"/>
      <c r="J2062" s="165"/>
      <c r="K2062" s="165"/>
      <c r="L2062" s="165"/>
      <c r="M2062" s="165"/>
      <c r="N2062" s="165"/>
      <c r="O2062" s="165"/>
      <c r="P2062" s="165"/>
      <c r="Q2062" s="76"/>
      <c r="R2062" s="76"/>
      <c r="S2062" s="76"/>
      <c r="T2062" s="76"/>
      <c r="U2062" s="76"/>
      <c r="V2062" s="76"/>
    </row>
    <row r="2063" spans="2:22" x14ac:dyDescent="0.2">
      <c r="B2063" s="73" t="s">
        <v>10875</v>
      </c>
      <c r="C2063" s="33" t="s">
        <v>2154</v>
      </c>
      <c r="D2063" s="23" t="s">
        <v>2155</v>
      </c>
      <c r="E2063" s="73" t="s">
        <v>10989</v>
      </c>
      <c r="F2063" s="73" t="s">
        <v>10902</v>
      </c>
      <c r="G2063" s="73"/>
      <c r="H2063" s="73" t="s">
        <v>10998</v>
      </c>
      <c r="I2063" s="73" t="s">
        <v>11299</v>
      </c>
      <c r="J2063" s="33" t="s">
        <v>9374</v>
      </c>
      <c r="K2063" s="33" t="s">
        <v>9375</v>
      </c>
      <c r="L2063" s="33" t="s">
        <v>121</v>
      </c>
      <c r="M2063" s="33" t="s">
        <v>9376</v>
      </c>
      <c r="N2063" s="73"/>
      <c r="O2063" s="73"/>
      <c r="P2063" s="73"/>
      <c r="Q2063" s="73"/>
      <c r="R2063" s="23"/>
      <c r="S2063" s="23"/>
      <c r="T2063" s="73"/>
      <c r="U2063" s="73"/>
      <c r="V2063" s="73"/>
    </row>
    <row r="2064" spans="2:22" x14ac:dyDescent="0.2">
      <c r="B2064" s="73" t="s">
        <v>10875</v>
      </c>
      <c r="C2064" s="33" t="s">
        <v>2156</v>
      </c>
      <c r="D2064" s="23" t="s">
        <v>2157</v>
      </c>
      <c r="E2064" s="73" t="s">
        <v>10989</v>
      </c>
      <c r="F2064" s="73" t="s">
        <v>10902</v>
      </c>
      <c r="G2064" s="73"/>
      <c r="H2064" s="73" t="s">
        <v>10998</v>
      </c>
      <c r="I2064" s="73" t="s">
        <v>11300</v>
      </c>
      <c r="J2064" s="33" t="s">
        <v>9374</v>
      </c>
      <c r="K2064" s="33" t="s">
        <v>9375</v>
      </c>
      <c r="L2064" s="33" t="s">
        <v>121</v>
      </c>
      <c r="M2064" s="33" t="s">
        <v>9376</v>
      </c>
      <c r="N2064" s="73"/>
      <c r="O2064" s="73"/>
      <c r="P2064" s="73"/>
      <c r="Q2064" s="73"/>
      <c r="R2064" s="23"/>
      <c r="S2064" s="23"/>
      <c r="T2064" s="73"/>
      <c r="U2064" s="73"/>
      <c r="V2064" s="73"/>
    </row>
    <row r="2065" spans="2:22" x14ac:dyDescent="0.2">
      <c r="B2065" s="73" t="s">
        <v>10875</v>
      </c>
      <c r="C2065" s="33" t="s">
        <v>2158</v>
      </c>
      <c r="D2065" s="23" t="s">
        <v>2159</v>
      </c>
      <c r="E2065" s="73" t="s">
        <v>10989</v>
      </c>
      <c r="F2065" s="73" t="s">
        <v>10902</v>
      </c>
      <c r="G2065" s="73"/>
      <c r="H2065" s="73" t="s">
        <v>10998</v>
      </c>
      <c r="I2065" s="73" t="s">
        <v>11301</v>
      </c>
      <c r="J2065" s="33" t="s">
        <v>9374</v>
      </c>
      <c r="K2065" s="33" t="s">
        <v>9375</v>
      </c>
      <c r="L2065" s="33" t="s">
        <v>121</v>
      </c>
      <c r="M2065" s="33" t="s">
        <v>9376</v>
      </c>
      <c r="N2065" s="73"/>
      <c r="O2065" s="73"/>
      <c r="P2065" s="73"/>
      <c r="Q2065" s="75"/>
      <c r="R2065" s="75"/>
      <c r="S2065" s="75"/>
      <c r="T2065" s="75"/>
      <c r="U2065" s="75"/>
      <c r="V2065" s="75"/>
    </row>
    <row r="2066" spans="2:22" x14ac:dyDescent="0.2">
      <c r="B2066" s="73" t="s">
        <v>10875</v>
      </c>
      <c r="C2066" s="33" t="s">
        <v>2160</v>
      </c>
      <c r="D2066" s="23" t="s">
        <v>2161</v>
      </c>
      <c r="E2066" s="73" t="s">
        <v>10989</v>
      </c>
      <c r="F2066" s="73" t="s">
        <v>10902</v>
      </c>
      <c r="G2066" s="73"/>
      <c r="H2066" s="73" t="s">
        <v>10998</v>
      </c>
      <c r="I2066" s="73" t="s">
        <v>11301</v>
      </c>
      <c r="J2066" s="33" t="s">
        <v>9374</v>
      </c>
      <c r="K2066" s="33" t="s">
        <v>9375</v>
      </c>
      <c r="L2066" s="33" t="s">
        <v>121</v>
      </c>
      <c r="M2066" s="33" t="s">
        <v>9376</v>
      </c>
      <c r="N2066" s="73"/>
      <c r="O2066" s="73"/>
      <c r="P2066" s="73"/>
      <c r="Q2066" s="76"/>
      <c r="R2066" s="76"/>
      <c r="S2066" s="76"/>
      <c r="T2066" s="76"/>
      <c r="U2066" s="76"/>
      <c r="V2066" s="76"/>
    </row>
    <row r="2067" spans="2:22" x14ac:dyDescent="0.2">
      <c r="B2067" s="73" t="s">
        <v>10875</v>
      </c>
      <c r="C2067" s="33" t="s">
        <v>2163</v>
      </c>
      <c r="D2067" s="23" t="s">
        <v>2164</v>
      </c>
      <c r="E2067" s="73" t="s">
        <v>10989</v>
      </c>
      <c r="F2067" s="73" t="s">
        <v>10902</v>
      </c>
      <c r="G2067" s="73"/>
      <c r="H2067" s="73" t="s">
        <v>10998</v>
      </c>
      <c r="I2067" s="73" t="s">
        <v>11302</v>
      </c>
      <c r="J2067" s="33" t="s">
        <v>9374</v>
      </c>
      <c r="K2067" s="33" t="s">
        <v>9375</v>
      </c>
      <c r="L2067" s="33" t="s">
        <v>121</v>
      </c>
      <c r="M2067" s="33" t="s">
        <v>9376</v>
      </c>
      <c r="N2067" s="73"/>
      <c r="O2067" s="73"/>
      <c r="P2067" s="73"/>
      <c r="Q2067" s="73"/>
      <c r="R2067" s="23"/>
      <c r="S2067" s="23"/>
      <c r="T2067" s="73"/>
      <c r="U2067" s="73"/>
      <c r="V2067" s="73"/>
    </row>
    <row r="2068" spans="2:22" x14ac:dyDescent="0.2">
      <c r="B2068" s="73" t="s">
        <v>10875</v>
      </c>
      <c r="C2068" s="33" t="s">
        <v>2165</v>
      </c>
      <c r="D2068" s="23" t="s">
        <v>2166</v>
      </c>
      <c r="E2068" s="73" t="s">
        <v>10989</v>
      </c>
      <c r="F2068" s="73" t="s">
        <v>10902</v>
      </c>
      <c r="G2068" s="73"/>
      <c r="H2068" s="73" t="s">
        <v>10998</v>
      </c>
      <c r="I2068" s="73" t="s">
        <v>11303</v>
      </c>
      <c r="J2068" s="33" t="s">
        <v>9374</v>
      </c>
      <c r="K2068" s="33" t="s">
        <v>9375</v>
      </c>
      <c r="L2068" s="33" t="s">
        <v>121</v>
      </c>
      <c r="M2068" s="33" t="s">
        <v>9376</v>
      </c>
      <c r="N2068" s="73"/>
      <c r="O2068" s="73"/>
      <c r="P2068" s="73"/>
      <c r="Q2068" s="73"/>
      <c r="R2068" s="23"/>
      <c r="S2068" s="23"/>
      <c r="T2068" s="73"/>
      <c r="U2068" s="73"/>
      <c r="V2068" s="73"/>
    </row>
    <row r="2069" spans="2:22" x14ac:dyDescent="0.2">
      <c r="B2069" s="73" t="s">
        <v>10875</v>
      </c>
      <c r="C2069" s="33" t="s">
        <v>2167</v>
      </c>
      <c r="D2069" s="23" t="s">
        <v>2168</v>
      </c>
      <c r="E2069" s="73" t="s">
        <v>10989</v>
      </c>
      <c r="F2069" s="73" t="s">
        <v>10902</v>
      </c>
      <c r="G2069" s="73"/>
      <c r="H2069" s="73" t="s">
        <v>10998</v>
      </c>
      <c r="I2069" s="73" t="s">
        <v>11304</v>
      </c>
      <c r="J2069" s="33" t="s">
        <v>9374</v>
      </c>
      <c r="K2069" s="33" t="s">
        <v>9375</v>
      </c>
      <c r="L2069" s="33" t="s">
        <v>121</v>
      </c>
      <c r="M2069" s="33" t="s">
        <v>9376</v>
      </c>
      <c r="N2069" s="73"/>
      <c r="O2069" s="73"/>
      <c r="P2069" s="73"/>
      <c r="Q2069" s="75"/>
      <c r="R2069" s="75"/>
      <c r="S2069" s="75"/>
      <c r="T2069" s="75"/>
      <c r="U2069" s="75"/>
      <c r="V2069" s="75"/>
    </row>
    <row r="2070" spans="2:22" x14ac:dyDescent="0.2">
      <c r="B2070" s="73" t="s">
        <v>10875</v>
      </c>
      <c r="C2070" s="33" t="s">
        <v>2170</v>
      </c>
      <c r="D2070" s="23" t="s">
        <v>2171</v>
      </c>
      <c r="E2070" s="73" t="s">
        <v>10989</v>
      </c>
      <c r="F2070" s="73" t="s">
        <v>10902</v>
      </c>
      <c r="G2070" s="73"/>
      <c r="H2070" s="73" t="s">
        <v>10998</v>
      </c>
      <c r="I2070" s="73" t="s">
        <v>11305</v>
      </c>
      <c r="J2070" s="33" t="s">
        <v>9374</v>
      </c>
      <c r="K2070" s="33" t="s">
        <v>9375</v>
      </c>
      <c r="L2070" s="33" t="s">
        <v>121</v>
      </c>
      <c r="M2070" s="33" t="s">
        <v>9376</v>
      </c>
      <c r="N2070" s="73"/>
      <c r="O2070" s="73"/>
      <c r="P2070" s="73"/>
      <c r="Q2070" s="76"/>
      <c r="R2070" s="76"/>
      <c r="S2070" s="76"/>
      <c r="T2070" s="76"/>
      <c r="U2070" s="76"/>
      <c r="V2070" s="76"/>
    </row>
    <row r="2071" spans="2:22" x14ac:dyDescent="0.2">
      <c r="B2071" s="73" t="s">
        <v>10875</v>
      </c>
      <c r="C2071" s="33" t="s">
        <v>2172</v>
      </c>
      <c r="D2071" s="23" t="s">
        <v>2173</v>
      </c>
      <c r="E2071" s="73" t="s">
        <v>10989</v>
      </c>
      <c r="F2071" s="73" t="s">
        <v>10902</v>
      </c>
      <c r="G2071" s="73"/>
      <c r="H2071" s="73" t="s">
        <v>10998</v>
      </c>
      <c r="I2071" s="73" t="s">
        <v>11306</v>
      </c>
      <c r="J2071" s="33" t="s">
        <v>9374</v>
      </c>
      <c r="K2071" s="33" t="s">
        <v>9375</v>
      </c>
      <c r="L2071" s="33" t="s">
        <v>121</v>
      </c>
      <c r="M2071" s="33" t="s">
        <v>9376</v>
      </c>
      <c r="N2071" s="73"/>
      <c r="O2071" s="73"/>
      <c r="P2071" s="73"/>
      <c r="Q2071" s="73"/>
      <c r="R2071" s="23"/>
      <c r="S2071" s="23"/>
      <c r="T2071" s="73"/>
      <c r="U2071" s="73"/>
      <c r="V2071" s="73"/>
    </row>
    <row r="2072" spans="2:22" x14ac:dyDescent="0.2">
      <c r="B2072" s="73" t="s">
        <v>10875</v>
      </c>
      <c r="C2072" s="33" t="s">
        <v>2174</v>
      </c>
      <c r="D2072" s="23" t="s">
        <v>2175</v>
      </c>
      <c r="E2072" s="73" t="s">
        <v>10989</v>
      </c>
      <c r="F2072" s="73" t="s">
        <v>10902</v>
      </c>
      <c r="G2072" s="73"/>
      <c r="H2072" s="73" t="s">
        <v>10998</v>
      </c>
      <c r="I2072" s="73" t="s">
        <v>11307</v>
      </c>
      <c r="J2072" s="33" t="s">
        <v>9374</v>
      </c>
      <c r="K2072" s="33" t="s">
        <v>9375</v>
      </c>
      <c r="L2072" s="33" t="s">
        <v>121</v>
      </c>
      <c r="M2072" s="33" t="s">
        <v>9376</v>
      </c>
      <c r="N2072" s="73"/>
      <c r="O2072" s="73"/>
      <c r="P2072" s="73"/>
      <c r="Q2072" s="73"/>
      <c r="R2072" s="23"/>
      <c r="S2072" s="23"/>
      <c r="T2072" s="73"/>
      <c r="U2072" s="73"/>
      <c r="V2072" s="73"/>
    </row>
    <row r="2073" spans="2:22" x14ac:dyDescent="0.2">
      <c r="B2073" s="73" t="s">
        <v>10875</v>
      </c>
      <c r="C2073" s="33" t="s">
        <v>2176</v>
      </c>
      <c r="D2073" s="23" t="s">
        <v>2177</v>
      </c>
      <c r="E2073" s="73" t="s">
        <v>10989</v>
      </c>
      <c r="F2073" s="73" t="s">
        <v>10902</v>
      </c>
      <c r="G2073" s="73"/>
      <c r="H2073" s="73" t="s">
        <v>10998</v>
      </c>
      <c r="I2073" s="73" t="s">
        <v>11308</v>
      </c>
      <c r="J2073" s="33" t="s">
        <v>9374</v>
      </c>
      <c r="K2073" s="33" t="s">
        <v>9375</v>
      </c>
      <c r="L2073" s="33" t="s">
        <v>121</v>
      </c>
      <c r="M2073" s="33" t="s">
        <v>9376</v>
      </c>
      <c r="N2073" s="73"/>
      <c r="O2073" s="73"/>
      <c r="P2073" s="73"/>
      <c r="Q2073" s="73"/>
      <c r="R2073" s="23"/>
      <c r="S2073" s="23"/>
      <c r="T2073" s="73"/>
      <c r="U2073" s="73"/>
      <c r="V2073" s="73"/>
    </row>
    <row r="2074" spans="2:22" x14ac:dyDescent="0.2">
      <c r="B2074" s="73" t="s">
        <v>10875</v>
      </c>
      <c r="C2074" s="33" t="s">
        <v>2178</v>
      </c>
      <c r="D2074" s="23" t="s">
        <v>2179</v>
      </c>
      <c r="E2074" s="73" t="s">
        <v>11027</v>
      </c>
      <c r="F2074" s="73" t="s">
        <v>10902</v>
      </c>
      <c r="G2074" s="73"/>
      <c r="H2074" s="73" t="s">
        <v>10998</v>
      </c>
      <c r="I2074" s="73" t="s">
        <v>11300</v>
      </c>
      <c r="J2074" s="33" t="s">
        <v>9374</v>
      </c>
      <c r="K2074" s="33" t="s">
        <v>9375</v>
      </c>
      <c r="L2074" s="33" t="s">
        <v>121</v>
      </c>
      <c r="M2074" s="33" t="s">
        <v>9376</v>
      </c>
      <c r="N2074" s="73"/>
      <c r="O2074" s="73"/>
      <c r="P2074" s="73"/>
      <c r="Q2074" s="73"/>
      <c r="R2074" s="23"/>
      <c r="S2074" s="23"/>
      <c r="T2074" s="73"/>
      <c r="U2074" s="73"/>
      <c r="V2074" s="73"/>
    </row>
    <row r="2075" spans="2:22" x14ac:dyDescent="0.2">
      <c r="B2075" s="166"/>
      <c r="C2075" s="166"/>
      <c r="D2075" s="166"/>
      <c r="E2075" s="166"/>
      <c r="F2075" s="166"/>
      <c r="G2075" s="166"/>
      <c r="H2075" s="166"/>
      <c r="I2075" s="166"/>
      <c r="J2075" s="166"/>
      <c r="K2075" s="166"/>
      <c r="L2075" s="166"/>
      <c r="M2075" s="166"/>
      <c r="N2075" s="166"/>
      <c r="O2075" s="166"/>
      <c r="P2075" s="166"/>
      <c r="Q2075" s="73"/>
      <c r="R2075" s="23"/>
      <c r="S2075" s="23"/>
      <c r="T2075" s="73"/>
      <c r="U2075" s="73"/>
      <c r="V2075" s="73"/>
    </row>
    <row r="2076" spans="2:22" x14ac:dyDescent="0.2">
      <c r="B2076" s="165" t="s">
        <v>1577</v>
      </c>
      <c r="C2076" s="165"/>
      <c r="D2076" s="165"/>
      <c r="E2076" s="165"/>
      <c r="F2076" s="165"/>
      <c r="G2076" s="165"/>
      <c r="H2076" s="165"/>
      <c r="I2076" s="165"/>
      <c r="J2076" s="165"/>
      <c r="K2076" s="165"/>
      <c r="L2076" s="165"/>
      <c r="M2076" s="165"/>
      <c r="N2076" s="165"/>
      <c r="O2076" s="165"/>
      <c r="P2076" s="165"/>
      <c r="Q2076" s="75"/>
      <c r="R2076" s="75"/>
      <c r="S2076" s="75"/>
      <c r="T2076" s="75"/>
      <c r="U2076" s="75"/>
      <c r="V2076" s="75"/>
    </row>
    <row r="2077" spans="2:22" x14ac:dyDescent="0.2">
      <c r="B2077" s="73" t="s">
        <v>1577</v>
      </c>
      <c r="C2077" s="33" t="s">
        <v>1577</v>
      </c>
      <c r="D2077" s="23" t="s">
        <v>1578</v>
      </c>
      <c r="E2077" s="73"/>
      <c r="F2077" s="73"/>
      <c r="G2077" s="73"/>
      <c r="H2077" s="73"/>
      <c r="I2077" s="73"/>
      <c r="J2077" s="33" t="s">
        <v>9374</v>
      </c>
      <c r="K2077" s="33" t="s">
        <v>11016</v>
      </c>
      <c r="L2077" s="33" t="s">
        <v>121</v>
      </c>
      <c r="M2077" s="33" t="s">
        <v>9376</v>
      </c>
      <c r="N2077" s="73"/>
      <c r="O2077" s="73"/>
      <c r="P2077" s="73"/>
      <c r="Q2077" s="76"/>
      <c r="R2077" s="76"/>
      <c r="S2077" s="76"/>
      <c r="T2077" s="76"/>
      <c r="U2077" s="76"/>
      <c r="V2077" s="76"/>
    </row>
    <row r="2078" spans="2:22" x14ac:dyDescent="0.2">
      <c r="B2078" s="73"/>
      <c r="C2078" s="33"/>
      <c r="D2078" s="23"/>
      <c r="E2078" s="73"/>
      <c r="F2078" s="73"/>
      <c r="G2078" s="73"/>
      <c r="H2078" s="73"/>
      <c r="I2078" s="73"/>
      <c r="J2078" s="33"/>
      <c r="K2078" s="33"/>
      <c r="L2078" s="33"/>
      <c r="M2078" s="33"/>
      <c r="N2078" s="73"/>
      <c r="O2078" s="73"/>
      <c r="P2078" s="73"/>
      <c r="Q2078" s="73"/>
      <c r="R2078" s="23"/>
      <c r="S2078" s="23"/>
      <c r="T2078" s="73"/>
      <c r="U2078" s="73"/>
      <c r="V2078" s="73"/>
    </row>
    <row r="2079" spans="2:22" x14ac:dyDescent="0.2">
      <c r="B2079" s="73"/>
      <c r="C2079" s="33"/>
      <c r="D2079" s="23"/>
      <c r="E2079" s="73"/>
      <c r="F2079" s="73"/>
      <c r="G2079" s="73"/>
      <c r="H2079" s="73"/>
      <c r="I2079" s="73"/>
      <c r="J2079" s="33"/>
      <c r="K2079" s="33"/>
      <c r="L2079" s="33"/>
      <c r="M2079" s="33"/>
      <c r="N2079" s="73"/>
      <c r="O2079" s="73"/>
      <c r="P2079" s="73"/>
      <c r="Q2079" s="73"/>
      <c r="R2079" s="23"/>
      <c r="S2079" s="23"/>
      <c r="T2079" s="73"/>
      <c r="U2079" s="73"/>
      <c r="V2079" s="73"/>
    </row>
    <row r="2080" spans="2:22" x14ac:dyDescent="0.2">
      <c r="B2080" s="75"/>
      <c r="C2080" s="75"/>
      <c r="D2080" s="75"/>
      <c r="E2080" s="75"/>
      <c r="F2080" s="75"/>
      <c r="G2080" s="75"/>
      <c r="H2080" s="75"/>
      <c r="I2080" s="75"/>
      <c r="J2080" s="75"/>
      <c r="K2080" s="75"/>
      <c r="L2080" s="75"/>
      <c r="M2080" s="75"/>
      <c r="N2080" s="75"/>
      <c r="O2080" s="75"/>
      <c r="P2080" s="75"/>
      <c r="Q2080" s="75"/>
      <c r="R2080" s="75"/>
      <c r="S2080" s="75"/>
      <c r="T2080" s="75"/>
      <c r="U2080" s="75"/>
      <c r="V2080" s="75"/>
    </row>
    <row r="2081" spans="2:22" x14ac:dyDescent="0.2">
      <c r="B2081" s="76"/>
      <c r="C2081" s="76"/>
      <c r="D2081" s="76"/>
      <c r="E2081" s="76"/>
      <c r="F2081" s="76"/>
      <c r="G2081" s="76"/>
      <c r="H2081" s="76"/>
      <c r="I2081" s="76"/>
      <c r="J2081" s="76"/>
      <c r="K2081" s="76"/>
      <c r="L2081" s="76"/>
      <c r="M2081" s="76"/>
      <c r="N2081" s="76"/>
      <c r="O2081" s="76"/>
      <c r="P2081" s="76"/>
      <c r="Q2081" s="76"/>
      <c r="R2081" s="76"/>
      <c r="S2081" s="76"/>
      <c r="T2081" s="76"/>
      <c r="U2081" s="76"/>
      <c r="V2081" s="76"/>
    </row>
    <row r="2082" spans="2:22" x14ac:dyDescent="0.2">
      <c r="B2082" s="73"/>
      <c r="C2082" s="33"/>
      <c r="D2082" s="23"/>
      <c r="E2082" s="73"/>
      <c r="F2082" s="73"/>
      <c r="G2082" s="73"/>
      <c r="H2082" s="73"/>
      <c r="I2082" s="73"/>
      <c r="J2082" s="33"/>
      <c r="K2082" s="33"/>
      <c r="L2082" s="33"/>
      <c r="M2082" s="33"/>
      <c r="N2082" s="73"/>
      <c r="O2082" s="73"/>
      <c r="P2082" s="73"/>
      <c r="Q2082" s="73"/>
      <c r="R2082" s="23"/>
      <c r="S2082" s="23"/>
      <c r="T2082" s="73"/>
      <c r="U2082" s="73"/>
      <c r="V2082" s="73"/>
    </row>
    <row r="2083" spans="2:22" x14ac:dyDescent="0.2">
      <c r="B2083" s="73"/>
      <c r="C2083" s="33"/>
      <c r="D2083" s="23"/>
      <c r="E2083" s="73"/>
      <c r="F2083" s="73"/>
      <c r="G2083" s="73"/>
      <c r="H2083" s="73"/>
      <c r="I2083" s="73"/>
      <c r="J2083" s="33"/>
      <c r="K2083" s="33"/>
      <c r="L2083" s="33"/>
      <c r="M2083" s="33"/>
      <c r="N2083" s="73"/>
      <c r="O2083" s="73"/>
      <c r="P2083" s="73"/>
      <c r="Q2083" s="73"/>
      <c r="R2083" s="23"/>
      <c r="S2083" s="23"/>
      <c r="T2083" s="73"/>
      <c r="U2083" s="73"/>
      <c r="V2083" s="73"/>
    </row>
    <row r="2084" spans="2:22" x14ac:dyDescent="0.2">
      <c r="B2084" s="75"/>
      <c r="C2084" s="75"/>
      <c r="D2084" s="75"/>
      <c r="E2084" s="75"/>
      <c r="F2084" s="75"/>
      <c r="G2084" s="75"/>
      <c r="H2084" s="75"/>
      <c r="I2084" s="75"/>
      <c r="J2084" s="75"/>
      <c r="K2084" s="75"/>
      <c r="L2084" s="75"/>
      <c r="M2084" s="75"/>
      <c r="N2084" s="75"/>
      <c r="O2084" s="75"/>
      <c r="P2084" s="75"/>
      <c r="Q2084" s="75"/>
      <c r="R2084" s="75"/>
      <c r="S2084" s="75"/>
      <c r="T2084" s="75"/>
      <c r="U2084" s="75"/>
      <c r="V2084" s="75"/>
    </row>
    <row r="2085" spans="2:22" x14ac:dyDescent="0.2">
      <c r="B2085" s="76"/>
      <c r="C2085" s="76"/>
      <c r="D2085" s="76"/>
      <c r="E2085" s="76"/>
      <c r="F2085" s="76"/>
      <c r="G2085" s="76"/>
      <c r="H2085" s="76"/>
      <c r="I2085" s="76"/>
      <c r="J2085" s="76"/>
      <c r="K2085" s="76"/>
      <c r="L2085" s="76"/>
      <c r="M2085" s="76"/>
      <c r="N2085" s="76"/>
      <c r="O2085" s="76"/>
      <c r="P2085" s="76"/>
      <c r="Q2085" s="76"/>
      <c r="R2085" s="76"/>
      <c r="S2085" s="76"/>
      <c r="T2085" s="76"/>
      <c r="U2085" s="76"/>
      <c r="V2085" s="76"/>
    </row>
    <row r="2086" spans="2:22" x14ac:dyDescent="0.2">
      <c r="B2086" s="73"/>
      <c r="C2086" s="33"/>
      <c r="D2086" s="23"/>
      <c r="E2086" s="73"/>
      <c r="F2086" s="73"/>
      <c r="G2086" s="73"/>
      <c r="H2086" s="73"/>
      <c r="I2086" s="73"/>
      <c r="J2086" s="33"/>
      <c r="K2086" s="33"/>
      <c r="L2086" s="33"/>
      <c r="M2086" s="33"/>
      <c r="N2086" s="73"/>
      <c r="O2086" s="73"/>
      <c r="P2086" s="73"/>
      <c r="Q2086" s="73"/>
      <c r="R2086" s="23"/>
      <c r="S2086" s="23"/>
      <c r="T2086" s="73"/>
      <c r="U2086" s="73"/>
      <c r="V2086" s="73"/>
    </row>
    <row r="2087" spans="2:22" x14ac:dyDescent="0.2">
      <c r="B2087" s="73"/>
      <c r="C2087" s="33"/>
      <c r="D2087" s="23"/>
      <c r="E2087" s="73"/>
      <c r="F2087" s="73"/>
      <c r="G2087" s="73"/>
      <c r="H2087" s="73"/>
      <c r="I2087" s="73"/>
      <c r="J2087" s="33"/>
      <c r="K2087" s="33"/>
      <c r="L2087" s="33"/>
      <c r="M2087" s="33"/>
      <c r="N2087" s="73"/>
      <c r="O2087" s="73"/>
      <c r="P2087" s="73"/>
      <c r="Q2087" s="73"/>
      <c r="R2087" s="23"/>
      <c r="S2087" s="23"/>
      <c r="T2087" s="73"/>
      <c r="U2087" s="73"/>
      <c r="V2087" s="73"/>
    </row>
    <row r="2088" spans="2:22" x14ac:dyDescent="0.2">
      <c r="B2088" s="75"/>
      <c r="C2088" s="75"/>
      <c r="D2088" s="75"/>
      <c r="E2088" s="75"/>
      <c r="F2088" s="75"/>
      <c r="G2088" s="75"/>
      <c r="H2088" s="75"/>
      <c r="I2088" s="75"/>
      <c r="J2088" s="75"/>
      <c r="K2088" s="75"/>
      <c r="L2088" s="75"/>
      <c r="M2088" s="75"/>
      <c r="N2088" s="75"/>
      <c r="O2088" s="75"/>
      <c r="P2088" s="75"/>
      <c r="Q2088" s="75"/>
      <c r="R2088" s="75"/>
      <c r="S2088" s="75"/>
      <c r="T2088" s="75"/>
      <c r="U2088" s="75"/>
      <c r="V2088" s="75"/>
    </row>
    <row r="2089" spans="2:22" x14ac:dyDescent="0.2">
      <c r="B2089" s="76"/>
      <c r="C2089" s="76"/>
      <c r="D2089" s="76"/>
      <c r="E2089" s="76"/>
      <c r="F2089" s="76"/>
      <c r="G2089" s="76"/>
      <c r="H2089" s="76"/>
      <c r="I2089" s="76"/>
      <c r="J2089" s="76"/>
      <c r="K2089" s="76"/>
      <c r="L2089" s="76"/>
      <c r="M2089" s="76"/>
      <c r="N2089" s="76"/>
      <c r="O2089" s="76"/>
      <c r="P2089" s="76"/>
      <c r="Q2089" s="76"/>
      <c r="R2089" s="76"/>
      <c r="S2089" s="76"/>
      <c r="T2089" s="76"/>
      <c r="U2089" s="76"/>
      <c r="V2089" s="76"/>
    </row>
    <row r="2090" spans="2:22" x14ac:dyDescent="0.2">
      <c r="B2090" s="73"/>
      <c r="C2090" s="33"/>
      <c r="D2090" s="23"/>
      <c r="E2090" s="73"/>
      <c r="F2090" s="73"/>
      <c r="G2090" s="73"/>
      <c r="H2090" s="73"/>
      <c r="I2090" s="73"/>
      <c r="J2090" s="33"/>
      <c r="K2090" s="33"/>
      <c r="L2090" s="33"/>
      <c r="M2090" s="33"/>
      <c r="N2090" s="73"/>
      <c r="O2090" s="73"/>
      <c r="P2090" s="73"/>
      <c r="Q2090" s="73"/>
      <c r="R2090" s="23"/>
      <c r="S2090" s="23"/>
      <c r="T2090" s="73"/>
      <c r="U2090" s="73"/>
      <c r="V2090" s="73"/>
    </row>
    <row r="2091" spans="2:22" x14ac:dyDescent="0.2">
      <c r="B2091" s="73"/>
      <c r="C2091" s="33"/>
      <c r="D2091" s="23"/>
      <c r="E2091" s="73"/>
      <c r="F2091" s="73"/>
      <c r="G2091" s="73"/>
      <c r="H2091" s="73"/>
      <c r="I2091" s="73"/>
      <c r="J2091" s="33"/>
      <c r="K2091" s="33"/>
      <c r="L2091" s="33"/>
      <c r="M2091" s="33"/>
      <c r="N2091" s="73"/>
      <c r="O2091" s="73"/>
      <c r="P2091" s="73"/>
      <c r="Q2091" s="73"/>
      <c r="R2091" s="23"/>
      <c r="S2091" s="23"/>
      <c r="T2091" s="73"/>
      <c r="U2091" s="73"/>
      <c r="V2091" s="73"/>
    </row>
    <row r="2092" spans="2:22" x14ac:dyDescent="0.2">
      <c r="B2092" s="75"/>
      <c r="C2092" s="75"/>
      <c r="D2092" s="75"/>
      <c r="E2092" s="75"/>
      <c r="F2092" s="75"/>
      <c r="G2092" s="75"/>
      <c r="H2092" s="75"/>
      <c r="I2092" s="75"/>
      <c r="J2092" s="75"/>
      <c r="K2092" s="75"/>
      <c r="L2092" s="75"/>
      <c r="M2092" s="75"/>
      <c r="N2092" s="75"/>
      <c r="O2092" s="75"/>
      <c r="P2092" s="75"/>
      <c r="Q2092" s="75"/>
      <c r="R2092" s="75"/>
      <c r="S2092" s="75"/>
      <c r="T2092" s="75"/>
      <c r="U2092" s="75"/>
      <c r="V2092" s="75"/>
    </row>
    <row r="2093" spans="2:22" x14ac:dyDescent="0.2">
      <c r="B2093" s="76"/>
      <c r="C2093" s="76"/>
      <c r="D2093" s="76"/>
      <c r="E2093" s="76"/>
      <c r="F2093" s="76"/>
      <c r="G2093" s="76"/>
      <c r="H2093" s="76"/>
      <c r="I2093" s="76"/>
      <c r="J2093" s="76"/>
      <c r="K2093" s="76"/>
      <c r="L2093" s="76"/>
      <c r="M2093" s="76"/>
      <c r="N2093" s="76"/>
      <c r="O2093" s="76"/>
      <c r="P2093" s="76"/>
      <c r="Q2093" s="76"/>
      <c r="R2093" s="76"/>
      <c r="S2093" s="76"/>
      <c r="T2093" s="76"/>
      <c r="U2093" s="76"/>
      <c r="V2093" s="76"/>
    </row>
    <row r="2094" spans="2:22" x14ac:dyDescent="0.2">
      <c r="B2094" s="73"/>
      <c r="C2094" s="33"/>
      <c r="D2094" s="23"/>
      <c r="E2094" s="73"/>
      <c r="F2094" s="73"/>
      <c r="G2094" s="73"/>
      <c r="H2094" s="73"/>
      <c r="I2094" s="73"/>
      <c r="J2094" s="33"/>
      <c r="K2094" s="33"/>
      <c r="L2094" s="33"/>
      <c r="M2094" s="33"/>
      <c r="N2094" s="73"/>
      <c r="O2094" s="73"/>
      <c r="P2094" s="73"/>
      <c r="Q2094" s="73"/>
      <c r="R2094" s="23"/>
      <c r="S2094" s="23"/>
      <c r="T2094" s="73"/>
      <c r="U2094" s="73"/>
      <c r="V2094" s="73"/>
    </row>
    <row r="2095" spans="2:22" x14ac:dyDescent="0.2">
      <c r="B2095" s="73"/>
      <c r="C2095" s="33"/>
      <c r="D2095" s="23"/>
      <c r="E2095" s="73"/>
      <c r="F2095" s="73"/>
      <c r="G2095" s="73"/>
      <c r="H2095" s="73"/>
      <c r="I2095" s="73"/>
      <c r="J2095" s="33"/>
      <c r="K2095" s="33"/>
      <c r="L2095" s="33"/>
      <c r="M2095" s="33"/>
      <c r="N2095" s="73"/>
      <c r="O2095" s="73"/>
      <c r="P2095" s="73"/>
      <c r="Q2095" s="73"/>
      <c r="R2095" s="23"/>
      <c r="S2095" s="23"/>
      <c r="T2095" s="73"/>
      <c r="U2095" s="73"/>
      <c r="V2095" s="73"/>
    </row>
    <row r="2096" spans="2:22" x14ac:dyDescent="0.2">
      <c r="B2096" s="75"/>
      <c r="C2096" s="75"/>
      <c r="D2096" s="75"/>
      <c r="E2096" s="75"/>
      <c r="F2096" s="75"/>
      <c r="G2096" s="75"/>
      <c r="H2096" s="75"/>
      <c r="I2096" s="75"/>
      <c r="J2096" s="75"/>
      <c r="K2096" s="75"/>
      <c r="L2096" s="75"/>
      <c r="M2096" s="75"/>
      <c r="N2096" s="75"/>
      <c r="O2096" s="75"/>
      <c r="P2096" s="75"/>
      <c r="Q2096" s="75"/>
      <c r="R2096" s="75"/>
      <c r="S2096" s="75"/>
      <c r="T2096" s="75"/>
      <c r="U2096" s="75"/>
      <c r="V2096" s="75"/>
    </row>
    <row r="2097" spans="2:22" x14ac:dyDescent="0.2">
      <c r="B2097" s="76"/>
      <c r="C2097" s="76"/>
      <c r="D2097" s="76"/>
      <c r="E2097" s="76"/>
      <c r="F2097" s="76"/>
      <c r="G2097" s="76"/>
      <c r="H2097" s="76"/>
      <c r="I2097" s="76"/>
      <c r="J2097" s="76"/>
      <c r="K2097" s="76"/>
      <c r="L2097" s="76"/>
      <c r="M2097" s="76"/>
      <c r="N2097" s="76"/>
      <c r="O2097" s="76"/>
      <c r="P2097" s="76"/>
      <c r="Q2097" s="76"/>
      <c r="R2097" s="76"/>
      <c r="S2097" s="76"/>
      <c r="T2097" s="76"/>
      <c r="U2097" s="76"/>
      <c r="V2097" s="76"/>
    </row>
    <row r="2098" spans="2:22" x14ac:dyDescent="0.2">
      <c r="B2098" s="73"/>
      <c r="C2098" s="33"/>
      <c r="D2098" s="23"/>
      <c r="E2098" s="73"/>
      <c r="F2098" s="73"/>
      <c r="G2098" s="73"/>
      <c r="H2098" s="73"/>
      <c r="I2098" s="73"/>
      <c r="J2098" s="33"/>
      <c r="K2098" s="33"/>
      <c r="L2098" s="33"/>
      <c r="M2098" s="33"/>
      <c r="N2098" s="73"/>
      <c r="O2098" s="73"/>
      <c r="P2098" s="73"/>
      <c r="Q2098" s="73"/>
      <c r="R2098" s="23"/>
      <c r="S2098" s="23"/>
      <c r="T2098" s="73"/>
      <c r="U2098" s="73"/>
      <c r="V2098" s="73"/>
    </row>
    <row r="2099" spans="2:22" x14ac:dyDescent="0.2">
      <c r="B2099" s="73"/>
      <c r="C2099" s="33"/>
      <c r="D2099" s="23"/>
      <c r="E2099" s="73"/>
      <c r="F2099" s="73"/>
      <c r="G2099" s="73"/>
      <c r="H2099" s="73"/>
      <c r="I2099" s="73"/>
      <c r="J2099" s="33"/>
      <c r="K2099" s="33"/>
      <c r="L2099" s="33"/>
      <c r="M2099" s="33"/>
      <c r="N2099" s="73"/>
      <c r="O2099" s="73"/>
      <c r="P2099" s="73"/>
      <c r="Q2099" s="73"/>
      <c r="R2099" s="23"/>
      <c r="S2099" s="23"/>
      <c r="T2099" s="73"/>
      <c r="U2099" s="73"/>
      <c r="V2099" s="73"/>
    </row>
    <row r="2100" spans="2:22" x14ac:dyDescent="0.2">
      <c r="B2100" s="75"/>
      <c r="C2100" s="75"/>
      <c r="D2100" s="75"/>
      <c r="E2100" s="75"/>
      <c r="F2100" s="75"/>
      <c r="G2100" s="75"/>
      <c r="H2100" s="75"/>
      <c r="I2100" s="75"/>
      <c r="J2100" s="75"/>
      <c r="K2100" s="75"/>
      <c r="L2100" s="75"/>
      <c r="M2100" s="75"/>
      <c r="N2100" s="75"/>
      <c r="O2100" s="75"/>
      <c r="P2100" s="75"/>
      <c r="Q2100" s="75"/>
      <c r="R2100" s="75"/>
      <c r="S2100" s="75"/>
      <c r="T2100" s="75"/>
      <c r="U2100" s="75"/>
      <c r="V2100" s="75"/>
    </row>
    <row r="2101" spans="2:22" x14ac:dyDescent="0.2">
      <c r="B2101" s="76"/>
      <c r="C2101" s="76"/>
      <c r="D2101" s="76"/>
      <c r="E2101" s="76"/>
      <c r="F2101" s="76"/>
      <c r="G2101" s="76"/>
      <c r="H2101" s="76"/>
      <c r="I2101" s="76"/>
      <c r="J2101" s="76"/>
      <c r="K2101" s="76"/>
      <c r="L2101" s="76"/>
      <c r="M2101" s="76"/>
      <c r="N2101" s="76"/>
      <c r="O2101" s="76"/>
      <c r="P2101" s="76"/>
      <c r="Q2101" s="76"/>
      <c r="R2101" s="76"/>
      <c r="S2101" s="76"/>
      <c r="T2101" s="76"/>
      <c r="U2101" s="76"/>
      <c r="V2101" s="76"/>
    </row>
    <row r="2102" spans="2:22" x14ac:dyDescent="0.2">
      <c r="B2102" s="73"/>
      <c r="C2102" s="33"/>
      <c r="D2102" s="23"/>
      <c r="E2102" s="73"/>
      <c r="F2102" s="73"/>
      <c r="G2102" s="73"/>
      <c r="H2102" s="73"/>
      <c r="I2102" s="73"/>
      <c r="J2102" s="33"/>
      <c r="K2102" s="33"/>
      <c r="L2102" s="33"/>
      <c r="M2102" s="33"/>
      <c r="N2102" s="73"/>
      <c r="O2102" s="73"/>
      <c r="P2102" s="73"/>
      <c r="Q2102" s="73"/>
      <c r="R2102" s="23"/>
      <c r="S2102" s="23"/>
      <c r="T2102" s="73"/>
      <c r="U2102" s="73"/>
      <c r="V2102" s="73"/>
    </row>
    <row r="2103" spans="2:22" x14ac:dyDescent="0.2">
      <c r="B2103" s="73"/>
      <c r="C2103" s="33"/>
      <c r="D2103" s="23"/>
      <c r="E2103" s="73"/>
      <c r="F2103" s="73"/>
      <c r="G2103" s="73"/>
      <c r="H2103" s="73"/>
      <c r="I2103" s="73"/>
      <c r="J2103" s="33"/>
      <c r="K2103" s="33"/>
      <c r="L2103" s="33"/>
      <c r="M2103" s="33"/>
      <c r="N2103" s="73"/>
      <c r="O2103" s="73"/>
      <c r="P2103" s="73"/>
      <c r="Q2103" s="73"/>
      <c r="R2103" s="23"/>
      <c r="S2103" s="23"/>
      <c r="T2103" s="73"/>
      <c r="U2103" s="73"/>
      <c r="V2103" s="73"/>
    </row>
    <row r="2104" spans="2:22" x14ac:dyDescent="0.2">
      <c r="B2104" s="75"/>
      <c r="C2104" s="75"/>
      <c r="D2104" s="75"/>
      <c r="E2104" s="75"/>
      <c r="F2104" s="75"/>
      <c r="G2104" s="75"/>
      <c r="H2104" s="75"/>
      <c r="I2104" s="75"/>
      <c r="J2104" s="75"/>
      <c r="K2104" s="75"/>
      <c r="L2104" s="75"/>
      <c r="M2104" s="75"/>
      <c r="N2104" s="75"/>
      <c r="O2104" s="75"/>
      <c r="P2104" s="75"/>
      <c r="Q2104" s="75"/>
      <c r="R2104" s="75"/>
      <c r="S2104" s="75"/>
      <c r="T2104" s="75"/>
      <c r="U2104" s="75"/>
      <c r="V2104" s="75"/>
    </row>
    <row r="2105" spans="2:22" x14ac:dyDescent="0.2">
      <c r="B2105" s="76"/>
      <c r="C2105" s="76"/>
      <c r="D2105" s="76"/>
      <c r="E2105" s="76"/>
      <c r="F2105" s="76"/>
      <c r="G2105" s="76"/>
      <c r="H2105" s="76"/>
      <c r="I2105" s="76"/>
      <c r="J2105" s="76"/>
      <c r="K2105" s="76"/>
      <c r="L2105" s="76"/>
      <c r="M2105" s="76"/>
      <c r="N2105" s="76"/>
      <c r="O2105" s="76"/>
      <c r="P2105" s="76"/>
      <c r="Q2105" s="76"/>
      <c r="R2105" s="76"/>
      <c r="S2105" s="76"/>
      <c r="T2105" s="76"/>
      <c r="U2105" s="76"/>
      <c r="V2105" s="76"/>
    </row>
    <row r="2106" spans="2:22" x14ac:dyDescent="0.2">
      <c r="B2106" s="73"/>
      <c r="C2106" s="33"/>
      <c r="D2106" s="23"/>
      <c r="E2106" s="73"/>
      <c r="F2106" s="73"/>
      <c r="G2106" s="73"/>
      <c r="H2106" s="73"/>
      <c r="I2106" s="73"/>
      <c r="J2106" s="33"/>
      <c r="K2106" s="33"/>
      <c r="L2106" s="33"/>
      <c r="M2106" s="33"/>
      <c r="N2106" s="73"/>
      <c r="O2106" s="73"/>
      <c r="P2106" s="73"/>
      <c r="Q2106" s="73"/>
      <c r="R2106" s="23"/>
      <c r="S2106" s="23"/>
      <c r="T2106" s="73"/>
      <c r="U2106" s="73"/>
      <c r="V2106" s="73"/>
    </row>
    <row r="2107" spans="2:22" x14ac:dyDescent="0.2">
      <c r="B2107" s="73"/>
      <c r="C2107" s="33"/>
      <c r="D2107" s="23"/>
      <c r="E2107" s="73"/>
      <c r="F2107" s="73"/>
      <c r="G2107" s="73"/>
      <c r="H2107" s="73"/>
      <c r="I2107" s="73"/>
      <c r="J2107" s="33"/>
      <c r="K2107" s="33"/>
      <c r="L2107" s="33"/>
      <c r="M2107" s="33"/>
      <c r="N2107" s="73"/>
      <c r="O2107" s="73"/>
      <c r="P2107" s="73"/>
      <c r="Q2107" s="73"/>
      <c r="R2107" s="23"/>
      <c r="S2107" s="23"/>
      <c r="T2107" s="73"/>
      <c r="U2107" s="73"/>
      <c r="V2107" s="73"/>
    </row>
    <row r="2108" spans="2:22" x14ac:dyDescent="0.2">
      <c r="B2108" s="73"/>
      <c r="C2108" s="33"/>
      <c r="D2108" s="23"/>
      <c r="E2108" s="73"/>
      <c r="F2108" s="73"/>
      <c r="G2108" s="73"/>
      <c r="H2108" s="73"/>
      <c r="I2108" s="73"/>
      <c r="J2108" s="33"/>
      <c r="K2108" s="33"/>
      <c r="L2108" s="33"/>
      <c r="M2108" s="33"/>
      <c r="N2108" s="73"/>
      <c r="O2108" s="73"/>
      <c r="P2108" s="73"/>
      <c r="Q2108" s="73"/>
      <c r="R2108" s="23"/>
      <c r="S2108" s="23"/>
      <c r="T2108" s="73"/>
      <c r="U2108" s="73"/>
      <c r="V2108" s="73"/>
    </row>
    <row r="2109" spans="2:22" x14ac:dyDescent="0.2">
      <c r="B2109" s="75"/>
      <c r="C2109" s="75"/>
      <c r="D2109" s="75"/>
      <c r="E2109" s="75"/>
      <c r="F2109" s="75"/>
      <c r="G2109" s="75"/>
      <c r="H2109" s="75"/>
      <c r="I2109" s="75"/>
      <c r="J2109" s="75"/>
      <c r="K2109" s="75"/>
      <c r="L2109" s="75"/>
      <c r="M2109" s="75"/>
      <c r="N2109" s="75"/>
      <c r="O2109" s="75"/>
      <c r="P2109" s="75"/>
      <c r="Q2109" s="75"/>
      <c r="R2109" s="75"/>
      <c r="S2109" s="75"/>
      <c r="T2109" s="75"/>
      <c r="U2109" s="75"/>
      <c r="V2109" s="75"/>
    </row>
    <row r="2110" spans="2:22" x14ac:dyDescent="0.2">
      <c r="B2110" s="76"/>
      <c r="C2110" s="76"/>
      <c r="D2110" s="76"/>
      <c r="E2110" s="76"/>
      <c r="F2110" s="76"/>
      <c r="G2110" s="76"/>
      <c r="H2110" s="76"/>
      <c r="I2110" s="76"/>
      <c r="J2110" s="76"/>
      <c r="K2110" s="76"/>
      <c r="L2110" s="76"/>
      <c r="M2110" s="76"/>
      <c r="N2110" s="76"/>
      <c r="O2110" s="76"/>
      <c r="P2110" s="76"/>
      <c r="Q2110" s="76"/>
      <c r="R2110" s="76"/>
      <c r="S2110" s="76"/>
      <c r="T2110" s="76"/>
      <c r="U2110" s="76"/>
      <c r="V2110" s="76"/>
    </row>
    <row r="2111" spans="2:22" x14ac:dyDescent="0.2">
      <c r="B2111" s="73"/>
      <c r="C2111" s="33"/>
      <c r="D2111" s="23"/>
      <c r="E2111" s="73"/>
      <c r="F2111" s="73"/>
      <c r="G2111" s="73"/>
      <c r="H2111" s="73"/>
      <c r="I2111" s="73"/>
      <c r="J2111" s="33"/>
      <c r="K2111" s="33"/>
      <c r="L2111" s="33"/>
      <c r="M2111" s="33"/>
      <c r="N2111" s="73"/>
      <c r="O2111" s="73"/>
      <c r="P2111" s="73"/>
      <c r="Q2111" s="73"/>
      <c r="R2111" s="23"/>
      <c r="S2111" s="23"/>
      <c r="T2111" s="73"/>
      <c r="U2111" s="73"/>
      <c r="V2111" s="73"/>
    </row>
    <row r="2112" spans="2:22" x14ac:dyDescent="0.2">
      <c r="B2112" s="73"/>
      <c r="C2112" s="33"/>
      <c r="D2112" s="23"/>
      <c r="E2112" s="73"/>
      <c r="F2112" s="73"/>
      <c r="G2112" s="73"/>
      <c r="H2112" s="73"/>
      <c r="I2112" s="73"/>
      <c r="J2112" s="33"/>
      <c r="K2112" s="33"/>
      <c r="L2112" s="33"/>
      <c r="M2112" s="33"/>
      <c r="N2112" s="73"/>
      <c r="O2112" s="73"/>
      <c r="P2112" s="73"/>
      <c r="Q2112" s="73"/>
      <c r="R2112" s="23"/>
      <c r="S2112" s="23"/>
      <c r="T2112" s="73"/>
      <c r="U2112" s="73"/>
      <c r="V2112" s="73"/>
    </row>
    <row r="2113" spans="2:22" x14ac:dyDescent="0.2">
      <c r="B2113" s="75"/>
      <c r="C2113" s="75"/>
      <c r="D2113" s="75"/>
      <c r="E2113" s="75"/>
      <c r="F2113" s="75"/>
      <c r="G2113" s="75"/>
      <c r="H2113" s="75"/>
      <c r="I2113" s="75"/>
      <c r="J2113" s="75"/>
      <c r="K2113" s="75"/>
      <c r="L2113" s="75"/>
      <c r="M2113" s="75"/>
      <c r="N2113" s="75"/>
      <c r="O2113" s="75"/>
      <c r="P2113" s="75"/>
      <c r="Q2113" s="75"/>
      <c r="R2113" s="75"/>
      <c r="S2113" s="75"/>
      <c r="T2113" s="75"/>
      <c r="U2113" s="75"/>
      <c r="V2113" s="75"/>
    </row>
    <row r="2114" spans="2:22" x14ac:dyDescent="0.2">
      <c r="B2114" s="76"/>
      <c r="C2114" s="76"/>
      <c r="D2114" s="76"/>
      <c r="E2114" s="76"/>
      <c r="F2114" s="76"/>
      <c r="G2114" s="76"/>
      <c r="H2114" s="76"/>
      <c r="I2114" s="76"/>
      <c r="J2114" s="76"/>
      <c r="K2114" s="76"/>
      <c r="L2114" s="76"/>
      <c r="M2114" s="76"/>
      <c r="N2114" s="76"/>
      <c r="O2114" s="76"/>
      <c r="P2114" s="76"/>
      <c r="Q2114" s="76"/>
      <c r="R2114" s="76"/>
      <c r="S2114" s="76"/>
      <c r="T2114" s="76"/>
      <c r="U2114" s="76"/>
      <c r="V2114" s="76"/>
    </row>
    <row r="2115" spans="2:22" x14ac:dyDescent="0.2">
      <c r="B2115" s="73"/>
      <c r="C2115" s="33"/>
      <c r="D2115" s="23"/>
      <c r="E2115" s="73"/>
      <c r="F2115" s="73"/>
      <c r="G2115" s="73"/>
      <c r="H2115" s="73"/>
      <c r="I2115" s="73"/>
      <c r="J2115" s="33"/>
      <c r="K2115" s="33"/>
      <c r="L2115" s="33"/>
      <c r="M2115" s="33"/>
      <c r="N2115" s="73"/>
      <c r="O2115" s="73"/>
      <c r="P2115" s="73"/>
      <c r="Q2115" s="73"/>
      <c r="R2115" s="23"/>
      <c r="S2115" s="23"/>
      <c r="T2115" s="73"/>
      <c r="U2115" s="73"/>
      <c r="V2115" s="73"/>
    </row>
    <row r="2116" spans="2:22" x14ac:dyDescent="0.2">
      <c r="B2116" s="73"/>
      <c r="C2116" s="33"/>
      <c r="D2116" s="23"/>
      <c r="E2116" s="73"/>
      <c r="F2116" s="73"/>
      <c r="G2116" s="73"/>
      <c r="H2116" s="73"/>
      <c r="I2116" s="73"/>
      <c r="J2116" s="33"/>
      <c r="K2116" s="33"/>
      <c r="L2116" s="33"/>
      <c r="M2116" s="33"/>
      <c r="N2116" s="73"/>
      <c r="O2116" s="73"/>
      <c r="P2116" s="73"/>
      <c r="Q2116" s="73"/>
      <c r="R2116" s="23"/>
      <c r="S2116" s="23"/>
      <c r="T2116" s="73"/>
      <c r="U2116" s="73"/>
      <c r="V2116" s="73"/>
    </row>
    <row r="2117" spans="2:22" x14ac:dyDescent="0.2">
      <c r="B2117" s="75"/>
      <c r="C2117" s="75"/>
      <c r="D2117" s="75"/>
      <c r="E2117" s="75"/>
      <c r="F2117" s="75"/>
      <c r="G2117" s="75"/>
      <c r="H2117" s="75"/>
      <c r="I2117" s="75"/>
      <c r="J2117" s="75"/>
      <c r="K2117" s="75"/>
      <c r="L2117" s="75"/>
      <c r="M2117" s="75"/>
      <c r="N2117" s="75"/>
      <c r="O2117" s="75"/>
      <c r="P2117" s="75"/>
      <c r="Q2117" s="75"/>
      <c r="R2117" s="75"/>
      <c r="S2117" s="75"/>
      <c r="T2117" s="75"/>
      <c r="U2117" s="75"/>
      <c r="V2117" s="75"/>
    </row>
    <row r="2118" spans="2:22" x14ac:dyDescent="0.2">
      <c r="B2118" s="76"/>
      <c r="C2118" s="76"/>
      <c r="D2118" s="76"/>
      <c r="E2118" s="76"/>
      <c r="F2118" s="76"/>
      <c r="G2118" s="76"/>
      <c r="H2118" s="76"/>
      <c r="I2118" s="76"/>
      <c r="J2118" s="76"/>
      <c r="K2118" s="76"/>
      <c r="L2118" s="76"/>
      <c r="M2118" s="76"/>
      <c r="N2118" s="76"/>
      <c r="O2118" s="76"/>
      <c r="P2118" s="76"/>
      <c r="Q2118" s="76"/>
      <c r="R2118" s="76"/>
      <c r="S2118" s="76"/>
      <c r="T2118" s="76"/>
      <c r="U2118" s="76"/>
      <c r="V2118" s="76"/>
    </row>
    <row r="2119" spans="2:22" x14ac:dyDescent="0.2">
      <c r="B2119" s="73"/>
      <c r="C2119" s="33"/>
      <c r="D2119" s="23"/>
      <c r="E2119" s="73"/>
      <c r="F2119" s="73"/>
      <c r="G2119" s="73"/>
      <c r="H2119" s="73"/>
      <c r="I2119" s="73"/>
      <c r="J2119" s="33"/>
      <c r="K2119" s="33"/>
      <c r="L2119" s="33"/>
      <c r="M2119" s="33"/>
      <c r="N2119" s="73"/>
      <c r="O2119" s="73"/>
      <c r="P2119" s="73"/>
      <c r="Q2119" s="73"/>
      <c r="R2119" s="23"/>
      <c r="S2119" s="23"/>
      <c r="T2119" s="73"/>
      <c r="U2119" s="73"/>
      <c r="V2119" s="73"/>
    </row>
    <row r="2120" spans="2:22" x14ac:dyDescent="0.2">
      <c r="B2120" s="73"/>
      <c r="C2120" s="33"/>
      <c r="D2120" s="23"/>
      <c r="E2120" s="73"/>
      <c r="F2120" s="73"/>
      <c r="G2120" s="73"/>
      <c r="H2120" s="73"/>
      <c r="I2120" s="73"/>
      <c r="J2120" s="33"/>
      <c r="K2120" s="33"/>
      <c r="L2120" s="33"/>
      <c r="M2120" s="33"/>
      <c r="N2120" s="73"/>
      <c r="O2120" s="73"/>
      <c r="P2120" s="73"/>
      <c r="Q2120" s="73"/>
      <c r="R2120" s="23"/>
      <c r="S2120" s="23"/>
      <c r="T2120" s="73"/>
      <c r="U2120" s="73"/>
      <c r="V2120" s="73"/>
    </row>
    <row r="2121" spans="2:22" x14ac:dyDescent="0.2">
      <c r="B2121" s="75"/>
      <c r="C2121" s="75"/>
      <c r="D2121" s="75"/>
      <c r="E2121" s="75"/>
      <c r="F2121" s="75"/>
      <c r="G2121" s="75"/>
      <c r="H2121" s="75"/>
      <c r="I2121" s="75"/>
      <c r="J2121" s="75"/>
      <c r="K2121" s="75"/>
      <c r="L2121" s="75"/>
      <c r="M2121" s="75"/>
      <c r="N2121" s="75"/>
      <c r="O2121" s="75"/>
      <c r="P2121" s="75"/>
      <c r="Q2121" s="75"/>
      <c r="R2121" s="75"/>
      <c r="S2121" s="75"/>
      <c r="T2121" s="75"/>
      <c r="U2121" s="75"/>
      <c r="V2121" s="75"/>
    </row>
    <row r="2122" spans="2:22" x14ac:dyDescent="0.2">
      <c r="B2122" s="76"/>
      <c r="C2122" s="76"/>
      <c r="D2122" s="76"/>
      <c r="E2122" s="76"/>
      <c r="F2122" s="76"/>
      <c r="G2122" s="76"/>
      <c r="H2122" s="76"/>
      <c r="I2122" s="76"/>
      <c r="J2122" s="76"/>
      <c r="K2122" s="76"/>
      <c r="L2122" s="76"/>
      <c r="M2122" s="76"/>
      <c r="N2122" s="76"/>
      <c r="O2122" s="76"/>
      <c r="P2122" s="76"/>
      <c r="Q2122" s="76"/>
      <c r="R2122" s="76"/>
      <c r="S2122" s="76"/>
      <c r="T2122" s="76"/>
      <c r="U2122" s="76"/>
      <c r="V2122" s="76"/>
    </row>
    <row r="2123" spans="2:22" x14ac:dyDescent="0.2">
      <c r="B2123" s="73"/>
      <c r="C2123" s="33"/>
      <c r="D2123" s="23"/>
      <c r="E2123" s="73"/>
      <c r="F2123" s="73"/>
      <c r="G2123" s="73"/>
      <c r="H2123" s="73"/>
      <c r="I2123" s="73"/>
      <c r="J2123" s="33"/>
      <c r="K2123" s="33"/>
      <c r="L2123" s="33"/>
      <c r="M2123" s="33"/>
      <c r="N2123" s="73"/>
      <c r="O2123" s="73"/>
      <c r="P2123" s="73"/>
      <c r="Q2123" s="73"/>
      <c r="R2123" s="23"/>
      <c r="S2123" s="23"/>
      <c r="T2123" s="73"/>
      <c r="U2123" s="73"/>
      <c r="V2123" s="73"/>
    </row>
    <row r="2124" spans="2:22" x14ac:dyDescent="0.2">
      <c r="B2124" s="73"/>
      <c r="C2124" s="33"/>
      <c r="D2124" s="23"/>
      <c r="E2124" s="73"/>
      <c r="F2124" s="73"/>
      <c r="G2124" s="73"/>
      <c r="H2124" s="73"/>
      <c r="I2124" s="73"/>
      <c r="J2124" s="33"/>
      <c r="K2124" s="33"/>
      <c r="L2124" s="33"/>
      <c r="M2124" s="33"/>
      <c r="N2124" s="73"/>
      <c r="O2124" s="73"/>
      <c r="P2124" s="73"/>
      <c r="Q2124" s="73"/>
      <c r="R2124" s="23"/>
      <c r="S2124" s="23"/>
      <c r="T2124" s="73"/>
      <c r="U2124" s="73"/>
      <c r="V2124" s="73"/>
    </row>
    <row r="2125" spans="2:22" x14ac:dyDescent="0.2">
      <c r="B2125" s="75"/>
      <c r="C2125" s="75"/>
      <c r="D2125" s="75"/>
      <c r="E2125" s="75"/>
      <c r="F2125" s="75"/>
      <c r="G2125" s="75"/>
      <c r="H2125" s="75"/>
      <c r="I2125" s="75"/>
      <c r="J2125" s="75"/>
      <c r="K2125" s="75"/>
      <c r="L2125" s="75"/>
      <c r="M2125" s="75"/>
      <c r="N2125" s="75"/>
      <c r="O2125" s="75"/>
      <c r="P2125" s="75"/>
      <c r="Q2125" s="75"/>
      <c r="R2125" s="75"/>
      <c r="S2125" s="75"/>
      <c r="T2125" s="75"/>
      <c r="U2125" s="75"/>
      <c r="V2125" s="75"/>
    </row>
    <row r="2126" spans="2:22" x14ac:dyDescent="0.2">
      <c r="B2126" s="76"/>
      <c r="C2126" s="76"/>
      <c r="D2126" s="76"/>
      <c r="E2126" s="76"/>
      <c r="F2126" s="76"/>
      <c r="G2126" s="76"/>
      <c r="H2126" s="76"/>
      <c r="I2126" s="76"/>
      <c r="J2126" s="76"/>
      <c r="K2126" s="76"/>
      <c r="L2126" s="76"/>
      <c r="M2126" s="76"/>
      <c r="N2126" s="76"/>
      <c r="O2126" s="76"/>
      <c r="P2126" s="76"/>
      <c r="Q2126" s="76"/>
      <c r="R2126" s="76"/>
      <c r="S2126" s="76"/>
      <c r="T2126" s="76"/>
      <c r="U2126" s="76"/>
      <c r="V2126" s="76"/>
    </row>
    <row r="2127" spans="2:22" x14ac:dyDescent="0.2">
      <c r="B2127" s="73"/>
      <c r="C2127" s="33"/>
      <c r="D2127" s="23"/>
      <c r="E2127" s="73"/>
      <c r="F2127" s="73"/>
      <c r="G2127" s="73"/>
      <c r="H2127" s="73"/>
      <c r="I2127" s="73"/>
      <c r="J2127" s="33"/>
      <c r="K2127" s="33"/>
      <c r="L2127" s="33"/>
      <c r="M2127" s="33"/>
      <c r="N2127" s="73"/>
      <c r="O2127" s="73"/>
      <c r="P2127" s="73"/>
      <c r="Q2127" s="73"/>
      <c r="R2127" s="23"/>
      <c r="S2127" s="23"/>
      <c r="T2127" s="73"/>
      <c r="U2127" s="73"/>
      <c r="V2127" s="73"/>
    </row>
    <row r="2128" spans="2:22" x14ac:dyDescent="0.2">
      <c r="B2128" s="73"/>
      <c r="C2128" s="33"/>
      <c r="D2128" s="23"/>
      <c r="E2128" s="73"/>
      <c r="F2128" s="73"/>
      <c r="G2128" s="73"/>
      <c r="H2128" s="73"/>
      <c r="I2128" s="73"/>
      <c r="J2128" s="33"/>
      <c r="K2128" s="33"/>
      <c r="L2128" s="33"/>
      <c r="M2128" s="33"/>
      <c r="N2128" s="73"/>
      <c r="O2128" s="73"/>
      <c r="P2128" s="73"/>
      <c r="Q2128" s="73"/>
      <c r="R2128" s="23"/>
      <c r="S2128" s="23"/>
      <c r="T2128" s="73"/>
      <c r="U2128" s="73"/>
      <c r="V2128" s="73"/>
    </row>
    <row r="2129" spans="2:22" x14ac:dyDescent="0.2">
      <c r="B2129" s="73"/>
      <c r="C2129" s="33"/>
      <c r="D2129" s="23"/>
      <c r="E2129" s="73"/>
      <c r="F2129" s="73"/>
      <c r="G2129" s="73"/>
      <c r="H2129" s="73"/>
      <c r="I2129" s="73"/>
      <c r="J2129" s="33"/>
      <c r="K2129" s="33"/>
      <c r="L2129" s="33"/>
      <c r="M2129" s="33"/>
      <c r="N2129" s="73"/>
      <c r="O2129" s="73"/>
      <c r="P2129" s="73"/>
      <c r="Q2129" s="73"/>
      <c r="R2129" s="23"/>
      <c r="S2129" s="23"/>
      <c r="T2129" s="73"/>
      <c r="U2129" s="73"/>
      <c r="V2129" s="73"/>
    </row>
    <row r="2130" spans="2:22" x14ac:dyDescent="0.2">
      <c r="B2130" s="75"/>
      <c r="C2130" s="75"/>
      <c r="D2130" s="75"/>
      <c r="E2130" s="75"/>
      <c r="F2130" s="75"/>
      <c r="G2130" s="75"/>
      <c r="H2130" s="75"/>
      <c r="I2130" s="75"/>
      <c r="J2130" s="75"/>
      <c r="K2130" s="75"/>
      <c r="L2130" s="75"/>
      <c r="M2130" s="75"/>
      <c r="N2130" s="75"/>
      <c r="O2130" s="75"/>
      <c r="P2130" s="75"/>
      <c r="Q2130" s="75"/>
      <c r="R2130" s="75"/>
      <c r="S2130" s="75"/>
      <c r="T2130" s="75"/>
      <c r="U2130" s="75"/>
      <c r="V2130" s="75"/>
    </row>
    <row r="2131" spans="2:22" x14ac:dyDescent="0.2">
      <c r="B2131" s="76"/>
      <c r="C2131" s="76"/>
      <c r="D2131" s="76"/>
      <c r="E2131" s="76"/>
      <c r="F2131" s="76"/>
      <c r="G2131" s="76"/>
      <c r="H2131" s="76"/>
      <c r="I2131" s="76"/>
      <c r="J2131" s="76"/>
      <c r="K2131" s="76"/>
      <c r="L2131" s="76"/>
      <c r="M2131" s="76"/>
      <c r="N2131" s="76"/>
      <c r="O2131" s="76"/>
      <c r="P2131" s="76"/>
      <c r="Q2131" s="76"/>
      <c r="R2131" s="76"/>
      <c r="S2131" s="76"/>
      <c r="T2131" s="76"/>
      <c r="U2131" s="76"/>
      <c r="V2131" s="76"/>
    </row>
    <row r="2132" spans="2:22" x14ac:dyDescent="0.2">
      <c r="B2132" s="73"/>
      <c r="C2132" s="33"/>
      <c r="D2132" s="23"/>
      <c r="E2132" s="73"/>
      <c r="F2132" s="73"/>
      <c r="G2132" s="73"/>
      <c r="H2132" s="73"/>
      <c r="I2132" s="73"/>
      <c r="J2132" s="33"/>
      <c r="K2132" s="33"/>
      <c r="L2132" s="33"/>
      <c r="M2132" s="33"/>
      <c r="N2132" s="73"/>
      <c r="O2132" s="73"/>
      <c r="P2132" s="73"/>
      <c r="Q2132" s="73"/>
      <c r="R2132" s="23"/>
      <c r="S2132" s="23"/>
      <c r="T2132" s="73"/>
      <c r="U2132" s="73"/>
      <c r="V2132" s="73"/>
    </row>
    <row r="2133" spans="2:22" x14ac:dyDescent="0.2">
      <c r="B2133" s="73"/>
      <c r="C2133" s="33"/>
      <c r="D2133" s="23"/>
      <c r="E2133" s="73"/>
      <c r="F2133" s="73"/>
      <c r="G2133" s="73"/>
      <c r="H2133" s="73"/>
      <c r="I2133" s="73"/>
      <c r="J2133" s="33"/>
      <c r="K2133" s="33"/>
      <c r="L2133" s="33"/>
      <c r="M2133" s="33"/>
      <c r="N2133" s="73"/>
      <c r="O2133" s="73"/>
      <c r="P2133" s="73"/>
      <c r="Q2133" s="73"/>
      <c r="R2133" s="23"/>
      <c r="S2133" s="23"/>
      <c r="T2133" s="73"/>
      <c r="U2133" s="73"/>
      <c r="V2133" s="73"/>
    </row>
    <row r="2134" spans="2:22" x14ac:dyDescent="0.2">
      <c r="B2134" s="75"/>
      <c r="C2134" s="75"/>
      <c r="D2134" s="75"/>
      <c r="E2134" s="75"/>
      <c r="F2134" s="75"/>
      <c r="G2134" s="75"/>
      <c r="H2134" s="75"/>
      <c r="I2134" s="75"/>
      <c r="J2134" s="75"/>
      <c r="K2134" s="75"/>
      <c r="L2134" s="75"/>
      <c r="M2134" s="75"/>
      <c r="N2134" s="75"/>
      <c r="O2134" s="75"/>
      <c r="P2134" s="75"/>
      <c r="Q2134" s="75"/>
      <c r="R2134" s="75"/>
      <c r="S2134" s="75"/>
      <c r="T2134" s="75"/>
      <c r="U2134" s="75"/>
      <c r="V2134" s="75"/>
    </row>
    <row r="2135" spans="2:22" x14ac:dyDescent="0.2">
      <c r="B2135" s="76"/>
      <c r="C2135" s="76"/>
      <c r="D2135" s="76"/>
      <c r="E2135" s="76"/>
      <c r="F2135" s="76"/>
      <c r="G2135" s="76"/>
      <c r="H2135" s="76"/>
      <c r="I2135" s="76"/>
      <c r="J2135" s="76"/>
      <c r="K2135" s="76"/>
      <c r="L2135" s="76"/>
      <c r="M2135" s="76"/>
      <c r="N2135" s="76"/>
      <c r="O2135" s="76"/>
      <c r="P2135" s="76"/>
      <c r="Q2135" s="76"/>
      <c r="R2135" s="76"/>
      <c r="S2135" s="76"/>
      <c r="T2135" s="76"/>
      <c r="U2135" s="76"/>
      <c r="V2135" s="76"/>
    </row>
    <row r="2136" spans="2:22" x14ac:dyDescent="0.2">
      <c r="B2136" s="73"/>
      <c r="C2136" s="33"/>
      <c r="D2136" s="23"/>
      <c r="E2136" s="73"/>
      <c r="F2136" s="73"/>
      <c r="G2136" s="73"/>
      <c r="H2136" s="73"/>
      <c r="I2136" s="73"/>
      <c r="J2136" s="33"/>
      <c r="K2136" s="33"/>
      <c r="L2136" s="33"/>
      <c r="M2136" s="33"/>
      <c r="N2136" s="73"/>
      <c r="O2136" s="73"/>
      <c r="P2136" s="73"/>
      <c r="Q2136" s="73"/>
      <c r="R2136" s="23"/>
      <c r="S2136" s="23"/>
      <c r="T2136" s="73"/>
      <c r="U2136" s="73"/>
      <c r="V2136" s="73"/>
    </row>
    <row r="2137" spans="2:22" x14ac:dyDescent="0.2">
      <c r="B2137" s="73"/>
      <c r="C2137" s="33"/>
      <c r="D2137" s="23"/>
      <c r="E2137" s="73"/>
      <c r="F2137" s="73"/>
      <c r="G2137" s="73"/>
      <c r="H2137" s="73"/>
      <c r="I2137" s="73"/>
      <c r="J2137" s="33"/>
      <c r="K2137" s="33"/>
      <c r="L2137" s="33"/>
      <c r="M2137" s="33"/>
      <c r="N2137" s="73"/>
      <c r="O2137" s="73"/>
      <c r="P2137" s="73"/>
      <c r="Q2137" s="73"/>
      <c r="R2137" s="23"/>
      <c r="S2137" s="23"/>
      <c r="T2137" s="73"/>
      <c r="U2137" s="73"/>
      <c r="V2137" s="73"/>
    </row>
    <row r="2138" spans="2:22" x14ac:dyDescent="0.2">
      <c r="B2138" s="75"/>
      <c r="C2138" s="75"/>
      <c r="D2138" s="75"/>
      <c r="E2138" s="75"/>
      <c r="F2138" s="75"/>
      <c r="G2138" s="75"/>
      <c r="H2138" s="75"/>
      <c r="I2138" s="75"/>
      <c r="J2138" s="75"/>
      <c r="K2138" s="75"/>
      <c r="L2138" s="75"/>
      <c r="M2138" s="75"/>
      <c r="N2138" s="75"/>
      <c r="O2138" s="75"/>
      <c r="P2138" s="75"/>
      <c r="Q2138" s="75"/>
      <c r="R2138" s="75"/>
      <c r="S2138" s="75"/>
      <c r="T2138" s="75"/>
      <c r="U2138" s="75"/>
      <c r="V2138" s="75"/>
    </row>
    <row r="2139" spans="2:22" x14ac:dyDescent="0.2">
      <c r="B2139" s="76"/>
      <c r="C2139" s="76"/>
      <c r="D2139" s="76"/>
      <c r="E2139" s="76"/>
      <c r="F2139" s="76"/>
      <c r="G2139" s="76"/>
      <c r="H2139" s="76"/>
      <c r="I2139" s="76"/>
      <c r="J2139" s="76"/>
      <c r="K2139" s="76"/>
      <c r="L2139" s="76"/>
      <c r="M2139" s="76"/>
      <c r="N2139" s="76"/>
      <c r="O2139" s="76"/>
      <c r="P2139" s="76"/>
      <c r="Q2139" s="76"/>
      <c r="R2139" s="76"/>
      <c r="S2139" s="76"/>
      <c r="T2139" s="76"/>
      <c r="U2139" s="76"/>
      <c r="V2139" s="76"/>
    </row>
    <row r="2140" spans="2:22" x14ac:dyDescent="0.2">
      <c r="B2140" s="73"/>
      <c r="C2140" s="33"/>
      <c r="D2140" s="23"/>
      <c r="E2140" s="73"/>
      <c r="F2140" s="73"/>
      <c r="G2140" s="73"/>
      <c r="H2140" s="73"/>
      <c r="I2140" s="73"/>
      <c r="J2140" s="33"/>
      <c r="K2140" s="33"/>
      <c r="L2140" s="33"/>
      <c r="M2140" s="33"/>
      <c r="N2140" s="73"/>
      <c r="O2140" s="73"/>
      <c r="P2140" s="73"/>
      <c r="Q2140" s="73"/>
      <c r="R2140" s="23"/>
      <c r="S2140" s="23"/>
      <c r="T2140" s="73"/>
      <c r="U2140" s="73"/>
      <c r="V2140" s="73"/>
    </row>
    <row r="2141" spans="2:22" x14ac:dyDescent="0.2">
      <c r="B2141" s="73"/>
      <c r="C2141" s="33"/>
      <c r="D2141" s="23"/>
      <c r="E2141" s="73"/>
      <c r="F2141" s="73"/>
      <c r="G2141" s="73"/>
      <c r="H2141" s="73"/>
      <c r="I2141" s="73"/>
      <c r="J2141" s="33"/>
      <c r="K2141" s="33"/>
      <c r="L2141" s="33"/>
      <c r="M2141" s="33"/>
      <c r="N2141" s="73"/>
      <c r="O2141" s="73"/>
      <c r="P2141" s="73"/>
      <c r="Q2141" s="73"/>
      <c r="R2141" s="23"/>
      <c r="S2141" s="23"/>
      <c r="T2141" s="73"/>
      <c r="U2141" s="73"/>
      <c r="V2141" s="73"/>
    </row>
    <row r="2142" spans="2:22" x14ac:dyDescent="0.2">
      <c r="B2142" s="75"/>
      <c r="C2142" s="75"/>
      <c r="D2142" s="75"/>
      <c r="E2142" s="75"/>
      <c r="F2142" s="75"/>
      <c r="G2142" s="75"/>
      <c r="H2142" s="75"/>
      <c r="I2142" s="75"/>
      <c r="J2142" s="75"/>
      <c r="K2142" s="75"/>
      <c r="L2142" s="75"/>
      <c r="M2142" s="75"/>
      <c r="N2142" s="75"/>
      <c r="O2142" s="75"/>
      <c r="P2142" s="75"/>
      <c r="Q2142" s="75"/>
      <c r="R2142" s="75"/>
      <c r="S2142" s="75"/>
      <c r="T2142" s="75"/>
      <c r="U2142" s="75"/>
      <c r="V2142" s="75"/>
    </row>
    <row r="2143" spans="2:22" x14ac:dyDescent="0.2">
      <c r="B2143" s="76"/>
      <c r="C2143" s="76"/>
      <c r="D2143" s="76"/>
      <c r="E2143" s="76"/>
      <c r="F2143" s="76"/>
      <c r="G2143" s="76"/>
      <c r="H2143" s="76"/>
      <c r="I2143" s="76"/>
      <c r="J2143" s="76"/>
      <c r="K2143" s="76"/>
      <c r="L2143" s="76"/>
      <c r="M2143" s="76"/>
      <c r="N2143" s="76"/>
      <c r="O2143" s="76"/>
      <c r="P2143" s="76"/>
      <c r="Q2143" s="76"/>
      <c r="R2143" s="76"/>
      <c r="S2143" s="76"/>
      <c r="T2143" s="76"/>
      <c r="U2143" s="76"/>
      <c r="V2143" s="76"/>
    </row>
    <row r="2144" spans="2:22" x14ac:dyDescent="0.2">
      <c r="B2144" s="73"/>
      <c r="C2144" s="33"/>
      <c r="D2144" s="23"/>
      <c r="E2144" s="73"/>
      <c r="F2144" s="73"/>
      <c r="G2144" s="73"/>
      <c r="H2144" s="73"/>
      <c r="I2144" s="73"/>
      <c r="J2144" s="33"/>
      <c r="K2144" s="33"/>
      <c r="L2144" s="33"/>
      <c r="M2144" s="33"/>
      <c r="N2144" s="73"/>
      <c r="O2144" s="73"/>
      <c r="P2144" s="73"/>
      <c r="Q2144" s="73"/>
      <c r="R2144" s="23"/>
      <c r="S2144" s="23"/>
      <c r="T2144" s="73"/>
      <c r="U2144" s="73"/>
      <c r="V2144" s="73"/>
    </row>
    <row r="2145" spans="2:22" x14ac:dyDescent="0.2">
      <c r="B2145" s="73"/>
      <c r="C2145" s="33"/>
      <c r="D2145" s="23"/>
      <c r="E2145" s="73"/>
      <c r="F2145" s="73"/>
      <c r="G2145" s="73"/>
      <c r="H2145" s="73"/>
      <c r="I2145" s="73"/>
      <c r="J2145" s="33"/>
      <c r="K2145" s="33"/>
      <c r="L2145" s="33"/>
      <c r="M2145" s="33"/>
      <c r="N2145" s="73"/>
      <c r="O2145" s="73"/>
      <c r="P2145" s="73"/>
      <c r="Q2145" s="73"/>
      <c r="R2145" s="23"/>
      <c r="S2145" s="23"/>
      <c r="T2145" s="73"/>
      <c r="U2145" s="73"/>
      <c r="V2145" s="73"/>
    </row>
    <row r="2146" spans="2:22" x14ac:dyDescent="0.2">
      <c r="B2146" s="75"/>
      <c r="C2146" s="75"/>
      <c r="D2146" s="75"/>
      <c r="E2146" s="75"/>
      <c r="F2146" s="75"/>
      <c r="G2146" s="75"/>
      <c r="H2146" s="75"/>
      <c r="I2146" s="75"/>
      <c r="J2146" s="75"/>
      <c r="K2146" s="75"/>
      <c r="L2146" s="75"/>
      <c r="M2146" s="75"/>
      <c r="N2146" s="75"/>
      <c r="O2146" s="75"/>
      <c r="P2146" s="75"/>
      <c r="Q2146" s="75"/>
      <c r="R2146" s="75"/>
      <c r="S2146" s="75"/>
      <c r="T2146" s="75"/>
      <c r="U2146" s="75"/>
      <c r="V2146" s="75"/>
    </row>
    <row r="2147" spans="2:22" x14ac:dyDescent="0.2">
      <c r="B2147" s="76"/>
      <c r="C2147" s="76"/>
      <c r="D2147" s="76"/>
      <c r="E2147" s="76"/>
      <c r="F2147" s="76"/>
      <c r="G2147" s="76"/>
      <c r="H2147" s="76"/>
      <c r="I2147" s="76"/>
      <c r="J2147" s="76"/>
      <c r="K2147" s="76"/>
      <c r="L2147" s="76"/>
      <c r="M2147" s="76"/>
      <c r="N2147" s="76"/>
      <c r="O2147" s="76"/>
      <c r="P2147" s="76"/>
      <c r="Q2147" s="76"/>
      <c r="R2147" s="76"/>
      <c r="S2147" s="76"/>
      <c r="T2147" s="76"/>
      <c r="U2147" s="76"/>
      <c r="V2147" s="76"/>
    </row>
    <row r="2148" spans="2:22" x14ac:dyDescent="0.2">
      <c r="B2148" s="73"/>
      <c r="C2148" s="33"/>
      <c r="D2148" s="23"/>
      <c r="E2148" s="73"/>
      <c r="F2148" s="73"/>
      <c r="G2148" s="73"/>
      <c r="H2148" s="73"/>
      <c r="I2148" s="73"/>
      <c r="J2148" s="33"/>
      <c r="K2148" s="33"/>
      <c r="L2148" s="33"/>
      <c r="M2148" s="33"/>
      <c r="N2148" s="73"/>
      <c r="O2148" s="73"/>
      <c r="P2148" s="73"/>
      <c r="Q2148" s="73"/>
      <c r="R2148" s="23"/>
      <c r="S2148" s="23"/>
      <c r="T2148" s="73"/>
      <c r="U2148" s="73"/>
      <c r="V2148" s="73"/>
    </row>
    <row r="2149" spans="2:22" x14ac:dyDescent="0.2">
      <c r="B2149" s="73"/>
      <c r="C2149" s="33"/>
      <c r="D2149" s="23"/>
      <c r="E2149" s="73"/>
      <c r="F2149" s="73"/>
      <c r="G2149" s="73"/>
      <c r="H2149" s="73"/>
      <c r="I2149" s="73"/>
      <c r="J2149" s="33"/>
      <c r="K2149" s="33"/>
      <c r="L2149" s="33"/>
      <c r="M2149" s="33"/>
      <c r="N2149" s="73"/>
      <c r="O2149" s="73"/>
      <c r="P2149" s="73"/>
      <c r="Q2149" s="73"/>
      <c r="R2149" s="23"/>
      <c r="S2149" s="23"/>
      <c r="T2149" s="73"/>
      <c r="U2149" s="73"/>
      <c r="V2149" s="73"/>
    </row>
    <row r="2150" spans="2:22" x14ac:dyDescent="0.2">
      <c r="B2150" s="75"/>
      <c r="C2150" s="75"/>
      <c r="D2150" s="75"/>
      <c r="E2150" s="75"/>
      <c r="F2150" s="75"/>
      <c r="G2150" s="75"/>
      <c r="H2150" s="75"/>
      <c r="I2150" s="75"/>
      <c r="J2150" s="75"/>
      <c r="K2150" s="75"/>
      <c r="L2150" s="75"/>
      <c r="M2150" s="75"/>
      <c r="N2150" s="75"/>
      <c r="O2150" s="75"/>
      <c r="P2150" s="75"/>
      <c r="Q2150" s="75"/>
      <c r="R2150" s="75"/>
      <c r="S2150" s="75"/>
      <c r="T2150" s="75"/>
      <c r="U2150" s="75"/>
      <c r="V2150" s="75"/>
    </row>
    <row r="2151" spans="2:22" x14ac:dyDescent="0.2">
      <c r="B2151" s="76"/>
      <c r="C2151" s="76"/>
      <c r="D2151" s="76"/>
      <c r="E2151" s="76"/>
      <c r="F2151" s="76"/>
      <c r="G2151" s="76"/>
      <c r="H2151" s="76"/>
      <c r="I2151" s="76"/>
      <c r="J2151" s="76"/>
      <c r="K2151" s="76"/>
      <c r="L2151" s="76"/>
      <c r="M2151" s="76"/>
      <c r="N2151" s="76"/>
      <c r="O2151" s="76"/>
      <c r="P2151" s="76"/>
      <c r="Q2151" s="76"/>
      <c r="R2151" s="76"/>
      <c r="S2151" s="76"/>
      <c r="T2151" s="76"/>
      <c r="U2151" s="76"/>
      <c r="V2151" s="76"/>
    </row>
    <row r="2152" spans="2:22" x14ac:dyDescent="0.2">
      <c r="B2152" s="73"/>
      <c r="C2152" s="33"/>
      <c r="D2152" s="23"/>
      <c r="E2152" s="73"/>
      <c r="F2152" s="73"/>
      <c r="G2152" s="73"/>
      <c r="H2152" s="73"/>
      <c r="I2152" s="73"/>
      <c r="J2152" s="33"/>
      <c r="K2152" s="33"/>
      <c r="L2152" s="33"/>
      <c r="M2152" s="33"/>
      <c r="N2152" s="73"/>
      <c r="O2152" s="73"/>
      <c r="P2152" s="73"/>
      <c r="Q2152" s="73"/>
      <c r="R2152" s="23"/>
      <c r="S2152" s="23"/>
      <c r="T2152" s="73"/>
      <c r="U2152" s="73"/>
      <c r="V2152" s="73"/>
    </row>
    <row r="2153" spans="2:22" x14ac:dyDescent="0.2">
      <c r="B2153" s="73"/>
      <c r="C2153" s="33"/>
      <c r="D2153" s="23"/>
      <c r="E2153" s="73"/>
      <c r="F2153" s="73"/>
      <c r="G2153" s="73"/>
      <c r="H2153" s="73"/>
      <c r="I2153" s="73"/>
      <c r="J2153" s="33"/>
      <c r="K2153" s="33"/>
      <c r="L2153" s="33"/>
      <c r="M2153" s="33"/>
      <c r="N2153" s="73"/>
      <c r="O2153" s="73"/>
      <c r="P2153" s="73"/>
      <c r="Q2153" s="73"/>
      <c r="R2153" s="23"/>
      <c r="S2153" s="23"/>
      <c r="T2153" s="73"/>
      <c r="U2153" s="73"/>
      <c r="V2153" s="73"/>
    </row>
    <row r="2154" spans="2:22" x14ac:dyDescent="0.2">
      <c r="B2154" s="75"/>
      <c r="C2154" s="75"/>
      <c r="D2154" s="75"/>
      <c r="E2154" s="75"/>
      <c r="F2154" s="75"/>
      <c r="G2154" s="75"/>
      <c r="H2154" s="75"/>
      <c r="I2154" s="75"/>
      <c r="J2154" s="75"/>
      <c r="K2154" s="75"/>
      <c r="L2154" s="75"/>
      <c r="M2154" s="75"/>
      <c r="N2154" s="75"/>
      <c r="O2154" s="75"/>
      <c r="P2154" s="75"/>
      <c r="Q2154" s="75"/>
      <c r="R2154" s="75"/>
      <c r="S2154" s="75"/>
      <c r="T2154" s="75"/>
      <c r="U2154" s="75"/>
      <c r="V2154" s="75"/>
    </row>
    <row r="2155" spans="2:22" x14ac:dyDescent="0.2">
      <c r="B2155" s="76"/>
      <c r="C2155" s="76"/>
      <c r="D2155" s="76"/>
      <c r="E2155" s="76"/>
      <c r="F2155" s="76"/>
      <c r="G2155" s="76"/>
      <c r="H2155" s="76"/>
      <c r="I2155" s="76"/>
      <c r="J2155" s="76"/>
      <c r="K2155" s="76"/>
      <c r="L2155" s="76"/>
      <c r="M2155" s="76"/>
      <c r="N2155" s="76"/>
      <c r="O2155" s="76"/>
      <c r="P2155" s="76"/>
      <c r="Q2155" s="76"/>
      <c r="R2155" s="76"/>
      <c r="S2155" s="76"/>
      <c r="T2155" s="76"/>
      <c r="U2155" s="76"/>
      <c r="V2155" s="76"/>
    </row>
    <row r="2156" spans="2:22" x14ac:dyDescent="0.2">
      <c r="B2156" s="73"/>
      <c r="C2156" s="33"/>
      <c r="D2156" s="23"/>
      <c r="E2156" s="73"/>
      <c r="F2156" s="73"/>
      <c r="G2156" s="73"/>
      <c r="H2156" s="73"/>
      <c r="I2156" s="73"/>
      <c r="J2156" s="33"/>
      <c r="K2156" s="33"/>
      <c r="L2156" s="33"/>
      <c r="M2156" s="33"/>
      <c r="N2156" s="73"/>
      <c r="O2156" s="73"/>
      <c r="P2156" s="73"/>
      <c r="Q2156" s="73"/>
      <c r="R2156" s="23"/>
      <c r="S2156" s="23"/>
      <c r="T2156" s="73"/>
      <c r="U2156" s="73"/>
      <c r="V2156" s="73"/>
    </row>
    <row r="2157" spans="2:22" x14ac:dyDescent="0.2">
      <c r="B2157" s="73"/>
      <c r="C2157" s="33"/>
      <c r="D2157" s="23"/>
      <c r="E2157" s="73"/>
      <c r="F2157" s="73"/>
      <c r="G2157" s="73"/>
      <c r="H2157" s="73"/>
      <c r="I2157" s="73"/>
      <c r="J2157" s="33"/>
      <c r="K2157" s="33"/>
      <c r="L2157" s="33"/>
      <c r="M2157" s="33"/>
      <c r="N2157" s="73"/>
      <c r="O2157" s="73"/>
      <c r="P2157" s="73"/>
      <c r="Q2157" s="73"/>
      <c r="R2157" s="23"/>
      <c r="S2157" s="23"/>
      <c r="T2157" s="73"/>
      <c r="U2157" s="73"/>
      <c r="V2157" s="73"/>
    </row>
    <row r="2158" spans="2:22" x14ac:dyDescent="0.2">
      <c r="B2158" s="75"/>
      <c r="C2158" s="75"/>
      <c r="D2158" s="75"/>
      <c r="E2158" s="75"/>
      <c r="F2158" s="75"/>
      <c r="G2158" s="75"/>
      <c r="H2158" s="75"/>
      <c r="I2158" s="75"/>
      <c r="J2158" s="75"/>
      <c r="K2158" s="75"/>
      <c r="L2158" s="75"/>
      <c r="M2158" s="75"/>
      <c r="N2158" s="75"/>
      <c r="O2158" s="75"/>
      <c r="P2158" s="75"/>
      <c r="Q2158" s="75"/>
      <c r="R2158" s="75"/>
      <c r="S2158" s="75"/>
      <c r="T2158" s="75"/>
      <c r="U2158" s="75"/>
      <c r="V2158" s="75"/>
    </row>
    <row r="2159" spans="2:22" x14ac:dyDescent="0.2">
      <c r="B2159" s="76"/>
      <c r="C2159" s="76"/>
      <c r="D2159" s="76"/>
      <c r="E2159" s="76"/>
      <c r="F2159" s="76"/>
      <c r="G2159" s="76"/>
      <c r="H2159" s="76"/>
      <c r="I2159" s="76"/>
      <c r="J2159" s="76"/>
      <c r="K2159" s="76"/>
      <c r="L2159" s="76"/>
      <c r="M2159" s="76"/>
      <c r="N2159" s="76"/>
      <c r="O2159" s="76"/>
      <c r="P2159" s="76"/>
      <c r="Q2159" s="76"/>
      <c r="R2159" s="76"/>
      <c r="S2159" s="76"/>
      <c r="T2159" s="76"/>
      <c r="U2159" s="76"/>
      <c r="V2159" s="76"/>
    </row>
    <row r="2160" spans="2:22" x14ac:dyDescent="0.2">
      <c r="B2160" s="73"/>
      <c r="C2160" s="33"/>
      <c r="D2160" s="23"/>
      <c r="E2160" s="73"/>
      <c r="F2160" s="73"/>
      <c r="G2160" s="73"/>
      <c r="H2160" s="73"/>
      <c r="I2160" s="73"/>
      <c r="J2160" s="33"/>
      <c r="K2160" s="33"/>
      <c r="L2160" s="33"/>
      <c r="M2160" s="33"/>
      <c r="N2160" s="73"/>
      <c r="O2160" s="73"/>
      <c r="P2160" s="73"/>
      <c r="Q2160" s="73"/>
      <c r="R2160" s="23"/>
      <c r="S2160" s="23"/>
      <c r="T2160" s="73"/>
      <c r="U2160" s="73"/>
      <c r="V2160" s="73"/>
    </row>
    <row r="2161" spans="2:22" x14ac:dyDescent="0.2">
      <c r="B2161" s="73"/>
      <c r="C2161" s="33"/>
      <c r="D2161" s="23"/>
      <c r="E2161" s="73"/>
      <c r="F2161" s="73"/>
      <c r="G2161" s="73"/>
      <c r="H2161" s="73"/>
      <c r="I2161" s="73"/>
      <c r="J2161" s="33"/>
      <c r="K2161" s="33"/>
      <c r="L2161" s="33"/>
      <c r="M2161" s="33"/>
      <c r="N2161" s="73"/>
      <c r="O2161" s="73"/>
      <c r="P2161" s="73"/>
      <c r="Q2161" s="73"/>
      <c r="R2161" s="23"/>
      <c r="S2161" s="23"/>
      <c r="T2161" s="73"/>
      <c r="U2161" s="73"/>
      <c r="V2161" s="73"/>
    </row>
    <row r="2162" spans="2:22" x14ac:dyDescent="0.2">
      <c r="B2162" s="75"/>
      <c r="C2162" s="75"/>
      <c r="D2162" s="75"/>
      <c r="E2162" s="75"/>
      <c r="F2162" s="75"/>
      <c r="G2162" s="75"/>
      <c r="H2162" s="75"/>
      <c r="I2162" s="75"/>
      <c r="J2162" s="75"/>
      <c r="K2162" s="75"/>
      <c r="L2162" s="75"/>
      <c r="M2162" s="75"/>
      <c r="N2162" s="75"/>
      <c r="O2162" s="75"/>
      <c r="P2162" s="75"/>
      <c r="Q2162" s="75"/>
      <c r="R2162" s="75"/>
      <c r="S2162" s="75"/>
      <c r="T2162" s="75"/>
      <c r="U2162" s="75"/>
      <c r="V2162" s="75"/>
    </row>
    <row r="2163" spans="2:22" x14ac:dyDescent="0.2">
      <c r="B2163" s="76"/>
      <c r="C2163" s="76"/>
      <c r="D2163" s="76"/>
      <c r="E2163" s="76"/>
      <c r="F2163" s="76"/>
      <c r="G2163" s="76"/>
      <c r="H2163" s="76"/>
      <c r="I2163" s="76"/>
      <c r="J2163" s="76"/>
      <c r="K2163" s="76"/>
      <c r="L2163" s="76"/>
      <c r="M2163" s="76"/>
      <c r="N2163" s="76"/>
      <c r="O2163" s="76"/>
      <c r="P2163" s="76"/>
      <c r="Q2163" s="76"/>
      <c r="R2163" s="76"/>
      <c r="S2163" s="76"/>
      <c r="T2163" s="76"/>
      <c r="U2163" s="76"/>
      <c r="V2163" s="76"/>
    </row>
    <row r="2164" spans="2:22" x14ac:dyDescent="0.2">
      <c r="B2164" s="73"/>
      <c r="C2164" s="33"/>
      <c r="D2164" s="23"/>
      <c r="E2164" s="73"/>
      <c r="F2164" s="73"/>
      <c r="G2164" s="73"/>
      <c r="H2164" s="73"/>
      <c r="I2164" s="73"/>
      <c r="J2164" s="33"/>
      <c r="K2164" s="33"/>
      <c r="L2164" s="33"/>
      <c r="M2164" s="33"/>
      <c r="N2164" s="73"/>
      <c r="O2164" s="73"/>
      <c r="P2164" s="73"/>
      <c r="Q2164" s="73"/>
      <c r="R2164" s="23"/>
      <c r="S2164" s="23"/>
      <c r="T2164" s="73"/>
      <c r="U2164" s="73"/>
      <c r="V2164" s="73"/>
    </row>
    <row r="2165" spans="2:22" x14ac:dyDescent="0.2">
      <c r="B2165" s="73"/>
      <c r="C2165" s="33"/>
      <c r="D2165" s="23"/>
      <c r="E2165" s="73"/>
      <c r="F2165" s="73"/>
      <c r="G2165" s="73"/>
      <c r="H2165" s="73"/>
      <c r="I2165" s="73"/>
      <c r="J2165" s="33"/>
      <c r="K2165" s="33"/>
      <c r="L2165" s="33"/>
      <c r="M2165" s="33"/>
      <c r="N2165" s="73"/>
      <c r="O2165" s="73"/>
      <c r="P2165" s="73"/>
      <c r="Q2165" s="73"/>
      <c r="R2165" s="23"/>
      <c r="S2165" s="23"/>
      <c r="T2165" s="73"/>
      <c r="U2165" s="73"/>
      <c r="V2165" s="73"/>
    </row>
    <row r="2166" spans="2:22" x14ac:dyDescent="0.2">
      <c r="B2166" s="73"/>
      <c r="C2166" s="33"/>
      <c r="D2166" s="23"/>
      <c r="E2166" s="73"/>
      <c r="F2166" s="73"/>
      <c r="G2166" s="73"/>
      <c r="H2166" s="73"/>
      <c r="I2166" s="73"/>
      <c r="J2166" s="33"/>
      <c r="K2166" s="33"/>
      <c r="L2166" s="33"/>
      <c r="M2166" s="33"/>
      <c r="N2166" s="73"/>
      <c r="O2166" s="73"/>
      <c r="P2166" s="73"/>
      <c r="Q2166" s="73"/>
      <c r="R2166" s="23"/>
      <c r="S2166" s="23"/>
      <c r="T2166" s="73"/>
      <c r="U2166" s="73"/>
      <c r="V2166" s="73"/>
    </row>
    <row r="2167" spans="2:22" x14ac:dyDescent="0.2">
      <c r="B2167" s="75"/>
      <c r="C2167" s="75"/>
      <c r="D2167" s="75"/>
      <c r="E2167" s="75"/>
      <c r="F2167" s="75"/>
      <c r="G2167" s="75"/>
      <c r="H2167" s="75"/>
      <c r="I2167" s="75"/>
      <c r="J2167" s="75"/>
      <c r="K2167" s="75"/>
      <c r="L2167" s="75"/>
      <c r="M2167" s="75"/>
      <c r="N2167" s="75"/>
      <c r="O2167" s="75"/>
      <c r="P2167" s="75"/>
      <c r="Q2167" s="75"/>
      <c r="R2167" s="75"/>
      <c r="S2167" s="75"/>
      <c r="T2167" s="75"/>
      <c r="U2167" s="75"/>
      <c r="V2167" s="75"/>
    </row>
    <row r="2168" spans="2:22" x14ac:dyDescent="0.2">
      <c r="B2168" s="76"/>
      <c r="C2168" s="76"/>
      <c r="D2168" s="76"/>
      <c r="E2168" s="76"/>
      <c r="F2168" s="76"/>
      <c r="G2168" s="76"/>
      <c r="H2168" s="76"/>
      <c r="I2168" s="76"/>
      <c r="J2168" s="76"/>
      <c r="K2168" s="76"/>
      <c r="L2168" s="76"/>
      <c r="M2168" s="76"/>
      <c r="N2168" s="76"/>
      <c r="O2168" s="76"/>
      <c r="P2168" s="76"/>
      <c r="Q2168" s="76"/>
      <c r="R2168" s="76"/>
      <c r="S2168" s="76"/>
      <c r="T2168" s="76"/>
      <c r="U2168" s="76"/>
      <c r="V2168" s="76"/>
    </row>
    <row r="2169" spans="2:22" x14ac:dyDescent="0.2">
      <c r="B2169" s="73"/>
      <c r="C2169" s="33"/>
      <c r="D2169" s="23"/>
      <c r="E2169" s="73"/>
      <c r="F2169" s="73"/>
      <c r="G2169" s="73"/>
      <c r="H2169" s="73"/>
      <c r="I2169" s="73"/>
      <c r="J2169" s="33"/>
      <c r="K2169" s="33"/>
      <c r="L2169" s="33"/>
      <c r="M2169" s="33"/>
      <c r="N2169" s="73"/>
      <c r="O2169" s="73"/>
      <c r="P2169" s="73"/>
      <c r="Q2169" s="73"/>
      <c r="R2169" s="23"/>
      <c r="S2169" s="23"/>
      <c r="T2169" s="73"/>
      <c r="U2169" s="73"/>
      <c r="V2169" s="73"/>
    </row>
    <row r="2170" spans="2:22" x14ac:dyDescent="0.2">
      <c r="B2170" s="75"/>
      <c r="C2170" s="75"/>
      <c r="D2170" s="75"/>
      <c r="E2170" s="75"/>
      <c r="F2170" s="75"/>
      <c r="G2170" s="75"/>
      <c r="H2170" s="75"/>
      <c r="I2170" s="75"/>
      <c r="J2170" s="75"/>
      <c r="K2170" s="75"/>
      <c r="L2170" s="75"/>
      <c r="M2170" s="75"/>
      <c r="N2170" s="75"/>
      <c r="O2170" s="75"/>
      <c r="P2170" s="75"/>
      <c r="Q2170" s="75"/>
      <c r="R2170" s="75"/>
      <c r="S2170" s="75"/>
      <c r="T2170" s="75"/>
      <c r="U2170" s="75"/>
      <c r="V2170" s="75"/>
    </row>
    <row r="2171" spans="2:22" x14ac:dyDescent="0.2">
      <c r="B2171" s="76"/>
      <c r="C2171" s="76"/>
      <c r="D2171" s="76"/>
      <c r="E2171" s="76"/>
      <c r="F2171" s="76"/>
      <c r="G2171" s="76"/>
      <c r="H2171" s="76"/>
      <c r="I2171" s="76"/>
      <c r="J2171" s="76"/>
      <c r="K2171" s="76"/>
      <c r="L2171" s="76"/>
      <c r="M2171" s="76"/>
      <c r="N2171" s="76"/>
      <c r="O2171" s="76"/>
      <c r="P2171" s="76"/>
      <c r="Q2171" s="76"/>
      <c r="R2171" s="76"/>
      <c r="S2171" s="76"/>
      <c r="T2171" s="76"/>
      <c r="U2171" s="76"/>
      <c r="V2171" s="76"/>
    </row>
    <row r="2172" spans="2:22" x14ac:dyDescent="0.2">
      <c r="B2172" s="73"/>
      <c r="C2172" s="33"/>
      <c r="D2172" s="23"/>
      <c r="E2172" s="73"/>
      <c r="F2172" s="73"/>
      <c r="G2172" s="73"/>
      <c r="H2172" s="73"/>
      <c r="I2172" s="73"/>
      <c r="J2172" s="33"/>
      <c r="K2172" s="33"/>
      <c r="L2172" s="33"/>
      <c r="M2172" s="33"/>
      <c r="N2172" s="73"/>
      <c r="O2172" s="73"/>
      <c r="P2172" s="73"/>
      <c r="Q2172" s="73"/>
      <c r="R2172" s="23"/>
      <c r="S2172" s="23"/>
      <c r="T2172" s="73"/>
      <c r="U2172" s="73"/>
      <c r="V2172" s="73"/>
    </row>
    <row r="2173" spans="2:22" x14ac:dyDescent="0.2">
      <c r="B2173" s="75"/>
      <c r="C2173" s="75"/>
      <c r="D2173" s="75"/>
      <c r="E2173" s="75"/>
      <c r="F2173" s="75"/>
      <c r="G2173" s="75"/>
      <c r="H2173" s="75"/>
      <c r="I2173" s="75"/>
      <c r="J2173" s="75"/>
      <c r="K2173" s="75"/>
      <c r="L2173" s="75"/>
      <c r="M2173" s="75"/>
      <c r="N2173" s="75"/>
      <c r="O2173" s="75"/>
      <c r="P2173" s="75"/>
      <c r="Q2173" s="75"/>
      <c r="R2173" s="75"/>
      <c r="S2173" s="75"/>
      <c r="T2173" s="75"/>
      <c r="U2173" s="75"/>
      <c r="V2173" s="75"/>
    </row>
    <row r="2174" spans="2:22" x14ac:dyDescent="0.2">
      <c r="B2174" s="76"/>
      <c r="C2174" s="76"/>
      <c r="D2174" s="76"/>
      <c r="E2174" s="76"/>
      <c r="F2174" s="76"/>
      <c r="G2174" s="76"/>
      <c r="H2174" s="76"/>
      <c r="I2174" s="76"/>
      <c r="J2174" s="76"/>
      <c r="K2174" s="76"/>
      <c r="L2174" s="76"/>
      <c r="M2174" s="76"/>
      <c r="N2174" s="76"/>
      <c r="O2174" s="76"/>
      <c r="P2174" s="76"/>
      <c r="Q2174" s="76"/>
      <c r="R2174" s="76"/>
      <c r="S2174" s="76"/>
      <c r="T2174" s="76"/>
      <c r="U2174" s="76"/>
      <c r="V2174" s="76"/>
    </row>
    <row r="2175" spans="2:22" x14ac:dyDescent="0.2">
      <c r="B2175" s="73"/>
      <c r="C2175" s="33"/>
      <c r="D2175" s="23"/>
      <c r="E2175" s="73"/>
      <c r="F2175" s="73"/>
      <c r="G2175" s="73"/>
      <c r="H2175" s="73"/>
      <c r="I2175" s="73"/>
      <c r="J2175" s="33"/>
      <c r="K2175" s="33"/>
      <c r="L2175" s="33"/>
      <c r="M2175" s="33"/>
      <c r="N2175" s="73"/>
      <c r="O2175" s="73"/>
      <c r="P2175" s="73"/>
      <c r="Q2175" s="73"/>
      <c r="R2175" s="23"/>
      <c r="S2175" s="23"/>
      <c r="T2175" s="73"/>
      <c r="U2175" s="73"/>
      <c r="V2175" s="73"/>
    </row>
    <row r="2176" spans="2:22" x14ac:dyDescent="0.2">
      <c r="B2176" s="73"/>
      <c r="C2176" s="33"/>
      <c r="D2176" s="23"/>
      <c r="E2176" s="73"/>
      <c r="F2176" s="73"/>
      <c r="G2176" s="73"/>
      <c r="H2176" s="73"/>
      <c r="I2176" s="73"/>
      <c r="J2176" s="33"/>
      <c r="K2176" s="33"/>
      <c r="L2176" s="33"/>
      <c r="M2176" s="33"/>
      <c r="N2176" s="73"/>
      <c r="O2176" s="73"/>
      <c r="P2176" s="73"/>
      <c r="Q2176" s="73"/>
      <c r="R2176" s="23"/>
      <c r="S2176" s="23"/>
      <c r="T2176" s="73"/>
      <c r="U2176" s="73"/>
      <c r="V2176" s="73"/>
    </row>
    <row r="2177" spans="2:22" x14ac:dyDescent="0.2">
      <c r="B2177" s="75"/>
      <c r="C2177" s="75"/>
      <c r="D2177" s="75"/>
      <c r="E2177" s="75"/>
      <c r="F2177" s="75"/>
      <c r="G2177" s="75"/>
      <c r="H2177" s="75"/>
      <c r="I2177" s="75"/>
      <c r="J2177" s="75"/>
      <c r="K2177" s="75"/>
      <c r="L2177" s="75"/>
      <c r="M2177" s="75"/>
      <c r="N2177" s="75"/>
      <c r="O2177" s="75"/>
      <c r="P2177" s="75"/>
      <c r="Q2177" s="75"/>
      <c r="R2177" s="75"/>
      <c r="S2177" s="75"/>
      <c r="T2177" s="75"/>
      <c r="U2177" s="75"/>
      <c r="V2177" s="75"/>
    </row>
    <row r="2178" spans="2:22" x14ac:dyDescent="0.2">
      <c r="B2178" s="76"/>
      <c r="C2178" s="76"/>
      <c r="D2178" s="76"/>
      <c r="E2178" s="76"/>
      <c r="F2178" s="76"/>
      <c r="G2178" s="76"/>
      <c r="H2178" s="76"/>
      <c r="I2178" s="76"/>
      <c r="J2178" s="76"/>
      <c r="K2178" s="76"/>
      <c r="L2178" s="76"/>
      <c r="M2178" s="76"/>
      <c r="N2178" s="76"/>
      <c r="O2178" s="76"/>
      <c r="P2178" s="76"/>
      <c r="Q2178" s="76"/>
      <c r="R2178" s="76"/>
      <c r="S2178" s="76"/>
      <c r="T2178" s="76"/>
      <c r="U2178" s="76"/>
      <c r="V2178" s="76"/>
    </row>
    <row r="2179" spans="2:22" x14ac:dyDescent="0.2">
      <c r="B2179" s="73"/>
      <c r="C2179" s="33"/>
      <c r="D2179" s="23"/>
      <c r="E2179" s="73"/>
      <c r="F2179" s="73"/>
      <c r="G2179" s="73"/>
      <c r="H2179" s="73"/>
      <c r="I2179" s="73"/>
      <c r="J2179" s="33"/>
      <c r="K2179" s="33"/>
      <c r="L2179" s="33"/>
      <c r="M2179" s="33"/>
      <c r="N2179" s="73"/>
      <c r="O2179" s="73"/>
      <c r="P2179" s="73"/>
      <c r="Q2179" s="73"/>
      <c r="R2179" s="23"/>
      <c r="S2179" s="23"/>
      <c r="T2179" s="73"/>
      <c r="U2179" s="73"/>
      <c r="V2179" s="73"/>
    </row>
    <row r="2180" spans="2:22" x14ac:dyDescent="0.2">
      <c r="B2180" s="73"/>
      <c r="C2180" s="33"/>
      <c r="D2180" s="23"/>
      <c r="E2180" s="73"/>
      <c r="F2180" s="73"/>
      <c r="G2180" s="73"/>
      <c r="H2180" s="73"/>
      <c r="I2180" s="73"/>
      <c r="J2180" s="33"/>
      <c r="K2180" s="33"/>
      <c r="L2180" s="33"/>
      <c r="M2180" s="33"/>
      <c r="N2180" s="73"/>
      <c r="O2180" s="73"/>
      <c r="P2180" s="73"/>
      <c r="Q2180" s="73"/>
      <c r="R2180" s="23"/>
      <c r="S2180" s="23"/>
      <c r="T2180" s="73"/>
      <c r="U2180" s="73"/>
      <c r="V2180" s="73"/>
    </row>
    <row r="2181" spans="2:22" x14ac:dyDescent="0.2">
      <c r="B2181" s="75"/>
      <c r="C2181" s="75"/>
      <c r="D2181" s="75"/>
      <c r="E2181" s="75"/>
      <c r="F2181" s="75"/>
      <c r="G2181" s="75"/>
      <c r="H2181" s="75"/>
      <c r="I2181" s="75"/>
      <c r="J2181" s="75"/>
      <c r="K2181" s="75"/>
      <c r="L2181" s="75"/>
      <c r="M2181" s="75"/>
      <c r="N2181" s="75"/>
      <c r="O2181" s="75"/>
      <c r="P2181" s="75"/>
      <c r="Q2181" s="75"/>
      <c r="R2181" s="75"/>
      <c r="S2181" s="75"/>
      <c r="T2181" s="75"/>
      <c r="U2181" s="75"/>
      <c r="V2181" s="75"/>
    </row>
    <row r="2182" spans="2:22" x14ac:dyDescent="0.2">
      <c r="B2182" s="76"/>
      <c r="C2182" s="76"/>
      <c r="D2182" s="76"/>
      <c r="E2182" s="76"/>
      <c r="F2182" s="76"/>
      <c r="G2182" s="76"/>
      <c r="H2182" s="76"/>
      <c r="I2182" s="76"/>
      <c r="J2182" s="76"/>
      <c r="K2182" s="76"/>
      <c r="L2182" s="76"/>
      <c r="M2182" s="76"/>
      <c r="N2182" s="76"/>
      <c r="O2182" s="76"/>
      <c r="P2182" s="76"/>
      <c r="Q2182" s="76"/>
      <c r="R2182" s="76"/>
      <c r="S2182" s="76"/>
      <c r="T2182" s="76"/>
      <c r="U2182" s="76"/>
      <c r="V2182" s="76"/>
    </row>
    <row r="2183" spans="2:22" x14ac:dyDescent="0.2">
      <c r="B2183" s="73"/>
      <c r="C2183" s="33"/>
      <c r="D2183" s="23"/>
      <c r="E2183" s="73"/>
      <c r="F2183" s="73"/>
      <c r="G2183" s="73"/>
      <c r="H2183" s="73"/>
      <c r="I2183" s="73"/>
      <c r="J2183" s="33"/>
      <c r="K2183" s="33"/>
      <c r="L2183" s="33"/>
      <c r="M2183" s="33"/>
      <c r="N2183" s="73"/>
      <c r="O2183" s="73"/>
      <c r="P2183" s="73"/>
      <c r="Q2183" s="73"/>
      <c r="R2183" s="23"/>
      <c r="S2183" s="23"/>
      <c r="T2183" s="73"/>
      <c r="U2183" s="73"/>
      <c r="V2183" s="73"/>
    </row>
    <row r="2184" spans="2:22" x14ac:dyDescent="0.2">
      <c r="B2184" s="73"/>
      <c r="C2184" s="33"/>
      <c r="D2184" s="23"/>
      <c r="E2184" s="73"/>
      <c r="F2184" s="73"/>
      <c r="G2184" s="73"/>
      <c r="H2184" s="73"/>
      <c r="I2184" s="73"/>
      <c r="J2184" s="33"/>
      <c r="K2184" s="33"/>
      <c r="L2184" s="33"/>
      <c r="M2184" s="33"/>
      <c r="N2184" s="73"/>
      <c r="O2184" s="73"/>
      <c r="P2184" s="73"/>
      <c r="Q2184" s="73"/>
      <c r="R2184" s="23"/>
      <c r="S2184" s="23"/>
      <c r="T2184" s="73"/>
      <c r="U2184" s="73"/>
      <c r="V2184" s="73"/>
    </row>
    <row r="2185" spans="2:22" x14ac:dyDescent="0.2">
      <c r="B2185" s="73"/>
      <c r="C2185" s="33"/>
      <c r="D2185" s="23"/>
      <c r="E2185" s="73"/>
      <c r="F2185" s="73"/>
      <c r="G2185" s="73"/>
      <c r="H2185" s="73"/>
      <c r="I2185" s="73"/>
      <c r="J2185" s="33"/>
      <c r="K2185" s="33"/>
      <c r="L2185" s="33"/>
      <c r="M2185" s="33"/>
      <c r="N2185" s="73"/>
      <c r="O2185" s="73"/>
      <c r="P2185" s="73"/>
      <c r="Q2185" s="73"/>
      <c r="R2185" s="23"/>
      <c r="S2185" s="23"/>
      <c r="T2185" s="73"/>
      <c r="U2185" s="73"/>
      <c r="V2185" s="73"/>
    </row>
    <row r="2186" spans="2:22" x14ac:dyDescent="0.2">
      <c r="B2186" s="73"/>
      <c r="C2186" s="33"/>
      <c r="D2186" s="23"/>
      <c r="E2186" s="73"/>
      <c r="F2186" s="73"/>
      <c r="G2186" s="73"/>
      <c r="H2186" s="73"/>
      <c r="I2186" s="73"/>
      <c r="J2186" s="33"/>
      <c r="K2186" s="33"/>
      <c r="L2186" s="33"/>
      <c r="M2186" s="33"/>
      <c r="N2186" s="73"/>
      <c r="O2186" s="73"/>
      <c r="P2186" s="73"/>
      <c r="Q2186" s="73"/>
      <c r="R2186" s="23"/>
      <c r="S2186" s="23"/>
      <c r="T2186" s="73"/>
      <c r="U2186" s="73"/>
      <c r="V2186" s="73"/>
    </row>
    <row r="2187" spans="2:22" x14ac:dyDescent="0.2">
      <c r="B2187" s="73"/>
      <c r="C2187" s="33"/>
      <c r="D2187" s="23"/>
      <c r="E2187" s="73"/>
      <c r="F2187" s="73"/>
      <c r="G2187" s="73"/>
      <c r="H2187" s="73"/>
      <c r="I2187" s="73"/>
      <c r="J2187" s="33"/>
      <c r="K2187" s="33"/>
      <c r="L2187" s="33"/>
      <c r="M2187" s="33"/>
      <c r="N2187" s="73"/>
      <c r="O2187" s="73"/>
      <c r="P2187" s="73"/>
      <c r="Q2187" s="73"/>
      <c r="R2187" s="23"/>
      <c r="S2187" s="23"/>
      <c r="T2187" s="73"/>
      <c r="U2187" s="73"/>
      <c r="V2187" s="73"/>
    </row>
    <row r="2188" spans="2:22" x14ac:dyDescent="0.2">
      <c r="B2188" s="75"/>
      <c r="C2188" s="75"/>
      <c r="D2188" s="75"/>
      <c r="E2188" s="75"/>
      <c r="F2188" s="75"/>
      <c r="G2188" s="75"/>
      <c r="H2188" s="75"/>
      <c r="I2188" s="75"/>
      <c r="J2188" s="75"/>
      <c r="K2188" s="75"/>
      <c r="L2188" s="75"/>
      <c r="M2188" s="75"/>
      <c r="N2188" s="75"/>
      <c r="O2188" s="75"/>
      <c r="P2188" s="75"/>
      <c r="Q2188" s="75"/>
      <c r="R2188" s="75"/>
      <c r="S2188" s="75"/>
      <c r="T2188" s="75"/>
      <c r="U2188" s="75"/>
      <c r="V2188" s="75"/>
    </row>
    <row r="2189" spans="2:22" x14ac:dyDescent="0.2">
      <c r="B2189" s="76"/>
      <c r="C2189" s="76"/>
      <c r="D2189" s="76"/>
      <c r="E2189" s="76"/>
      <c r="F2189" s="76"/>
      <c r="G2189" s="76"/>
      <c r="H2189" s="76"/>
      <c r="I2189" s="76"/>
      <c r="J2189" s="76"/>
      <c r="K2189" s="76"/>
      <c r="L2189" s="76"/>
      <c r="M2189" s="76"/>
      <c r="N2189" s="76"/>
      <c r="O2189" s="76"/>
      <c r="P2189" s="76"/>
      <c r="Q2189" s="76"/>
      <c r="R2189" s="76"/>
      <c r="S2189" s="76"/>
      <c r="T2189" s="76"/>
      <c r="U2189" s="76"/>
      <c r="V2189" s="76"/>
    </row>
    <row r="2190" spans="2:22" x14ac:dyDescent="0.2">
      <c r="B2190" s="73"/>
      <c r="C2190" s="33"/>
      <c r="D2190" s="23"/>
      <c r="E2190" s="73"/>
      <c r="F2190" s="73"/>
      <c r="G2190" s="73"/>
      <c r="H2190" s="73"/>
      <c r="I2190" s="73"/>
      <c r="J2190" s="33"/>
      <c r="K2190" s="33"/>
      <c r="L2190" s="33"/>
      <c r="M2190" s="33"/>
      <c r="N2190" s="73"/>
      <c r="O2190" s="73"/>
      <c r="P2190" s="73"/>
      <c r="Q2190" s="73"/>
      <c r="R2190" s="23"/>
      <c r="S2190" s="23"/>
      <c r="T2190" s="73"/>
      <c r="U2190" s="73"/>
      <c r="V2190" s="73"/>
    </row>
    <row r="2191" spans="2:22" x14ac:dyDescent="0.2">
      <c r="B2191" s="75"/>
      <c r="C2191" s="75"/>
      <c r="D2191" s="75"/>
      <c r="E2191" s="75"/>
      <c r="F2191" s="75"/>
      <c r="G2191" s="75"/>
      <c r="H2191" s="75"/>
      <c r="I2191" s="75"/>
      <c r="J2191" s="75"/>
      <c r="K2191" s="75"/>
      <c r="L2191" s="75"/>
      <c r="M2191" s="75"/>
      <c r="N2191" s="75"/>
      <c r="O2191" s="75"/>
      <c r="P2191" s="75"/>
      <c r="Q2191" s="75"/>
      <c r="R2191" s="75"/>
      <c r="S2191" s="75"/>
      <c r="T2191" s="75"/>
      <c r="U2191" s="75"/>
      <c r="V2191" s="75"/>
    </row>
    <row r="2192" spans="2:22" x14ac:dyDescent="0.2">
      <c r="B2192" s="76"/>
      <c r="C2192" s="76"/>
      <c r="D2192" s="76"/>
      <c r="E2192" s="76"/>
      <c r="F2192" s="76"/>
      <c r="G2192" s="76"/>
      <c r="H2192" s="76"/>
      <c r="I2192" s="76"/>
      <c r="J2192" s="76"/>
      <c r="K2192" s="76"/>
      <c r="L2192" s="76"/>
      <c r="M2192" s="76"/>
      <c r="N2192" s="76"/>
      <c r="O2192" s="76"/>
      <c r="P2192" s="76"/>
      <c r="Q2192" s="76"/>
      <c r="R2192" s="76"/>
      <c r="S2192" s="76"/>
      <c r="T2192" s="76"/>
      <c r="U2192" s="76"/>
      <c r="V2192" s="76"/>
    </row>
    <row r="2193" spans="2:22" x14ac:dyDescent="0.2">
      <c r="B2193" s="73"/>
      <c r="C2193" s="33"/>
      <c r="D2193" s="23"/>
      <c r="E2193" s="73"/>
      <c r="F2193" s="73"/>
      <c r="G2193" s="73"/>
      <c r="H2193" s="73"/>
      <c r="I2193" s="73"/>
      <c r="J2193" s="33"/>
      <c r="K2193" s="33"/>
      <c r="L2193" s="33"/>
      <c r="M2193" s="33"/>
      <c r="N2193" s="73"/>
      <c r="O2193" s="73"/>
      <c r="P2193" s="73"/>
      <c r="Q2193" s="73"/>
      <c r="R2193" s="23"/>
      <c r="S2193" s="23"/>
      <c r="T2193" s="73"/>
      <c r="U2193" s="73"/>
      <c r="V2193" s="73"/>
    </row>
    <row r="2194" spans="2:22" x14ac:dyDescent="0.2">
      <c r="B2194" s="73"/>
      <c r="C2194" s="33"/>
      <c r="D2194" s="23"/>
      <c r="E2194" s="73"/>
      <c r="F2194" s="73"/>
      <c r="G2194" s="73"/>
      <c r="H2194" s="73"/>
      <c r="I2194" s="73"/>
      <c r="J2194" s="33"/>
      <c r="K2194" s="33"/>
      <c r="L2194" s="33"/>
      <c r="M2194" s="33"/>
      <c r="N2194" s="73"/>
      <c r="O2194" s="73"/>
      <c r="P2194" s="73"/>
      <c r="Q2194" s="73"/>
      <c r="R2194" s="23"/>
      <c r="S2194" s="23"/>
      <c r="T2194" s="73"/>
      <c r="U2194" s="73"/>
      <c r="V2194" s="73"/>
    </row>
    <row r="2195" spans="2:22" x14ac:dyDescent="0.2">
      <c r="B2195" s="75"/>
      <c r="C2195" s="75"/>
      <c r="D2195" s="75"/>
      <c r="E2195" s="75"/>
      <c r="F2195" s="75"/>
      <c r="G2195" s="75"/>
      <c r="H2195" s="75"/>
      <c r="I2195" s="75"/>
      <c r="J2195" s="75"/>
      <c r="K2195" s="75"/>
      <c r="L2195" s="75"/>
      <c r="M2195" s="75"/>
      <c r="N2195" s="75"/>
      <c r="O2195" s="75"/>
      <c r="P2195" s="75"/>
      <c r="Q2195" s="75"/>
      <c r="R2195" s="75"/>
      <c r="S2195" s="75"/>
      <c r="T2195" s="75"/>
      <c r="U2195" s="75"/>
      <c r="V2195" s="75"/>
    </row>
    <row r="2196" spans="2:22" x14ac:dyDescent="0.2">
      <c r="B2196" s="76"/>
      <c r="C2196" s="76"/>
      <c r="D2196" s="76"/>
      <c r="E2196" s="76"/>
      <c r="F2196" s="76"/>
      <c r="G2196" s="76"/>
      <c r="H2196" s="76"/>
      <c r="I2196" s="76"/>
      <c r="J2196" s="76"/>
      <c r="K2196" s="76"/>
      <c r="L2196" s="76"/>
      <c r="M2196" s="76"/>
      <c r="N2196" s="76"/>
      <c r="O2196" s="76"/>
      <c r="P2196" s="76"/>
      <c r="Q2196" s="76"/>
      <c r="R2196" s="76"/>
      <c r="S2196" s="76"/>
      <c r="T2196" s="76"/>
      <c r="U2196" s="76"/>
      <c r="V2196" s="76"/>
    </row>
    <row r="2197" spans="2:22" x14ac:dyDescent="0.2">
      <c r="B2197" s="73"/>
      <c r="C2197" s="33"/>
      <c r="D2197" s="23"/>
      <c r="E2197" s="73"/>
      <c r="F2197" s="73"/>
      <c r="G2197" s="73"/>
      <c r="H2197" s="73"/>
      <c r="I2197" s="73"/>
      <c r="J2197" s="33"/>
      <c r="K2197" s="33"/>
      <c r="L2197" s="33"/>
      <c r="M2197" s="33"/>
      <c r="N2197" s="73"/>
      <c r="O2197" s="73"/>
      <c r="P2197" s="73"/>
      <c r="Q2197" s="73"/>
      <c r="R2197" s="23"/>
      <c r="S2197" s="23"/>
      <c r="T2197" s="73"/>
      <c r="U2197" s="73"/>
      <c r="V2197" s="73"/>
    </row>
    <row r="2198" spans="2:22" x14ac:dyDescent="0.2">
      <c r="B2198" s="75"/>
      <c r="C2198" s="75"/>
      <c r="D2198" s="75"/>
      <c r="E2198" s="75"/>
      <c r="F2198" s="75"/>
      <c r="G2198" s="75"/>
      <c r="H2198" s="75"/>
      <c r="I2198" s="75"/>
      <c r="J2198" s="75"/>
      <c r="K2198" s="75"/>
      <c r="L2198" s="75"/>
      <c r="M2198" s="75"/>
      <c r="N2198" s="75"/>
      <c r="O2198" s="75"/>
      <c r="P2198" s="75"/>
      <c r="Q2198" s="75"/>
      <c r="R2198" s="75"/>
      <c r="S2198" s="75"/>
      <c r="T2198" s="75"/>
      <c r="U2198" s="75"/>
      <c r="V2198" s="75"/>
    </row>
    <row r="2199" spans="2:22" x14ac:dyDescent="0.2">
      <c r="B2199" s="76"/>
      <c r="C2199" s="76"/>
      <c r="D2199" s="76"/>
      <c r="E2199" s="76"/>
      <c r="F2199" s="76"/>
      <c r="G2199" s="76"/>
      <c r="H2199" s="76"/>
      <c r="I2199" s="76"/>
      <c r="J2199" s="76"/>
      <c r="K2199" s="76"/>
      <c r="L2199" s="76"/>
      <c r="M2199" s="76"/>
      <c r="N2199" s="76"/>
      <c r="O2199" s="76"/>
      <c r="P2199" s="76"/>
      <c r="Q2199" s="76"/>
      <c r="R2199" s="76"/>
      <c r="S2199" s="76"/>
      <c r="T2199" s="76"/>
      <c r="U2199" s="76"/>
      <c r="V2199" s="76"/>
    </row>
    <row r="2200" spans="2:22" x14ac:dyDescent="0.2">
      <c r="B2200" s="73"/>
      <c r="C2200" s="33"/>
      <c r="D2200" s="23"/>
      <c r="E2200" s="73"/>
      <c r="F2200" s="73"/>
      <c r="G2200" s="73"/>
      <c r="H2200" s="73"/>
      <c r="I2200" s="73"/>
      <c r="J2200" s="33"/>
      <c r="K2200" s="33"/>
      <c r="L2200" s="33"/>
      <c r="M2200" s="33"/>
      <c r="N2200" s="73"/>
      <c r="O2200" s="73"/>
      <c r="P2200" s="73"/>
      <c r="Q2200" s="73"/>
      <c r="R2200" s="23"/>
      <c r="S2200" s="23"/>
      <c r="T2200" s="73"/>
      <c r="U2200" s="73"/>
      <c r="V2200" s="73"/>
    </row>
    <row r="2201" spans="2:22" x14ac:dyDescent="0.2">
      <c r="B2201" s="73"/>
      <c r="C2201" s="33"/>
      <c r="D2201" s="23"/>
      <c r="E2201" s="73"/>
      <c r="F2201" s="73"/>
      <c r="G2201" s="73"/>
      <c r="H2201" s="73"/>
      <c r="I2201" s="73"/>
      <c r="J2201" s="33"/>
      <c r="K2201" s="33"/>
      <c r="L2201" s="33"/>
      <c r="M2201" s="33"/>
      <c r="N2201" s="73"/>
      <c r="O2201" s="73"/>
      <c r="P2201" s="73"/>
      <c r="Q2201" s="73"/>
      <c r="R2201" s="23"/>
      <c r="S2201" s="23"/>
      <c r="T2201" s="73"/>
      <c r="U2201" s="73"/>
      <c r="V2201" s="73"/>
    </row>
    <row r="2202" spans="2:22" x14ac:dyDescent="0.2">
      <c r="B2202" s="75"/>
      <c r="C2202" s="75"/>
      <c r="D2202" s="75"/>
      <c r="E2202" s="75"/>
      <c r="F2202" s="75"/>
      <c r="G2202" s="75"/>
      <c r="H2202" s="75"/>
      <c r="I2202" s="75"/>
      <c r="J2202" s="75"/>
      <c r="K2202" s="75"/>
      <c r="L2202" s="75"/>
      <c r="M2202" s="75"/>
      <c r="N2202" s="75"/>
      <c r="O2202" s="75"/>
      <c r="P2202" s="75"/>
      <c r="Q2202" s="75"/>
      <c r="R2202" s="75"/>
      <c r="S2202" s="75"/>
      <c r="T2202" s="75"/>
      <c r="U2202" s="75"/>
      <c r="V2202" s="75"/>
    </row>
    <row r="2203" spans="2:22" x14ac:dyDescent="0.2">
      <c r="B2203" s="76"/>
      <c r="C2203" s="76"/>
      <c r="D2203" s="76"/>
      <c r="E2203" s="76"/>
      <c r="F2203" s="76"/>
      <c r="G2203" s="76"/>
      <c r="H2203" s="76"/>
      <c r="I2203" s="76"/>
      <c r="J2203" s="76"/>
      <c r="K2203" s="76"/>
      <c r="L2203" s="76"/>
      <c r="M2203" s="76"/>
      <c r="N2203" s="76"/>
      <c r="O2203" s="76"/>
      <c r="P2203" s="76"/>
      <c r="Q2203" s="76"/>
      <c r="R2203" s="76"/>
      <c r="S2203" s="76"/>
      <c r="T2203" s="76"/>
      <c r="U2203" s="76"/>
      <c r="V2203" s="76"/>
    </row>
    <row r="2204" spans="2:22" x14ac:dyDescent="0.2">
      <c r="B2204" s="73"/>
      <c r="C2204" s="33"/>
      <c r="D2204" s="23"/>
      <c r="E2204" s="73"/>
      <c r="F2204" s="73"/>
      <c r="G2204" s="73"/>
      <c r="H2204" s="73"/>
      <c r="I2204" s="73"/>
      <c r="J2204" s="33"/>
      <c r="K2204" s="33"/>
      <c r="L2204" s="33"/>
      <c r="M2204" s="33"/>
      <c r="N2204" s="73"/>
      <c r="O2204" s="73"/>
      <c r="P2204" s="73"/>
      <c r="Q2204" s="73"/>
      <c r="R2204" s="23"/>
      <c r="S2204" s="23"/>
      <c r="T2204" s="73"/>
      <c r="U2204" s="73"/>
      <c r="V2204" s="73"/>
    </row>
    <row r="2205" spans="2:22" x14ac:dyDescent="0.2">
      <c r="B2205" s="73"/>
      <c r="C2205" s="33"/>
      <c r="D2205" s="23"/>
      <c r="E2205" s="73"/>
      <c r="F2205" s="73"/>
      <c r="G2205" s="73"/>
      <c r="H2205" s="73"/>
      <c r="I2205" s="73"/>
      <c r="J2205" s="33"/>
      <c r="K2205" s="33"/>
      <c r="L2205" s="33"/>
      <c r="M2205" s="33"/>
      <c r="N2205" s="73"/>
      <c r="O2205" s="73"/>
      <c r="P2205" s="73"/>
      <c r="Q2205" s="73"/>
      <c r="R2205" s="23"/>
      <c r="S2205" s="23"/>
      <c r="T2205" s="73"/>
      <c r="U2205" s="73"/>
      <c r="V2205" s="73"/>
    </row>
    <row r="2206" spans="2:22" x14ac:dyDescent="0.2">
      <c r="B2206" s="73"/>
      <c r="C2206" s="33"/>
      <c r="D2206" s="23"/>
      <c r="E2206" s="73"/>
      <c r="F2206" s="73"/>
      <c r="G2206" s="73"/>
      <c r="H2206" s="73"/>
      <c r="I2206" s="73"/>
      <c r="J2206" s="33"/>
      <c r="K2206" s="33"/>
      <c r="L2206" s="33"/>
      <c r="M2206" s="33"/>
      <c r="N2206" s="73"/>
      <c r="O2206" s="73"/>
      <c r="P2206" s="73"/>
      <c r="Q2206" s="73"/>
      <c r="R2206" s="23"/>
      <c r="S2206" s="23"/>
      <c r="T2206" s="73"/>
      <c r="U2206" s="73"/>
      <c r="V2206" s="73"/>
    </row>
    <row r="2207" spans="2:22" x14ac:dyDescent="0.2">
      <c r="B2207" s="73"/>
      <c r="C2207" s="33"/>
      <c r="D2207" s="23"/>
      <c r="E2207" s="73"/>
      <c r="F2207" s="73"/>
      <c r="G2207" s="73"/>
      <c r="H2207" s="73"/>
      <c r="I2207" s="73"/>
      <c r="J2207" s="33"/>
      <c r="K2207" s="33"/>
      <c r="L2207" s="33"/>
      <c r="M2207" s="33"/>
      <c r="N2207" s="73"/>
      <c r="O2207" s="73"/>
      <c r="P2207" s="73"/>
      <c r="Q2207" s="73"/>
      <c r="R2207" s="23"/>
      <c r="S2207" s="23"/>
      <c r="T2207" s="73"/>
      <c r="U2207" s="73"/>
      <c r="V2207" s="73"/>
    </row>
    <row r="2208" spans="2:22" x14ac:dyDescent="0.2">
      <c r="B2208" s="73"/>
      <c r="C2208" s="33"/>
      <c r="D2208" s="23"/>
      <c r="E2208" s="73"/>
      <c r="F2208" s="73"/>
      <c r="G2208" s="73"/>
      <c r="H2208" s="73"/>
      <c r="I2208" s="73"/>
      <c r="J2208" s="33"/>
      <c r="K2208" s="33"/>
      <c r="L2208" s="33"/>
      <c r="M2208" s="33"/>
      <c r="N2208" s="73"/>
      <c r="O2208" s="73"/>
      <c r="P2208" s="73"/>
      <c r="Q2208" s="73"/>
      <c r="R2208" s="23"/>
      <c r="S2208" s="23"/>
      <c r="T2208" s="73"/>
      <c r="U2208" s="73"/>
      <c r="V2208" s="73"/>
    </row>
    <row r="2209" spans="2:22" x14ac:dyDescent="0.2">
      <c r="B2209" s="73"/>
      <c r="C2209" s="33"/>
      <c r="D2209" s="23"/>
      <c r="E2209" s="73"/>
      <c r="F2209" s="73"/>
      <c r="G2209" s="73"/>
      <c r="H2209" s="73"/>
      <c r="I2209" s="73"/>
      <c r="J2209" s="33"/>
      <c r="K2209" s="33"/>
      <c r="L2209" s="33"/>
      <c r="M2209" s="33"/>
      <c r="N2209" s="73"/>
      <c r="O2209" s="73"/>
      <c r="P2209" s="73"/>
      <c r="Q2209" s="73"/>
      <c r="R2209" s="23"/>
      <c r="S2209" s="23"/>
      <c r="T2209" s="73"/>
      <c r="U2209" s="73"/>
      <c r="V2209" s="73"/>
    </row>
    <row r="2210" spans="2:22" x14ac:dyDescent="0.2">
      <c r="B2210" s="73"/>
      <c r="C2210" s="33"/>
      <c r="D2210" s="23"/>
      <c r="E2210" s="73"/>
      <c r="F2210" s="73"/>
      <c r="G2210" s="73"/>
      <c r="H2210" s="73"/>
      <c r="I2210" s="73"/>
      <c r="J2210" s="33"/>
      <c r="K2210" s="33"/>
      <c r="L2210" s="33"/>
      <c r="M2210" s="33"/>
      <c r="N2210" s="73"/>
      <c r="O2210" s="73"/>
      <c r="P2210" s="73"/>
      <c r="Q2210" s="73"/>
      <c r="R2210" s="23"/>
      <c r="S2210" s="23"/>
      <c r="T2210" s="73"/>
      <c r="U2210" s="73"/>
      <c r="V2210" s="73"/>
    </row>
    <row r="2211" spans="2:22" x14ac:dyDescent="0.2">
      <c r="B2211" s="73"/>
      <c r="C2211" s="33"/>
      <c r="D2211" s="23"/>
      <c r="E2211" s="73"/>
      <c r="F2211" s="73"/>
      <c r="G2211" s="73"/>
      <c r="H2211" s="73"/>
      <c r="I2211" s="73"/>
      <c r="J2211" s="33"/>
      <c r="K2211" s="33"/>
      <c r="L2211" s="33"/>
      <c r="M2211" s="33"/>
      <c r="N2211" s="73"/>
      <c r="O2211" s="73"/>
      <c r="P2211" s="73"/>
      <c r="Q2211" s="73"/>
      <c r="R2211" s="23"/>
      <c r="S2211" s="23"/>
      <c r="T2211" s="73"/>
      <c r="U2211" s="73"/>
      <c r="V2211" s="73"/>
    </row>
    <row r="2212" spans="2:22" x14ac:dyDescent="0.2">
      <c r="B2212" s="73"/>
      <c r="C2212" s="33"/>
      <c r="D2212" s="23"/>
      <c r="E2212" s="73"/>
      <c r="F2212" s="73"/>
      <c r="G2212" s="73"/>
      <c r="H2212" s="73"/>
      <c r="I2212" s="73"/>
      <c r="J2212" s="33"/>
      <c r="K2212" s="33"/>
      <c r="L2212" s="33"/>
      <c r="M2212" s="33"/>
      <c r="N2212" s="73"/>
      <c r="O2212" s="73"/>
      <c r="P2212" s="73"/>
      <c r="Q2212" s="73"/>
      <c r="R2212" s="23"/>
      <c r="S2212" s="23"/>
      <c r="T2212" s="73"/>
      <c r="U2212" s="73"/>
      <c r="V2212" s="73"/>
    </row>
    <row r="2213" spans="2:22" x14ac:dyDescent="0.2">
      <c r="B2213" s="73"/>
      <c r="C2213" s="33"/>
      <c r="D2213" s="23"/>
      <c r="E2213" s="73"/>
      <c r="F2213" s="73"/>
      <c r="G2213" s="73"/>
      <c r="H2213" s="73"/>
      <c r="I2213" s="73"/>
      <c r="J2213" s="33"/>
      <c r="K2213" s="33"/>
      <c r="L2213" s="33"/>
      <c r="M2213" s="33"/>
      <c r="N2213" s="73"/>
      <c r="O2213" s="73"/>
      <c r="P2213" s="73"/>
      <c r="Q2213" s="73"/>
      <c r="R2213" s="23"/>
      <c r="S2213" s="23"/>
      <c r="T2213" s="73"/>
      <c r="U2213" s="73"/>
      <c r="V2213" s="73"/>
    </row>
    <row r="2214" spans="2:22" x14ac:dyDescent="0.2">
      <c r="B2214" s="73"/>
      <c r="C2214" s="33"/>
      <c r="D2214" s="23"/>
      <c r="E2214" s="73"/>
      <c r="F2214" s="73"/>
      <c r="G2214" s="73"/>
      <c r="H2214" s="73"/>
      <c r="I2214" s="73"/>
      <c r="J2214" s="33"/>
      <c r="K2214" s="33"/>
      <c r="L2214" s="33"/>
      <c r="M2214" s="33"/>
      <c r="N2214" s="73"/>
      <c r="O2214" s="73"/>
      <c r="P2214" s="73"/>
      <c r="Q2214" s="73"/>
      <c r="R2214" s="23"/>
      <c r="S2214" s="23"/>
      <c r="T2214" s="73"/>
      <c r="U2214" s="73"/>
      <c r="V2214" s="73"/>
    </row>
    <row r="2215" spans="2:22" x14ac:dyDescent="0.2">
      <c r="B2215" s="73"/>
      <c r="C2215" s="33"/>
      <c r="D2215" s="23"/>
      <c r="E2215" s="73"/>
      <c r="F2215" s="73"/>
      <c r="G2215" s="73"/>
      <c r="H2215" s="73"/>
      <c r="I2215" s="73"/>
      <c r="J2215" s="33"/>
      <c r="K2215" s="33"/>
      <c r="L2215" s="33"/>
      <c r="M2215" s="33"/>
      <c r="N2215" s="73"/>
      <c r="O2215" s="73"/>
      <c r="P2215" s="73"/>
      <c r="Q2215" s="73"/>
      <c r="R2215" s="23"/>
      <c r="S2215" s="23"/>
      <c r="T2215" s="73"/>
      <c r="U2215" s="73"/>
      <c r="V2215" s="73"/>
    </row>
    <row r="2216" spans="2:22" x14ac:dyDescent="0.2">
      <c r="B2216" s="73"/>
      <c r="C2216" s="33"/>
      <c r="D2216" s="23"/>
      <c r="E2216" s="73"/>
      <c r="F2216" s="73"/>
      <c r="G2216" s="73"/>
      <c r="H2216" s="73"/>
      <c r="I2216" s="73"/>
      <c r="J2216" s="33"/>
      <c r="K2216" s="33"/>
      <c r="L2216" s="33"/>
      <c r="M2216" s="33"/>
      <c r="N2216" s="73"/>
      <c r="O2216" s="73"/>
      <c r="P2216" s="73"/>
      <c r="Q2216" s="73"/>
      <c r="R2216" s="23"/>
      <c r="S2216" s="23"/>
      <c r="T2216" s="73"/>
      <c r="U2216" s="73"/>
      <c r="V2216" s="73"/>
    </row>
    <row r="2217" spans="2:22" x14ac:dyDescent="0.2">
      <c r="B2217" s="73"/>
      <c r="C2217" s="33"/>
      <c r="D2217" s="23"/>
      <c r="E2217" s="73"/>
      <c r="F2217" s="73"/>
      <c r="G2217" s="73"/>
      <c r="H2217" s="73"/>
      <c r="I2217" s="73"/>
      <c r="J2217" s="33"/>
      <c r="K2217" s="33"/>
      <c r="L2217" s="33"/>
      <c r="M2217" s="33"/>
      <c r="N2217" s="73"/>
      <c r="O2217" s="73"/>
      <c r="P2217" s="73"/>
      <c r="Q2217" s="73"/>
      <c r="R2217" s="23"/>
      <c r="S2217" s="23"/>
      <c r="T2217" s="73"/>
      <c r="U2217" s="73"/>
      <c r="V2217" s="73"/>
    </row>
    <row r="2218" spans="2:22" x14ac:dyDescent="0.2">
      <c r="B2218" s="73"/>
      <c r="C2218" s="33"/>
      <c r="D2218" s="23"/>
      <c r="E2218" s="73"/>
      <c r="F2218" s="73"/>
      <c r="G2218" s="73"/>
      <c r="H2218" s="73"/>
      <c r="I2218" s="73"/>
      <c r="J2218" s="33"/>
      <c r="K2218" s="33"/>
      <c r="L2218" s="33"/>
      <c r="M2218" s="33"/>
      <c r="N2218" s="73"/>
      <c r="O2218" s="73"/>
      <c r="P2218" s="73"/>
      <c r="Q2218" s="73"/>
      <c r="R2218" s="23"/>
      <c r="S2218" s="23"/>
      <c r="T2218" s="73"/>
      <c r="U2218" s="73"/>
      <c r="V2218" s="73"/>
    </row>
    <row r="2219" spans="2:22" x14ac:dyDescent="0.2">
      <c r="B2219" s="75"/>
      <c r="C2219" s="75"/>
      <c r="D2219" s="75"/>
      <c r="E2219" s="75"/>
      <c r="F2219" s="75"/>
      <c r="G2219" s="75"/>
      <c r="H2219" s="75"/>
      <c r="I2219" s="75"/>
      <c r="J2219" s="75"/>
      <c r="K2219" s="75"/>
      <c r="L2219" s="75"/>
      <c r="M2219" s="75"/>
      <c r="N2219" s="75"/>
      <c r="O2219" s="75"/>
      <c r="P2219" s="75"/>
      <c r="Q2219" s="75"/>
      <c r="R2219" s="75"/>
      <c r="S2219" s="75"/>
      <c r="T2219" s="75"/>
      <c r="U2219" s="75"/>
      <c r="V2219" s="75"/>
    </row>
    <row r="2220" spans="2:22" x14ac:dyDescent="0.2">
      <c r="B2220" s="76"/>
      <c r="C2220" s="76"/>
      <c r="D2220" s="76"/>
      <c r="E2220" s="76"/>
      <c r="F2220" s="76"/>
      <c r="G2220" s="76"/>
      <c r="H2220" s="76"/>
      <c r="I2220" s="76"/>
      <c r="J2220" s="76"/>
      <c r="K2220" s="76"/>
      <c r="L2220" s="76"/>
      <c r="M2220" s="76"/>
      <c r="N2220" s="76"/>
      <c r="O2220" s="76"/>
      <c r="P2220" s="76"/>
      <c r="Q2220" s="76"/>
      <c r="R2220" s="76"/>
      <c r="S2220" s="76"/>
      <c r="T2220" s="76"/>
      <c r="U2220" s="76"/>
      <c r="V2220" s="76"/>
    </row>
    <row r="2221" spans="2:22" x14ac:dyDescent="0.2">
      <c r="B2221" s="73"/>
      <c r="C2221" s="33"/>
      <c r="D2221" s="23"/>
      <c r="E2221" s="73"/>
      <c r="F2221" s="73"/>
      <c r="G2221" s="73"/>
      <c r="H2221" s="73"/>
      <c r="I2221" s="73"/>
      <c r="J2221" s="33"/>
      <c r="K2221" s="33"/>
      <c r="L2221" s="33"/>
      <c r="M2221" s="33"/>
      <c r="N2221" s="73"/>
      <c r="O2221" s="73"/>
      <c r="P2221" s="73"/>
      <c r="Q2221" s="73"/>
      <c r="R2221" s="23"/>
      <c r="S2221" s="23"/>
      <c r="T2221" s="73"/>
      <c r="U2221" s="73"/>
      <c r="V2221" s="73"/>
    </row>
    <row r="2222" spans="2:22" x14ac:dyDescent="0.2">
      <c r="B2222" s="73"/>
      <c r="C2222" s="33"/>
      <c r="D2222" s="23"/>
      <c r="E2222" s="73"/>
      <c r="F2222" s="73"/>
      <c r="G2222" s="73"/>
      <c r="H2222" s="73"/>
      <c r="I2222" s="73"/>
      <c r="J2222" s="33"/>
      <c r="K2222" s="33"/>
      <c r="L2222" s="33"/>
      <c r="M2222" s="33"/>
      <c r="N2222" s="73"/>
      <c r="O2222" s="73"/>
      <c r="P2222" s="73"/>
      <c r="Q2222" s="73"/>
      <c r="R2222" s="23"/>
      <c r="S2222" s="23"/>
      <c r="T2222" s="73"/>
      <c r="U2222" s="73"/>
      <c r="V2222" s="73"/>
    </row>
    <row r="2223" spans="2:22" x14ac:dyDescent="0.2">
      <c r="B2223" s="75"/>
      <c r="C2223" s="75"/>
      <c r="D2223" s="75"/>
      <c r="E2223" s="75"/>
      <c r="F2223" s="75"/>
      <c r="G2223" s="75"/>
      <c r="H2223" s="75"/>
      <c r="I2223" s="75"/>
      <c r="J2223" s="75"/>
      <c r="K2223" s="75"/>
      <c r="L2223" s="75"/>
      <c r="M2223" s="75"/>
      <c r="N2223" s="75"/>
      <c r="O2223" s="75"/>
      <c r="P2223" s="75"/>
      <c r="Q2223" s="75"/>
      <c r="R2223" s="75"/>
      <c r="S2223" s="75"/>
      <c r="T2223" s="75"/>
      <c r="U2223" s="75"/>
      <c r="V2223" s="75"/>
    </row>
    <row r="2224" spans="2:22" x14ac:dyDescent="0.2">
      <c r="B2224" s="76"/>
      <c r="C2224" s="76"/>
      <c r="D2224" s="76"/>
      <c r="E2224" s="76"/>
      <c r="F2224" s="76"/>
      <c r="G2224" s="76"/>
      <c r="H2224" s="76"/>
      <c r="I2224" s="76"/>
      <c r="J2224" s="76"/>
      <c r="K2224" s="76"/>
      <c r="L2224" s="76"/>
      <c r="M2224" s="76"/>
      <c r="N2224" s="76"/>
      <c r="O2224" s="76"/>
      <c r="P2224" s="76"/>
      <c r="Q2224" s="76"/>
      <c r="R2224" s="76"/>
      <c r="S2224" s="76"/>
      <c r="T2224" s="76"/>
      <c r="U2224" s="76"/>
      <c r="V2224" s="76"/>
    </row>
    <row r="2225" spans="2:22" x14ac:dyDescent="0.2">
      <c r="B2225" s="73"/>
      <c r="C2225" s="33"/>
      <c r="D2225" s="23"/>
      <c r="E2225" s="73"/>
      <c r="F2225" s="73"/>
      <c r="G2225" s="73"/>
      <c r="H2225" s="73"/>
      <c r="I2225" s="73"/>
      <c r="J2225" s="33"/>
      <c r="K2225" s="33"/>
      <c r="L2225" s="33"/>
      <c r="M2225" s="33"/>
      <c r="N2225" s="73"/>
      <c r="O2225" s="73"/>
      <c r="P2225" s="73"/>
      <c r="Q2225" s="73"/>
      <c r="R2225" s="23"/>
      <c r="S2225" s="23"/>
      <c r="T2225" s="73"/>
      <c r="U2225" s="73"/>
      <c r="V2225" s="73"/>
    </row>
    <row r="2226" spans="2:22" x14ac:dyDescent="0.2">
      <c r="B2226" s="73"/>
      <c r="C2226" s="33"/>
      <c r="D2226" s="23"/>
      <c r="E2226" s="73"/>
      <c r="F2226" s="73"/>
      <c r="G2226" s="73"/>
      <c r="H2226" s="73"/>
      <c r="I2226" s="73"/>
      <c r="J2226" s="33"/>
      <c r="K2226" s="33"/>
      <c r="L2226" s="33"/>
      <c r="M2226" s="33"/>
      <c r="N2226" s="73"/>
      <c r="O2226" s="73"/>
      <c r="P2226" s="73"/>
      <c r="Q2226" s="73"/>
      <c r="R2226" s="23"/>
      <c r="S2226" s="23"/>
      <c r="T2226" s="73"/>
      <c r="U2226" s="73"/>
      <c r="V2226" s="73"/>
    </row>
    <row r="2227" spans="2:22" x14ac:dyDescent="0.2">
      <c r="B2227" s="75"/>
      <c r="C2227" s="75"/>
      <c r="D2227" s="75"/>
      <c r="E2227" s="75"/>
      <c r="F2227" s="75"/>
      <c r="G2227" s="75"/>
      <c r="H2227" s="75"/>
      <c r="I2227" s="75"/>
      <c r="J2227" s="75"/>
      <c r="K2227" s="75"/>
      <c r="L2227" s="75"/>
      <c r="M2227" s="75"/>
      <c r="N2227" s="75"/>
      <c r="O2227" s="75"/>
      <c r="P2227" s="75"/>
      <c r="Q2227" s="75"/>
      <c r="R2227" s="75"/>
      <c r="S2227" s="75"/>
      <c r="T2227" s="75"/>
      <c r="U2227" s="75"/>
      <c r="V2227" s="75"/>
    </row>
    <row r="2228" spans="2:22" x14ac:dyDescent="0.2">
      <c r="B2228" s="76"/>
      <c r="C2228" s="76"/>
      <c r="D2228" s="76"/>
      <c r="E2228" s="76"/>
      <c r="F2228" s="76"/>
      <c r="G2228" s="76"/>
      <c r="H2228" s="76"/>
      <c r="I2228" s="76"/>
      <c r="J2228" s="76"/>
      <c r="K2228" s="76"/>
      <c r="L2228" s="76"/>
      <c r="M2228" s="76"/>
      <c r="N2228" s="76"/>
      <c r="O2228" s="76"/>
      <c r="P2228" s="76"/>
      <c r="Q2228" s="76"/>
      <c r="R2228" s="76"/>
      <c r="S2228" s="76"/>
      <c r="T2228" s="76"/>
      <c r="U2228" s="76"/>
      <c r="V2228" s="76"/>
    </row>
    <row r="2229" spans="2:22" x14ac:dyDescent="0.2">
      <c r="B2229" s="73"/>
      <c r="C2229" s="33"/>
      <c r="D2229" s="23"/>
      <c r="E2229" s="73"/>
      <c r="F2229" s="73"/>
      <c r="G2229" s="73"/>
      <c r="H2229" s="73"/>
      <c r="I2229" s="73"/>
      <c r="J2229" s="33"/>
      <c r="K2229" s="33"/>
      <c r="L2229" s="33"/>
      <c r="M2229" s="33"/>
      <c r="N2229" s="73"/>
      <c r="O2229" s="73"/>
      <c r="P2229" s="73"/>
      <c r="Q2229" s="73"/>
      <c r="R2229" s="23"/>
      <c r="S2229" s="23"/>
      <c r="T2229" s="73"/>
      <c r="U2229" s="73"/>
      <c r="V2229" s="73"/>
    </row>
    <row r="2230" spans="2:22" x14ac:dyDescent="0.2">
      <c r="B2230" s="73"/>
      <c r="C2230" s="33"/>
      <c r="D2230" s="23"/>
      <c r="E2230" s="73"/>
      <c r="F2230" s="73"/>
      <c r="G2230" s="73"/>
      <c r="H2230" s="73"/>
      <c r="I2230" s="73"/>
      <c r="J2230" s="33"/>
      <c r="K2230" s="33"/>
      <c r="L2230" s="33"/>
      <c r="M2230" s="33"/>
      <c r="N2230" s="73"/>
      <c r="O2230" s="73"/>
      <c r="P2230" s="73"/>
      <c r="Q2230" s="73"/>
      <c r="R2230" s="23"/>
      <c r="S2230" s="23"/>
      <c r="T2230" s="73"/>
      <c r="U2230" s="73"/>
      <c r="V2230" s="73"/>
    </row>
    <row r="2231" spans="2:22" x14ac:dyDescent="0.2">
      <c r="B2231" s="75"/>
      <c r="C2231" s="75"/>
      <c r="D2231" s="75"/>
      <c r="E2231" s="75"/>
      <c r="F2231" s="75"/>
      <c r="G2231" s="75"/>
      <c r="H2231" s="75"/>
      <c r="I2231" s="75"/>
      <c r="J2231" s="75"/>
      <c r="K2231" s="75"/>
      <c r="L2231" s="75"/>
      <c r="M2231" s="75"/>
      <c r="N2231" s="75"/>
      <c r="O2231" s="75"/>
      <c r="P2231" s="75"/>
      <c r="Q2231" s="75"/>
      <c r="R2231" s="75"/>
      <c r="S2231" s="75"/>
      <c r="T2231" s="75"/>
      <c r="U2231" s="75"/>
      <c r="V2231" s="75"/>
    </row>
    <row r="2232" spans="2:22" x14ac:dyDescent="0.2">
      <c r="B2232" s="76"/>
      <c r="C2232" s="76"/>
      <c r="D2232" s="76"/>
      <c r="E2232" s="76"/>
      <c r="F2232" s="76"/>
      <c r="G2232" s="76"/>
      <c r="H2232" s="76"/>
      <c r="I2232" s="76"/>
      <c r="J2232" s="76"/>
      <c r="K2232" s="76"/>
      <c r="L2232" s="76"/>
      <c r="M2232" s="76"/>
      <c r="N2232" s="76"/>
      <c r="O2232" s="76"/>
      <c r="P2232" s="76"/>
      <c r="Q2232" s="76"/>
      <c r="R2232" s="76"/>
      <c r="S2232" s="76"/>
      <c r="T2232" s="76"/>
      <c r="U2232" s="76"/>
      <c r="V2232" s="76"/>
    </row>
    <row r="2233" spans="2:22" x14ac:dyDescent="0.2">
      <c r="B2233" s="73"/>
      <c r="C2233" s="33"/>
      <c r="D2233" s="23"/>
      <c r="E2233" s="73"/>
      <c r="F2233" s="73"/>
      <c r="G2233" s="73"/>
      <c r="H2233" s="73"/>
      <c r="I2233" s="73"/>
      <c r="J2233" s="33"/>
      <c r="K2233" s="33"/>
      <c r="L2233" s="33"/>
      <c r="M2233" s="33"/>
      <c r="N2233" s="73"/>
      <c r="O2233" s="73"/>
      <c r="P2233" s="73"/>
      <c r="Q2233" s="73"/>
      <c r="R2233" s="23"/>
      <c r="S2233" s="23"/>
      <c r="T2233" s="73"/>
      <c r="U2233" s="73"/>
      <c r="V2233" s="73"/>
    </row>
    <row r="2234" spans="2:22" x14ac:dyDescent="0.2">
      <c r="B2234" s="73"/>
      <c r="C2234" s="33"/>
      <c r="D2234" s="23"/>
      <c r="E2234" s="73"/>
      <c r="F2234" s="73"/>
      <c r="G2234" s="73"/>
      <c r="H2234" s="73"/>
      <c r="I2234" s="73"/>
      <c r="J2234" s="33"/>
      <c r="K2234" s="33"/>
      <c r="L2234" s="33"/>
      <c r="M2234" s="33"/>
      <c r="N2234" s="73"/>
      <c r="O2234" s="73"/>
      <c r="P2234" s="73"/>
      <c r="Q2234" s="73"/>
      <c r="R2234" s="23"/>
      <c r="S2234" s="23"/>
      <c r="T2234" s="73"/>
      <c r="U2234" s="73"/>
      <c r="V2234" s="73"/>
    </row>
    <row r="2235" spans="2:22" x14ac:dyDescent="0.2">
      <c r="B2235" s="75"/>
      <c r="C2235" s="75"/>
      <c r="D2235" s="75"/>
      <c r="E2235" s="75"/>
      <c r="F2235" s="75"/>
      <c r="G2235" s="75"/>
      <c r="H2235" s="75"/>
      <c r="I2235" s="75"/>
      <c r="J2235" s="75"/>
      <c r="K2235" s="75"/>
      <c r="L2235" s="75"/>
      <c r="M2235" s="75"/>
      <c r="N2235" s="75"/>
      <c r="O2235" s="75"/>
      <c r="P2235" s="75"/>
      <c r="Q2235" s="75"/>
      <c r="R2235" s="75"/>
      <c r="S2235" s="75"/>
      <c r="T2235" s="75"/>
      <c r="U2235" s="75"/>
      <c r="V2235" s="75"/>
    </row>
    <row r="2236" spans="2:22" x14ac:dyDescent="0.2">
      <c r="B2236" s="76"/>
      <c r="C2236" s="76"/>
      <c r="D2236" s="76"/>
      <c r="E2236" s="76"/>
      <c r="F2236" s="76"/>
      <c r="G2236" s="76"/>
      <c r="H2236" s="76"/>
      <c r="I2236" s="76"/>
      <c r="J2236" s="76"/>
      <c r="K2236" s="76"/>
      <c r="L2236" s="76"/>
      <c r="M2236" s="76"/>
      <c r="N2236" s="76"/>
      <c r="O2236" s="76"/>
      <c r="P2236" s="76"/>
      <c r="Q2236" s="76"/>
      <c r="R2236" s="76"/>
      <c r="S2236" s="76"/>
      <c r="T2236" s="76"/>
      <c r="U2236" s="76"/>
      <c r="V2236" s="76"/>
    </row>
    <row r="2237" spans="2:22" x14ac:dyDescent="0.2">
      <c r="B2237" s="73"/>
      <c r="C2237" s="33"/>
      <c r="D2237" s="23"/>
      <c r="E2237" s="73"/>
      <c r="F2237" s="73"/>
      <c r="G2237" s="73"/>
      <c r="H2237" s="73"/>
      <c r="I2237" s="73"/>
      <c r="J2237" s="33"/>
      <c r="K2237" s="33"/>
      <c r="L2237" s="33"/>
      <c r="M2237" s="33"/>
      <c r="N2237" s="73"/>
      <c r="O2237" s="73"/>
      <c r="P2237" s="73"/>
      <c r="Q2237" s="73"/>
      <c r="R2237" s="23"/>
      <c r="S2237" s="23"/>
      <c r="T2237" s="73"/>
      <c r="U2237" s="73"/>
      <c r="V2237" s="73"/>
    </row>
    <row r="2238" spans="2:22" x14ac:dyDescent="0.2">
      <c r="B2238" s="73"/>
      <c r="C2238" s="33"/>
      <c r="D2238" s="23"/>
      <c r="E2238" s="73"/>
      <c r="F2238" s="73"/>
      <c r="G2238" s="73"/>
      <c r="H2238" s="73"/>
      <c r="I2238" s="73"/>
      <c r="J2238" s="33"/>
      <c r="K2238" s="33"/>
      <c r="L2238" s="33"/>
      <c r="M2238" s="33"/>
      <c r="N2238" s="73"/>
      <c r="O2238" s="73"/>
      <c r="P2238" s="73"/>
      <c r="Q2238" s="73"/>
      <c r="R2238" s="23"/>
      <c r="S2238" s="23"/>
      <c r="T2238" s="73"/>
      <c r="U2238" s="73"/>
      <c r="V2238" s="73"/>
    </row>
    <row r="2239" spans="2:22" x14ac:dyDescent="0.2">
      <c r="B2239" s="75"/>
      <c r="C2239" s="75"/>
      <c r="D2239" s="75"/>
      <c r="E2239" s="75"/>
      <c r="F2239" s="75"/>
      <c r="G2239" s="75"/>
      <c r="H2239" s="75"/>
      <c r="I2239" s="75"/>
      <c r="J2239" s="75"/>
      <c r="K2239" s="75"/>
      <c r="L2239" s="75"/>
      <c r="M2239" s="75"/>
      <c r="N2239" s="75"/>
      <c r="O2239" s="75"/>
      <c r="P2239" s="75"/>
      <c r="Q2239" s="75"/>
      <c r="R2239" s="75"/>
      <c r="S2239" s="75"/>
      <c r="T2239" s="75"/>
      <c r="U2239" s="75"/>
      <c r="V2239" s="75"/>
    </row>
    <row r="2240" spans="2:22" x14ac:dyDescent="0.2">
      <c r="B2240" s="76"/>
      <c r="C2240" s="76"/>
      <c r="D2240" s="76"/>
      <c r="E2240" s="76"/>
      <c r="F2240" s="76"/>
      <c r="G2240" s="76"/>
      <c r="H2240" s="76"/>
      <c r="I2240" s="76"/>
      <c r="J2240" s="76"/>
      <c r="K2240" s="76"/>
      <c r="L2240" s="76"/>
      <c r="M2240" s="76"/>
      <c r="N2240" s="76"/>
      <c r="O2240" s="76"/>
      <c r="P2240" s="76"/>
      <c r="Q2240" s="76"/>
      <c r="R2240" s="76"/>
      <c r="S2240" s="76"/>
      <c r="T2240" s="76"/>
      <c r="U2240" s="76"/>
      <c r="V2240" s="76"/>
    </row>
    <row r="2241" spans="2:22" x14ac:dyDescent="0.2">
      <c r="B2241" s="73"/>
      <c r="C2241" s="33"/>
      <c r="D2241" s="23"/>
      <c r="E2241" s="73"/>
      <c r="F2241" s="73"/>
      <c r="G2241" s="73"/>
      <c r="H2241" s="73"/>
      <c r="I2241" s="73"/>
      <c r="J2241" s="33"/>
      <c r="K2241" s="33"/>
      <c r="L2241" s="33"/>
      <c r="M2241" s="33"/>
      <c r="N2241" s="73"/>
      <c r="O2241" s="73"/>
      <c r="P2241" s="73"/>
      <c r="Q2241" s="73"/>
      <c r="R2241" s="23"/>
      <c r="S2241" s="23"/>
      <c r="T2241" s="73"/>
      <c r="U2241" s="73"/>
      <c r="V2241" s="73"/>
    </row>
    <row r="2242" spans="2:22" x14ac:dyDescent="0.2">
      <c r="B2242" s="73"/>
      <c r="C2242" s="33"/>
      <c r="D2242" s="23"/>
      <c r="E2242" s="73"/>
      <c r="F2242" s="73"/>
      <c r="G2242" s="73"/>
      <c r="H2242" s="73"/>
      <c r="I2242" s="73"/>
      <c r="J2242" s="33"/>
      <c r="K2242" s="33"/>
      <c r="L2242" s="33"/>
      <c r="M2242" s="33"/>
      <c r="N2242" s="73"/>
      <c r="O2242" s="73"/>
      <c r="P2242" s="73"/>
      <c r="Q2242" s="73"/>
      <c r="R2242" s="23"/>
      <c r="S2242" s="23"/>
      <c r="T2242" s="73"/>
      <c r="U2242" s="73"/>
      <c r="V2242" s="73"/>
    </row>
    <row r="2243" spans="2:22" x14ac:dyDescent="0.2">
      <c r="B2243" s="75"/>
      <c r="C2243" s="75"/>
      <c r="D2243" s="75"/>
      <c r="E2243" s="75"/>
      <c r="F2243" s="75"/>
      <c r="G2243" s="75"/>
      <c r="H2243" s="75"/>
      <c r="I2243" s="75"/>
      <c r="J2243" s="75"/>
      <c r="K2243" s="75"/>
      <c r="L2243" s="75"/>
      <c r="M2243" s="75"/>
      <c r="N2243" s="75"/>
      <c r="O2243" s="75"/>
      <c r="P2243" s="75"/>
      <c r="Q2243" s="75"/>
      <c r="R2243" s="75"/>
      <c r="S2243" s="75"/>
      <c r="T2243" s="75"/>
      <c r="U2243" s="75"/>
      <c r="V2243" s="75"/>
    </row>
    <row r="2244" spans="2:22" x14ac:dyDescent="0.2">
      <c r="B2244" s="76"/>
      <c r="C2244" s="76"/>
      <c r="D2244" s="76"/>
      <c r="E2244" s="76"/>
      <c r="F2244" s="76"/>
      <c r="G2244" s="76"/>
      <c r="H2244" s="76"/>
      <c r="I2244" s="76"/>
      <c r="J2244" s="76"/>
      <c r="K2244" s="76"/>
      <c r="L2244" s="76"/>
      <c r="M2244" s="76"/>
      <c r="N2244" s="76"/>
      <c r="O2244" s="76"/>
      <c r="P2244" s="76"/>
      <c r="Q2244" s="76"/>
      <c r="R2244" s="76"/>
      <c r="S2244" s="76"/>
      <c r="T2244" s="76"/>
      <c r="U2244" s="76"/>
      <c r="V2244" s="76"/>
    </row>
    <row r="2245" spans="2:22" x14ac:dyDescent="0.2">
      <c r="B2245" s="73"/>
      <c r="C2245" s="33"/>
      <c r="D2245" s="23"/>
      <c r="E2245" s="73"/>
      <c r="F2245" s="73"/>
      <c r="G2245" s="73"/>
      <c r="H2245" s="73"/>
      <c r="I2245" s="73"/>
      <c r="J2245" s="33"/>
      <c r="K2245" s="33"/>
      <c r="L2245" s="33"/>
      <c r="M2245" s="33"/>
      <c r="N2245" s="73"/>
      <c r="O2245" s="73"/>
      <c r="P2245" s="73"/>
      <c r="Q2245" s="73"/>
      <c r="R2245" s="23"/>
      <c r="S2245" s="23"/>
      <c r="T2245" s="73"/>
      <c r="U2245" s="73"/>
      <c r="V2245" s="73"/>
    </row>
    <row r="2246" spans="2:22" x14ac:dyDescent="0.2">
      <c r="B2246" s="73"/>
      <c r="C2246" s="33"/>
      <c r="D2246" s="23"/>
      <c r="E2246" s="73"/>
      <c r="F2246" s="73"/>
      <c r="G2246" s="73"/>
      <c r="H2246" s="73"/>
      <c r="I2246" s="73"/>
      <c r="J2246" s="33"/>
      <c r="K2246" s="33"/>
      <c r="L2246" s="33"/>
      <c r="M2246" s="33"/>
      <c r="N2246" s="73"/>
      <c r="O2246" s="73"/>
      <c r="P2246" s="73"/>
      <c r="Q2246" s="73"/>
      <c r="R2246" s="23"/>
      <c r="S2246" s="23"/>
      <c r="T2246" s="73"/>
      <c r="U2246" s="73"/>
      <c r="V2246" s="73"/>
    </row>
    <row r="2247" spans="2:22" x14ac:dyDescent="0.2">
      <c r="B2247" s="75"/>
      <c r="C2247" s="75"/>
      <c r="D2247" s="75"/>
      <c r="E2247" s="75"/>
      <c r="F2247" s="75"/>
      <c r="G2247" s="75"/>
      <c r="H2247" s="75"/>
      <c r="I2247" s="75"/>
      <c r="J2247" s="75"/>
      <c r="K2247" s="75"/>
      <c r="L2247" s="75"/>
      <c r="M2247" s="75"/>
      <c r="N2247" s="75"/>
      <c r="O2247" s="75"/>
      <c r="P2247" s="75"/>
      <c r="Q2247" s="75"/>
      <c r="R2247" s="75"/>
      <c r="S2247" s="75"/>
      <c r="T2247" s="75"/>
      <c r="U2247" s="75"/>
      <c r="V2247" s="75"/>
    </row>
    <row r="2248" spans="2:22" x14ac:dyDescent="0.2">
      <c r="B2248" s="76"/>
      <c r="C2248" s="76"/>
      <c r="D2248" s="76"/>
      <c r="E2248" s="76"/>
      <c r="F2248" s="76"/>
      <c r="G2248" s="76"/>
      <c r="H2248" s="76"/>
      <c r="I2248" s="76"/>
      <c r="J2248" s="76"/>
      <c r="K2248" s="76"/>
      <c r="L2248" s="76"/>
      <c r="M2248" s="76"/>
      <c r="N2248" s="76"/>
      <c r="O2248" s="76"/>
      <c r="P2248" s="76"/>
      <c r="Q2248" s="76"/>
      <c r="R2248" s="76"/>
      <c r="S2248" s="76"/>
      <c r="T2248" s="76"/>
      <c r="U2248" s="76"/>
      <c r="V2248" s="76"/>
    </row>
    <row r="2249" spans="2:22" x14ac:dyDescent="0.2">
      <c r="B2249" s="73"/>
      <c r="C2249" s="33"/>
      <c r="D2249" s="23"/>
      <c r="E2249" s="73"/>
      <c r="F2249" s="73"/>
      <c r="G2249" s="73"/>
      <c r="H2249" s="73"/>
      <c r="I2249" s="73"/>
      <c r="J2249" s="33"/>
      <c r="K2249" s="33"/>
      <c r="L2249" s="33"/>
      <c r="M2249" s="33"/>
      <c r="N2249" s="73"/>
      <c r="O2249" s="73"/>
      <c r="P2249" s="73"/>
      <c r="Q2249" s="73"/>
      <c r="R2249" s="23"/>
      <c r="S2249" s="23"/>
      <c r="T2249" s="73"/>
      <c r="U2249" s="73"/>
      <c r="V2249" s="73"/>
    </row>
    <row r="2250" spans="2:22" x14ac:dyDescent="0.2">
      <c r="B2250" s="73"/>
      <c r="C2250" s="33"/>
      <c r="D2250" s="23"/>
      <c r="E2250" s="73"/>
      <c r="F2250" s="73"/>
      <c r="G2250" s="73"/>
      <c r="H2250" s="73"/>
      <c r="I2250" s="73"/>
      <c r="J2250" s="33"/>
      <c r="K2250" s="33"/>
      <c r="L2250" s="33"/>
      <c r="M2250" s="33"/>
      <c r="N2250" s="73"/>
      <c r="O2250" s="73"/>
      <c r="P2250" s="73"/>
      <c r="Q2250" s="73"/>
      <c r="R2250" s="23"/>
      <c r="S2250" s="23"/>
      <c r="T2250" s="73"/>
      <c r="U2250" s="73"/>
      <c r="V2250" s="73"/>
    </row>
    <row r="2251" spans="2:22" x14ac:dyDescent="0.2">
      <c r="B2251" s="75"/>
      <c r="C2251" s="75"/>
      <c r="D2251" s="75"/>
      <c r="E2251" s="75"/>
      <c r="F2251" s="75"/>
      <c r="G2251" s="75"/>
      <c r="H2251" s="75"/>
      <c r="I2251" s="75"/>
      <c r="J2251" s="75"/>
      <c r="K2251" s="75"/>
      <c r="L2251" s="75"/>
      <c r="M2251" s="75"/>
      <c r="N2251" s="75"/>
      <c r="O2251" s="75"/>
      <c r="P2251" s="75"/>
      <c r="Q2251" s="75"/>
      <c r="R2251" s="75"/>
      <c r="S2251" s="75"/>
      <c r="T2251" s="75"/>
      <c r="U2251" s="75"/>
      <c r="V2251" s="75"/>
    </row>
    <row r="2252" spans="2:22" x14ac:dyDescent="0.2">
      <c r="B2252" s="76"/>
      <c r="C2252" s="76"/>
      <c r="D2252" s="76"/>
      <c r="E2252" s="76"/>
      <c r="F2252" s="76"/>
      <c r="G2252" s="76"/>
      <c r="H2252" s="76"/>
      <c r="I2252" s="76"/>
      <c r="J2252" s="76"/>
      <c r="K2252" s="76"/>
      <c r="L2252" s="76"/>
      <c r="M2252" s="76"/>
      <c r="N2252" s="76"/>
      <c r="O2252" s="76"/>
      <c r="P2252" s="76"/>
      <c r="Q2252" s="76"/>
      <c r="R2252" s="76"/>
      <c r="S2252" s="76"/>
      <c r="T2252" s="76"/>
      <c r="U2252" s="76"/>
      <c r="V2252" s="76"/>
    </row>
    <row r="2253" spans="2:22" x14ac:dyDescent="0.2">
      <c r="B2253" s="73"/>
      <c r="C2253" s="33"/>
      <c r="D2253" s="23"/>
      <c r="E2253" s="73"/>
      <c r="F2253" s="73"/>
      <c r="G2253" s="73"/>
      <c r="H2253" s="73"/>
      <c r="I2253" s="73"/>
      <c r="J2253" s="33"/>
      <c r="K2253" s="33"/>
      <c r="L2253" s="33"/>
      <c r="M2253" s="33"/>
      <c r="N2253" s="73"/>
      <c r="O2253" s="73"/>
      <c r="P2253" s="73"/>
      <c r="Q2253" s="73"/>
      <c r="R2253" s="23"/>
      <c r="S2253" s="23"/>
      <c r="T2253" s="73"/>
      <c r="U2253" s="73"/>
      <c r="V2253" s="73"/>
    </row>
    <row r="2254" spans="2:22" x14ac:dyDescent="0.2">
      <c r="B2254" s="73"/>
      <c r="C2254" s="33"/>
      <c r="D2254" s="23"/>
      <c r="E2254" s="73"/>
      <c r="F2254" s="73"/>
      <c r="G2254" s="73"/>
      <c r="H2254" s="73"/>
      <c r="I2254" s="73"/>
      <c r="J2254" s="33"/>
      <c r="K2254" s="33"/>
      <c r="L2254" s="33"/>
      <c r="M2254" s="33"/>
      <c r="N2254" s="73"/>
      <c r="O2254" s="73"/>
      <c r="P2254" s="73"/>
      <c r="Q2254" s="73"/>
      <c r="R2254" s="23"/>
      <c r="S2254" s="23"/>
      <c r="T2254" s="73"/>
      <c r="U2254" s="73"/>
      <c r="V2254" s="73"/>
    </row>
    <row r="2255" spans="2:22" x14ac:dyDescent="0.2">
      <c r="B2255" s="75"/>
      <c r="C2255" s="75"/>
      <c r="D2255" s="75"/>
      <c r="E2255" s="75"/>
      <c r="F2255" s="75"/>
      <c r="G2255" s="75"/>
      <c r="H2255" s="75"/>
      <c r="I2255" s="75"/>
      <c r="J2255" s="75"/>
      <c r="K2255" s="75"/>
      <c r="L2255" s="75"/>
      <c r="M2255" s="75"/>
      <c r="N2255" s="75"/>
      <c r="O2255" s="75"/>
      <c r="P2255" s="75"/>
      <c r="Q2255" s="75"/>
      <c r="R2255" s="75"/>
      <c r="S2255" s="75"/>
      <c r="T2255" s="75"/>
      <c r="U2255" s="75"/>
      <c r="V2255" s="75"/>
    </row>
    <row r="2256" spans="2:22" x14ac:dyDescent="0.2">
      <c r="B2256" s="76"/>
      <c r="C2256" s="76"/>
      <c r="D2256" s="76"/>
      <c r="E2256" s="76"/>
      <c r="F2256" s="76"/>
      <c r="G2256" s="76"/>
      <c r="H2256" s="76"/>
      <c r="I2256" s="76"/>
      <c r="J2256" s="76"/>
      <c r="K2256" s="76"/>
      <c r="L2256" s="76"/>
      <c r="M2256" s="76"/>
      <c r="N2256" s="76"/>
      <c r="O2256" s="76"/>
      <c r="P2256" s="76"/>
      <c r="Q2256" s="76"/>
      <c r="R2256" s="76"/>
      <c r="S2256" s="76"/>
      <c r="T2256" s="76"/>
      <c r="U2256" s="76"/>
      <c r="V2256" s="76"/>
    </row>
    <row r="2257" spans="2:22" x14ac:dyDescent="0.2">
      <c r="B2257" s="73"/>
      <c r="C2257" s="33"/>
      <c r="D2257" s="23"/>
      <c r="E2257" s="73"/>
      <c r="F2257" s="73"/>
      <c r="G2257" s="73"/>
      <c r="H2257" s="73"/>
      <c r="I2257" s="73"/>
      <c r="J2257" s="33"/>
      <c r="K2257" s="33"/>
      <c r="L2257" s="33"/>
      <c r="M2257" s="33"/>
      <c r="N2257" s="73"/>
      <c r="O2257" s="73"/>
      <c r="P2257" s="73"/>
      <c r="Q2257" s="73"/>
      <c r="R2257" s="23"/>
      <c r="S2257" s="23"/>
      <c r="T2257" s="73"/>
      <c r="U2257" s="73"/>
      <c r="V2257" s="73"/>
    </row>
    <row r="2258" spans="2:22" x14ac:dyDescent="0.2">
      <c r="B2258" s="73"/>
      <c r="C2258" s="33"/>
      <c r="D2258" s="23"/>
      <c r="E2258" s="73"/>
      <c r="F2258" s="73"/>
      <c r="G2258" s="73"/>
      <c r="H2258" s="73"/>
      <c r="I2258" s="73"/>
      <c r="J2258" s="33"/>
      <c r="K2258" s="33"/>
      <c r="L2258" s="33"/>
      <c r="M2258" s="33"/>
      <c r="N2258" s="73"/>
      <c r="O2258" s="73"/>
      <c r="P2258" s="73"/>
      <c r="Q2258" s="73"/>
      <c r="R2258" s="23"/>
      <c r="S2258" s="23"/>
      <c r="T2258" s="73"/>
      <c r="U2258" s="73"/>
      <c r="V2258" s="73"/>
    </row>
    <row r="2259" spans="2:22" x14ac:dyDescent="0.2">
      <c r="B2259" s="75"/>
      <c r="C2259" s="75"/>
      <c r="D2259" s="75"/>
      <c r="E2259" s="75"/>
      <c r="F2259" s="75"/>
      <c r="G2259" s="75"/>
      <c r="H2259" s="75"/>
      <c r="I2259" s="75"/>
      <c r="J2259" s="75"/>
      <c r="K2259" s="75"/>
      <c r="L2259" s="75"/>
      <c r="M2259" s="75"/>
      <c r="N2259" s="75"/>
      <c r="O2259" s="75"/>
      <c r="P2259" s="75"/>
      <c r="Q2259" s="75"/>
      <c r="R2259" s="75"/>
      <c r="S2259" s="75"/>
      <c r="T2259" s="75"/>
      <c r="U2259" s="75"/>
      <c r="V2259" s="75"/>
    </row>
    <row r="2260" spans="2:22" x14ac:dyDescent="0.2">
      <c r="B2260" s="76"/>
      <c r="C2260" s="76"/>
      <c r="D2260" s="76"/>
      <c r="E2260" s="76"/>
      <c r="F2260" s="76"/>
      <c r="G2260" s="76"/>
      <c r="H2260" s="76"/>
      <c r="I2260" s="76"/>
      <c r="J2260" s="76"/>
      <c r="K2260" s="76"/>
      <c r="L2260" s="76"/>
      <c r="M2260" s="76"/>
      <c r="N2260" s="76"/>
      <c r="O2260" s="76"/>
      <c r="P2260" s="76"/>
      <c r="Q2260" s="76"/>
      <c r="R2260" s="76"/>
      <c r="S2260" s="76"/>
      <c r="T2260" s="76"/>
      <c r="U2260" s="76"/>
      <c r="V2260" s="76"/>
    </row>
    <row r="2261" spans="2:22" x14ac:dyDescent="0.2">
      <c r="B2261" s="73"/>
      <c r="C2261" s="33"/>
      <c r="D2261" s="23"/>
      <c r="E2261" s="73"/>
      <c r="F2261" s="73"/>
      <c r="G2261" s="73"/>
      <c r="H2261" s="73"/>
      <c r="I2261" s="73"/>
      <c r="J2261" s="33"/>
      <c r="K2261" s="33"/>
      <c r="L2261" s="33"/>
      <c r="M2261" s="33"/>
      <c r="N2261" s="73"/>
      <c r="O2261" s="73"/>
      <c r="P2261" s="73"/>
      <c r="Q2261" s="73"/>
      <c r="R2261" s="23"/>
      <c r="S2261" s="23"/>
      <c r="T2261" s="73"/>
      <c r="U2261" s="73"/>
      <c r="V2261" s="73"/>
    </row>
    <row r="2262" spans="2:22" x14ac:dyDescent="0.2">
      <c r="B2262" s="73"/>
      <c r="C2262" s="33"/>
      <c r="D2262" s="23"/>
      <c r="E2262" s="73"/>
      <c r="F2262" s="73"/>
      <c r="G2262" s="73"/>
      <c r="H2262" s="73"/>
      <c r="I2262" s="73"/>
      <c r="J2262" s="33"/>
      <c r="K2262" s="33"/>
      <c r="L2262" s="33"/>
      <c r="M2262" s="33"/>
      <c r="N2262" s="73"/>
      <c r="O2262" s="73"/>
      <c r="P2262" s="73"/>
      <c r="Q2262" s="73"/>
      <c r="R2262" s="23"/>
      <c r="S2262" s="23"/>
      <c r="T2262" s="73"/>
      <c r="U2262" s="73"/>
      <c r="V2262" s="73"/>
    </row>
    <row r="2263" spans="2:22" x14ac:dyDescent="0.2">
      <c r="B2263" s="75"/>
      <c r="C2263" s="75"/>
      <c r="D2263" s="75"/>
      <c r="E2263" s="75"/>
      <c r="F2263" s="75"/>
      <c r="G2263" s="75"/>
      <c r="H2263" s="75"/>
      <c r="I2263" s="75"/>
      <c r="J2263" s="75"/>
      <c r="K2263" s="75"/>
      <c r="L2263" s="75"/>
      <c r="M2263" s="75"/>
      <c r="N2263" s="75"/>
      <c r="O2263" s="75"/>
      <c r="P2263" s="75"/>
      <c r="Q2263" s="75"/>
      <c r="R2263" s="75"/>
      <c r="S2263" s="75"/>
      <c r="T2263" s="75"/>
      <c r="U2263" s="75"/>
      <c r="V2263" s="75"/>
    </row>
    <row r="2264" spans="2:22" x14ac:dyDescent="0.2">
      <c r="B2264" s="76"/>
      <c r="C2264" s="76"/>
      <c r="D2264" s="76"/>
      <c r="E2264" s="76"/>
      <c r="F2264" s="76"/>
      <c r="G2264" s="76"/>
      <c r="H2264" s="76"/>
      <c r="I2264" s="76"/>
      <c r="J2264" s="76"/>
      <c r="K2264" s="76"/>
      <c r="L2264" s="76"/>
      <c r="M2264" s="76"/>
      <c r="N2264" s="76"/>
      <c r="O2264" s="76"/>
      <c r="P2264" s="76"/>
      <c r="Q2264" s="76"/>
      <c r="R2264" s="76"/>
      <c r="S2264" s="76"/>
      <c r="T2264" s="76"/>
      <c r="U2264" s="76"/>
      <c r="V2264" s="76"/>
    </row>
    <row r="2265" spans="2:22" x14ac:dyDescent="0.2">
      <c r="B2265" s="73"/>
      <c r="C2265" s="33"/>
      <c r="D2265" s="23"/>
      <c r="E2265" s="73"/>
      <c r="F2265" s="73"/>
      <c r="G2265" s="73"/>
      <c r="H2265" s="73"/>
      <c r="I2265" s="73"/>
      <c r="J2265" s="33"/>
      <c r="K2265" s="33"/>
      <c r="L2265" s="33"/>
      <c r="M2265" s="33"/>
      <c r="N2265" s="73"/>
      <c r="O2265" s="73"/>
      <c r="P2265" s="73"/>
      <c r="Q2265" s="73"/>
      <c r="R2265" s="23"/>
      <c r="S2265" s="23"/>
      <c r="T2265" s="73"/>
      <c r="U2265" s="73"/>
      <c r="V2265" s="73"/>
    </row>
    <row r="2266" spans="2:22" x14ac:dyDescent="0.2">
      <c r="B2266" s="73"/>
      <c r="C2266" s="33"/>
      <c r="D2266" s="23"/>
      <c r="E2266" s="73"/>
      <c r="F2266" s="73"/>
      <c r="G2266" s="73"/>
      <c r="H2266" s="73"/>
      <c r="I2266" s="73"/>
      <c r="J2266" s="33"/>
      <c r="K2266" s="33"/>
      <c r="L2266" s="33"/>
      <c r="M2266" s="33"/>
      <c r="N2266" s="73"/>
      <c r="O2266" s="73"/>
      <c r="P2266" s="73"/>
      <c r="Q2266" s="73"/>
      <c r="R2266" s="23"/>
      <c r="S2266" s="23"/>
      <c r="T2266" s="73"/>
      <c r="U2266" s="73"/>
      <c r="V2266" s="73"/>
    </row>
    <row r="2267" spans="2:22" x14ac:dyDescent="0.2">
      <c r="B2267" s="75"/>
      <c r="C2267" s="75"/>
      <c r="D2267" s="75"/>
      <c r="E2267" s="75"/>
      <c r="F2267" s="75"/>
      <c r="G2267" s="75"/>
      <c r="H2267" s="75"/>
      <c r="I2267" s="75"/>
      <c r="J2267" s="75"/>
      <c r="K2267" s="75"/>
      <c r="L2267" s="75"/>
      <c r="M2267" s="75"/>
      <c r="N2267" s="75"/>
      <c r="O2267" s="75"/>
      <c r="P2267" s="75"/>
      <c r="Q2267" s="75"/>
      <c r="R2267" s="75"/>
      <c r="S2267" s="75"/>
      <c r="T2267" s="75"/>
      <c r="U2267" s="75"/>
      <c r="V2267" s="75"/>
    </row>
    <row r="2268" spans="2:22" x14ac:dyDescent="0.2">
      <c r="B2268" s="76"/>
      <c r="C2268" s="76"/>
      <c r="D2268" s="76"/>
      <c r="E2268" s="76"/>
      <c r="F2268" s="76"/>
      <c r="G2268" s="76"/>
      <c r="H2268" s="76"/>
      <c r="I2268" s="76"/>
      <c r="J2268" s="76"/>
      <c r="K2268" s="76"/>
      <c r="L2268" s="76"/>
      <c r="M2268" s="76"/>
      <c r="N2268" s="76"/>
      <c r="O2268" s="76"/>
      <c r="P2268" s="76"/>
      <c r="Q2268" s="76"/>
      <c r="R2268" s="76"/>
      <c r="S2268" s="76"/>
      <c r="T2268" s="76"/>
      <c r="U2268" s="76"/>
      <c r="V2268" s="76"/>
    </row>
    <row r="2269" spans="2:22" x14ac:dyDescent="0.2">
      <c r="B2269" s="73"/>
      <c r="C2269" s="33"/>
      <c r="D2269" s="23"/>
      <c r="E2269" s="73"/>
      <c r="F2269" s="73"/>
      <c r="G2269" s="73"/>
      <c r="H2269" s="73"/>
      <c r="I2269" s="73"/>
      <c r="J2269" s="33"/>
      <c r="K2269" s="33"/>
      <c r="L2269" s="33"/>
      <c r="M2269" s="33"/>
      <c r="N2269" s="73"/>
      <c r="O2269" s="73"/>
      <c r="P2269" s="73"/>
      <c r="Q2269" s="73"/>
      <c r="R2269" s="23"/>
      <c r="S2269" s="23"/>
      <c r="T2269" s="73"/>
      <c r="U2269" s="73"/>
      <c r="V2269" s="73"/>
    </row>
    <row r="2270" spans="2:22" x14ac:dyDescent="0.2">
      <c r="B2270" s="73"/>
      <c r="C2270" s="33"/>
      <c r="D2270" s="23"/>
      <c r="E2270" s="73"/>
      <c r="F2270" s="73"/>
      <c r="G2270" s="73"/>
      <c r="H2270" s="73"/>
      <c r="I2270" s="73"/>
      <c r="J2270" s="33"/>
      <c r="K2270" s="33"/>
      <c r="L2270" s="33"/>
      <c r="M2270" s="33"/>
      <c r="N2270" s="73"/>
      <c r="O2270" s="73"/>
      <c r="P2270" s="73"/>
      <c r="Q2270" s="73"/>
      <c r="R2270" s="23"/>
      <c r="S2270" s="23"/>
      <c r="T2270" s="73"/>
      <c r="U2270" s="73"/>
      <c r="V2270" s="73"/>
    </row>
    <row r="2271" spans="2:22" x14ac:dyDescent="0.2">
      <c r="B2271" s="75"/>
      <c r="C2271" s="75"/>
      <c r="D2271" s="75"/>
      <c r="E2271" s="75"/>
      <c r="F2271" s="75"/>
      <c r="G2271" s="75"/>
      <c r="H2271" s="75"/>
      <c r="I2271" s="75"/>
      <c r="J2271" s="75"/>
      <c r="K2271" s="75"/>
      <c r="L2271" s="75"/>
      <c r="M2271" s="75"/>
      <c r="N2271" s="75"/>
      <c r="O2271" s="75"/>
      <c r="P2271" s="75"/>
      <c r="Q2271" s="75"/>
      <c r="R2271" s="75"/>
      <c r="S2271" s="75"/>
      <c r="T2271" s="75"/>
      <c r="U2271" s="75"/>
      <c r="V2271" s="75"/>
    </row>
    <row r="2272" spans="2:22" x14ac:dyDescent="0.2">
      <c r="B2272" s="76"/>
      <c r="C2272" s="76"/>
      <c r="D2272" s="76"/>
      <c r="E2272" s="76"/>
      <c r="F2272" s="76"/>
      <c r="G2272" s="76"/>
      <c r="H2272" s="76"/>
      <c r="I2272" s="76"/>
      <c r="J2272" s="76"/>
      <c r="K2272" s="76"/>
      <c r="L2272" s="76"/>
      <c r="M2272" s="76"/>
      <c r="N2272" s="76"/>
      <c r="O2272" s="76"/>
      <c r="P2272" s="76"/>
      <c r="Q2272" s="76"/>
      <c r="R2272" s="76"/>
      <c r="S2272" s="76"/>
      <c r="T2272" s="76"/>
      <c r="U2272" s="76"/>
      <c r="V2272" s="76"/>
    </row>
    <row r="2273" spans="2:22" x14ac:dyDescent="0.2">
      <c r="B2273" s="73"/>
      <c r="C2273" s="33"/>
      <c r="D2273" s="23"/>
      <c r="E2273" s="73"/>
      <c r="F2273" s="73"/>
      <c r="G2273" s="73"/>
      <c r="H2273" s="73"/>
      <c r="I2273" s="73"/>
      <c r="J2273" s="33"/>
      <c r="K2273" s="33"/>
      <c r="L2273" s="33"/>
      <c r="M2273" s="33"/>
      <c r="N2273" s="73"/>
      <c r="O2273" s="73"/>
      <c r="P2273" s="73"/>
      <c r="Q2273" s="73"/>
      <c r="R2273" s="23"/>
      <c r="S2273" s="23"/>
      <c r="T2273" s="73"/>
      <c r="U2273" s="73"/>
      <c r="V2273" s="73"/>
    </row>
    <row r="2274" spans="2:22" x14ac:dyDescent="0.2">
      <c r="B2274" s="73"/>
      <c r="C2274" s="33"/>
      <c r="D2274" s="23"/>
      <c r="E2274" s="73"/>
      <c r="F2274" s="73"/>
      <c r="G2274" s="73"/>
      <c r="H2274" s="73"/>
      <c r="I2274" s="73"/>
      <c r="J2274" s="33"/>
      <c r="K2274" s="33"/>
      <c r="L2274" s="33"/>
      <c r="M2274" s="33"/>
      <c r="N2274" s="73"/>
      <c r="O2274" s="73"/>
      <c r="P2274" s="73"/>
      <c r="Q2274" s="73"/>
      <c r="R2274" s="23"/>
      <c r="S2274" s="23"/>
      <c r="T2274" s="73"/>
      <c r="U2274" s="73"/>
      <c r="V2274" s="73"/>
    </row>
    <row r="2275" spans="2:22" x14ac:dyDescent="0.2">
      <c r="B2275" s="75"/>
      <c r="C2275" s="75"/>
      <c r="D2275" s="75"/>
      <c r="E2275" s="75"/>
      <c r="F2275" s="75"/>
      <c r="G2275" s="75"/>
      <c r="H2275" s="75"/>
      <c r="I2275" s="75"/>
      <c r="J2275" s="75"/>
      <c r="K2275" s="75"/>
      <c r="L2275" s="75"/>
      <c r="M2275" s="75"/>
      <c r="N2275" s="75"/>
      <c r="O2275" s="75"/>
      <c r="P2275" s="75"/>
      <c r="Q2275" s="75"/>
      <c r="R2275" s="75"/>
      <c r="S2275" s="75"/>
      <c r="T2275" s="75"/>
      <c r="U2275" s="75"/>
      <c r="V2275" s="75"/>
    </row>
    <row r="2276" spans="2:22" x14ac:dyDescent="0.2">
      <c r="B2276" s="76"/>
      <c r="C2276" s="76"/>
      <c r="D2276" s="76"/>
      <c r="E2276" s="76"/>
      <c r="F2276" s="76"/>
      <c r="G2276" s="76"/>
      <c r="H2276" s="76"/>
      <c r="I2276" s="76"/>
      <c r="J2276" s="76"/>
      <c r="K2276" s="76"/>
      <c r="L2276" s="76"/>
      <c r="M2276" s="76"/>
      <c r="N2276" s="76"/>
      <c r="O2276" s="76"/>
      <c r="P2276" s="76"/>
      <c r="Q2276" s="76"/>
      <c r="R2276" s="76"/>
      <c r="S2276" s="76"/>
      <c r="T2276" s="76"/>
      <c r="U2276" s="76"/>
      <c r="V2276" s="76"/>
    </row>
    <row r="2277" spans="2:22" x14ac:dyDescent="0.2">
      <c r="B2277" s="73"/>
      <c r="C2277" s="33"/>
      <c r="D2277" s="23"/>
      <c r="E2277" s="73"/>
      <c r="F2277" s="73"/>
      <c r="G2277" s="73"/>
      <c r="H2277" s="73"/>
      <c r="I2277" s="73"/>
      <c r="J2277" s="33"/>
      <c r="K2277" s="33"/>
      <c r="L2277" s="33"/>
      <c r="M2277" s="33"/>
      <c r="N2277" s="73"/>
      <c r="O2277" s="73"/>
      <c r="P2277" s="73"/>
      <c r="Q2277" s="73"/>
      <c r="R2277" s="23"/>
      <c r="S2277" s="23"/>
      <c r="T2277" s="73"/>
      <c r="U2277" s="73"/>
      <c r="V2277" s="73"/>
    </row>
    <row r="2278" spans="2:22" x14ac:dyDescent="0.2">
      <c r="B2278" s="73"/>
      <c r="C2278" s="33"/>
      <c r="D2278" s="23"/>
      <c r="E2278" s="73"/>
      <c r="F2278" s="73"/>
      <c r="G2278" s="73"/>
      <c r="H2278" s="73"/>
      <c r="I2278" s="73"/>
      <c r="J2278" s="33"/>
      <c r="K2278" s="33"/>
      <c r="L2278" s="33"/>
      <c r="M2278" s="33"/>
      <c r="N2278" s="73"/>
      <c r="O2278" s="73"/>
      <c r="P2278" s="73"/>
      <c r="Q2278" s="73"/>
      <c r="R2278" s="23"/>
      <c r="S2278" s="23"/>
      <c r="T2278" s="73"/>
      <c r="U2278" s="73"/>
      <c r="V2278" s="73"/>
    </row>
    <row r="2279" spans="2:22" x14ac:dyDescent="0.2">
      <c r="B2279" s="75"/>
      <c r="C2279" s="75"/>
      <c r="D2279" s="75"/>
      <c r="E2279" s="75"/>
      <c r="F2279" s="75"/>
      <c r="G2279" s="75"/>
      <c r="H2279" s="75"/>
      <c r="I2279" s="75"/>
      <c r="J2279" s="75"/>
      <c r="K2279" s="75"/>
      <c r="L2279" s="75"/>
      <c r="M2279" s="75"/>
      <c r="N2279" s="75"/>
      <c r="O2279" s="75"/>
      <c r="P2279" s="75"/>
      <c r="Q2279" s="75"/>
      <c r="R2279" s="75"/>
      <c r="S2279" s="75"/>
      <c r="T2279" s="75"/>
      <c r="U2279" s="75"/>
      <c r="V2279" s="75"/>
    </row>
    <row r="2280" spans="2:22" x14ac:dyDescent="0.2">
      <c r="B2280" s="76"/>
      <c r="C2280" s="76"/>
      <c r="D2280" s="76"/>
      <c r="E2280" s="76"/>
      <c r="F2280" s="76"/>
      <c r="G2280" s="76"/>
      <c r="H2280" s="76"/>
      <c r="I2280" s="76"/>
      <c r="J2280" s="76"/>
      <c r="K2280" s="76"/>
      <c r="L2280" s="76"/>
      <c r="M2280" s="76"/>
      <c r="N2280" s="76"/>
      <c r="O2280" s="76"/>
      <c r="P2280" s="76"/>
      <c r="Q2280" s="76"/>
      <c r="R2280" s="76"/>
      <c r="S2280" s="76"/>
      <c r="T2280" s="76"/>
      <c r="U2280" s="76"/>
      <c r="V2280" s="76"/>
    </row>
    <row r="2281" spans="2:22" x14ac:dyDescent="0.2">
      <c r="B2281" s="73"/>
      <c r="C2281" s="33"/>
      <c r="D2281" s="23"/>
      <c r="E2281" s="73"/>
      <c r="F2281" s="73"/>
      <c r="G2281" s="73"/>
      <c r="H2281" s="73"/>
      <c r="I2281" s="73"/>
      <c r="J2281" s="33"/>
      <c r="K2281" s="33"/>
      <c r="L2281" s="33"/>
      <c r="M2281" s="33"/>
      <c r="N2281" s="73"/>
      <c r="O2281" s="73"/>
      <c r="P2281" s="73"/>
      <c r="Q2281" s="73"/>
      <c r="R2281" s="23"/>
      <c r="S2281" s="23"/>
      <c r="T2281" s="73"/>
      <c r="U2281" s="73"/>
      <c r="V2281" s="73"/>
    </row>
    <row r="2282" spans="2:22" x14ac:dyDescent="0.2">
      <c r="B2282" s="73"/>
      <c r="C2282" s="33"/>
      <c r="D2282" s="23"/>
      <c r="E2282" s="73"/>
      <c r="F2282" s="73"/>
      <c r="G2282" s="73"/>
      <c r="H2282" s="73"/>
      <c r="I2282" s="73"/>
      <c r="J2282" s="33"/>
      <c r="K2282" s="33"/>
      <c r="L2282" s="33"/>
      <c r="M2282" s="33"/>
      <c r="N2282" s="73"/>
      <c r="O2282" s="73"/>
      <c r="P2282" s="73"/>
      <c r="Q2282" s="73"/>
      <c r="R2282" s="23"/>
      <c r="S2282" s="23"/>
      <c r="T2282" s="73"/>
      <c r="U2282" s="73"/>
      <c r="V2282" s="73"/>
    </row>
    <row r="2283" spans="2:22" x14ac:dyDescent="0.2">
      <c r="B2283" s="75"/>
      <c r="C2283" s="75"/>
      <c r="D2283" s="75"/>
      <c r="E2283" s="75"/>
      <c r="F2283" s="75"/>
      <c r="G2283" s="75"/>
      <c r="H2283" s="75"/>
      <c r="I2283" s="75"/>
      <c r="J2283" s="75"/>
      <c r="K2283" s="75"/>
      <c r="L2283" s="75"/>
      <c r="M2283" s="75"/>
      <c r="N2283" s="75"/>
      <c r="O2283" s="75"/>
      <c r="P2283" s="75"/>
      <c r="Q2283" s="75"/>
      <c r="R2283" s="75"/>
      <c r="S2283" s="75"/>
      <c r="T2283" s="75"/>
      <c r="U2283" s="75"/>
      <c r="V2283" s="75"/>
    </row>
    <row r="2284" spans="2:22" x14ac:dyDescent="0.2">
      <c r="B2284" s="76"/>
      <c r="C2284" s="76"/>
      <c r="D2284" s="76"/>
      <c r="E2284" s="76"/>
      <c r="F2284" s="76"/>
      <c r="G2284" s="76"/>
      <c r="H2284" s="76"/>
      <c r="I2284" s="76"/>
      <c r="J2284" s="76"/>
      <c r="K2284" s="76"/>
      <c r="L2284" s="76"/>
      <c r="M2284" s="76"/>
      <c r="N2284" s="76"/>
      <c r="O2284" s="76"/>
      <c r="P2284" s="76"/>
      <c r="Q2284" s="76"/>
      <c r="R2284" s="76"/>
      <c r="S2284" s="76"/>
      <c r="T2284" s="76"/>
      <c r="U2284" s="76"/>
      <c r="V2284" s="76"/>
    </row>
    <row r="2285" spans="2:22" x14ac:dyDescent="0.2">
      <c r="B2285" s="73"/>
      <c r="C2285" s="33"/>
      <c r="D2285" s="23"/>
      <c r="E2285" s="73"/>
      <c r="F2285" s="73"/>
      <c r="G2285" s="73"/>
      <c r="H2285" s="73"/>
      <c r="I2285" s="73"/>
      <c r="J2285" s="33"/>
      <c r="K2285" s="33"/>
      <c r="L2285" s="33"/>
      <c r="M2285" s="33"/>
      <c r="N2285" s="73"/>
      <c r="O2285" s="73"/>
      <c r="P2285" s="73"/>
      <c r="Q2285" s="73"/>
      <c r="R2285" s="23"/>
      <c r="S2285" s="23"/>
      <c r="T2285" s="73"/>
      <c r="U2285" s="73"/>
      <c r="V2285" s="73"/>
    </row>
    <row r="2286" spans="2:22" x14ac:dyDescent="0.2">
      <c r="B2286" s="73"/>
      <c r="C2286" s="33"/>
      <c r="D2286" s="23"/>
      <c r="E2286" s="73"/>
      <c r="F2286" s="73"/>
      <c r="G2286" s="73"/>
      <c r="H2286" s="73"/>
      <c r="I2286" s="73"/>
      <c r="J2286" s="33"/>
      <c r="K2286" s="33"/>
      <c r="L2286" s="33"/>
      <c r="M2286" s="33"/>
      <c r="N2286" s="73"/>
      <c r="O2286" s="73"/>
      <c r="P2286" s="73"/>
      <c r="Q2286" s="73"/>
      <c r="R2286" s="23"/>
      <c r="S2286" s="23"/>
      <c r="T2286" s="73"/>
      <c r="U2286" s="73"/>
      <c r="V2286" s="73"/>
    </row>
    <row r="2287" spans="2:22" x14ac:dyDescent="0.2">
      <c r="B2287" s="75"/>
      <c r="C2287" s="75"/>
      <c r="D2287" s="75"/>
      <c r="E2287" s="75"/>
      <c r="F2287" s="75"/>
      <c r="G2287" s="75"/>
      <c r="H2287" s="75"/>
      <c r="I2287" s="75"/>
      <c r="J2287" s="75"/>
      <c r="K2287" s="75"/>
      <c r="L2287" s="75"/>
      <c r="M2287" s="75"/>
      <c r="N2287" s="75"/>
      <c r="O2287" s="75"/>
      <c r="P2287" s="75"/>
      <c r="Q2287" s="75"/>
      <c r="R2287" s="75"/>
      <c r="S2287" s="75"/>
      <c r="T2287" s="75"/>
      <c r="U2287" s="75"/>
      <c r="V2287" s="75"/>
    </row>
    <row r="2288" spans="2:22" x14ac:dyDescent="0.2">
      <c r="B2288" s="76"/>
      <c r="C2288" s="76"/>
      <c r="D2288" s="76"/>
      <c r="E2288" s="76"/>
      <c r="F2288" s="76"/>
      <c r="G2288" s="76"/>
      <c r="H2288" s="76"/>
      <c r="I2288" s="76"/>
      <c r="J2288" s="76"/>
      <c r="K2288" s="76"/>
      <c r="L2288" s="76"/>
      <c r="M2288" s="76"/>
      <c r="N2288" s="76"/>
      <c r="O2288" s="76"/>
      <c r="P2288" s="76"/>
      <c r="Q2288" s="76"/>
      <c r="R2288" s="76"/>
      <c r="S2288" s="76"/>
      <c r="T2288" s="76"/>
      <c r="U2288" s="76"/>
      <c r="V2288" s="76"/>
    </row>
    <row r="2289" spans="2:22" x14ac:dyDescent="0.2">
      <c r="B2289" s="73"/>
      <c r="C2289" s="33"/>
      <c r="D2289" s="23"/>
      <c r="E2289" s="73"/>
      <c r="F2289" s="73"/>
      <c r="G2289" s="73"/>
      <c r="H2289" s="73"/>
      <c r="I2289" s="73"/>
      <c r="J2289" s="33"/>
      <c r="K2289" s="33"/>
      <c r="L2289" s="33"/>
      <c r="M2289" s="33"/>
      <c r="N2289" s="73"/>
      <c r="O2289" s="73"/>
      <c r="P2289" s="73"/>
      <c r="Q2289" s="73"/>
      <c r="R2289" s="23"/>
      <c r="S2289" s="23"/>
      <c r="T2289" s="73"/>
      <c r="U2289" s="73"/>
      <c r="V2289" s="73"/>
    </row>
    <row r="2290" spans="2:22" x14ac:dyDescent="0.2">
      <c r="B2290" s="73"/>
      <c r="C2290" s="33"/>
      <c r="D2290" s="23"/>
      <c r="E2290" s="73"/>
      <c r="F2290" s="73"/>
      <c r="G2290" s="73"/>
      <c r="H2290" s="73"/>
      <c r="I2290" s="73"/>
      <c r="J2290" s="33"/>
      <c r="K2290" s="33"/>
      <c r="L2290" s="33"/>
      <c r="M2290" s="33"/>
      <c r="N2290" s="73"/>
      <c r="O2290" s="73"/>
      <c r="P2290" s="73"/>
      <c r="Q2290" s="73"/>
      <c r="R2290" s="23"/>
      <c r="S2290" s="23"/>
      <c r="T2290" s="73"/>
      <c r="U2290" s="73"/>
      <c r="V2290" s="73"/>
    </row>
    <row r="2291" spans="2:22" x14ac:dyDescent="0.2">
      <c r="B2291" s="75"/>
      <c r="C2291" s="75"/>
      <c r="D2291" s="75"/>
      <c r="E2291" s="75"/>
      <c r="F2291" s="75"/>
      <c r="G2291" s="75"/>
      <c r="H2291" s="75"/>
      <c r="I2291" s="75"/>
      <c r="J2291" s="75"/>
      <c r="K2291" s="75"/>
      <c r="L2291" s="75"/>
      <c r="M2291" s="75"/>
      <c r="N2291" s="75"/>
      <c r="O2291" s="75"/>
      <c r="P2291" s="75"/>
      <c r="Q2291" s="75"/>
      <c r="R2291" s="75"/>
      <c r="S2291" s="75"/>
      <c r="T2291" s="75"/>
      <c r="U2291" s="75"/>
      <c r="V2291" s="75"/>
    </row>
    <row r="2292" spans="2:22" x14ac:dyDescent="0.2">
      <c r="B2292" s="76"/>
      <c r="C2292" s="76"/>
      <c r="D2292" s="76"/>
      <c r="E2292" s="76"/>
      <c r="F2292" s="76"/>
      <c r="G2292" s="76"/>
      <c r="H2292" s="76"/>
      <c r="I2292" s="76"/>
      <c r="J2292" s="76"/>
      <c r="K2292" s="76"/>
      <c r="L2292" s="76"/>
      <c r="M2292" s="76"/>
      <c r="N2292" s="76"/>
      <c r="O2292" s="76"/>
      <c r="P2292" s="76"/>
      <c r="Q2292" s="76"/>
      <c r="R2292" s="76"/>
      <c r="S2292" s="76"/>
      <c r="T2292" s="76"/>
      <c r="U2292" s="76"/>
      <c r="V2292" s="76"/>
    </row>
    <row r="2293" spans="2:22" x14ac:dyDescent="0.2">
      <c r="B2293" s="73"/>
      <c r="C2293" s="33"/>
      <c r="D2293" s="23"/>
      <c r="E2293" s="73"/>
      <c r="F2293" s="73"/>
      <c r="G2293" s="73"/>
      <c r="H2293" s="73"/>
      <c r="I2293" s="73"/>
      <c r="J2293" s="33"/>
      <c r="K2293" s="33"/>
      <c r="L2293" s="33"/>
      <c r="M2293" s="33"/>
      <c r="N2293" s="73"/>
      <c r="O2293" s="73"/>
      <c r="P2293" s="73"/>
      <c r="Q2293" s="73"/>
      <c r="R2293" s="23"/>
      <c r="S2293" s="23"/>
      <c r="T2293" s="73"/>
      <c r="U2293" s="73"/>
      <c r="V2293" s="73"/>
    </row>
    <row r="2294" spans="2:22" x14ac:dyDescent="0.2">
      <c r="B2294" s="75"/>
      <c r="C2294" s="75"/>
      <c r="D2294" s="75"/>
      <c r="E2294" s="75"/>
      <c r="F2294" s="75"/>
      <c r="G2294" s="75"/>
      <c r="H2294" s="75"/>
      <c r="I2294" s="75"/>
      <c r="J2294" s="75"/>
      <c r="K2294" s="75"/>
      <c r="L2294" s="75"/>
      <c r="M2294" s="75"/>
      <c r="N2294" s="75"/>
      <c r="O2294" s="75"/>
      <c r="P2294" s="75"/>
      <c r="Q2294" s="75"/>
      <c r="R2294" s="75"/>
      <c r="S2294" s="75"/>
      <c r="T2294" s="75"/>
      <c r="U2294" s="75"/>
      <c r="V2294" s="75"/>
    </row>
    <row r="2295" spans="2:22" x14ac:dyDescent="0.2">
      <c r="B2295" s="76"/>
      <c r="C2295" s="76"/>
      <c r="D2295" s="76"/>
      <c r="E2295" s="76"/>
      <c r="F2295" s="76"/>
      <c r="G2295" s="76"/>
      <c r="H2295" s="76"/>
      <c r="I2295" s="76"/>
      <c r="J2295" s="76"/>
      <c r="K2295" s="76"/>
      <c r="L2295" s="76"/>
      <c r="M2295" s="76"/>
      <c r="N2295" s="76"/>
      <c r="O2295" s="76"/>
      <c r="P2295" s="76"/>
      <c r="Q2295" s="76"/>
      <c r="R2295" s="76"/>
      <c r="S2295" s="76"/>
      <c r="T2295" s="76"/>
      <c r="U2295" s="76"/>
      <c r="V2295" s="76"/>
    </row>
    <row r="2296" spans="2:22" x14ac:dyDescent="0.2">
      <c r="B2296" s="73"/>
      <c r="C2296" s="33"/>
      <c r="D2296" s="23"/>
      <c r="E2296" s="73"/>
      <c r="F2296" s="73"/>
      <c r="G2296" s="73"/>
      <c r="H2296" s="73"/>
      <c r="I2296" s="73"/>
      <c r="J2296" s="33"/>
      <c r="K2296" s="33"/>
      <c r="L2296" s="33"/>
      <c r="M2296" s="33"/>
      <c r="N2296" s="73"/>
      <c r="O2296" s="73"/>
      <c r="P2296" s="73"/>
      <c r="Q2296" s="73"/>
      <c r="R2296" s="23"/>
      <c r="S2296" s="23"/>
      <c r="T2296" s="73"/>
      <c r="U2296" s="73"/>
      <c r="V2296" s="73"/>
    </row>
    <row r="2297" spans="2:22" x14ac:dyDescent="0.2">
      <c r="B2297" s="75"/>
      <c r="C2297" s="75"/>
      <c r="D2297" s="75"/>
      <c r="E2297" s="75"/>
      <c r="F2297" s="75"/>
      <c r="G2297" s="75"/>
      <c r="H2297" s="75"/>
      <c r="I2297" s="75"/>
      <c r="J2297" s="75"/>
      <c r="K2297" s="75"/>
      <c r="L2297" s="75"/>
      <c r="M2297" s="75"/>
      <c r="N2297" s="75"/>
      <c r="O2297" s="75"/>
      <c r="P2297" s="75"/>
      <c r="Q2297" s="75"/>
      <c r="R2297" s="75"/>
      <c r="S2297" s="75"/>
      <c r="T2297" s="75"/>
      <c r="U2297" s="75"/>
      <c r="V2297" s="75"/>
    </row>
    <row r="2298" spans="2:22" x14ac:dyDescent="0.2">
      <c r="B2298" s="76"/>
      <c r="C2298" s="76"/>
      <c r="D2298" s="76"/>
      <c r="E2298" s="76"/>
      <c r="F2298" s="76"/>
      <c r="G2298" s="76"/>
      <c r="H2298" s="76"/>
      <c r="I2298" s="76"/>
      <c r="J2298" s="76"/>
      <c r="K2298" s="76"/>
      <c r="L2298" s="76"/>
      <c r="M2298" s="76"/>
      <c r="N2298" s="76"/>
      <c r="O2298" s="76"/>
      <c r="P2298" s="76"/>
      <c r="Q2298" s="76"/>
      <c r="R2298" s="76"/>
      <c r="S2298" s="76"/>
      <c r="T2298" s="76"/>
      <c r="U2298" s="76"/>
      <c r="V2298" s="76"/>
    </row>
    <row r="2299" spans="2:22" x14ac:dyDescent="0.2">
      <c r="B2299" s="73"/>
      <c r="C2299" s="33"/>
      <c r="D2299" s="23"/>
      <c r="E2299" s="73"/>
      <c r="F2299" s="73"/>
      <c r="G2299" s="73"/>
      <c r="H2299" s="73"/>
      <c r="I2299" s="73"/>
      <c r="J2299" s="33"/>
      <c r="K2299" s="33"/>
      <c r="L2299" s="33"/>
      <c r="M2299" s="33"/>
      <c r="N2299" s="73"/>
      <c r="O2299" s="73"/>
      <c r="P2299" s="73"/>
      <c r="Q2299" s="73"/>
      <c r="R2299" s="23"/>
      <c r="S2299" s="23"/>
      <c r="T2299" s="73"/>
      <c r="U2299" s="73"/>
      <c r="V2299" s="73"/>
    </row>
    <row r="2300" spans="2:22" x14ac:dyDescent="0.2">
      <c r="B2300" s="75"/>
      <c r="C2300" s="75"/>
      <c r="D2300" s="75"/>
      <c r="E2300" s="75"/>
      <c r="F2300" s="75"/>
      <c r="G2300" s="75"/>
      <c r="H2300" s="75"/>
      <c r="I2300" s="75"/>
      <c r="J2300" s="75"/>
      <c r="K2300" s="75"/>
      <c r="L2300" s="75"/>
      <c r="M2300" s="75"/>
      <c r="N2300" s="75"/>
      <c r="O2300" s="75"/>
      <c r="P2300" s="75"/>
      <c r="Q2300" s="75"/>
      <c r="R2300" s="75"/>
      <c r="S2300" s="75"/>
      <c r="T2300" s="75"/>
      <c r="U2300" s="75"/>
      <c r="V2300" s="75"/>
    </row>
    <row r="2301" spans="2:22" x14ac:dyDescent="0.2">
      <c r="B2301" s="76"/>
      <c r="C2301" s="76"/>
      <c r="D2301" s="76"/>
      <c r="E2301" s="76"/>
      <c r="F2301" s="76"/>
      <c r="G2301" s="76"/>
      <c r="H2301" s="76"/>
      <c r="I2301" s="76"/>
      <c r="J2301" s="76"/>
      <c r="K2301" s="76"/>
      <c r="L2301" s="76"/>
      <c r="M2301" s="76"/>
      <c r="N2301" s="76"/>
      <c r="O2301" s="76"/>
      <c r="P2301" s="76"/>
      <c r="Q2301" s="76"/>
      <c r="R2301" s="76"/>
      <c r="S2301" s="76"/>
      <c r="T2301" s="76"/>
      <c r="U2301" s="76"/>
      <c r="V2301" s="76"/>
    </row>
    <row r="2302" spans="2:22" x14ac:dyDescent="0.2">
      <c r="B2302" s="73"/>
      <c r="C2302" s="33"/>
      <c r="D2302" s="23"/>
      <c r="E2302" s="73"/>
      <c r="F2302" s="73"/>
      <c r="G2302" s="73"/>
      <c r="H2302" s="73"/>
      <c r="I2302" s="73"/>
      <c r="J2302" s="33"/>
      <c r="K2302" s="33"/>
      <c r="L2302" s="33"/>
      <c r="M2302" s="33"/>
      <c r="N2302" s="73"/>
      <c r="O2302" s="73"/>
      <c r="P2302" s="73"/>
      <c r="Q2302" s="73"/>
      <c r="R2302" s="23"/>
      <c r="S2302" s="23"/>
      <c r="T2302" s="73"/>
      <c r="U2302" s="73"/>
      <c r="V2302" s="73"/>
    </row>
    <row r="2303" spans="2:22" x14ac:dyDescent="0.2">
      <c r="B2303" s="75"/>
      <c r="C2303" s="75"/>
      <c r="D2303" s="75"/>
      <c r="E2303" s="75"/>
      <c r="F2303" s="75"/>
      <c r="G2303" s="75"/>
      <c r="H2303" s="75"/>
      <c r="I2303" s="75"/>
      <c r="J2303" s="75"/>
      <c r="K2303" s="75"/>
      <c r="L2303" s="75"/>
      <c r="M2303" s="75"/>
      <c r="N2303" s="75"/>
      <c r="O2303" s="75"/>
      <c r="P2303" s="75"/>
      <c r="Q2303" s="75"/>
      <c r="R2303" s="75"/>
      <c r="S2303" s="75"/>
      <c r="T2303" s="75"/>
      <c r="U2303" s="75"/>
      <c r="V2303" s="75"/>
    </row>
    <row r="2304" spans="2:22" x14ac:dyDescent="0.2">
      <c r="B2304" s="76"/>
      <c r="C2304" s="76"/>
      <c r="D2304" s="76"/>
      <c r="E2304" s="76"/>
      <c r="F2304" s="76"/>
      <c r="G2304" s="76"/>
      <c r="H2304" s="76"/>
      <c r="I2304" s="76"/>
      <c r="J2304" s="76"/>
      <c r="K2304" s="76"/>
      <c r="L2304" s="76"/>
      <c r="M2304" s="76"/>
      <c r="N2304" s="76"/>
      <c r="O2304" s="76"/>
      <c r="P2304" s="76"/>
      <c r="Q2304" s="76"/>
      <c r="R2304" s="76"/>
      <c r="S2304" s="76"/>
      <c r="T2304" s="76"/>
      <c r="U2304" s="76"/>
      <c r="V2304" s="76"/>
    </row>
    <row r="2305" spans="2:22" x14ac:dyDescent="0.2">
      <c r="B2305" s="73"/>
      <c r="C2305" s="33"/>
      <c r="D2305" s="23"/>
      <c r="E2305" s="73"/>
      <c r="F2305" s="73"/>
      <c r="G2305" s="73"/>
      <c r="H2305" s="73"/>
      <c r="I2305" s="73"/>
      <c r="J2305" s="33"/>
      <c r="K2305" s="33"/>
      <c r="L2305" s="33"/>
      <c r="M2305" s="33"/>
      <c r="N2305" s="73"/>
      <c r="O2305" s="73"/>
      <c r="P2305" s="73"/>
      <c r="Q2305" s="73"/>
      <c r="R2305" s="23"/>
      <c r="S2305" s="23"/>
      <c r="T2305" s="73"/>
      <c r="U2305" s="73"/>
      <c r="V2305" s="73"/>
    </row>
    <row r="2306" spans="2:22" x14ac:dyDescent="0.2">
      <c r="B2306" s="75"/>
      <c r="C2306" s="75"/>
      <c r="D2306" s="75"/>
      <c r="E2306" s="75"/>
      <c r="F2306" s="75"/>
      <c r="G2306" s="75"/>
      <c r="H2306" s="75"/>
      <c r="I2306" s="75"/>
      <c r="J2306" s="75"/>
      <c r="K2306" s="75"/>
      <c r="L2306" s="75"/>
      <c r="M2306" s="75"/>
      <c r="N2306" s="75"/>
      <c r="O2306" s="75"/>
      <c r="P2306" s="75"/>
      <c r="Q2306" s="75"/>
      <c r="R2306" s="75"/>
      <c r="S2306" s="75"/>
      <c r="T2306" s="75"/>
      <c r="U2306" s="75"/>
      <c r="V2306" s="75"/>
    </row>
    <row r="2307" spans="2:22" x14ac:dyDescent="0.2">
      <c r="B2307" s="76"/>
      <c r="C2307" s="76"/>
      <c r="D2307" s="76"/>
      <c r="E2307" s="76"/>
      <c r="F2307" s="76"/>
      <c r="G2307" s="76"/>
      <c r="H2307" s="76"/>
      <c r="I2307" s="76"/>
      <c r="J2307" s="76"/>
      <c r="K2307" s="76"/>
      <c r="L2307" s="76"/>
      <c r="M2307" s="76"/>
      <c r="N2307" s="76"/>
      <c r="O2307" s="76"/>
      <c r="P2307" s="76"/>
      <c r="Q2307" s="76"/>
      <c r="R2307" s="76"/>
      <c r="S2307" s="76"/>
      <c r="T2307" s="76"/>
      <c r="U2307" s="76"/>
      <c r="V2307" s="76"/>
    </row>
    <row r="2308" spans="2:22" x14ac:dyDescent="0.2">
      <c r="B2308" s="73"/>
      <c r="C2308" s="33"/>
      <c r="D2308" s="23"/>
      <c r="E2308" s="73"/>
      <c r="F2308" s="73"/>
      <c r="G2308" s="73"/>
      <c r="H2308" s="73"/>
      <c r="I2308" s="73"/>
      <c r="J2308" s="33"/>
      <c r="K2308" s="33"/>
      <c r="L2308" s="33"/>
      <c r="M2308" s="33"/>
      <c r="N2308" s="73"/>
      <c r="O2308" s="73"/>
      <c r="P2308" s="73"/>
      <c r="Q2308" s="73"/>
      <c r="R2308" s="23"/>
      <c r="S2308" s="23"/>
      <c r="T2308" s="73"/>
      <c r="U2308" s="73"/>
      <c r="V2308" s="73"/>
    </row>
    <row r="2309" spans="2:22" x14ac:dyDescent="0.2">
      <c r="B2309" s="75"/>
      <c r="C2309" s="75"/>
      <c r="D2309" s="75"/>
      <c r="E2309" s="75"/>
      <c r="F2309" s="75"/>
      <c r="G2309" s="75"/>
      <c r="H2309" s="75"/>
      <c r="I2309" s="75"/>
      <c r="J2309" s="75"/>
      <c r="K2309" s="75"/>
      <c r="L2309" s="75"/>
      <c r="M2309" s="75"/>
      <c r="N2309" s="75"/>
      <c r="O2309" s="75"/>
      <c r="P2309" s="75"/>
      <c r="Q2309" s="75"/>
      <c r="R2309" s="75"/>
      <c r="S2309" s="75"/>
      <c r="T2309" s="75"/>
      <c r="U2309" s="75"/>
      <c r="V2309" s="75"/>
    </row>
    <row r="2310" spans="2:22" x14ac:dyDescent="0.2">
      <c r="B2310" s="76"/>
      <c r="C2310" s="76"/>
      <c r="D2310" s="76"/>
      <c r="E2310" s="76"/>
      <c r="F2310" s="76"/>
      <c r="G2310" s="76"/>
      <c r="H2310" s="76"/>
      <c r="I2310" s="76"/>
      <c r="J2310" s="76"/>
      <c r="K2310" s="76"/>
      <c r="L2310" s="76"/>
      <c r="M2310" s="76"/>
      <c r="N2310" s="76"/>
      <c r="O2310" s="76"/>
      <c r="P2310" s="76"/>
      <c r="Q2310" s="76"/>
      <c r="R2310" s="76"/>
      <c r="S2310" s="76"/>
      <c r="T2310" s="76"/>
      <c r="U2310" s="76"/>
      <c r="V2310" s="76"/>
    </row>
    <row r="2311" spans="2:22" x14ac:dyDescent="0.2">
      <c r="B2311" s="73"/>
      <c r="C2311" s="33"/>
      <c r="D2311" s="23"/>
      <c r="E2311" s="73"/>
      <c r="F2311" s="73"/>
      <c r="G2311" s="73"/>
      <c r="H2311" s="73"/>
      <c r="I2311" s="73"/>
      <c r="J2311" s="33"/>
      <c r="K2311" s="33"/>
      <c r="L2311" s="33"/>
      <c r="M2311" s="33"/>
      <c r="N2311" s="73"/>
      <c r="O2311" s="73"/>
      <c r="P2311" s="73"/>
      <c r="Q2311" s="73"/>
      <c r="R2311" s="23"/>
      <c r="S2311" s="23"/>
      <c r="T2311" s="73"/>
      <c r="U2311" s="73"/>
      <c r="V2311" s="73"/>
    </row>
    <row r="2312" spans="2:22" x14ac:dyDescent="0.2">
      <c r="B2312" s="75"/>
      <c r="C2312" s="75"/>
      <c r="D2312" s="75"/>
      <c r="E2312" s="75"/>
      <c r="F2312" s="75"/>
      <c r="G2312" s="75"/>
      <c r="H2312" s="75"/>
      <c r="I2312" s="75"/>
      <c r="J2312" s="75"/>
      <c r="K2312" s="75"/>
      <c r="L2312" s="75"/>
      <c r="M2312" s="75"/>
      <c r="N2312" s="75"/>
      <c r="O2312" s="75"/>
      <c r="P2312" s="75"/>
      <c r="Q2312" s="75"/>
      <c r="R2312" s="75"/>
      <c r="S2312" s="75"/>
      <c r="T2312" s="75"/>
      <c r="U2312" s="75"/>
      <c r="V2312" s="75"/>
    </row>
    <row r="2313" spans="2:22" x14ac:dyDescent="0.2">
      <c r="B2313" s="76"/>
      <c r="C2313" s="76"/>
      <c r="D2313" s="76"/>
      <c r="E2313" s="76"/>
      <c r="F2313" s="76"/>
      <c r="G2313" s="76"/>
      <c r="H2313" s="76"/>
      <c r="I2313" s="76"/>
      <c r="J2313" s="76"/>
      <c r="K2313" s="76"/>
      <c r="L2313" s="76"/>
      <c r="M2313" s="76"/>
      <c r="N2313" s="76"/>
      <c r="O2313" s="76"/>
      <c r="P2313" s="76"/>
      <c r="Q2313" s="76"/>
      <c r="R2313" s="76"/>
      <c r="S2313" s="76"/>
      <c r="T2313" s="76"/>
      <c r="U2313" s="76"/>
      <c r="V2313" s="76"/>
    </row>
    <row r="2314" spans="2:22" x14ac:dyDescent="0.2">
      <c r="B2314" s="73"/>
      <c r="C2314" s="33"/>
      <c r="D2314" s="23"/>
      <c r="E2314" s="73"/>
      <c r="F2314" s="73"/>
      <c r="G2314" s="73"/>
      <c r="H2314" s="73"/>
      <c r="I2314" s="73"/>
      <c r="J2314" s="33"/>
      <c r="K2314" s="33"/>
      <c r="L2314" s="33"/>
      <c r="M2314" s="33"/>
      <c r="N2314" s="73"/>
      <c r="O2314" s="73"/>
      <c r="P2314" s="73"/>
      <c r="Q2314" s="73"/>
      <c r="R2314" s="23"/>
      <c r="S2314" s="23"/>
      <c r="T2314" s="73"/>
      <c r="U2314" s="73"/>
      <c r="V2314" s="73"/>
    </row>
    <row r="2315" spans="2:22" x14ac:dyDescent="0.2">
      <c r="B2315" s="75"/>
      <c r="C2315" s="75"/>
      <c r="D2315" s="75"/>
      <c r="E2315" s="75"/>
      <c r="F2315" s="75"/>
      <c r="G2315" s="75"/>
      <c r="H2315" s="75"/>
      <c r="I2315" s="75"/>
      <c r="J2315" s="75"/>
      <c r="K2315" s="75"/>
      <c r="L2315" s="75"/>
      <c r="M2315" s="75"/>
      <c r="N2315" s="75"/>
      <c r="O2315" s="75"/>
      <c r="P2315" s="75"/>
      <c r="Q2315" s="75"/>
      <c r="R2315" s="75"/>
      <c r="S2315" s="75"/>
      <c r="T2315" s="75"/>
      <c r="U2315" s="75"/>
      <c r="V2315" s="75"/>
    </row>
    <row r="2316" spans="2:22" x14ac:dyDescent="0.2">
      <c r="B2316" s="76"/>
      <c r="C2316" s="76"/>
      <c r="D2316" s="76"/>
      <c r="E2316" s="76"/>
      <c r="F2316" s="76"/>
      <c r="G2316" s="76"/>
      <c r="H2316" s="76"/>
      <c r="I2316" s="76"/>
      <c r="J2316" s="76"/>
      <c r="K2316" s="76"/>
      <c r="L2316" s="76"/>
      <c r="M2316" s="76"/>
      <c r="N2316" s="76"/>
      <c r="O2316" s="76"/>
      <c r="P2316" s="76"/>
      <c r="Q2316" s="76"/>
      <c r="R2316" s="76"/>
      <c r="S2316" s="76"/>
      <c r="T2316" s="76"/>
      <c r="U2316" s="76"/>
      <c r="V2316" s="76"/>
    </row>
    <row r="2317" spans="2:22" x14ac:dyDescent="0.2">
      <c r="B2317" s="73"/>
      <c r="C2317" s="33"/>
      <c r="D2317" s="23"/>
      <c r="E2317" s="73"/>
      <c r="F2317" s="73"/>
      <c r="G2317" s="73"/>
      <c r="H2317" s="73"/>
      <c r="I2317" s="73"/>
      <c r="J2317" s="33"/>
      <c r="K2317" s="33"/>
      <c r="L2317" s="33"/>
      <c r="M2317" s="33"/>
      <c r="N2317" s="73"/>
      <c r="O2317" s="73"/>
      <c r="P2317" s="73"/>
      <c r="Q2317" s="73"/>
      <c r="R2317" s="23"/>
      <c r="S2317" s="23"/>
      <c r="T2317" s="73"/>
      <c r="U2317" s="73"/>
      <c r="V2317" s="73"/>
    </row>
    <row r="2318" spans="2:22" x14ac:dyDescent="0.2">
      <c r="B2318" s="75"/>
      <c r="C2318" s="75"/>
      <c r="D2318" s="75"/>
      <c r="E2318" s="75"/>
      <c r="F2318" s="75"/>
      <c r="G2318" s="75"/>
      <c r="H2318" s="75"/>
      <c r="I2318" s="75"/>
      <c r="J2318" s="75"/>
      <c r="K2318" s="75"/>
      <c r="L2318" s="75"/>
      <c r="M2318" s="75"/>
      <c r="N2318" s="75"/>
      <c r="O2318" s="75"/>
      <c r="P2318" s="75"/>
      <c r="Q2318" s="75"/>
      <c r="R2318" s="75"/>
      <c r="S2318" s="75"/>
      <c r="T2318" s="75"/>
      <c r="U2318" s="75"/>
      <c r="V2318" s="75"/>
    </row>
    <row r="2319" spans="2:22" x14ac:dyDescent="0.2">
      <c r="B2319" s="76"/>
      <c r="C2319" s="76"/>
      <c r="D2319" s="76"/>
      <c r="E2319" s="76"/>
      <c r="F2319" s="76"/>
      <c r="G2319" s="76"/>
      <c r="H2319" s="76"/>
      <c r="I2319" s="76"/>
      <c r="J2319" s="76"/>
      <c r="K2319" s="76"/>
      <c r="L2319" s="76"/>
      <c r="M2319" s="76"/>
      <c r="N2319" s="76"/>
      <c r="O2319" s="76"/>
      <c r="P2319" s="76"/>
      <c r="Q2319" s="76"/>
      <c r="R2319" s="76"/>
      <c r="S2319" s="76"/>
      <c r="T2319" s="76"/>
      <c r="U2319" s="76"/>
      <c r="V2319" s="76"/>
    </row>
    <row r="2320" spans="2:22" x14ac:dyDescent="0.2">
      <c r="B2320" s="73"/>
      <c r="C2320" s="33"/>
      <c r="D2320" s="23"/>
      <c r="E2320" s="73"/>
      <c r="F2320" s="73"/>
      <c r="G2320" s="73"/>
      <c r="H2320" s="73"/>
      <c r="I2320" s="73"/>
      <c r="J2320" s="33"/>
      <c r="K2320" s="33"/>
      <c r="L2320" s="33"/>
      <c r="M2320" s="33"/>
      <c r="N2320" s="73"/>
      <c r="O2320" s="73"/>
      <c r="P2320" s="73"/>
      <c r="Q2320" s="73"/>
      <c r="R2320" s="23"/>
      <c r="S2320" s="23"/>
      <c r="T2320" s="73"/>
      <c r="U2320" s="73"/>
      <c r="V2320" s="73"/>
    </row>
    <row r="2321" spans="2:22" x14ac:dyDescent="0.2">
      <c r="B2321" s="75"/>
      <c r="C2321" s="75"/>
      <c r="D2321" s="75"/>
      <c r="E2321" s="75"/>
      <c r="F2321" s="75"/>
      <c r="G2321" s="75"/>
      <c r="H2321" s="75"/>
      <c r="I2321" s="75"/>
      <c r="J2321" s="75"/>
      <c r="K2321" s="75"/>
      <c r="L2321" s="75"/>
      <c r="M2321" s="75"/>
      <c r="N2321" s="75"/>
      <c r="O2321" s="75"/>
      <c r="P2321" s="75"/>
      <c r="Q2321" s="75"/>
      <c r="R2321" s="75"/>
      <c r="S2321" s="75"/>
      <c r="T2321" s="75"/>
      <c r="U2321" s="75"/>
      <c r="V2321" s="75"/>
    </row>
    <row r="2322" spans="2:22" x14ac:dyDescent="0.2">
      <c r="B2322" s="76"/>
      <c r="C2322" s="76"/>
      <c r="D2322" s="76"/>
      <c r="E2322" s="76"/>
      <c r="F2322" s="76"/>
      <c r="G2322" s="76"/>
      <c r="H2322" s="76"/>
      <c r="I2322" s="76"/>
      <c r="J2322" s="76"/>
      <c r="K2322" s="76"/>
      <c r="L2322" s="76"/>
      <c r="M2322" s="76"/>
      <c r="N2322" s="76"/>
      <c r="O2322" s="76"/>
      <c r="P2322" s="76"/>
      <c r="Q2322" s="76"/>
      <c r="R2322" s="76"/>
      <c r="S2322" s="76"/>
      <c r="T2322" s="76"/>
      <c r="U2322" s="76"/>
      <c r="V2322" s="76"/>
    </row>
    <row r="2323" spans="2:22" x14ac:dyDescent="0.2">
      <c r="B2323" s="73"/>
      <c r="C2323" s="33"/>
      <c r="D2323" s="23"/>
      <c r="E2323" s="73"/>
      <c r="F2323" s="73"/>
      <c r="G2323" s="73"/>
      <c r="H2323" s="73"/>
      <c r="I2323" s="73"/>
      <c r="J2323" s="33"/>
      <c r="K2323" s="33"/>
      <c r="L2323" s="33"/>
      <c r="M2323" s="33"/>
      <c r="N2323" s="73"/>
      <c r="O2323" s="73"/>
      <c r="P2323" s="73"/>
      <c r="Q2323" s="73"/>
      <c r="R2323" s="23"/>
      <c r="S2323" s="23"/>
      <c r="T2323" s="73"/>
      <c r="U2323" s="73"/>
      <c r="V2323" s="73"/>
    </row>
    <row r="2324" spans="2:22" x14ac:dyDescent="0.2">
      <c r="B2324" s="75"/>
      <c r="C2324" s="75"/>
      <c r="D2324" s="75"/>
      <c r="E2324" s="75"/>
      <c r="F2324" s="75"/>
      <c r="G2324" s="75"/>
      <c r="H2324" s="75"/>
      <c r="I2324" s="75"/>
      <c r="J2324" s="75"/>
      <c r="K2324" s="75"/>
      <c r="L2324" s="75"/>
      <c r="M2324" s="75"/>
      <c r="N2324" s="75"/>
      <c r="O2324" s="75"/>
      <c r="P2324" s="75"/>
      <c r="Q2324" s="75"/>
      <c r="R2324" s="75"/>
      <c r="S2324" s="75"/>
      <c r="T2324" s="75"/>
      <c r="U2324" s="75"/>
      <c r="V2324" s="75"/>
    </row>
    <row r="2325" spans="2:22" x14ac:dyDescent="0.2">
      <c r="B2325" s="76"/>
      <c r="C2325" s="76"/>
      <c r="D2325" s="76"/>
      <c r="E2325" s="76"/>
      <c r="F2325" s="76"/>
      <c r="G2325" s="76"/>
      <c r="H2325" s="76"/>
      <c r="I2325" s="76"/>
      <c r="J2325" s="76"/>
      <c r="K2325" s="76"/>
      <c r="L2325" s="76"/>
      <c r="M2325" s="76"/>
      <c r="N2325" s="76"/>
      <c r="O2325" s="76"/>
      <c r="P2325" s="76"/>
      <c r="Q2325" s="76"/>
      <c r="R2325" s="76"/>
      <c r="S2325" s="76"/>
      <c r="T2325" s="76"/>
      <c r="U2325" s="76"/>
      <c r="V2325" s="76"/>
    </row>
    <row r="2326" spans="2:22" x14ac:dyDescent="0.2">
      <c r="B2326" s="73"/>
      <c r="C2326" s="33"/>
      <c r="D2326" s="23"/>
      <c r="E2326" s="73"/>
      <c r="F2326" s="73"/>
      <c r="G2326" s="73"/>
      <c r="H2326" s="73"/>
      <c r="I2326" s="73"/>
      <c r="J2326" s="33"/>
      <c r="K2326" s="33"/>
      <c r="L2326" s="33"/>
      <c r="M2326" s="33"/>
      <c r="N2326" s="73"/>
      <c r="O2326" s="73"/>
      <c r="P2326" s="73"/>
      <c r="Q2326" s="73"/>
      <c r="R2326" s="23"/>
      <c r="S2326" s="23"/>
      <c r="T2326" s="73"/>
      <c r="U2326" s="73"/>
      <c r="V2326" s="73"/>
    </row>
    <row r="2327" spans="2:22" x14ac:dyDescent="0.2">
      <c r="B2327" s="75"/>
      <c r="C2327" s="75"/>
      <c r="D2327" s="75"/>
      <c r="E2327" s="75"/>
      <c r="F2327" s="75"/>
      <c r="G2327" s="75"/>
      <c r="H2327" s="75"/>
      <c r="I2327" s="75"/>
      <c r="J2327" s="75"/>
      <c r="K2327" s="75"/>
      <c r="L2327" s="75"/>
      <c r="M2327" s="75"/>
      <c r="N2327" s="75"/>
      <c r="O2327" s="75"/>
      <c r="P2327" s="75"/>
      <c r="Q2327" s="75"/>
      <c r="R2327" s="75"/>
      <c r="S2327" s="75"/>
      <c r="T2327" s="75"/>
      <c r="U2327" s="75"/>
      <c r="V2327" s="75"/>
    </row>
    <row r="2328" spans="2:22" x14ac:dyDescent="0.2">
      <c r="B2328" s="76"/>
      <c r="C2328" s="76"/>
      <c r="D2328" s="76"/>
      <c r="E2328" s="76"/>
      <c r="F2328" s="76"/>
      <c r="G2328" s="76"/>
      <c r="H2328" s="76"/>
      <c r="I2328" s="76"/>
      <c r="J2328" s="76"/>
      <c r="K2328" s="76"/>
      <c r="L2328" s="76"/>
      <c r="M2328" s="76"/>
      <c r="N2328" s="76"/>
      <c r="O2328" s="76"/>
      <c r="P2328" s="76"/>
      <c r="Q2328" s="76"/>
      <c r="R2328" s="76"/>
      <c r="S2328" s="76"/>
      <c r="T2328" s="76"/>
      <c r="U2328" s="76"/>
      <c r="V2328" s="76"/>
    </row>
    <row r="2329" spans="2:22" x14ac:dyDescent="0.2">
      <c r="B2329" s="73"/>
      <c r="C2329" s="33"/>
      <c r="D2329" s="23"/>
      <c r="E2329" s="73"/>
      <c r="F2329" s="73"/>
      <c r="G2329" s="73"/>
      <c r="H2329" s="73"/>
      <c r="I2329" s="73"/>
      <c r="J2329" s="33"/>
      <c r="K2329" s="33"/>
      <c r="L2329" s="33"/>
      <c r="M2329" s="33"/>
      <c r="N2329" s="73"/>
      <c r="O2329" s="73"/>
      <c r="P2329" s="73"/>
      <c r="Q2329" s="73"/>
      <c r="R2329" s="23"/>
      <c r="S2329" s="23"/>
      <c r="T2329" s="73"/>
      <c r="U2329" s="73"/>
      <c r="V2329" s="73"/>
    </row>
    <row r="2330" spans="2:22" x14ac:dyDescent="0.2">
      <c r="B2330" s="75"/>
      <c r="C2330" s="75"/>
      <c r="D2330" s="75"/>
      <c r="E2330" s="75"/>
      <c r="F2330" s="75"/>
      <c r="G2330" s="75"/>
      <c r="H2330" s="75"/>
      <c r="I2330" s="75"/>
      <c r="J2330" s="75"/>
      <c r="K2330" s="75"/>
      <c r="L2330" s="75"/>
      <c r="M2330" s="75"/>
      <c r="N2330" s="75"/>
      <c r="O2330" s="75"/>
      <c r="P2330" s="75"/>
      <c r="Q2330" s="75"/>
      <c r="R2330" s="75"/>
      <c r="S2330" s="75"/>
      <c r="T2330" s="75"/>
      <c r="U2330" s="75"/>
      <c r="V2330" s="75"/>
    </row>
    <row r="2331" spans="2:22" x14ac:dyDescent="0.2">
      <c r="B2331" s="76"/>
      <c r="C2331" s="76"/>
      <c r="D2331" s="76"/>
      <c r="E2331" s="76"/>
      <c r="F2331" s="76"/>
      <c r="G2331" s="76"/>
      <c r="H2331" s="76"/>
      <c r="I2331" s="76"/>
      <c r="J2331" s="76"/>
      <c r="K2331" s="76"/>
      <c r="L2331" s="76"/>
      <c r="M2331" s="76"/>
      <c r="N2331" s="76"/>
      <c r="O2331" s="76"/>
      <c r="P2331" s="76"/>
      <c r="Q2331" s="76"/>
      <c r="R2331" s="76"/>
      <c r="S2331" s="76"/>
      <c r="T2331" s="76"/>
      <c r="U2331" s="76"/>
      <c r="V2331" s="76"/>
    </row>
    <row r="2332" spans="2:22" x14ac:dyDescent="0.2">
      <c r="B2332" s="73"/>
      <c r="C2332" s="33"/>
      <c r="D2332" s="23"/>
      <c r="E2332" s="73"/>
      <c r="F2332" s="73"/>
      <c r="G2332" s="73"/>
      <c r="H2332" s="73"/>
      <c r="I2332" s="73"/>
      <c r="J2332" s="33"/>
      <c r="K2332" s="33"/>
      <c r="L2332" s="33"/>
      <c r="M2332" s="33"/>
      <c r="N2332" s="73"/>
      <c r="O2332" s="73"/>
      <c r="P2332" s="73"/>
      <c r="Q2332" s="73"/>
      <c r="R2332" s="23"/>
      <c r="S2332" s="23"/>
      <c r="T2332" s="73"/>
      <c r="U2332" s="73"/>
      <c r="V2332" s="73"/>
    </row>
    <row r="2333" spans="2:22" x14ac:dyDescent="0.2">
      <c r="B2333" s="73"/>
      <c r="C2333" s="33"/>
      <c r="D2333" s="23"/>
      <c r="E2333" s="73"/>
      <c r="F2333" s="73"/>
      <c r="G2333" s="73"/>
      <c r="H2333" s="73"/>
      <c r="I2333" s="73"/>
      <c r="J2333" s="33"/>
      <c r="K2333" s="33"/>
      <c r="L2333" s="33"/>
      <c r="M2333" s="33"/>
      <c r="N2333" s="73"/>
      <c r="O2333" s="73"/>
      <c r="P2333" s="73"/>
      <c r="Q2333" s="73"/>
      <c r="R2333" s="23"/>
      <c r="S2333" s="23"/>
      <c r="T2333" s="73"/>
      <c r="U2333" s="73"/>
      <c r="V2333" s="73"/>
    </row>
    <row r="2334" spans="2:22" x14ac:dyDescent="0.2">
      <c r="B2334" s="73"/>
      <c r="C2334" s="33"/>
      <c r="D2334" s="23"/>
      <c r="E2334" s="73"/>
      <c r="F2334" s="73"/>
      <c r="G2334" s="73"/>
      <c r="H2334" s="73"/>
      <c r="I2334" s="73"/>
      <c r="J2334" s="33"/>
      <c r="K2334" s="33"/>
      <c r="L2334" s="33"/>
      <c r="M2334" s="33"/>
      <c r="N2334" s="73"/>
      <c r="O2334" s="73"/>
      <c r="P2334" s="73"/>
      <c r="Q2334" s="73"/>
      <c r="R2334" s="23"/>
      <c r="S2334" s="23"/>
      <c r="T2334" s="73"/>
      <c r="U2334" s="73"/>
      <c r="V2334" s="73"/>
    </row>
    <row r="2335" spans="2:22" x14ac:dyDescent="0.2">
      <c r="B2335" s="73"/>
      <c r="C2335" s="33"/>
      <c r="D2335" s="23"/>
      <c r="E2335" s="73"/>
      <c r="F2335" s="73"/>
      <c r="G2335" s="73"/>
      <c r="H2335" s="73"/>
      <c r="I2335" s="73"/>
      <c r="J2335" s="33"/>
      <c r="K2335" s="33"/>
      <c r="L2335" s="33"/>
      <c r="M2335" s="33"/>
      <c r="N2335" s="73"/>
      <c r="O2335" s="73"/>
      <c r="P2335" s="73"/>
      <c r="Q2335" s="73"/>
      <c r="R2335" s="23"/>
      <c r="S2335" s="23"/>
      <c r="T2335" s="73"/>
      <c r="U2335" s="73"/>
      <c r="V2335" s="73"/>
    </row>
    <row r="2336" spans="2:22" x14ac:dyDescent="0.2">
      <c r="B2336" s="75"/>
      <c r="C2336" s="75"/>
      <c r="D2336" s="75"/>
      <c r="E2336" s="75"/>
      <c r="F2336" s="75"/>
      <c r="G2336" s="75"/>
      <c r="H2336" s="75"/>
      <c r="I2336" s="75"/>
      <c r="J2336" s="75"/>
      <c r="K2336" s="75"/>
      <c r="L2336" s="75"/>
      <c r="M2336" s="75"/>
      <c r="N2336" s="75"/>
      <c r="O2336" s="75"/>
      <c r="P2336" s="75"/>
      <c r="Q2336" s="75"/>
      <c r="R2336" s="75"/>
      <c r="S2336" s="75"/>
      <c r="T2336" s="75"/>
      <c r="U2336" s="75"/>
      <c r="V2336" s="75"/>
    </row>
    <row r="2337" spans="2:22" x14ac:dyDescent="0.2">
      <c r="B2337" s="76"/>
      <c r="C2337" s="76"/>
      <c r="D2337" s="76"/>
      <c r="E2337" s="76"/>
      <c r="F2337" s="76"/>
      <c r="G2337" s="76"/>
      <c r="H2337" s="76"/>
      <c r="I2337" s="76"/>
      <c r="J2337" s="76"/>
      <c r="K2337" s="76"/>
      <c r="L2337" s="76"/>
      <c r="M2337" s="76"/>
      <c r="N2337" s="76"/>
      <c r="O2337" s="76"/>
      <c r="P2337" s="76"/>
      <c r="Q2337" s="76"/>
      <c r="R2337" s="76"/>
      <c r="S2337" s="76"/>
      <c r="T2337" s="76"/>
      <c r="U2337" s="76"/>
      <c r="V2337" s="76"/>
    </row>
    <row r="2338" spans="2:22" x14ac:dyDescent="0.2">
      <c r="B2338" s="73"/>
      <c r="C2338" s="33"/>
      <c r="D2338" s="23"/>
      <c r="E2338" s="73"/>
      <c r="F2338" s="73"/>
      <c r="G2338" s="73"/>
      <c r="H2338" s="73"/>
      <c r="I2338" s="73"/>
      <c r="J2338" s="33"/>
      <c r="K2338" s="33"/>
      <c r="L2338" s="33"/>
      <c r="M2338" s="33"/>
      <c r="N2338" s="73"/>
      <c r="O2338" s="73"/>
      <c r="P2338" s="73"/>
      <c r="Q2338" s="73"/>
      <c r="R2338" s="23"/>
      <c r="S2338" s="23"/>
      <c r="T2338" s="73"/>
      <c r="U2338" s="73"/>
      <c r="V2338" s="73"/>
    </row>
    <row r="2339" spans="2:22" x14ac:dyDescent="0.2">
      <c r="B2339" s="73"/>
      <c r="C2339" s="33"/>
      <c r="D2339" s="23"/>
      <c r="E2339" s="73"/>
      <c r="F2339" s="73"/>
      <c r="G2339" s="73"/>
      <c r="H2339" s="73"/>
      <c r="I2339" s="73"/>
      <c r="J2339" s="33"/>
      <c r="K2339" s="33"/>
      <c r="L2339" s="33"/>
      <c r="M2339" s="33"/>
      <c r="N2339" s="73"/>
      <c r="O2339" s="73"/>
      <c r="P2339" s="73"/>
      <c r="Q2339" s="73"/>
      <c r="R2339" s="23"/>
      <c r="S2339" s="23"/>
      <c r="T2339" s="73"/>
      <c r="U2339" s="73"/>
      <c r="V2339" s="73"/>
    </row>
    <row r="2340" spans="2:22" x14ac:dyDescent="0.2">
      <c r="B2340" s="73"/>
      <c r="C2340" s="33"/>
      <c r="D2340" s="23"/>
      <c r="E2340" s="73"/>
      <c r="F2340" s="73"/>
      <c r="G2340" s="73"/>
      <c r="H2340" s="73"/>
      <c r="I2340" s="73"/>
      <c r="J2340" s="33"/>
      <c r="K2340" s="33"/>
      <c r="L2340" s="33"/>
      <c r="M2340" s="33"/>
      <c r="N2340" s="73"/>
      <c r="O2340" s="73"/>
      <c r="P2340" s="73"/>
      <c r="Q2340" s="73"/>
      <c r="R2340" s="23"/>
      <c r="S2340" s="23"/>
      <c r="T2340" s="73"/>
      <c r="U2340" s="73"/>
      <c r="V2340" s="73"/>
    </row>
    <row r="2341" spans="2:22" x14ac:dyDescent="0.2">
      <c r="B2341" s="73"/>
      <c r="C2341" s="33"/>
      <c r="D2341" s="23"/>
      <c r="E2341" s="73"/>
      <c r="F2341" s="73"/>
      <c r="G2341" s="73"/>
      <c r="H2341" s="73"/>
      <c r="I2341" s="73"/>
      <c r="J2341" s="33"/>
      <c r="K2341" s="33"/>
      <c r="L2341" s="33"/>
      <c r="M2341" s="33"/>
      <c r="N2341" s="73"/>
      <c r="O2341" s="73"/>
      <c r="P2341" s="73"/>
      <c r="Q2341" s="73"/>
      <c r="R2341" s="23"/>
      <c r="S2341" s="23"/>
      <c r="T2341" s="73"/>
      <c r="U2341" s="73"/>
      <c r="V2341" s="73"/>
    </row>
    <row r="2342" spans="2:22" x14ac:dyDescent="0.2">
      <c r="B2342" s="75"/>
      <c r="C2342" s="75"/>
      <c r="D2342" s="75"/>
      <c r="E2342" s="75"/>
      <c r="F2342" s="75"/>
      <c r="G2342" s="75"/>
      <c r="H2342" s="75"/>
      <c r="I2342" s="75"/>
      <c r="J2342" s="75"/>
      <c r="K2342" s="75"/>
      <c r="L2342" s="75"/>
      <c r="M2342" s="75"/>
      <c r="N2342" s="75"/>
      <c r="O2342" s="75"/>
      <c r="P2342" s="75"/>
      <c r="Q2342" s="75"/>
      <c r="R2342" s="75"/>
      <c r="S2342" s="75"/>
      <c r="T2342" s="75"/>
      <c r="U2342" s="75"/>
      <c r="V2342" s="75"/>
    </row>
    <row r="2343" spans="2:22" x14ac:dyDescent="0.2">
      <c r="B2343" s="76"/>
      <c r="C2343" s="76"/>
      <c r="D2343" s="76"/>
      <c r="E2343" s="76"/>
      <c r="F2343" s="76"/>
      <c r="G2343" s="76"/>
      <c r="H2343" s="76"/>
      <c r="I2343" s="76"/>
      <c r="J2343" s="76"/>
      <c r="K2343" s="76"/>
      <c r="L2343" s="76"/>
      <c r="M2343" s="76"/>
      <c r="N2343" s="76"/>
      <c r="O2343" s="76"/>
      <c r="P2343" s="76"/>
      <c r="Q2343" s="76"/>
      <c r="R2343" s="76"/>
      <c r="S2343" s="76"/>
      <c r="T2343" s="76"/>
      <c r="U2343" s="76"/>
      <c r="V2343" s="76"/>
    </row>
    <row r="2344" spans="2:22" x14ac:dyDescent="0.2">
      <c r="B2344" s="73"/>
      <c r="C2344" s="33"/>
      <c r="D2344" s="23"/>
      <c r="E2344" s="73"/>
      <c r="F2344" s="73"/>
      <c r="G2344" s="73"/>
      <c r="H2344" s="73"/>
      <c r="I2344" s="73"/>
      <c r="J2344" s="33"/>
      <c r="K2344" s="33"/>
      <c r="L2344" s="33"/>
      <c r="M2344" s="33"/>
      <c r="N2344" s="73"/>
      <c r="O2344" s="73"/>
      <c r="P2344" s="73"/>
      <c r="Q2344" s="73"/>
      <c r="R2344" s="23"/>
      <c r="S2344" s="23"/>
      <c r="T2344" s="73"/>
      <c r="U2344" s="73"/>
      <c r="V2344" s="73"/>
    </row>
    <row r="2345" spans="2:22" x14ac:dyDescent="0.2">
      <c r="B2345" s="73"/>
      <c r="C2345" s="33"/>
      <c r="D2345" s="23"/>
      <c r="E2345" s="73"/>
      <c r="F2345" s="73"/>
      <c r="G2345" s="73"/>
      <c r="H2345" s="73"/>
      <c r="I2345" s="73"/>
      <c r="J2345" s="33"/>
      <c r="K2345" s="33"/>
      <c r="L2345" s="33"/>
      <c r="M2345" s="33"/>
      <c r="N2345" s="73"/>
      <c r="O2345" s="73"/>
      <c r="P2345" s="73"/>
      <c r="Q2345" s="73"/>
      <c r="R2345" s="23"/>
      <c r="S2345" s="23"/>
      <c r="T2345" s="73"/>
      <c r="U2345" s="73"/>
      <c r="V2345" s="73"/>
    </row>
    <row r="2346" spans="2:22" x14ac:dyDescent="0.2">
      <c r="B2346" s="73"/>
      <c r="C2346" s="33"/>
      <c r="D2346" s="23"/>
      <c r="E2346" s="73"/>
      <c r="F2346" s="73"/>
      <c r="G2346" s="73"/>
      <c r="H2346" s="73"/>
      <c r="I2346" s="73"/>
      <c r="J2346" s="33"/>
      <c r="K2346" s="33"/>
      <c r="L2346" s="33"/>
      <c r="M2346" s="33"/>
      <c r="N2346" s="73"/>
      <c r="O2346" s="73"/>
      <c r="P2346" s="73"/>
      <c r="Q2346" s="73"/>
      <c r="R2346" s="23"/>
      <c r="S2346" s="23"/>
      <c r="T2346" s="73"/>
      <c r="U2346" s="73"/>
      <c r="V2346" s="73"/>
    </row>
    <row r="2347" spans="2:22" x14ac:dyDescent="0.2">
      <c r="B2347" s="75"/>
      <c r="C2347" s="75"/>
      <c r="D2347" s="75"/>
      <c r="E2347" s="75"/>
      <c r="F2347" s="75"/>
      <c r="G2347" s="75"/>
      <c r="H2347" s="75"/>
      <c r="I2347" s="75"/>
      <c r="J2347" s="75"/>
      <c r="K2347" s="75"/>
      <c r="L2347" s="75"/>
      <c r="M2347" s="75"/>
      <c r="N2347" s="75"/>
      <c r="O2347" s="75"/>
      <c r="P2347" s="75"/>
      <c r="Q2347" s="75"/>
      <c r="R2347" s="75"/>
      <c r="S2347" s="75"/>
      <c r="T2347" s="75"/>
      <c r="U2347" s="75"/>
      <c r="V2347" s="75"/>
    </row>
    <row r="2348" spans="2:22" x14ac:dyDescent="0.2">
      <c r="B2348" s="76"/>
      <c r="C2348" s="76"/>
      <c r="D2348" s="76"/>
      <c r="E2348" s="76"/>
      <c r="F2348" s="76"/>
      <c r="G2348" s="76"/>
      <c r="H2348" s="76"/>
      <c r="I2348" s="76"/>
      <c r="J2348" s="76"/>
      <c r="K2348" s="76"/>
      <c r="L2348" s="76"/>
      <c r="M2348" s="76"/>
      <c r="N2348" s="76"/>
      <c r="O2348" s="76"/>
      <c r="P2348" s="76"/>
      <c r="Q2348" s="76"/>
      <c r="R2348" s="76"/>
      <c r="S2348" s="76"/>
      <c r="T2348" s="76"/>
      <c r="U2348" s="76"/>
      <c r="V2348" s="76"/>
    </row>
    <row r="2349" spans="2:22" x14ac:dyDescent="0.2">
      <c r="B2349" s="73"/>
      <c r="C2349" s="33"/>
      <c r="D2349" s="23"/>
      <c r="E2349" s="73"/>
      <c r="F2349" s="73"/>
      <c r="G2349" s="73"/>
      <c r="H2349" s="73"/>
      <c r="I2349" s="73"/>
      <c r="J2349" s="33"/>
      <c r="K2349" s="33"/>
      <c r="L2349" s="33"/>
      <c r="M2349" s="33"/>
      <c r="N2349" s="73"/>
      <c r="O2349" s="73"/>
      <c r="P2349" s="73"/>
      <c r="Q2349" s="73"/>
      <c r="R2349" s="23"/>
      <c r="S2349" s="23"/>
      <c r="T2349" s="73"/>
      <c r="U2349" s="73"/>
      <c r="V2349" s="73"/>
    </row>
    <row r="2350" spans="2:22" x14ac:dyDescent="0.2">
      <c r="B2350" s="75"/>
      <c r="C2350" s="75"/>
      <c r="D2350" s="75"/>
      <c r="E2350" s="75"/>
      <c r="F2350" s="75"/>
      <c r="G2350" s="75"/>
      <c r="H2350" s="75"/>
      <c r="I2350" s="75"/>
      <c r="J2350" s="75"/>
      <c r="K2350" s="75"/>
      <c r="L2350" s="75"/>
      <c r="M2350" s="75"/>
      <c r="N2350" s="75"/>
      <c r="O2350" s="75"/>
      <c r="P2350" s="75"/>
      <c r="Q2350" s="75"/>
      <c r="R2350" s="75"/>
      <c r="S2350" s="75"/>
      <c r="T2350" s="75"/>
      <c r="U2350" s="75"/>
      <c r="V2350" s="75"/>
    </row>
    <row r="2351" spans="2:22" x14ac:dyDescent="0.2">
      <c r="B2351" s="76"/>
      <c r="C2351" s="76"/>
      <c r="D2351" s="76"/>
      <c r="E2351" s="76"/>
      <c r="F2351" s="76"/>
      <c r="G2351" s="76"/>
      <c r="H2351" s="76"/>
      <c r="I2351" s="76"/>
      <c r="J2351" s="76"/>
      <c r="K2351" s="76"/>
      <c r="L2351" s="76"/>
      <c r="M2351" s="76"/>
      <c r="N2351" s="76"/>
      <c r="O2351" s="76"/>
      <c r="P2351" s="76"/>
      <c r="Q2351" s="76"/>
      <c r="R2351" s="76"/>
      <c r="S2351" s="76"/>
      <c r="T2351" s="76"/>
      <c r="U2351" s="76"/>
      <c r="V2351" s="76"/>
    </row>
    <row r="2352" spans="2:22" x14ac:dyDescent="0.2">
      <c r="B2352" s="73"/>
      <c r="C2352" s="33"/>
      <c r="D2352" s="23"/>
      <c r="E2352" s="73"/>
      <c r="F2352" s="73"/>
      <c r="G2352" s="73"/>
      <c r="H2352" s="73"/>
      <c r="I2352" s="73"/>
      <c r="J2352" s="33"/>
      <c r="K2352" s="33"/>
      <c r="L2352" s="33"/>
      <c r="M2352" s="33"/>
      <c r="N2352" s="73"/>
      <c r="O2352" s="73"/>
      <c r="P2352" s="73"/>
      <c r="Q2352" s="73"/>
      <c r="R2352" s="23"/>
      <c r="S2352" s="23"/>
      <c r="T2352" s="73"/>
      <c r="U2352" s="73"/>
      <c r="V2352" s="73"/>
    </row>
    <row r="2353" spans="2:22" x14ac:dyDescent="0.2">
      <c r="B2353" s="73"/>
      <c r="C2353" s="33"/>
      <c r="D2353" s="23"/>
      <c r="E2353" s="73"/>
      <c r="F2353" s="73"/>
      <c r="G2353" s="73"/>
      <c r="H2353" s="73"/>
      <c r="I2353" s="73"/>
      <c r="J2353" s="33"/>
      <c r="K2353" s="33"/>
      <c r="L2353" s="33"/>
      <c r="M2353" s="33"/>
      <c r="N2353" s="73"/>
      <c r="O2353" s="73"/>
      <c r="P2353" s="73"/>
      <c r="Q2353" s="73"/>
      <c r="R2353" s="23"/>
      <c r="S2353" s="23"/>
      <c r="T2353" s="73"/>
      <c r="U2353" s="73"/>
      <c r="V2353" s="73"/>
    </row>
    <row r="2354" spans="2:22" x14ac:dyDescent="0.2">
      <c r="B2354" s="73"/>
      <c r="C2354" s="33"/>
      <c r="D2354" s="23"/>
      <c r="E2354" s="73"/>
      <c r="F2354" s="73"/>
      <c r="G2354" s="73"/>
      <c r="H2354" s="73"/>
      <c r="I2354" s="73"/>
      <c r="J2354" s="33"/>
      <c r="K2354" s="33"/>
      <c r="L2354" s="33"/>
      <c r="M2354" s="33"/>
      <c r="N2354" s="73"/>
      <c r="O2354" s="73"/>
      <c r="P2354" s="73"/>
      <c r="Q2354" s="73"/>
      <c r="R2354" s="23"/>
      <c r="S2354" s="23"/>
      <c r="T2354" s="73"/>
      <c r="U2354" s="73"/>
      <c r="V2354" s="73"/>
    </row>
    <row r="2355" spans="2:22" x14ac:dyDescent="0.2">
      <c r="B2355" s="73"/>
      <c r="C2355" s="33"/>
      <c r="D2355" s="23"/>
      <c r="E2355" s="73"/>
      <c r="F2355" s="73"/>
      <c r="G2355" s="73"/>
      <c r="H2355" s="73"/>
      <c r="I2355" s="73"/>
      <c r="J2355" s="33"/>
      <c r="K2355" s="33"/>
      <c r="L2355" s="33"/>
      <c r="M2355" s="33"/>
      <c r="N2355" s="73"/>
      <c r="O2355" s="73"/>
      <c r="P2355" s="73"/>
      <c r="Q2355" s="73"/>
      <c r="R2355" s="23"/>
      <c r="S2355" s="23"/>
      <c r="T2355" s="73"/>
      <c r="U2355" s="73"/>
      <c r="V2355" s="73"/>
    </row>
    <row r="2356" spans="2:22" x14ac:dyDescent="0.2">
      <c r="B2356" s="75"/>
      <c r="C2356" s="75"/>
      <c r="D2356" s="75"/>
      <c r="E2356" s="75"/>
      <c r="F2356" s="75"/>
      <c r="G2356" s="75"/>
      <c r="H2356" s="75"/>
      <c r="I2356" s="75"/>
      <c r="J2356" s="75"/>
      <c r="K2356" s="75"/>
      <c r="L2356" s="75"/>
      <c r="M2356" s="75"/>
      <c r="N2356" s="75"/>
      <c r="O2356" s="75"/>
      <c r="P2356" s="75"/>
      <c r="Q2356" s="75"/>
      <c r="R2356" s="75"/>
      <c r="S2356" s="75"/>
      <c r="T2356" s="75"/>
      <c r="U2356" s="75"/>
      <c r="V2356" s="75"/>
    </row>
    <row r="2357" spans="2:22" x14ac:dyDescent="0.2">
      <c r="B2357" s="76"/>
      <c r="C2357" s="76"/>
      <c r="D2357" s="76"/>
      <c r="E2357" s="76"/>
      <c r="F2357" s="76"/>
      <c r="G2357" s="76"/>
      <c r="H2357" s="76"/>
      <c r="I2357" s="76"/>
      <c r="J2357" s="76"/>
      <c r="K2357" s="76"/>
      <c r="L2357" s="76"/>
      <c r="M2357" s="76"/>
      <c r="N2357" s="76"/>
      <c r="O2357" s="76"/>
      <c r="P2357" s="76"/>
      <c r="Q2357" s="76"/>
      <c r="R2357" s="76"/>
      <c r="S2357" s="76"/>
      <c r="T2357" s="76"/>
      <c r="U2357" s="76"/>
      <c r="V2357" s="76"/>
    </row>
    <row r="2358" spans="2:22" x14ac:dyDescent="0.2">
      <c r="B2358" s="73"/>
      <c r="C2358" s="33"/>
      <c r="D2358" s="23"/>
      <c r="E2358" s="73"/>
      <c r="F2358" s="73"/>
      <c r="G2358" s="73"/>
      <c r="H2358" s="73"/>
      <c r="I2358" s="73"/>
      <c r="J2358" s="33"/>
      <c r="K2358" s="33"/>
      <c r="L2358" s="33"/>
      <c r="M2358" s="33"/>
      <c r="N2358" s="73"/>
      <c r="O2358" s="73"/>
      <c r="P2358" s="73"/>
      <c r="Q2358" s="73"/>
      <c r="R2358" s="23"/>
      <c r="S2358" s="23"/>
      <c r="T2358" s="73"/>
      <c r="U2358" s="73"/>
      <c r="V2358" s="73"/>
    </row>
    <row r="2359" spans="2:22" x14ac:dyDescent="0.2">
      <c r="B2359" s="73"/>
      <c r="C2359" s="33"/>
      <c r="D2359" s="23"/>
      <c r="E2359" s="73"/>
      <c r="F2359" s="73"/>
      <c r="G2359" s="73"/>
      <c r="H2359" s="73"/>
      <c r="I2359" s="73"/>
      <c r="J2359" s="33"/>
      <c r="K2359" s="33"/>
      <c r="L2359" s="33"/>
      <c r="M2359" s="33"/>
      <c r="N2359" s="73"/>
      <c r="O2359" s="73"/>
      <c r="P2359" s="73"/>
      <c r="Q2359" s="73"/>
      <c r="R2359" s="23"/>
      <c r="S2359" s="23"/>
      <c r="T2359" s="73"/>
      <c r="U2359" s="73"/>
      <c r="V2359" s="73"/>
    </row>
    <row r="2360" spans="2:22" x14ac:dyDescent="0.2">
      <c r="B2360" s="73"/>
      <c r="C2360" s="33"/>
      <c r="D2360" s="23"/>
      <c r="E2360" s="73"/>
      <c r="F2360" s="73"/>
      <c r="G2360" s="73"/>
      <c r="H2360" s="73"/>
      <c r="I2360" s="73"/>
      <c r="J2360" s="33"/>
      <c r="K2360" s="33"/>
      <c r="L2360" s="33"/>
      <c r="M2360" s="33"/>
      <c r="N2360" s="73"/>
      <c r="O2360" s="73"/>
      <c r="P2360" s="73"/>
      <c r="Q2360" s="73"/>
      <c r="R2360" s="23"/>
      <c r="S2360" s="23"/>
      <c r="T2360" s="73"/>
      <c r="U2360" s="73"/>
      <c r="V2360" s="73"/>
    </row>
    <row r="2361" spans="2:22" x14ac:dyDescent="0.2">
      <c r="B2361" s="75"/>
      <c r="C2361" s="75"/>
      <c r="D2361" s="75"/>
      <c r="E2361" s="75"/>
      <c r="F2361" s="75"/>
      <c r="G2361" s="75"/>
      <c r="H2361" s="75"/>
      <c r="I2361" s="75"/>
      <c r="J2361" s="75"/>
      <c r="K2361" s="75"/>
      <c r="L2361" s="75"/>
      <c r="M2361" s="75"/>
      <c r="N2361" s="75"/>
      <c r="O2361" s="75"/>
      <c r="P2361" s="75"/>
      <c r="Q2361" s="75"/>
      <c r="R2361" s="75"/>
      <c r="S2361" s="75"/>
      <c r="T2361" s="75"/>
      <c r="U2361" s="75"/>
      <c r="V2361" s="75"/>
    </row>
    <row r="2362" spans="2:22" x14ac:dyDescent="0.2">
      <c r="B2362" s="76"/>
      <c r="C2362" s="76"/>
      <c r="D2362" s="76"/>
      <c r="E2362" s="76"/>
      <c r="F2362" s="76"/>
      <c r="G2362" s="76"/>
      <c r="H2362" s="76"/>
      <c r="I2362" s="76"/>
      <c r="J2362" s="76"/>
      <c r="K2362" s="76"/>
      <c r="L2362" s="76"/>
      <c r="M2362" s="76"/>
      <c r="N2362" s="76"/>
      <c r="O2362" s="76"/>
      <c r="P2362" s="76"/>
      <c r="Q2362" s="76"/>
      <c r="R2362" s="76"/>
      <c r="S2362" s="76"/>
      <c r="T2362" s="76"/>
      <c r="U2362" s="76"/>
      <c r="V2362" s="76"/>
    </row>
    <row r="2363" spans="2:22" x14ac:dyDescent="0.2">
      <c r="B2363" s="73"/>
      <c r="C2363" s="33"/>
      <c r="D2363" s="23"/>
      <c r="E2363" s="73"/>
      <c r="F2363" s="73"/>
      <c r="G2363" s="73"/>
      <c r="H2363" s="73"/>
      <c r="I2363" s="73"/>
      <c r="J2363" s="33"/>
      <c r="K2363" s="33"/>
      <c r="L2363" s="33"/>
      <c r="M2363" s="33"/>
      <c r="N2363" s="73"/>
      <c r="O2363" s="73"/>
      <c r="P2363" s="73"/>
      <c r="Q2363" s="73"/>
      <c r="R2363" s="23"/>
      <c r="S2363" s="23"/>
      <c r="T2363" s="73"/>
      <c r="U2363" s="73"/>
      <c r="V2363" s="73"/>
    </row>
    <row r="2364" spans="2:22" x14ac:dyDescent="0.2">
      <c r="B2364" s="73"/>
      <c r="C2364" s="33"/>
      <c r="D2364" s="23"/>
      <c r="E2364" s="73"/>
      <c r="F2364" s="73"/>
      <c r="G2364" s="73"/>
      <c r="H2364" s="73"/>
      <c r="I2364" s="73"/>
      <c r="J2364" s="33"/>
      <c r="K2364" s="33"/>
      <c r="L2364" s="33"/>
      <c r="M2364" s="33"/>
      <c r="N2364" s="73"/>
      <c r="O2364" s="73"/>
      <c r="P2364" s="73"/>
      <c r="Q2364" s="73"/>
      <c r="R2364" s="23"/>
      <c r="S2364" s="23"/>
      <c r="T2364" s="73"/>
      <c r="U2364" s="73"/>
      <c r="V2364" s="73"/>
    </row>
    <row r="2365" spans="2:22" x14ac:dyDescent="0.2">
      <c r="B2365" s="75"/>
      <c r="C2365" s="75"/>
      <c r="D2365" s="75"/>
      <c r="E2365" s="75"/>
      <c r="F2365" s="75"/>
      <c r="G2365" s="75"/>
      <c r="H2365" s="75"/>
      <c r="I2365" s="75"/>
      <c r="J2365" s="75"/>
      <c r="K2365" s="75"/>
      <c r="L2365" s="75"/>
      <c r="M2365" s="75"/>
      <c r="N2365" s="75"/>
      <c r="O2365" s="75"/>
      <c r="P2365" s="75"/>
      <c r="Q2365" s="75"/>
      <c r="R2365" s="75"/>
      <c r="S2365" s="75"/>
      <c r="T2365" s="75"/>
      <c r="U2365" s="75"/>
      <c r="V2365" s="75"/>
    </row>
    <row r="2366" spans="2:22" x14ac:dyDescent="0.2">
      <c r="B2366" s="76"/>
      <c r="C2366" s="76"/>
      <c r="D2366" s="76"/>
      <c r="E2366" s="76"/>
      <c r="F2366" s="76"/>
      <c r="G2366" s="76"/>
      <c r="H2366" s="76"/>
      <c r="I2366" s="76"/>
      <c r="J2366" s="76"/>
      <c r="K2366" s="76"/>
      <c r="L2366" s="76"/>
      <c r="M2366" s="76"/>
      <c r="N2366" s="76"/>
      <c r="O2366" s="76"/>
      <c r="P2366" s="76"/>
      <c r="Q2366" s="76"/>
      <c r="R2366" s="76"/>
      <c r="S2366" s="76"/>
      <c r="T2366" s="76"/>
      <c r="U2366" s="76"/>
      <c r="V2366" s="76"/>
    </row>
    <row r="2367" spans="2:22" x14ac:dyDescent="0.2">
      <c r="B2367" s="73"/>
      <c r="C2367" s="33"/>
      <c r="D2367" s="23"/>
      <c r="E2367" s="73"/>
      <c r="F2367" s="73"/>
      <c r="G2367" s="73"/>
      <c r="H2367" s="73"/>
      <c r="I2367" s="73"/>
      <c r="J2367" s="33"/>
      <c r="K2367" s="33"/>
      <c r="L2367" s="33"/>
      <c r="M2367" s="33"/>
      <c r="N2367" s="73"/>
      <c r="O2367" s="73"/>
      <c r="P2367" s="73"/>
      <c r="Q2367" s="73"/>
      <c r="R2367" s="23"/>
      <c r="S2367" s="23"/>
      <c r="T2367" s="73"/>
      <c r="U2367" s="73"/>
      <c r="V2367" s="73"/>
    </row>
    <row r="2368" spans="2:22" x14ac:dyDescent="0.2">
      <c r="B2368" s="75"/>
      <c r="C2368" s="75"/>
      <c r="D2368" s="75"/>
      <c r="E2368" s="75"/>
      <c r="F2368" s="75"/>
      <c r="G2368" s="75"/>
      <c r="H2368" s="75"/>
      <c r="I2368" s="75"/>
      <c r="J2368" s="75"/>
      <c r="K2368" s="75"/>
      <c r="L2368" s="75"/>
      <c r="M2368" s="75"/>
      <c r="N2368" s="75"/>
      <c r="O2368" s="75"/>
      <c r="P2368" s="75"/>
      <c r="Q2368" s="75"/>
      <c r="R2368" s="75"/>
      <c r="S2368" s="75"/>
      <c r="T2368" s="75"/>
      <c r="U2368" s="75"/>
      <c r="V2368" s="75"/>
    </row>
    <row r="2369" spans="2:22" x14ac:dyDescent="0.2">
      <c r="B2369" s="76"/>
      <c r="C2369" s="76"/>
      <c r="D2369" s="76"/>
      <c r="E2369" s="76"/>
      <c r="F2369" s="76"/>
      <c r="G2369" s="76"/>
      <c r="H2369" s="76"/>
      <c r="I2369" s="76"/>
      <c r="J2369" s="76"/>
      <c r="K2369" s="76"/>
      <c r="L2369" s="76"/>
      <c r="M2369" s="76"/>
      <c r="N2369" s="76"/>
      <c r="O2369" s="76"/>
      <c r="P2369" s="76"/>
      <c r="Q2369" s="76"/>
      <c r="R2369" s="76"/>
      <c r="S2369" s="76"/>
      <c r="T2369" s="76"/>
      <c r="U2369" s="76"/>
      <c r="V2369" s="76"/>
    </row>
    <row r="2370" spans="2:22" x14ac:dyDescent="0.2">
      <c r="B2370" s="73"/>
      <c r="C2370" s="33"/>
      <c r="D2370" s="23"/>
      <c r="E2370" s="73"/>
      <c r="F2370" s="73"/>
      <c r="G2370" s="73"/>
      <c r="H2370" s="73"/>
      <c r="I2370" s="73"/>
      <c r="J2370" s="33"/>
      <c r="K2370" s="33"/>
      <c r="L2370" s="33"/>
      <c r="M2370" s="33"/>
      <c r="N2370" s="73"/>
      <c r="O2370" s="73"/>
      <c r="P2370" s="73"/>
      <c r="Q2370" s="73"/>
      <c r="R2370" s="23"/>
      <c r="S2370" s="23"/>
      <c r="T2370" s="73"/>
      <c r="U2370" s="73"/>
      <c r="V2370" s="73"/>
    </row>
    <row r="2371" spans="2:22" x14ac:dyDescent="0.2">
      <c r="B2371" s="75"/>
      <c r="C2371" s="75"/>
      <c r="D2371" s="75"/>
      <c r="E2371" s="75"/>
      <c r="F2371" s="75"/>
      <c r="G2371" s="75"/>
      <c r="H2371" s="75"/>
      <c r="I2371" s="75"/>
      <c r="J2371" s="75"/>
      <c r="K2371" s="75"/>
      <c r="L2371" s="75"/>
      <c r="M2371" s="75"/>
      <c r="N2371" s="75"/>
      <c r="O2371" s="75"/>
      <c r="P2371" s="75"/>
      <c r="Q2371" s="75"/>
      <c r="R2371" s="75"/>
      <c r="S2371" s="75"/>
      <c r="T2371" s="75"/>
      <c r="U2371" s="75"/>
      <c r="V2371" s="75"/>
    </row>
    <row r="2372" spans="2:22" x14ac:dyDescent="0.2">
      <c r="B2372" s="76"/>
      <c r="C2372" s="76"/>
      <c r="D2372" s="76"/>
      <c r="E2372" s="76"/>
      <c r="F2372" s="76"/>
      <c r="G2372" s="76"/>
      <c r="H2372" s="76"/>
      <c r="I2372" s="76"/>
      <c r="J2372" s="76"/>
      <c r="K2372" s="76"/>
      <c r="L2372" s="76"/>
      <c r="M2372" s="76"/>
      <c r="N2372" s="76"/>
      <c r="O2372" s="76"/>
      <c r="P2372" s="76"/>
      <c r="Q2372" s="76"/>
      <c r="R2372" s="76"/>
      <c r="S2372" s="76"/>
      <c r="T2372" s="76"/>
      <c r="U2372" s="76"/>
      <c r="V2372" s="76"/>
    </row>
    <row r="2373" spans="2:22" x14ac:dyDescent="0.2">
      <c r="B2373" s="73"/>
      <c r="C2373" s="33"/>
      <c r="D2373" s="23"/>
      <c r="E2373" s="73"/>
      <c r="F2373" s="73"/>
      <c r="G2373" s="73"/>
      <c r="H2373" s="73"/>
      <c r="I2373" s="73"/>
      <c r="J2373" s="33"/>
      <c r="K2373" s="33"/>
      <c r="L2373" s="33"/>
      <c r="M2373" s="33"/>
      <c r="N2373" s="73"/>
      <c r="O2373" s="73"/>
      <c r="P2373" s="73"/>
      <c r="Q2373" s="73"/>
      <c r="R2373" s="23"/>
      <c r="S2373" s="23"/>
      <c r="T2373" s="73"/>
      <c r="U2373" s="73"/>
      <c r="V2373" s="73"/>
    </row>
    <row r="2374" spans="2:22" x14ac:dyDescent="0.2">
      <c r="B2374" s="75"/>
      <c r="C2374" s="75"/>
      <c r="D2374" s="75"/>
      <c r="E2374" s="75"/>
      <c r="F2374" s="75"/>
      <c r="G2374" s="75"/>
      <c r="H2374" s="75"/>
      <c r="I2374" s="75"/>
      <c r="J2374" s="75"/>
      <c r="K2374" s="75"/>
      <c r="L2374" s="75"/>
      <c r="M2374" s="75"/>
      <c r="N2374" s="75"/>
      <c r="O2374" s="75"/>
      <c r="P2374" s="75"/>
      <c r="Q2374" s="75"/>
      <c r="R2374" s="75"/>
      <c r="S2374" s="75"/>
      <c r="T2374" s="75"/>
      <c r="U2374" s="75"/>
      <c r="V2374" s="75"/>
    </row>
    <row r="2375" spans="2:22" x14ac:dyDescent="0.2">
      <c r="B2375" s="76"/>
      <c r="C2375" s="76"/>
      <c r="D2375" s="76"/>
      <c r="E2375" s="76"/>
      <c r="F2375" s="76"/>
      <c r="G2375" s="76"/>
      <c r="H2375" s="76"/>
      <c r="I2375" s="76"/>
      <c r="J2375" s="76"/>
      <c r="K2375" s="76"/>
      <c r="L2375" s="76"/>
      <c r="M2375" s="76"/>
      <c r="N2375" s="76"/>
      <c r="O2375" s="76"/>
      <c r="P2375" s="76"/>
      <c r="Q2375" s="76"/>
      <c r="R2375" s="76"/>
      <c r="S2375" s="76"/>
      <c r="T2375" s="76"/>
      <c r="U2375" s="76"/>
      <c r="V2375" s="76"/>
    </row>
    <row r="2376" spans="2:22" x14ac:dyDescent="0.2">
      <c r="B2376" s="73"/>
      <c r="C2376" s="33"/>
      <c r="D2376" s="23"/>
      <c r="E2376" s="73"/>
      <c r="F2376" s="73"/>
      <c r="G2376" s="73"/>
      <c r="H2376" s="73"/>
      <c r="I2376" s="73"/>
      <c r="J2376" s="33"/>
      <c r="K2376" s="33"/>
      <c r="L2376" s="33"/>
      <c r="M2376" s="33"/>
      <c r="N2376" s="73"/>
      <c r="O2376" s="73"/>
      <c r="P2376" s="73"/>
      <c r="Q2376" s="73"/>
      <c r="R2376" s="23"/>
      <c r="S2376" s="23"/>
      <c r="T2376" s="73"/>
      <c r="U2376" s="73"/>
      <c r="V2376" s="73"/>
    </row>
    <row r="2377" spans="2:22" x14ac:dyDescent="0.2">
      <c r="B2377" s="75"/>
      <c r="C2377" s="75"/>
      <c r="D2377" s="75"/>
      <c r="E2377" s="75"/>
      <c r="F2377" s="75"/>
      <c r="G2377" s="75"/>
      <c r="H2377" s="75"/>
      <c r="I2377" s="75"/>
      <c r="J2377" s="75"/>
      <c r="K2377" s="75"/>
      <c r="L2377" s="75"/>
      <c r="M2377" s="75"/>
      <c r="N2377" s="75"/>
      <c r="O2377" s="75"/>
      <c r="P2377" s="75"/>
      <c r="Q2377" s="75"/>
      <c r="R2377" s="75"/>
      <c r="S2377" s="75"/>
      <c r="T2377" s="75"/>
      <c r="U2377" s="75"/>
      <c r="V2377" s="75"/>
    </row>
    <row r="2378" spans="2:22" x14ac:dyDescent="0.2">
      <c r="B2378" s="76"/>
      <c r="C2378" s="76"/>
      <c r="D2378" s="76"/>
      <c r="E2378" s="76"/>
      <c r="F2378" s="76"/>
      <c r="G2378" s="76"/>
      <c r="H2378" s="76"/>
      <c r="I2378" s="76"/>
      <c r="J2378" s="76"/>
      <c r="K2378" s="76"/>
      <c r="L2378" s="76"/>
      <c r="M2378" s="76"/>
      <c r="N2378" s="76"/>
      <c r="O2378" s="76"/>
      <c r="P2378" s="76"/>
      <c r="Q2378" s="76"/>
      <c r="R2378" s="76"/>
      <c r="S2378" s="76"/>
      <c r="T2378" s="76"/>
      <c r="U2378" s="76"/>
      <c r="V2378" s="76"/>
    </row>
    <row r="2379" spans="2:22" x14ac:dyDescent="0.2">
      <c r="B2379" s="73"/>
      <c r="C2379" s="33"/>
      <c r="D2379" s="23"/>
      <c r="E2379" s="73"/>
      <c r="F2379" s="73"/>
      <c r="G2379" s="73"/>
      <c r="H2379" s="73"/>
      <c r="I2379" s="73"/>
      <c r="J2379" s="33"/>
      <c r="K2379" s="33"/>
      <c r="L2379" s="33"/>
      <c r="M2379" s="33"/>
      <c r="N2379" s="73"/>
      <c r="O2379" s="73"/>
      <c r="P2379" s="73"/>
      <c r="Q2379" s="73"/>
      <c r="R2379" s="23"/>
      <c r="S2379" s="23"/>
      <c r="T2379" s="73"/>
      <c r="U2379" s="73"/>
      <c r="V2379" s="73"/>
    </row>
    <row r="2380" spans="2:22" x14ac:dyDescent="0.2">
      <c r="B2380" s="75"/>
      <c r="C2380" s="75"/>
      <c r="D2380" s="75"/>
      <c r="E2380" s="75"/>
      <c r="F2380" s="75"/>
      <c r="G2380" s="75"/>
      <c r="H2380" s="75"/>
      <c r="I2380" s="75"/>
      <c r="J2380" s="75"/>
      <c r="K2380" s="75"/>
      <c r="L2380" s="75"/>
      <c r="M2380" s="75"/>
      <c r="N2380" s="75"/>
      <c r="O2380" s="75"/>
      <c r="P2380" s="75"/>
      <c r="Q2380" s="75"/>
      <c r="R2380" s="75"/>
      <c r="S2380" s="75"/>
      <c r="T2380" s="75"/>
      <c r="U2380" s="75"/>
      <c r="V2380" s="75"/>
    </row>
    <row r="2381" spans="2:22" x14ac:dyDescent="0.2">
      <c r="B2381" s="76"/>
      <c r="C2381" s="76"/>
      <c r="D2381" s="76"/>
      <c r="E2381" s="76"/>
      <c r="F2381" s="76"/>
      <c r="G2381" s="76"/>
      <c r="H2381" s="76"/>
      <c r="I2381" s="76"/>
      <c r="J2381" s="76"/>
      <c r="K2381" s="76"/>
      <c r="L2381" s="76"/>
      <c r="M2381" s="76"/>
      <c r="N2381" s="76"/>
      <c r="O2381" s="76"/>
      <c r="P2381" s="76"/>
      <c r="Q2381" s="76"/>
      <c r="R2381" s="76"/>
      <c r="S2381" s="76"/>
      <c r="T2381" s="76"/>
      <c r="U2381" s="76"/>
      <c r="V2381" s="76"/>
    </row>
    <row r="2382" spans="2:22" x14ac:dyDescent="0.2">
      <c r="B2382" s="73"/>
      <c r="C2382" s="33"/>
      <c r="D2382" s="23"/>
      <c r="E2382" s="73"/>
      <c r="F2382" s="73"/>
      <c r="G2382" s="73"/>
      <c r="H2382" s="73"/>
      <c r="I2382" s="73"/>
      <c r="J2382" s="33"/>
      <c r="K2382" s="33"/>
      <c r="L2382" s="33"/>
      <c r="M2382" s="33"/>
      <c r="N2382" s="73"/>
      <c r="O2382" s="73"/>
      <c r="P2382" s="73"/>
      <c r="Q2382" s="73"/>
      <c r="R2382" s="23"/>
      <c r="S2382" s="23"/>
      <c r="T2382" s="73"/>
      <c r="U2382" s="73"/>
      <c r="V2382" s="73"/>
    </row>
    <row r="2383" spans="2:22" x14ac:dyDescent="0.2">
      <c r="B2383" s="75"/>
      <c r="C2383" s="75"/>
      <c r="D2383" s="75"/>
      <c r="E2383" s="75"/>
      <c r="F2383" s="75"/>
      <c r="G2383" s="75"/>
      <c r="H2383" s="75"/>
      <c r="I2383" s="75"/>
      <c r="J2383" s="75"/>
      <c r="K2383" s="75"/>
      <c r="L2383" s="75"/>
      <c r="M2383" s="75"/>
      <c r="N2383" s="75"/>
      <c r="O2383" s="75"/>
      <c r="P2383" s="75"/>
      <c r="Q2383" s="75"/>
      <c r="R2383" s="75"/>
      <c r="S2383" s="75"/>
      <c r="T2383" s="75"/>
      <c r="U2383" s="75"/>
      <c r="V2383" s="75"/>
    </row>
    <row r="2384" spans="2:22" x14ac:dyDescent="0.2">
      <c r="B2384" s="76"/>
      <c r="C2384" s="76"/>
      <c r="D2384" s="76"/>
      <c r="E2384" s="76"/>
      <c r="F2384" s="76"/>
      <c r="G2384" s="76"/>
      <c r="H2384" s="76"/>
      <c r="I2384" s="76"/>
      <c r="J2384" s="76"/>
      <c r="K2384" s="76"/>
      <c r="L2384" s="76"/>
      <c r="M2384" s="76"/>
      <c r="N2384" s="76"/>
      <c r="O2384" s="76"/>
      <c r="P2384" s="76"/>
      <c r="Q2384" s="76"/>
      <c r="R2384" s="76"/>
      <c r="S2384" s="76"/>
      <c r="T2384" s="76"/>
      <c r="U2384" s="76"/>
      <c r="V2384" s="76"/>
    </row>
    <row r="2385" spans="2:22" x14ac:dyDescent="0.2">
      <c r="B2385" s="73"/>
      <c r="C2385" s="33"/>
      <c r="D2385" s="23"/>
      <c r="E2385" s="73"/>
      <c r="F2385" s="73"/>
      <c r="G2385" s="73"/>
      <c r="H2385" s="73"/>
      <c r="I2385" s="73"/>
      <c r="J2385" s="33"/>
      <c r="K2385" s="33"/>
      <c r="L2385" s="33"/>
      <c r="M2385" s="33"/>
      <c r="N2385" s="73"/>
      <c r="O2385" s="73"/>
      <c r="P2385" s="73"/>
      <c r="Q2385" s="73"/>
      <c r="R2385" s="23"/>
      <c r="S2385" s="23"/>
      <c r="T2385" s="73"/>
      <c r="U2385" s="73"/>
      <c r="V2385" s="73"/>
    </row>
    <row r="2386" spans="2:22" x14ac:dyDescent="0.2">
      <c r="B2386" s="75"/>
      <c r="C2386" s="75"/>
      <c r="D2386" s="75"/>
      <c r="E2386" s="75"/>
      <c r="F2386" s="75"/>
      <c r="G2386" s="75"/>
      <c r="H2386" s="75"/>
      <c r="I2386" s="75"/>
      <c r="J2386" s="75"/>
      <c r="K2386" s="75"/>
      <c r="L2386" s="75"/>
      <c r="M2386" s="75"/>
      <c r="N2386" s="75"/>
      <c r="O2386" s="75"/>
      <c r="P2386" s="75"/>
      <c r="Q2386" s="75"/>
      <c r="R2386" s="75"/>
      <c r="S2386" s="75"/>
      <c r="T2386" s="75"/>
      <c r="U2386" s="75"/>
      <c r="V2386" s="75"/>
    </row>
    <row r="2387" spans="2:22" x14ac:dyDescent="0.2">
      <c r="B2387" s="76"/>
      <c r="C2387" s="76"/>
      <c r="D2387" s="76"/>
      <c r="E2387" s="76"/>
      <c r="F2387" s="76"/>
      <c r="G2387" s="76"/>
      <c r="H2387" s="76"/>
      <c r="I2387" s="76"/>
      <c r="J2387" s="76"/>
      <c r="K2387" s="76"/>
      <c r="L2387" s="76"/>
      <c r="M2387" s="76"/>
      <c r="N2387" s="76"/>
      <c r="O2387" s="76"/>
      <c r="P2387" s="76"/>
      <c r="Q2387" s="76"/>
      <c r="R2387" s="76"/>
      <c r="S2387" s="76"/>
      <c r="T2387" s="76"/>
      <c r="U2387" s="76"/>
      <c r="V2387" s="76"/>
    </row>
    <row r="2388" spans="2:22" x14ac:dyDescent="0.2">
      <c r="B2388" s="73"/>
      <c r="C2388" s="33"/>
      <c r="D2388" s="23"/>
      <c r="E2388" s="73"/>
      <c r="F2388" s="73"/>
      <c r="G2388" s="73"/>
      <c r="H2388" s="73"/>
      <c r="I2388" s="73"/>
      <c r="J2388" s="33"/>
      <c r="K2388" s="33"/>
      <c r="L2388" s="33"/>
      <c r="M2388" s="33"/>
      <c r="N2388" s="73"/>
      <c r="O2388" s="73"/>
      <c r="P2388" s="73"/>
      <c r="Q2388" s="73"/>
      <c r="R2388" s="23"/>
      <c r="S2388" s="23"/>
      <c r="T2388" s="73"/>
      <c r="U2388" s="73"/>
      <c r="V2388" s="73"/>
    </row>
    <row r="2389" spans="2:22" x14ac:dyDescent="0.2">
      <c r="B2389" s="75"/>
      <c r="C2389" s="75"/>
      <c r="D2389" s="75"/>
      <c r="E2389" s="75"/>
      <c r="F2389" s="75"/>
      <c r="G2389" s="75"/>
      <c r="H2389" s="75"/>
      <c r="I2389" s="75"/>
      <c r="J2389" s="75"/>
      <c r="K2389" s="75"/>
      <c r="L2389" s="75"/>
      <c r="M2389" s="75"/>
      <c r="N2389" s="75"/>
      <c r="O2389" s="75"/>
      <c r="P2389" s="75"/>
      <c r="Q2389" s="75"/>
      <c r="R2389" s="75"/>
      <c r="S2389" s="75"/>
      <c r="T2389" s="75"/>
      <c r="U2389" s="75"/>
      <c r="V2389" s="75"/>
    </row>
    <row r="2390" spans="2:22" x14ac:dyDescent="0.2">
      <c r="B2390" s="76"/>
      <c r="C2390" s="76"/>
      <c r="D2390" s="76"/>
      <c r="E2390" s="76"/>
      <c r="F2390" s="76"/>
      <c r="G2390" s="76"/>
      <c r="H2390" s="76"/>
      <c r="I2390" s="76"/>
      <c r="J2390" s="76"/>
      <c r="K2390" s="76"/>
      <c r="L2390" s="76"/>
      <c r="M2390" s="76"/>
      <c r="N2390" s="76"/>
      <c r="O2390" s="76"/>
      <c r="P2390" s="76"/>
      <c r="Q2390" s="76"/>
      <c r="R2390" s="76"/>
      <c r="S2390" s="76"/>
      <c r="T2390" s="76"/>
      <c r="U2390" s="76"/>
      <c r="V2390" s="76"/>
    </row>
    <row r="2391" spans="2:22" x14ac:dyDescent="0.2">
      <c r="B2391" s="73"/>
      <c r="C2391" s="33"/>
      <c r="D2391" s="23"/>
      <c r="E2391" s="73"/>
      <c r="F2391" s="73"/>
      <c r="G2391" s="73"/>
      <c r="H2391" s="73"/>
      <c r="I2391" s="73"/>
      <c r="J2391" s="33"/>
      <c r="K2391" s="33"/>
      <c r="L2391" s="33"/>
      <c r="M2391" s="33"/>
      <c r="N2391" s="73"/>
      <c r="O2391" s="73"/>
      <c r="P2391" s="73"/>
      <c r="Q2391" s="73"/>
      <c r="R2391" s="23"/>
      <c r="S2391" s="23"/>
      <c r="T2391" s="73"/>
      <c r="U2391" s="73"/>
      <c r="V2391" s="73"/>
    </row>
    <row r="2392" spans="2:22" x14ac:dyDescent="0.2">
      <c r="B2392" s="73"/>
      <c r="C2392" s="33"/>
      <c r="D2392" s="23"/>
      <c r="E2392" s="73"/>
      <c r="F2392" s="73"/>
      <c r="G2392" s="73"/>
      <c r="H2392" s="73"/>
      <c r="I2392" s="73"/>
      <c r="J2392" s="33"/>
      <c r="K2392" s="33"/>
      <c r="L2392" s="33"/>
      <c r="M2392" s="33"/>
      <c r="N2392" s="73"/>
      <c r="O2392" s="73"/>
      <c r="P2392" s="73"/>
      <c r="Q2392" s="73"/>
      <c r="R2392" s="23"/>
      <c r="S2392" s="23"/>
      <c r="T2392" s="73"/>
      <c r="U2392" s="73"/>
      <c r="V2392" s="73"/>
    </row>
    <row r="2393" spans="2:22" x14ac:dyDescent="0.2">
      <c r="B2393" s="73"/>
      <c r="C2393" s="33"/>
      <c r="D2393" s="23"/>
      <c r="E2393" s="73"/>
      <c r="F2393" s="73"/>
      <c r="G2393" s="73"/>
      <c r="H2393" s="73"/>
      <c r="I2393" s="73"/>
      <c r="J2393" s="33"/>
      <c r="K2393" s="33"/>
      <c r="L2393" s="33"/>
      <c r="M2393" s="33"/>
      <c r="N2393" s="73"/>
      <c r="O2393" s="73"/>
      <c r="P2393" s="73"/>
      <c r="Q2393" s="73"/>
      <c r="R2393" s="23"/>
      <c r="S2393" s="23"/>
      <c r="T2393" s="73"/>
      <c r="U2393" s="73"/>
      <c r="V2393" s="73"/>
    </row>
    <row r="2394" spans="2:22" x14ac:dyDescent="0.2">
      <c r="B2394" s="73"/>
      <c r="C2394" s="33"/>
      <c r="D2394" s="23"/>
      <c r="E2394" s="73"/>
      <c r="F2394" s="73"/>
      <c r="G2394" s="73"/>
      <c r="H2394" s="73"/>
      <c r="I2394" s="73"/>
      <c r="J2394" s="33"/>
      <c r="K2394" s="33"/>
      <c r="L2394" s="33"/>
      <c r="M2394" s="33"/>
      <c r="N2394" s="73"/>
      <c r="O2394" s="73"/>
      <c r="P2394" s="73"/>
      <c r="Q2394" s="73"/>
      <c r="R2394" s="23"/>
      <c r="S2394" s="23"/>
      <c r="T2394" s="73"/>
      <c r="U2394" s="73"/>
      <c r="V2394" s="73"/>
    </row>
    <row r="2395" spans="2:22" x14ac:dyDescent="0.2">
      <c r="B2395" s="73"/>
      <c r="C2395" s="33"/>
      <c r="D2395" s="23"/>
      <c r="E2395" s="73"/>
      <c r="F2395" s="73"/>
      <c r="G2395" s="73"/>
      <c r="H2395" s="73"/>
      <c r="I2395" s="73"/>
      <c r="J2395" s="33"/>
      <c r="K2395" s="33"/>
      <c r="L2395" s="33"/>
      <c r="M2395" s="33"/>
      <c r="N2395" s="73"/>
      <c r="O2395" s="73"/>
      <c r="P2395" s="73"/>
      <c r="Q2395" s="73"/>
      <c r="R2395" s="23"/>
      <c r="S2395" s="23"/>
      <c r="T2395" s="73"/>
      <c r="U2395" s="73"/>
      <c r="V2395" s="73"/>
    </row>
    <row r="2396" spans="2:22" x14ac:dyDescent="0.2">
      <c r="B2396" s="73"/>
      <c r="C2396" s="33"/>
      <c r="D2396" s="23"/>
      <c r="E2396" s="73"/>
      <c r="F2396" s="73"/>
      <c r="G2396" s="73"/>
      <c r="H2396" s="73"/>
      <c r="I2396" s="73"/>
      <c r="J2396" s="33"/>
      <c r="K2396" s="33"/>
      <c r="L2396" s="33"/>
      <c r="M2396" s="33"/>
      <c r="N2396" s="73"/>
      <c r="O2396" s="73"/>
      <c r="P2396" s="73"/>
      <c r="Q2396" s="73"/>
      <c r="R2396" s="23"/>
      <c r="S2396" s="23"/>
      <c r="T2396" s="73"/>
      <c r="U2396" s="73"/>
      <c r="V2396" s="73"/>
    </row>
    <row r="2397" spans="2:22" x14ac:dyDescent="0.2">
      <c r="B2397" s="73"/>
      <c r="C2397" s="33"/>
      <c r="D2397" s="23"/>
      <c r="E2397" s="73"/>
      <c r="F2397" s="73"/>
      <c r="G2397" s="73"/>
      <c r="H2397" s="73"/>
      <c r="I2397" s="73"/>
      <c r="J2397" s="33"/>
      <c r="K2397" s="33"/>
      <c r="L2397" s="33"/>
      <c r="M2397" s="33"/>
      <c r="N2397" s="73"/>
      <c r="O2397" s="73"/>
      <c r="P2397" s="73"/>
      <c r="Q2397" s="73"/>
      <c r="R2397" s="23"/>
      <c r="S2397" s="23"/>
      <c r="T2397" s="73"/>
      <c r="U2397" s="73"/>
      <c r="V2397" s="73"/>
    </row>
    <row r="2398" spans="2:22" x14ac:dyDescent="0.2">
      <c r="B2398" s="73"/>
      <c r="C2398" s="33"/>
      <c r="D2398" s="23"/>
      <c r="E2398" s="73"/>
      <c r="F2398" s="73"/>
      <c r="G2398" s="73"/>
      <c r="H2398" s="73"/>
      <c r="I2398" s="73"/>
      <c r="J2398" s="33"/>
      <c r="K2398" s="33"/>
      <c r="L2398" s="33"/>
      <c r="M2398" s="33"/>
      <c r="N2398" s="73"/>
      <c r="O2398" s="73"/>
      <c r="P2398" s="73"/>
      <c r="Q2398" s="73"/>
      <c r="R2398" s="23"/>
      <c r="S2398" s="23"/>
      <c r="T2398" s="73"/>
      <c r="U2398" s="73"/>
      <c r="V2398" s="73"/>
    </row>
    <row r="2399" spans="2:22" x14ac:dyDescent="0.2">
      <c r="B2399" s="73"/>
      <c r="C2399" s="33"/>
      <c r="D2399" s="23"/>
      <c r="E2399" s="73"/>
      <c r="F2399" s="73"/>
      <c r="G2399" s="73"/>
      <c r="H2399" s="73"/>
      <c r="I2399" s="73"/>
      <c r="J2399" s="33"/>
      <c r="K2399" s="33"/>
      <c r="L2399" s="33"/>
      <c r="M2399" s="33"/>
      <c r="N2399" s="73"/>
      <c r="O2399" s="73"/>
      <c r="P2399" s="73"/>
      <c r="Q2399" s="73"/>
      <c r="R2399" s="23"/>
      <c r="S2399" s="23"/>
      <c r="T2399" s="73"/>
      <c r="U2399" s="73"/>
      <c r="V2399" s="73"/>
    </row>
    <row r="2400" spans="2:22" x14ac:dyDescent="0.2">
      <c r="B2400" s="73"/>
      <c r="C2400" s="33"/>
      <c r="D2400" s="23"/>
      <c r="E2400" s="73"/>
      <c r="F2400" s="73"/>
      <c r="G2400" s="73"/>
      <c r="H2400" s="73"/>
      <c r="I2400" s="73"/>
      <c r="J2400" s="33"/>
      <c r="K2400" s="33"/>
      <c r="L2400" s="33"/>
      <c r="M2400" s="33"/>
      <c r="N2400" s="73"/>
      <c r="O2400" s="73"/>
      <c r="P2400" s="73"/>
      <c r="Q2400" s="73"/>
      <c r="R2400" s="23"/>
      <c r="S2400" s="23"/>
      <c r="T2400" s="73"/>
      <c r="U2400" s="73"/>
      <c r="V2400" s="73"/>
    </row>
    <row r="2401" spans="2:22" x14ac:dyDescent="0.2">
      <c r="B2401" s="73"/>
      <c r="C2401" s="33"/>
      <c r="D2401" s="23"/>
      <c r="E2401" s="73"/>
      <c r="F2401" s="73"/>
      <c r="G2401" s="73"/>
      <c r="H2401" s="73"/>
      <c r="I2401" s="73"/>
      <c r="J2401" s="33"/>
      <c r="K2401" s="33"/>
      <c r="L2401" s="33"/>
      <c r="M2401" s="33"/>
      <c r="N2401" s="73"/>
      <c r="O2401" s="73"/>
      <c r="P2401" s="73"/>
      <c r="Q2401" s="73"/>
      <c r="R2401" s="23"/>
      <c r="S2401" s="23"/>
      <c r="T2401" s="73"/>
      <c r="U2401" s="73"/>
      <c r="V2401" s="73"/>
    </row>
    <row r="2402" spans="2:22" x14ac:dyDescent="0.2">
      <c r="B2402" s="73"/>
      <c r="C2402" s="33"/>
      <c r="D2402" s="23"/>
      <c r="E2402" s="73"/>
      <c r="F2402" s="73"/>
      <c r="G2402" s="73"/>
      <c r="H2402" s="73"/>
      <c r="I2402" s="73"/>
      <c r="J2402" s="33"/>
      <c r="K2402" s="33"/>
      <c r="L2402" s="33"/>
      <c r="M2402" s="33"/>
      <c r="N2402" s="73"/>
      <c r="O2402" s="73"/>
      <c r="P2402" s="73"/>
      <c r="Q2402" s="73"/>
      <c r="R2402" s="23"/>
      <c r="S2402" s="23"/>
      <c r="T2402" s="73"/>
      <c r="U2402" s="73"/>
      <c r="V2402" s="73"/>
    </row>
    <row r="2403" spans="2:22" x14ac:dyDescent="0.2">
      <c r="B2403" s="73"/>
      <c r="C2403" s="33"/>
      <c r="D2403" s="23"/>
      <c r="E2403" s="73"/>
      <c r="F2403" s="73"/>
      <c r="G2403" s="73"/>
      <c r="H2403" s="73"/>
      <c r="I2403" s="73"/>
      <c r="J2403" s="33"/>
      <c r="K2403" s="33"/>
      <c r="L2403" s="33"/>
      <c r="M2403" s="33"/>
      <c r="N2403" s="73"/>
      <c r="O2403" s="73"/>
      <c r="P2403" s="73"/>
      <c r="Q2403" s="73"/>
      <c r="R2403" s="23"/>
      <c r="S2403" s="23"/>
      <c r="T2403" s="73"/>
      <c r="U2403" s="73"/>
      <c r="V2403" s="73"/>
    </row>
    <row r="2404" spans="2:22" x14ac:dyDescent="0.2">
      <c r="B2404" s="75"/>
      <c r="C2404" s="75"/>
      <c r="D2404" s="75"/>
      <c r="E2404" s="75"/>
      <c r="F2404" s="75"/>
      <c r="G2404" s="75"/>
      <c r="H2404" s="75"/>
      <c r="I2404" s="75"/>
      <c r="J2404" s="75"/>
      <c r="K2404" s="75"/>
      <c r="L2404" s="75"/>
      <c r="M2404" s="75"/>
      <c r="N2404" s="75"/>
      <c r="O2404" s="75"/>
      <c r="P2404" s="75"/>
      <c r="Q2404" s="75"/>
      <c r="R2404" s="75"/>
      <c r="S2404" s="75"/>
      <c r="T2404" s="75"/>
      <c r="U2404" s="75"/>
      <c r="V2404" s="75"/>
    </row>
    <row r="2405" spans="2:22" x14ac:dyDescent="0.2">
      <c r="B2405" s="76"/>
      <c r="C2405" s="76"/>
      <c r="D2405" s="76"/>
      <c r="E2405" s="76"/>
      <c r="F2405" s="76"/>
      <c r="G2405" s="76"/>
      <c r="H2405" s="76"/>
      <c r="I2405" s="76"/>
      <c r="J2405" s="76"/>
      <c r="K2405" s="76"/>
      <c r="L2405" s="76"/>
      <c r="M2405" s="76"/>
      <c r="N2405" s="76"/>
      <c r="O2405" s="76"/>
      <c r="P2405" s="76"/>
      <c r="Q2405" s="76"/>
      <c r="R2405" s="76"/>
      <c r="S2405" s="76"/>
      <c r="T2405" s="76"/>
      <c r="U2405" s="76"/>
      <c r="V2405" s="76"/>
    </row>
    <row r="2406" spans="2:22" x14ac:dyDescent="0.2">
      <c r="B2406" s="73"/>
      <c r="C2406" s="33"/>
      <c r="D2406" s="23"/>
      <c r="E2406" s="73"/>
      <c r="F2406" s="73"/>
      <c r="G2406" s="73"/>
      <c r="H2406" s="73"/>
      <c r="I2406" s="73"/>
      <c r="J2406" s="33"/>
      <c r="K2406" s="33"/>
      <c r="L2406" s="33"/>
      <c r="M2406" s="33"/>
      <c r="N2406" s="73"/>
      <c r="O2406" s="73"/>
      <c r="P2406" s="73"/>
      <c r="Q2406" s="73"/>
      <c r="R2406" s="23"/>
      <c r="S2406" s="23"/>
      <c r="T2406" s="73"/>
      <c r="U2406" s="73"/>
      <c r="V2406" s="73"/>
    </row>
    <row r="2407" spans="2:22" x14ac:dyDescent="0.2">
      <c r="B2407" s="73"/>
      <c r="C2407" s="33"/>
      <c r="D2407" s="23"/>
      <c r="E2407" s="73"/>
      <c r="F2407" s="73"/>
      <c r="G2407" s="73"/>
      <c r="H2407" s="73"/>
      <c r="I2407" s="73"/>
      <c r="J2407" s="33"/>
      <c r="K2407" s="33"/>
      <c r="L2407" s="33"/>
      <c r="M2407" s="33"/>
      <c r="N2407" s="73"/>
      <c r="O2407" s="73"/>
      <c r="P2407" s="73"/>
      <c r="Q2407" s="73"/>
      <c r="R2407" s="23"/>
      <c r="S2407" s="23"/>
      <c r="T2407" s="73"/>
      <c r="U2407" s="73"/>
      <c r="V2407" s="73"/>
    </row>
    <row r="2408" spans="2:22" x14ac:dyDescent="0.2">
      <c r="B2408" s="75"/>
      <c r="C2408" s="75"/>
      <c r="D2408" s="75"/>
      <c r="E2408" s="75"/>
      <c r="F2408" s="75"/>
      <c r="G2408" s="75"/>
      <c r="H2408" s="75"/>
      <c r="I2408" s="75"/>
      <c r="J2408" s="75"/>
      <c r="K2408" s="75"/>
      <c r="L2408" s="75"/>
      <c r="M2408" s="75"/>
      <c r="N2408" s="75"/>
      <c r="O2408" s="75"/>
      <c r="P2408" s="75"/>
      <c r="Q2408" s="75"/>
      <c r="R2408" s="75"/>
      <c r="S2408" s="75"/>
      <c r="T2408" s="75"/>
      <c r="U2408" s="75"/>
      <c r="V2408" s="75"/>
    </row>
    <row r="2409" spans="2:22" x14ac:dyDescent="0.2">
      <c r="B2409" s="76"/>
      <c r="C2409" s="76"/>
      <c r="D2409" s="76"/>
      <c r="E2409" s="76"/>
      <c r="F2409" s="76"/>
      <c r="G2409" s="76"/>
      <c r="H2409" s="76"/>
      <c r="I2409" s="76"/>
      <c r="J2409" s="76"/>
      <c r="K2409" s="76"/>
      <c r="L2409" s="76"/>
      <c r="M2409" s="76"/>
      <c r="N2409" s="76"/>
      <c r="O2409" s="76"/>
      <c r="P2409" s="76"/>
      <c r="Q2409" s="76"/>
      <c r="R2409" s="76"/>
      <c r="S2409" s="76"/>
      <c r="T2409" s="76"/>
      <c r="U2409" s="76"/>
      <c r="V2409" s="76"/>
    </row>
    <row r="2410" spans="2:22" x14ac:dyDescent="0.2">
      <c r="B2410" s="73"/>
      <c r="C2410" s="33"/>
      <c r="D2410" s="23"/>
      <c r="E2410" s="73"/>
      <c r="F2410" s="73"/>
      <c r="G2410" s="73"/>
      <c r="H2410" s="73"/>
      <c r="I2410" s="73"/>
      <c r="J2410" s="33"/>
      <c r="K2410" s="33"/>
      <c r="L2410" s="33"/>
      <c r="M2410" s="33"/>
      <c r="N2410" s="73"/>
      <c r="O2410" s="73"/>
      <c r="P2410" s="73"/>
      <c r="Q2410" s="73"/>
      <c r="R2410" s="23"/>
      <c r="S2410" s="23"/>
      <c r="T2410" s="73"/>
      <c r="U2410" s="73"/>
      <c r="V2410" s="73"/>
    </row>
    <row r="2411" spans="2:22" x14ac:dyDescent="0.2">
      <c r="B2411" s="73"/>
      <c r="C2411" s="33"/>
      <c r="D2411" s="23"/>
      <c r="E2411" s="73"/>
      <c r="F2411" s="73"/>
      <c r="G2411" s="73"/>
      <c r="H2411" s="73"/>
      <c r="I2411" s="73"/>
      <c r="J2411" s="33"/>
      <c r="K2411" s="33"/>
      <c r="L2411" s="33"/>
      <c r="M2411" s="33"/>
      <c r="N2411" s="73"/>
      <c r="O2411" s="73"/>
      <c r="P2411" s="73"/>
      <c r="Q2411" s="73"/>
      <c r="R2411" s="23"/>
      <c r="S2411" s="23"/>
      <c r="T2411" s="73"/>
      <c r="U2411" s="73"/>
      <c r="V2411" s="73"/>
    </row>
    <row r="2412" spans="2:22" x14ac:dyDescent="0.2">
      <c r="B2412" s="75"/>
      <c r="C2412" s="75"/>
      <c r="D2412" s="75"/>
      <c r="E2412" s="75"/>
      <c r="F2412" s="75"/>
      <c r="G2412" s="75"/>
      <c r="H2412" s="75"/>
      <c r="I2412" s="75"/>
      <c r="J2412" s="75"/>
      <c r="K2412" s="75"/>
      <c r="L2412" s="75"/>
      <c r="M2412" s="75"/>
      <c r="N2412" s="75"/>
      <c r="O2412" s="75"/>
      <c r="P2412" s="75"/>
      <c r="Q2412" s="75"/>
      <c r="R2412" s="75"/>
      <c r="S2412" s="75"/>
      <c r="T2412" s="75"/>
      <c r="U2412" s="75"/>
      <c r="V2412" s="75"/>
    </row>
    <row r="2413" spans="2:22" x14ac:dyDescent="0.2">
      <c r="B2413" s="76"/>
      <c r="C2413" s="76"/>
      <c r="D2413" s="76"/>
      <c r="E2413" s="76"/>
      <c r="F2413" s="76"/>
      <c r="G2413" s="76"/>
      <c r="H2413" s="76"/>
      <c r="I2413" s="76"/>
      <c r="J2413" s="76"/>
      <c r="K2413" s="76"/>
      <c r="L2413" s="76"/>
      <c r="M2413" s="76"/>
      <c r="N2413" s="76"/>
      <c r="O2413" s="76"/>
      <c r="P2413" s="76"/>
      <c r="Q2413" s="76"/>
      <c r="R2413" s="76"/>
      <c r="S2413" s="76"/>
      <c r="T2413" s="76"/>
      <c r="U2413" s="76"/>
      <c r="V2413" s="76"/>
    </row>
    <row r="2414" spans="2:22" x14ac:dyDescent="0.2">
      <c r="B2414" s="73"/>
      <c r="C2414" s="33"/>
      <c r="D2414" s="23"/>
      <c r="E2414" s="73"/>
      <c r="F2414" s="73"/>
      <c r="G2414" s="73"/>
      <c r="H2414" s="73"/>
      <c r="I2414" s="73"/>
      <c r="J2414" s="33"/>
      <c r="K2414" s="33"/>
      <c r="L2414" s="33"/>
      <c r="M2414" s="33"/>
      <c r="N2414" s="73"/>
      <c r="O2414" s="73"/>
      <c r="P2414" s="73"/>
      <c r="Q2414" s="73"/>
      <c r="R2414" s="23"/>
      <c r="S2414" s="23"/>
      <c r="T2414" s="73"/>
      <c r="U2414" s="73"/>
      <c r="V2414" s="73"/>
    </row>
    <row r="2415" spans="2:22" x14ac:dyDescent="0.2">
      <c r="B2415" s="73"/>
      <c r="C2415" s="33"/>
      <c r="D2415" s="23"/>
      <c r="E2415" s="73"/>
      <c r="F2415" s="73"/>
      <c r="G2415" s="73"/>
      <c r="H2415" s="73"/>
      <c r="I2415" s="73"/>
      <c r="J2415" s="33"/>
      <c r="K2415" s="33"/>
      <c r="L2415" s="33"/>
      <c r="M2415" s="33"/>
      <c r="N2415" s="73"/>
      <c r="O2415" s="73"/>
      <c r="P2415" s="73"/>
      <c r="Q2415" s="73"/>
      <c r="R2415" s="23"/>
      <c r="S2415" s="23"/>
      <c r="T2415" s="73"/>
      <c r="U2415" s="73"/>
      <c r="V2415" s="73"/>
    </row>
    <row r="2416" spans="2:22" x14ac:dyDescent="0.2">
      <c r="B2416" s="73"/>
      <c r="C2416" s="33"/>
      <c r="D2416" s="23"/>
      <c r="E2416" s="73"/>
      <c r="F2416" s="73"/>
      <c r="G2416" s="73"/>
      <c r="H2416" s="73"/>
      <c r="I2416" s="73"/>
      <c r="J2416" s="33"/>
      <c r="K2416" s="33"/>
      <c r="L2416" s="33"/>
      <c r="M2416" s="33"/>
      <c r="N2416" s="73"/>
      <c r="O2416" s="73"/>
      <c r="P2416" s="73"/>
      <c r="Q2416" s="73"/>
      <c r="R2416" s="23"/>
      <c r="S2416" s="23"/>
      <c r="T2416" s="73"/>
      <c r="U2416" s="73"/>
      <c r="V2416" s="73"/>
    </row>
    <row r="2417" spans="2:22" x14ac:dyDescent="0.2">
      <c r="B2417" s="75"/>
      <c r="C2417" s="75"/>
      <c r="D2417" s="75"/>
      <c r="E2417" s="75"/>
      <c r="F2417" s="75"/>
      <c r="G2417" s="75"/>
      <c r="H2417" s="75"/>
      <c r="I2417" s="75"/>
      <c r="J2417" s="75"/>
      <c r="K2417" s="75"/>
      <c r="L2417" s="75"/>
      <c r="M2417" s="75"/>
      <c r="N2417" s="75"/>
      <c r="O2417" s="75"/>
      <c r="P2417" s="75"/>
      <c r="Q2417" s="75"/>
      <c r="R2417" s="75"/>
      <c r="S2417" s="75"/>
      <c r="T2417" s="75"/>
      <c r="U2417" s="75"/>
      <c r="V2417" s="75"/>
    </row>
    <row r="2418" spans="2:22" x14ac:dyDescent="0.2">
      <c r="B2418" s="76"/>
      <c r="C2418" s="76"/>
      <c r="D2418" s="76"/>
      <c r="E2418" s="76"/>
      <c r="F2418" s="76"/>
      <c r="G2418" s="76"/>
      <c r="H2418" s="76"/>
      <c r="I2418" s="76"/>
      <c r="J2418" s="76"/>
      <c r="K2418" s="76"/>
      <c r="L2418" s="76"/>
      <c r="M2418" s="76"/>
      <c r="N2418" s="76"/>
      <c r="O2418" s="76"/>
      <c r="P2418" s="76"/>
      <c r="Q2418" s="76"/>
      <c r="R2418" s="76"/>
      <c r="S2418" s="76"/>
      <c r="T2418" s="76"/>
      <c r="U2418" s="76"/>
      <c r="V2418" s="76"/>
    </row>
    <row r="2419" spans="2:22" x14ac:dyDescent="0.2">
      <c r="B2419" s="73"/>
      <c r="C2419" s="33"/>
      <c r="D2419" s="23"/>
      <c r="E2419" s="73"/>
      <c r="F2419" s="73"/>
      <c r="G2419" s="73"/>
      <c r="H2419" s="73"/>
      <c r="I2419" s="73"/>
      <c r="J2419" s="33"/>
      <c r="K2419" s="33"/>
      <c r="L2419" s="33"/>
      <c r="M2419" s="33"/>
      <c r="N2419" s="73"/>
      <c r="O2419" s="73"/>
      <c r="P2419" s="73"/>
      <c r="Q2419" s="73"/>
      <c r="R2419" s="23"/>
      <c r="S2419" s="23"/>
      <c r="T2419" s="73"/>
      <c r="U2419" s="73"/>
      <c r="V2419" s="73"/>
    </row>
    <row r="2420" spans="2:22" x14ac:dyDescent="0.2">
      <c r="B2420" s="73"/>
      <c r="C2420" s="33"/>
      <c r="D2420" s="23"/>
      <c r="E2420" s="73"/>
      <c r="F2420" s="73"/>
      <c r="G2420" s="73"/>
      <c r="H2420" s="73"/>
      <c r="I2420" s="73"/>
      <c r="J2420" s="33"/>
      <c r="K2420" s="33"/>
      <c r="L2420" s="33"/>
      <c r="M2420" s="33"/>
      <c r="N2420" s="73"/>
      <c r="O2420" s="73"/>
      <c r="P2420" s="73"/>
      <c r="Q2420" s="73"/>
      <c r="R2420" s="23"/>
      <c r="S2420" s="23"/>
      <c r="T2420" s="73"/>
      <c r="U2420" s="73"/>
      <c r="V2420" s="73"/>
    </row>
    <row r="2421" spans="2:22" x14ac:dyDescent="0.2">
      <c r="B2421" s="75"/>
      <c r="C2421" s="75"/>
      <c r="D2421" s="75"/>
      <c r="E2421" s="75"/>
      <c r="F2421" s="75"/>
      <c r="G2421" s="75"/>
      <c r="H2421" s="75"/>
      <c r="I2421" s="75"/>
      <c r="J2421" s="75"/>
      <c r="K2421" s="75"/>
      <c r="L2421" s="75"/>
      <c r="M2421" s="75"/>
      <c r="N2421" s="75"/>
      <c r="O2421" s="75"/>
      <c r="P2421" s="75"/>
      <c r="Q2421" s="75"/>
      <c r="R2421" s="75"/>
      <c r="S2421" s="75"/>
      <c r="T2421" s="75"/>
      <c r="U2421" s="75"/>
      <c r="V2421" s="75"/>
    </row>
    <row r="2422" spans="2:22" x14ac:dyDescent="0.2">
      <c r="B2422" s="76"/>
      <c r="C2422" s="76"/>
      <c r="D2422" s="76"/>
      <c r="E2422" s="76"/>
      <c r="F2422" s="76"/>
      <c r="G2422" s="76"/>
      <c r="H2422" s="76"/>
      <c r="I2422" s="76"/>
      <c r="J2422" s="76"/>
      <c r="K2422" s="76"/>
      <c r="L2422" s="76"/>
      <c r="M2422" s="76"/>
      <c r="N2422" s="76"/>
      <c r="O2422" s="76"/>
      <c r="P2422" s="76"/>
      <c r="Q2422" s="76"/>
      <c r="R2422" s="76"/>
      <c r="S2422" s="76"/>
      <c r="T2422" s="76"/>
      <c r="U2422" s="76"/>
      <c r="V2422" s="76"/>
    </row>
    <row r="2423" spans="2:22" x14ac:dyDescent="0.2">
      <c r="B2423" s="73"/>
      <c r="C2423" s="33"/>
      <c r="D2423" s="23"/>
      <c r="E2423" s="73"/>
      <c r="F2423" s="73"/>
      <c r="G2423" s="73"/>
      <c r="H2423" s="73"/>
      <c r="I2423" s="73"/>
      <c r="J2423" s="33"/>
      <c r="K2423" s="33"/>
      <c r="L2423" s="33"/>
      <c r="M2423" s="33"/>
      <c r="N2423" s="73"/>
      <c r="O2423" s="73"/>
      <c r="P2423" s="73"/>
      <c r="Q2423" s="73"/>
      <c r="R2423" s="23"/>
      <c r="S2423" s="23"/>
      <c r="T2423" s="73"/>
      <c r="U2423" s="73"/>
      <c r="V2423" s="73"/>
    </row>
    <row r="2424" spans="2:22" x14ac:dyDescent="0.2">
      <c r="B2424" s="73"/>
      <c r="C2424" s="33"/>
      <c r="D2424" s="23"/>
      <c r="E2424" s="73"/>
      <c r="F2424" s="73"/>
      <c r="G2424" s="73"/>
      <c r="H2424" s="73"/>
      <c r="I2424" s="73"/>
      <c r="J2424" s="33"/>
      <c r="K2424" s="33"/>
      <c r="L2424" s="33"/>
      <c r="M2424" s="33"/>
      <c r="N2424" s="73"/>
      <c r="O2424" s="73"/>
      <c r="P2424" s="73"/>
      <c r="Q2424" s="73"/>
      <c r="R2424" s="23"/>
      <c r="S2424" s="23"/>
      <c r="T2424" s="73"/>
      <c r="U2424" s="73"/>
      <c r="V2424" s="73"/>
    </row>
    <row r="2425" spans="2:22" x14ac:dyDescent="0.2">
      <c r="B2425" s="75"/>
      <c r="C2425" s="75"/>
      <c r="D2425" s="75"/>
      <c r="E2425" s="75"/>
      <c r="F2425" s="75"/>
      <c r="G2425" s="75"/>
      <c r="H2425" s="75"/>
      <c r="I2425" s="75"/>
      <c r="J2425" s="75"/>
      <c r="K2425" s="75"/>
      <c r="L2425" s="75"/>
      <c r="M2425" s="75"/>
      <c r="N2425" s="75"/>
      <c r="O2425" s="75"/>
      <c r="P2425" s="75"/>
      <c r="Q2425" s="75"/>
      <c r="R2425" s="75"/>
      <c r="S2425" s="75"/>
      <c r="T2425" s="75"/>
      <c r="U2425" s="75"/>
      <c r="V2425" s="75"/>
    </row>
    <row r="2426" spans="2:22" x14ac:dyDescent="0.2">
      <c r="B2426" s="76"/>
      <c r="C2426" s="76"/>
      <c r="D2426" s="76"/>
      <c r="E2426" s="76"/>
      <c r="F2426" s="76"/>
      <c r="G2426" s="76"/>
      <c r="H2426" s="76"/>
      <c r="I2426" s="76"/>
      <c r="J2426" s="76"/>
      <c r="K2426" s="76"/>
      <c r="L2426" s="76"/>
      <c r="M2426" s="76"/>
      <c r="N2426" s="76"/>
      <c r="O2426" s="76"/>
      <c r="P2426" s="76"/>
      <c r="Q2426" s="76"/>
      <c r="R2426" s="76"/>
      <c r="S2426" s="76"/>
      <c r="T2426" s="76"/>
      <c r="U2426" s="76"/>
      <c r="V2426" s="76"/>
    </row>
    <row r="2427" spans="2:22" x14ac:dyDescent="0.2">
      <c r="B2427" s="73"/>
      <c r="C2427" s="33"/>
      <c r="D2427" s="23"/>
      <c r="E2427" s="73"/>
      <c r="F2427" s="73"/>
      <c r="G2427" s="73"/>
      <c r="H2427" s="73"/>
      <c r="I2427" s="73"/>
      <c r="J2427" s="33"/>
      <c r="K2427" s="33"/>
      <c r="L2427" s="33"/>
      <c r="M2427" s="33"/>
      <c r="N2427" s="73"/>
      <c r="O2427" s="73"/>
      <c r="P2427" s="73"/>
      <c r="Q2427" s="73"/>
      <c r="R2427" s="23"/>
      <c r="S2427" s="23"/>
      <c r="T2427" s="73"/>
      <c r="U2427" s="73"/>
      <c r="V2427" s="73"/>
    </row>
    <row r="2428" spans="2:22" x14ac:dyDescent="0.2">
      <c r="B2428" s="73"/>
      <c r="C2428" s="33"/>
      <c r="D2428" s="23"/>
      <c r="E2428" s="73"/>
      <c r="F2428" s="73"/>
      <c r="G2428" s="73"/>
      <c r="H2428" s="73"/>
      <c r="I2428" s="73"/>
      <c r="J2428" s="33"/>
      <c r="K2428" s="33"/>
      <c r="L2428" s="33"/>
      <c r="M2428" s="33"/>
      <c r="N2428" s="73"/>
      <c r="O2428" s="73"/>
      <c r="P2428" s="73"/>
      <c r="Q2428" s="73"/>
      <c r="R2428" s="23"/>
      <c r="S2428" s="23"/>
      <c r="T2428" s="73"/>
      <c r="U2428" s="73"/>
      <c r="V2428" s="73"/>
    </row>
    <row r="2429" spans="2:22" x14ac:dyDescent="0.2">
      <c r="B2429" s="73"/>
      <c r="C2429" s="33"/>
      <c r="D2429" s="23"/>
      <c r="E2429" s="73"/>
      <c r="F2429" s="73"/>
      <c r="G2429" s="73"/>
      <c r="H2429" s="73"/>
      <c r="I2429" s="73"/>
      <c r="J2429" s="33"/>
      <c r="K2429" s="33"/>
      <c r="L2429" s="33"/>
      <c r="M2429" s="33"/>
      <c r="N2429" s="73"/>
      <c r="O2429" s="73"/>
      <c r="P2429" s="73"/>
      <c r="Q2429" s="73"/>
      <c r="R2429" s="23"/>
      <c r="S2429" s="23"/>
      <c r="T2429" s="73"/>
      <c r="U2429" s="73"/>
      <c r="V2429" s="73"/>
    </row>
    <row r="2430" spans="2:22" x14ac:dyDescent="0.2">
      <c r="B2430" s="73"/>
      <c r="C2430" s="33"/>
      <c r="D2430" s="23"/>
      <c r="E2430" s="73"/>
      <c r="F2430" s="73"/>
      <c r="G2430" s="73"/>
      <c r="H2430" s="73"/>
      <c r="I2430" s="73"/>
      <c r="J2430" s="33"/>
      <c r="K2430" s="33"/>
      <c r="L2430" s="33"/>
      <c r="M2430" s="33"/>
      <c r="N2430" s="73"/>
      <c r="O2430" s="73"/>
      <c r="P2430" s="73"/>
      <c r="Q2430" s="73"/>
      <c r="R2430" s="23"/>
      <c r="S2430" s="23"/>
      <c r="T2430" s="73"/>
      <c r="U2430" s="73"/>
      <c r="V2430" s="73"/>
    </row>
    <row r="2431" spans="2:22" x14ac:dyDescent="0.2">
      <c r="B2431" s="73"/>
      <c r="C2431" s="33"/>
      <c r="D2431" s="23"/>
      <c r="E2431" s="73"/>
      <c r="F2431" s="73"/>
      <c r="G2431" s="73"/>
      <c r="H2431" s="73"/>
      <c r="I2431" s="73"/>
      <c r="J2431" s="33"/>
      <c r="K2431" s="33"/>
      <c r="L2431" s="33"/>
      <c r="M2431" s="33"/>
      <c r="N2431" s="73"/>
      <c r="O2431" s="73"/>
      <c r="P2431" s="73"/>
      <c r="Q2431" s="73"/>
      <c r="R2431" s="23"/>
      <c r="S2431" s="23"/>
      <c r="T2431" s="73"/>
      <c r="U2431" s="73"/>
      <c r="V2431" s="73"/>
    </row>
    <row r="2432" spans="2:22" x14ac:dyDescent="0.2">
      <c r="B2432" s="73"/>
      <c r="C2432" s="33"/>
      <c r="D2432" s="23"/>
      <c r="E2432" s="73"/>
      <c r="F2432" s="73"/>
      <c r="G2432" s="73"/>
      <c r="H2432" s="73"/>
      <c r="I2432" s="73"/>
      <c r="J2432" s="33"/>
      <c r="K2432" s="33"/>
      <c r="L2432" s="33"/>
      <c r="M2432" s="33"/>
      <c r="N2432" s="73"/>
      <c r="O2432" s="73"/>
      <c r="P2432" s="73"/>
      <c r="Q2432" s="73"/>
      <c r="R2432" s="23"/>
      <c r="S2432" s="23"/>
      <c r="T2432" s="73"/>
      <c r="U2432" s="73"/>
      <c r="V2432" s="73"/>
    </row>
    <row r="2433" spans="2:22" x14ac:dyDescent="0.2">
      <c r="B2433" s="75"/>
      <c r="C2433" s="75"/>
      <c r="D2433" s="75"/>
      <c r="E2433" s="75"/>
      <c r="F2433" s="75"/>
      <c r="G2433" s="75"/>
      <c r="H2433" s="75"/>
      <c r="I2433" s="75"/>
      <c r="J2433" s="75"/>
      <c r="K2433" s="75"/>
      <c r="L2433" s="75"/>
      <c r="M2433" s="75"/>
      <c r="N2433" s="75"/>
      <c r="O2433" s="75"/>
      <c r="P2433" s="75"/>
      <c r="Q2433" s="75"/>
      <c r="R2433" s="75"/>
      <c r="S2433" s="75"/>
      <c r="T2433" s="75"/>
      <c r="U2433" s="75"/>
      <c r="V2433" s="75"/>
    </row>
    <row r="2434" spans="2:22" x14ac:dyDescent="0.2">
      <c r="B2434" s="76"/>
      <c r="C2434" s="76"/>
      <c r="D2434" s="76"/>
      <c r="E2434" s="76"/>
      <c r="F2434" s="76"/>
      <c r="G2434" s="76"/>
      <c r="H2434" s="76"/>
      <c r="I2434" s="76"/>
      <c r="J2434" s="76"/>
      <c r="K2434" s="76"/>
      <c r="L2434" s="76"/>
      <c r="M2434" s="76"/>
      <c r="N2434" s="76"/>
      <c r="O2434" s="76"/>
      <c r="P2434" s="76"/>
      <c r="Q2434" s="76"/>
      <c r="R2434" s="76"/>
      <c r="S2434" s="76"/>
      <c r="T2434" s="76"/>
      <c r="U2434" s="76"/>
      <c r="V2434" s="76"/>
    </row>
    <row r="2435" spans="2:22" x14ac:dyDescent="0.2">
      <c r="B2435" s="73"/>
      <c r="C2435" s="33"/>
      <c r="D2435" s="23"/>
      <c r="E2435" s="73"/>
      <c r="F2435" s="73"/>
      <c r="G2435" s="73"/>
      <c r="H2435" s="73"/>
      <c r="I2435" s="73"/>
      <c r="J2435" s="33"/>
      <c r="K2435" s="33"/>
      <c r="L2435" s="33"/>
      <c r="M2435" s="33"/>
      <c r="N2435" s="73"/>
      <c r="O2435" s="73"/>
      <c r="P2435" s="73"/>
      <c r="Q2435" s="73"/>
      <c r="R2435" s="23"/>
      <c r="S2435" s="23"/>
      <c r="T2435" s="73"/>
      <c r="U2435" s="73"/>
      <c r="V2435" s="73"/>
    </row>
    <row r="2436" spans="2:22" ht="13.2" x14ac:dyDescent="0.25">
      <c r="B2436" s="19"/>
      <c r="C2436" s="19"/>
      <c r="D2436" s="19"/>
      <c r="E2436" s="19"/>
      <c r="F2436" s="19"/>
      <c r="G2436" s="19"/>
      <c r="H2436" s="19"/>
      <c r="I2436" s="19"/>
      <c r="J2436" s="19"/>
      <c r="K2436" s="19"/>
      <c r="L2436" s="19"/>
      <c r="M2436" s="19"/>
      <c r="N2436" s="19"/>
      <c r="O2436" s="19"/>
      <c r="P2436" s="19"/>
      <c r="Q2436" s="19"/>
      <c r="R2436" s="19"/>
      <c r="S2436" s="19"/>
      <c r="T2436" s="19"/>
      <c r="U2436" s="19"/>
      <c r="V2436" s="19"/>
    </row>
    <row r="2437" spans="2:22" ht="13.2" x14ac:dyDescent="0.25">
      <c r="B2437" s="19"/>
      <c r="C2437" s="19"/>
      <c r="D2437" s="19"/>
      <c r="E2437" s="19"/>
      <c r="F2437" s="19"/>
      <c r="G2437" s="19"/>
      <c r="H2437" s="19"/>
      <c r="I2437" s="19"/>
      <c r="J2437" s="19"/>
      <c r="K2437" s="19"/>
      <c r="L2437" s="19"/>
      <c r="M2437" s="19"/>
      <c r="N2437" s="19"/>
      <c r="O2437" s="19"/>
      <c r="P2437" s="19"/>
      <c r="Q2437" s="19"/>
      <c r="R2437" s="19"/>
      <c r="S2437" s="19"/>
      <c r="T2437" s="19"/>
      <c r="U2437" s="19"/>
      <c r="V2437" s="19"/>
    </row>
    <row r="2438" spans="2:22" ht="13.2" x14ac:dyDescent="0.25">
      <c r="B2438" s="19"/>
      <c r="C2438" s="19"/>
      <c r="D2438" s="19"/>
      <c r="E2438" s="19"/>
      <c r="F2438" s="19"/>
      <c r="G2438" s="19"/>
      <c r="H2438" s="19"/>
      <c r="I2438" s="19"/>
      <c r="J2438" s="19"/>
      <c r="K2438" s="19"/>
      <c r="L2438" s="19"/>
      <c r="M2438" s="19"/>
      <c r="N2438" s="19"/>
      <c r="O2438" s="19"/>
      <c r="P2438" s="19"/>
      <c r="Q2438" s="19"/>
      <c r="R2438" s="19"/>
      <c r="S2438" s="19"/>
      <c r="T2438" s="19"/>
      <c r="U2438" s="19"/>
      <c r="V2438" s="19"/>
    </row>
    <row r="2439" spans="2:22" ht="13.2" x14ac:dyDescent="0.25">
      <c r="B2439" s="19"/>
      <c r="C2439" s="19"/>
      <c r="D2439" s="19"/>
      <c r="E2439" s="19"/>
      <c r="F2439" s="19"/>
      <c r="G2439" s="19"/>
      <c r="H2439" s="19"/>
      <c r="I2439" s="19"/>
      <c r="J2439" s="19"/>
      <c r="K2439" s="19"/>
      <c r="L2439" s="19"/>
      <c r="M2439" s="19"/>
      <c r="N2439" s="19"/>
      <c r="O2439" s="19"/>
      <c r="P2439" s="19"/>
      <c r="Q2439" s="19"/>
      <c r="R2439" s="19"/>
      <c r="S2439" s="19"/>
      <c r="T2439" s="19"/>
      <c r="U2439" s="19"/>
      <c r="V2439" s="19"/>
    </row>
    <row r="2440" spans="2:22" ht="13.2" x14ac:dyDescent="0.25">
      <c r="B2440" s="19"/>
      <c r="C2440" s="19"/>
      <c r="D2440" s="19"/>
      <c r="E2440" s="19"/>
      <c r="F2440" s="19"/>
      <c r="G2440" s="19"/>
      <c r="H2440" s="19"/>
      <c r="I2440" s="19"/>
      <c r="J2440" s="19"/>
      <c r="K2440" s="19"/>
      <c r="L2440" s="19"/>
      <c r="M2440" s="19"/>
      <c r="N2440" s="19"/>
      <c r="O2440" s="19"/>
      <c r="P2440" s="19"/>
      <c r="Q2440" s="19"/>
      <c r="R2440" s="19"/>
      <c r="S2440" s="19"/>
      <c r="T2440" s="19"/>
      <c r="U2440" s="19"/>
      <c r="V2440" s="19"/>
    </row>
    <row r="2441" spans="2:22" ht="13.2" x14ac:dyDescent="0.25">
      <c r="B2441" s="19"/>
      <c r="C2441" s="19"/>
      <c r="D2441" s="19"/>
      <c r="E2441" s="19"/>
      <c r="F2441" s="19"/>
      <c r="G2441" s="19"/>
      <c r="H2441" s="19"/>
      <c r="I2441" s="19"/>
      <c r="J2441" s="19"/>
      <c r="K2441" s="19"/>
      <c r="L2441" s="19"/>
      <c r="M2441" s="19"/>
      <c r="N2441" s="19"/>
      <c r="O2441" s="19"/>
      <c r="P2441" s="19"/>
      <c r="Q2441" s="19"/>
      <c r="R2441" s="19"/>
      <c r="S2441" s="19"/>
      <c r="T2441" s="19"/>
      <c r="U2441" s="19"/>
      <c r="V2441" s="19"/>
    </row>
    <row r="2442" spans="2:22" ht="13.2" x14ac:dyDescent="0.25">
      <c r="B2442" s="19"/>
      <c r="C2442" s="19"/>
      <c r="D2442" s="19"/>
      <c r="E2442" s="19"/>
      <c r="F2442" s="19"/>
      <c r="G2442" s="19"/>
      <c r="H2442" s="19"/>
      <c r="I2442" s="19"/>
      <c r="J2442" s="19"/>
      <c r="K2442" s="19"/>
      <c r="L2442" s="19"/>
      <c r="M2442" s="19"/>
      <c r="N2442" s="19"/>
      <c r="O2442" s="19"/>
      <c r="P2442" s="19"/>
      <c r="Q2442" s="19"/>
      <c r="R2442" s="19"/>
      <c r="S2442" s="19"/>
      <c r="T2442" s="19"/>
      <c r="U2442" s="19"/>
      <c r="V2442" s="19"/>
    </row>
    <row r="2443" spans="2:22" ht="13.2" x14ac:dyDescent="0.25">
      <c r="B2443" s="19"/>
      <c r="C2443" s="19"/>
      <c r="D2443" s="19"/>
      <c r="E2443" s="19"/>
      <c r="F2443" s="19"/>
      <c r="G2443" s="19"/>
      <c r="H2443" s="19"/>
      <c r="I2443" s="19"/>
      <c r="J2443" s="19"/>
      <c r="K2443" s="19"/>
      <c r="L2443" s="19"/>
      <c r="M2443" s="19"/>
      <c r="N2443" s="19"/>
      <c r="O2443" s="19"/>
      <c r="P2443" s="19"/>
      <c r="Q2443" s="19"/>
      <c r="R2443" s="19"/>
      <c r="S2443" s="19"/>
      <c r="T2443" s="19"/>
      <c r="U2443" s="19"/>
      <c r="V2443" s="19"/>
    </row>
    <row r="2444" spans="2:22" ht="13.2" x14ac:dyDescent="0.25">
      <c r="B2444" s="19"/>
      <c r="C2444" s="19"/>
      <c r="D2444" s="19"/>
      <c r="E2444" s="19"/>
      <c r="F2444" s="19"/>
      <c r="G2444" s="19"/>
      <c r="H2444" s="19"/>
      <c r="I2444" s="19"/>
      <c r="J2444" s="19"/>
      <c r="K2444" s="19"/>
      <c r="L2444" s="19"/>
      <c r="M2444" s="19"/>
      <c r="N2444" s="19"/>
      <c r="O2444" s="19"/>
      <c r="P2444" s="19"/>
      <c r="Q2444" s="19"/>
      <c r="R2444" s="19"/>
      <c r="S2444" s="19"/>
      <c r="T2444" s="19"/>
      <c r="U2444" s="19"/>
      <c r="V2444" s="19"/>
    </row>
    <row r="2445" spans="2:22" ht="13.2" x14ac:dyDescent="0.25">
      <c r="B2445" s="19"/>
      <c r="C2445" s="19"/>
      <c r="D2445" s="19"/>
      <c r="E2445" s="19"/>
      <c r="F2445" s="19"/>
      <c r="G2445" s="19"/>
      <c r="H2445" s="19"/>
      <c r="I2445" s="19"/>
      <c r="J2445" s="19"/>
      <c r="K2445" s="19"/>
      <c r="L2445" s="19"/>
      <c r="M2445" s="19"/>
      <c r="N2445" s="19"/>
      <c r="O2445" s="19"/>
      <c r="P2445" s="19"/>
      <c r="Q2445" s="19"/>
      <c r="R2445" s="19"/>
      <c r="S2445" s="19"/>
      <c r="T2445" s="19"/>
      <c r="U2445" s="19"/>
      <c r="V2445" s="19"/>
    </row>
    <row r="2446" spans="2:22" ht="13.2" x14ac:dyDescent="0.25">
      <c r="B2446" s="19"/>
      <c r="C2446" s="19"/>
      <c r="D2446" s="19"/>
      <c r="E2446" s="19"/>
      <c r="F2446" s="19"/>
      <c r="G2446" s="19"/>
      <c r="H2446" s="19"/>
      <c r="I2446" s="19"/>
      <c r="J2446" s="19"/>
      <c r="K2446" s="19"/>
      <c r="L2446" s="19"/>
      <c r="M2446" s="19"/>
      <c r="N2446" s="19"/>
      <c r="O2446" s="19"/>
      <c r="P2446" s="19"/>
      <c r="Q2446" s="19"/>
      <c r="R2446" s="19"/>
      <c r="S2446" s="19"/>
      <c r="T2446" s="19"/>
      <c r="U2446" s="19"/>
      <c r="V2446" s="19"/>
    </row>
    <row r="2447" spans="2:22" ht="13.2" x14ac:dyDescent="0.25">
      <c r="B2447" s="19"/>
      <c r="C2447" s="19"/>
      <c r="D2447" s="19"/>
      <c r="E2447" s="19"/>
      <c r="F2447" s="19"/>
      <c r="G2447" s="19"/>
      <c r="H2447" s="19"/>
      <c r="I2447" s="19"/>
      <c r="J2447" s="19"/>
      <c r="K2447" s="19"/>
      <c r="L2447" s="19"/>
      <c r="M2447" s="19"/>
      <c r="N2447" s="19"/>
      <c r="O2447" s="19"/>
      <c r="P2447" s="19"/>
      <c r="Q2447" s="19"/>
      <c r="R2447" s="19"/>
      <c r="S2447" s="19"/>
      <c r="T2447" s="19"/>
      <c r="U2447" s="19"/>
      <c r="V2447" s="19"/>
    </row>
    <row r="2448" spans="2:22" ht="13.2" x14ac:dyDescent="0.25">
      <c r="B2448" s="19"/>
      <c r="C2448" s="19"/>
      <c r="D2448" s="19"/>
      <c r="E2448" s="19"/>
      <c r="F2448" s="19"/>
      <c r="G2448" s="19"/>
      <c r="H2448" s="19"/>
      <c r="I2448" s="19"/>
      <c r="J2448" s="19"/>
      <c r="K2448" s="19"/>
      <c r="L2448" s="19"/>
      <c r="M2448" s="19"/>
      <c r="N2448" s="19"/>
      <c r="O2448" s="19"/>
      <c r="P2448" s="19"/>
      <c r="Q2448" s="19"/>
      <c r="R2448" s="19"/>
      <c r="S2448" s="19"/>
      <c r="T2448" s="19"/>
      <c r="U2448" s="19"/>
      <c r="V2448" s="19"/>
    </row>
    <row r="2449" spans="2:22" ht="13.2" x14ac:dyDescent="0.25">
      <c r="B2449" s="19"/>
      <c r="C2449" s="19"/>
      <c r="D2449" s="19"/>
      <c r="E2449" s="19"/>
      <c r="F2449" s="19"/>
      <c r="G2449" s="19"/>
      <c r="H2449" s="19"/>
      <c r="I2449" s="19"/>
      <c r="J2449" s="19"/>
      <c r="K2449" s="19"/>
      <c r="L2449" s="19"/>
      <c r="M2449" s="19"/>
      <c r="N2449" s="19"/>
      <c r="O2449" s="19"/>
      <c r="P2449" s="19"/>
      <c r="Q2449" s="19"/>
      <c r="R2449" s="19"/>
      <c r="S2449" s="19"/>
      <c r="T2449" s="19"/>
      <c r="U2449" s="19"/>
      <c r="V2449" s="19"/>
    </row>
    <row r="2450" spans="2:22" ht="13.2" x14ac:dyDescent="0.25">
      <c r="B2450" s="19"/>
      <c r="C2450" s="19"/>
      <c r="D2450" s="19"/>
      <c r="E2450" s="19"/>
      <c r="F2450" s="19"/>
      <c r="G2450" s="19"/>
      <c r="H2450" s="19"/>
      <c r="I2450" s="19"/>
      <c r="J2450" s="19"/>
      <c r="K2450" s="19"/>
      <c r="L2450" s="19"/>
      <c r="M2450" s="19"/>
      <c r="N2450" s="19"/>
      <c r="O2450" s="19"/>
      <c r="P2450" s="19"/>
      <c r="Q2450" s="19"/>
      <c r="R2450" s="19"/>
      <c r="S2450" s="19"/>
      <c r="T2450" s="19"/>
      <c r="U2450" s="19"/>
      <c r="V2450" s="19"/>
    </row>
    <row r="2451" spans="2:22" ht="13.2" x14ac:dyDescent="0.25">
      <c r="B2451" s="19"/>
      <c r="C2451" s="19"/>
      <c r="D2451" s="19"/>
      <c r="E2451" s="19"/>
      <c r="F2451" s="19"/>
      <c r="G2451" s="19"/>
      <c r="H2451" s="19"/>
      <c r="I2451" s="19"/>
      <c r="J2451" s="19"/>
      <c r="K2451" s="19"/>
      <c r="L2451" s="19"/>
      <c r="M2451" s="19"/>
      <c r="N2451" s="19"/>
      <c r="O2451" s="19"/>
      <c r="P2451" s="19"/>
      <c r="Q2451" s="19"/>
      <c r="R2451" s="19"/>
      <c r="S2451" s="19"/>
      <c r="T2451" s="19"/>
      <c r="U2451" s="19"/>
      <c r="V2451" s="19"/>
    </row>
    <row r="2452" spans="2:22" ht="13.2" x14ac:dyDescent="0.25">
      <c r="B2452" s="19"/>
      <c r="C2452" s="19"/>
      <c r="D2452" s="19"/>
      <c r="E2452" s="19"/>
      <c r="F2452" s="19"/>
      <c r="G2452" s="19"/>
      <c r="H2452" s="19"/>
      <c r="I2452" s="19"/>
      <c r="J2452" s="19"/>
      <c r="K2452" s="19"/>
      <c r="L2452" s="19"/>
      <c r="M2452" s="19"/>
      <c r="N2452" s="19"/>
      <c r="O2452" s="19"/>
      <c r="P2452" s="19"/>
      <c r="Q2452" s="19"/>
      <c r="R2452" s="19"/>
      <c r="S2452" s="19"/>
      <c r="T2452" s="19"/>
      <c r="U2452" s="19"/>
      <c r="V2452" s="19"/>
    </row>
    <row r="2453" spans="2:22" ht="13.2" x14ac:dyDescent="0.25">
      <c r="B2453" s="19"/>
      <c r="C2453" s="19"/>
      <c r="D2453" s="19"/>
      <c r="E2453" s="19"/>
      <c r="F2453" s="19"/>
      <c r="G2453" s="19"/>
      <c r="H2453" s="19"/>
      <c r="I2453" s="19"/>
      <c r="J2453" s="19"/>
      <c r="K2453" s="19"/>
      <c r="L2453" s="19"/>
      <c r="M2453" s="19"/>
      <c r="N2453" s="19"/>
      <c r="O2453" s="19"/>
      <c r="P2453" s="19"/>
      <c r="Q2453" s="19"/>
      <c r="R2453" s="19"/>
      <c r="S2453" s="19"/>
      <c r="T2453" s="19"/>
      <c r="U2453" s="19"/>
      <c r="V2453" s="19"/>
    </row>
    <row r="2454" spans="2:22" ht="13.2" x14ac:dyDescent="0.25">
      <c r="B2454" s="19"/>
      <c r="C2454" s="19"/>
      <c r="D2454" s="19"/>
      <c r="E2454" s="19"/>
      <c r="F2454" s="19"/>
      <c r="G2454" s="19"/>
      <c r="H2454" s="19"/>
      <c r="I2454" s="19"/>
      <c r="J2454" s="19"/>
      <c r="K2454" s="19"/>
      <c r="L2454" s="19"/>
      <c r="M2454" s="19"/>
      <c r="N2454" s="19"/>
      <c r="O2454" s="19"/>
      <c r="P2454" s="19"/>
      <c r="Q2454" s="19"/>
      <c r="R2454" s="19"/>
      <c r="S2454" s="19"/>
      <c r="T2454" s="19"/>
      <c r="U2454" s="19"/>
      <c r="V2454" s="19"/>
    </row>
    <row r="2455" spans="2:22" ht="13.2" x14ac:dyDescent="0.25">
      <c r="B2455" s="19"/>
      <c r="C2455" s="19"/>
      <c r="D2455" s="19"/>
      <c r="E2455" s="19"/>
      <c r="F2455" s="19"/>
      <c r="G2455" s="19"/>
      <c r="H2455" s="19"/>
      <c r="I2455" s="19"/>
      <c r="J2455" s="19"/>
      <c r="K2455" s="19"/>
      <c r="L2455" s="19"/>
      <c r="M2455" s="19"/>
      <c r="N2455" s="19"/>
      <c r="O2455" s="19"/>
      <c r="P2455" s="19"/>
      <c r="Q2455" s="19"/>
      <c r="R2455" s="19"/>
      <c r="S2455" s="19"/>
      <c r="T2455" s="19"/>
      <c r="U2455" s="19"/>
      <c r="V2455" s="19"/>
    </row>
    <row r="2456" spans="2:22" ht="13.2" x14ac:dyDescent="0.25">
      <c r="B2456" s="19"/>
      <c r="C2456" s="19"/>
      <c r="D2456" s="19"/>
      <c r="E2456" s="19"/>
      <c r="F2456" s="19"/>
      <c r="G2456" s="19"/>
      <c r="H2456" s="19"/>
      <c r="I2456" s="19"/>
      <c r="J2456" s="19"/>
      <c r="K2456" s="19"/>
      <c r="L2456" s="19"/>
      <c r="M2456" s="19"/>
      <c r="N2456" s="19"/>
      <c r="O2456" s="19"/>
      <c r="P2456" s="19"/>
      <c r="Q2456" s="19"/>
      <c r="R2456" s="19"/>
      <c r="S2456" s="19"/>
      <c r="T2456" s="19"/>
      <c r="U2456" s="19"/>
      <c r="V2456" s="19"/>
    </row>
    <row r="2457" spans="2:22" ht="13.2" x14ac:dyDescent="0.25">
      <c r="B2457" s="19"/>
      <c r="C2457" s="19"/>
      <c r="D2457" s="19"/>
      <c r="E2457" s="19"/>
      <c r="F2457" s="19"/>
      <c r="G2457" s="19"/>
      <c r="H2457" s="19"/>
      <c r="I2457" s="19"/>
      <c r="J2457" s="19"/>
      <c r="K2457" s="19"/>
      <c r="L2457" s="19"/>
      <c r="M2457" s="19"/>
      <c r="N2457" s="19"/>
      <c r="O2457" s="19"/>
      <c r="P2457" s="19"/>
      <c r="Q2457" s="19"/>
      <c r="R2457" s="19"/>
      <c r="S2457" s="19"/>
      <c r="T2457" s="19"/>
      <c r="U2457" s="19"/>
      <c r="V2457" s="19"/>
    </row>
    <row r="2458" spans="2:22" ht="13.2" x14ac:dyDescent="0.25">
      <c r="B2458" s="19"/>
      <c r="C2458" s="19"/>
      <c r="D2458" s="19"/>
      <c r="E2458" s="19"/>
      <c r="F2458" s="19"/>
      <c r="G2458" s="19"/>
      <c r="H2458" s="19"/>
      <c r="I2458" s="19"/>
      <c r="J2458" s="19"/>
      <c r="K2458" s="19"/>
      <c r="L2458" s="19"/>
      <c r="M2458" s="19"/>
      <c r="N2458" s="19"/>
      <c r="O2458" s="19"/>
      <c r="P2458" s="19"/>
      <c r="Q2458" s="19"/>
      <c r="R2458" s="19"/>
      <c r="S2458" s="19"/>
      <c r="T2458" s="19"/>
      <c r="U2458" s="19"/>
      <c r="V2458" s="19"/>
    </row>
    <row r="2459" spans="2:22" ht="13.2" x14ac:dyDescent="0.25">
      <c r="B2459" s="19"/>
      <c r="C2459" s="19"/>
      <c r="D2459" s="19"/>
      <c r="E2459" s="19"/>
      <c r="F2459" s="19"/>
      <c r="G2459" s="19"/>
      <c r="H2459" s="19"/>
      <c r="I2459" s="19"/>
      <c r="J2459" s="19"/>
      <c r="K2459" s="19"/>
      <c r="L2459" s="19"/>
      <c r="M2459" s="19"/>
      <c r="N2459" s="19"/>
      <c r="O2459" s="19"/>
      <c r="P2459" s="19"/>
      <c r="Q2459" s="19"/>
      <c r="R2459" s="19"/>
      <c r="S2459" s="19"/>
      <c r="T2459" s="19"/>
      <c r="U2459" s="19"/>
      <c r="V2459" s="19"/>
    </row>
    <row r="2460" spans="2:22" ht="13.2" x14ac:dyDescent="0.25">
      <c r="B2460" s="19"/>
      <c r="C2460" s="19"/>
      <c r="D2460" s="19"/>
      <c r="E2460" s="19"/>
      <c r="F2460" s="19"/>
      <c r="G2460" s="19"/>
      <c r="H2460" s="19"/>
      <c r="I2460" s="19"/>
      <c r="J2460" s="19"/>
      <c r="K2460" s="19"/>
      <c r="L2460" s="19"/>
      <c r="M2460" s="19"/>
      <c r="N2460" s="19"/>
      <c r="O2460" s="19"/>
      <c r="P2460" s="19"/>
      <c r="Q2460" s="19"/>
      <c r="R2460" s="19"/>
      <c r="S2460" s="19"/>
      <c r="T2460" s="19"/>
      <c r="U2460" s="19"/>
      <c r="V2460" s="19"/>
    </row>
    <row r="2461" spans="2:22" ht="13.2" x14ac:dyDescent="0.25">
      <c r="B2461" s="19"/>
      <c r="C2461" s="19"/>
      <c r="D2461" s="19"/>
      <c r="E2461" s="19"/>
      <c r="F2461" s="19"/>
      <c r="G2461" s="19"/>
      <c r="H2461" s="19"/>
      <c r="I2461" s="19"/>
      <c r="J2461" s="19"/>
      <c r="K2461" s="19"/>
      <c r="L2461" s="19"/>
      <c r="M2461" s="19"/>
      <c r="N2461" s="19"/>
      <c r="O2461" s="19"/>
      <c r="P2461" s="19"/>
      <c r="Q2461" s="19"/>
      <c r="R2461" s="19"/>
      <c r="S2461" s="19"/>
      <c r="T2461" s="19"/>
      <c r="U2461" s="19"/>
      <c r="V2461" s="19"/>
    </row>
    <row r="2462" spans="2:22" ht="13.2" x14ac:dyDescent="0.25">
      <c r="B2462" s="19"/>
      <c r="C2462" s="19"/>
      <c r="D2462" s="19"/>
      <c r="E2462" s="19"/>
      <c r="F2462" s="19"/>
      <c r="G2462" s="19"/>
      <c r="H2462" s="19"/>
      <c r="I2462" s="19"/>
      <c r="J2462" s="19"/>
      <c r="K2462" s="19"/>
      <c r="L2462" s="19"/>
      <c r="M2462" s="19"/>
      <c r="N2462" s="19"/>
      <c r="O2462" s="19"/>
      <c r="P2462" s="19"/>
      <c r="Q2462" s="19"/>
      <c r="R2462" s="19"/>
      <c r="S2462" s="19"/>
      <c r="T2462" s="19"/>
      <c r="U2462" s="19"/>
      <c r="V2462" s="19"/>
    </row>
    <row r="2463" spans="2:22" ht="13.2" x14ac:dyDescent="0.25">
      <c r="B2463" s="19"/>
      <c r="C2463" s="19"/>
      <c r="D2463" s="19"/>
      <c r="E2463" s="19"/>
      <c r="F2463" s="19"/>
      <c r="G2463" s="19"/>
      <c r="H2463" s="19"/>
      <c r="I2463" s="19"/>
      <c r="J2463" s="19"/>
      <c r="K2463" s="19"/>
      <c r="L2463" s="19"/>
      <c r="M2463" s="19"/>
      <c r="N2463" s="19"/>
      <c r="O2463" s="19"/>
      <c r="P2463" s="19"/>
      <c r="Q2463" s="19"/>
      <c r="R2463" s="19"/>
      <c r="S2463" s="19"/>
      <c r="T2463" s="19"/>
      <c r="U2463" s="19"/>
      <c r="V2463" s="19"/>
    </row>
    <row r="2464" spans="2:22" ht="13.2" x14ac:dyDescent="0.25">
      <c r="B2464" s="19"/>
      <c r="C2464" s="19"/>
      <c r="D2464" s="19"/>
      <c r="E2464" s="19"/>
      <c r="F2464" s="19"/>
      <c r="G2464" s="19"/>
      <c r="H2464" s="19"/>
      <c r="I2464" s="19"/>
      <c r="J2464" s="19"/>
      <c r="K2464" s="19"/>
      <c r="L2464" s="19"/>
      <c r="M2464" s="19"/>
      <c r="N2464" s="19"/>
      <c r="O2464" s="19"/>
      <c r="P2464" s="19"/>
      <c r="Q2464" s="19"/>
      <c r="R2464" s="19"/>
      <c r="S2464" s="19"/>
      <c r="T2464" s="19"/>
      <c r="U2464" s="19"/>
      <c r="V2464" s="19"/>
    </row>
    <row r="2465" spans="2:22" ht="13.2" x14ac:dyDescent="0.25">
      <c r="B2465" s="19"/>
      <c r="C2465" s="19"/>
      <c r="D2465" s="19"/>
      <c r="E2465" s="19"/>
      <c r="F2465" s="19"/>
      <c r="G2465" s="19"/>
      <c r="H2465" s="19"/>
      <c r="I2465" s="19"/>
      <c r="J2465" s="19"/>
      <c r="K2465" s="19"/>
      <c r="L2465" s="19"/>
      <c r="M2465" s="19"/>
      <c r="N2465" s="19"/>
      <c r="O2465" s="19"/>
      <c r="P2465" s="19"/>
      <c r="Q2465" s="19"/>
      <c r="R2465" s="19"/>
      <c r="S2465" s="19"/>
      <c r="T2465" s="19"/>
      <c r="U2465" s="19"/>
      <c r="V2465" s="19"/>
    </row>
    <row r="2466" spans="2:22" ht="13.2" x14ac:dyDescent="0.25">
      <c r="B2466" s="19"/>
      <c r="C2466" s="19"/>
      <c r="D2466" s="19"/>
      <c r="E2466" s="19"/>
      <c r="F2466" s="19"/>
      <c r="G2466" s="19"/>
      <c r="H2466" s="19"/>
      <c r="I2466" s="19"/>
      <c r="J2466" s="19"/>
      <c r="K2466" s="19"/>
      <c r="L2466" s="19"/>
      <c r="M2466" s="19"/>
      <c r="N2466" s="19"/>
      <c r="O2466" s="19"/>
      <c r="P2466" s="19"/>
      <c r="Q2466" s="19"/>
      <c r="R2466" s="19"/>
      <c r="S2466" s="19"/>
      <c r="T2466" s="19"/>
      <c r="U2466" s="19"/>
      <c r="V2466" s="19"/>
    </row>
    <row r="2467" spans="2:22" ht="13.2" x14ac:dyDescent="0.25">
      <c r="B2467" s="19"/>
      <c r="C2467" s="19"/>
      <c r="D2467" s="19"/>
      <c r="E2467" s="19"/>
      <c r="F2467" s="19"/>
      <c r="G2467" s="19"/>
      <c r="H2467" s="19"/>
      <c r="I2467" s="19"/>
      <c r="J2467" s="19"/>
      <c r="K2467" s="19"/>
      <c r="L2467" s="19"/>
      <c r="M2467" s="19"/>
      <c r="N2467" s="19"/>
      <c r="O2467" s="19"/>
      <c r="P2467" s="19"/>
      <c r="Q2467" s="19"/>
      <c r="R2467" s="19"/>
      <c r="S2467" s="19"/>
      <c r="T2467" s="19"/>
      <c r="U2467" s="19"/>
      <c r="V2467" s="19"/>
    </row>
    <row r="2468" spans="2:22" ht="13.2" x14ac:dyDescent="0.25">
      <c r="B2468" s="19"/>
      <c r="C2468" s="19"/>
      <c r="D2468" s="19"/>
      <c r="E2468" s="19"/>
      <c r="F2468" s="19"/>
      <c r="G2468" s="19"/>
      <c r="H2468" s="19"/>
      <c r="I2468" s="19"/>
      <c r="J2468" s="19"/>
      <c r="K2468" s="19"/>
      <c r="L2468" s="19"/>
      <c r="M2468" s="19"/>
      <c r="N2468" s="19"/>
      <c r="O2468" s="19"/>
      <c r="P2468" s="19"/>
      <c r="Q2468" s="19"/>
      <c r="R2468" s="19"/>
      <c r="S2468" s="19"/>
      <c r="T2468" s="19"/>
      <c r="U2468" s="19"/>
      <c r="V2468" s="19"/>
    </row>
    <row r="2469" spans="2:22" ht="13.2" x14ac:dyDescent="0.25">
      <c r="B2469" s="19"/>
      <c r="C2469" s="19"/>
      <c r="D2469" s="19"/>
      <c r="E2469" s="19"/>
      <c r="F2469" s="19"/>
      <c r="G2469" s="19"/>
      <c r="H2469" s="19"/>
      <c r="I2469" s="19"/>
      <c r="J2469" s="19"/>
      <c r="K2469" s="19"/>
      <c r="L2469" s="19"/>
      <c r="M2469" s="19"/>
      <c r="N2469" s="19"/>
      <c r="O2469" s="19"/>
      <c r="P2469" s="19"/>
      <c r="Q2469" s="19"/>
      <c r="R2469" s="19"/>
      <c r="S2469" s="19"/>
      <c r="T2469" s="19"/>
      <c r="U2469" s="19"/>
      <c r="V2469" s="19"/>
    </row>
    <row r="2470" spans="2:22" ht="13.2" x14ac:dyDescent="0.25">
      <c r="B2470" s="19"/>
      <c r="C2470" s="19"/>
      <c r="D2470" s="19"/>
      <c r="E2470" s="19"/>
      <c r="F2470" s="19"/>
      <c r="G2470" s="19"/>
      <c r="H2470" s="19"/>
      <c r="I2470" s="19"/>
      <c r="J2470" s="19"/>
      <c r="K2470" s="19"/>
      <c r="L2470" s="19"/>
      <c r="M2470" s="19"/>
      <c r="N2470" s="19"/>
      <c r="O2470" s="19"/>
      <c r="P2470" s="19"/>
      <c r="Q2470" s="19"/>
      <c r="R2470" s="19"/>
      <c r="S2470" s="19"/>
      <c r="T2470" s="19"/>
      <c r="U2470" s="19"/>
      <c r="V2470" s="19"/>
    </row>
    <row r="2471" spans="2:22" ht="13.2" x14ac:dyDescent="0.25">
      <c r="B2471" s="19"/>
      <c r="C2471" s="19"/>
      <c r="D2471" s="19"/>
      <c r="E2471" s="19"/>
      <c r="F2471" s="19"/>
      <c r="G2471" s="19"/>
      <c r="H2471" s="19"/>
      <c r="I2471" s="19"/>
      <c r="J2471" s="19"/>
      <c r="K2471" s="19"/>
      <c r="L2471" s="19"/>
      <c r="M2471" s="19"/>
      <c r="N2471" s="19"/>
      <c r="O2471" s="19"/>
      <c r="P2471" s="19"/>
      <c r="Q2471" s="19"/>
      <c r="R2471" s="19"/>
      <c r="S2471" s="19"/>
      <c r="T2471" s="19"/>
      <c r="U2471" s="19"/>
      <c r="V2471" s="19"/>
    </row>
    <row r="2472" spans="2:22" ht="13.2" x14ac:dyDescent="0.25">
      <c r="B2472" s="19"/>
      <c r="C2472" s="19"/>
      <c r="D2472" s="19"/>
      <c r="E2472" s="19"/>
      <c r="F2472" s="19"/>
      <c r="G2472" s="19"/>
      <c r="H2472" s="19"/>
      <c r="I2472" s="19"/>
      <c r="J2472" s="19"/>
      <c r="K2472" s="19"/>
      <c r="L2472" s="19"/>
      <c r="M2472" s="19"/>
      <c r="N2472" s="19"/>
      <c r="O2472" s="19"/>
      <c r="P2472" s="19"/>
      <c r="Q2472" s="19"/>
      <c r="R2472" s="19"/>
      <c r="S2472" s="19"/>
      <c r="T2472" s="19"/>
      <c r="U2472" s="19"/>
      <c r="V2472" s="19"/>
    </row>
    <row r="2473" spans="2:22" ht="13.2" x14ac:dyDescent="0.25">
      <c r="B2473" s="19"/>
      <c r="C2473" s="19"/>
      <c r="D2473" s="19"/>
      <c r="E2473" s="19"/>
      <c r="F2473" s="19"/>
      <c r="G2473" s="19"/>
      <c r="H2473" s="19"/>
      <c r="I2473" s="19"/>
      <c r="J2473" s="19"/>
      <c r="K2473" s="19"/>
      <c r="L2473" s="19"/>
      <c r="M2473" s="19"/>
      <c r="N2473" s="19"/>
      <c r="O2473" s="19"/>
      <c r="P2473" s="19"/>
      <c r="Q2473" s="19"/>
      <c r="R2473" s="19"/>
      <c r="S2473" s="19"/>
      <c r="T2473" s="19"/>
      <c r="U2473" s="19"/>
      <c r="V2473" s="19"/>
    </row>
    <row r="2474" spans="2:22" ht="13.2" x14ac:dyDescent="0.25">
      <c r="B2474" s="19"/>
      <c r="C2474" s="19"/>
      <c r="D2474" s="19"/>
      <c r="E2474" s="19"/>
      <c r="F2474" s="19"/>
      <c r="G2474" s="19"/>
      <c r="H2474" s="19"/>
      <c r="I2474" s="19"/>
      <c r="J2474" s="19"/>
      <c r="K2474" s="19"/>
      <c r="L2474" s="19"/>
      <c r="M2474" s="19"/>
      <c r="N2474" s="19"/>
      <c r="O2474" s="19"/>
      <c r="P2474" s="19"/>
      <c r="Q2474" s="19"/>
      <c r="R2474" s="19"/>
      <c r="S2474" s="19"/>
      <c r="T2474" s="19"/>
      <c r="U2474" s="19"/>
      <c r="V2474" s="19"/>
    </row>
    <row r="2475" spans="2:22" ht="13.2" x14ac:dyDescent="0.25">
      <c r="B2475" s="19"/>
      <c r="C2475" s="19"/>
      <c r="D2475" s="19"/>
      <c r="E2475" s="19"/>
      <c r="F2475" s="19"/>
      <c r="G2475" s="19"/>
      <c r="H2475" s="19"/>
      <c r="I2475" s="19"/>
      <c r="J2475" s="19"/>
      <c r="K2475" s="19"/>
      <c r="L2475" s="19"/>
      <c r="M2475" s="19"/>
      <c r="N2475" s="19"/>
      <c r="O2475" s="19"/>
      <c r="P2475" s="19"/>
      <c r="Q2475" s="19"/>
      <c r="R2475" s="19"/>
      <c r="S2475" s="19"/>
      <c r="T2475" s="19"/>
      <c r="U2475" s="19"/>
      <c r="V2475" s="19"/>
    </row>
    <row r="2476" spans="2:22" ht="13.2" x14ac:dyDescent="0.25">
      <c r="B2476" s="19"/>
      <c r="C2476" s="19"/>
      <c r="D2476" s="19"/>
      <c r="E2476" s="19"/>
      <c r="F2476" s="19"/>
      <c r="G2476" s="19"/>
      <c r="H2476" s="19"/>
      <c r="I2476" s="19"/>
      <c r="J2476" s="19"/>
      <c r="K2476" s="19"/>
      <c r="L2476" s="19"/>
      <c r="M2476" s="19"/>
      <c r="N2476" s="19"/>
      <c r="O2476" s="19"/>
      <c r="P2476" s="19"/>
      <c r="Q2476" s="19"/>
      <c r="R2476" s="19"/>
      <c r="S2476" s="19"/>
      <c r="T2476" s="19"/>
      <c r="U2476" s="19"/>
      <c r="V2476" s="19"/>
    </row>
    <row r="2477" spans="2:22" ht="13.2" x14ac:dyDescent="0.25">
      <c r="B2477" s="19"/>
      <c r="C2477" s="19"/>
      <c r="D2477" s="19"/>
      <c r="E2477" s="19"/>
      <c r="F2477" s="19"/>
      <c r="G2477" s="19"/>
      <c r="H2477" s="19"/>
      <c r="I2477" s="19"/>
      <c r="J2477" s="19"/>
      <c r="K2477" s="19"/>
      <c r="L2477" s="19"/>
      <c r="M2477" s="19"/>
      <c r="N2477" s="19"/>
      <c r="O2477" s="19"/>
      <c r="P2477" s="19"/>
      <c r="Q2477" s="19"/>
      <c r="R2477" s="19"/>
      <c r="S2477" s="19"/>
      <c r="T2477" s="19"/>
      <c r="U2477" s="19"/>
      <c r="V2477" s="19"/>
    </row>
    <row r="2478" spans="2:22" ht="13.2" x14ac:dyDescent="0.25">
      <c r="B2478" s="19"/>
      <c r="C2478" s="19"/>
      <c r="D2478" s="19"/>
      <c r="E2478" s="19"/>
      <c r="F2478" s="19"/>
      <c r="G2478" s="19"/>
      <c r="H2478" s="19"/>
      <c r="I2478" s="19"/>
      <c r="J2478" s="19"/>
      <c r="K2478" s="19"/>
      <c r="L2478" s="19"/>
      <c r="M2478" s="19"/>
      <c r="N2478" s="19"/>
      <c r="O2478" s="19"/>
      <c r="P2478" s="19"/>
      <c r="Q2478" s="19"/>
      <c r="R2478" s="19"/>
      <c r="S2478" s="19"/>
      <c r="T2478" s="19"/>
      <c r="U2478" s="19"/>
      <c r="V2478" s="19"/>
    </row>
    <row r="2479" spans="2:22" ht="13.2" x14ac:dyDescent="0.25">
      <c r="B2479" s="19"/>
      <c r="C2479" s="19"/>
      <c r="D2479" s="19"/>
      <c r="E2479" s="19"/>
      <c r="F2479" s="19"/>
      <c r="G2479" s="19"/>
      <c r="H2479" s="19"/>
      <c r="I2479" s="19"/>
      <c r="J2479" s="19"/>
      <c r="K2479" s="19"/>
      <c r="L2479" s="19"/>
      <c r="M2479" s="19"/>
      <c r="N2479" s="19"/>
      <c r="O2479" s="19"/>
      <c r="P2479" s="19"/>
      <c r="Q2479" s="19"/>
      <c r="R2479" s="19"/>
      <c r="S2479" s="19"/>
      <c r="T2479" s="19"/>
      <c r="U2479" s="19"/>
      <c r="V2479" s="19"/>
    </row>
    <row r="2480" spans="2:22" ht="13.2" x14ac:dyDescent="0.25">
      <c r="B2480" s="19"/>
      <c r="C2480" s="19"/>
      <c r="D2480" s="19"/>
      <c r="E2480" s="19"/>
      <c r="F2480" s="19"/>
      <c r="G2480" s="19"/>
      <c r="H2480" s="19"/>
      <c r="I2480" s="19"/>
      <c r="J2480" s="19"/>
      <c r="K2480" s="19"/>
      <c r="L2480" s="19"/>
      <c r="M2480" s="19"/>
      <c r="N2480" s="19"/>
      <c r="O2480" s="19"/>
      <c r="P2480" s="19"/>
      <c r="Q2480" s="19"/>
      <c r="R2480" s="19"/>
      <c r="S2480" s="19"/>
      <c r="T2480" s="19"/>
      <c r="U2480" s="19"/>
      <c r="V2480" s="19"/>
    </row>
    <row r="2481" spans="2:22" ht="13.2" x14ac:dyDescent="0.25">
      <c r="B2481" s="19"/>
      <c r="C2481" s="19"/>
      <c r="D2481" s="19"/>
      <c r="E2481" s="19"/>
      <c r="F2481" s="19"/>
      <c r="G2481" s="19"/>
      <c r="H2481" s="19"/>
      <c r="I2481" s="19"/>
      <c r="J2481" s="19"/>
      <c r="K2481" s="19"/>
      <c r="L2481" s="19"/>
      <c r="M2481" s="19"/>
      <c r="N2481" s="19"/>
      <c r="O2481" s="19"/>
      <c r="P2481" s="19"/>
      <c r="Q2481" s="19"/>
      <c r="R2481" s="19"/>
      <c r="S2481" s="19"/>
      <c r="T2481" s="19"/>
      <c r="U2481" s="19"/>
      <c r="V2481" s="19"/>
    </row>
    <row r="2482" spans="2:22" ht="13.2" x14ac:dyDescent="0.25">
      <c r="B2482" s="19"/>
      <c r="C2482" s="19"/>
      <c r="D2482" s="19"/>
      <c r="E2482" s="19"/>
      <c r="F2482" s="19"/>
      <c r="G2482" s="19"/>
      <c r="H2482" s="19"/>
      <c r="I2482" s="19"/>
      <c r="J2482" s="19"/>
      <c r="K2482" s="19"/>
      <c r="L2482" s="19"/>
      <c r="M2482" s="19"/>
      <c r="N2482" s="19"/>
      <c r="O2482" s="19"/>
      <c r="P2482" s="19"/>
      <c r="Q2482" s="19"/>
      <c r="R2482" s="19"/>
      <c r="S2482" s="19"/>
      <c r="T2482" s="19"/>
      <c r="U2482" s="19"/>
      <c r="V2482" s="19"/>
    </row>
    <row r="2483" spans="2:22" ht="13.2" x14ac:dyDescent="0.25">
      <c r="B2483" s="19"/>
      <c r="C2483" s="19"/>
      <c r="D2483" s="19"/>
      <c r="E2483" s="19"/>
      <c r="F2483" s="19"/>
      <c r="G2483" s="19"/>
      <c r="H2483" s="19"/>
      <c r="I2483" s="19"/>
      <c r="J2483" s="19"/>
      <c r="K2483" s="19"/>
      <c r="L2483" s="19"/>
      <c r="M2483" s="19"/>
      <c r="N2483" s="19"/>
      <c r="O2483" s="19"/>
      <c r="P2483" s="19"/>
      <c r="Q2483" s="19"/>
      <c r="R2483" s="19"/>
      <c r="S2483" s="19"/>
      <c r="T2483" s="19"/>
      <c r="U2483" s="19"/>
      <c r="V2483" s="19"/>
    </row>
    <row r="2484" spans="2:22" ht="13.2" x14ac:dyDescent="0.25">
      <c r="B2484" s="19"/>
      <c r="C2484" s="19"/>
      <c r="D2484" s="19"/>
      <c r="E2484" s="19"/>
      <c r="F2484" s="19"/>
      <c r="G2484" s="19"/>
      <c r="H2484" s="19"/>
      <c r="I2484" s="19"/>
      <c r="J2484" s="19"/>
      <c r="K2484" s="19"/>
      <c r="L2484" s="19"/>
      <c r="M2484" s="19"/>
      <c r="N2484" s="19"/>
      <c r="O2484" s="19"/>
      <c r="P2484" s="19"/>
      <c r="Q2484" s="19"/>
      <c r="R2484" s="19"/>
      <c r="S2484" s="19"/>
      <c r="T2484" s="19"/>
      <c r="U2484" s="19"/>
      <c r="V2484" s="19"/>
    </row>
    <row r="2485" spans="2:22" ht="13.2" x14ac:dyDescent="0.25">
      <c r="B2485" s="19"/>
      <c r="C2485" s="19"/>
      <c r="D2485" s="19"/>
      <c r="E2485" s="19"/>
      <c r="F2485" s="19"/>
      <c r="G2485" s="19"/>
      <c r="H2485" s="19"/>
      <c r="I2485" s="19"/>
      <c r="J2485" s="19"/>
      <c r="K2485" s="19"/>
      <c r="L2485" s="19"/>
      <c r="M2485" s="19"/>
      <c r="N2485" s="19"/>
      <c r="O2485" s="19"/>
      <c r="P2485" s="19"/>
      <c r="Q2485" s="19"/>
      <c r="R2485" s="19"/>
      <c r="S2485" s="19"/>
      <c r="T2485" s="19"/>
      <c r="U2485" s="19"/>
      <c r="V2485" s="19"/>
    </row>
    <row r="2486" spans="2:22" ht="13.2" x14ac:dyDescent="0.25">
      <c r="B2486" s="19"/>
      <c r="C2486" s="19"/>
      <c r="D2486" s="19"/>
      <c r="E2486" s="19"/>
      <c r="F2486" s="19"/>
      <c r="G2486" s="19"/>
      <c r="H2486" s="19"/>
      <c r="I2486" s="19"/>
      <c r="J2486" s="19"/>
      <c r="K2486" s="19"/>
      <c r="L2486" s="19"/>
      <c r="M2486" s="19"/>
      <c r="N2486" s="19"/>
      <c r="O2486" s="19"/>
      <c r="P2486" s="19"/>
      <c r="Q2486" s="19"/>
      <c r="R2486" s="19"/>
      <c r="S2486" s="19"/>
      <c r="T2486" s="19"/>
      <c r="U2486" s="19"/>
      <c r="V2486" s="19"/>
    </row>
    <row r="2487" spans="2:22" ht="13.2" x14ac:dyDescent="0.25">
      <c r="B2487" s="19"/>
      <c r="C2487" s="19"/>
      <c r="D2487" s="19"/>
      <c r="E2487" s="19"/>
      <c r="F2487" s="19"/>
      <c r="G2487" s="19"/>
      <c r="H2487" s="19"/>
      <c r="I2487" s="19"/>
      <c r="J2487" s="19"/>
      <c r="K2487" s="19"/>
      <c r="L2487" s="19"/>
      <c r="M2487" s="19"/>
      <c r="N2487" s="19"/>
      <c r="O2487" s="19"/>
      <c r="P2487" s="19"/>
      <c r="Q2487" s="19"/>
      <c r="R2487" s="19"/>
      <c r="S2487" s="19"/>
      <c r="T2487" s="19"/>
      <c r="U2487" s="19"/>
      <c r="V2487" s="19"/>
    </row>
    <row r="2488" spans="2:22" ht="13.2" x14ac:dyDescent="0.25">
      <c r="B2488" s="19"/>
      <c r="C2488" s="19"/>
      <c r="D2488" s="19"/>
      <c r="E2488" s="19"/>
      <c r="F2488" s="19"/>
      <c r="G2488" s="19"/>
      <c r="H2488" s="19"/>
      <c r="I2488" s="19"/>
      <c r="J2488" s="19"/>
      <c r="K2488" s="19"/>
      <c r="L2488" s="19"/>
      <c r="M2488" s="19"/>
      <c r="N2488" s="19"/>
      <c r="O2488" s="19"/>
      <c r="P2488" s="19"/>
      <c r="Q2488" s="19"/>
      <c r="R2488" s="19"/>
      <c r="S2488" s="19"/>
      <c r="T2488" s="19"/>
      <c r="U2488" s="19"/>
      <c r="V2488" s="19"/>
    </row>
    <row r="2489" spans="2:22" ht="13.2" x14ac:dyDescent="0.25">
      <c r="B2489" s="19"/>
      <c r="C2489" s="19"/>
      <c r="D2489" s="19"/>
      <c r="E2489" s="19"/>
      <c r="F2489" s="19"/>
      <c r="G2489" s="19"/>
      <c r="H2489" s="19"/>
      <c r="I2489" s="19"/>
      <c r="J2489" s="19"/>
      <c r="K2489" s="19"/>
      <c r="L2489" s="19"/>
      <c r="M2489" s="19"/>
      <c r="N2489" s="19"/>
      <c r="O2489" s="19"/>
      <c r="P2489" s="19"/>
      <c r="Q2489" s="19"/>
      <c r="R2489" s="19"/>
      <c r="S2489" s="19"/>
      <c r="T2489" s="19"/>
      <c r="U2489" s="19"/>
      <c r="V2489" s="19"/>
    </row>
    <row r="2490" spans="2:22" ht="13.2" x14ac:dyDescent="0.25">
      <c r="B2490" s="19"/>
      <c r="C2490" s="19"/>
      <c r="D2490" s="19"/>
      <c r="E2490" s="19"/>
      <c r="F2490" s="19"/>
      <c r="G2490" s="19"/>
      <c r="H2490" s="19"/>
      <c r="I2490" s="19"/>
      <c r="J2490" s="19"/>
      <c r="K2490" s="19"/>
      <c r="L2490" s="19"/>
      <c r="M2490" s="19"/>
      <c r="N2490" s="19"/>
      <c r="O2490" s="19"/>
      <c r="P2490" s="19"/>
      <c r="Q2490" s="19"/>
      <c r="R2490" s="19"/>
      <c r="S2490" s="19"/>
      <c r="T2490" s="19"/>
      <c r="U2490" s="19"/>
      <c r="V2490" s="19"/>
    </row>
    <row r="2491" spans="2:22" ht="13.2" x14ac:dyDescent="0.25">
      <c r="B2491" s="19"/>
      <c r="C2491" s="19"/>
      <c r="D2491" s="19"/>
      <c r="E2491" s="19"/>
      <c r="F2491" s="19"/>
      <c r="G2491" s="19"/>
      <c r="H2491" s="19"/>
      <c r="I2491" s="19"/>
      <c r="J2491" s="19"/>
      <c r="K2491" s="19"/>
      <c r="L2491" s="19"/>
      <c r="M2491" s="19"/>
      <c r="N2491" s="19"/>
      <c r="O2491" s="19"/>
      <c r="P2491" s="19"/>
      <c r="Q2491" s="19"/>
      <c r="R2491" s="19"/>
      <c r="S2491" s="19"/>
      <c r="T2491" s="19"/>
      <c r="U2491" s="19"/>
      <c r="V2491" s="19"/>
    </row>
    <row r="2492" spans="2:22" ht="13.2" x14ac:dyDescent="0.25">
      <c r="B2492" s="19"/>
      <c r="C2492" s="19"/>
      <c r="D2492" s="19"/>
      <c r="E2492" s="19"/>
      <c r="F2492" s="19"/>
      <c r="G2492" s="19"/>
      <c r="H2492" s="19"/>
      <c r="I2492" s="19"/>
      <c r="J2492" s="19"/>
      <c r="K2492" s="19"/>
      <c r="L2492" s="19"/>
      <c r="M2492" s="19"/>
      <c r="N2492" s="19"/>
      <c r="O2492" s="19"/>
      <c r="P2492" s="19"/>
      <c r="Q2492" s="19"/>
      <c r="R2492" s="19"/>
      <c r="S2492" s="19"/>
      <c r="T2492" s="19"/>
      <c r="U2492" s="19"/>
      <c r="V2492" s="19"/>
    </row>
    <row r="2493" spans="2:22" ht="13.2" x14ac:dyDescent="0.25">
      <c r="B2493" s="19"/>
      <c r="C2493" s="19"/>
      <c r="D2493" s="19"/>
      <c r="E2493" s="19"/>
      <c r="F2493" s="19"/>
      <c r="G2493" s="19"/>
      <c r="H2493" s="19"/>
      <c r="I2493" s="19"/>
      <c r="J2493" s="19"/>
      <c r="K2493" s="19"/>
      <c r="L2493" s="19"/>
      <c r="M2493" s="19"/>
      <c r="N2493" s="19"/>
      <c r="O2493" s="19"/>
      <c r="P2493" s="19"/>
      <c r="Q2493" s="19"/>
      <c r="R2493" s="19"/>
      <c r="S2493" s="19"/>
      <c r="T2493" s="19"/>
      <c r="U2493" s="19"/>
      <c r="V2493" s="19"/>
    </row>
    <row r="2494" spans="2:22" ht="13.2" x14ac:dyDescent="0.25">
      <c r="B2494" s="19"/>
      <c r="C2494" s="19"/>
      <c r="D2494" s="19"/>
      <c r="E2494" s="19"/>
      <c r="F2494" s="19"/>
      <c r="G2494" s="19"/>
      <c r="H2494" s="19"/>
      <c r="I2494" s="19"/>
      <c r="J2494" s="19"/>
      <c r="K2494" s="19"/>
      <c r="L2494" s="19"/>
      <c r="M2494" s="19"/>
      <c r="N2494" s="19"/>
      <c r="O2494" s="19"/>
      <c r="P2494" s="19"/>
      <c r="Q2494" s="19"/>
      <c r="R2494" s="19"/>
      <c r="S2494" s="19"/>
      <c r="T2494" s="19"/>
      <c r="U2494" s="19"/>
      <c r="V2494" s="19"/>
    </row>
    <row r="2495" spans="2:22" ht="13.2" x14ac:dyDescent="0.25">
      <c r="B2495" s="19"/>
      <c r="C2495" s="19"/>
      <c r="D2495" s="19"/>
      <c r="E2495" s="19"/>
      <c r="F2495" s="19"/>
      <c r="G2495" s="19"/>
      <c r="H2495" s="19"/>
      <c r="I2495" s="19"/>
      <c r="J2495" s="19"/>
      <c r="K2495" s="19"/>
      <c r="L2495" s="19"/>
      <c r="M2495" s="19"/>
      <c r="N2495" s="19"/>
      <c r="O2495" s="19"/>
      <c r="P2495" s="19"/>
      <c r="Q2495" s="19"/>
      <c r="R2495" s="19"/>
      <c r="S2495" s="19"/>
      <c r="T2495" s="19"/>
      <c r="U2495" s="19"/>
      <c r="V2495" s="19"/>
    </row>
    <row r="2496" spans="2:22" ht="13.2" x14ac:dyDescent="0.25">
      <c r="B2496" s="19"/>
      <c r="C2496" s="19"/>
      <c r="D2496" s="19"/>
      <c r="E2496" s="19"/>
      <c r="F2496" s="19"/>
      <c r="G2496" s="19"/>
      <c r="H2496" s="19"/>
      <c r="I2496" s="19"/>
      <c r="J2496" s="19"/>
      <c r="K2496" s="19"/>
      <c r="L2496" s="19"/>
      <c r="M2496" s="19"/>
      <c r="N2496" s="19"/>
      <c r="O2496" s="19"/>
      <c r="P2496" s="19"/>
      <c r="Q2496" s="19"/>
      <c r="R2496" s="19"/>
      <c r="S2496" s="19"/>
      <c r="T2496" s="19"/>
      <c r="U2496" s="19"/>
      <c r="V2496" s="19"/>
    </row>
    <row r="2497" spans="2:22" ht="13.2" x14ac:dyDescent="0.25">
      <c r="B2497" s="19"/>
      <c r="C2497" s="19"/>
      <c r="D2497" s="19"/>
      <c r="E2497" s="19"/>
      <c r="F2497" s="19"/>
      <c r="G2497" s="19"/>
      <c r="H2497" s="19"/>
      <c r="I2497" s="19"/>
      <c r="J2497" s="19"/>
      <c r="K2497" s="19"/>
      <c r="L2497" s="19"/>
      <c r="M2497" s="19"/>
      <c r="N2497" s="19"/>
      <c r="O2497" s="19"/>
      <c r="P2497" s="19"/>
      <c r="Q2497" s="19"/>
      <c r="R2497" s="19"/>
      <c r="S2497" s="19"/>
      <c r="T2497" s="19"/>
      <c r="U2497" s="19"/>
      <c r="V2497" s="19"/>
    </row>
    <row r="2498" spans="2:22" ht="13.2" x14ac:dyDescent="0.25">
      <c r="B2498" s="19"/>
      <c r="C2498" s="19"/>
      <c r="D2498" s="19"/>
      <c r="E2498" s="19"/>
      <c r="F2498" s="19"/>
      <c r="G2498" s="19"/>
      <c r="H2498" s="19"/>
      <c r="I2498" s="19"/>
      <c r="J2498" s="19"/>
      <c r="K2498" s="19"/>
      <c r="L2498" s="19"/>
      <c r="M2498" s="19"/>
      <c r="N2498" s="19"/>
      <c r="O2498" s="19"/>
      <c r="P2498" s="19"/>
      <c r="Q2498" s="19"/>
      <c r="R2498" s="19"/>
      <c r="S2498" s="19"/>
      <c r="T2498" s="19"/>
      <c r="U2498" s="19"/>
      <c r="V2498" s="19"/>
    </row>
    <row r="2499" spans="2:22" ht="13.2" x14ac:dyDescent="0.25">
      <c r="B2499" s="19"/>
      <c r="C2499" s="19"/>
      <c r="D2499" s="19"/>
      <c r="E2499" s="19"/>
      <c r="F2499" s="19"/>
      <c r="G2499" s="19"/>
      <c r="H2499" s="19"/>
      <c r="I2499" s="19"/>
      <c r="J2499" s="19"/>
      <c r="K2499" s="19"/>
      <c r="L2499" s="19"/>
      <c r="M2499" s="19"/>
      <c r="N2499" s="19"/>
      <c r="O2499" s="19"/>
      <c r="P2499" s="19"/>
      <c r="Q2499" s="19"/>
      <c r="R2499" s="19"/>
      <c r="S2499" s="19"/>
      <c r="T2499" s="19"/>
      <c r="U2499" s="19"/>
      <c r="V2499" s="19"/>
    </row>
    <row r="2500" spans="2:22" ht="13.2" x14ac:dyDescent="0.25">
      <c r="B2500" s="19"/>
      <c r="C2500" s="19"/>
      <c r="D2500" s="19"/>
      <c r="E2500" s="19"/>
      <c r="F2500" s="19"/>
      <c r="G2500" s="19"/>
      <c r="H2500" s="19"/>
      <c r="I2500" s="19"/>
      <c r="J2500" s="19"/>
      <c r="K2500" s="19"/>
      <c r="L2500" s="19"/>
      <c r="M2500" s="19"/>
      <c r="N2500" s="19"/>
      <c r="O2500" s="19"/>
      <c r="P2500" s="19"/>
      <c r="Q2500" s="19"/>
      <c r="R2500" s="19"/>
      <c r="S2500" s="19"/>
      <c r="T2500" s="19"/>
      <c r="U2500" s="19"/>
      <c r="V2500" s="19"/>
    </row>
    <row r="2501" spans="2:22" ht="13.2" x14ac:dyDescent="0.25">
      <c r="B2501" s="19"/>
      <c r="C2501" s="19"/>
      <c r="D2501" s="19"/>
      <c r="E2501" s="19"/>
      <c r="F2501" s="19"/>
      <c r="G2501" s="19"/>
      <c r="H2501" s="19"/>
      <c r="I2501" s="19"/>
      <c r="J2501" s="19"/>
      <c r="K2501" s="19"/>
      <c r="L2501" s="19"/>
      <c r="M2501" s="19"/>
      <c r="N2501" s="19"/>
      <c r="O2501" s="19"/>
      <c r="P2501" s="19"/>
      <c r="Q2501" s="19"/>
      <c r="R2501" s="19"/>
      <c r="S2501" s="19"/>
      <c r="T2501" s="19"/>
      <c r="U2501" s="19"/>
      <c r="V2501" s="19"/>
    </row>
    <row r="2502" spans="2:22" ht="13.2" x14ac:dyDescent="0.25">
      <c r="B2502" s="19"/>
      <c r="C2502" s="19"/>
      <c r="D2502" s="19"/>
      <c r="E2502" s="19"/>
      <c r="F2502" s="19"/>
      <c r="G2502" s="19"/>
      <c r="H2502" s="19"/>
      <c r="I2502" s="19"/>
      <c r="J2502" s="19"/>
      <c r="K2502" s="19"/>
      <c r="L2502" s="19"/>
      <c r="M2502" s="19"/>
      <c r="N2502" s="19"/>
      <c r="O2502" s="19"/>
      <c r="P2502" s="19"/>
      <c r="Q2502" s="19"/>
      <c r="R2502" s="19"/>
      <c r="S2502" s="19"/>
      <c r="T2502" s="19"/>
      <c r="U2502" s="19"/>
      <c r="V2502" s="19"/>
    </row>
    <row r="2503" spans="2:22" ht="13.2" x14ac:dyDescent="0.25">
      <c r="B2503" s="19"/>
      <c r="C2503" s="19"/>
      <c r="D2503" s="19"/>
      <c r="E2503" s="19"/>
      <c r="F2503" s="19"/>
      <c r="G2503" s="19"/>
      <c r="H2503" s="19"/>
      <c r="I2503" s="19"/>
      <c r="J2503" s="19"/>
      <c r="K2503" s="19"/>
      <c r="L2503" s="19"/>
      <c r="M2503" s="19"/>
      <c r="N2503" s="19"/>
      <c r="O2503" s="19"/>
      <c r="P2503" s="19"/>
      <c r="Q2503" s="19"/>
      <c r="R2503" s="19"/>
      <c r="S2503" s="19"/>
      <c r="T2503" s="19"/>
      <c r="U2503" s="19"/>
      <c r="V2503" s="19"/>
    </row>
    <row r="2504" spans="2:22" ht="13.2" x14ac:dyDescent="0.25">
      <c r="B2504" s="19"/>
      <c r="C2504" s="19"/>
      <c r="D2504" s="19"/>
      <c r="E2504" s="19"/>
      <c r="F2504" s="19"/>
      <c r="G2504" s="19"/>
      <c r="H2504" s="19"/>
      <c r="I2504" s="19"/>
      <c r="J2504" s="19"/>
      <c r="K2504" s="19"/>
      <c r="L2504" s="19"/>
      <c r="M2504" s="19"/>
      <c r="N2504" s="19"/>
      <c r="O2504" s="19"/>
      <c r="P2504" s="19"/>
      <c r="Q2504" s="19"/>
      <c r="R2504" s="19"/>
      <c r="S2504" s="19"/>
      <c r="T2504" s="19"/>
      <c r="U2504" s="19"/>
      <c r="V2504" s="19"/>
    </row>
    <row r="2505" spans="2:22" ht="13.2" x14ac:dyDescent="0.25">
      <c r="B2505" s="19"/>
      <c r="C2505" s="19"/>
      <c r="D2505" s="19"/>
      <c r="E2505" s="19"/>
      <c r="F2505" s="19"/>
      <c r="G2505" s="19"/>
      <c r="H2505" s="19"/>
      <c r="I2505" s="19"/>
      <c r="J2505" s="19"/>
      <c r="K2505" s="19"/>
      <c r="L2505" s="19"/>
      <c r="M2505" s="19"/>
      <c r="N2505" s="19"/>
      <c r="O2505" s="19"/>
      <c r="P2505" s="19"/>
      <c r="Q2505" s="19"/>
      <c r="R2505" s="19"/>
      <c r="S2505" s="19"/>
      <c r="T2505" s="19"/>
      <c r="U2505" s="19"/>
      <c r="V2505" s="19"/>
    </row>
    <row r="2506" spans="2:22" ht="13.2" x14ac:dyDescent="0.25">
      <c r="B2506" s="19"/>
      <c r="C2506" s="19"/>
      <c r="D2506" s="19"/>
      <c r="E2506" s="19"/>
      <c r="F2506" s="19"/>
      <c r="G2506" s="19"/>
      <c r="H2506" s="19"/>
      <c r="I2506" s="19"/>
      <c r="J2506" s="19"/>
      <c r="K2506" s="19"/>
      <c r="L2506" s="19"/>
      <c r="M2506" s="19"/>
      <c r="N2506" s="19"/>
      <c r="O2506" s="19"/>
      <c r="P2506" s="19"/>
      <c r="Q2506" s="19"/>
      <c r="R2506" s="19"/>
      <c r="S2506" s="19"/>
      <c r="T2506" s="19"/>
      <c r="U2506" s="19"/>
      <c r="V2506" s="19"/>
    </row>
    <row r="2507" spans="2:22" ht="13.2" x14ac:dyDescent="0.25">
      <c r="B2507" s="19"/>
      <c r="C2507" s="19"/>
      <c r="D2507" s="19"/>
      <c r="E2507" s="19"/>
      <c r="F2507" s="19"/>
      <c r="G2507" s="19"/>
      <c r="H2507" s="19"/>
      <c r="I2507" s="19"/>
      <c r="J2507" s="19"/>
      <c r="K2507" s="19"/>
      <c r="L2507" s="19"/>
      <c r="M2507" s="19"/>
      <c r="N2507" s="19"/>
      <c r="O2507" s="19"/>
      <c r="P2507" s="19"/>
      <c r="Q2507" s="19"/>
      <c r="R2507" s="19"/>
      <c r="S2507" s="19"/>
      <c r="T2507" s="19"/>
      <c r="U2507" s="19"/>
      <c r="V2507" s="19"/>
    </row>
    <row r="2508" spans="2:22" ht="13.2" x14ac:dyDescent="0.25">
      <c r="B2508" s="19"/>
      <c r="C2508" s="19"/>
      <c r="D2508" s="19"/>
      <c r="E2508" s="19"/>
      <c r="F2508" s="19"/>
      <c r="G2508" s="19"/>
      <c r="H2508" s="19"/>
      <c r="I2508" s="19"/>
      <c r="J2508" s="19"/>
      <c r="K2508" s="19"/>
      <c r="L2508" s="19"/>
      <c r="M2508" s="19"/>
      <c r="N2508" s="19"/>
      <c r="O2508" s="19"/>
      <c r="P2508" s="19"/>
      <c r="Q2508" s="19"/>
      <c r="R2508" s="19"/>
      <c r="S2508" s="19"/>
      <c r="T2508" s="19"/>
      <c r="U2508" s="19"/>
      <c r="V2508" s="19"/>
    </row>
    <row r="2509" spans="2:22" ht="13.2" x14ac:dyDescent="0.25">
      <c r="B2509" s="19"/>
      <c r="C2509" s="19"/>
      <c r="D2509" s="19"/>
      <c r="E2509" s="19"/>
      <c r="F2509" s="19"/>
      <c r="G2509" s="19"/>
      <c r="H2509" s="19"/>
      <c r="I2509" s="19"/>
      <c r="J2509" s="19"/>
      <c r="K2509" s="19"/>
      <c r="L2509" s="19"/>
      <c r="M2509" s="19"/>
      <c r="N2509" s="19"/>
      <c r="O2509" s="19"/>
      <c r="P2509" s="19"/>
      <c r="Q2509" s="19"/>
      <c r="R2509" s="19"/>
      <c r="S2509" s="19"/>
      <c r="T2509" s="19"/>
      <c r="U2509" s="19"/>
      <c r="V2509" s="19"/>
    </row>
    <row r="2510" spans="2:22" ht="13.2" x14ac:dyDescent="0.25">
      <c r="B2510" s="19"/>
      <c r="C2510" s="19"/>
      <c r="D2510" s="19"/>
      <c r="E2510" s="19"/>
      <c r="F2510" s="19"/>
      <c r="G2510" s="19"/>
      <c r="H2510" s="19"/>
      <c r="I2510" s="19"/>
      <c r="J2510" s="19"/>
      <c r="K2510" s="19"/>
      <c r="L2510" s="19"/>
      <c r="M2510" s="19"/>
      <c r="N2510" s="19"/>
      <c r="O2510" s="19"/>
      <c r="P2510" s="19"/>
      <c r="Q2510" s="19"/>
      <c r="R2510" s="19"/>
      <c r="S2510" s="19"/>
      <c r="T2510" s="19"/>
      <c r="U2510" s="19"/>
      <c r="V2510" s="19"/>
    </row>
    <row r="2511" spans="2:22" ht="13.2" x14ac:dyDescent="0.25">
      <c r="B2511" s="19"/>
      <c r="C2511" s="19"/>
      <c r="D2511" s="19"/>
      <c r="E2511" s="19"/>
      <c r="F2511" s="19"/>
      <c r="G2511" s="19"/>
      <c r="H2511" s="19"/>
      <c r="I2511" s="19"/>
      <c r="J2511" s="19"/>
      <c r="K2511" s="19"/>
      <c r="L2511" s="19"/>
      <c r="M2511" s="19"/>
      <c r="N2511" s="19"/>
      <c r="O2511" s="19"/>
      <c r="P2511" s="19"/>
      <c r="Q2511" s="19"/>
      <c r="R2511" s="19"/>
      <c r="S2511" s="19"/>
      <c r="T2511" s="19"/>
      <c r="U2511" s="19"/>
      <c r="V2511" s="19"/>
    </row>
    <row r="2512" spans="2:22" ht="13.2" x14ac:dyDescent="0.25">
      <c r="B2512" s="19"/>
      <c r="C2512" s="19"/>
      <c r="D2512" s="19"/>
      <c r="E2512" s="19"/>
      <c r="F2512" s="19"/>
      <c r="G2512" s="19"/>
      <c r="H2512" s="19"/>
      <c r="I2512" s="19"/>
      <c r="J2512" s="19"/>
      <c r="K2512" s="19"/>
      <c r="L2512" s="19"/>
      <c r="M2512" s="19"/>
      <c r="N2512" s="19"/>
      <c r="O2512" s="19"/>
      <c r="P2512" s="19"/>
      <c r="Q2512" s="19"/>
      <c r="R2512" s="19"/>
      <c r="S2512" s="19"/>
      <c r="T2512" s="19"/>
      <c r="U2512" s="19"/>
      <c r="V2512" s="19"/>
    </row>
    <row r="2513" spans="2:22" ht="13.2" x14ac:dyDescent="0.25">
      <c r="B2513" s="19"/>
      <c r="C2513" s="19"/>
      <c r="D2513" s="19"/>
      <c r="E2513" s="19"/>
      <c r="F2513" s="19"/>
      <c r="G2513" s="19"/>
      <c r="H2513" s="19"/>
      <c r="I2513" s="19"/>
      <c r="J2513" s="19"/>
      <c r="K2513" s="19"/>
      <c r="L2513" s="19"/>
      <c r="M2513" s="19"/>
      <c r="N2513" s="19"/>
      <c r="O2513" s="19"/>
      <c r="P2513" s="19"/>
      <c r="Q2513" s="19"/>
      <c r="R2513" s="19"/>
      <c r="S2513" s="19"/>
      <c r="T2513" s="19"/>
      <c r="U2513" s="19"/>
      <c r="V2513" s="19"/>
    </row>
    <row r="2514" spans="2:22" ht="13.2" x14ac:dyDescent="0.25">
      <c r="B2514" s="19"/>
      <c r="C2514" s="19"/>
      <c r="D2514" s="19"/>
      <c r="E2514" s="19"/>
      <c r="F2514" s="19"/>
      <c r="G2514" s="19"/>
      <c r="H2514" s="19"/>
      <c r="I2514" s="19"/>
      <c r="J2514" s="19"/>
      <c r="K2514" s="19"/>
      <c r="L2514" s="19"/>
      <c r="M2514" s="19"/>
      <c r="N2514" s="19"/>
      <c r="O2514" s="19"/>
      <c r="P2514" s="19"/>
      <c r="Q2514" s="19"/>
      <c r="R2514" s="19"/>
      <c r="S2514" s="19"/>
      <c r="T2514" s="19"/>
      <c r="U2514" s="19"/>
      <c r="V2514" s="19"/>
    </row>
    <row r="2515" spans="2:22" ht="13.2" x14ac:dyDescent="0.25">
      <c r="B2515" s="19"/>
      <c r="C2515" s="19"/>
      <c r="D2515" s="19"/>
      <c r="E2515" s="19"/>
      <c r="F2515" s="19"/>
      <c r="G2515" s="19"/>
      <c r="H2515" s="19"/>
      <c r="I2515" s="19"/>
      <c r="J2515" s="19"/>
      <c r="K2515" s="19"/>
      <c r="L2515" s="19"/>
      <c r="M2515" s="19"/>
      <c r="N2515" s="19"/>
      <c r="O2515" s="19"/>
      <c r="P2515" s="19"/>
      <c r="Q2515" s="19"/>
      <c r="R2515" s="19"/>
      <c r="S2515" s="19"/>
      <c r="T2515" s="19"/>
      <c r="U2515" s="19"/>
      <c r="V2515" s="19"/>
    </row>
    <row r="2516" spans="2:22" ht="13.2" x14ac:dyDescent="0.25">
      <c r="B2516" s="19"/>
      <c r="C2516" s="19"/>
      <c r="D2516" s="19"/>
      <c r="E2516" s="19"/>
      <c r="F2516" s="19"/>
      <c r="G2516" s="19"/>
      <c r="H2516" s="19"/>
      <c r="I2516" s="19"/>
      <c r="J2516" s="19"/>
      <c r="K2516" s="19"/>
      <c r="L2516" s="19"/>
      <c r="M2516" s="19"/>
      <c r="N2516" s="19"/>
      <c r="O2516" s="19"/>
      <c r="P2516" s="19"/>
      <c r="Q2516" s="19"/>
      <c r="R2516" s="19"/>
      <c r="S2516" s="19"/>
      <c r="T2516" s="19"/>
      <c r="U2516" s="19"/>
      <c r="V2516" s="19"/>
    </row>
    <row r="2517" spans="2:22" ht="13.2" x14ac:dyDescent="0.25">
      <c r="B2517" s="19"/>
      <c r="C2517" s="19"/>
      <c r="D2517" s="19"/>
      <c r="E2517" s="19"/>
      <c r="F2517" s="19"/>
      <c r="G2517" s="19"/>
      <c r="H2517" s="19"/>
      <c r="I2517" s="19"/>
      <c r="J2517" s="19"/>
      <c r="K2517" s="19"/>
      <c r="L2517" s="19"/>
      <c r="M2517" s="19"/>
      <c r="N2517" s="19"/>
      <c r="O2517" s="19"/>
      <c r="P2517" s="19"/>
      <c r="Q2517" s="19"/>
      <c r="R2517" s="19"/>
      <c r="S2517" s="19"/>
      <c r="T2517" s="19"/>
      <c r="U2517" s="19"/>
      <c r="V2517" s="19"/>
    </row>
    <row r="2518" spans="2:22" ht="13.2" x14ac:dyDescent="0.25">
      <c r="B2518" s="19"/>
      <c r="C2518" s="19"/>
      <c r="D2518" s="19"/>
      <c r="E2518" s="19"/>
      <c r="F2518" s="19"/>
      <c r="G2518" s="19"/>
      <c r="H2518" s="19"/>
      <c r="I2518" s="19"/>
      <c r="J2518" s="19"/>
      <c r="K2518" s="19"/>
      <c r="L2518" s="19"/>
      <c r="M2518" s="19"/>
      <c r="N2518" s="19"/>
      <c r="O2518" s="19"/>
      <c r="P2518" s="19"/>
      <c r="Q2518" s="19"/>
      <c r="R2518" s="19"/>
      <c r="S2518" s="19"/>
      <c r="T2518" s="19"/>
      <c r="U2518" s="19"/>
      <c r="V2518" s="19"/>
    </row>
    <row r="2519" spans="2:22" ht="13.2" x14ac:dyDescent="0.25">
      <c r="B2519" s="19"/>
      <c r="C2519" s="19"/>
      <c r="D2519" s="19"/>
      <c r="E2519" s="19"/>
      <c r="F2519" s="19"/>
      <c r="G2519" s="19"/>
      <c r="H2519" s="19"/>
      <c r="I2519" s="19"/>
      <c r="J2519" s="19"/>
      <c r="K2519" s="19"/>
      <c r="L2519" s="19"/>
      <c r="M2519" s="19"/>
      <c r="N2519" s="19"/>
      <c r="O2519" s="19"/>
      <c r="P2519" s="19"/>
      <c r="Q2519" s="19"/>
      <c r="R2519" s="19"/>
      <c r="S2519" s="19"/>
      <c r="T2519" s="19"/>
      <c r="U2519" s="19"/>
      <c r="V2519" s="19"/>
    </row>
    <row r="2520" spans="2:22" ht="13.2" x14ac:dyDescent="0.25">
      <c r="B2520" s="19"/>
      <c r="C2520" s="19"/>
      <c r="D2520" s="19"/>
      <c r="E2520" s="19"/>
      <c r="F2520" s="19"/>
      <c r="G2520" s="19"/>
      <c r="H2520" s="19"/>
      <c r="I2520" s="19"/>
      <c r="J2520" s="19"/>
      <c r="K2520" s="19"/>
      <c r="L2520" s="19"/>
      <c r="M2520" s="19"/>
      <c r="N2520" s="19"/>
      <c r="O2520" s="19"/>
      <c r="P2520" s="19"/>
      <c r="Q2520" s="19"/>
      <c r="R2520" s="19"/>
      <c r="S2520" s="19"/>
      <c r="T2520" s="19"/>
      <c r="U2520" s="19"/>
      <c r="V2520" s="19"/>
    </row>
    <row r="2521" spans="2:22" ht="13.2" x14ac:dyDescent="0.25">
      <c r="B2521" s="19"/>
      <c r="C2521" s="19"/>
      <c r="D2521" s="19"/>
      <c r="E2521" s="19"/>
      <c r="F2521" s="19"/>
      <c r="G2521" s="19"/>
      <c r="H2521" s="19"/>
      <c r="I2521" s="19"/>
      <c r="J2521" s="19"/>
      <c r="K2521" s="19"/>
      <c r="L2521" s="19"/>
      <c r="M2521" s="19"/>
      <c r="N2521" s="19"/>
      <c r="O2521" s="19"/>
      <c r="P2521" s="19"/>
      <c r="Q2521" s="19"/>
      <c r="R2521" s="19"/>
      <c r="S2521" s="19"/>
      <c r="T2521" s="19"/>
      <c r="U2521" s="19"/>
      <c r="V2521" s="19"/>
    </row>
    <row r="2522" spans="2:22" ht="13.2" x14ac:dyDescent="0.25">
      <c r="B2522" s="19"/>
      <c r="C2522" s="19"/>
      <c r="D2522" s="19"/>
      <c r="E2522" s="19"/>
      <c r="F2522" s="19"/>
      <c r="G2522" s="19"/>
      <c r="H2522" s="19"/>
      <c r="I2522" s="19"/>
      <c r="J2522" s="19"/>
      <c r="K2522" s="19"/>
      <c r="L2522" s="19"/>
      <c r="M2522" s="19"/>
      <c r="N2522" s="19"/>
      <c r="O2522" s="19"/>
      <c r="P2522" s="19"/>
      <c r="Q2522" s="19"/>
      <c r="R2522" s="19"/>
      <c r="S2522" s="19"/>
      <c r="T2522" s="19"/>
      <c r="U2522" s="19"/>
      <c r="V2522" s="19"/>
    </row>
    <row r="2523" spans="2:22" ht="13.2" x14ac:dyDescent="0.25">
      <c r="B2523" s="19"/>
      <c r="C2523" s="19"/>
      <c r="D2523" s="19"/>
      <c r="E2523" s="19"/>
      <c r="F2523" s="19"/>
      <c r="G2523" s="19"/>
      <c r="H2523" s="19"/>
      <c r="I2523" s="19"/>
      <c r="J2523" s="19"/>
      <c r="K2523" s="19"/>
      <c r="L2523" s="19"/>
      <c r="M2523" s="19"/>
      <c r="N2523" s="19"/>
      <c r="O2523" s="19"/>
      <c r="P2523" s="19"/>
      <c r="Q2523" s="19"/>
      <c r="R2523" s="19"/>
      <c r="S2523" s="19"/>
      <c r="T2523" s="19"/>
      <c r="U2523" s="19"/>
      <c r="V2523" s="19"/>
    </row>
    <row r="2524" spans="2:22" ht="13.2" x14ac:dyDescent="0.25">
      <c r="B2524" s="19"/>
      <c r="C2524" s="19"/>
      <c r="D2524" s="19"/>
      <c r="E2524" s="19"/>
      <c r="F2524" s="19"/>
      <c r="G2524" s="19"/>
      <c r="H2524" s="19"/>
      <c r="I2524" s="19"/>
      <c r="J2524" s="19"/>
      <c r="K2524" s="19"/>
      <c r="L2524" s="19"/>
      <c r="M2524" s="19"/>
      <c r="N2524" s="19"/>
      <c r="O2524" s="19"/>
      <c r="P2524" s="19"/>
      <c r="Q2524" s="19"/>
      <c r="R2524" s="19"/>
      <c r="S2524" s="19"/>
      <c r="T2524" s="19"/>
      <c r="U2524" s="19"/>
      <c r="V2524" s="19"/>
    </row>
    <row r="2525" spans="2:22" ht="13.2" x14ac:dyDescent="0.25">
      <c r="B2525" s="19"/>
      <c r="C2525" s="19"/>
      <c r="D2525" s="19"/>
      <c r="E2525" s="19"/>
      <c r="F2525" s="19"/>
      <c r="G2525" s="19"/>
      <c r="H2525" s="19"/>
      <c r="I2525" s="19"/>
      <c r="J2525" s="19"/>
      <c r="K2525" s="19"/>
      <c r="L2525" s="19"/>
      <c r="M2525" s="19"/>
      <c r="N2525" s="19"/>
      <c r="O2525" s="19"/>
      <c r="P2525" s="19"/>
      <c r="Q2525" s="19"/>
      <c r="R2525" s="19"/>
      <c r="S2525" s="19"/>
      <c r="T2525" s="19"/>
      <c r="U2525" s="19"/>
      <c r="V2525" s="19"/>
    </row>
    <row r="2526" spans="2:22" ht="13.2" x14ac:dyDescent="0.25">
      <c r="B2526" s="19"/>
      <c r="C2526" s="19"/>
      <c r="D2526" s="19"/>
      <c r="E2526" s="19"/>
      <c r="F2526" s="19"/>
      <c r="G2526" s="19"/>
      <c r="H2526" s="19"/>
      <c r="I2526" s="19"/>
      <c r="J2526" s="19"/>
      <c r="K2526" s="19"/>
      <c r="L2526" s="19"/>
      <c r="M2526" s="19"/>
      <c r="N2526" s="19"/>
      <c r="O2526" s="19"/>
      <c r="P2526" s="19"/>
      <c r="Q2526" s="19"/>
      <c r="R2526" s="19"/>
      <c r="S2526" s="19"/>
      <c r="T2526" s="19"/>
      <c r="U2526" s="19"/>
      <c r="V2526" s="19"/>
    </row>
    <row r="2527" spans="2:22" ht="13.2" x14ac:dyDescent="0.25">
      <c r="B2527" s="19"/>
      <c r="C2527" s="19"/>
      <c r="D2527" s="19"/>
      <c r="E2527" s="19"/>
      <c r="F2527" s="19"/>
      <c r="G2527" s="19"/>
      <c r="H2527" s="19"/>
      <c r="I2527" s="19"/>
      <c r="J2527" s="19"/>
      <c r="K2527" s="19"/>
      <c r="L2527" s="19"/>
      <c r="M2527" s="19"/>
      <c r="N2527" s="19"/>
      <c r="O2527" s="19"/>
      <c r="P2527" s="19"/>
      <c r="Q2527" s="19"/>
      <c r="R2527" s="19"/>
      <c r="S2527" s="19"/>
      <c r="T2527" s="19"/>
      <c r="U2527" s="19"/>
      <c r="V2527" s="19"/>
    </row>
    <row r="2528" spans="2:22" ht="13.2" x14ac:dyDescent="0.25">
      <c r="B2528" s="19"/>
      <c r="C2528" s="19"/>
      <c r="D2528" s="19"/>
      <c r="E2528" s="19"/>
      <c r="F2528" s="19"/>
      <c r="G2528" s="19"/>
      <c r="H2528" s="19"/>
      <c r="I2528" s="19"/>
      <c r="J2528" s="19"/>
      <c r="K2528" s="19"/>
      <c r="L2528" s="19"/>
      <c r="M2528" s="19"/>
      <c r="N2528" s="19"/>
      <c r="O2528" s="19"/>
      <c r="P2528" s="19"/>
      <c r="Q2528" s="19"/>
      <c r="R2528" s="19"/>
      <c r="S2528" s="19"/>
      <c r="T2528" s="19"/>
      <c r="U2528" s="19"/>
      <c r="V2528" s="19"/>
    </row>
    <row r="2529" spans="2:22" ht="13.2" x14ac:dyDescent="0.25">
      <c r="B2529" s="19"/>
      <c r="C2529" s="19"/>
      <c r="D2529" s="19"/>
      <c r="E2529" s="19"/>
      <c r="F2529" s="19"/>
      <c r="G2529" s="19"/>
      <c r="H2529" s="19"/>
      <c r="I2529" s="19"/>
      <c r="J2529" s="19"/>
      <c r="K2529" s="19"/>
      <c r="L2529" s="19"/>
      <c r="M2529" s="19"/>
      <c r="N2529" s="19"/>
      <c r="O2529" s="19"/>
      <c r="P2529" s="19"/>
      <c r="Q2529" s="19"/>
      <c r="R2529" s="19"/>
      <c r="S2529" s="19"/>
      <c r="T2529" s="19"/>
      <c r="U2529" s="19"/>
      <c r="V2529" s="19"/>
    </row>
    <row r="2530" spans="2:22" ht="13.2" x14ac:dyDescent="0.25">
      <c r="B2530" s="19"/>
      <c r="C2530" s="19"/>
      <c r="D2530" s="19"/>
      <c r="E2530" s="19"/>
      <c r="F2530" s="19"/>
      <c r="G2530" s="19"/>
      <c r="H2530" s="19"/>
      <c r="I2530" s="19"/>
      <c r="J2530" s="19"/>
      <c r="K2530" s="19"/>
      <c r="L2530" s="19"/>
      <c r="M2530" s="19"/>
      <c r="N2530" s="19"/>
      <c r="O2530" s="19"/>
      <c r="P2530" s="19"/>
      <c r="Q2530" s="19"/>
      <c r="R2530" s="19"/>
      <c r="S2530" s="19"/>
      <c r="T2530" s="19"/>
      <c r="U2530" s="19"/>
      <c r="V2530" s="19"/>
    </row>
    <row r="2531" spans="2:22" ht="13.2" x14ac:dyDescent="0.25">
      <c r="B2531" s="19"/>
      <c r="C2531" s="19"/>
      <c r="D2531" s="19"/>
      <c r="E2531" s="19"/>
      <c r="F2531" s="19"/>
      <c r="G2531" s="19"/>
      <c r="H2531" s="19"/>
      <c r="I2531" s="19"/>
      <c r="J2531" s="19"/>
      <c r="K2531" s="19"/>
      <c r="L2531" s="19"/>
      <c r="M2531" s="19"/>
      <c r="N2531" s="19"/>
      <c r="O2531" s="19"/>
      <c r="P2531" s="19"/>
      <c r="Q2531" s="19"/>
      <c r="R2531" s="19"/>
      <c r="S2531" s="19"/>
      <c r="T2531" s="19"/>
      <c r="U2531" s="19"/>
      <c r="V2531" s="19"/>
    </row>
    <row r="2532" spans="2:22" ht="13.2" x14ac:dyDescent="0.25">
      <c r="B2532" s="19"/>
      <c r="C2532" s="19"/>
      <c r="D2532" s="19"/>
      <c r="E2532" s="19"/>
      <c r="F2532" s="19"/>
      <c r="G2532" s="19"/>
      <c r="H2532" s="19"/>
      <c r="I2532" s="19"/>
      <c r="J2532" s="19"/>
      <c r="K2532" s="19"/>
      <c r="L2532" s="19"/>
      <c r="M2532" s="19"/>
      <c r="N2532" s="19"/>
      <c r="O2532" s="19"/>
      <c r="P2532" s="19"/>
      <c r="Q2532" s="19"/>
      <c r="R2532" s="19"/>
      <c r="S2532" s="19"/>
      <c r="T2532" s="19"/>
      <c r="U2532" s="19"/>
      <c r="V2532" s="19"/>
    </row>
    <row r="2533" spans="2:22" ht="13.2" x14ac:dyDescent="0.25">
      <c r="B2533" s="19"/>
      <c r="C2533" s="19"/>
      <c r="D2533" s="19"/>
      <c r="E2533" s="19"/>
      <c r="F2533" s="19"/>
      <c r="G2533" s="19"/>
      <c r="H2533" s="19"/>
      <c r="I2533" s="19"/>
      <c r="J2533" s="19"/>
      <c r="K2533" s="19"/>
      <c r="L2533" s="19"/>
      <c r="M2533" s="19"/>
      <c r="N2533" s="19"/>
      <c r="O2533" s="19"/>
      <c r="P2533" s="19"/>
      <c r="Q2533" s="19"/>
      <c r="R2533" s="19"/>
      <c r="S2533" s="19"/>
      <c r="T2533" s="19"/>
      <c r="U2533" s="19"/>
      <c r="V2533" s="19"/>
    </row>
    <row r="2534" spans="2:22" ht="13.2" x14ac:dyDescent="0.25">
      <c r="B2534" s="19"/>
      <c r="C2534" s="19"/>
      <c r="D2534" s="19"/>
      <c r="E2534" s="19"/>
      <c r="F2534" s="19"/>
      <c r="G2534" s="19"/>
      <c r="H2534" s="19"/>
      <c r="I2534" s="19"/>
      <c r="J2534" s="19"/>
      <c r="K2534" s="19"/>
      <c r="L2534" s="19"/>
      <c r="M2534" s="19"/>
      <c r="N2534" s="19"/>
      <c r="O2534" s="19"/>
      <c r="P2534" s="19"/>
      <c r="Q2534" s="19"/>
      <c r="R2534" s="19"/>
      <c r="S2534" s="19"/>
      <c r="T2534" s="19"/>
      <c r="U2534" s="19"/>
      <c r="V2534" s="19"/>
    </row>
    <row r="2535" spans="2:22" ht="13.2" x14ac:dyDescent="0.25">
      <c r="B2535" s="19"/>
      <c r="C2535" s="19"/>
      <c r="D2535" s="19"/>
      <c r="E2535" s="19"/>
      <c r="F2535" s="19"/>
      <c r="G2535" s="19"/>
      <c r="H2535" s="19"/>
      <c r="I2535" s="19"/>
      <c r="J2535" s="19"/>
      <c r="K2535" s="19"/>
      <c r="L2535" s="19"/>
      <c r="M2535" s="19"/>
      <c r="N2535" s="19"/>
      <c r="O2535" s="19"/>
      <c r="P2535" s="19"/>
      <c r="Q2535" s="19"/>
      <c r="R2535" s="19"/>
      <c r="S2535" s="19"/>
      <c r="T2535" s="19"/>
      <c r="U2535" s="19"/>
      <c r="V2535" s="19"/>
    </row>
    <row r="2536" spans="2:22" ht="13.2" x14ac:dyDescent="0.25">
      <c r="B2536" s="19"/>
      <c r="C2536" s="19"/>
      <c r="D2536" s="19"/>
      <c r="E2536" s="19"/>
      <c r="F2536" s="19"/>
      <c r="G2536" s="19"/>
      <c r="H2536" s="19"/>
      <c r="I2536" s="19"/>
      <c r="J2536" s="19"/>
      <c r="K2536" s="19"/>
      <c r="L2536" s="19"/>
      <c r="M2536" s="19"/>
      <c r="N2536" s="19"/>
      <c r="O2536" s="19"/>
      <c r="P2536" s="19"/>
      <c r="Q2536" s="19"/>
      <c r="R2536" s="19"/>
      <c r="S2536" s="19"/>
      <c r="T2536" s="19"/>
      <c r="U2536" s="19"/>
      <c r="V2536" s="19"/>
    </row>
    <row r="2537" spans="2:22" ht="13.2" x14ac:dyDescent="0.25">
      <c r="B2537" s="19"/>
      <c r="C2537" s="19"/>
      <c r="D2537" s="19"/>
      <c r="E2537" s="19"/>
      <c r="F2537" s="19"/>
      <c r="G2537" s="19"/>
      <c r="H2537" s="19"/>
      <c r="I2537" s="19"/>
      <c r="J2537" s="19"/>
      <c r="K2537" s="19"/>
      <c r="L2537" s="19"/>
      <c r="M2537" s="19"/>
      <c r="N2537" s="19"/>
      <c r="O2537" s="19"/>
      <c r="P2537" s="19"/>
      <c r="Q2537" s="19"/>
      <c r="R2537" s="19"/>
      <c r="S2537" s="19"/>
      <c r="T2537" s="19"/>
      <c r="U2537" s="19"/>
      <c r="V2537" s="19"/>
    </row>
    <row r="2538" spans="2:22" ht="13.2" x14ac:dyDescent="0.25">
      <c r="B2538" s="19"/>
      <c r="C2538" s="19"/>
      <c r="D2538" s="19"/>
      <c r="E2538" s="19"/>
      <c r="F2538" s="19"/>
      <c r="G2538" s="19"/>
      <c r="H2538" s="19"/>
      <c r="I2538" s="19"/>
      <c r="J2538" s="19"/>
      <c r="K2538" s="19"/>
      <c r="L2538" s="19"/>
      <c r="M2538" s="19"/>
      <c r="N2538" s="19"/>
      <c r="O2538" s="19"/>
      <c r="P2538" s="19"/>
      <c r="Q2538" s="19"/>
      <c r="R2538" s="19"/>
      <c r="S2538" s="19"/>
      <c r="T2538" s="19"/>
      <c r="U2538" s="19"/>
      <c r="V2538" s="19"/>
    </row>
    <row r="2539" spans="2:22" ht="13.2" x14ac:dyDescent="0.25">
      <c r="B2539" s="19"/>
      <c r="C2539" s="19"/>
      <c r="D2539" s="19"/>
      <c r="E2539" s="19"/>
      <c r="F2539" s="19"/>
      <c r="G2539" s="19"/>
      <c r="H2539" s="19"/>
      <c r="I2539" s="19"/>
      <c r="J2539" s="19"/>
      <c r="K2539" s="19"/>
      <c r="L2539" s="19"/>
      <c r="M2539" s="19"/>
      <c r="N2539" s="19"/>
      <c r="O2539" s="19"/>
      <c r="P2539" s="19"/>
      <c r="Q2539" s="19"/>
      <c r="R2539" s="19"/>
      <c r="S2539" s="19"/>
      <c r="T2539" s="19"/>
      <c r="U2539" s="19"/>
      <c r="V2539" s="19"/>
    </row>
    <row r="2540" spans="2:22" ht="13.2" x14ac:dyDescent="0.25">
      <c r="B2540" s="19"/>
      <c r="C2540" s="19"/>
      <c r="D2540" s="19"/>
      <c r="E2540" s="19"/>
      <c r="F2540" s="19"/>
      <c r="G2540" s="19"/>
      <c r="H2540" s="19"/>
      <c r="I2540" s="19"/>
      <c r="J2540" s="19"/>
      <c r="K2540" s="19"/>
      <c r="L2540" s="19"/>
      <c r="M2540" s="19"/>
      <c r="N2540" s="19"/>
      <c r="O2540" s="19"/>
      <c r="P2540" s="19"/>
      <c r="Q2540" s="19"/>
      <c r="R2540" s="19"/>
      <c r="S2540" s="19"/>
      <c r="T2540" s="19"/>
      <c r="U2540" s="19"/>
      <c r="V2540" s="19"/>
    </row>
    <row r="2541" spans="2:22" ht="13.2" x14ac:dyDescent="0.25">
      <c r="B2541" s="19"/>
      <c r="C2541" s="19"/>
      <c r="D2541" s="19"/>
      <c r="E2541" s="19"/>
      <c r="F2541" s="19"/>
      <c r="G2541" s="19"/>
      <c r="H2541" s="19"/>
      <c r="I2541" s="19"/>
      <c r="J2541" s="19"/>
      <c r="K2541" s="19"/>
      <c r="L2541" s="19"/>
      <c r="M2541" s="19"/>
      <c r="N2541" s="19"/>
      <c r="O2541" s="19"/>
      <c r="P2541" s="19"/>
      <c r="Q2541" s="19"/>
      <c r="R2541" s="19"/>
      <c r="S2541" s="19"/>
      <c r="T2541" s="19"/>
      <c r="U2541" s="19"/>
      <c r="V2541" s="19"/>
    </row>
    <row r="2542" spans="2:22" ht="13.2" x14ac:dyDescent="0.25">
      <c r="B2542" s="19"/>
      <c r="C2542" s="19"/>
      <c r="D2542" s="19"/>
      <c r="E2542" s="19"/>
      <c r="F2542" s="19"/>
      <c r="G2542" s="19"/>
      <c r="H2542" s="19"/>
      <c r="I2542" s="19"/>
      <c r="J2542" s="19"/>
      <c r="K2542" s="19"/>
      <c r="L2542" s="19"/>
      <c r="M2542" s="19"/>
      <c r="N2542" s="19"/>
      <c r="O2542" s="19"/>
      <c r="P2542" s="19"/>
      <c r="Q2542" s="19"/>
      <c r="R2542" s="19"/>
      <c r="S2542" s="19"/>
      <c r="T2542" s="19"/>
      <c r="U2542" s="19"/>
      <c r="V2542" s="19"/>
    </row>
    <row r="2543" spans="2:22" ht="13.2" x14ac:dyDescent="0.25">
      <c r="B2543" s="19"/>
      <c r="C2543" s="19"/>
      <c r="D2543" s="19"/>
      <c r="E2543" s="19"/>
      <c r="F2543" s="19"/>
      <c r="G2543" s="19"/>
      <c r="H2543" s="19"/>
      <c r="I2543" s="19"/>
      <c r="J2543" s="19"/>
      <c r="K2543" s="19"/>
      <c r="L2543" s="19"/>
      <c r="M2543" s="19"/>
      <c r="N2543" s="19"/>
      <c r="O2543" s="19"/>
      <c r="P2543" s="19"/>
      <c r="Q2543" s="19"/>
      <c r="R2543" s="19"/>
      <c r="S2543" s="19"/>
      <c r="T2543" s="19"/>
      <c r="U2543" s="19"/>
      <c r="V2543" s="19"/>
    </row>
    <row r="2544" spans="2:22" ht="13.2" x14ac:dyDescent="0.25">
      <c r="B2544" s="19"/>
      <c r="C2544" s="19"/>
      <c r="D2544" s="19"/>
      <c r="E2544" s="19"/>
      <c r="F2544" s="19"/>
      <c r="G2544" s="19"/>
      <c r="H2544" s="19"/>
      <c r="I2544" s="19"/>
      <c r="J2544" s="19"/>
      <c r="K2544" s="19"/>
      <c r="L2544" s="19"/>
      <c r="M2544" s="19"/>
      <c r="N2544" s="19"/>
      <c r="O2544" s="19"/>
      <c r="P2544" s="19"/>
      <c r="Q2544" s="19"/>
      <c r="R2544" s="19"/>
      <c r="S2544" s="19"/>
      <c r="T2544" s="19"/>
      <c r="U2544" s="19"/>
      <c r="V2544" s="19"/>
    </row>
    <row r="2545" spans="2:22" ht="13.2" x14ac:dyDescent="0.25">
      <c r="B2545" s="19"/>
      <c r="C2545" s="19"/>
      <c r="D2545" s="19"/>
      <c r="E2545" s="19"/>
      <c r="F2545" s="19"/>
      <c r="G2545" s="19"/>
      <c r="H2545" s="19"/>
      <c r="I2545" s="19"/>
      <c r="J2545" s="19"/>
      <c r="K2545" s="19"/>
      <c r="L2545" s="19"/>
      <c r="M2545" s="19"/>
      <c r="N2545" s="19"/>
      <c r="O2545" s="19"/>
      <c r="P2545" s="19"/>
      <c r="Q2545" s="19"/>
      <c r="R2545" s="19"/>
      <c r="S2545" s="19"/>
      <c r="T2545" s="19"/>
      <c r="U2545" s="19"/>
      <c r="V2545" s="19"/>
    </row>
    <row r="2546" spans="2:22" ht="13.2" x14ac:dyDescent="0.25">
      <c r="B2546" s="19"/>
      <c r="C2546" s="19"/>
      <c r="D2546" s="19"/>
      <c r="E2546" s="19"/>
      <c r="F2546" s="19"/>
      <c r="G2546" s="19"/>
      <c r="H2546" s="19"/>
      <c r="I2546" s="19"/>
      <c r="J2546" s="19"/>
      <c r="K2546" s="19"/>
      <c r="L2546" s="19"/>
      <c r="M2546" s="19"/>
      <c r="N2546" s="19"/>
      <c r="O2546" s="19"/>
      <c r="P2546" s="19"/>
      <c r="Q2546" s="19"/>
      <c r="R2546" s="19"/>
      <c r="S2546" s="19"/>
      <c r="T2546" s="19"/>
      <c r="U2546" s="19"/>
      <c r="V2546" s="19"/>
    </row>
    <row r="2547" spans="2:22" ht="13.2" x14ac:dyDescent="0.25">
      <c r="B2547" s="19"/>
      <c r="C2547" s="19"/>
      <c r="D2547" s="19"/>
      <c r="E2547" s="19"/>
      <c r="F2547" s="19"/>
      <c r="G2547" s="19"/>
      <c r="H2547" s="19"/>
      <c r="I2547" s="19"/>
      <c r="J2547" s="19"/>
      <c r="K2547" s="19"/>
      <c r="L2547" s="19"/>
      <c r="M2547" s="19"/>
      <c r="N2547" s="19"/>
      <c r="O2547" s="19"/>
      <c r="P2547" s="19"/>
      <c r="Q2547" s="19"/>
      <c r="R2547" s="19"/>
      <c r="S2547" s="19"/>
      <c r="T2547" s="19"/>
      <c r="U2547" s="19"/>
      <c r="V2547" s="19"/>
    </row>
    <row r="2548" spans="2:22" ht="13.2" x14ac:dyDescent="0.25">
      <c r="B2548" s="19"/>
      <c r="C2548" s="19"/>
      <c r="D2548" s="19"/>
      <c r="E2548" s="19"/>
      <c r="F2548" s="19"/>
      <c r="G2548" s="19"/>
      <c r="H2548" s="19"/>
      <c r="I2548" s="19"/>
      <c r="J2548" s="19"/>
      <c r="K2548" s="19"/>
      <c r="L2548" s="19"/>
      <c r="M2548" s="19"/>
      <c r="N2548" s="19"/>
      <c r="O2548" s="19"/>
      <c r="P2548" s="19"/>
      <c r="Q2548" s="19"/>
      <c r="R2548" s="19"/>
      <c r="S2548" s="19"/>
      <c r="T2548" s="19"/>
      <c r="U2548" s="19"/>
      <c r="V2548" s="19"/>
    </row>
    <row r="2549" spans="2:22" ht="13.2" x14ac:dyDescent="0.25">
      <c r="B2549" s="19"/>
      <c r="C2549" s="19"/>
      <c r="D2549" s="19"/>
      <c r="E2549" s="19"/>
      <c r="F2549" s="19"/>
      <c r="G2549" s="19"/>
      <c r="H2549" s="19"/>
      <c r="I2549" s="19"/>
      <c r="J2549" s="19"/>
      <c r="K2549" s="19"/>
      <c r="L2549" s="19"/>
      <c r="M2549" s="19"/>
      <c r="N2549" s="19"/>
      <c r="O2549" s="19"/>
      <c r="P2549" s="19"/>
      <c r="Q2549" s="19"/>
      <c r="R2549" s="19"/>
      <c r="S2549" s="19"/>
      <c r="T2549" s="19"/>
      <c r="U2549" s="19"/>
      <c r="V2549" s="19"/>
    </row>
    <row r="2550" spans="2:22" ht="13.2" x14ac:dyDescent="0.25">
      <c r="B2550" s="19"/>
      <c r="C2550" s="19"/>
      <c r="D2550" s="19"/>
      <c r="E2550" s="19"/>
      <c r="F2550" s="19"/>
      <c r="G2550" s="19"/>
      <c r="H2550" s="19"/>
      <c r="I2550" s="19"/>
      <c r="J2550" s="19"/>
      <c r="K2550" s="19"/>
      <c r="L2550" s="19"/>
      <c r="M2550" s="19"/>
      <c r="N2550" s="19"/>
      <c r="O2550" s="19"/>
      <c r="P2550" s="19"/>
      <c r="Q2550" s="19"/>
      <c r="R2550" s="19"/>
      <c r="S2550" s="19"/>
      <c r="T2550" s="19"/>
      <c r="U2550" s="19"/>
      <c r="V2550" s="19"/>
    </row>
    <row r="2551" spans="2:22" ht="13.2" x14ac:dyDescent="0.25">
      <c r="B2551" s="19"/>
      <c r="C2551" s="19"/>
      <c r="D2551" s="19"/>
      <c r="E2551" s="19"/>
      <c r="F2551" s="19"/>
      <c r="G2551" s="19"/>
      <c r="H2551" s="19"/>
      <c r="I2551" s="19"/>
      <c r="J2551" s="19"/>
      <c r="K2551" s="19"/>
      <c r="L2551" s="19"/>
      <c r="M2551" s="19"/>
      <c r="N2551" s="19"/>
      <c r="O2551" s="19"/>
      <c r="P2551" s="19"/>
      <c r="Q2551" s="19"/>
      <c r="R2551" s="19"/>
      <c r="S2551" s="19"/>
      <c r="T2551" s="19"/>
      <c r="U2551" s="19"/>
      <c r="V2551" s="19"/>
    </row>
    <row r="2552" spans="2:22" ht="13.2" x14ac:dyDescent="0.25">
      <c r="B2552" s="19"/>
      <c r="C2552" s="19"/>
      <c r="D2552" s="19"/>
      <c r="E2552" s="19"/>
      <c r="F2552" s="19"/>
      <c r="G2552" s="19"/>
      <c r="H2552" s="19"/>
      <c r="I2552" s="19"/>
      <c r="J2552" s="19"/>
      <c r="K2552" s="19"/>
      <c r="L2552" s="19"/>
      <c r="M2552" s="19"/>
      <c r="N2552" s="19"/>
      <c r="O2552" s="19"/>
      <c r="P2552" s="19"/>
      <c r="Q2552" s="19"/>
      <c r="R2552" s="19"/>
      <c r="S2552" s="19"/>
      <c r="T2552" s="19"/>
      <c r="U2552" s="19"/>
      <c r="V2552" s="19"/>
    </row>
    <row r="2553" spans="2:22" ht="13.2" x14ac:dyDescent="0.25">
      <c r="B2553" s="19"/>
      <c r="C2553" s="19"/>
      <c r="D2553" s="19"/>
      <c r="E2553" s="19"/>
      <c r="F2553" s="19"/>
      <c r="G2553" s="19"/>
      <c r="H2553" s="19"/>
      <c r="I2553" s="19"/>
      <c r="J2553" s="19"/>
      <c r="K2553" s="19"/>
      <c r="L2553" s="19"/>
      <c r="M2553" s="19"/>
      <c r="N2553" s="19"/>
      <c r="O2553" s="19"/>
      <c r="P2553" s="19"/>
      <c r="Q2553" s="19"/>
      <c r="R2553" s="19"/>
      <c r="S2553" s="19"/>
      <c r="T2553" s="19"/>
      <c r="U2553" s="19"/>
      <c r="V2553" s="19"/>
    </row>
    <row r="2554" spans="2:22" ht="13.2" x14ac:dyDescent="0.25">
      <c r="B2554" s="19"/>
      <c r="C2554" s="19"/>
      <c r="D2554" s="19"/>
      <c r="E2554" s="19"/>
      <c r="F2554" s="19"/>
      <c r="G2554" s="19"/>
      <c r="H2554" s="19"/>
      <c r="I2554" s="19"/>
      <c r="J2554" s="19"/>
      <c r="K2554" s="19"/>
      <c r="L2554" s="19"/>
      <c r="M2554" s="19"/>
      <c r="N2554" s="19"/>
      <c r="O2554" s="19"/>
      <c r="P2554" s="19"/>
      <c r="Q2554" s="19"/>
      <c r="R2554" s="19"/>
      <c r="S2554" s="19"/>
      <c r="T2554" s="19"/>
      <c r="U2554" s="19"/>
      <c r="V2554" s="19"/>
    </row>
    <row r="2555" spans="2:22" ht="13.2" x14ac:dyDescent="0.25">
      <c r="B2555" s="19"/>
      <c r="C2555" s="19"/>
      <c r="D2555" s="19"/>
      <c r="E2555" s="19"/>
      <c r="F2555" s="19"/>
      <c r="G2555" s="19"/>
      <c r="H2555" s="19"/>
      <c r="I2555" s="19"/>
      <c r="J2555" s="19"/>
      <c r="K2555" s="19"/>
      <c r="L2555" s="19"/>
      <c r="M2555" s="19"/>
      <c r="N2555" s="19"/>
      <c r="O2555" s="19"/>
      <c r="P2555" s="19"/>
      <c r="Q2555" s="19"/>
      <c r="R2555" s="19"/>
      <c r="S2555" s="19"/>
      <c r="T2555" s="19"/>
      <c r="U2555" s="19"/>
      <c r="V2555" s="19"/>
    </row>
    <row r="2556" spans="2:22" ht="13.2" x14ac:dyDescent="0.25">
      <c r="B2556" s="19"/>
      <c r="C2556" s="19"/>
      <c r="D2556" s="19"/>
      <c r="E2556" s="19"/>
      <c r="F2556" s="19"/>
      <c r="G2556" s="19"/>
      <c r="H2556" s="19"/>
      <c r="I2556" s="19"/>
      <c r="J2556" s="19"/>
      <c r="K2556" s="19"/>
      <c r="L2556" s="19"/>
      <c r="M2556" s="19"/>
      <c r="N2556" s="19"/>
      <c r="O2556" s="19"/>
      <c r="P2556" s="19"/>
      <c r="Q2556" s="19"/>
      <c r="R2556" s="19"/>
      <c r="S2556" s="19"/>
      <c r="T2556" s="19"/>
      <c r="U2556" s="19"/>
      <c r="V2556" s="19"/>
    </row>
    <row r="2557" spans="2:22" ht="13.2" x14ac:dyDescent="0.25">
      <c r="B2557" s="19"/>
      <c r="C2557" s="19"/>
      <c r="D2557" s="19"/>
      <c r="E2557" s="19"/>
      <c r="F2557" s="19"/>
      <c r="G2557" s="19"/>
      <c r="H2557" s="19"/>
      <c r="I2557" s="19"/>
      <c r="J2557" s="19"/>
      <c r="K2557" s="19"/>
      <c r="L2557" s="19"/>
      <c r="M2557" s="19"/>
      <c r="N2557" s="19"/>
      <c r="O2557" s="19"/>
      <c r="P2557" s="19"/>
      <c r="Q2557" s="19"/>
      <c r="R2557" s="19"/>
      <c r="S2557" s="19"/>
      <c r="T2557" s="19"/>
      <c r="U2557" s="19"/>
      <c r="V2557" s="19"/>
    </row>
    <row r="2558" spans="2:22" ht="13.2" x14ac:dyDescent="0.25">
      <c r="B2558" s="19"/>
      <c r="C2558" s="19"/>
      <c r="D2558" s="19"/>
      <c r="E2558" s="19"/>
      <c r="F2558" s="19"/>
      <c r="G2558" s="19"/>
      <c r="H2558" s="19"/>
      <c r="I2558" s="19"/>
      <c r="J2558" s="19"/>
      <c r="K2558" s="19"/>
      <c r="L2558" s="19"/>
      <c r="M2558" s="19"/>
      <c r="N2558" s="19"/>
      <c r="O2558" s="19"/>
      <c r="P2558" s="19"/>
      <c r="Q2558" s="19"/>
      <c r="R2558" s="19"/>
      <c r="S2558" s="19"/>
      <c r="T2558" s="19"/>
      <c r="U2558" s="19"/>
      <c r="V2558" s="19"/>
    </row>
    <row r="2559" spans="2:22" ht="13.2" x14ac:dyDescent="0.25">
      <c r="B2559" s="19"/>
      <c r="C2559" s="19"/>
      <c r="D2559" s="19"/>
      <c r="E2559" s="19"/>
      <c r="F2559" s="19"/>
      <c r="G2559" s="19"/>
      <c r="H2559" s="19"/>
      <c r="I2559" s="19"/>
      <c r="J2559" s="19"/>
      <c r="K2559" s="19"/>
      <c r="L2559" s="19"/>
      <c r="M2559" s="19"/>
      <c r="N2559" s="19"/>
      <c r="O2559" s="19"/>
      <c r="P2559" s="19"/>
      <c r="Q2559" s="19"/>
      <c r="R2559" s="19"/>
      <c r="S2559" s="19"/>
      <c r="T2559" s="19"/>
      <c r="U2559" s="19"/>
      <c r="V2559" s="19"/>
    </row>
    <row r="2560" spans="2:22" ht="13.2" x14ac:dyDescent="0.25">
      <c r="B2560" s="19"/>
      <c r="C2560" s="19"/>
      <c r="D2560" s="19"/>
      <c r="E2560" s="19"/>
      <c r="F2560" s="19"/>
      <c r="G2560" s="19"/>
      <c r="H2560" s="19"/>
      <c r="I2560" s="19"/>
      <c r="J2560" s="19"/>
      <c r="K2560" s="19"/>
      <c r="L2560" s="19"/>
      <c r="M2560" s="19"/>
      <c r="N2560" s="19"/>
      <c r="O2560" s="19"/>
      <c r="P2560" s="19"/>
      <c r="Q2560" s="19"/>
      <c r="R2560" s="19"/>
      <c r="S2560" s="19"/>
      <c r="T2560" s="19"/>
      <c r="U2560" s="19"/>
      <c r="V2560" s="19"/>
    </row>
    <row r="2561" spans="2:22" ht="13.2" x14ac:dyDescent="0.25">
      <c r="B2561" s="19"/>
      <c r="C2561" s="19"/>
      <c r="D2561" s="19"/>
      <c r="E2561" s="19"/>
      <c r="F2561" s="19"/>
      <c r="G2561" s="19"/>
      <c r="H2561" s="19"/>
      <c r="I2561" s="19"/>
      <c r="J2561" s="19"/>
      <c r="K2561" s="19"/>
      <c r="L2561" s="19"/>
      <c r="M2561" s="19"/>
      <c r="N2561" s="19"/>
      <c r="O2561" s="19"/>
      <c r="P2561" s="19"/>
      <c r="Q2561" s="19"/>
      <c r="R2561" s="19"/>
      <c r="S2561" s="19"/>
      <c r="T2561" s="19"/>
      <c r="U2561" s="19"/>
      <c r="V2561" s="19"/>
    </row>
    <row r="2562" spans="2:22" ht="13.2" x14ac:dyDescent="0.25">
      <c r="B2562" s="19"/>
      <c r="C2562" s="19"/>
      <c r="D2562" s="19"/>
      <c r="E2562" s="19"/>
      <c r="F2562" s="19"/>
      <c r="G2562" s="19"/>
      <c r="H2562" s="19"/>
      <c r="I2562" s="19"/>
      <c r="J2562" s="19"/>
      <c r="K2562" s="19"/>
      <c r="L2562" s="19"/>
      <c r="M2562" s="19"/>
      <c r="N2562" s="19"/>
      <c r="O2562" s="19"/>
      <c r="P2562" s="19"/>
      <c r="Q2562" s="19"/>
      <c r="R2562" s="19"/>
      <c r="S2562" s="19"/>
      <c r="T2562" s="19"/>
      <c r="U2562" s="19"/>
      <c r="V2562" s="19"/>
    </row>
    <row r="2563" spans="2:22" ht="13.2" x14ac:dyDescent="0.25">
      <c r="B2563" s="19"/>
      <c r="C2563" s="19"/>
      <c r="D2563" s="19"/>
      <c r="E2563" s="19"/>
      <c r="F2563" s="19"/>
      <c r="G2563" s="19"/>
      <c r="H2563" s="19"/>
      <c r="I2563" s="19"/>
      <c r="J2563" s="19"/>
      <c r="K2563" s="19"/>
      <c r="L2563" s="19"/>
      <c r="M2563" s="19"/>
      <c r="N2563" s="19"/>
      <c r="O2563" s="19"/>
      <c r="P2563" s="19"/>
      <c r="Q2563" s="19"/>
      <c r="R2563" s="19"/>
      <c r="S2563" s="19"/>
      <c r="T2563" s="19"/>
      <c r="U2563" s="19"/>
      <c r="V2563" s="19"/>
    </row>
    <row r="2564" spans="2:22" ht="13.2" x14ac:dyDescent="0.25">
      <c r="B2564" s="19"/>
      <c r="C2564" s="19"/>
      <c r="D2564" s="19"/>
      <c r="E2564" s="19"/>
      <c r="F2564" s="19"/>
      <c r="G2564" s="19"/>
      <c r="H2564" s="19"/>
      <c r="I2564" s="19"/>
      <c r="J2564" s="19"/>
      <c r="K2564" s="19"/>
      <c r="L2564" s="19"/>
      <c r="M2564" s="19"/>
      <c r="N2564" s="19"/>
      <c r="O2564" s="19"/>
      <c r="P2564" s="19"/>
      <c r="Q2564" s="19"/>
      <c r="R2564" s="19"/>
      <c r="S2564" s="19"/>
      <c r="T2564" s="19"/>
      <c r="U2564" s="19"/>
      <c r="V2564" s="19"/>
    </row>
    <row r="2565" spans="2:22" ht="13.2" x14ac:dyDescent="0.25">
      <c r="B2565" s="19"/>
      <c r="C2565" s="19"/>
      <c r="D2565" s="19"/>
      <c r="E2565" s="19"/>
      <c r="F2565" s="19"/>
      <c r="G2565" s="19"/>
      <c r="H2565" s="19"/>
      <c r="I2565" s="19"/>
      <c r="J2565" s="19"/>
      <c r="K2565" s="19"/>
      <c r="L2565" s="19"/>
      <c r="M2565" s="19"/>
      <c r="N2565" s="19"/>
      <c r="O2565" s="19"/>
      <c r="P2565" s="19"/>
      <c r="Q2565" s="19"/>
      <c r="R2565" s="19"/>
      <c r="S2565" s="19"/>
      <c r="T2565" s="19"/>
      <c r="U2565" s="19"/>
      <c r="V2565" s="19"/>
    </row>
    <row r="2566" spans="2:22" ht="13.2" x14ac:dyDescent="0.25">
      <c r="B2566" s="19"/>
      <c r="C2566" s="19"/>
      <c r="D2566" s="19"/>
      <c r="E2566" s="19"/>
      <c r="F2566" s="19"/>
      <c r="G2566" s="19"/>
      <c r="H2566" s="19"/>
      <c r="I2566" s="19"/>
      <c r="J2566" s="19"/>
      <c r="K2566" s="19"/>
      <c r="L2566" s="19"/>
      <c r="M2566" s="19"/>
      <c r="N2566" s="19"/>
      <c r="O2566" s="19"/>
      <c r="P2566" s="19"/>
      <c r="Q2566" s="19"/>
      <c r="R2566" s="19"/>
      <c r="S2566" s="19"/>
      <c r="T2566" s="19"/>
      <c r="U2566" s="19"/>
      <c r="V2566" s="19"/>
    </row>
    <row r="2567" spans="2:22" ht="13.2" x14ac:dyDescent="0.25">
      <c r="B2567" s="19"/>
      <c r="C2567" s="19"/>
      <c r="D2567" s="19"/>
      <c r="E2567" s="19"/>
      <c r="F2567" s="19"/>
      <c r="G2567" s="19"/>
      <c r="H2567" s="19"/>
      <c r="I2567" s="19"/>
      <c r="J2567" s="19"/>
      <c r="K2567" s="19"/>
      <c r="L2567" s="19"/>
      <c r="M2567" s="19"/>
      <c r="N2567" s="19"/>
      <c r="O2567" s="19"/>
      <c r="P2567" s="19"/>
      <c r="Q2567" s="19"/>
      <c r="R2567" s="19"/>
      <c r="S2567" s="19"/>
      <c r="T2567" s="19"/>
      <c r="U2567" s="19"/>
      <c r="V2567" s="19"/>
    </row>
    <row r="2568" spans="2:22" ht="13.2" x14ac:dyDescent="0.25">
      <c r="B2568" s="19"/>
      <c r="C2568" s="19"/>
      <c r="D2568" s="19"/>
      <c r="E2568" s="19"/>
      <c r="F2568" s="19"/>
      <c r="G2568" s="19"/>
      <c r="H2568" s="19"/>
      <c r="I2568" s="19"/>
      <c r="J2568" s="19"/>
      <c r="K2568" s="19"/>
      <c r="L2568" s="19"/>
      <c r="M2568" s="19"/>
      <c r="N2568" s="19"/>
      <c r="O2568" s="19"/>
      <c r="P2568" s="19"/>
      <c r="Q2568" s="19"/>
      <c r="R2568" s="19"/>
      <c r="S2568" s="19"/>
      <c r="T2568" s="19"/>
      <c r="U2568" s="19"/>
      <c r="V2568" s="19"/>
    </row>
    <row r="2569" spans="2:22" ht="13.2" x14ac:dyDescent="0.25">
      <c r="B2569" s="19"/>
      <c r="C2569" s="19"/>
      <c r="D2569" s="19"/>
      <c r="E2569" s="19"/>
      <c r="F2569" s="19"/>
      <c r="G2569" s="19"/>
      <c r="H2569" s="19"/>
      <c r="I2569" s="19"/>
      <c r="J2569" s="19"/>
      <c r="K2569" s="19"/>
      <c r="L2569" s="19"/>
      <c r="M2569" s="19"/>
      <c r="N2569" s="19"/>
      <c r="O2569" s="19"/>
      <c r="P2569" s="19"/>
      <c r="Q2569" s="19"/>
      <c r="R2569" s="19"/>
      <c r="S2569" s="19"/>
      <c r="T2569" s="19"/>
      <c r="U2569" s="19"/>
      <c r="V2569" s="19"/>
    </row>
    <row r="2570" spans="2:22" ht="13.2" x14ac:dyDescent="0.25">
      <c r="B2570" s="19"/>
      <c r="C2570" s="19"/>
      <c r="D2570" s="19"/>
      <c r="E2570" s="19"/>
      <c r="F2570" s="19"/>
      <c r="G2570" s="19"/>
      <c r="H2570" s="19"/>
      <c r="I2570" s="19"/>
      <c r="J2570" s="19"/>
      <c r="K2570" s="19"/>
      <c r="L2570" s="19"/>
      <c r="M2570" s="19"/>
      <c r="N2570" s="19"/>
      <c r="O2570" s="19"/>
      <c r="P2570" s="19"/>
      <c r="Q2570" s="19"/>
      <c r="R2570" s="19"/>
      <c r="S2570" s="19"/>
      <c r="T2570" s="19"/>
      <c r="U2570" s="19"/>
      <c r="V2570" s="19"/>
    </row>
    <row r="2571" spans="2:22" ht="13.2" x14ac:dyDescent="0.25">
      <c r="B2571" s="19"/>
      <c r="C2571" s="19"/>
      <c r="D2571" s="19"/>
      <c r="E2571" s="19"/>
      <c r="F2571" s="19"/>
      <c r="G2571" s="19"/>
      <c r="H2571" s="19"/>
      <c r="I2571" s="19"/>
      <c r="J2571" s="19"/>
      <c r="K2571" s="19"/>
      <c r="L2571" s="19"/>
      <c r="M2571" s="19"/>
      <c r="N2571" s="19"/>
      <c r="O2571" s="19"/>
      <c r="P2571" s="19"/>
      <c r="Q2571" s="19"/>
      <c r="R2571" s="19"/>
      <c r="S2571" s="19"/>
      <c r="T2571" s="19"/>
      <c r="U2571" s="19"/>
      <c r="V2571" s="19"/>
    </row>
    <row r="2572" spans="2:22" ht="13.2" x14ac:dyDescent="0.25">
      <c r="B2572" s="19"/>
      <c r="C2572" s="19"/>
      <c r="D2572" s="19"/>
      <c r="E2572" s="19"/>
      <c r="F2572" s="19"/>
      <c r="G2572" s="19"/>
      <c r="H2572" s="19"/>
      <c r="I2572" s="19"/>
      <c r="J2572" s="19"/>
      <c r="K2572" s="19"/>
      <c r="L2572" s="19"/>
      <c r="M2572" s="19"/>
      <c r="N2572" s="19"/>
      <c r="O2572" s="19"/>
      <c r="P2572" s="19"/>
      <c r="Q2572" s="19"/>
      <c r="R2572" s="19"/>
      <c r="S2572" s="19"/>
      <c r="T2572" s="19"/>
      <c r="U2572" s="19"/>
      <c r="V2572" s="19"/>
    </row>
    <row r="2573" spans="2:22" ht="13.2" x14ac:dyDescent="0.25">
      <c r="B2573" s="19"/>
      <c r="C2573" s="19"/>
      <c r="D2573" s="19"/>
      <c r="E2573" s="19"/>
      <c r="F2573" s="19"/>
      <c r="G2573" s="19"/>
      <c r="H2573" s="19"/>
      <c r="I2573" s="19"/>
      <c r="J2573" s="19"/>
      <c r="K2573" s="19"/>
      <c r="L2573" s="19"/>
      <c r="M2573" s="19"/>
      <c r="N2573" s="19"/>
      <c r="O2573" s="19"/>
      <c r="P2573" s="19"/>
      <c r="Q2573" s="19"/>
      <c r="R2573" s="19"/>
      <c r="S2573" s="19"/>
      <c r="T2573" s="19"/>
      <c r="U2573" s="19"/>
      <c r="V2573" s="19"/>
    </row>
    <row r="2574" spans="2:22" ht="13.2" x14ac:dyDescent="0.25">
      <c r="B2574" s="19"/>
      <c r="C2574" s="19"/>
      <c r="D2574" s="19"/>
      <c r="E2574" s="19"/>
      <c r="F2574" s="19"/>
      <c r="G2574" s="19"/>
      <c r="H2574" s="19"/>
      <c r="I2574" s="19"/>
      <c r="J2574" s="19"/>
      <c r="K2574" s="19"/>
      <c r="L2574" s="19"/>
      <c r="M2574" s="19"/>
      <c r="N2574" s="19"/>
      <c r="O2574" s="19"/>
      <c r="P2574" s="19"/>
      <c r="Q2574" s="19"/>
      <c r="R2574" s="19"/>
      <c r="S2574" s="19"/>
      <c r="T2574" s="19"/>
      <c r="U2574" s="19"/>
      <c r="V2574" s="19"/>
    </row>
    <row r="2575" spans="2:22" ht="13.2" x14ac:dyDescent="0.25">
      <c r="B2575" s="19"/>
      <c r="C2575" s="19"/>
      <c r="D2575" s="19"/>
      <c r="E2575" s="19"/>
      <c r="F2575" s="19"/>
      <c r="G2575" s="19"/>
      <c r="H2575" s="19"/>
      <c r="I2575" s="19"/>
      <c r="J2575" s="19"/>
      <c r="K2575" s="19"/>
      <c r="L2575" s="19"/>
      <c r="M2575" s="19"/>
      <c r="N2575" s="19"/>
      <c r="O2575" s="19"/>
      <c r="P2575" s="19"/>
      <c r="Q2575" s="19"/>
      <c r="R2575" s="19"/>
      <c r="S2575" s="19"/>
      <c r="T2575" s="19"/>
      <c r="U2575" s="19"/>
      <c r="V2575" s="19"/>
    </row>
    <row r="2576" spans="2:22" ht="13.2" x14ac:dyDescent="0.25">
      <c r="B2576" s="19"/>
      <c r="C2576" s="19"/>
      <c r="D2576" s="19"/>
      <c r="E2576" s="19"/>
      <c r="F2576" s="19"/>
      <c r="G2576" s="19"/>
      <c r="H2576" s="19"/>
      <c r="I2576" s="19"/>
      <c r="J2576" s="19"/>
      <c r="K2576" s="19"/>
      <c r="L2576" s="19"/>
      <c r="M2576" s="19"/>
      <c r="N2576" s="19"/>
      <c r="O2576" s="19"/>
      <c r="P2576" s="19"/>
      <c r="Q2576" s="19"/>
      <c r="R2576" s="19"/>
      <c r="S2576" s="19"/>
      <c r="T2576" s="19"/>
      <c r="U2576" s="19"/>
      <c r="V2576" s="19"/>
    </row>
    <row r="2577" spans="2:22" ht="13.2" x14ac:dyDescent="0.25">
      <c r="B2577" s="19"/>
      <c r="C2577" s="19"/>
      <c r="D2577" s="19"/>
      <c r="E2577" s="19"/>
      <c r="F2577" s="19"/>
      <c r="G2577" s="19"/>
      <c r="H2577" s="19"/>
      <c r="I2577" s="19"/>
      <c r="J2577" s="19"/>
      <c r="K2577" s="19"/>
      <c r="L2577" s="19"/>
      <c r="M2577" s="19"/>
      <c r="N2577" s="19"/>
      <c r="O2577" s="19"/>
      <c r="P2577" s="19"/>
      <c r="Q2577" s="19"/>
      <c r="R2577" s="19"/>
      <c r="S2577" s="19"/>
      <c r="T2577" s="19"/>
      <c r="U2577" s="19"/>
      <c r="V2577" s="19"/>
    </row>
    <row r="2578" spans="2:22" ht="13.2" x14ac:dyDescent="0.25">
      <c r="B2578" s="19"/>
      <c r="C2578" s="19"/>
      <c r="D2578" s="19"/>
      <c r="E2578" s="19"/>
      <c r="F2578" s="19"/>
      <c r="G2578" s="19"/>
      <c r="H2578" s="19"/>
      <c r="I2578" s="19"/>
      <c r="J2578" s="19"/>
      <c r="K2578" s="19"/>
      <c r="L2578" s="19"/>
      <c r="M2578" s="19"/>
      <c r="N2578" s="19"/>
      <c r="O2578" s="19"/>
      <c r="P2578" s="19"/>
      <c r="Q2578" s="19"/>
      <c r="R2578" s="19"/>
      <c r="S2578" s="19"/>
      <c r="T2578" s="19"/>
      <c r="U2578" s="19"/>
      <c r="V2578" s="19"/>
    </row>
    <row r="2579" spans="2:22" ht="13.2" x14ac:dyDescent="0.25">
      <c r="B2579" s="19"/>
      <c r="C2579" s="19"/>
      <c r="D2579" s="19"/>
      <c r="E2579" s="19"/>
      <c r="F2579" s="19"/>
      <c r="G2579" s="19"/>
      <c r="H2579" s="19"/>
      <c r="I2579" s="19"/>
      <c r="J2579" s="19"/>
      <c r="K2579" s="19"/>
      <c r="L2579" s="19"/>
      <c r="M2579" s="19"/>
      <c r="N2579" s="19"/>
      <c r="O2579" s="19"/>
      <c r="P2579" s="19"/>
      <c r="Q2579" s="19"/>
      <c r="R2579" s="19"/>
      <c r="S2579" s="19"/>
      <c r="T2579" s="19"/>
      <c r="U2579" s="19"/>
      <c r="V2579" s="19"/>
    </row>
    <row r="2580" spans="2:22" ht="13.2" x14ac:dyDescent="0.25">
      <c r="B2580" s="19"/>
      <c r="C2580" s="19"/>
      <c r="D2580" s="19"/>
      <c r="E2580" s="19"/>
      <c r="F2580" s="19"/>
      <c r="G2580" s="19"/>
      <c r="H2580" s="19"/>
      <c r="I2580" s="19"/>
      <c r="J2580" s="19"/>
      <c r="K2580" s="19"/>
      <c r="L2580" s="19"/>
      <c r="M2580" s="19"/>
      <c r="N2580" s="19"/>
      <c r="O2580" s="19"/>
      <c r="P2580" s="19"/>
      <c r="Q2580" s="19"/>
      <c r="R2580" s="19"/>
      <c r="S2580" s="19"/>
      <c r="T2580" s="19"/>
      <c r="U2580" s="19"/>
      <c r="V2580" s="19"/>
    </row>
    <row r="2581" spans="2:22" ht="13.2" x14ac:dyDescent="0.25">
      <c r="B2581" s="19"/>
      <c r="C2581" s="19"/>
      <c r="D2581" s="19"/>
      <c r="E2581" s="19"/>
      <c r="F2581" s="19"/>
      <c r="G2581" s="19"/>
      <c r="H2581" s="19"/>
      <c r="I2581" s="19"/>
      <c r="J2581" s="19"/>
      <c r="K2581" s="19"/>
      <c r="L2581" s="19"/>
      <c r="M2581" s="19"/>
      <c r="N2581" s="19"/>
      <c r="O2581" s="19"/>
      <c r="P2581" s="19"/>
      <c r="Q2581" s="19"/>
      <c r="R2581" s="19"/>
      <c r="S2581" s="19"/>
      <c r="T2581" s="19"/>
      <c r="U2581" s="19"/>
      <c r="V2581" s="19"/>
    </row>
    <row r="2582" spans="2:22" ht="13.2" x14ac:dyDescent="0.25">
      <c r="B2582" s="19"/>
      <c r="C2582" s="19"/>
      <c r="D2582" s="19"/>
      <c r="E2582" s="19"/>
      <c r="F2582" s="19"/>
      <c r="G2582" s="19"/>
      <c r="H2582" s="19"/>
      <c r="I2582" s="19"/>
      <c r="J2582" s="19"/>
      <c r="K2582" s="19"/>
      <c r="L2582" s="19"/>
      <c r="M2582" s="19"/>
      <c r="N2582" s="19"/>
      <c r="O2582" s="19"/>
      <c r="P2582" s="19"/>
      <c r="Q2582" s="19"/>
      <c r="R2582" s="19"/>
      <c r="S2582" s="19"/>
      <c r="T2582" s="19"/>
      <c r="U2582" s="19"/>
      <c r="V2582" s="19"/>
    </row>
    <row r="2583" spans="2:22" ht="13.2" x14ac:dyDescent="0.25">
      <c r="B2583" s="19"/>
      <c r="C2583" s="19"/>
      <c r="D2583" s="19"/>
      <c r="E2583" s="19"/>
      <c r="F2583" s="19"/>
      <c r="G2583" s="19"/>
      <c r="H2583" s="19"/>
      <c r="I2583" s="19"/>
      <c r="J2583" s="19"/>
      <c r="K2583" s="19"/>
      <c r="L2583" s="19"/>
      <c r="M2583" s="19"/>
      <c r="N2583" s="19"/>
      <c r="O2583" s="19"/>
      <c r="P2583" s="19"/>
      <c r="Q2583" s="19"/>
      <c r="R2583" s="19"/>
      <c r="S2583" s="19"/>
      <c r="T2583" s="19"/>
      <c r="U2583" s="19"/>
      <c r="V2583" s="19"/>
    </row>
    <row r="2584" spans="2:22" ht="13.2" x14ac:dyDescent="0.25">
      <c r="B2584" s="19"/>
      <c r="C2584" s="19"/>
      <c r="D2584" s="19"/>
      <c r="E2584" s="19"/>
      <c r="F2584" s="19"/>
      <c r="G2584" s="19"/>
      <c r="H2584" s="19"/>
      <c r="I2584" s="19"/>
      <c r="J2584" s="19"/>
      <c r="K2584" s="19"/>
      <c r="L2584" s="19"/>
      <c r="M2584" s="19"/>
      <c r="N2584" s="19"/>
      <c r="O2584" s="19"/>
      <c r="P2584" s="19"/>
      <c r="Q2584" s="19"/>
      <c r="R2584" s="19"/>
      <c r="S2584" s="19"/>
      <c r="T2584" s="19"/>
      <c r="U2584" s="19"/>
      <c r="V2584" s="19"/>
    </row>
    <row r="2585" spans="2:22" ht="13.2" x14ac:dyDescent="0.25">
      <c r="B2585" s="19"/>
      <c r="C2585" s="19"/>
      <c r="D2585" s="19"/>
      <c r="E2585" s="19"/>
      <c r="F2585" s="19"/>
      <c r="G2585" s="19"/>
      <c r="H2585" s="19"/>
      <c r="I2585" s="19"/>
      <c r="J2585" s="19"/>
      <c r="K2585" s="19"/>
      <c r="L2585" s="19"/>
      <c r="M2585" s="19"/>
      <c r="N2585" s="19"/>
      <c r="O2585" s="19"/>
      <c r="P2585" s="19"/>
      <c r="Q2585" s="19"/>
      <c r="R2585" s="19"/>
      <c r="S2585" s="19"/>
      <c r="T2585" s="19"/>
      <c r="U2585" s="19"/>
      <c r="V2585" s="19"/>
    </row>
    <row r="2586" spans="2:22" ht="13.2" x14ac:dyDescent="0.25">
      <c r="B2586" s="19"/>
      <c r="C2586" s="19"/>
      <c r="D2586" s="19"/>
      <c r="E2586" s="19"/>
      <c r="F2586" s="19"/>
      <c r="G2586" s="19"/>
      <c r="H2586" s="19"/>
      <c r="I2586" s="19"/>
      <c r="J2586" s="19"/>
      <c r="K2586" s="19"/>
      <c r="L2586" s="19"/>
      <c r="M2586" s="19"/>
      <c r="N2586" s="19"/>
      <c r="O2586" s="19"/>
      <c r="P2586" s="19"/>
      <c r="Q2586" s="19"/>
      <c r="R2586" s="19"/>
      <c r="S2586" s="19"/>
      <c r="T2586" s="19"/>
      <c r="U2586" s="19"/>
      <c r="V2586" s="19"/>
    </row>
    <row r="2587" spans="2:22" ht="13.2" x14ac:dyDescent="0.25">
      <c r="B2587" s="19"/>
      <c r="C2587" s="19"/>
      <c r="D2587" s="19"/>
      <c r="E2587" s="19"/>
      <c r="F2587" s="19"/>
      <c r="G2587" s="19"/>
      <c r="H2587" s="19"/>
      <c r="I2587" s="19"/>
      <c r="J2587" s="19"/>
      <c r="K2587" s="19"/>
      <c r="L2587" s="19"/>
      <c r="M2587" s="19"/>
      <c r="N2587" s="19"/>
      <c r="O2587" s="19"/>
      <c r="P2587" s="19"/>
      <c r="Q2587" s="19"/>
      <c r="R2587" s="19"/>
      <c r="S2587" s="19"/>
      <c r="T2587" s="19"/>
      <c r="U2587" s="19"/>
      <c r="V2587" s="19"/>
    </row>
    <row r="2588" spans="2:22" ht="13.2" x14ac:dyDescent="0.25">
      <c r="B2588" s="19"/>
      <c r="C2588" s="19"/>
      <c r="D2588" s="19"/>
      <c r="E2588" s="19"/>
      <c r="F2588" s="19"/>
      <c r="G2588" s="19"/>
      <c r="H2588" s="19"/>
      <c r="I2588" s="19"/>
      <c r="J2588" s="19"/>
      <c r="K2588" s="19"/>
      <c r="L2588" s="19"/>
      <c r="M2588" s="19"/>
      <c r="N2588" s="19"/>
      <c r="O2588" s="19"/>
      <c r="P2588" s="19"/>
      <c r="Q2588" s="19"/>
      <c r="R2588" s="19"/>
      <c r="S2588" s="19"/>
      <c r="T2588" s="19"/>
      <c r="U2588" s="19"/>
      <c r="V2588" s="19"/>
    </row>
    <row r="2589" spans="2:22" ht="13.2" x14ac:dyDescent="0.25">
      <c r="B2589" s="19"/>
      <c r="C2589" s="19"/>
      <c r="D2589" s="19"/>
      <c r="E2589" s="19"/>
      <c r="F2589" s="19"/>
      <c r="G2589" s="19"/>
      <c r="H2589" s="19"/>
      <c r="I2589" s="19"/>
      <c r="J2589" s="19"/>
      <c r="K2589" s="19"/>
      <c r="L2589" s="19"/>
      <c r="M2589" s="19"/>
      <c r="N2589" s="19"/>
      <c r="O2589" s="19"/>
      <c r="P2589" s="19"/>
      <c r="Q2589" s="19"/>
      <c r="R2589" s="19"/>
      <c r="S2589" s="19"/>
      <c r="T2589" s="19"/>
      <c r="U2589" s="19"/>
      <c r="V2589" s="19"/>
    </row>
    <row r="2590" spans="2:22" ht="13.2" x14ac:dyDescent="0.25">
      <c r="B2590" s="19"/>
      <c r="C2590" s="19"/>
      <c r="D2590" s="19"/>
      <c r="E2590" s="19"/>
      <c r="F2590" s="19"/>
      <c r="G2590" s="19"/>
      <c r="H2590" s="19"/>
      <c r="I2590" s="19"/>
      <c r="J2590" s="19"/>
      <c r="K2590" s="19"/>
      <c r="L2590" s="19"/>
      <c r="M2590" s="19"/>
      <c r="N2590" s="19"/>
      <c r="O2590" s="19"/>
      <c r="P2590" s="19"/>
      <c r="Q2590" s="19"/>
      <c r="R2590" s="19"/>
      <c r="S2590" s="19"/>
      <c r="T2590" s="19"/>
      <c r="U2590" s="19"/>
      <c r="V2590" s="19"/>
    </row>
    <row r="2591" spans="2:22" ht="13.2" x14ac:dyDescent="0.25">
      <c r="B2591" s="19"/>
      <c r="C2591" s="19"/>
      <c r="D2591" s="19"/>
      <c r="E2591" s="19"/>
      <c r="F2591" s="19"/>
      <c r="G2591" s="19"/>
      <c r="H2591" s="19"/>
      <c r="I2591" s="19"/>
      <c r="J2591" s="19"/>
      <c r="K2591" s="19"/>
      <c r="L2591" s="19"/>
      <c r="M2591" s="19"/>
      <c r="N2591" s="19"/>
      <c r="O2591" s="19"/>
      <c r="P2591" s="19"/>
      <c r="Q2591" s="19"/>
      <c r="R2591" s="19"/>
      <c r="S2591" s="19"/>
      <c r="T2591" s="19"/>
      <c r="U2591" s="19"/>
      <c r="V2591" s="19"/>
    </row>
    <row r="2592" spans="2:22" ht="13.2" x14ac:dyDescent="0.25">
      <c r="B2592" s="19"/>
      <c r="C2592" s="19"/>
      <c r="D2592" s="19"/>
      <c r="E2592" s="19"/>
      <c r="F2592" s="19"/>
      <c r="G2592" s="19"/>
      <c r="H2592" s="19"/>
      <c r="I2592" s="19"/>
      <c r="J2592" s="19"/>
      <c r="K2592" s="19"/>
      <c r="L2592" s="19"/>
      <c r="M2592" s="19"/>
      <c r="N2592" s="19"/>
      <c r="O2592" s="19"/>
      <c r="P2592" s="19"/>
      <c r="Q2592" s="19"/>
      <c r="R2592" s="19"/>
      <c r="S2592" s="19"/>
      <c r="T2592" s="19"/>
      <c r="U2592" s="19"/>
      <c r="V2592" s="19"/>
    </row>
    <row r="2593" spans="2:22" ht="13.2" x14ac:dyDescent="0.25">
      <c r="B2593" s="19"/>
      <c r="C2593" s="19"/>
      <c r="D2593" s="19"/>
      <c r="E2593" s="19"/>
      <c r="F2593" s="19"/>
      <c r="G2593" s="19"/>
      <c r="H2593" s="19"/>
      <c r="I2593" s="19"/>
      <c r="J2593" s="19"/>
      <c r="K2593" s="19"/>
      <c r="L2593" s="19"/>
      <c r="M2593" s="19"/>
      <c r="N2593" s="19"/>
      <c r="O2593" s="19"/>
      <c r="P2593" s="19"/>
      <c r="Q2593" s="19"/>
      <c r="R2593" s="19"/>
      <c r="S2593" s="19"/>
      <c r="T2593" s="19"/>
      <c r="U2593" s="19"/>
      <c r="V2593" s="19"/>
    </row>
    <row r="2594" spans="2:22" ht="13.2" x14ac:dyDescent="0.25">
      <c r="B2594" s="19"/>
      <c r="C2594" s="19"/>
      <c r="D2594" s="19"/>
      <c r="E2594" s="19"/>
      <c r="F2594" s="19"/>
      <c r="G2594" s="19"/>
      <c r="H2594" s="19"/>
      <c r="I2594" s="19"/>
      <c r="J2594" s="19"/>
      <c r="K2594" s="19"/>
      <c r="L2594" s="19"/>
      <c r="M2594" s="19"/>
      <c r="N2594" s="19"/>
      <c r="O2594" s="19"/>
      <c r="P2594" s="19"/>
      <c r="Q2594" s="19"/>
      <c r="R2594" s="19"/>
      <c r="S2594" s="19"/>
      <c r="T2594" s="19"/>
      <c r="U2594" s="19"/>
      <c r="V2594" s="19"/>
    </row>
    <row r="2595" spans="2:22" ht="13.2" x14ac:dyDescent="0.25">
      <c r="B2595" s="19"/>
      <c r="C2595" s="19"/>
      <c r="D2595" s="19"/>
      <c r="E2595" s="19"/>
      <c r="F2595" s="19"/>
      <c r="G2595" s="19"/>
      <c r="H2595" s="19"/>
      <c r="I2595" s="19"/>
      <c r="J2595" s="19"/>
      <c r="K2595" s="19"/>
      <c r="L2595" s="19"/>
      <c r="M2595" s="19"/>
      <c r="N2595" s="19"/>
      <c r="O2595" s="19"/>
      <c r="P2595" s="19"/>
      <c r="Q2595" s="19"/>
      <c r="R2595" s="19"/>
      <c r="S2595" s="19"/>
      <c r="T2595" s="19"/>
      <c r="U2595" s="19"/>
      <c r="V2595" s="19"/>
    </row>
    <row r="2596" spans="2:22" ht="13.2" x14ac:dyDescent="0.25">
      <c r="B2596" s="19"/>
      <c r="C2596" s="19"/>
      <c r="D2596" s="19"/>
      <c r="E2596" s="19"/>
      <c r="F2596" s="19"/>
      <c r="G2596" s="19"/>
      <c r="H2596" s="19"/>
      <c r="I2596" s="19"/>
      <c r="J2596" s="19"/>
      <c r="K2596" s="19"/>
      <c r="L2596" s="19"/>
      <c r="M2596" s="19"/>
      <c r="N2596" s="19"/>
      <c r="O2596" s="19"/>
      <c r="P2596" s="19"/>
      <c r="Q2596" s="19"/>
      <c r="R2596" s="19"/>
      <c r="S2596" s="19"/>
      <c r="T2596" s="19"/>
      <c r="U2596" s="19"/>
      <c r="V2596" s="19"/>
    </row>
    <row r="2597" spans="2:22" ht="13.2" x14ac:dyDescent="0.25">
      <c r="B2597" s="19"/>
      <c r="C2597" s="19"/>
      <c r="D2597" s="19"/>
      <c r="E2597" s="19"/>
      <c r="F2597" s="19"/>
      <c r="G2597" s="19"/>
      <c r="H2597" s="19"/>
      <c r="I2597" s="19"/>
      <c r="J2597" s="19"/>
      <c r="K2597" s="19"/>
      <c r="L2597" s="19"/>
      <c r="M2597" s="19"/>
      <c r="N2597" s="19"/>
      <c r="O2597" s="19"/>
      <c r="P2597" s="19"/>
      <c r="Q2597" s="19"/>
      <c r="R2597" s="19"/>
      <c r="S2597" s="19"/>
      <c r="T2597" s="19"/>
      <c r="U2597" s="19"/>
      <c r="V2597" s="19"/>
    </row>
    <row r="2598" spans="2:22" ht="13.2" x14ac:dyDescent="0.25">
      <c r="B2598" s="19"/>
      <c r="C2598" s="19"/>
      <c r="D2598" s="19"/>
      <c r="E2598" s="19"/>
      <c r="F2598" s="19"/>
      <c r="G2598" s="19"/>
      <c r="H2598" s="19"/>
      <c r="I2598" s="19"/>
      <c r="J2598" s="19"/>
      <c r="K2598" s="19"/>
      <c r="L2598" s="19"/>
      <c r="M2598" s="19"/>
      <c r="N2598" s="19"/>
      <c r="O2598" s="19"/>
      <c r="P2598" s="19"/>
      <c r="Q2598" s="19"/>
      <c r="R2598" s="19"/>
      <c r="S2598" s="19"/>
      <c r="T2598" s="19"/>
      <c r="U2598" s="19"/>
      <c r="V2598" s="19"/>
    </row>
    <row r="2599" spans="2:22" ht="13.2" x14ac:dyDescent="0.25">
      <c r="B2599" s="19"/>
      <c r="C2599" s="19"/>
      <c r="D2599" s="19"/>
      <c r="E2599" s="19"/>
      <c r="F2599" s="19"/>
      <c r="G2599" s="19"/>
      <c r="H2599" s="19"/>
      <c r="I2599" s="19"/>
      <c r="J2599" s="19"/>
      <c r="K2599" s="19"/>
      <c r="L2599" s="19"/>
      <c r="M2599" s="19"/>
      <c r="N2599" s="19"/>
      <c r="O2599" s="19"/>
      <c r="P2599" s="19"/>
      <c r="Q2599" s="19"/>
      <c r="R2599" s="19"/>
      <c r="S2599" s="19"/>
      <c r="T2599" s="19"/>
      <c r="U2599" s="19"/>
      <c r="V2599" s="19"/>
    </row>
    <row r="2600" spans="2:22" ht="13.2" x14ac:dyDescent="0.25">
      <c r="B2600" s="19"/>
      <c r="C2600" s="19"/>
      <c r="D2600" s="19"/>
      <c r="E2600" s="19"/>
      <c r="F2600" s="19"/>
      <c r="G2600" s="19"/>
      <c r="H2600" s="19"/>
      <c r="I2600" s="19"/>
      <c r="J2600" s="19"/>
      <c r="K2600" s="19"/>
      <c r="L2600" s="19"/>
      <c r="M2600" s="19"/>
      <c r="N2600" s="19"/>
      <c r="O2600" s="19"/>
      <c r="P2600" s="19"/>
      <c r="Q2600" s="19"/>
      <c r="R2600" s="19"/>
      <c r="S2600" s="19"/>
      <c r="T2600" s="19"/>
      <c r="U2600" s="19"/>
      <c r="V2600" s="19"/>
    </row>
    <row r="2601" spans="2:22" ht="13.2" x14ac:dyDescent="0.25">
      <c r="B2601" s="19"/>
      <c r="C2601" s="19"/>
      <c r="D2601" s="19"/>
      <c r="E2601" s="19"/>
      <c r="F2601" s="19"/>
      <c r="G2601" s="19"/>
      <c r="H2601" s="19"/>
      <c r="I2601" s="19"/>
      <c r="J2601" s="19"/>
      <c r="K2601" s="19"/>
      <c r="L2601" s="19"/>
      <c r="M2601" s="19"/>
      <c r="N2601" s="19"/>
      <c r="O2601" s="19"/>
      <c r="P2601" s="19"/>
      <c r="Q2601" s="19"/>
      <c r="R2601" s="19"/>
      <c r="S2601" s="19"/>
      <c r="T2601" s="19"/>
      <c r="U2601" s="19"/>
      <c r="V2601" s="19"/>
    </row>
    <row r="2602" spans="2:22" ht="13.2" x14ac:dyDescent="0.25">
      <c r="B2602" s="19"/>
      <c r="C2602" s="19"/>
      <c r="D2602" s="19"/>
      <c r="E2602" s="19"/>
      <c r="F2602" s="19"/>
      <c r="G2602" s="19"/>
      <c r="H2602" s="19"/>
      <c r="I2602" s="19"/>
      <c r="J2602" s="19"/>
      <c r="K2602" s="19"/>
      <c r="L2602" s="19"/>
      <c r="M2602" s="19"/>
      <c r="N2602" s="19"/>
      <c r="O2602" s="19"/>
      <c r="P2602" s="19"/>
      <c r="Q2602" s="19"/>
      <c r="R2602" s="19"/>
      <c r="S2602" s="19"/>
      <c r="T2602" s="19"/>
      <c r="U2602" s="19"/>
      <c r="V2602" s="19"/>
    </row>
    <row r="2603" spans="2:22" ht="13.2" x14ac:dyDescent="0.25">
      <c r="B2603" s="19"/>
      <c r="C2603" s="19"/>
      <c r="D2603" s="19"/>
      <c r="E2603" s="19"/>
      <c r="F2603" s="19"/>
      <c r="G2603" s="19"/>
      <c r="H2603" s="19"/>
      <c r="I2603" s="19"/>
      <c r="J2603" s="19"/>
      <c r="K2603" s="19"/>
      <c r="L2603" s="19"/>
      <c r="M2603" s="19"/>
      <c r="N2603" s="19"/>
      <c r="O2603" s="19"/>
      <c r="P2603" s="19"/>
      <c r="Q2603" s="19"/>
      <c r="R2603" s="19"/>
      <c r="S2603" s="19"/>
      <c r="T2603" s="19"/>
      <c r="U2603" s="19"/>
      <c r="V2603" s="19"/>
    </row>
    <row r="2604" spans="2:22" ht="13.2" x14ac:dyDescent="0.25">
      <c r="B2604" s="19"/>
      <c r="C2604" s="19"/>
      <c r="D2604" s="19"/>
      <c r="E2604" s="19"/>
      <c r="F2604" s="19"/>
      <c r="G2604" s="19"/>
      <c r="H2604" s="19"/>
      <c r="I2604" s="19"/>
      <c r="J2604" s="19"/>
      <c r="K2604" s="19"/>
      <c r="L2604" s="19"/>
      <c r="M2604" s="19"/>
      <c r="N2604" s="19"/>
      <c r="O2604" s="19"/>
      <c r="P2604" s="19"/>
      <c r="Q2604" s="19"/>
      <c r="R2604" s="19"/>
      <c r="S2604" s="19"/>
      <c r="T2604" s="19"/>
      <c r="U2604" s="19"/>
      <c r="V2604" s="19"/>
    </row>
    <row r="2605" spans="2:22" ht="13.2" x14ac:dyDescent="0.25">
      <c r="B2605" s="19"/>
      <c r="C2605" s="19"/>
      <c r="D2605" s="19"/>
      <c r="E2605" s="19"/>
      <c r="F2605" s="19"/>
      <c r="G2605" s="19"/>
      <c r="H2605" s="19"/>
      <c r="I2605" s="19"/>
      <c r="J2605" s="19"/>
      <c r="K2605" s="19"/>
      <c r="L2605" s="19"/>
      <c r="M2605" s="19"/>
      <c r="N2605" s="19"/>
      <c r="O2605" s="19"/>
      <c r="P2605" s="19"/>
      <c r="Q2605" s="19"/>
      <c r="R2605" s="19"/>
      <c r="S2605" s="19"/>
      <c r="T2605" s="19"/>
      <c r="U2605" s="19"/>
      <c r="V2605" s="19"/>
    </row>
    <row r="2606" spans="2:22" ht="13.2" x14ac:dyDescent="0.25">
      <c r="B2606" s="19"/>
      <c r="C2606" s="19"/>
      <c r="D2606" s="19"/>
      <c r="E2606" s="19"/>
      <c r="F2606" s="19"/>
      <c r="G2606" s="19"/>
      <c r="H2606" s="19"/>
      <c r="I2606" s="19"/>
      <c r="J2606" s="19"/>
      <c r="K2606" s="19"/>
      <c r="L2606" s="19"/>
      <c r="M2606" s="19"/>
      <c r="N2606" s="19"/>
      <c r="O2606" s="19"/>
      <c r="P2606" s="19"/>
      <c r="Q2606" s="19"/>
      <c r="R2606" s="19"/>
      <c r="S2606" s="19"/>
      <c r="T2606" s="19"/>
      <c r="U2606" s="19"/>
      <c r="V2606" s="19"/>
    </row>
    <row r="2607" spans="2:22" ht="13.2" x14ac:dyDescent="0.25">
      <c r="B2607" s="19"/>
      <c r="C2607" s="19"/>
      <c r="D2607" s="19"/>
      <c r="E2607" s="19"/>
      <c r="F2607" s="19"/>
      <c r="G2607" s="19"/>
      <c r="H2607" s="19"/>
      <c r="I2607" s="19"/>
      <c r="J2607" s="19"/>
      <c r="K2607" s="19"/>
      <c r="L2607" s="19"/>
      <c r="M2607" s="19"/>
      <c r="N2607" s="19"/>
      <c r="O2607" s="19"/>
      <c r="P2607" s="19"/>
      <c r="Q2607" s="19"/>
      <c r="R2607" s="19"/>
      <c r="S2607" s="19"/>
      <c r="T2607" s="19"/>
      <c r="U2607" s="19"/>
      <c r="V2607" s="19"/>
    </row>
    <row r="2608" spans="2:22" ht="13.2" x14ac:dyDescent="0.25">
      <c r="B2608" s="19"/>
      <c r="C2608" s="19"/>
      <c r="D2608" s="19"/>
      <c r="E2608" s="19"/>
      <c r="F2608" s="19"/>
      <c r="G2608" s="19"/>
      <c r="H2608" s="19"/>
      <c r="I2608" s="19"/>
      <c r="J2608" s="19"/>
      <c r="K2608" s="19"/>
      <c r="L2608" s="19"/>
      <c r="M2608" s="19"/>
      <c r="N2608" s="19"/>
      <c r="O2608" s="19"/>
      <c r="P2608" s="19"/>
      <c r="Q2608" s="19"/>
      <c r="R2608" s="19"/>
      <c r="S2608" s="19"/>
      <c r="T2608" s="19"/>
      <c r="U2608" s="19"/>
      <c r="V2608" s="19"/>
    </row>
    <row r="2609" spans="2:22" ht="13.2" x14ac:dyDescent="0.25">
      <c r="B2609" s="19"/>
      <c r="C2609" s="19"/>
      <c r="D2609" s="19"/>
      <c r="E2609" s="19"/>
      <c r="F2609" s="19"/>
      <c r="G2609" s="19"/>
      <c r="H2609" s="19"/>
      <c r="I2609" s="19"/>
      <c r="J2609" s="19"/>
      <c r="K2609" s="19"/>
      <c r="L2609" s="19"/>
      <c r="M2609" s="19"/>
      <c r="N2609" s="19"/>
      <c r="O2609" s="19"/>
      <c r="P2609" s="19"/>
      <c r="Q2609" s="19"/>
      <c r="R2609" s="19"/>
      <c r="S2609" s="19"/>
      <c r="T2609" s="19"/>
      <c r="U2609" s="19"/>
      <c r="V2609" s="19"/>
    </row>
    <row r="2610" spans="2:22" ht="13.2" x14ac:dyDescent="0.25">
      <c r="B2610" s="19"/>
      <c r="C2610" s="19"/>
      <c r="D2610" s="19"/>
      <c r="E2610" s="19"/>
      <c r="F2610" s="19"/>
      <c r="G2610" s="19"/>
      <c r="H2610" s="19"/>
      <c r="I2610" s="19"/>
      <c r="J2610" s="19"/>
      <c r="K2610" s="19"/>
      <c r="L2610" s="19"/>
      <c r="M2610" s="19"/>
      <c r="N2610" s="19"/>
      <c r="O2610" s="19"/>
      <c r="P2610" s="19"/>
      <c r="Q2610" s="19"/>
      <c r="R2610" s="19"/>
      <c r="S2610" s="19"/>
      <c r="T2610" s="19"/>
      <c r="U2610" s="19"/>
      <c r="V2610" s="19"/>
    </row>
    <row r="2611" spans="2:22" ht="13.2" x14ac:dyDescent="0.25">
      <c r="B2611" s="19"/>
      <c r="C2611" s="19"/>
      <c r="D2611" s="19"/>
      <c r="E2611" s="19"/>
      <c r="F2611" s="19"/>
      <c r="G2611" s="19"/>
      <c r="H2611" s="19"/>
      <c r="I2611" s="19"/>
      <c r="J2611" s="19"/>
      <c r="K2611" s="19"/>
      <c r="L2611" s="19"/>
      <c r="M2611" s="19"/>
      <c r="N2611" s="19"/>
      <c r="O2611" s="19"/>
      <c r="P2611" s="19"/>
      <c r="Q2611" s="19"/>
      <c r="R2611" s="19"/>
      <c r="S2611" s="19"/>
      <c r="T2611" s="19"/>
      <c r="U2611" s="19"/>
      <c r="V2611" s="19"/>
    </row>
    <row r="2612" spans="2:22" ht="13.2" x14ac:dyDescent="0.25">
      <c r="B2612" s="19"/>
      <c r="C2612" s="19"/>
      <c r="D2612" s="19"/>
      <c r="E2612" s="19"/>
      <c r="F2612" s="19"/>
      <c r="G2612" s="19"/>
      <c r="H2612" s="19"/>
      <c r="I2612" s="19"/>
      <c r="J2612" s="19"/>
      <c r="K2612" s="19"/>
      <c r="L2612" s="19"/>
      <c r="M2612" s="19"/>
      <c r="N2612" s="19"/>
      <c r="O2612" s="19"/>
      <c r="P2612" s="19"/>
      <c r="Q2612" s="19"/>
      <c r="R2612" s="19"/>
      <c r="S2612" s="19"/>
      <c r="T2612" s="19"/>
      <c r="U2612" s="19"/>
      <c r="V2612" s="19"/>
    </row>
    <row r="2613" spans="2:22" ht="13.2" x14ac:dyDescent="0.25">
      <c r="B2613" s="19"/>
      <c r="C2613" s="19"/>
      <c r="D2613" s="19"/>
      <c r="E2613" s="19"/>
      <c r="F2613" s="19"/>
      <c r="G2613" s="19"/>
      <c r="H2613" s="19"/>
      <c r="I2613" s="19"/>
      <c r="J2613" s="19"/>
      <c r="K2613" s="19"/>
      <c r="L2613" s="19"/>
      <c r="M2613" s="19"/>
      <c r="N2613" s="19"/>
      <c r="O2613" s="19"/>
      <c r="P2613" s="19"/>
      <c r="Q2613" s="19"/>
      <c r="R2613" s="19"/>
      <c r="S2613" s="19"/>
      <c r="T2613" s="19"/>
      <c r="U2613" s="19"/>
      <c r="V2613" s="19"/>
    </row>
    <row r="2614" spans="2:22" ht="13.2" x14ac:dyDescent="0.25">
      <c r="B2614" s="19"/>
      <c r="C2614" s="19"/>
      <c r="D2614" s="19"/>
      <c r="E2614" s="19"/>
      <c r="F2614" s="19"/>
      <c r="G2614" s="19"/>
      <c r="H2614" s="19"/>
      <c r="I2614" s="19"/>
      <c r="J2614" s="19"/>
      <c r="K2614" s="19"/>
      <c r="L2614" s="19"/>
      <c r="M2614" s="19"/>
      <c r="N2614" s="19"/>
      <c r="O2614" s="19"/>
      <c r="P2614" s="19"/>
      <c r="Q2614" s="19"/>
      <c r="R2614" s="19"/>
      <c r="S2614" s="19"/>
      <c r="T2614" s="19"/>
      <c r="U2614" s="19"/>
      <c r="V2614" s="19"/>
    </row>
    <row r="2615" spans="2:22" ht="13.2" x14ac:dyDescent="0.25">
      <c r="B2615" s="19"/>
      <c r="C2615" s="19"/>
      <c r="D2615" s="19"/>
      <c r="E2615" s="19"/>
      <c r="F2615" s="19"/>
      <c r="G2615" s="19"/>
      <c r="H2615" s="19"/>
      <c r="I2615" s="19"/>
      <c r="J2615" s="19"/>
      <c r="K2615" s="19"/>
      <c r="L2615" s="19"/>
      <c r="M2615" s="19"/>
      <c r="N2615" s="19"/>
      <c r="O2615" s="19"/>
      <c r="P2615" s="19"/>
      <c r="Q2615" s="19"/>
      <c r="R2615" s="19"/>
      <c r="S2615" s="19"/>
      <c r="T2615" s="19"/>
      <c r="U2615" s="19"/>
      <c r="V2615" s="19"/>
    </row>
    <row r="2616" spans="2:22" ht="13.2" x14ac:dyDescent="0.25">
      <c r="B2616" s="19"/>
      <c r="C2616" s="19"/>
      <c r="D2616" s="19"/>
      <c r="E2616" s="19"/>
      <c r="F2616" s="19"/>
      <c r="G2616" s="19"/>
      <c r="H2616" s="19"/>
      <c r="I2616" s="19"/>
      <c r="J2616" s="19"/>
      <c r="K2616" s="19"/>
      <c r="L2616" s="19"/>
      <c r="M2616" s="19"/>
      <c r="N2616" s="19"/>
      <c r="O2616" s="19"/>
      <c r="P2616" s="19"/>
      <c r="Q2616" s="19"/>
      <c r="R2616" s="19"/>
      <c r="S2616" s="19"/>
      <c r="T2616" s="19"/>
      <c r="U2616" s="19"/>
      <c r="V2616" s="19"/>
    </row>
    <row r="2617" spans="2:22" ht="13.2" x14ac:dyDescent="0.25">
      <c r="B2617" s="19"/>
      <c r="C2617" s="19"/>
      <c r="D2617" s="19"/>
      <c r="E2617" s="19"/>
      <c r="F2617" s="19"/>
      <c r="G2617" s="19"/>
      <c r="H2617" s="19"/>
      <c r="I2617" s="19"/>
      <c r="J2617" s="19"/>
      <c r="K2617" s="19"/>
      <c r="L2617" s="19"/>
      <c r="M2617" s="19"/>
      <c r="N2617" s="19"/>
      <c r="O2617" s="19"/>
      <c r="P2617" s="19"/>
      <c r="Q2617" s="19"/>
      <c r="R2617" s="19"/>
      <c r="S2617" s="19"/>
      <c r="T2617" s="19"/>
      <c r="U2617" s="19"/>
      <c r="V2617" s="19"/>
    </row>
    <row r="2618" spans="2:22" ht="13.2" x14ac:dyDescent="0.25">
      <c r="B2618" s="19"/>
      <c r="C2618" s="19"/>
      <c r="D2618" s="19"/>
      <c r="E2618" s="19"/>
      <c r="F2618" s="19"/>
      <c r="G2618" s="19"/>
      <c r="H2618" s="19"/>
      <c r="I2618" s="19"/>
      <c r="J2618" s="19"/>
      <c r="K2618" s="19"/>
      <c r="L2618" s="19"/>
      <c r="M2618" s="19"/>
      <c r="N2618" s="19"/>
      <c r="O2618" s="19"/>
      <c r="P2618" s="19"/>
      <c r="Q2618" s="19"/>
      <c r="R2618" s="19"/>
      <c r="S2618" s="19"/>
      <c r="T2618" s="19"/>
      <c r="U2618" s="19"/>
      <c r="V2618" s="19"/>
    </row>
    <row r="2619" spans="2:22" ht="13.2" x14ac:dyDescent="0.25">
      <c r="B2619" s="19"/>
      <c r="C2619" s="19"/>
      <c r="D2619" s="19"/>
      <c r="E2619" s="19"/>
      <c r="F2619" s="19"/>
      <c r="G2619" s="19"/>
      <c r="H2619" s="19"/>
      <c r="I2619" s="19"/>
      <c r="J2619" s="19"/>
      <c r="K2619" s="19"/>
      <c r="L2619" s="19"/>
      <c r="M2619" s="19"/>
      <c r="N2619" s="19"/>
      <c r="O2619" s="19"/>
      <c r="P2619" s="19"/>
      <c r="Q2619" s="19"/>
      <c r="R2619" s="19"/>
      <c r="S2619" s="19"/>
      <c r="T2619" s="19"/>
      <c r="U2619" s="19"/>
      <c r="V2619" s="19"/>
    </row>
    <row r="2620" spans="2:22" ht="13.2" x14ac:dyDescent="0.25">
      <c r="B2620" s="19"/>
      <c r="C2620" s="19"/>
      <c r="D2620" s="19"/>
      <c r="E2620" s="19"/>
      <c r="F2620" s="19"/>
      <c r="G2620" s="19"/>
      <c r="H2620" s="19"/>
      <c r="I2620" s="19"/>
      <c r="J2620" s="19"/>
      <c r="K2620" s="19"/>
      <c r="L2620" s="19"/>
      <c r="M2620" s="19"/>
      <c r="N2620" s="19"/>
      <c r="O2620" s="19"/>
      <c r="P2620" s="19"/>
      <c r="Q2620" s="19"/>
      <c r="R2620" s="19"/>
      <c r="S2620" s="19"/>
      <c r="T2620" s="19"/>
      <c r="U2620" s="19"/>
      <c r="V2620" s="19"/>
    </row>
    <row r="2621" spans="2:22" ht="13.2" x14ac:dyDescent="0.25">
      <c r="B2621" s="19"/>
      <c r="C2621" s="19"/>
      <c r="D2621" s="19"/>
      <c r="E2621" s="19"/>
      <c r="F2621" s="19"/>
      <c r="G2621" s="19"/>
      <c r="H2621" s="19"/>
      <c r="I2621" s="19"/>
      <c r="J2621" s="19"/>
      <c r="K2621" s="19"/>
      <c r="L2621" s="19"/>
      <c r="M2621" s="19"/>
      <c r="N2621" s="19"/>
      <c r="O2621" s="19"/>
      <c r="P2621" s="19"/>
      <c r="Q2621" s="19"/>
      <c r="R2621" s="19"/>
      <c r="S2621" s="19"/>
      <c r="T2621" s="19"/>
      <c r="U2621" s="19"/>
      <c r="V2621" s="19"/>
    </row>
    <row r="2622" spans="2:22" ht="13.2" x14ac:dyDescent="0.25">
      <c r="B2622" s="19"/>
      <c r="C2622" s="19"/>
      <c r="D2622" s="19"/>
      <c r="E2622" s="19"/>
      <c r="F2622" s="19"/>
      <c r="G2622" s="19"/>
      <c r="H2622" s="19"/>
      <c r="I2622" s="19"/>
      <c r="J2622" s="19"/>
      <c r="K2622" s="19"/>
      <c r="L2622" s="19"/>
      <c r="M2622" s="19"/>
      <c r="N2622" s="19"/>
      <c r="O2622" s="19"/>
      <c r="P2622" s="19"/>
      <c r="Q2622" s="19"/>
      <c r="R2622" s="19"/>
      <c r="S2622" s="19"/>
      <c r="T2622" s="19"/>
      <c r="U2622" s="19"/>
      <c r="V2622" s="19"/>
    </row>
    <row r="2623" spans="2:22" ht="13.2" x14ac:dyDescent="0.25">
      <c r="B2623" s="19"/>
      <c r="C2623" s="19"/>
      <c r="D2623" s="19"/>
      <c r="E2623" s="19"/>
      <c r="F2623" s="19"/>
      <c r="G2623" s="19"/>
      <c r="H2623" s="19"/>
      <c r="I2623" s="19"/>
      <c r="J2623" s="19"/>
      <c r="K2623" s="19"/>
      <c r="L2623" s="19"/>
      <c r="M2623" s="19"/>
      <c r="N2623" s="19"/>
      <c r="O2623" s="19"/>
      <c r="P2623" s="19"/>
      <c r="Q2623" s="19"/>
      <c r="R2623" s="19"/>
      <c r="S2623" s="19"/>
      <c r="T2623" s="19"/>
      <c r="U2623" s="19"/>
      <c r="V2623" s="19"/>
    </row>
    <row r="2624" spans="2:22" ht="13.2" x14ac:dyDescent="0.25">
      <c r="B2624" s="19"/>
      <c r="C2624" s="19"/>
      <c r="D2624" s="19"/>
      <c r="E2624" s="19"/>
      <c r="F2624" s="19"/>
      <c r="G2624" s="19"/>
      <c r="H2624" s="19"/>
      <c r="I2624" s="19"/>
      <c r="J2624" s="19"/>
      <c r="K2624" s="19"/>
      <c r="L2624" s="19"/>
      <c r="M2624" s="19"/>
      <c r="N2624" s="19"/>
      <c r="O2624" s="19"/>
      <c r="P2624" s="19"/>
      <c r="Q2624" s="19"/>
      <c r="R2624" s="19"/>
      <c r="S2624" s="19"/>
      <c r="T2624" s="19"/>
      <c r="U2624" s="19"/>
      <c r="V2624" s="19"/>
    </row>
    <row r="2625" spans="2:22" ht="13.2" x14ac:dyDescent="0.25">
      <c r="B2625" s="19"/>
      <c r="C2625" s="19"/>
      <c r="D2625" s="19"/>
      <c r="E2625" s="19"/>
      <c r="F2625" s="19"/>
      <c r="G2625" s="19"/>
      <c r="H2625" s="19"/>
      <c r="I2625" s="19"/>
      <c r="J2625" s="19"/>
      <c r="K2625" s="19"/>
      <c r="L2625" s="19"/>
      <c r="M2625" s="19"/>
      <c r="N2625" s="19"/>
      <c r="O2625" s="19"/>
      <c r="P2625" s="19"/>
      <c r="Q2625" s="19"/>
      <c r="R2625" s="19"/>
      <c r="S2625" s="19"/>
      <c r="T2625" s="19"/>
      <c r="U2625" s="19"/>
      <c r="V2625" s="19"/>
    </row>
    <row r="2626" spans="2:22" ht="13.2" x14ac:dyDescent="0.25">
      <c r="B2626" s="19"/>
      <c r="C2626" s="19"/>
      <c r="D2626" s="19"/>
      <c r="E2626" s="19"/>
      <c r="F2626" s="19"/>
      <c r="G2626" s="19"/>
      <c r="H2626" s="19"/>
      <c r="I2626" s="19"/>
      <c r="J2626" s="19"/>
      <c r="K2626" s="19"/>
      <c r="L2626" s="19"/>
      <c r="M2626" s="19"/>
      <c r="N2626" s="19"/>
      <c r="O2626" s="19"/>
      <c r="P2626" s="19"/>
      <c r="Q2626" s="19"/>
      <c r="R2626" s="19"/>
      <c r="S2626" s="19"/>
      <c r="T2626" s="19"/>
      <c r="U2626" s="19"/>
      <c r="V2626" s="19"/>
    </row>
    <row r="2627" spans="2:22" ht="13.2" x14ac:dyDescent="0.25">
      <c r="B2627" s="19"/>
      <c r="C2627" s="19"/>
      <c r="D2627" s="19"/>
      <c r="E2627" s="19"/>
      <c r="F2627" s="19"/>
      <c r="G2627" s="19"/>
      <c r="H2627" s="19"/>
      <c r="I2627" s="19"/>
      <c r="J2627" s="19"/>
      <c r="K2627" s="19"/>
      <c r="L2627" s="19"/>
      <c r="M2627" s="19"/>
      <c r="N2627" s="19"/>
      <c r="O2627" s="19"/>
      <c r="P2627" s="19"/>
      <c r="Q2627" s="19"/>
      <c r="R2627" s="19"/>
      <c r="S2627" s="19"/>
      <c r="T2627" s="19"/>
      <c r="U2627" s="19"/>
      <c r="V2627" s="19"/>
    </row>
    <row r="2628" spans="2:22" ht="13.2" x14ac:dyDescent="0.25">
      <c r="B2628" s="19"/>
      <c r="C2628" s="19"/>
      <c r="D2628" s="19"/>
      <c r="E2628" s="19"/>
      <c r="F2628" s="19"/>
      <c r="G2628" s="19"/>
      <c r="H2628" s="19"/>
      <c r="I2628" s="19"/>
      <c r="J2628" s="19"/>
      <c r="K2628" s="19"/>
      <c r="L2628" s="19"/>
      <c r="M2628" s="19"/>
      <c r="N2628" s="19"/>
      <c r="O2628" s="19"/>
      <c r="P2628" s="19"/>
      <c r="Q2628" s="19"/>
      <c r="R2628" s="19"/>
      <c r="S2628" s="19"/>
      <c r="T2628" s="19"/>
      <c r="U2628" s="19"/>
      <c r="V2628" s="19"/>
    </row>
    <row r="2629" spans="2:22" ht="13.2" x14ac:dyDescent="0.25">
      <c r="B2629" s="19"/>
      <c r="C2629" s="19"/>
      <c r="D2629" s="19"/>
      <c r="E2629" s="19"/>
      <c r="F2629" s="19"/>
      <c r="G2629" s="19"/>
      <c r="H2629" s="19"/>
      <c r="I2629" s="19"/>
      <c r="J2629" s="19"/>
      <c r="K2629" s="19"/>
      <c r="L2629" s="19"/>
      <c r="M2629" s="19"/>
      <c r="N2629" s="19"/>
      <c r="O2629" s="19"/>
      <c r="P2629" s="19"/>
      <c r="Q2629" s="19"/>
      <c r="R2629" s="19"/>
      <c r="S2629" s="19"/>
      <c r="T2629" s="19"/>
      <c r="U2629" s="19"/>
      <c r="V2629" s="19"/>
    </row>
    <row r="2630" spans="2:22" ht="13.2" x14ac:dyDescent="0.25">
      <c r="B2630" s="19"/>
      <c r="C2630" s="19"/>
      <c r="D2630" s="19"/>
      <c r="E2630" s="19"/>
      <c r="F2630" s="19"/>
      <c r="G2630" s="19"/>
      <c r="H2630" s="19"/>
      <c r="I2630" s="19"/>
      <c r="J2630" s="19"/>
      <c r="K2630" s="19"/>
      <c r="L2630" s="19"/>
      <c r="M2630" s="19"/>
      <c r="N2630" s="19"/>
      <c r="O2630" s="19"/>
      <c r="P2630" s="19"/>
      <c r="Q2630" s="19"/>
      <c r="R2630" s="19"/>
      <c r="S2630" s="19"/>
      <c r="T2630" s="19"/>
      <c r="U2630" s="19"/>
      <c r="V2630" s="19"/>
    </row>
    <row r="2631" spans="2:22" ht="13.2" x14ac:dyDescent="0.25">
      <c r="B2631" s="19"/>
      <c r="C2631" s="19"/>
      <c r="D2631" s="19"/>
      <c r="E2631" s="19"/>
      <c r="F2631" s="19"/>
      <c r="G2631" s="19"/>
      <c r="H2631" s="19"/>
      <c r="I2631" s="19"/>
      <c r="J2631" s="19"/>
      <c r="K2631" s="19"/>
      <c r="L2631" s="19"/>
      <c r="M2631" s="19"/>
      <c r="N2631" s="19"/>
      <c r="O2631" s="19"/>
      <c r="P2631" s="19"/>
      <c r="Q2631" s="19"/>
      <c r="R2631" s="19"/>
      <c r="S2631" s="19"/>
      <c r="T2631" s="19"/>
      <c r="U2631" s="19"/>
      <c r="V2631" s="19"/>
    </row>
    <row r="2632" spans="2:22" ht="13.2" x14ac:dyDescent="0.25">
      <c r="B2632" s="19"/>
      <c r="C2632" s="19"/>
      <c r="D2632" s="19"/>
      <c r="E2632" s="19"/>
      <c r="F2632" s="19"/>
      <c r="G2632" s="19"/>
      <c r="H2632" s="19"/>
      <c r="I2632" s="19"/>
      <c r="J2632" s="19"/>
      <c r="K2632" s="19"/>
      <c r="L2632" s="19"/>
      <c r="M2632" s="19"/>
      <c r="N2632" s="19"/>
      <c r="O2632" s="19"/>
      <c r="P2632" s="19"/>
      <c r="Q2632" s="19"/>
      <c r="R2632" s="19"/>
      <c r="S2632" s="19"/>
      <c r="T2632" s="19"/>
      <c r="U2632" s="19"/>
      <c r="V2632" s="19"/>
    </row>
    <row r="2633" spans="2:22" ht="13.2" x14ac:dyDescent="0.25">
      <c r="B2633" s="19"/>
      <c r="C2633" s="19"/>
      <c r="D2633" s="19"/>
      <c r="E2633" s="19"/>
      <c r="F2633" s="19"/>
      <c r="G2633" s="19"/>
      <c r="H2633" s="19"/>
      <c r="I2633" s="19"/>
      <c r="J2633" s="19"/>
      <c r="K2633" s="19"/>
      <c r="L2633" s="19"/>
      <c r="M2633" s="19"/>
      <c r="N2633" s="19"/>
      <c r="O2633" s="19"/>
      <c r="P2633" s="19"/>
      <c r="Q2633" s="19"/>
      <c r="R2633" s="19"/>
      <c r="S2633" s="19"/>
      <c r="T2633" s="19"/>
      <c r="U2633" s="19"/>
      <c r="V2633" s="19"/>
    </row>
    <row r="2634" spans="2:22" ht="13.2" x14ac:dyDescent="0.25">
      <c r="B2634" s="19"/>
      <c r="C2634" s="19"/>
      <c r="D2634" s="19"/>
      <c r="E2634" s="19"/>
      <c r="F2634" s="19"/>
      <c r="G2634" s="19"/>
      <c r="H2634" s="19"/>
      <c r="I2634" s="19"/>
      <c r="J2634" s="19"/>
      <c r="K2634" s="19"/>
      <c r="L2634" s="19"/>
      <c r="M2634" s="19"/>
      <c r="N2634" s="19"/>
      <c r="O2634" s="19"/>
      <c r="P2634" s="19"/>
      <c r="Q2634" s="19"/>
      <c r="R2634" s="19"/>
      <c r="S2634" s="19"/>
      <c r="T2634" s="19"/>
      <c r="U2634" s="19"/>
      <c r="V2634" s="19"/>
    </row>
    <row r="2635" spans="2:22" ht="13.2" x14ac:dyDescent="0.25">
      <c r="B2635" s="19"/>
      <c r="C2635" s="19"/>
      <c r="D2635" s="19"/>
      <c r="E2635" s="19"/>
      <c r="F2635" s="19"/>
      <c r="G2635" s="19"/>
      <c r="H2635" s="19"/>
      <c r="I2635" s="19"/>
      <c r="J2635" s="19"/>
      <c r="K2635" s="19"/>
      <c r="L2635" s="19"/>
      <c r="M2635" s="19"/>
      <c r="N2635" s="19"/>
      <c r="O2635" s="19"/>
      <c r="P2635" s="19"/>
      <c r="Q2635" s="19"/>
      <c r="R2635" s="19"/>
      <c r="S2635" s="19"/>
      <c r="T2635" s="19"/>
      <c r="U2635" s="19"/>
      <c r="V2635" s="19"/>
    </row>
    <row r="2636" spans="2:22" ht="13.2" x14ac:dyDescent="0.25">
      <c r="B2636" s="19"/>
      <c r="C2636" s="19"/>
      <c r="D2636" s="19"/>
      <c r="E2636" s="19"/>
      <c r="F2636" s="19"/>
      <c r="G2636" s="19"/>
      <c r="H2636" s="19"/>
      <c r="I2636" s="19"/>
      <c r="J2636" s="19"/>
      <c r="K2636" s="19"/>
      <c r="L2636" s="19"/>
      <c r="M2636" s="19"/>
      <c r="N2636" s="19"/>
      <c r="O2636" s="19"/>
      <c r="P2636" s="19"/>
      <c r="Q2636" s="19"/>
      <c r="R2636" s="19"/>
      <c r="S2636" s="19"/>
      <c r="T2636" s="19"/>
      <c r="U2636" s="19"/>
      <c r="V2636" s="19"/>
    </row>
    <row r="2637" spans="2:22" ht="13.2" x14ac:dyDescent="0.25">
      <c r="B2637" s="19"/>
      <c r="C2637" s="19"/>
      <c r="D2637" s="19"/>
      <c r="E2637" s="19"/>
      <c r="F2637" s="19"/>
      <c r="G2637" s="19"/>
      <c r="H2637" s="19"/>
      <c r="I2637" s="19"/>
      <c r="J2637" s="19"/>
      <c r="K2637" s="19"/>
      <c r="L2637" s="19"/>
      <c r="M2637" s="19"/>
      <c r="N2637" s="19"/>
      <c r="O2637" s="19"/>
      <c r="P2637" s="19"/>
      <c r="Q2637" s="19"/>
      <c r="R2637" s="19"/>
      <c r="S2637" s="19"/>
      <c r="T2637" s="19"/>
      <c r="U2637" s="19"/>
      <c r="V2637" s="19"/>
    </row>
    <row r="2638" spans="2:22" ht="13.2" x14ac:dyDescent="0.25">
      <c r="B2638" s="19"/>
      <c r="C2638" s="19"/>
      <c r="D2638" s="19"/>
      <c r="E2638" s="19"/>
      <c r="F2638" s="19"/>
      <c r="G2638" s="19"/>
      <c r="H2638" s="19"/>
      <c r="I2638" s="19"/>
      <c r="J2638" s="19"/>
      <c r="K2638" s="19"/>
      <c r="L2638" s="19"/>
      <c r="M2638" s="19"/>
      <c r="N2638" s="19"/>
      <c r="O2638" s="19"/>
      <c r="P2638" s="19"/>
      <c r="Q2638" s="19"/>
      <c r="R2638" s="19"/>
      <c r="S2638" s="19"/>
      <c r="T2638" s="19"/>
      <c r="U2638" s="19"/>
      <c r="V2638" s="19"/>
    </row>
    <row r="2639" spans="2:22" ht="13.2" x14ac:dyDescent="0.25">
      <c r="B2639" s="19"/>
      <c r="C2639" s="19"/>
      <c r="D2639" s="19"/>
      <c r="E2639" s="19"/>
      <c r="F2639" s="19"/>
      <c r="G2639" s="19"/>
      <c r="H2639" s="19"/>
      <c r="I2639" s="19"/>
      <c r="J2639" s="19"/>
      <c r="K2639" s="19"/>
      <c r="L2639" s="19"/>
      <c r="M2639" s="19"/>
      <c r="N2639" s="19"/>
      <c r="O2639" s="19"/>
      <c r="P2639" s="19"/>
      <c r="Q2639" s="19"/>
      <c r="R2639" s="19"/>
      <c r="S2639" s="19"/>
      <c r="T2639" s="19"/>
      <c r="U2639" s="19"/>
      <c r="V2639" s="19"/>
    </row>
    <row r="2640" spans="2:22" ht="13.2" x14ac:dyDescent="0.25">
      <c r="B2640" s="19"/>
      <c r="C2640" s="19"/>
      <c r="D2640" s="19"/>
      <c r="E2640" s="19"/>
      <c r="F2640" s="19"/>
      <c r="G2640" s="19"/>
      <c r="H2640" s="19"/>
      <c r="I2640" s="19"/>
      <c r="J2640" s="19"/>
      <c r="K2640" s="19"/>
      <c r="L2640" s="19"/>
      <c r="M2640" s="19"/>
      <c r="N2640" s="19"/>
      <c r="O2640" s="19"/>
      <c r="P2640" s="19"/>
      <c r="Q2640" s="19"/>
      <c r="R2640" s="19"/>
      <c r="S2640" s="19"/>
      <c r="T2640" s="19"/>
      <c r="U2640" s="19"/>
      <c r="V2640" s="19"/>
    </row>
    <row r="2641" spans="2:22" ht="13.2" x14ac:dyDescent="0.25">
      <c r="B2641" s="19"/>
      <c r="C2641" s="19"/>
      <c r="D2641" s="19"/>
      <c r="E2641" s="19"/>
      <c r="F2641" s="19"/>
      <c r="G2641" s="19"/>
      <c r="H2641" s="19"/>
      <c r="I2641" s="19"/>
      <c r="J2641" s="19"/>
      <c r="K2641" s="19"/>
      <c r="L2641" s="19"/>
      <c r="M2641" s="19"/>
      <c r="N2641" s="19"/>
      <c r="O2641" s="19"/>
      <c r="P2641" s="19"/>
      <c r="Q2641" s="19"/>
      <c r="R2641" s="19"/>
      <c r="S2641" s="19"/>
      <c r="T2641" s="19"/>
      <c r="U2641" s="19"/>
      <c r="V2641" s="19"/>
    </row>
    <row r="2642" spans="2:22" ht="13.2" x14ac:dyDescent="0.25">
      <c r="B2642" s="19"/>
      <c r="C2642" s="19"/>
      <c r="D2642" s="19"/>
      <c r="E2642" s="19"/>
      <c r="F2642" s="19"/>
      <c r="G2642" s="19"/>
      <c r="H2642" s="19"/>
      <c r="I2642" s="19"/>
      <c r="J2642" s="19"/>
      <c r="K2642" s="19"/>
      <c r="L2642" s="19"/>
      <c r="M2642" s="19"/>
      <c r="N2642" s="19"/>
      <c r="O2642" s="19"/>
      <c r="P2642" s="19"/>
      <c r="Q2642" s="19"/>
      <c r="R2642" s="19"/>
      <c r="S2642" s="19"/>
      <c r="T2642" s="19"/>
      <c r="U2642" s="19"/>
      <c r="V2642" s="19"/>
    </row>
    <row r="2643" spans="2:22" ht="13.2" x14ac:dyDescent="0.25">
      <c r="B2643" s="19"/>
      <c r="C2643" s="19"/>
      <c r="D2643" s="19"/>
      <c r="E2643" s="19"/>
      <c r="F2643" s="19"/>
      <c r="G2643" s="19"/>
      <c r="H2643" s="19"/>
      <c r="I2643" s="19"/>
      <c r="J2643" s="19"/>
      <c r="K2643" s="19"/>
      <c r="L2643" s="19"/>
      <c r="M2643" s="19"/>
      <c r="N2643" s="19"/>
      <c r="O2643" s="19"/>
      <c r="P2643" s="19"/>
      <c r="Q2643" s="19"/>
      <c r="R2643" s="19"/>
      <c r="S2643" s="19"/>
      <c r="T2643" s="19"/>
      <c r="U2643" s="19"/>
      <c r="V2643" s="19"/>
    </row>
    <row r="2644" spans="2:22" ht="13.2" x14ac:dyDescent="0.25">
      <c r="B2644" s="19"/>
      <c r="C2644" s="19"/>
      <c r="D2644" s="19"/>
      <c r="E2644" s="19"/>
      <c r="F2644" s="19"/>
      <c r="G2644" s="19"/>
      <c r="H2644" s="19"/>
      <c r="I2644" s="19"/>
      <c r="J2644" s="19"/>
      <c r="K2644" s="19"/>
      <c r="L2644" s="19"/>
      <c r="M2644" s="19"/>
      <c r="N2644" s="19"/>
      <c r="O2644" s="19"/>
      <c r="P2644" s="19"/>
      <c r="Q2644" s="19"/>
      <c r="R2644" s="19"/>
      <c r="S2644" s="19"/>
      <c r="T2644" s="19"/>
      <c r="U2644" s="19"/>
      <c r="V2644" s="19"/>
    </row>
    <row r="2645" spans="2:22" ht="13.2" x14ac:dyDescent="0.25">
      <c r="B2645" s="19"/>
      <c r="C2645" s="19"/>
      <c r="D2645" s="19"/>
      <c r="E2645" s="19"/>
      <c r="F2645" s="19"/>
      <c r="G2645" s="19"/>
      <c r="H2645" s="19"/>
      <c r="I2645" s="19"/>
      <c r="J2645" s="19"/>
      <c r="K2645" s="19"/>
      <c r="L2645" s="19"/>
      <c r="M2645" s="19"/>
      <c r="N2645" s="19"/>
      <c r="O2645" s="19"/>
      <c r="P2645" s="19"/>
      <c r="Q2645" s="19"/>
      <c r="R2645" s="19"/>
      <c r="S2645" s="19"/>
      <c r="T2645" s="19"/>
      <c r="U2645" s="19"/>
      <c r="V2645" s="19"/>
    </row>
    <row r="2646" spans="2:22" ht="13.2" x14ac:dyDescent="0.25">
      <c r="B2646" s="19"/>
      <c r="C2646" s="19"/>
      <c r="D2646" s="19"/>
      <c r="E2646" s="19"/>
      <c r="F2646" s="19"/>
      <c r="G2646" s="19"/>
      <c r="H2646" s="19"/>
      <c r="I2646" s="19"/>
      <c r="J2646" s="19"/>
      <c r="K2646" s="19"/>
      <c r="L2646" s="19"/>
      <c r="M2646" s="19"/>
      <c r="N2646" s="19"/>
      <c r="O2646" s="19"/>
      <c r="P2646" s="19"/>
      <c r="Q2646" s="19"/>
      <c r="R2646" s="19"/>
      <c r="S2646" s="19"/>
      <c r="T2646" s="19"/>
      <c r="U2646" s="19"/>
      <c r="V2646" s="19"/>
    </row>
    <row r="2647" spans="2:22" ht="13.2" x14ac:dyDescent="0.25">
      <c r="B2647" s="19"/>
      <c r="C2647" s="19"/>
      <c r="D2647" s="19"/>
      <c r="E2647" s="19"/>
      <c r="F2647" s="19"/>
      <c r="G2647" s="19"/>
      <c r="H2647" s="19"/>
      <c r="I2647" s="19"/>
      <c r="J2647" s="19"/>
      <c r="K2647" s="19"/>
      <c r="L2647" s="19"/>
      <c r="M2647" s="19"/>
      <c r="N2647" s="19"/>
      <c r="O2647" s="19"/>
      <c r="P2647" s="19"/>
      <c r="Q2647" s="19"/>
      <c r="R2647" s="19"/>
      <c r="S2647" s="19"/>
      <c r="T2647" s="19"/>
      <c r="U2647" s="19"/>
      <c r="V2647" s="19"/>
    </row>
    <row r="2648" spans="2:22" ht="13.2" x14ac:dyDescent="0.25">
      <c r="B2648" s="19"/>
      <c r="C2648" s="19"/>
      <c r="D2648" s="19"/>
      <c r="E2648" s="19"/>
      <c r="F2648" s="19"/>
      <c r="G2648" s="19"/>
      <c r="H2648" s="19"/>
      <c r="I2648" s="19"/>
      <c r="J2648" s="19"/>
      <c r="K2648" s="19"/>
      <c r="L2648" s="19"/>
      <c r="M2648" s="19"/>
      <c r="N2648" s="19"/>
      <c r="O2648" s="19"/>
      <c r="P2648" s="19"/>
      <c r="Q2648" s="19"/>
      <c r="R2648" s="19"/>
      <c r="S2648" s="19"/>
      <c r="T2648" s="19"/>
      <c r="U2648" s="19"/>
      <c r="V2648" s="19"/>
    </row>
    <row r="2649" spans="2:22" ht="13.2" x14ac:dyDescent="0.25">
      <c r="B2649" s="19"/>
      <c r="C2649" s="19"/>
      <c r="D2649" s="19"/>
      <c r="E2649" s="19"/>
      <c r="F2649" s="19"/>
      <c r="G2649" s="19"/>
      <c r="H2649" s="19"/>
      <c r="I2649" s="19"/>
      <c r="J2649" s="19"/>
      <c r="K2649" s="19"/>
      <c r="L2649" s="19"/>
      <c r="M2649" s="19"/>
      <c r="N2649" s="19"/>
      <c r="O2649" s="19"/>
      <c r="P2649" s="19"/>
      <c r="Q2649" s="19"/>
      <c r="R2649" s="19"/>
      <c r="S2649" s="19"/>
      <c r="T2649" s="19"/>
      <c r="U2649" s="19"/>
      <c r="V2649" s="19"/>
    </row>
    <row r="2650" spans="2:22" ht="13.2" x14ac:dyDescent="0.25">
      <c r="B2650" s="19"/>
      <c r="C2650" s="19"/>
      <c r="D2650" s="19"/>
      <c r="E2650" s="19"/>
      <c r="F2650" s="19"/>
      <c r="G2650" s="19"/>
      <c r="H2650" s="19"/>
      <c r="I2650" s="19"/>
      <c r="J2650" s="19"/>
      <c r="K2650" s="19"/>
      <c r="L2650" s="19"/>
      <c r="M2650" s="19"/>
      <c r="N2650" s="19"/>
      <c r="O2650" s="19"/>
      <c r="P2650" s="19"/>
      <c r="Q2650" s="19"/>
      <c r="R2650" s="19"/>
      <c r="S2650" s="19"/>
      <c r="T2650" s="19"/>
      <c r="U2650" s="19"/>
      <c r="V2650" s="19"/>
    </row>
    <row r="2651" spans="2:22" ht="13.2" x14ac:dyDescent="0.25">
      <c r="B2651" s="19"/>
      <c r="C2651" s="19"/>
      <c r="D2651" s="19"/>
      <c r="E2651" s="19"/>
      <c r="F2651" s="19"/>
      <c r="G2651" s="19"/>
      <c r="H2651" s="19"/>
      <c r="I2651" s="19"/>
      <c r="J2651" s="19"/>
      <c r="K2651" s="19"/>
      <c r="L2651" s="19"/>
      <c r="M2651" s="19"/>
      <c r="N2651" s="19"/>
      <c r="O2651" s="19"/>
      <c r="P2651" s="19"/>
      <c r="Q2651" s="19"/>
      <c r="R2651" s="19"/>
      <c r="S2651" s="19"/>
      <c r="T2651" s="19"/>
      <c r="U2651" s="19"/>
      <c r="V2651" s="19"/>
    </row>
    <row r="2652" spans="2:22" ht="13.2" x14ac:dyDescent="0.25">
      <c r="B2652" s="19"/>
      <c r="C2652" s="19"/>
      <c r="D2652" s="19"/>
      <c r="E2652" s="19"/>
      <c r="F2652" s="19"/>
      <c r="G2652" s="19"/>
      <c r="H2652" s="19"/>
      <c r="I2652" s="19"/>
      <c r="J2652" s="19"/>
      <c r="K2652" s="19"/>
      <c r="L2652" s="19"/>
      <c r="M2652" s="19"/>
      <c r="N2652" s="19"/>
      <c r="O2652" s="19"/>
      <c r="P2652" s="19"/>
      <c r="Q2652" s="19"/>
      <c r="R2652" s="19"/>
      <c r="S2652" s="19"/>
      <c r="T2652" s="19"/>
      <c r="U2652" s="19"/>
      <c r="V2652" s="19"/>
    </row>
    <row r="2653" spans="2:22" ht="13.2" x14ac:dyDescent="0.25">
      <c r="B2653" s="19"/>
      <c r="C2653" s="19"/>
      <c r="D2653" s="19"/>
      <c r="E2653" s="19"/>
      <c r="F2653" s="19"/>
      <c r="G2653" s="19"/>
      <c r="H2653" s="19"/>
      <c r="I2653" s="19"/>
      <c r="J2653" s="19"/>
      <c r="K2653" s="19"/>
      <c r="L2653" s="19"/>
      <c r="M2653" s="19"/>
      <c r="N2653" s="19"/>
      <c r="O2653" s="19"/>
      <c r="P2653" s="19"/>
      <c r="Q2653" s="19"/>
      <c r="R2653" s="19"/>
      <c r="S2653" s="19"/>
      <c r="T2653" s="19"/>
      <c r="U2653" s="19"/>
      <c r="V2653" s="19"/>
    </row>
    <row r="2654" spans="2:22" ht="13.2" x14ac:dyDescent="0.25">
      <c r="B2654" s="19"/>
      <c r="C2654" s="19"/>
      <c r="D2654" s="19"/>
      <c r="E2654" s="19"/>
      <c r="F2654" s="19"/>
      <c r="G2654" s="19"/>
      <c r="H2654" s="19"/>
      <c r="I2654" s="19"/>
      <c r="J2654" s="19"/>
      <c r="K2654" s="19"/>
      <c r="L2654" s="19"/>
      <c r="M2654" s="19"/>
      <c r="N2654" s="19"/>
      <c r="O2654" s="19"/>
      <c r="P2654" s="19"/>
      <c r="Q2654" s="19"/>
      <c r="R2654" s="19"/>
      <c r="S2654" s="19"/>
      <c r="T2654" s="19"/>
      <c r="U2654" s="19"/>
      <c r="V2654" s="19"/>
    </row>
    <row r="2655" spans="2:22" ht="13.2" x14ac:dyDescent="0.25">
      <c r="B2655" s="19"/>
      <c r="C2655" s="19"/>
      <c r="D2655" s="19"/>
      <c r="E2655" s="19"/>
      <c r="F2655" s="19"/>
      <c r="G2655" s="19"/>
      <c r="H2655" s="19"/>
      <c r="I2655" s="19"/>
      <c r="J2655" s="19"/>
      <c r="K2655" s="19"/>
      <c r="L2655" s="19"/>
      <c r="M2655" s="19"/>
      <c r="N2655" s="19"/>
      <c r="O2655" s="19"/>
      <c r="P2655" s="19"/>
      <c r="Q2655" s="19"/>
      <c r="R2655" s="19"/>
      <c r="S2655" s="19"/>
      <c r="T2655" s="19"/>
      <c r="U2655" s="19"/>
      <c r="V2655" s="19"/>
    </row>
    <row r="2656" spans="2:22" ht="13.2" x14ac:dyDescent="0.25">
      <c r="B2656" s="19"/>
      <c r="C2656" s="19"/>
      <c r="D2656" s="19"/>
      <c r="E2656" s="19"/>
      <c r="F2656" s="19"/>
      <c r="G2656" s="19"/>
      <c r="H2656" s="19"/>
      <c r="I2656" s="19"/>
      <c r="J2656" s="19"/>
      <c r="K2656" s="19"/>
      <c r="L2656" s="19"/>
      <c r="M2656" s="19"/>
      <c r="N2656" s="19"/>
      <c r="O2656" s="19"/>
      <c r="P2656" s="19"/>
      <c r="Q2656" s="19"/>
      <c r="R2656" s="19"/>
      <c r="S2656" s="19"/>
      <c r="T2656" s="19"/>
      <c r="U2656" s="19"/>
      <c r="V2656" s="19"/>
    </row>
    <row r="2657" spans="2:22" ht="13.2" x14ac:dyDescent="0.25">
      <c r="B2657" s="19"/>
      <c r="C2657" s="19"/>
      <c r="D2657" s="19"/>
      <c r="E2657" s="19"/>
      <c r="F2657" s="19"/>
      <c r="G2657" s="19"/>
      <c r="H2657" s="19"/>
      <c r="I2657" s="19"/>
      <c r="J2657" s="19"/>
      <c r="K2657" s="19"/>
      <c r="L2657" s="19"/>
      <c r="M2657" s="19"/>
      <c r="N2657" s="19"/>
      <c r="O2657" s="19"/>
      <c r="P2657" s="19"/>
      <c r="Q2657" s="19"/>
      <c r="R2657" s="19"/>
      <c r="S2657" s="19"/>
      <c r="T2657" s="19"/>
      <c r="U2657" s="19"/>
      <c r="V2657" s="19"/>
    </row>
    <row r="2658" spans="2:22" ht="13.2" x14ac:dyDescent="0.25">
      <c r="B2658" s="19"/>
      <c r="C2658" s="19"/>
      <c r="D2658" s="19"/>
      <c r="E2658" s="19"/>
      <c r="F2658" s="19"/>
      <c r="G2658" s="19"/>
      <c r="H2658" s="19"/>
      <c r="I2658" s="19"/>
      <c r="J2658" s="19"/>
      <c r="K2658" s="19"/>
      <c r="L2658" s="19"/>
      <c r="M2658" s="19"/>
      <c r="N2658" s="19"/>
      <c r="O2658" s="19"/>
      <c r="P2658" s="19"/>
      <c r="Q2658" s="19"/>
      <c r="R2658" s="19"/>
      <c r="S2658" s="19"/>
      <c r="T2658" s="19"/>
      <c r="U2658" s="19"/>
      <c r="V2658" s="19"/>
    </row>
    <row r="2659" spans="2:22" ht="13.2" x14ac:dyDescent="0.25">
      <c r="B2659" s="19"/>
      <c r="C2659" s="19"/>
      <c r="D2659" s="19"/>
      <c r="E2659" s="19"/>
      <c r="F2659" s="19"/>
      <c r="G2659" s="19"/>
      <c r="H2659" s="19"/>
      <c r="I2659" s="19"/>
      <c r="J2659" s="19"/>
      <c r="K2659" s="19"/>
      <c r="L2659" s="19"/>
      <c r="M2659" s="19"/>
      <c r="N2659" s="19"/>
      <c r="O2659" s="19"/>
      <c r="P2659" s="19"/>
      <c r="Q2659" s="19"/>
      <c r="R2659" s="19"/>
      <c r="S2659" s="19"/>
      <c r="T2659" s="19"/>
      <c r="U2659" s="19"/>
      <c r="V2659" s="19"/>
    </row>
    <row r="2660" spans="2:22" ht="13.2" x14ac:dyDescent="0.25">
      <c r="B2660" s="19"/>
      <c r="C2660" s="19"/>
      <c r="D2660" s="19"/>
      <c r="E2660" s="19"/>
      <c r="F2660" s="19"/>
      <c r="G2660" s="19"/>
      <c r="H2660" s="19"/>
      <c r="I2660" s="19"/>
      <c r="J2660" s="19"/>
      <c r="K2660" s="19"/>
      <c r="L2660" s="19"/>
      <c r="M2660" s="19"/>
      <c r="N2660" s="19"/>
      <c r="O2660" s="19"/>
      <c r="P2660" s="19"/>
      <c r="Q2660" s="19"/>
      <c r="R2660" s="19"/>
      <c r="S2660" s="19"/>
      <c r="T2660" s="19"/>
      <c r="U2660" s="19"/>
      <c r="V2660" s="19"/>
    </row>
    <row r="2661" spans="2:22" ht="13.2" x14ac:dyDescent="0.25">
      <c r="B2661" s="19"/>
      <c r="C2661" s="19"/>
      <c r="D2661" s="19"/>
      <c r="E2661" s="19"/>
      <c r="F2661" s="19"/>
      <c r="G2661" s="19"/>
      <c r="H2661" s="19"/>
      <c r="I2661" s="19"/>
      <c r="J2661" s="19"/>
      <c r="K2661" s="19"/>
      <c r="L2661" s="19"/>
      <c r="M2661" s="19"/>
      <c r="N2661" s="19"/>
      <c r="O2661" s="19"/>
      <c r="P2661" s="19"/>
      <c r="Q2661" s="19"/>
      <c r="R2661" s="19"/>
      <c r="S2661" s="19"/>
      <c r="T2661" s="19"/>
      <c r="U2661" s="19"/>
      <c r="V2661" s="19"/>
    </row>
    <row r="2662" spans="2:22" ht="13.2" x14ac:dyDescent="0.25">
      <c r="B2662" s="19"/>
      <c r="C2662" s="19"/>
      <c r="D2662" s="19"/>
      <c r="E2662" s="19"/>
      <c r="F2662" s="19"/>
      <c r="G2662" s="19"/>
      <c r="H2662" s="19"/>
      <c r="I2662" s="19"/>
      <c r="J2662" s="19"/>
      <c r="K2662" s="19"/>
      <c r="L2662" s="19"/>
      <c r="M2662" s="19"/>
      <c r="N2662" s="19"/>
      <c r="O2662" s="19"/>
      <c r="P2662" s="19"/>
      <c r="Q2662" s="19"/>
      <c r="R2662" s="19"/>
      <c r="S2662" s="19"/>
      <c r="T2662" s="19"/>
      <c r="U2662" s="19"/>
      <c r="V2662" s="19"/>
    </row>
    <row r="2663" spans="2:22" ht="13.2" x14ac:dyDescent="0.25">
      <c r="B2663" s="19"/>
      <c r="C2663" s="19"/>
      <c r="D2663" s="19"/>
      <c r="E2663" s="19"/>
      <c r="F2663" s="19"/>
      <c r="G2663" s="19"/>
      <c r="H2663" s="19"/>
      <c r="I2663" s="19"/>
      <c r="J2663" s="19"/>
      <c r="K2663" s="19"/>
      <c r="L2663" s="19"/>
      <c r="M2663" s="19"/>
      <c r="N2663" s="19"/>
      <c r="O2663" s="19"/>
      <c r="P2663" s="19"/>
      <c r="Q2663" s="19"/>
      <c r="R2663" s="19"/>
      <c r="S2663" s="19"/>
      <c r="T2663" s="19"/>
      <c r="U2663" s="19"/>
      <c r="V2663" s="19"/>
    </row>
    <row r="2664" spans="2:22" ht="13.2" x14ac:dyDescent="0.25">
      <c r="B2664" s="19"/>
      <c r="C2664" s="19"/>
      <c r="D2664" s="19"/>
      <c r="E2664" s="19"/>
      <c r="F2664" s="19"/>
      <c r="G2664" s="19"/>
      <c r="H2664" s="19"/>
      <c r="I2664" s="19"/>
      <c r="J2664" s="19"/>
      <c r="K2664" s="19"/>
      <c r="L2664" s="19"/>
      <c r="M2664" s="19"/>
      <c r="N2664" s="19"/>
      <c r="O2664" s="19"/>
      <c r="P2664" s="19"/>
      <c r="Q2664" s="19"/>
      <c r="R2664" s="19"/>
      <c r="S2664" s="19"/>
      <c r="T2664" s="19"/>
      <c r="U2664" s="19"/>
      <c r="V2664" s="19"/>
    </row>
    <row r="2665" spans="2:22" ht="13.2" x14ac:dyDescent="0.25">
      <c r="B2665" s="19"/>
      <c r="C2665" s="19"/>
      <c r="D2665" s="19"/>
      <c r="E2665" s="19"/>
      <c r="F2665" s="19"/>
      <c r="G2665" s="19"/>
      <c r="H2665" s="19"/>
      <c r="I2665" s="19"/>
      <c r="J2665" s="19"/>
      <c r="K2665" s="19"/>
      <c r="L2665" s="19"/>
      <c r="M2665" s="19"/>
      <c r="N2665" s="19"/>
      <c r="O2665" s="19"/>
      <c r="P2665" s="19"/>
      <c r="Q2665" s="19"/>
      <c r="R2665" s="19"/>
      <c r="S2665" s="19"/>
      <c r="T2665" s="19"/>
      <c r="U2665" s="19"/>
      <c r="V2665" s="19"/>
    </row>
    <row r="2666" spans="2:22" ht="13.2" x14ac:dyDescent="0.25">
      <c r="B2666" s="19"/>
      <c r="C2666" s="19"/>
      <c r="D2666" s="19"/>
      <c r="E2666" s="19"/>
      <c r="F2666" s="19"/>
      <c r="G2666" s="19"/>
      <c r="H2666" s="19"/>
      <c r="I2666" s="19"/>
      <c r="J2666" s="19"/>
      <c r="K2666" s="19"/>
      <c r="L2666" s="19"/>
      <c r="M2666" s="19"/>
      <c r="N2666" s="19"/>
      <c r="O2666" s="19"/>
      <c r="P2666" s="19"/>
      <c r="Q2666" s="19"/>
      <c r="R2666" s="19"/>
      <c r="S2666" s="19"/>
      <c r="T2666" s="19"/>
      <c r="U2666" s="19"/>
      <c r="V2666" s="19"/>
    </row>
    <row r="2667" spans="2:22" ht="13.2" x14ac:dyDescent="0.25">
      <c r="B2667" s="19"/>
      <c r="C2667" s="19"/>
      <c r="D2667" s="19"/>
      <c r="E2667" s="19"/>
      <c r="F2667" s="19"/>
      <c r="G2667" s="19"/>
      <c r="H2667" s="19"/>
      <c r="I2667" s="19"/>
      <c r="J2667" s="19"/>
      <c r="K2667" s="19"/>
      <c r="L2667" s="19"/>
      <c r="M2667" s="19"/>
      <c r="N2667" s="19"/>
      <c r="O2667" s="19"/>
      <c r="P2667" s="19"/>
      <c r="Q2667" s="19"/>
      <c r="R2667" s="19"/>
      <c r="S2667" s="19"/>
      <c r="T2667" s="19"/>
      <c r="U2667" s="19"/>
      <c r="V2667" s="19"/>
    </row>
    <row r="2668" spans="2:22" ht="13.2" x14ac:dyDescent="0.25">
      <c r="B2668" s="19"/>
      <c r="C2668" s="19"/>
      <c r="D2668" s="19"/>
      <c r="E2668" s="19"/>
      <c r="F2668" s="19"/>
      <c r="G2668" s="19"/>
      <c r="H2668" s="19"/>
      <c r="I2668" s="19"/>
      <c r="J2668" s="19"/>
      <c r="K2668" s="19"/>
      <c r="L2668" s="19"/>
      <c r="M2668" s="19"/>
      <c r="N2668" s="19"/>
      <c r="O2668" s="19"/>
      <c r="P2668" s="19"/>
      <c r="Q2668" s="19"/>
      <c r="R2668" s="19"/>
      <c r="S2668" s="19"/>
      <c r="T2668" s="19"/>
      <c r="U2668" s="19"/>
      <c r="V2668" s="19"/>
    </row>
    <row r="2669" spans="2:22" ht="13.2" x14ac:dyDescent="0.25">
      <c r="B2669" s="19"/>
      <c r="C2669" s="19"/>
      <c r="D2669" s="19"/>
      <c r="E2669" s="19"/>
      <c r="F2669" s="19"/>
      <c r="G2669" s="19"/>
      <c r="H2669" s="19"/>
      <c r="I2669" s="19"/>
      <c r="J2669" s="19"/>
      <c r="K2669" s="19"/>
      <c r="L2669" s="19"/>
      <c r="M2669" s="19"/>
      <c r="N2669" s="19"/>
      <c r="O2669" s="19"/>
      <c r="P2669" s="19"/>
      <c r="Q2669" s="19"/>
      <c r="R2669" s="19"/>
      <c r="S2669" s="19"/>
      <c r="T2669" s="19"/>
      <c r="U2669" s="19"/>
      <c r="V2669" s="19"/>
    </row>
    <row r="2670" spans="2:22" ht="13.2" x14ac:dyDescent="0.25">
      <c r="B2670" s="19"/>
      <c r="C2670" s="19"/>
      <c r="D2670" s="19"/>
      <c r="E2670" s="19"/>
      <c r="F2670" s="19"/>
      <c r="G2670" s="19"/>
      <c r="H2670" s="19"/>
      <c r="I2670" s="19"/>
      <c r="J2670" s="19"/>
      <c r="K2670" s="19"/>
      <c r="L2670" s="19"/>
      <c r="M2670" s="19"/>
      <c r="N2670" s="19"/>
      <c r="O2670" s="19"/>
      <c r="P2670" s="19"/>
      <c r="Q2670" s="19"/>
      <c r="R2670" s="19"/>
      <c r="S2670" s="19"/>
      <c r="T2670" s="19"/>
      <c r="U2670" s="19"/>
      <c r="V2670" s="19"/>
    </row>
    <row r="2671" spans="2:22" ht="13.2" x14ac:dyDescent="0.25">
      <c r="B2671" s="19"/>
      <c r="C2671" s="19"/>
      <c r="D2671" s="19"/>
      <c r="E2671" s="19"/>
      <c r="F2671" s="19"/>
      <c r="G2671" s="19"/>
      <c r="H2671" s="19"/>
      <c r="I2671" s="19"/>
      <c r="J2671" s="19"/>
      <c r="K2671" s="19"/>
      <c r="L2671" s="19"/>
      <c r="M2671" s="19"/>
      <c r="N2671" s="19"/>
      <c r="O2671" s="19"/>
      <c r="P2671" s="19"/>
      <c r="Q2671" s="19"/>
      <c r="R2671" s="19"/>
      <c r="S2671" s="19"/>
      <c r="T2671" s="19"/>
      <c r="U2671" s="19"/>
      <c r="V2671" s="19"/>
    </row>
    <row r="2672" spans="2:22" ht="13.2" x14ac:dyDescent="0.25">
      <c r="B2672" s="19"/>
      <c r="C2672" s="19"/>
      <c r="D2672" s="19"/>
      <c r="E2672" s="19"/>
      <c r="F2672" s="19"/>
      <c r="G2672" s="19"/>
      <c r="H2672" s="19"/>
      <c r="I2672" s="19"/>
      <c r="J2672" s="19"/>
      <c r="K2672" s="19"/>
      <c r="L2672" s="19"/>
      <c r="M2672" s="19"/>
      <c r="N2672" s="19"/>
      <c r="O2672" s="19"/>
      <c r="P2672" s="19"/>
      <c r="Q2672" s="19"/>
      <c r="R2672" s="19"/>
      <c r="S2672" s="19"/>
      <c r="T2672" s="19"/>
      <c r="U2672" s="19"/>
      <c r="V2672" s="19"/>
    </row>
    <row r="2673" spans="2:22" ht="13.2" x14ac:dyDescent="0.25">
      <c r="B2673" s="19"/>
      <c r="C2673" s="19"/>
      <c r="D2673" s="19"/>
      <c r="E2673" s="19"/>
      <c r="F2673" s="19"/>
      <c r="G2673" s="19"/>
      <c r="H2673" s="19"/>
      <c r="I2673" s="19"/>
      <c r="J2673" s="19"/>
      <c r="K2673" s="19"/>
      <c r="L2673" s="19"/>
      <c r="M2673" s="19"/>
      <c r="N2673" s="19"/>
      <c r="O2673" s="19"/>
      <c r="P2673" s="19"/>
      <c r="Q2673" s="19"/>
      <c r="R2673" s="19"/>
      <c r="S2673" s="19"/>
      <c r="T2673" s="19"/>
      <c r="U2673" s="19"/>
      <c r="V2673" s="19"/>
    </row>
    <row r="2674" spans="2:22" ht="13.2" x14ac:dyDescent="0.25">
      <c r="B2674" s="19"/>
      <c r="C2674" s="19"/>
      <c r="D2674" s="19"/>
      <c r="E2674" s="19"/>
      <c r="F2674" s="19"/>
      <c r="G2674" s="19"/>
      <c r="H2674" s="19"/>
      <c r="I2674" s="19"/>
      <c r="J2674" s="19"/>
      <c r="K2674" s="19"/>
      <c r="L2674" s="19"/>
      <c r="M2674" s="19"/>
      <c r="N2674" s="19"/>
      <c r="O2674" s="19"/>
      <c r="P2674" s="19"/>
      <c r="Q2674" s="19"/>
      <c r="R2674" s="19"/>
      <c r="S2674" s="19"/>
      <c r="T2674" s="19"/>
      <c r="U2674" s="19"/>
      <c r="V2674" s="19"/>
    </row>
    <row r="2675" spans="2:22" ht="13.2" x14ac:dyDescent="0.25">
      <c r="B2675" s="19"/>
      <c r="C2675" s="19"/>
      <c r="D2675" s="19"/>
      <c r="E2675" s="19"/>
      <c r="F2675" s="19"/>
      <c r="G2675" s="19"/>
      <c r="H2675" s="19"/>
      <c r="I2675" s="19"/>
      <c r="J2675" s="19"/>
      <c r="K2675" s="19"/>
      <c r="L2675" s="19"/>
      <c r="M2675" s="19"/>
      <c r="N2675" s="19"/>
      <c r="O2675" s="19"/>
      <c r="P2675" s="19"/>
      <c r="Q2675" s="19"/>
      <c r="R2675" s="19"/>
      <c r="S2675" s="19"/>
      <c r="T2675" s="19"/>
      <c r="U2675" s="19"/>
      <c r="V2675" s="19"/>
    </row>
    <row r="2676" spans="2:22" ht="13.2" x14ac:dyDescent="0.25">
      <c r="B2676" s="19"/>
      <c r="C2676" s="19"/>
      <c r="D2676" s="19"/>
      <c r="E2676" s="19"/>
      <c r="F2676" s="19"/>
      <c r="G2676" s="19"/>
      <c r="H2676" s="19"/>
      <c r="I2676" s="19"/>
      <c r="J2676" s="19"/>
      <c r="K2676" s="19"/>
      <c r="L2676" s="19"/>
      <c r="M2676" s="19"/>
      <c r="N2676" s="19"/>
      <c r="O2676" s="19"/>
      <c r="P2676" s="19"/>
      <c r="Q2676" s="19"/>
      <c r="R2676" s="19"/>
      <c r="S2676" s="19"/>
      <c r="T2676" s="19"/>
      <c r="U2676" s="19"/>
      <c r="V2676" s="19"/>
    </row>
    <row r="2677" spans="2:22" ht="13.2" x14ac:dyDescent="0.25">
      <c r="B2677" s="19"/>
      <c r="C2677" s="19"/>
      <c r="D2677" s="19"/>
      <c r="E2677" s="19"/>
      <c r="F2677" s="19"/>
      <c r="G2677" s="19"/>
      <c r="H2677" s="19"/>
      <c r="I2677" s="19"/>
      <c r="J2677" s="19"/>
      <c r="K2677" s="19"/>
      <c r="L2677" s="19"/>
      <c r="M2677" s="19"/>
      <c r="N2677" s="19"/>
      <c r="O2677" s="19"/>
      <c r="P2677" s="19"/>
      <c r="Q2677" s="19"/>
      <c r="R2677" s="19"/>
      <c r="S2677" s="19"/>
      <c r="T2677" s="19"/>
      <c r="U2677" s="19"/>
      <c r="V2677" s="19"/>
    </row>
    <row r="2678" spans="2:22" ht="13.2" x14ac:dyDescent="0.25">
      <c r="B2678" s="19"/>
      <c r="C2678" s="19"/>
      <c r="D2678" s="19"/>
      <c r="E2678" s="19"/>
      <c r="F2678" s="19"/>
      <c r="G2678" s="19"/>
      <c r="H2678" s="19"/>
      <c r="I2678" s="19"/>
      <c r="J2678" s="19"/>
      <c r="K2678" s="19"/>
      <c r="L2678" s="19"/>
      <c r="M2678" s="19"/>
      <c r="N2678" s="19"/>
      <c r="O2678" s="19"/>
      <c r="P2678" s="19"/>
      <c r="Q2678" s="19"/>
      <c r="R2678" s="19"/>
      <c r="S2678" s="19"/>
      <c r="T2678" s="19"/>
      <c r="U2678" s="19"/>
      <c r="V2678" s="19"/>
    </row>
    <row r="2679" spans="2:22" ht="13.2" x14ac:dyDescent="0.25">
      <c r="B2679" s="19"/>
      <c r="C2679" s="19"/>
      <c r="D2679" s="19"/>
      <c r="E2679" s="19"/>
      <c r="F2679" s="19"/>
      <c r="G2679" s="19"/>
      <c r="H2679" s="19"/>
      <c r="I2679" s="19"/>
      <c r="J2679" s="19"/>
      <c r="K2679" s="19"/>
      <c r="L2679" s="19"/>
      <c r="M2679" s="19"/>
      <c r="N2679" s="19"/>
      <c r="O2679" s="19"/>
      <c r="P2679" s="19"/>
      <c r="Q2679" s="19"/>
      <c r="R2679" s="19"/>
      <c r="S2679" s="19"/>
      <c r="T2679" s="19"/>
      <c r="U2679" s="19"/>
      <c r="V2679" s="19"/>
    </row>
    <row r="2680" spans="2:22" ht="13.2" x14ac:dyDescent="0.25">
      <c r="B2680" s="19"/>
      <c r="C2680" s="19"/>
      <c r="D2680" s="19"/>
      <c r="E2680" s="19"/>
      <c r="F2680" s="19"/>
      <c r="G2680" s="19"/>
      <c r="H2680" s="19"/>
      <c r="I2680" s="19"/>
      <c r="J2680" s="19"/>
      <c r="K2680" s="19"/>
      <c r="L2680" s="19"/>
      <c r="M2680" s="19"/>
      <c r="N2680" s="19"/>
      <c r="O2680" s="19"/>
      <c r="P2680" s="19"/>
      <c r="Q2680" s="19"/>
      <c r="R2680" s="19"/>
      <c r="S2680" s="19"/>
      <c r="T2680" s="19"/>
      <c r="U2680" s="19"/>
      <c r="V2680" s="19"/>
    </row>
    <row r="2681" spans="2:22" ht="13.2" x14ac:dyDescent="0.25">
      <c r="B2681" s="19"/>
      <c r="C2681" s="19"/>
      <c r="D2681" s="19"/>
      <c r="E2681" s="19"/>
      <c r="F2681" s="19"/>
      <c r="G2681" s="19"/>
      <c r="H2681" s="19"/>
      <c r="I2681" s="19"/>
      <c r="J2681" s="19"/>
      <c r="K2681" s="19"/>
      <c r="L2681" s="19"/>
      <c r="M2681" s="19"/>
      <c r="N2681" s="19"/>
      <c r="O2681" s="19"/>
      <c r="P2681" s="19"/>
      <c r="Q2681" s="19"/>
      <c r="R2681" s="19"/>
      <c r="S2681" s="19"/>
      <c r="T2681" s="19"/>
      <c r="U2681" s="19"/>
      <c r="V2681" s="19"/>
    </row>
    <row r="2682" spans="2:22" ht="13.2" x14ac:dyDescent="0.25">
      <c r="B2682" s="19"/>
      <c r="C2682" s="19"/>
      <c r="D2682" s="19"/>
      <c r="E2682" s="19"/>
      <c r="F2682" s="19"/>
      <c r="G2682" s="19"/>
      <c r="H2682" s="19"/>
      <c r="I2682" s="19"/>
      <c r="J2682" s="19"/>
      <c r="K2682" s="19"/>
      <c r="L2682" s="19"/>
      <c r="M2682" s="19"/>
      <c r="N2682" s="19"/>
      <c r="O2682" s="19"/>
      <c r="P2682" s="19"/>
      <c r="Q2682" s="19"/>
      <c r="R2682" s="19"/>
      <c r="S2682" s="19"/>
      <c r="T2682" s="19"/>
      <c r="U2682" s="19"/>
      <c r="V2682" s="19"/>
    </row>
    <row r="2683" spans="2:22" ht="13.2" x14ac:dyDescent="0.25">
      <c r="B2683" s="19"/>
      <c r="C2683" s="19"/>
      <c r="D2683" s="19"/>
      <c r="E2683" s="19"/>
      <c r="F2683" s="19"/>
      <c r="G2683" s="19"/>
      <c r="H2683" s="19"/>
      <c r="I2683" s="19"/>
      <c r="J2683" s="19"/>
      <c r="K2683" s="19"/>
      <c r="L2683" s="19"/>
      <c r="M2683" s="19"/>
      <c r="N2683" s="19"/>
      <c r="O2683" s="19"/>
      <c r="P2683" s="19"/>
      <c r="Q2683" s="19"/>
      <c r="R2683" s="19"/>
      <c r="S2683" s="19"/>
      <c r="T2683" s="19"/>
      <c r="U2683" s="19"/>
      <c r="V2683" s="19"/>
    </row>
    <row r="2684" spans="2:22" ht="13.2" x14ac:dyDescent="0.25">
      <c r="B2684" s="19"/>
      <c r="C2684" s="19"/>
      <c r="D2684" s="19"/>
      <c r="E2684" s="19"/>
      <c r="F2684" s="19"/>
      <c r="G2684" s="19"/>
      <c r="H2684" s="19"/>
      <c r="I2684" s="19"/>
      <c r="J2684" s="19"/>
      <c r="K2684" s="19"/>
      <c r="L2684" s="19"/>
      <c r="M2684" s="19"/>
      <c r="N2684" s="19"/>
      <c r="O2684" s="19"/>
      <c r="P2684" s="19"/>
      <c r="Q2684" s="19"/>
      <c r="R2684" s="19"/>
      <c r="S2684" s="19"/>
      <c r="T2684" s="19"/>
      <c r="U2684" s="19"/>
      <c r="V2684" s="19"/>
    </row>
    <row r="2685" spans="2:22" ht="13.2" x14ac:dyDescent="0.25">
      <c r="B2685" s="19"/>
      <c r="C2685" s="19"/>
      <c r="D2685" s="19"/>
      <c r="E2685" s="19"/>
      <c r="F2685" s="19"/>
      <c r="G2685" s="19"/>
      <c r="H2685" s="19"/>
      <c r="I2685" s="19"/>
      <c r="J2685" s="19"/>
      <c r="K2685" s="19"/>
      <c r="L2685" s="19"/>
      <c r="M2685" s="19"/>
      <c r="N2685" s="19"/>
      <c r="O2685" s="19"/>
      <c r="P2685" s="19"/>
      <c r="Q2685" s="19"/>
      <c r="R2685" s="19"/>
      <c r="S2685" s="19"/>
      <c r="T2685" s="19"/>
      <c r="U2685" s="19"/>
      <c r="V2685" s="19"/>
    </row>
    <row r="2686" spans="2:22" ht="13.2" x14ac:dyDescent="0.25">
      <c r="B2686" s="19"/>
      <c r="C2686" s="19"/>
      <c r="D2686" s="19"/>
      <c r="E2686" s="19"/>
      <c r="F2686" s="19"/>
      <c r="G2686" s="19"/>
      <c r="H2686" s="19"/>
      <c r="I2686" s="19"/>
      <c r="J2686" s="19"/>
      <c r="K2686" s="19"/>
      <c r="L2686" s="19"/>
      <c r="M2686" s="19"/>
      <c r="N2686" s="19"/>
      <c r="O2686" s="19"/>
      <c r="P2686" s="19"/>
      <c r="Q2686" s="19"/>
      <c r="R2686" s="19"/>
      <c r="S2686" s="19"/>
      <c r="T2686" s="19"/>
      <c r="U2686" s="19"/>
      <c r="V2686" s="19"/>
    </row>
    <row r="2687" spans="2:22" ht="13.2" x14ac:dyDescent="0.25">
      <c r="B2687" s="19"/>
      <c r="C2687" s="19"/>
      <c r="D2687" s="19"/>
      <c r="E2687" s="19"/>
      <c r="F2687" s="19"/>
      <c r="G2687" s="19"/>
      <c r="H2687" s="19"/>
      <c r="I2687" s="19"/>
      <c r="J2687" s="19"/>
      <c r="K2687" s="19"/>
      <c r="L2687" s="19"/>
      <c r="M2687" s="19"/>
      <c r="N2687" s="19"/>
      <c r="O2687" s="19"/>
      <c r="P2687" s="19"/>
      <c r="Q2687" s="19"/>
      <c r="R2687" s="19"/>
      <c r="S2687" s="19"/>
      <c r="T2687" s="19"/>
      <c r="U2687" s="19"/>
      <c r="V2687" s="19"/>
    </row>
    <row r="2688" spans="2:22" ht="13.2" x14ac:dyDescent="0.25">
      <c r="B2688" s="19"/>
      <c r="C2688" s="19"/>
      <c r="D2688" s="19"/>
      <c r="E2688" s="19"/>
      <c r="F2688" s="19"/>
      <c r="G2688" s="19"/>
      <c r="H2688" s="19"/>
      <c r="I2688" s="19"/>
      <c r="J2688" s="19"/>
      <c r="K2688" s="19"/>
      <c r="L2688" s="19"/>
      <c r="M2688" s="19"/>
      <c r="N2688" s="19"/>
      <c r="O2688" s="19"/>
      <c r="P2688" s="19"/>
      <c r="Q2688" s="19"/>
      <c r="R2688" s="19"/>
      <c r="S2688" s="19"/>
      <c r="T2688" s="19"/>
      <c r="U2688" s="19"/>
      <c r="V2688" s="19"/>
    </row>
    <row r="2689" spans="2:22" ht="13.2" x14ac:dyDescent="0.25">
      <c r="B2689" s="19"/>
      <c r="C2689" s="19"/>
      <c r="D2689" s="19"/>
      <c r="E2689" s="19"/>
      <c r="F2689" s="19"/>
      <c r="G2689" s="19"/>
      <c r="H2689" s="19"/>
      <c r="I2689" s="19"/>
      <c r="J2689" s="19"/>
      <c r="K2689" s="19"/>
      <c r="L2689" s="19"/>
      <c r="M2689" s="19"/>
      <c r="N2689" s="19"/>
      <c r="O2689" s="19"/>
      <c r="P2689" s="19"/>
      <c r="Q2689" s="19"/>
      <c r="R2689" s="19"/>
      <c r="S2689" s="19"/>
      <c r="T2689" s="19"/>
      <c r="U2689" s="19"/>
      <c r="V2689" s="19"/>
    </row>
    <row r="2690" spans="2:22" ht="13.2" x14ac:dyDescent="0.25">
      <c r="B2690" s="19"/>
      <c r="C2690" s="19"/>
      <c r="D2690" s="19"/>
      <c r="E2690" s="19"/>
      <c r="F2690" s="19"/>
      <c r="G2690" s="19"/>
      <c r="H2690" s="19"/>
      <c r="I2690" s="19"/>
      <c r="J2690" s="19"/>
      <c r="K2690" s="19"/>
      <c r="L2690" s="19"/>
      <c r="M2690" s="19"/>
      <c r="N2690" s="19"/>
      <c r="O2690" s="19"/>
      <c r="P2690" s="19"/>
      <c r="Q2690" s="19"/>
      <c r="R2690" s="19"/>
      <c r="S2690" s="19"/>
      <c r="T2690" s="19"/>
      <c r="U2690" s="19"/>
      <c r="V2690" s="19"/>
    </row>
    <row r="2691" spans="2:22" ht="13.2" x14ac:dyDescent="0.25">
      <c r="B2691" s="19"/>
      <c r="C2691" s="19"/>
      <c r="D2691" s="19"/>
      <c r="E2691" s="19"/>
      <c r="F2691" s="19"/>
      <c r="G2691" s="19"/>
      <c r="H2691" s="19"/>
      <c r="I2691" s="19"/>
      <c r="J2691" s="19"/>
      <c r="K2691" s="19"/>
      <c r="L2691" s="19"/>
      <c r="M2691" s="19"/>
      <c r="N2691" s="19"/>
      <c r="O2691" s="19"/>
      <c r="P2691" s="19"/>
      <c r="Q2691" s="19"/>
      <c r="R2691" s="19"/>
      <c r="S2691" s="19"/>
      <c r="T2691" s="19"/>
      <c r="U2691" s="19"/>
      <c r="V2691" s="19"/>
    </row>
    <row r="2692" spans="2:22" ht="13.2" x14ac:dyDescent="0.25">
      <c r="B2692" s="19"/>
      <c r="C2692" s="19"/>
      <c r="D2692" s="19"/>
      <c r="E2692" s="19"/>
      <c r="F2692" s="19"/>
      <c r="G2692" s="19"/>
      <c r="H2692" s="19"/>
      <c r="I2692" s="19"/>
      <c r="J2692" s="19"/>
      <c r="K2692" s="19"/>
      <c r="L2692" s="19"/>
      <c r="M2692" s="19"/>
      <c r="N2692" s="19"/>
      <c r="O2692" s="19"/>
      <c r="P2692" s="19"/>
      <c r="Q2692" s="19"/>
      <c r="R2692" s="19"/>
      <c r="S2692" s="19"/>
      <c r="T2692" s="19"/>
      <c r="U2692" s="19"/>
      <c r="V2692" s="19"/>
    </row>
    <row r="2693" spans="2:22" ht="13.2" x14ac:dyDescent="0.25">
      <c r="B2693" s="19"/>
      <c r="C2693" s="19"/>
      <c r="D2693" s="19"/>
      <c r="E2693" s="19"/>
      <c r="F2693" s="19"/>
      <c r="G2693" s="19"/>
      <c r="H2693" s="19"/>
      <c r="I2693" s="19"/>
      <c r="J2693" s="19"/>
      <c r="K2693" s="19"/>
      <c r="L2693" s="19"/>
      <c r="M2693" s="19"/>
      <c r="N2693" s="19"/>
      <c r="O2693" s="19"/>
      <c r="P2693" s="19"/>
      <c r="Q2693" s="19"/>
      <c r="R2693" s="19"/>
      <c r="S2693" s="19"/>
      <c r="T2693" s="19"/>
      <c r="U2693" s="19"/>
      <c r="V2693" s="19"/>
    </row>
    <row r="2694" spans="2:22" ht="13.2" x14ac:dyDescent="0.25">
      <c r="B2694" s="19"/>
      <c r="C2694" s="19"/>
      <c r="D2694" s="19"/>
      <c r="E2694" s="19"/>
      <c r="F2694" s="19"/>
      <c r="G2694" s="19"/>
      <c r="H2694" s="19"/>
      <c r="I2694" s="19"/>
      <c r="J2694" s="19"/>
      <c r="K2694" s="19"/>
      <c r="L2694" s="19"/>
      <c r="M2694" s="19"/>
      <c r="N2694" s="19"/>
      <c r="O2694" s="19"/>
      <c r="P2694" s="19"/>
      <c r="Q2694" s="19"/>
      <c r="R2694" s="19"/>
      <c r="S2694" s="19"/>
      <c r="T2694" s="19"/>
      <c r="U2694" s="19"/>
      <c r="V2694" s="19"/>
    </row>
    <row r="2695" spans="2:22" ht="13.2" x14ac:dyDescent="0.25">
      <c r="B2695" s="19"/>
      <c r="C2695" s="19"/>
      <c r="D2695" s="19"/>
      <c r="E2695" s="19"/>
      <c r="F2695" s="19"/>
      <c r="G2695" s="19"/>
      <c r="H2695" s="19"/>
      <c r="I2695" s="19"/>
      <c r="J2695" s="19"/>
      <c r="K2695" s="19"/>
      <c r="L2695" s="19"/>
      <c r="M2695" s="19"/>
      <c r="N2695" s="19"/>
      <c r="O2695" s="19"/>
      <c r="P2695" s="19"/>
      <c r="Q2695" s="19"/>
      <c r="R2695" s="19"/>
      <c r="S2695" s="19"/>
      <c r="T2695" s="19"/>
      <c r="U2695" s="19"/>
      <c r="V2695" s="19"/>
    </row>
    <row r="2696" spans="2:22" ht="13.2" x14ac:dyDescent="0.25">
      <c r="B2696" s="19"/>
      <c r="C2696" s="19"/>
      <c r="D2696" s="19"/>
      <c r="E2696" s="19"/>
      <c r="F2696" s="19"/>
      <c r="G2696" s="19"/>
      <c r="H2696" s="19"/>
      <c r="I2696" s="19"/>
      <c r="J2696" s="19"/>
      <c r="K2696" s="19"/>
      <c r="L2696" s="19"/>
      <c r="M2696" s="19"/>
      <c r="N2696" s="19"/>
      <c r="O2696" s="19"/>
      <c r="P2696" s="19"/>
      <c r="Q2696" s="19"/>
      <c r="R2696" s="19"/>
      <c r="S2696" s="19"/>
      <c r="T2696" s="19"/>
      <c r="U2696" s="19"/>
      <c r="V2696" s="19"/>
    </row>
    <row r="2697" spans="2:22" ht="13.2" x14ac:dyDescent="0.25">
      <c r="B2697" s="19"/>
      <c r="C2697" s="19"/>
      <c r="D2697" s="19"/>
      <c r="E2697" s="19"/>
      <c r="F2697" s="19"/>
      <c r="G2697" s="19"/>
      <c r="H2697" s="19"/>
      <c r="I2697" s="19"/>
      <c r="J2697" s="19"/>
      <c r="K2697" s="19"/>
      <c r="L2697" s="19"/>
      <c r="M2697" s="19"/>
      <c r="N2697" s="19"/>
      <c r="O2697" s="19"/>
      <c r="P2697" s="19"/>
      <c r="Q2697" s="19"/>
      <c r="R2697" s="19"/>
      <c r="S2697" s="19"/>
      <c r="T2697" s="19"/>
      <c r="U2697" s="19"/>
      <c r="V2697" s="19"/>
    </row>
    <row r="2698" spans="2:22" ht="13.2" x14ac:dyDescent="0.25">
      <c r="B2698" s="19"/>
      <c r="C2698" s="19"/>
      <c r="D2698" s="19"/>
      <c r="E2698" s="19"/>
      <c r="F2698" s="19"/>
      <c r="G2698" s="19"/>
      <c r="H2698" s="19"/>
      <c r="I2698" s="19"/>
      <c r="J2698" s="19"/>
      <c r="K2698" s="19"/>
      <c r="L2698" s="19"/>
      <c r="M2698" s="19"/>
      <c r="N2698" s="19"/>
      <c r="O2698" s="19"/>
      <c r="P2698" s="19"/>
      <c r="Q2698" s="19"/>
      <c r="R2698" s="19"/>
      <c r="S2698" s="19"/>
      <c r="T2698" s="19"/>
      <c r="U2698" s="19"/>
      <c r="V2698" s="19"/>
    </row>
    <row r="2699" spans="2:22" ht="13.2" x14ac:dyDescent="0.25">
      <c r="B2699" s="19"/>
      <c r="C2699" s="19"/>
      <c r="D2699" s="19"/>
      <c r="E2699" s="19"/>
      <c r="F2699" s="19"/>
      <c r="G2699" s="19"/>
      <c r="H2699" s="19"/>
      <c r="I2699" s="19"/>
      <c r="J2699" s="19"/>
      <c r="K2699" s="19"/>
      <c r="L2699" s="19"/>
      <c r="M2699" s="19"/>
      <c r="N2699" s="19"/>
      <c r="O2699" s="19"/>
      <c r="P2699" s="19"/>
      <c r="Q2699" s="19"/>
      <c r="R2699" s="19"/>
      <c r="S2699" s="19"/>
      <c r="T2699" s="19"/>
      <c r="U2699" s="19"/>
      <c r="V2699" s="19"/>
    </row>
    <row r="2700" spans="2:22" ht="13.2" x14ac:dyDescent="0.25">
      <c r="B2700" s="19"/>
      <c r="C2700" s="19"/>
      <c r="D2700" s="19"/>
      <c r="E2700" s="19"/>
      <c r="F2700" s="19"/>
      <c r="G2700" s="19"/>
      <c r="H2700" s="19"/>
      <c r="I2700" s="19"/>
      <c r="J2700" s="19"/>
      <c r="K2700" s="19"/>
      <c r="L2700" s="19"/>
      <c r="M2700" s="19"/>
      <c r="N2700" s="19"/>
      <c r="O2700" s="19"/>
      <c r="P2700" s="19"/>
      <c r="Q2700" s="19"/>
      <c r="R2700" s="19"/>
      <c r="S2700" s="19"/>
      <c r="T2700" s="19"/>
      <c r="U2700" s="19"/>
      <c r="V2700" s="19"/>
    </row>
    <row r="2701" spans="2:22" ht="13.2" x14ac:dyDescent="0.25">
      <c r="B2701" s="19"/>
      <c r="C2701" s="19"/>
      <c r="D2701" s="19"/>
      <c r="E2701" s="19"/>
      <c r="F2701" s="19"/>
      <c r="G2701" s="19"/>
      <c r="H2701" s="19"/>
      <c r="I2701" s="19"/>
      <c r="J2701" s="19"/>
      <c r="K2701" s="19"/>
      <c r="L2701" s="19"/>
      <c r="M2701" s="19"/>
      <c r="N2701" s="19"/>
      <c r="O2701" s="19"/>
      <c r="P2701" s="19"/>
      <c r="Q2701" s="19"/>
      <c r="R2701" s="19"/>
      <c r="S2701" s="19"/>
      <c r="T2701" s="19"/>
      <c r="U2701" s="19"/>
      <c r="V2701" s="19"/>
    </row>
    <row r="2702" spans="2:22" ht="13.2" x14ac:dyDescent="0.25">
      <c r="B2702" s="19"/>
      <c r="C2702" s="19"/>
      <c r="D2702" s="19"/>
      <c r="E2702" s="19"/>
      <c r="F2702" s="19"/>
      <c r="G2702" s="19"/>
      <c r="H2702" s="19"/>
      <c r="I2702" s="19"/>
      <c r="J2702" s="19"/>
      <c r="K2702" s="19"/>
      <c r="L2702" s="19"/>
      <c r="M2702" s="19"/>
      <c r="N2702" s="19"/>
      <c r="O2702" s="19"/>
      <c r="P2702" s="19"/>
      <c r="Q2702" s="19"/>
      <c r="R2702" s="19"/>
      <c r="S2702" s="19"/>
      <c r="T2702" s="19"/>
      <c r="U2702" s="19"/>
      <c r="V2702" s="19"/>
    </row>
    <row r="2703" spans="2:22" ht="13.2" x14ac:dyDescent="0.25">
      <c r="B2703" s="19"/>
      <c r="C2703" s="19"/>
      <c r="D2703" s="19"/>
      <c r="E2703" s="19"/>
      <c r="F2703" s="19"/>
      <c r="G2703" s="19"/>
      <c r="H2703" s="19"/>
      <c r="I2703" s="19"/>
      <c r="J2703" s="19"/>
      <c r="K2703" s="19"/>
      <c r="L2703" s="19"/>
      <c r="M2703" s="19"/>
      <c r="N2703" s="19"/>
      <c r="O2703" s="19"/>
      <c r="P2703" s="19"/>
      <c r="Q2703" s="19"/>
      <c r="R2703" s="19"/>
      <c r="S2703" s="19"/>
      <c r="T2703" s="19"/>
      <c r="U2703" s="19"/>
      <c r="V2703" s="19"/>
    </row>
    <row r="2704" spans="2:22" ht="13.2" x14ac:dyDescent="0.25">
      <c r="B2704" s="19"/>
      <c r="C2704" s="19"/>
      <c r="D2704" s="19"/>
      <c r="E2704" s="19"/>
      <c r="F2704" s="19"/>
      <c r="G2704" s="19"/>
      <c r="H2704" s="19"/>
      <c r="I2704" s="19"/>
      <c r="J2704" s="19"/>
      <c r="K2704" s="19"/>
      <c r="L2704" s="19"/>
      <c r="M2704" s="19"/>
      <c r="N2704" s="19"/>
      <c r="O2704" s="19"/>
      <c r="P2704" s="19"/>
      <c r="Q2704" s="19"/>
      <c r="R2704" s="19"/>
      <c r="S2704" s="19"/>
      <c r="T2704" s="19"/>
      <c r="U2704" s="19"/>
      <c r="V2704" s="19"/>
    </row>
    <row r="2705" spans="2:22" ht="13.2" x14ac:dyDescent="0.25">
      <c r="B2705" s="19"/>
      <c r="C2705" s="19"/>
      <c r="D2705" s="19"/>
      <c r="E2705" s="19"/>
      <c r="F2705" s="19"/>
      <c r="G2705" s="19"/>
      <c r="H2705" s="19"/>
      <c r="I2705" s="19"/>
      <c r="J2705" s="19"/>
      <c r="K2705" s="19"/>
      <c r="L2705" s="19"/>
      <c r="M2705" s="19"/>
      <c r="N2705" s="19"/>
      <c r="O2705" s="19"/>
      <c r="P2705" s="19"/>
      <c r="Q2705" s="19"/>
      <c r="R2705" s="19"/>
      <c r="S2705" s="19"/>
      <c r="T2705" s="19"/>
      <c r="U2705" s="19"/>
      <c r="V2705" s="19"/>
    </row>
    <row r="2706" spans="2:22" ht="13.2" x14ac:dyDescent="0.25">
      <c r="B2706" s="19"/>
      <c r="C2706" s="19"/>
      <c r="D2706" s="19"/>
      <c r="E2706" s="19"/>
      <c r="F2706" s="19"/>
      <c r="G2706" s="19"/>
      <c r="H2706" s="19"/>
      <c r="I2706" s="19"/>
      <c r="J2706" s="19"/>
      <c r="K2706" s="19"/>
      <c r="L2706" s="19"/>
      <c r="M2706" s="19"/>
      <c r="N2706" s="19"/>
      <c r="O2706" s="19"/>
      <c r="P2706" s="19"/>
      <c r="Q2706" s="19"/>
      <c r="R2706" s="19"/>
      <c r="S2706" s="19"/>
      <c r="T2706" s="19"/>
      <c r="U2706" s="19"/>
      <c r="V2706" s="19"/>
    </row>
    <row r="2707" spans="2:22" ht="13.2" x14ac:dyDescent="0.25">
      <c r="B2707" s="19"/>
      <c r="C2707" s="19"/>
      <c r="D2707" s="19"/>
      <c r="E2707" s="19"/>
      <c r="F2707" s="19"/>
      <c r="G2707" s="19"/>
      <c r="H2707" s="19"/>
      <c r="I2707" s="19"/>
      <c r="J2707" s="19"/>
      <c r="K2707" s="19"/>
      <c r="L2707" s="19"/>
      <c r="M2707" s="19"/>
      <c r="N2707" s="19"/>
      <c r="O2707" s="19"/>
      <c r="P2707" s="19"/>
      <c r="Q2707" s="19"/>
      <c r="R2707" s="19"/>
      <c r="S2707" s="19"/>
      <c r="T2707" s="19"/>
      <c r="U2707" s="19"/>
      <c r="V2707" s="19"/>
    </row>
    <row r="2708" spans="2:22" ht="13.2" x14ac:dyDescent="0.25">
      <c r="B2708" s="19"/>
      <c r="C2708" s="19"/>
      <c r="D2708" s="19"/>
      <c r="E2708" s="19"/>
      <c r="F2708" s="19"/>
      <c r="G2708" s="19"/>
      <c r="H2708" s="19"/>
      <c r="I2708" s="19"/>
      <c r="J2708" s="19"/>
      <c r="K2708" s="19"/>
      <c r="L2708" s="19"/>
      <c r="M2708" s="19"/>
      <c r="N2708" s="19"/>
      <c r="O2708" s="19"/>
      <c r="P2708" s="19"/>
      <c r="Q2708" s="19"/>
      <c r="R2708" s="19"/>
      <c r="S2708" s="19"/>
      <c r="T2708" s="19"/>
      <c r="U2708" s="19"/>
      <c r="V2708" s="19"/>
    </row>
    <row r="2709" spans="2:22" ht="13.2" x14ac:dyDescent="0.25">
      <c r="B2709" s="19"/>
      <c r="C2709" s="19"/>
      <c r="D2709" s="19"/>
      <c r="E2709" s="19"/>
      <c r="F2709" s="19"/>
      <c r="G2709" s="19"/>
      <c r="H2709" s="19"/>
      <c r="I2709" s="19"/>
      <c r="J2709" s="19"/>
      <c r="K2709" s="19"/>
      <c r="L2709" s="19"/>
      <c r="M2709" s="19"/>
      <c r="N2709" s="19"/>
      <c r="O2709" s="19"/>
      <c r="P2709" s="19"/>
      <c r="Q2709" s="19"/>
      <c r="R2709" s="19"/>
      <c r="S2709" s="19"/>
      <c r="T2709" s="19"/>
      <c r="U2709" s="19"/>
      <c r="V2709" s="19"/>
    </row>
    <row r="2710" spans="2:22" ht="13.2" x14ac:dyDescent="0.25">
      <c r="B2710" s="19"/>
      <c r="C2710" s="19"/>
      <c r="D2710" s="19"/>
      <c r="E2710" s="19"/>
      <c r="F2710" s="19"/>
      <c r="G2710" s="19"/>
      <c r="H2710" s="19"/>
      <c r="I2710" s="19"/>
      <c r="J2710" s="19"/>
      <c r="K2710" s="19"/>
      <c r="L2710" s="19"/>
      <c r="M2710" s="19"/>
      <c r="N2710" s="19"/>
      <c r="O2710" s="19"/>
      <c r="P2710" s="19"/>
      <c r="Q2710" s="19"/>
      <c r="R2710" s="19"/>
      <c r="S2710" s="19"/>
      <c r="T2710" s="19"/>
      <c r="U2710" s="19"/>
      <c r="V2710" s="19"/>
    </row>
    <row r="2711" spans="2:22" ht="13.2" x14ac:dyDescent="0.25">
      <c r="B2711" s="19"/>
      <c r="C2711" s="19"/>
      <c r="D2711" s="19"/>
      <c r="E2711" s="19"/>
      <c r="F2711" s="19"/>
      <c r="G2711" s="19"/>
      <c r="H2711" s="19"/>
      <c r="I2711" s="19"/>
      <c r="J2711" s="19"/>
      <c r="K2711" s="19"/>
      <c r="L2711" s="19"/>
      <c r="M2711" s="19"/>
      <c r="N2711" s="19"/>
      <c r="O2711" s="19"/>
      <c r="P2711" s="19"/>
      <c r="Q2711" s="19"/>
      <c r="R2711" s="19"/>
      <c r="S2711" s="19"/>
      <c r="T2711" s="19"/>
      <c r="U2711" s="19"/>
      <c r="V2711" s="19"/>
    </row>
    <row r="2712" spans="2:22" ht="13.2" x14ac:dyDescent="0.25">
      <c r="B2712" s="19"/>
      <c r="C2712" s="19"/>
      <c r="D2712" s="19"/>
      <c r="E2712" s="19"/>
      <c r="F2712" s="19"/>
      <c r="G2712" s="19"/>
      <c r="H2712" s="19"/>
      <c r="I2712" s="19"/>
      <c r="J2712" s="19"/>
      <c r="K2712" s="19"/>
      <c r="L2712" s="19"/>
      <c r="M2712" s="19"/>
      <c r="N2712" s="19"/>
      <c r="O2712" s="19"/>
      <c r="P2712" s="19"/>
      <c r="Q2712" s="19"/>
      <c r="R2712" s="19"/>
      <c r="S2712" s="19"/>
      <c r="T2712" s="19"/>
      <c r="U2712" s="19"/>
      <c r="V2712" s="19"/>
    </row>
    <row r="2713" spans="2:22" ht="13.2" x14ac:dyDescent="0.25">
      <c r="B2713" s="19"/>
      <c r="C2713" s="19"/>
      <c r="D2713" s="19"/>
      <c r="E2713" s="19"/>
      <c r="F2713" s="19"/>
      <c r="G2713" s="19"/>
      <c r="H2713" s="19"/>
      <c r="I2713" s="19"/>
      <c r="J2713" s="19"/>
      <c r="K2713" s="19"/>
      <c r="L2713" s="19"/>
      <c r="M2713" s="19"/>
      <c r="N2713" s="19"/>
      <c r="O2713" s="19"/>
      <c r="P2713" s="19"/>
      <c r="Q2713" s="19"/>
      <c r="R2713" s="19"/>
      <c r="S2713" s="19"/>
      <c r="T2713" s="19"/>
      <c r="U2713" s="19"/>
      <c r="V2713" s="19"/>
    </row>
    <row r="2714" spans="2:22" ht="13.2" x14ac:dyDescent="0.25">
      <c r="B2714" s="19"/>
      <c r="C2714" s="19"/>
      <c r="D2714" s="19"/>
      <c r="E2714" s="19"/>
      <c r="F2714" s="19"/>
      <c r="G2714" s="19"/>
      <c r="H2714" s="19"/>
      <c r="I2714" s="19"/>
      <c r="J2714" s="19"/>
      <c r="K2714" s="19"/>
      <c r="L2714" s="19"/>
      <c r="M2714" s="19"/>
      <c r="N2714" s="19"/>
      <c r="O2714" s="19"/>
      <c r="P2714" s="19"/>
      <c r="Q2714" s="19"/>
      <c r="R2714" s="19"/>
      <c r="S2714" s="19"/>
      <c r="T2714" s="19"/>
      <c r="U2714" s="19"/>
      <c r="V2714" s="19"/>
    </row>
    <row r="2715" spans="2:22" ht="13.2" x14ac:dyDescent="0.25">
      <c r="B2715" s="19"/>
      <c r="C2715" s="19"/>
      <c r="D2715" s="19"/>
      <c r="E2715" s="19"/>
      <c r="F2715" s="19"/>
      <c r="G2715" s="19"/>
      <c r="H2715" s="19"/>
      <c r="I2715" s="19"/>
      <c r="J2715" s="19"/>
      <c r="K2715" s="19"/>
      <c r="L2715" s="19"/>
      <c r="M2715" s="19"/>
      <c r="N2715" s="19"/>
      <c r="O2715" s="19"/>
      <c r="P2715" s="19"/>
      <c r="Q2715" s="19"/>
      <c r="R2715" s="19"/>
      <c r="S2715" s="19"/>
      <c r="T2715" s="19"/>
      <c r="U2715" s="19"/>
      <c r="V2715" s="19"/>
    </row>
    <row r="2716" spans="2:22" ht="13.2" x14ac:dyDescent="0.25">
      <c r="B2716" s="19"/>
      <c r="C2716" s="19"/>
      <c r="D2716" s="19"/>
      <c r="E2716" s="19"/>
      <c r="F2716" s="19"/>
      <c r="G2716" s="19"/>
      <c r="H2716" s="19"/>
      <c r="I2716" s="19"/>
      <c r="J2716" s="19"/>
      <c r="K2716" s="19"/>
      <c r="L2716" s="19"/>
      <c r="M2716" s="19"/>
      <c r="N2716" s="19"/>
      <c r="O2716" s="19"/>
      <c r="P2716" s="19"/>
      <c r="Q2716" s="19"/>
      <c r="R2716" s="19"/>
      <c r="S2716" s="19"/>
      <c r="T2716" s="19"/>
      <c r="U2716" s="19"/>
      <c r="V2716" s="19"/>
    </row>
    <row r="2717" spans="2:22" ht="13.2" x14ac:dyDescent="0.25">
      <c r="B2717" s="19"/>
      <c r="C2717" s="19"/>
      <c r="D2717" s="19"/>
      <c r="E2717" s="19"/>
      <c r="F2717" s="19"/>
      <c r="G2717" s="19"/>
      <c r="H2717" s="19"/>
      <c r="I2717" s="19"/>
      <c r="J2717" s="19"/>
      <c r="K2717" s="19"/>
      <c r="L2717" s="19"/>
      <c r="M2717" s="19"/>
      <c r="N2717" s="19"/>
      <c r="O2717" s="19"/>
      <c r="P2717" s="19"/>
      <c r="Q2717" s="19"/>
      <c r="R2717" s="19"/>
      <c r="S2717" s="19"/>
      <c r="T2717" s="19"/>
      <c r="U2717" s="19"/>
      <c r="V2717" s="19"/>
    </row>
    <row r="2718" spans="2:22" ht="13.2" x14ac:dyDescent="0.25">
      <c r="B2718" s="19"/>
      <c r="C2718" s="19"/>
      <c r="D2718" s="19"/>
      <c r="E2718" s="19"/>
      <c r="F2718" s="19"/>
      <c r="G2718" s="19"/>
      <c r="H2718" s="19"/>
      <c r="I2718" s="19"/>
      <c r="J2718" s="19"/>
      <c r="K2718" s="19"/>
      <c r="L2718" s="19"/>
      <c r="M2718" s="19"/>
      <c r="N2718" s="19"/>
      <c r="O2718" s="19"/>
      <c r="P2718" s="19"/>
      <c r="Q2718" s="19"/>
      <c r="R2718" s="19"/>
      <c r="S2718" s="19"/>
      <c r="T2718" s="19"/>
      <c r="U2718" s="19"/>
      <c r="V2718" s="19"/>
    </row>
    <row r="2719" spans="2:22" ht="13.2" x14ac:dyDescent="0.25">
      <c r="B2719" s="19"/>
      <c r="C2719" s="19"/>
      <c r="D2719" s="19"/>
      <c r="E2719" s="19"/>
      <c r="F2719" s="19"/>
      <c r="G2719" s="19"/>
      <c r="H2719" s="19"/>
      <c r="I2719" s="19"/>
      <c r="J2719" s="19"/>
      <c r="K2719" s="19"/>
      <c r="L2719" s="19"/>
      <c r="M2719" s="19"/>
      <c r="N2719" s="19"/>
      <c r="O2719" s="19"/>
      <c r="P2719" s="19"/>
      <c r="Q2719" s="19"/>
      <c r="R2719" s="19"/>
      <c r="S2719" s="19"/>
      <c r="T2719" s="19"/>
      <c r="U2719" s="19"/>
      <c r="V2719" s="19"/>
    </row>
    <row r="2720" spans="2:22" ht="13.2" x14ac:dyDescent="0.25">
      <c r="B2720" s="19"/>
      <c r="C2720" s="19"/>
      <c r="D2720" s="19"/>
      <c r="E2720" s="19"/>
      <c r="F2720" s="19"/>
      <c r="G2720" s="19"/>
      <c r="H2720" s="19"/>
      <c r="I2720" s="19"/>
      <c r="J2720" s="19"/>
      <c r="K2720" s="19"/>
      <c r="L2720" s="19"/>
      <c r="M2720" s="19"/>
      <c r="N2720" s="19"/>
      <c r="O2720" s="19"/>
      <c r="P2720" s="19"/>
      <c r="Q2720" s="19"/>
      <c r="R2720" s="19"/>
      <c r="S2720" s="19"/>
      <c r="T2720" s="19"/>
      <c r="U2720" s="19"/>
      <c r="V2720" s="19"/>
    </row>
    <row r="2721" spans="2:22" ht="13.2" x14ac:dyDescent="0.25">
      <c r="B2721" s="19"/>
      <c r="C2721" s="19"/>
      <c r="D2721" s="19"/>
      <c r="E2721" s="19"/>
      <c r="F2721" s="19"/>
      <c r="G2721" s="19"/>
      <c r="H2721" s="19"/>
      <c r="I2721" s="19"/>
      <c r="J2721" s="19"/>
      <c r="K2721" s="19"/>
      <c r="L2721" s="19"/>
      <c r="M2721" s="19"/>
      <c r="N2721" s="19"/>
      <c r="O2721" s="19"/>
      <c r="P2721" s="19"/>
      <c r="Q2721" s="19"/>
      <c r="R2721" s="19"/>
      <c r="S2721" s="19"/>
      <c r="T2721" s="19"/>
      <c r="U2721" s="19"/>
      <c r="V2721" s="19"/>
    </row>
    <row r="2722" spans="2:22" ht="13.2" x14ac:dyDescent="0.25">
      <c r="B2722" s="19"/>
      <c r="C2722" s="19"/>
      <c r="D2722" s="19"/>
      <c r="E2722" s="19"/>
      <c r="F2722" s="19"/>
      <c r="G2722" s="19"/>
      <c r="H2722" s="19"/>
      <c r="I2722" s="19"/>
      <c r="J2722" s="19"/>
      <c r="K2722" s="19"/>
      <c r="L2722" s="19"/>
      <c r="M2722" s="19"/>
      <c r="N2722" s="19"/>
      <c r="O2722" s="19"/>
      <c r="P2722" s="19"/>
      <c r="Q2722" s="19"/>
      <c r="R2722" s="19"/>
      <c r="S2722" s="19"/>
      <c r="T2722" s="19"/>
      <c r="U2722" s="19"/>
      <c r="V2722" s="19"/>
    </row>
    <row r="2723" spans="2:22" ht="13.2" x14ac:dyDescent="0.25">
      <c r="B2723" s="19"/>
      <c r="C2723" s="19"/>
      <c r="D2723" s="19"/>
      <c r="E2723" s="19"/>
      <c r="F2723" s="19"/>
      <c r="G2723" s="19"/>
      <c r="H2723" s="19"/>
      <c r="I2723" s="19"/>
      <c r="J2723" s="19"/>
      <c r="K2723" s="19"/>
      <c r="L2723" s="19"/>
      <c r="M2723" s="19"/>
      <c r="N2723" s="19"/>
      <c r="O2723" s="19"/>
      <c r="P2723" s="19"/>
      <c r="Q2723" s="19"/>
      <c r="R2723" s="19"/>
      <c r="S2723" s="19"/>
      <c r="T2723" s="19"/>
      <c r="U2723" s="19"/>
      <c r="V2723" s="19"/>
    </row>
    <row r="2724" spans="2:22" ht="13.2" x14ac:dyDescent="0.25">
      <c r="B2724" s="19"/>
      <c r="C2724" s="19"/>
      <c r="D2724" s="19"/>
      <c r="E2724" s="19"/>
      <c r="F2724" s="19"/>
      <c r="G2724" s="19"/>
      <c r="H2724" s="19"/>
      <c r="I2724" s="19"/>
      <c r="J2724" s="19"/>
      <c r="K2724" s="19"/>
      <c r="L2724" s="19"/>
      <c r="M2724" s="19"/>
      <c r="N2724" s="19"/>
      <c r="O2724" s="19"/>
      <c r="P2724" s="19"/>
      <c r="Q2724" s="19"/>
      <c r="R2724" s="19"/>
      <c r="S2724" s="19"/>
      <c r="T2724" s="19"/>
      <c r="U2724" s="19"/>
      <c r="V2724" s="19"/>
    </row>
    <row r="2725" spans="2:22" ht="13.2" x14ac:dyDescent="0.25">
      <c r="B2725" s="19"/>
      <c r="C2725" s="19"/>
      <c r="D2725" s="19"/>
      <c r="E2725" s="19"/>
      <c r="F2725" s="19"/>
      <c r="G2725" s="19"/>
      <c r="H2725" s="19"/>
      <c r="I2725" s="19"/>
      <c r="J2725" s="19"/>
      <c r="K2725" s="19"/>
      <c r="L2725" s="19"/>
      <c r="M2725" s="19"/>
      <c r="N2725" s="19"/>
      <c r="O2725" s="19"/>
      <c r="P2725" s="19"/>
      <c r="Q2725" s="19"/>
      <c r="R2725" s="19"/>
      <c r="S2725" s="19"/>
      <c r="T2725" s="19"/>
      <c r="U2725" s="19"/>
      <c r="V2725" s="19"/>
    </row>
    <row r="2726" spans="2:22" ht="13.2" x14ac:dyDescent="0.25">
      <c r="B2726" s="19"/>
      <c r="C2726" s="19"/>
      <c r="D2726" s="19"/>
      <c r="E2726" s="19"/>
      <c r="F2726" s="19"/>
      <c r="G2726" s="19"/>
      <c r="H2726" s="19"/>
      <c r="I2726" s="19"/>
      <c r="J2726" s="19"/>
      <c r="K2726" s="19"/>
      <c r="L2726" s="19"/>
      <c r="M2726" s="19"/>
      <c r="N2726" s="19"/>
      <c r="O2726" s="19"/>
      <c r="P2726" s="19"/>
      <c r="Q2726" s="19"/>
      <c r="R2726" s="19"/>
      <c r="S2726" s="19"/>
      <c r="T2726" s="19"/>
      <c r="U2726" s="19"/>
      <c r="V2726" s="19"/>
    </row>
    <row r="2727" spans="2:22" ht="13.2" x14ac:dyDescent="0.25">
      <c r="B2727" s="19"/>
      <c r="C2727" s="19"/>
      <c r="D2727" s="19"/>
      <c r="E2727" s="19"/>
      <c r="F2727" s="19"/>
      <c r="G2727" s="19"/>
      <c r="H2727" s="19"/>
      <c r="I2727" s="19"/>
      <c r="J2727" s="19"/>
      <c r="K2727" s="19"/>
      <c r="L2727" s="19"/>
      <c r="M2727" s="19"/>
      <c r="N2727" s="19"/>
      <c r="O2727" s="19"/>
      <c r="P2727" s="19"/>
      <c r="Q2727" s="19"/>
      <c r="R2727" s="19"/>
      <c r="S2727" s="19"/>
      <c r="T2727" s="19"/>
      <c r="U2727" s="19"/>
      <c r="V2727" s="19"/>
    </row>
    <row r="2728" spans="2:22" ht="13.2" x14ac:dyDescent="0.25">
      <c r="B2728" s="19"/>
      <c r="C2728" s="19"/>
      <c r="D2728" s="19"/>
      <c r="E2728" s="19"/>
      <c r="F2728" s="19"/>
      <c r="G2728" s="19"/>
      <c r="H2728" s="19"/>
      <c r="I2728" s="19"/>
      <c r="J2728" s="19"/>
      <c r="K2728" s="19"/>
      <c r="L2728" s="19"/>
      <c r="M2728" s="19"/>
      <c r="N2728" s="19"/>
      <c r="O2728" s="19"/>
      <c r="P2728" s="19"/>
      <c r="Q2728" s="19"/>
      <c r="R2728" s="19"/>
      <c r="S2728" s="19"/>
      <c r="T2728" s="19"/>
      <c r="U2728" s="19"/>
      <c r="V2728" s="19"/>
    </row>
    <row r="2729" spans="2:22" ht="13.2" x14ac:dyDescent="0.25">
      <c r="B2729" s="19"/>
      <c r="C2729" s="19"/>
      <c r="D2729" s="19"/>
      <c r="E2729" s="19"/>
      <c r="F2729" s="19"/>
      <c r="G2729" s="19"/>
      <c r="H2729" s="19"/>
      <c r="I2729" s="19"/>
      <c r="J2729" s="19"/>
      <c r="K2729" s="19"/>
      <c r="L2729" s="19"/>
      <c r="M2729" s="19"/>
      <c r="N2729" s="19"/>
      <c r="O2729" s="19"/>
      <c r="P2729" s="19"/>
      <c r="Q2729" s="19"/>
      <c r="R2729" s="19"/>
      <c r="S2729" s="19"/>
      <c r="T2729" s="19"/>
      <c r="U2729" s="19"/>
      <c r="V2729" s="19"/>
    </row>
    <row r="2730" spans="2:22" ht="13.2" x14ac:dyDescent="0.25">
      <c r="B2730" s="19"/>
      <c r="C2730" s="19"/>
      <c r="D2730" s="19"/>
      <c r="E2730" s="19"/>
      <c r="F2730" s="19"/>
      <c r="G2730" s="19"/>
      <c r="H2730" s="19"/>
      <c r="I2730" s="19"/>
      <c r="J2730" s="19"/>
      <c r="K2730" s="19"/>
      <c r="L2730" s="19"/>
      <c r="M2730" s="19"/>
      <c r="N2730" s="19"/>
      <c r="O2730" s="19"/>
      <c r="P2730" s="19"/>
      <c r="Q2730" s="19"/>
      <c r="R2730" s="19"/>
      <c r="S2730" s="19"/>
      <c r="T2730" s="19"/>
      <c r="U2730" s="19"/>
      <c r="V2730" s="19"/>
    </row>
    <row r="2731" spans="2:22" ht="13.2" x14ac:dyDescent="0.25">
      <c r="B2731" s="19"/>
      <c r="C2731" s="19"/>
      <c r="D2731" s="19"/>
      <c r="E2731" s="19"/>
      <c r="F2731" s="19"/>
      <c r="G2731" s="19"/>
      <c r="H2731" s="19"/>
      <c r="I2731" s="19"/>
      <c r="J2731" s="19"/>
      <c r="K2731" s="19"/>
      <c r="L2731" s="19"/>
      <c r="M2731" s="19"/>
      <c r="N2731" s="19"/>
      <c r="O2731" s="19"/>
      <c r="P2731" s="19"/>
      <c r="Q2731" s="19"/>
      <c r="R2731" s="19"/>
      <c r="S2731" s="19"/>
      <c r="T2731" s="19"/>
      <c r="U2731" s="19"/>
      <c r="V2731" s="19"/>
    </row>
    <row r="2732" spans="2:22" ht="13.2" x14ac:dyDescent="0.25">
      <c r="B2732" s="19"/>
      <c r="C2732" s="19"/>
      <c r="D2732" s="19"/>
      <c r="E2732" s="19"/>
      <c r="F2732" s="19"/>
      <c r="G2732" s="19"/>
      <c r="H2732" s="19"/>
      <c r="I2732" s="19"/>
      <c r="J2732" s="19"/>
      <c r="K2732" s="19"/>
      <c r="L2732" s="19"/>
      <c r="M2732" s="19"/>
      <c r="N2732" s="19"/>
      <c r="O2732" s="19"/>
      <c r="P2732" s="19"/>
      <c r="Q2732" s="19"/>
      <c r="R2732" s="19"/>
      <c r="S2732" s="19"/>
      <c r="T2732" s="19"/>
      <c r="U2732" s="19"/>
      <c r="V2732" s="19"/>
    </row>
    <row r="2733" spans="2:22" ht="13.2" x14ac:dyDescent="0.25">
      <c r="B2733" s="19"/>
      <c r="C2733" s="19"/>
      <c r="D2733" s="19"/>
      <c r="E2733" s="19"/>
      <c r="F2733" s="19"/>
      <c r="G2733" s="19"/>
      <c r="H2733" s="19"/>
      <c r="I2733" s="19"/>
      <c r="J2733" s="19"/>
      <c r="K2733" s="19"/>
      <c r="L2733" s="19"/>
      <c r="M2733" s="19"/>
      <c r="N2733" s="19"/>
      <c r="O2733" s="19"/>
      <c r="P2733" s="19"/>
      <c r="Q2733" s="19"/>
      <c r="R2733" s="19"/>
      <c r="S2733" s="19"/>
      <c r="T2733" s="19"/>
      <c r="U2733" s="19"/>
      <c r="V2733" s="19"/>
    </row>
    <row r="2734" spans="2:22" ht="13.2" x14ac:dyDescent="0.25">
      <c r="B2734" s="19"/>
      <c r="C2734" s="19"/>
      <c r="D2734" s="19"/>
      <c r="E2734" s="19"/>
      <c r="F2734" s="19"/>
      <c r="G2734" s="19"/>
      <c r="H2734" s="19"/>
      <c r="I2734" s="19"/>
      <c r="J2734" s="19"/>
      <c r="K2734" s="19"/>
      <c r="L2734" s="19"/>
      <c r="M2734" s="19"/>
      <c r="N2734" s="19"/>
      <c r="O2734" s="19"/>
      <c r="P2734" s="19"/>
      <c r="Q2734" s="19"/>
      <c r="R2734" s="19"/>
      <c r="S2734" s="19"/>
      <c r="T2734" s="19"/>
      <c r="U2734" s="19"/>
      <c r="V2734" s="19"/>
    </row>
    <row r="2735" spans="2:22" ht="13.2" x14ac:dyDescent="0.25">
      <c r="B2735" s="19"/>
      <c r="C2735" s="19"/>
      <c r="D2735" s="19"/>
      <c r="E2735" s="19"/>
      <c r="F2735" s="19"/>
      <c r="G2735" s="19"/>
      <c r="H2735" s="19"/>
      <c r="I2735" s="19"/>
      <c r="J2735" s="19"/>
      <c r="K2735" s="19"/>
      <c r="L2735" s="19"/>
      <c r="M2735" s="19"/>
      <c r="N2735" s="19"/>
      <c r="O2735" s="19"/>
      <c r="P2735" s="19"/>
      <c r="Q2735" s="19"/>
      <c r="R2735" s="19"/>
      <c r="S2735" s="19"/>
      <c r="T2735" s="19"/>
      <c r="U2735" s="19"/>
      <c r="V2735" s="19"/>
    </row>
    <row r="2736" spans="2:22" ht="13.2" x14ac:dyDescent="0.25">
      <c r="B2736" s="19"/>
      <c r="C2736" s="19"/>
      <c r="D2736" s="19"/>
      <c r="E2736" s="19"/>
      <c r="F2736" s="19"/>
      <c r="G2736" s="19"/>
      <c r="H2736" s="19"/>
      <c r="I2736" s="19"/>
      <c r="J2736" s="19"/>
      <c r="K2736" s="19"/>
      <c r="L2736" s="19"/>
      <c r="M2736" s="19"/>
      <c r="N2736" s="19"/>
      <c r="O2736" s="19"/>
      <c r="P2736" s="19"/>
      <c r="Q2736" s="19"/>
      <c r="R2736" s="19"/>
      <c r="S2736" s="19"/>
      <c r="T2736" s="19"/>
      <c r="U2736" s="19"/>
      <c r="V2736" s="19"/>
    </row>
    <row r="2737" spans="2:22" ht="13.2" x14ac:dyDescent="0.25">
      <c r="B2737" s="19"/>
      <c r="C2737" s="19"/>
      <c r="D2737" s="19"/>
      <c r="E2737" s="19"/>
      <c r="F2737" s="19"/>
      <c r="G2737" s="19"/>
      <c r="H2737" s="19"/>
      <c r="I2737" s="19"/>
      <c r="J2737" s="19"/>
      <c r="K2737" s="19"/>
      <c r="L2737" s="19"/>
      <c r="M2737" s="19"/>
      <c r="N2737" s="19"/>
      <c r="O2737" s="19"/>
      <c r="P2737" s="19"/>
      <c r="Q2737" s="19"/>
      <c r="R2737" s="19"/>
      <c r="S2737" s="19"/>
      <c r="T2737" s="19"/>
      <c r="U2737" s="19"/>
      <c r="V2737" s="19"/>
    </row>
    <row r="2738" spans="2:22" ht="13.2" x14ac:dyDescent="0.25">
      <c r="B2738" s="19"/>
      <c r="C2738" s="19"/>
      <c r="D2738" s="19"/>
      <c r="E2738" s="19"/>
      <c r="F2738" s="19"/>
      <c r="G2738" s="19"/>
      <c r="H2738" s="19"/>
      <c r="I2738" s="19"/>
      <c r="J2738" s="19"/>
      <c r="K2738" s="19"/>
      <c r="L2738" s="19"/>
      <c r="M2738" s="19"/>
      <c r="N2738" s="19"/>
      <c r="O2738" s="19"/>
      <c r="P2738" s="19"/>
      <c r="Q2738" s="19"/>
      <c r="R2738" s="19"/>
      <c r="S2738" s="19"/>
      <c r="T2738" s="19"/>
      <c r="U2738" s="19"/>
      <c r="V2738" s="19"/>
    </row>
    <row r="2739" spans="2:22" ht="13.2" x14ac:dyDescent="0.25">
      <c r="B2739" s="19"/>
      <c r="C2739" s="19"/>
      <c r="D2739" s="19"/>
      <c r="E2739" s="19"/>
      <c r="F2739" s="19"/>
      <c r="G2739" s="19"/>
      <c r="H2739" s="19"/>
      <c r="I2739" s="19"/>
      <c r="J2739" s="19"/>
      <c r="K2739" s="19"/>
      <c r="L2739" s="19"/>
      <c r="M2739" s="19"/>
      <c r="N2739" s="19"/>
      <c r="O2739" s="19"/>
      <c r="P2739" s="19"/>
      <c r="Q2739" s="19"/>
      <c r="R2739" s="19"/>
      <c r="S2739" s="19"/>
      <c r="T2739" s="19"/>
      <c r="U2739" s="19"/>
      <c r="V2739" s="19"/>
    </row>
    <row r="2740" spans="2:22" ht="13.2" x14ac:dyDescent="0.25">
      <c r="B2740" s="19"/>
      <c r="C2740" s="19"/>
      <c r="D2740" s="19"/>
      <c r="E2740" s="19"/>
      <c r="F2740" s="19"/>
      <c r="G2740" s="19"/>
      <c r="H2740" s="19"/>
      <c r="I2740" s="19"/>
      <c r="J2740" s="19"/>
      <c r="K2740" s="19"/>
      <c r="L2740" s="19"/>
      <c r="M2740" s="19"/>
      <c r="N2740" s="19"/>
      <c r="O2740" s="19"/>
      <c r="P2740" s="19"/>
      <c r="Q2740" s="19"/>
      <c r="R2740" s="19"/>
      <c r="S2740" s="19"/>
      <c r="T2740" s="19"/>
      <c r="U2740" s="19"/>
      <c r="V2740" s="19"/>
    </row>
    <row r="2741" spans="2:22" ht="13.2" x14ac:dyDescent="0.25">
      <c r="B2741" s="19"/>
      <c r="C2741" s="19"/>
      <c r="D2741" s="19"/>
      <c r="E2741" s="19"/>
      <c r="F2741" s="19"/>
      <c r="G2741" s="19"/>
      <c r="H2741" s="19"/>
      <c r="I2741" s="19"/>
      <c r="J2741" s="19"/>
      <c r="K2741" s="19"/>
      <c r="L2741" s="19"/>
      <c r="M2741" s="19"/>
      <c r="N2741" s="19"/>
      <c r="O2741" s="19"/>
      <c r="P2741" s="19"/>
      <c r="Q2741" s="19"/>
      <c r="R2741" s="19"/>
      <c r="S2741" s="19"/>
      <c r="T2741" s="19"/>
      <c r="U2741" s="19"/>
      <c r="V2741" s="19"/>
    </row>
    <row r="2742" spans="2:22" ht="13.2" x14ac:dyDescent="0.25">
      <c r="B2742" s="19"/>
      <c r="C2742" s="19"/>
      <c r="D2742" s="19"/>
      <c r="E2742" s="19"/>
      <c r="F2742" s="19"/>
      <c r="G2742" s="19"/>
      <c r="H2742" s="19"/>
      <c r="I2742" s="19"/>
      <c r="J2742" s="19"/>
      <c r="K2742" s="19"/>
      <c r="L2742" s="19"/>
      <c r="M2742" s="19"/>
      <c r="N2742" s="19"/>
      <c r="O2742" s="19"/>
      <c r="P2742" s="19"/>
      <c r="Q2742" s="19"/>
      <c r="R2742" s="19"/>
      <c r="S2742" s="19"/>
      <c r="T2742" s="19"/>
      <c r="U2742" s="19"/>
      <c r="V2742" s="19"/>
    </row>
    <row r="2743" spans="2:22" ht="13.2" x14ac:dyDescent="0.25">
      <c r="B2743" s="19"/>
      <c r="C2743" s="19"/>
      <c r="D2743" s="19"/>
      <c r="E2743" s="19"/>
      <c r="F2743" s="19"/>
      <c r="G2743" s="19"/>
      <c r="H2743" s="19"/>
      <c r="I2743" s="19"/>
      <c r="J2743" s="19"/>
      <c r="K2743" s="19"/>
      <c r="L2743" s="19"/>
      <c r="M2743" s="19"/>
      <c r="N2743" s="19"/>
      <c r="O2743" s="19"/>
      <c r="P2743" s="19"/>
      <c r="Q2743" s="19"/>
      <c r="R2743" s="19"/>
      <c r="S2743" s="19"/>
      <c r="T2743" s="19"/>
      <c r="U2743" s="19"/>
      <c r="V2743" s="19"/>
    </row>
    <row r="2744" spans="2:22" ht="13.2" x14ac:dyDescent="0.25">
      <c r="B2744" s="19"/>
      <c r="C2744" s="19"/>
      <c r="D2744" s="19"/>
      <c r="E2744" s="19"/>
      <c r="F2744" s="19"/>
      <c r="G2744" s="19"/>
      <c r="H2744" s="19"/>
      <c r="I2744" s="19"/>
      <c r="J2744" s="19"/>
      <c r="K2744" s="19"/>
      <c r="L2744" s="19"/>
      <c r="M2744" s="19"/>
      <c r="N2744" s="19"/>
      <c r="O2744" s="19"/>
      <c r="P2744" s="19"/>
      <c r="Q2744" s="19"/>
      <c r="R2744" s="19"/>
      <c r="S2744" s="19"/>
      <c r="T2744" s="19"/>
      <c r="U2744" s="19"/>
      <c r="V2744" s="19"/>
    </row>
    <row r="2745" spans="2:22" ht="13.2" x14ac:dyDescent="0.25">
      <c r="B2745" s="19"/>
      <c r="C2745" s="19"/>
      <c r="D2745" s="19"/>
      <c r="E2745" s="19"/>
      <c r="F2745" s="19"/>
      <c r="G2745" s="19"/>
      <c r="H2745" s="19"/>
      <c r="I2745" s="19"/>
      <c r="J2745" s="19"/>
      <c r="K2745" s="19"/>
      <c r="L2745" s="19"/>
      <c r="M2745" s="19"/>
      <c r="N2745" s="19"/>
      <c r="O2745" s="19"/>
      <c r="P2745" s="19"/>
      <c r="Q2745" s="19"/>
      <c r="R2745" s="19"/>
      <c r="S2745" s="19"/>
      <c r="T2745" s="19"/>
      <c r="U2745" s="19"/>
      <c r="V2745" s="19"/>
    </row>
    <row r="2746" spans="2:22" ht="13.2" x14ac:dyDescent="0.25">
      <c r="B2746" s="19"/>
      <c r="C2746" s="19"/>
      <c r="D2746" s="19"/>
      <c r="E2746" s="19"/>
      <c r="F2746" s="19"/>
      <c r="G2746" s="19"/>
      <c r="H2746" s="19"/>
      <c r="I2746" s="19"/>
      <c r="J2746" s="19"/>
      <c r="K2746" s="19"/>
      <c r="L2746" s="19"/>
      <c r="M2746" s="19"/>
      <c r="N2746" s="19"/>
      <c r="O2746" s="19"/>
      <c r="P2746" s="19"/>
      <c r="Q2746" s="19"/>
      <c r="R2746" s="19"/>
      <c r="S2746" s="19"/>
      <c r="T2746" s="19"/>
      <c r="U2746" s="19"/>
      <c r="V2746" s="19"/>
    </row>
    <row r="2747" spans="2:22" ht="13.2" x14ac:dyDescent="0.25">
      <c r="B2747" s="19"/>
      <c r="C2747" s="19"/>
      <c r="D2747" s="19"/>
      <c r="E2747" s="19"/>
      <c r="F2747" s="19"/>
      <c r="G2747" s="19"/>
      <c r="H2747" s="19"/>
      <c r="I2747" s="19"/>
      <c r="J2747" s="19"/>
      <c r="K2747" s="19"/>
      <c r="L2747" s="19"/>
      <c r="M2747" s="19"/>
      <c r="N2747" s="19"/>
      <c r="O2747" s="19"/>
      <c r="P2747" s="19"/>
      <c r="Q2747" s="19"/>
      <c r="R2747" s="19"/>
      <c r="S2747" s="19"/>
      <c r="T2747" s="19"/>
      <c r="U2747" s="19"/>
      <c r="V2747" s="19"/>
    </row>
    <row r="2748" spans="2:22" ht="13.2" x14ac:dyDescent="0.25">
      <c r="B2748" s="19"/>
      <c r="C2748" s="19"/>
      <c r="D2748" s="19"/>
      <c r="E2748" s="19"/>
      <c r="F2748" s="19"/>
      <c r="G2748" s="19"/>
      <c r="H2748" s="19"/>
      <c r="I2748" s="19"/>
      <c r="J2748" s="19"/>
      <c r="K2748" s="19"/>
      <c r="L2748" s="19"/>
      <c r="M2748" s="19"/>
      <c r="N2748" s="19"/>
      <c r="O2748" s="19"/>
      <c r="P2748" s="19"/>
      <c r="Q2748" s="19"/>
      <c r="R2748" s="19"/>
      <c r="S2748" s="19"/>
      <c r="T2748" s="19"/>
      <c r="U2748" s="19"/>
      <c r="V2748" s="19"/>
    </row>
    <row r="2749" spans="2:22" ht="13.2" x14ac:dyDescent="0.25">
      <c r="B2749" s="19"/>
      <c r="C2749" s="19"/>
      <c r="D2749" s="19"/>
      <c r="E2749" s="19"/>
      <c r="F2749" s="19"/>
      <c r="G2749" s="19"/>
      <c r="H2749" s="19"/>
      <c r="I2749" s="19"/>
      <c r="J2749" s="19"/>
      <c r="K2749" s="19"/>
      <c r="L2749" s="19"/>
      <c r="M2749" s="19"/>
      <c r="N2749" s="19"/>
      <c r="O2749" s="19"/>
      <c r="P2749" s="19"/>
      <c r="Q2749" s="19"/>
      <c r="R2749" s="19"/>
      <c r="S2749" s="19"/>
      <c r="T2749" s="19"/>
      <c r="U2749" s="19"/>
      <c r="V2749" s="19"/>
    </row>
    <row r="2750" spans="2:22" ht="13.2" x14ac:dyDescent="0.25">
      <c r="B2750" s="19"/>
      <c r="C2750" s="19"/>
      <c r="D2750" s="19"/>
      <c r="E2750" s="19"/>
      <c r="F2750" s="19"/>
      <c r="G2750" s="19"/>
      <c r="H2750" s="19"/>
      <c r="I2750" s="19"/>
      <c r="J2750" s="19"/>
      <c r="K2750" s="19"/>
      <c r="L2750" s="19"/>
      <c r="M2750" s="19"/>
      <c r="N2750" s="19"/>
      <c r="O2750" s="19"/>
      <c r="P2750" s="19"/>
      <c r="Q2750" s="19"/>
      <c r="R2750" s="19"/>
      <c r="S2750" s="19"/>
      <c r="T2750" s="19"/>
      <c r="U2750" s="19"/>
      <c r="V2750" s="19"/>
    </row>
    <row r="2751" spans="2:22" ht="13.2" x14ac:dyDescent="0.25">
      <c r="B2751" s="19"/>
      <c r="C2751" s="19"/>
      <c r="D2751" s="19"/>
      <c r="E2751" s="19"/>
      <c r="F2751" s="19"/>
      <c r="G2751" s="19"/>
      <c r="H2751" s="19"/>
      <c r="I2751" s="19"/>
      <c r="J2751" s="19"/>
      <c r="K2751" s="19"/>
      <c r="L2751" s="19"/>
      <c r="M2751" s="19"/>
      <c r="N2751" s="19"/>
      <c r="O2751" s="19"/>
      <c r="P2751" s="19"/>
      <c r="Q2751" s="19"/>
      <c r="R2751" s="19"/>
      <c r="S2751" s="19"/>
      <c r="T2751" s="19"/>
      <c r="U2751" s="19"/>
      <c r="V2751" s="19"/>
    </row>
    <row r="2752" spans="2:22" ht="13.2" x14ac:dyDescent="0.25">
      <c r="B2752" s="19"/>
      <c r="C2752" s="19"/>
      <c r="D2752" s="19"/>
      <c r="E2752" s="19"/>
      <c r="F2752" s="19"/>
      <c r="G2752" s="19"/>
      <c r="H2752" s="19"/>
      <c r="I2752" s="19"/>
      <c r="J2752" s="19"/>
      <c r="K2752" s="19"/>
      <c r="L2752" s="19"/>
      <c r="M2752" s="19"/>
      <c r="N2752" s="19"/>
      <c r="O2752" s="19"/>
      <c r="P2752" s="19"/>
      <c r="Q2752" s="19"/>
      <c r="R2752" s="19"/>
      <c r="S2752" s="19"/>
      <c r="T2752" s="19"/>
      <c r="U2752" s="19"/>
      <c r="V2752" s="19"/>
    </row>
    <row r="2753" spans="2:22" ht="13.2" x14ac:dyDescent="0.25">
      <c r="B2753" s="19"/>
      <c r="C2753" s="19"/>
      <c r="D2753" s="19"/>
      <c r="E2753" s="19"/>
      <c r="F2753" s="19"/>
      <c r="G2753" s="19"/>
      <c r="H2753" s="19"/>
      <c r="I2753" s="19"/>
      <c r="J2753" s="19"/>
      <c r="K2753" s="19"/>
      <c r="L2753" s="19"/>
      <c r="M2753" s="19"/>
      <c r="N2753" s="19"/>
      <c r="O2753" s="19"/>
      <c r="P2753" s="19"/>
      <c r="Q2753" s="19"/>
      <c r="R2753" s="19"/>
      <c r="S2753" s="19"/>
      <c r="T2753" s="19"/>
      <c r="U2753" s="19"/>
      <c r="V2753" s="19"/>
    </row>
    <row r="2754" spans="2:22" ht="13.2" x14ac:dyDescent="0.25">
      <c r="B2754" s="19"/>
      <c r="C2754" s="19"/>
      <c r="D2754" s="19"/>
      <c r="E2754" s="19"/>
      <c r="F2754" s="19"/>
      <c r="G2754" s="19"/>
      <c r="H2754" s="19"/>
      <c r="I2754" s="19"/>
      <c r="J2754" s="19"/>
      <c r="K2754" s="19"/>
      <c r="L2754" s="19"/>
      <c r="M2754" s="19"/>
      <c r="N2754" s="19"/>
      <c r="O2754" s="19"/>
      <c r="P2754" s="19"/>
      <c r="Q2754" s="19"/>
      <c r="R2754" s="19"/>
      <c r="S2754" s="19"/>
      <c r="T2754" s="19"/>
      <c r="U2754" s="19"/>
      <c r="V2754" s="19"/>
    </row>
    <row r="2755" spans="2:22" ht="13.2" x14ac:dyDescent="0.25">
      <c r="B2755" s="19"/>
      <c r="C2755" s="19"/>
      <c r="D2755" s="19"/>
      <c r="E2755" s="19"/>
      <c r="F2755" s="19"/>
      <c r="G2755" s="19"/>
      <c r="H2755" s="19"/>
      <c r="I2755" s="19"/>
      <c r="J2755" s="19"/>
      <c r="K2755" s="19"/>
      <c r="L2755" s="19"/>
      <c r="M2755" s="19"/>
      <c r="N2755" s="19"/>
      <c r="O2755" s="19"/>
      <c r="P2755" s="19"/>
      <c r="Q2755" s="19"/>
      <c r="R2755" s="19"/>
      <c r="S2755" s="19"/>
      <c r="T2755" s="19"/>
      <c r="U2755" s="19"/>
      <c r="V2755" s="19"/>
    </row>
    <row r="2756" spans="2:22" ht="13.2" x14ac:dyDescent="0.25">
      <c r="B2756" s="19"/>
      <c r="C2756" s="19"/>
      <c r="D2756" s="19"/>
      <c r="E2756" s="19"/>
      <c r="F2756" s="19"/>
      <c r="G2756" s="19"/>
      <c r="H2756" s="19"/>
      <c r="I2756" s="19"/>
      <c r="J2756" s="19"/>
      <c r="K2756" s="19"/>
      <c r="L2756" s="19"/>
      <c r="M2756" s="19"/>
      <c r="N2756" s="19"/>
      <c r="O2756" s="19"/>
      <c r="P2756" s="19"/>
      <c r="Q2756" s="19"/>
      <c r="R2756" s="19"/>
      <c r="S2756" s="19"/>
      <c r="T2756" s="19"/>
      <c r="U2756" s="19"/>
      <c r="V2756" s="19"/>
    </row>
    <row r="2757" spans="2:22" ht="13.2" x14ac:dyDescent="0.25">
      <c r="B2757" s="19"/>
      <c r="C2757" s="19"/>
      <c r="D2757" s="19"/>
      <c r="E2757" s="19"/>
      <c r="F2757" s="19"/>
      <c r="G2757" s="19"/>
      <c r="H2757" s="19"/>
      <c r="I2757" s="19"/>
      <c r="J2757" s="19"/>
      <c r="K2757" s="19"/>
      <c r="L2757" s="19"/>
      <c r="M2757" s="19"/>
      <c r="N2757" s="19"/>
      <c r="O2757" s="19"/>
      <c r="P2757" s="19"/>
      <c r="Q2757" s="19"/>
      <c r="R2757" s="19"/>
      <c r="S2757" s="19"/>
      <c r="T2757" s="19"/>
      <c r="U2757" s="19"/>
      <c r="V2757" s="19"/>
    </row>
    <row r="2758" spans="2:22" ht="13.2" x14ac:dyDescent="0.25">
      <c r="B2758" s="19"/>
      <c r="C2758" s="19"/>
      <c r="D2758" s="19"/>
      <c r="E2758" s="19"/>
      <c r="F2758" s="19"/>
      <c r="G2758" s="19"/>
      <c r="H2758" s="19"/>
      <c r="I2758" s="19"/>
      <c r="J2758" s="19"/>
      <c r="K2758" s="19"/>
      <c r="L2758" s="19"/>
      <c r="M2758" s="19"/>
      <c r="N2758" s="19"/>
      <c r="O2758" s="19"/>
      <c r="P2758" s="19"/>
      <c r="Q2758" s="19"/>
      <c r="R2758" s="19"/>
      <c r="S2758" s="19"/>
      <c r="T2758" s="19"/>
      <c r="U2758" s="19"/>
      <c r="V2758" s="19"/>
    </row>
    <row r="2759" spans="2:22" ht="13.2" x14ac:dyDescent="0.25">
      <c r="B2759" s="19"/>
      <c r="C2759" s="19"/>
      <c r="D2759" s="19"/>
      <c r="E2759" s="19"/>
      <c r="F2759" s="19"/>
      <c r="G2759" s="19"/>
      <c r="H2759" s="19"/>
      <c r="I2759" s="19"/>
      <c r="J2759" s="19"/>
      <c r="K2759" s="19"/>
      <c r="L2759" s="19"/>
      <c r="M2759" s="19"/>
      <c r="N2759" s="19"/>
      <c r="O2759" s="19"/>
      <c r="P2759" s="19"/>
      <c r="Q2759" s="19"/>
      <c r="R2759" s="19"/>
      <c r="S2759" s="19"/>
      <c r="T2759" s="19"/>
      <c r="U2759" s="19"/>
      <c r="V2759" s="19"/>
    </row>
    <row r="2760" spans="2:22" ht="13.2" x14ac:dyDescent="0.25">
      <c r="B2760" s="19"/>
      <c r="C2760" s="19"/>
      <c r="D2760" s="19"/>
      <c r="E2760" s="19"/>
      <c r="F2760" s="19"/>
      <c r="G2760" s="19"/>
      <c r="H2760" s="19"/>
      <c r="I2760" s="19"/>
      <c r="J2760" s="19"/>
      <c r="K2760" s="19"/>
      <c r="L2760" s="19"/>
      <c r="M2760" s="19"/>
      <c r="N2760" s="19"/>
      <c r="O2760" s="19"/>
      <c r="P2760" s="19"/>
      <c r="Q2760" s="19"/>
      <c r="R2760" s="19"/>
      <c r="S2760" s="19"/>
      <c r="T2760" s="19"/>
      <c r="U2760" s="19"/>
      <c r="V2760" s="19"/>
    </row>
    <row r="2761" spans="2:22" ht="13.2" x14ac:dyDescent="0.25">
      <c r="B2761" s="19"/>
      <c r="C2761" s="19"/>
      <c r="D2761" s="19"/>
      <c r="E2761" s="19"/>
      <c r="F2761" s="19"/>
      <c r="G2761" s="19"/>
      <c r="H2761" s="19"/>
      <c r="I2761" s="19"/>
      <c r="J2761" s="19"/>
      <c r="K2761" s="19"/>
      <c r="L2761" s="19"/>
      <c r="M2761" s="19"/>
      <c r="N2761" s="19"/>
      <c r="O2761" s="19"/>
      <c r="P2761" s="19"/>
      <c r="Q2761" s="19"/>
      <c r="R2761" s="19"/>
      <c r="S2761" s="19"/>
      <c r="T2761" s="19"/>
      <c r="U2761" s="19"/>
      <c r="V2761" s="19"/>
    </row>
    <row r="2762" spans="2:22" ht="13.2" x14ac:dyDescent="0.25">
      <c r="B2762" s="19"/>
      <c r="C2762" s="19"/>
      <c r="D2762" s="19"/>
      <c r="E2762" s="19"/>
      <c r="F2762" s="19"/>
      <c r="G2762" s="19"/>
      <c r="H2762" s="19"/>
      <c r="I2762" s="19"/>
      <c r="J2762" s="19"/>
      <c r="K2762" s="19"/>
      <c r="L2762" s="19"/>
      <c r="M2762" s="19"/>
      <c r="N2762" s="19"/>
      <c r="O2762" s="19"/>
      <c r="P2762" s="19"/>
      <c r="Q2762" s="19"/>
      <c r="R2762" s="19"/>
      <c r="S2762" s="19"/>
      <c r="T2762" s="19"/>
      <c r="U2762" s="19"/>
      <c r="V2762" s="19"/>
    </row>
    <row r="2763" spans="2:22" ht="13.2" x14ac:dyDescent="0.25">
      <c r="B2763" s="19"/>
      <c r="C2763" s="19"/>
      <c r="D2763" s="19"/>
      <c r="E2763" s="19"/>
      <c r="F2763" s="19"/>
      <c r="G2763" s="19"/>
      <c r="H2763" s="19"/>
      <c r="I2763" s="19"/>
      <c r="J2763" s="19"/>
      <c r="K2763" s="19"/>
      <c r="L2763" s="19"/>
      <c r="M2763" s="19"/>
      <c r="N2763" s="19"/>
      <c r="O2763" s="19"/>
      <c r="P2763" s="19"/>
      <c r="Q2763" s="19"/>
      <c r="R2763" s="19"/>
      <c r="S2763" s="19"/>
      <c r="T2763" s="19"/>
      <c r="U2763" s="19"/>
      <c r="V2763" s="19"/>
    </row>
    <row r="2764" spans="2:22" ht="13.2" x14ac:dyDescent="0.25">
      <c r="B2764" s="19"/>
      <c r="C2764" s="19"/>
      <c r="D2764" s="19"/>
      <c r="E2764" s="19"/>
      <c r="F2764" s="19"/>
      <c r="G2764" s="19"/>
      <c r="H2764" s="19"/>
      <c r="I2764" s="19"/>
      <c r="J2764" s="19"/>
      <c r="K2764" s="19"/>
      <c r="L2764" s="19"/>
      <c r="M2764" s="19"/>
      <c r="N2764" s="19"/>
      <c r="O2764" s="19"/>
      <c r="P2764" s="19"/>
      <c r="Q2764" s="19"/>
      <c r="R2764" s="19"/>
      <c r="S2764" s="19"/>
      <c r="T2764" s="19"/>
      <c r="U2764" s="19"/>
      <c r="V2764" s="19"/>
    </row>
    <row r="2765" spans="2:22" ht="13.2" x14ac:dyDescent="0.25">
      <c r="B2765" s="19"/>
      <c r="C2765" s="19"/>
      <c r="D2765" s="19"/>
      <c r="E2765" s="19"/>
      <c r="F2765" s="19"/>
      <c r="G2765" s="19"/>
      <c r="H2765" s="19"/>
      <c r="I2765" s="19"/>
      <c r="J2765" s="19"/>
      <c r="K2765" s="19"/>
      <c r="L2765" s="19"/>
      <c r="M2765" s="19"/>
      <c r="N2765" s="19"/>
      <c r="O2765" s="19"/>
      <c r="P2765" s="19"/>
      <c r="Q2765" s="19"/>
      <c r="R2765" s="19"/>
      <c r="S2765" s="19"/>
      <c r="T2765" s="19"/>
      <c r="U2765" s="19"/>
      <c r="V2765" s="19"/>
    </row>
    <row r="2766" spans="2:22" ht="13.2" x14ac:dyDescent="0.25">
      <c r="B2766" s="19"/>
      <c r="C2766" s="19"/>
      <c r="D2766" s="19"/>
      <c r="E2766" s="19"/>
      <c r="F2766" s="19"/>
      <c r="G2766" s="19"/>
      <c r="H2766" s="19"/>
      <c r="I2766" s="19"/>
      <c r="J2766" s="19"/>
      <c r="K2766" s="19"/>
      <c r="L2766" s="19"/>
      <c r="M2766" s="19"/>
      <c r="N2766" s="19"/>
      <c r="O2766" s="19"/>
      <c r="P2766" s="19"/>
      <c r="Q2766" s="19"/>
      <c r="R2766" s="19"/>
      <c r="S2766" s="19"/>
      <c r="T2766" s="19"/>
      <c r="U2766" s="19"/>
      <c r="V2766" s="19"/>
    </row>
    <row r="2767" spans="2:22" ht="13.2" x14ac:dyDescent="0.25">
      <c r="B2767" s="19"/>
      <c r="C2767" s="19"/>
      <c r="D2767" s="19"/>
      <c r="E2767" s="19"/>
      <c r="F2767" s="19"/>
      <c r="G2767" s="19"/>
      <c r="H2767" s="19"/>
      <c r="I2767" s="19"/>
      <c r="J2767" s="19"/>
      <c r="K2767" s="19"/>
      <c r="L2767" s="19"/>
      <c r="M2767" s="19"/>
      <c r="N2767" s="19"/>
      <c r="O2767" s="19"/>
      <c r="P2767" s="19"/>
      <c r="Q2767" s="19"/>
      <c r="R2767" s="19"/>
      <c r="S2767" s="19"/>
      <c r="T2767" s="19"/>
      <c r="U2767" s="19"/>
      <c r="V2767" s="19"/>
    </row>
    <row r="2768" spans="2:22" ht="13.2" x14ac:dyDescent="0.25">
      <c r="B2768" s="19"/>
      <c r="C2768" s="19"/>
      <c r="D2768" s="19"/>
      <c r="E2768" s="19"/>
      <c r="F2768" s="19"/>
      <c r="G2768" s="19"/>
      <c r="H2768" s="19"/>
      <c r="I2768" s="19"/>
      <c r="J2768" s="19"/>
      <c r="K2768" s="19"/>
      <c r="L2768" s="19"/>
      <c r="M2768" s="19"/>
      <c r="N2768" s="19"/>
      <c r="O2768" s="19"/>
      <c r="P2768" s="19"/>
      <c r="Q2768" s="19"/>
      <c r="R2768" s="19"/>
      <c r="S2768" s="19"/>
      <c r="T2768" s="19"/>
      <c r="U2768" s="19"/>
      <c r="V2768" s="19"/>
    </row>
    <row r="2769" spans="2:22" ht="13.2" x14ac:dyDescent="0.25">
      <c r="B2769" s="19"/>
      <c r="C2769" s="19"/>
      <c r="D2769" s="19"/>
      <c r="E2769" s="19"/>
      <c r="F2769" s="19"/>
      <c r="G2769" s="19"/>
      <c r="H2769" s="19"/>
      <c r="I2769" s="19"/>
      <c r="J2769" s="19"/>
      <c r="K2769" s="19"/>
      <c r="L2769" s="19"/>
      <c r="M2769" s="19"/>
      <c r="N2769" s="19"/>
      <c r="O2769" s="19"/>
      <c r="P2769" s="19"/>
      <c r="Q2769" s="19"/>
      <c r="R2769" s="19"/>
      <c r="S2769" s="19"/>
      <c r="T2769" s="19"/>
      <c r="U2769" s="19"/>
      <c r="V2769" s="19"/>
    </row>
    <row r="2770" spans="2:22" ht="13.2" x14ac:dyDescent="0.25">
      <c r="B2770" s="19"/>
      <c r="C2770" s="19"/>
      <c r="D2770" s="19"/>
      <c r="E2770" s="19"/>
      <c r="F2770" s="19"/>
      <c r="G2770" s="19"/>
      <c r="H2770" s="19"/>
      <c r="I2770" s="19"/>
      <c r="J2770" s="19"/>
      <c r="K2770" s="19"/>
      <c r="L2770" s="19"/>
      <c r="M2770" s="19"/>
      <c r="N2770" s="19"/>
      <c r="O2770" s="19"/>
      <c r="P2770" s="19"/>
      <c r="Q2770" s="19"/>
      <c r="R2770" s="19"/>
      <c r="S2770" s="19"/>
      <c r="T2770" s="19"/>
      <c r="U2770" s="19"/>
      <c r="V2770" s="19"/>
    </row>
    <row r="2771" spans="2:22" ht="13.2" x14ac:dyDescent="0.25">
      <c r="B2771" s="19"/>
      <c r="C2771" s="19"/>
      <c r="D2771" s="19"/>
      <c r="E2771" s="19"/>
      <c r="F2771" s="19"/>
      <c r="G2771" s="19"/>
      <c r="H2771" s="19"/>
      <c r="I2771" s="19"/>
      <c r="J2771" s="19"/>
      <c r="K2771" s="19"/>
      <c r="L2771" s="19"/>
      <c r="M2771" s="19"/>
      <c r="N2771" s="19"/>
      <c r="O2771" s="19"/>
      <c r="P2771" s="19"/>
      <c r="Q2771" s="19"/>
      <c r="R2771" s="19"/>
      <c r="S2771" s="19"/>
      <c r="T2771" s="19"/>
      <c r="U2771" s="19"/>
      <c r="V2771" s="19"/>
    </row>
    <row r="2772" spans="2:22" ht="13.2" x14ac:dyDescent="0.25">
      <c r="B2772" s="19"/>
      <c r="C2772" s="19"/>
      <c r="D2772" s="19"/>
      <c r="E2772" s="19"/>
      <c r="F2772" s="19"/>
      <c r="G2772" s="19"/>
      <c r="H2772" s="19"/>
      <c r="I2772" s="19"/>
      <c r="J2772" s="19"/>
      <c r="K2772" s="19"/>
      <c r="L2772" s="19"/>
      <c r="M2772" s="19"/>
      <c r="N2772" s="19"/>
      <c r="O2772" s="19"/>
      <c r="P2772" s="19"/>
      <c r="Q2772" s="19"/>
      <c r="R2772" s="19"/>
      <c r="S2772" s="19"/>
      <c r="T2772" s="19"/>
      <c r="U2772" s="19"/>
      <c r="V2772" s="19"/>
    </row>
    <row r="2773" spans="2:22" ht="13.2" x14ac:dyDescent="0.25">
      <c r="B2773" s="19"/>
      <c r="C2773" s="19"/>
      <c r="D2773" s="19"/>
      <c r="E2773" s="19"/>
      <c r="F2773" s="19"/>
      <c r="G2773" s="19"/>
      <c r="H2773" s="19"/>
      <c r="I2773" s="19"/>
      <c r="J2773" s="19"/>
      <c r="K2773" s="19"/>
      <c r="L2773" s="19"/>
      <c r="M2773" s="19"/>
      <c r="N2773" s="19"/>
      <c r="O2773" s="19"/>
      <c r="P2773" s="19"/>
      <c r="Q2773" s="19"/>
      <c r="R2773" s="19"/>
      <c r="S2773" s="19"/>
      <c r="T2773" s="19"/>
      <c r="U2773" s="19"/>
      <c r="V2773" s="19"/>
    </row>
    <row r="2774" spans="2:22" ht="13.2" x14ac:dyDescent="0.25">
      <c r="B2774" s="19"/>
      <c r="C2774" s="19"/>
      <c r="D2774" s="19"/>
      <c r="E2774" s="19"/>
      <c r="F2774" s="19"/>
      <c r="G2774" s="19"/>
      <c r="H2774" s="19"/>
      <c r="I2774" s="19"/>
      <c r="J2774" s="19"/>
      <c r="K2774" s="19"/>
      <c r="L2774" s="19"/>
      <c r="M2774" s="19"/>
      <c r="N2774" s="19"/>
      <c r="O2774" s="19"/>
      <c r="P2774" s="19"/>
      <c r="Q2774" s="19"/>
      <c r="R2774" s="19"/>
      <c r="S2774" s="19"/>
      <c r="T2774" s="19"/>
      <c r="U2774" s="19"/>
      <c r="V2774" s="19"/>
    </row>
    <row r="2775" spans="2:22" ht="13.2" x14ac:dyDescent="0.25">
      <c r="B2775" s="19"/>
      <c r="C2775" s="19"/>
      <c r="D2775" s="19"/>
      <c r="E2775" s="19"/>
      <c r="F2775" s="19"/>
      <c r="G2775" s="19"/>
      <c r="H2775" s="19"/>
      <c r="I2775" s="19"/>
      <c r="J2775" s="19"/>
      <c r="K2775" s="19"/>
      <c r="L2775" s="19"/>
      <c r="M2775" s="19"/>
      <c r="N2775" s="19"/>
      <c r="O2775" s="19"/>
      <c r="P2775" s="19"/>
      <c r="Q2775" s="19"/>
      <c r="R2775" s="19"/>
      <c r="S2775" s="19"/>
      <c r="T2775" s="19"/>
      <c r="U2775" s="19"/>
      <c r="V2775" s="19"/>
    </row>
    <row r="2776" spans="2:22" ht="13.2" x14ac:dyDescent="0.25">
      <c r="B2776" s="19"/>
      <c r="C2776" s="19"/>
      <c r="D2776" s="19"/>
      <c r="E2776" s="19"/>
      <c r="F2776" s="19"/>
      <c r="G2776" s="19"/>
      <c r="H2776" s="19"/>
      <c r="I2776" s="19"/>
      <c r="J2776" s="19"/>
      <c r="K2776" s="19"/>
      <c r="L2776" s="19"/>
      <c r="M2776" s="19"/>
      <c r="N2776" s="19"/>
      <c r="O2776" s="19"/>
      <c r="P2776" s="19"/>
      <c r="Q2776" s="19"/>
      <c r="R2776" s="19"/>
      <c r="S2776" s="19"/>
      <c r="T2776" s="19"/>
      <c r="U2776" s="19"/>
      <c r="V2776" s="19"/>
    </row>
    <row r="2777" spans="2:22" ht="13.2" x14ac:dyDescent="0.25">
      <c r="B2777" s="19"/>
      <c r="C2777" s="19"/>
      <c r="D2777" s="19"/>
      <c r="E2777" s="19"/>
      <c r="F2777" s="19"/>
      <c r="G2777" s="19"/>
      <c r="H2777" s="19"/>
      <c r="I2777" s="19"/>
      <c r="J2777" s="19"/>
      <c r="K2777" s="19"/>
      <c r="L2777" s="19"/>
      <c r="M2777" s="19"/>
      <c r="N2777" s="19"/>
      <c r="O2777" s="19"/>
      <c r="P2777" s="19"/>
      <c r="Q2777" s="19"/>
      <c r="R2777" s="19"/>
      <c r="S2777" s="19"/>
      <c r="T2777" s="19"/>
      <c r="U2777" s="19"/>
      <c r="V2777" s="19"/>
    </row>
    <row r="2778" spans="2:22" ht="13.2" x14ac:dyDescent="0.25">
      <c r="B2778" s="19"/>
      <c r="C2778" s="19"/>
      <c r="D2778" s="19"/>
      <c r="E2778" s="19"/>
      <c r="F2778" s="19"/>
      <c r="G2778" s="19"/>
      <c r="H2778" s="19"/>
      <c r="I2778" s="19"/>
      <c r="J2778" s="19"/>
      <c r="K2778" s="19"/>
      <c r="L2778" s="19"/>
      <c r="M2778" s="19"/>
      <c r="N2778" s="19"/>
      <c r="O2778" s="19"/>
      <c r="P2778" s="19"/>
      <c r="Q2778" s="19"/>
      <c r="R2778" s="19"/>
      <c r="S2778" s="19"/>
      <c r="T2778" s="19"/>
      <c r="U2778" s="19"/>
      <c r="V2778" s="19"/>
    </row>
    <row r="2779" spans="2:22" ht="13.2" x14ac:dyDescent="0.25">
      <c r="B2779" s="19"/>
      <c r="C2779" s="19"/>
      <c r="D2779" s="19"/>
      <c r="E2779" s="19"/>
      <c r="F2779" s="19"/>
      <c r="G2779" s="19"/>
      <c r="H2779" s="19"/>
      <c r="I2779" s="19"/>
      <c r="J2779" s="19"/>
      <c r="K2779" s="19"/>
      <c r="L2779" s="19"/>
      <c r="M2779" s="19"/>
      <c r="N2779" s="19"/>
      <c r="O2779" s="19"/>
      <c r="P2779" s="19"/>
      <c r="Q2779" s="19"/>
      <c r="R2779" s="19"/>
      <c r="S2779" s="19"/>
      <c r="T2779" s="19"/>
      <c r="U2779" s="19"/>
      <c r="V2779" s="19"/>
    </row>
    <row r="2780" spans="2:22" ht="13.2" x14ac:dyDescent="0.25">
      <c r="B2780" s="19"/>
      <c r="C2780" s="19"/>
      <c r="D2780" s="19"/>
      <c r="E2780" s="19"/>
      <c r="F2780" s="19"/>
      <c r="G2780" s="19"/>
      <c r="H2780" s="19"/>
      <c r="I2780" s="19"/>
      <c r="J2780" s="19"/>
      <c r="K2780" s="19"/>
      <c r="L2780" s="19"/>
      <c r="M2780" s="19"/>
      <c r="N2780" s="19"/>
      <c r="O2780" s="19"/>
      <c r="P2780" s="19"/>
      <c r="Q2780" s="19"/>
      <c r="R2780" s="19"/>
      <c r="S2780" s="19"/>
      <c r="T2780" s="19"/>
      <c r="U2780" s="19"/>
      <c r="V2780" s="19"/>
    </row>
    <row r="2781" spans="2:22" ht="13.2" x14ac:dyDescent="0.25">
      <c r="B2781" s="19"/>
      <c r="C2781" s="19"/>
      <c r="D2781" s="19"/>
      <c r="E2781" s="19"/>
      <c r="F2781" s="19"/>
      <c r="G2781" s="19"/>
      <c r="H2781" s="19"/>
      <c r="I2781" s="19"/>
      <c r="J2781" s="19"/>
      <c r="K2781" s="19"/>
      <c r="L2781" s="19"/>
      <c r="M2781" s="19"/>
      <c r="N2781" s="19"/>
      <c r="O2781" s="19"/>
      <c r="P2781" s="19"/>
      <c r="Q2781" s="19"/>
      <c r="R2781" s="19"/>
      <c r="S2781" s="19"/>
      <c r="T2781" s="19"/>
      <c r="U2781" s="19"/>
      <c r="V2781" s="19"/>
    </row>
    <row r="2782" spans="2:22" ht="13.2" x14ac:dyDescent="0.25">
      <c r="B2782" s="19"/>
      <c r="C2782" s="19"/>
      <c r="D2782" s="19"/>
      <c r="E2782" s="19"/>
      <c r="F2782" s="19"/>
      <c r="G2782" s="19"/>
      <c r="H2782" s="19"/>
      <c r="I2782" s="19"/>
      <c r="J2782" s="19"/>
      <c r="K2782" s="19"/>
      <c r="L2782" s="19"/>
      <c r="M2782" s="19"/>
      <c r="N2782" s="19"/>
      <c r="O2782" s="19"/>
      <c r="P2782" s="19"/>
      <c r="Q2782" s="19"/>
      <c r="R2782" s="19"/>
      <c r="S2782" s="19"/>
      <c r="T2782" s="19"/>
      <c r="U2782" s="19"/>
      <c r="V2782" s="19"/>
    </row>
    <row r="2783" spans="2:22" ht="13.2" x14ac:dyDescent="0.25">
      <c r="B2783" s="19"/>
      <c r="C2783" s="19"/>
      <c r="D2783" s="19"/>
      <c r="E2783" s="19"/>
      <c r="F2783" s="19"/>
      <c r="G2783" s="19"/>
      <c r="H2783" s="19"/>
      <c r="I2783" s="19"/>
      <c r="J2783" s="19"/>
      <c r="K2783" s="19"/>
      <c r="L2783" s="19"/>
      <c r="M2783" s="19"/>
      <c r="N2783" s="19"/>
      <c r="O2783" s="19"/>
      <c r="P2783" s="19"/>
      <c r="Q2783" s="19"/>
      <c r="R2783" s="19"/>
      <c r="S2783" s="19"/>
      <c r="T2783" s="19"/>
      <c r="U2783" s="19"/>
      <c r="V2783" s="19"/>
    </row>
    <row r="2784" spans="2:22" ht="13.2" x14ac:dyDescent="0.25">
      <c r="B2784" s="19"/>
      <c r="C2784" s="19"/>
      <c r="D2784" s="19"/>
      <c r="E2784" s="19"/>
      <c r="F2784" s="19"/>
      <c r="G2784" s="19"/>
      <c r="H2784" s="19"/>
      <c r="I2784" s="19"/>
      <c r="J2784" s="19"/>
      <c r="K2784" s="19"/>
      <c r="L2784" s="19"/>
      <c r="M2784" s="19"/>
      <c r="N2784" s="19"/>
      <c r="O2784" s="19"/>
      <c r="P2784" s="19"/>
      <c r="Q2784" s="19"/>
      <c r="R2784" s="19"/>
      <c r="S2784" s="19"/>
      <c r="T2784" s="19"/>
      <c r="U2784" s="19"/>
      <c r="V2784" s="19"/>
    </row>
    <row r="2785" spans="2:22" ht="13.2" x14ac:dyDescent="0.25">
      <c r="B2785" s="19"/>
      <c r="C2785" s="19"/>
      <c r="D2785" s="19"/>
      <c r="E2785" s="19"/>
      <c r="F2785" s="19"/>
      <c r="G2785" s="19"/>
      <c r="H2785" s="19"/>
      <c r="I2785" s="19"/>
      <c r="J2785" s="19"/>
      <c r="K2785" s="19"/>
      <c r="L2785" s="19"/>
      <c r="M2785" s="19"/>
      <c r="N2785" s="19"/>
      <c r="O2785" s="19"/>
      <c r="P2785" s="19"/>
      <c r="Q2785" s="19"/>
      <c r="R2785" s="19"/>
      <c r="S2785" s="19"/>
      <c r="T2785" s="19"/>
      <c r="U2785" s="19"/>
      <c r="V2785" s="19"/>
    </row>
    <row r="2786" spans="2:22" ht="13.2" x14ac:dyDescent="0.25">
      <c r="B2786" s="19"/>
      <c r="C2786" s="19"/>
      <c r="D2786" s="19"/>
      <c r="E2786" s="19"/>
      <c r="F2786" s="19"/>
      <c r="G2786" s="19"/>
      <c r="H2786" s="19"/>
      <c r="I2786" s="19"/>
      <c r="J2786" s="19"/>
      <c r="K2786" s="19"/>
      <c r="L2786" s="19"/>
      <c r="M2786" s="19"/>
      <c r="N2786" s="19"/>
      <c r="O2786" s="19"/>
      <c r="P2786" s="19"/>
      <c r="Q2786" s="19"/>
      <c r="R2786" s="19"/>
      <c r="S2786" s="19"/>
      <c r="T2786" s="19"/>
      <c r="U2786" s="19"/>
      <c r="V2786" s="19"/>
    </row>
    <row r="2787" spans="2:22" ht="13.2" x14ac:dyDescent="0.25">
      <c r="B2787" s="19"/>
      <c r="C2787" s="19"/>
      <c r="D2787" s="19"/>
      <c r="E2787" s="19"/>
      <c r="F2787" s="19"/>
      <c r="G2787" s="19"/>
      <c r="H2787" s="19"/>
      <c r="I2787" s="19"/>
      <c r="J2787" s="19"/>
      <c r="K2787" s="19"/>
      <c r="L2787" s="19"/>
      <c r="M2787" s="19"/>
      <c r="N2787" s="19"/>
      <c r="O2787" s="19"/>
      <c r="P2787" s="19"/>
      <c r="Q2787" s="19"/>
      <c r="R2787" s="19"/>
      <c r="S2787" s="19"/>
      <c r="T2787" s="19"/>
      <c r="U2787" s="19"/>
      <c r="V2787" s="19"/>
    </row>
    <row r="2788" spans="2:22" ht="13.2" x14ac:dyDescent="0.25">
      <c r="B2788" s="19"/>
      <c r="C2788" s="19"/>
      <c r="D2788" s="19"/>
      <c r="E2788" s="19"/>
      <c r="F2788" s="19"/>
      <c r="G2788" s="19"/>
      <c r="H2788" s="19"/>
      <c r="I2788" s="19"/>
      <c r="J2788" s="19"/>
      <c r="K2788" s="19"/>
      <c r="L2788" s="19"/>
      <c r="M2788" s="19"/>
      <c r="N2788" s="19"/>
      <c r="O2788" s="19"/>
      <c r="P2788" s="19"/>
      <c r="Q2788" s="19"/>
      <c r="R2788" s="19"/>
      <c r="S2788" s="19"/>
      <c r="T2788" s="19"/>
      <c r="U2788" s="19"/>
      <c r="V2788" s="19"/>
    </row>
    <row r="2789" spans="2:22" ht="13.2" x14ac:dyDescent="0.25">
      <c r="B2789" s="19"/>
      <c r="C2789" s="19"/>
      <c r="D2789" s="19"/>
      <c r="E2789" s="19"/>
      <c r="F2789" s="19"/>
      <c r="G2789" s="19"/>
      <c r="H2789" s="19"/>
      <c r="I2789" s="19"/>
      <c r="J2789" s="19"/>
      <c r="K2789" s="19"/>
      <c r="L2789" s="19"/>
      <c r="M2789" s="19"/>
      <c r="N2789" s="19"/>
      <c r="O2789" s="19"/>
      <c r="P2789" s="19"/>
      <c r="Q2789" s="19"/>
      <c r="R2789" s="19"/>
      <c r="S2789" s="19"/>
      <c r="T2789" s="19"/>
      <c r="U2789" s="19"/>
      <c r="V2789" s="19"/>
    </row>
    <row r="2790" spans="2:22" ht="13.2" x14ac:dyDescent="0.25">
      <c r="B2790" s="19"/>
      <c r="C2790" s="19"/>
      <c r="D2790" s="19"/>
      <c r="E2790" s="19"/>
      <c r="F2790" s="19"/>
      <c r="G2790" s="19"/>
      <c r="H2790" s="19"/>
      <c r="I2790" s="19"/>
      <c r="J2790" s="19"/>
      <c r="K2790" s="19"/>
      <c r="L2790" s="19"/>
      <c r="M2790" s="19"/>
      <c r="N2790" s="19"/>
      <c r="O2790" s="19"/>
      <c r="P2790" s="19"/>
      <c r="Q2790" s="19"/>
      <c r="R2790" s="19"/>
      <c r="S2790" s="19"/>
      <c r="T2790" s="19"/>
      <c r="U2790" s="19"/>
      <c r="V2790" s="19"/>
    </row>
    <row r="2791" spans="2:22" ht="13.2" x14ac:dyDescent="0.25">
      <c r="B2791" s="19"/>
      <c r="C2791" s="19"/>
      <c r="D2791" s="19"/>
      <c r="E2791" s="19"/>
      <c r="F2791" s="19"/>
      <c r="G2791" s="19"/>
      <c r="H2791" s="19"/>
      <c r="I2791" s="19"/>
      <c r="J2791" s="19"/>
      <c r="K2791" s="19"/>
      <c r="L2791" s="19"/>
      <c r="M2791" s="19"/>
      <c r="N2791" s="19"/>
      <c r="O2791" s="19"/>
      <c r="P2791" s="19"/>
      <c r="Q2791" s="19"/>
      <c r="R2791" s="19"/>
      <c r="S2791" s="19"/>
      <c r="T2791" s="19"/>
      <c r="U2791" s="19"/>
      <c r="V2791" s="19"/>
    </row>
    <row r="2792" spans="2:22" ht="13.2" x14ac:dyDescent="0.25">
      <c r="B2792" s="19"/>
      <c r="C2792" s="19"/>
      <c r="D2792" s="19"/>
      <c r="E2792" s="19"/>
      <c r="F2792" s="19"/>
      <c r="G2792" s="19"/>
      <c r="H2792" s="19"/>
      <c r="I2792" s="19"/>
      <c r="J2792" s="19"/>
      <c r="K2792" s="19"/>
      <c r="L2792" s="19"/>
      <c r="M2792" s="19"/>
      <c r="N2792" s="19"/>
      <c r="O2792" s="19"/>
      <c r="P2792" s="19"/>
      <c r="Q2792" s="19"/>
      <c r="R2792" s="19"/>
      <c r="S2792" s="19"/>
      <c r="T2792" s="19"/>
      <c r="U2792" s="19"/>
      <c r="V2792" s="19"/>
    </row>
    <row r="2793" spans="2:22" ht="13.2" x14ac:dyDescent="0.25">
      <c r="B2793" s="19"/>
      <c r="C2793" s="19"/>
      <c r="D2793" s="19"/>
      <c r="E2793" s="19"/>
      <c r="F2793" s="19"/>
      <c r="G2793" s="19"/>
      <c r="H2793" s="19"/>
      <c r="I2793" s="19"/>
      <c r="J2793" s="19"/>
      <c r="K2793" s="19"/>
      <c r="L2793" s="19"/>
      <c r="M2793" s="19"/>
      <c r="N2793" s="19"/>
      <c r="O2793" s="19"/>
      <c r="P2793" s="19"/>
      <c r="Q2793" s="19"/>
      <c r="R2793" s="19"/>
      <c r="S2793" s="19"/>
      <c r="T2793" s="19"/>
      <c r="U2793" s="19"/>
      <c r="V2793" s="19"/>
    </row>
    <row r="2794" spans="2:22" ht="13.2" x14ac:dyDescent="0.25">
      <c r="B2794" s="19"/>
      <c r="C2794" s="19"/>
      <c r="D2794" s="19"/>
      <c r="E2794" s="19"/>
      <c r="F2794" s="19"/>
      <c r="G2794" s="19"/>
      <c r="H2794" s="19"/>
      <c r="I2794" s="19"/>
      <c r="J2794" s="19"/>
      <c r="K2794" s="19"/>
      <c r="L2794" s="19"/>
      <c r="M2794" s="19"/>
      <c r="N2794" s="19"/>
      <c r="O2794" s="19"/>
      <c r="P2794" s="19"/>
      <c r="Q2794" s="19"/>
      <c r="R2794" s="19"/>
      <c r="S2794" s="19"/>
      <c r="T2794" s="19"/>
      <c r="U2794" s="19"/>
      <c r="V2794" s="19"/>
    </row>
    <row r="2795" spans="2:22" ht="13.2" x14ac:dyDescent="0.25">
      <c r="B2795" s="19"/>
      <c r="C2795" s="19"/>
      <c r="D2795" s="19"/>
      <c r="E2795" s="19"/>
      <c r="F2795" s="19"/>
      <c r="G2795" s="19"/>
      <c r="H2795" s="19"/>
      <c r="I2795" s="19"/>
      <c r="J2795" s="19"/>
      <c r="K2795" s="19"/>
      <c r="L2795" s="19"/>
      <c r="M2795" s="19"/>
      <c r="N2795" s="19"/>
      <c r="O2795" s="19"/>
      <c r="P2795" s="19"/>
      <c r="Q2795" s="19"/>
      <c r="R2795" s="19"/>
      <c r="S2795" s="19"/>
      <c r="T2795" s="19"/>
      <c r="U2795" s="19"/>
      <c r="V2795" s="19"/>
    </row>
    <row r="2796" spans="2:22" ht="13.2" x14ac:dyDescent="0.25">
      <c r="B2796" s="19"/>
      <c r="C2796" s="19"/>
      <c r="D2796" s="19"/>
      <c r="E2796" s="19"/>
      <c r="F2796" s="19"/>
      <c r="G2796" s="19"/>
      <c r="H2796" s="19"/>
      <c r="I2796" s="19"/>
      <c r="J2796" s="19"/>
      <c r="K2796" s="19"/>
      <c r="L2796" s="19"/>
      <c r="M2796" s="19"/>
      <c r="N2796" s="19"/>
      <c r="O2796" s="19"/>
      <c r="P2796" s="19"/>
      <c r="Q2796" s="19"/>
      <c r="R2796" s="19"/>
      <c r="S2796" s="19"/>
      <c r="T2796" s="19"/>
      <c r="U2796" s="19"/>
      <c r="V2796" s="19"/>
    </row>
    <row r="2797" spans="2:22" ht="13.2" x14ac:dyDescent="0.25">
      <c r="B2797" s="19"/>
      <c r="C2797" s="19"/>
      <c r="D2797" s="19"/>
      <c r="E2797" s="19"/>
      <c r="F2797" s="19"/>
      <c r="G2797" s="19"/>
      <c r="H2797" s="19"/>
      <c r="I2797" s="19"/>
      <c r="J2797" s="19"/>
      <c r="K2797" s="19"/>
      <c r="L2797" s="19"/>
      <c r="M2797" s="19"/>
      <c r="N2797" s="19"/>
      <c r="O2797" s="19"/>
      <c r="P2797" s="19"/>
      <c r="Q2797" s="19"/>
      <c r="R2797" s="19"/>
      <c r="S2797" s="19"/>
      <c r="T2797" s="19"/>
      <c r="U2797" s="19"/>
      <c r="V2797" s="19"/>
    </row>
    <row r="2798" spans="2:22" ht="13.2" x14ac:dyDescent="0.25">
      <c r="B2798" s="19"/>
      <c r="C2798" s="19"/>
      <c r="D2798" s="19"/>
      <c r="E2798" s="19"/>
      <c r="F2798" s="19"/>
      <c r="G2798" s="19"/>
      <c r="H2798" s="19"/>
      <c r="I2798" s="19"/>
      <c r="J2798" s="19"/>
      <c r="K2798" s="19"/>
      <c r="L2798" s="19"/>
      <c r="M2798" s="19"/>
      <c r="N2798" s="19"/>
      <c r="O2798" s="19"/>
      <c r="P2798" s="19"/>
      <c r="Q2798" s="19"/>
      <c r="R2798" s="19"/>
      <c r="S2798" s="19"/>
      <c r="T2798" s="19"/>
      <c r="U2798" s="19"/>
      <c r="V2798" s="19"/>
    </row>
    <row r="2799" spans="2:22" ht="13.2" x14ac:dyDescent="0.25">
      <c r="B2799" s="19"/>
      <c r="C2799" s="19"/>
      <c r="D2799" s="19"/>
      <c r="E2799" s="19"/>
      <c r="F2799" s="19"/>
      <c r="G2799" s="19"/>
      <c r="H2799" s="19"/>
      <c r="I2799" s="19"/>
      <c r="J2799" s="19"/>
      <c r="K2799" s="19"/>
      <c r="L2799" s="19"/>
      <c r="M2799" s="19"/>
      <c r="N2799" s="19"/>
      <c r="O2799" s="19"/>
      <c r="P2799" s="19"/>
      <c r="Q2799" s="19"/>
      <c r="R2799" s="19"/>
      <c r="S2799" s="19"/>
      <c r="T2799" s="19"/>
      <c r="U2799" s="19"/>
      <c r="V2799" s="19"/>
    </row>
    <row r="2800" spans="2:22" ht="13.2" x14ac:dyDescent="0.25">
      <c r="B2800" s="19"/>
      <c r="C2800" s="19"/>
      <c r="D2800" s="19"/>
      <c r="E2800" s="19"/>
      <c r="F2800" s="19"/>
      <c r="G2800" s="19"/>
      <c r="H2800" s="19"/>
      <c r="I2800" s="19"/>
      <c r="J2800" s="19"/>
      <c r="K2800" s="19"/>
      <c r="L2800" s="19"/>
      <c r="M2800" s="19"/>
      <c r="N2800" s="19"/>
      <c r="O2800" s="19"/>
      <c r="P2800" s="19"/>
      <c r="Q2800" s="19"/>
      <c r="R2800" s="19"/>
      <c r="S2800" s="19"/>
      <c r="T2800" s="19"/>
      <c r="U2800" s="19"/>
      <c r="V2800" s="19"/>
    </row>
    <row r="2801" spans="2:22" ht="13.2" x14ac:dyDescent="0.25">
      <c r="B2801" s="19"/>
      <c r="C2801" s="19"/>
      <c r="D2801" s="19"/>
      <c r="E2801" s="19"/>
      <c r="F2801" s="19"/>
      <c r="G2801" s="19"/>
      <c r="H2801" s="19"/>
      <c r="I2801" s="19"/>
      <c r="J2801" s="19"/>
      <c r="K2801" s="19"/>
      <c r="L2801" s="19"/>
      <c r="M2801" s="19"/>
      <c r="N2801" s="19"/>
      <c r="O2801" s="19"/>
      <c r="P2801" s="19"/>
      <c r="Q2801" s="19"/>
      <c r="R2801" s="19"/>
      <c r="S2801" s="19"/>
      <c r="T2801" s="19"/>
      <c r="U2801" s="19"/>
      <c r="V2801" s="19"/>
    </row>
    <row r="2802" spans="2:22" ht="13.2" x14ac:dyDescent="0.25">
      <c r="B2802" s="19"/>
      <c r="C2802" s="19"/>
      <c r="D2802" s="19"/>
      <c r="E2802" s="19"/>
      <c r="F2802" s="19"/>
      <c r="G2802" s="19"/>
      <c r="H2802" s="19"/>
      <c r="I2802" s="19"/>
      <c r="J2802" s="19"/>
      <c r="K2802" s="19"/>
      <c r="L2802" s="19"/>
      <c r="M2802" s="19"/>
      <c r="N2802" s="19"/>
      <c r="O2802" s="19"/>
      <c r="P2802" s="19"/>
      <c r="Q2802" s="19"/>
      <c r="R2802" s="19"/>
      <c r="S2802" s="19"/>
      <c r="T2802" s="19"/>
      <c r="U2802" s="19"/>
      <c r="V2802" s="19"/>
    </row>
    <row r="2803" spans="2:22" ht="13.2" x14ac:dyDescent="0.25">
      <c r="B2803" s="19"/>
      <c r="C2803" s="19"/>
      <c r="D2803" s="19"/>
      <c r="E2803" s="19"/>
      <c r="F2803" s="19"/>
      <c r="G2803" s="19"/>
      <c r="H2803" s="19"/>
      <c r="I2803" s="19"/>
      <c r="J2803" s="19"/>
      <c r="K2803" s="19"/>
      <c r="L2803" s="19"/>
      <c r="M2803" s="19"/>
      <c r="N2803" s="19"/>
      <c r="O2803" s="19"/>
      <c r="P2803" s="19"/>
      <c r="Q2803" s="19"/>
      <c r="R2803" s="19"/>
      <c r="S2803" s="19"/>
      <c r="T2803" s="19"/>
      <c r="U2803" s="19"/>
      <c r="V2803" s="19"/>
    </row>
    <row r="2804" spans="2:22" ht="13.2" x14ac:dyDescent="0.25">
      <c r="B2804" s="19"/>
      <c r="C2804" s="19"/>
      <c r="D2804" s="19"/>
      <c r="E2804" s="19"/>
      <c r="F2804" s="19"/>
      <c r="G2804" s="19"/>
      <c r="H2804" s="19"/>
      <c r="I2804" s="19"/>
      <c r="J2804" s="19"/>
      <c r="K2804" s="19"/>
      <c r="L2804" s="19"/>
      <c r="M2804" s="19"/>
      <c r="N2804" s="19"/>
      <c r="O2804" s="19"/>
      <c r="P2804" s="19"/>
      <c r="Q2804" s="19"/>
      <c r="R2804" s="19"/>
      <c r="S2804" s="19"/>
      <c r="T2804" s="19"/>
      <c r="U2804" s="19"/>
      <c r="V2804" s="19"/>
    </row>
    <row r="2805" spans="2:22" ht="13.2" x14ac:dyDescent="0.25">
      <c r="B2805" s="19"/>
      <c r="C2805" s="19"/>
      <c r="D2805" s="19"/>
      <c r="E2805" s="19"/>
      <c r="F2805" s="19"/>
      <c r="G2805" s="19"/>
      <c r="H2805" s="19"/>
      <c r="I2805" s="19"/>
      <c r="J2805" s="19"/>
      <c r="K2805" s="19"/>
      <c r="L2805" s="19"/>
      <c r="M2805" s="19"/>
      <c r="N2805" s="19"/>
      <c r="O2805" s="19"/>
      <c r="P2805" s="19"/>
      <c r="Q2805" s="19"/>
      <c r="R2805" s="19"/>
      <c r="S2805" s="19"/>
      <c r="T2805" s="19"/>
      <c r="U2805" s="19"/>
      <c r="V2805" s="19"/>
    </row>
    <row r="2806" spans="2:22" ht="13.2" x14ac:dyDescent="0.25">
      <c r="B2806" s="19"/>
      <c r="C2806" s="19"/>
      <c r="D2806" s="19"/>
      <c r="E2806" s="19"/>
      <c r="F2806" s="19"/>
      <c r="G2806" s="19"/>
      <c r="H2806" s="19"/>
      <c r="I2806" s="19"/>
      <c r="J2806" s="19"/>
      <c r="K2806" s="19"/>
      <c r="L2806" s="19"/>
      <c r="M2806" s="19"/>
      <c r="N2806" s="19"/>
      <c r="O2806" s="19"/>
      <c r="P2806" s="19"/>
      <c r="Q2806" s="19"/>
      <c r="R2806" s="19"/>
      <c r="S2806" s="19"/>
      <c r="T2806" s="19"/>
      <c r="U2806" s="19"/>
      <c r="V2806" s="19"/>
    </row>
    <row r="2807" spans="2:22" ht="13.2" x14ac:dyDescent="0.25">
      <c r="B2807" s="19"/>
      <c r="C2807" s="19"/>
      <c r="D2807" s="19"/>
      <c r="E2807" s="19"/>
      <c r="F2807" s="19"/>
      <c r="G2807" s="19"/>
      <c r="H2807" s="19"/>
      <c r="I2807" s="19"/>
      <c r="J2807" s="19"/>
      <c r="K2807" s="19"/>
      <c r="L2807" s="19"/>
      <c r="M2807" s="19"/>
      <c r="N2807" s="19"/>
      <c r="O2807" s="19"/>
      <c r="P2807" s="19"/>
      <c r="Q2807" s="19"/>
      <c r="R2807" s="19"/>
      <c r="S2807" s="19"/>
      <c r="T2807" s="19"/>
      <c r="U2807" s="19"/>
      <c r="V2807" s="19"/>
    </row>
    <row r="2808" spans="2:22" ht="13.2" x14ac:dyDescent="0.25">
      <c r="B2808" s="19"/>
      <c r="C2808" s="19"/>
      <c r="D2808" s="19"/>
      <c r="E2808" s="19"/>
      <c r="F2808" s="19"/>
      <c r="G2808" s="19"/>
      <c r="H2808" s="19"/>
      <c r="I2808" s="19"/>
      <c r="J2808" s="19"/>
      <c r="K2808" s="19"/>
      <c r="L2808" s="19"/>
      <c r="M2808" s="19"/>
      <c r="N2808" s="19"/>
      <c r="O2808" s="19"/>
      <c r="P2808" s="19"/>
      <c r="Q2808" s="19"/>
      <c r="R2808" s="19"/>
      <c r="S2808" s="19"/>
      <c r="T2808" s="19"/>
      <c r="U2808" s="19"/>
      <c r="V2808" s="19"/>
    </row>
    <row r="2809" spans="2:22" ht="13.2" x14ac:dyDescent="0.25">
      <c r="B2809" s="19"/>
      <c r="C2809" s="19"/>
      <c r="D2809" s="19"/>
      <c r="E2809" s="19"/>
      <c r="F2809" s="19"/>
      <c r="G2809" s="19"/>
      <c r="H2809" s="19"/>
      <c r="I2809" s="19"/>
      <c r="J2809" s="19"/>
      <c r="K2809" s="19"/>
      <c r="L2809" s="19"/>
      <c r="M2809" s="19"/>
      <c r="N2809" s="19"/>
      <c r="O2809" s="19"/>
      <c r="P2809" s="19"/>
      <c r="Q2809" s="19"/>
      <c r="R2809" s="19"/>
      <c r="S2809" s="19"/>
      <c r="T2809" s="19"/>
      <c r="U2809" s="19"/>
      <c r="V2809" s="19"/>
    </row>
    <row r="2810" spans="2:22" ht="13.2" x14ac:dyDescent="0.25">
      <c r="B2810" s="19"/>
      <c r="C2810" s="19"/>
      <c r="D2810" s="19"/>
      <c r="E2810" s="19"/>
      <c r="F2810" s="19"/>
      <c r="G2810" s="19"/>
      <c r="H2810" s="19"/>
      <c r="I2810" s="19"/>
      <c r="J2810" s="19"/>
      <c r="K2810" s="19"/>
      <c r="L2810" s="19"/>
      <c r="M2810" s="19"/>
      <c r="N2810" s="19"/>
      <c r="O2810" s="19"/>
      <c r="P2810" s="19"/>
      <c r="Q2810" s="19"/>
      <c r="R2810" s="19"/>
      <c r="S2810" s="19"/>
      <c r="T2810" s="19"/>
      <c r="U2810" s="19"/>
      <c r="V2810" s="19"/>
    </row>
    <row r="2811" spans="2:22" ht="13.2" x14ac:dyDescent="0.25">
      <c r="B2811" s="19"/>
      <c r="C2811" s="19"/>
      <c r="D2811" s="19"/>
      <c r="E2811" s="19"/>
      <c r="F2811" s="19"/>
      <c r="G2811" s="19"/>
      <c r="H2811" s="19"/>
      <c r="I2811" s="19"/>
      <c r="J2811" s="19"/>
      <c r="K2811" s="19"/>
      <c r="L2811" s="19"/>
      <c r="M2811" s="19"/>
      <c r="N2811" s="19"/>
      <c r="O2811" s="19"/>
      <c r="P2811" s="19"/>
      <c r="Q2811" s="19"/>
      <c r="R2811" s="19"/>
      <c r="S2811" s="19"/>
      <c r="T2811" s="19"/>
      <c r="U2811" s="19"/>
      <c r="V2811" s="19"/>
    </row>
    <row r="2812" spans="2:22" ht="13.2" x14ac:dyDescent="0.25">
      <c r="B2812" s="19"/>
      <c r="C2812" s="19"/>
      <c r="D2812" s="19"/>
      <c r="E2812" s="19"/>
      <c r="F2812" s="19"/>
      <c r="G2812" s="19"/>
      <c r="H2812" s="19"/>
      <c r="I2812" s="19"/>
      <c r="J2812" s="19"/>
      <c r="K2812" s="19"/>
      <c r="L2812" s="19"/>
      <c r="M2812" s="19"/>
      <c r="N2812" s="19"/>
      <c r="O2812" s="19"/>
      <c r="P2812" s="19"/>
      <c r="Q2812" s="19"/>
      <c r="R2812" s="19"/>
      <c r="S2812" s="19"/>
      <c r="T2812" s="19"/>
      <c r="U2812" s="19"/>
      <c r="V2812" s="19"/>
    </row>
    <row r="2813" spans="2:22" ht="13.2" x14ac:dyDescent="0.25">
      <c r="B2813" s="19"/>
      <c r="C2813" s="19"/>
      <c r="D2813" s="19"/>
      <c r="E2813" s="19"/>
      <c r="F2813" s="19"/>
      <c r="G2813" s="19"/>
      <c r="H2813" s="19"/>
      <c r="I2813" s="19"/>
      <c r="J2813" s="19"/>
      <c r="K2813" s="19"/>
      <c r="L2813" s="19"/>
      <c r="M2813" s="19"/>
      <c r="N2813" s="19"/>
      <c r="O2813" s="19"/>
      <c r="P2813" s="19"/>
      <c r="Q2813" s="19"/>
      <c r="R2813" s="19"/>
      <c r="S2813" s="19"/>
      <c r="T2813" s="19"/>
      <c r="U2813" s="19"/>
      <c r="V2813" s="19"/>
    </row>
    <row r="2814" spans="2:22" ht="13.2" x14ac:dyDescent="0.25">
      <c r="B2814" s="19"/>
      <c r="C2814" s="19"/>
      <c r="D2814" s="19"/>
      <c r="E2814" s="19"/>
      <c r="F2814" s="19"/>
      <c r="G2814" s="19"/>
      <c r="H2814" s="19"/>
      <c r="I2814" s="19"/>
      <c r="J2814" s="19"/>
      <c r="K2814" s="19"/>
      <c r="L2814" s="19"/>
      <c r="M2814" s="19"/>
      <c r="N2814" s="19"/>
      <c r="O2814" s="19"/>
      <c r="P2814" s="19"/>
      <c r="Q2814" s="19"/>
      <c r="R2814" s="19"/>
      <c r="S2814" s="19"/>
      <c r="T2814" s="19"/>
      <c r="U2814" s="19"/>
      <c r="V2814" s="19"/>
    </row>
    <row r="2815" spans="2:22" ht="13.2" x14ac:dyDescent="0.25">
      <c r="B2815" s="19"/>
      <c r="C2815" s="19"/>
      <c r="D2815" s="19"/>
      <c r="E2815" s="19"/>
      <c r="F2815" s="19"/>
      <c r="G2815" s="19"/>
      <c r="H2815" s="19"/>
      <c r="I2815" s="19"/>
      <c r="J2815" s="19"/>
      <c r="K2815" s="19"/>
      <c r="L2815" s="19"/>
      <c r="M2815" s="19"/>
      <c r="N2815" s="19"/>
      <c r="O2815" s="19"/>
      <c r="P2815" s="19"/>
      <c r="Q2815" s="19"/>
      <c r="R2815" s="19"/>
      <c r="S2815" s="19"/>
      <c r="T2815" s="19"/>
      <c r="U2815" s="19"/>
      <c r="V2815" s="19"/>
    </row>
    <row r="2816" spans="2:22" ht="13.2" x14ac:dyDescent="0.25">
      <c r="B2816" s="19"/>
      <c r="C2816" s="19"/>
      <c r="D2816" s="19"/>
      <c r="E2816" s="19"/>
      <c r="F2816" s="19"/>
      <c r="G2816" s="19"/>
      <c r="H2816" s="19"/>
      <c r="I2816" s="19"/>
      <c r="J2816" s="19"/>
      <c r="K2816" s="19"/>
      <c r="L2816" s="19"/>
      <c r="M2816" s="19"/>
      <c r="N2816" s="19"/>
      <c r="O2816" s="19"/>
      <c r="P2816" s="19"/>
      <c r="Q2816" s="19"/>
      <c r="R2816" s="19"/>
      <c r="S2816" s="19"/>
      <c r="T2816" s="19"/>
      <c r="U2816" s="19"/>
      <c r="V2816" s="19"/>
    </row>
    <row r="2817" spans="2:22" ht="13.2" x14ac:dyDescent="0.25">
      <c r="B2817" s="19"/>
      <c r="C2817" s="19"/>
      <c r="D2817" s="19"/>
      <c r="E2817" s="19"/>
      <c r="F2817" s="19"/>
      <c r="G2817" s="19"/>
      <c r="H2817" s="19"/>
      <c r="I2817" s="19"/>
      <c r="J2817" s="19"/>
      <c r="K2817" s="19"/>
      <c r="L2817" s="19"/>
      <c r="M2817" s="19"/>
      <c r="N2817" s="19"/>
      <c r="O2817" s="19"/>
      <c r="P2817" s="19"/>
      <c r="Q2817" s="19"/>
      <c r="R2817" s="19"/>
      <c r="S2817" s="19"/>
      <c r="T2817" s="19"/>
      <c r="U2817" s="19"/>
      <c r="V2817" s="19"/>
    </row>
    <row r="2818" spans="2:22" ht="13.2" x14ac:dyDescent="0.25">
      <c r="B2818" s="19"/>
      <c r="C2818" s="19"/>
      <c r="D2818" s="19"/>
      <c r="E2818" s="19"/>
      <c r="F2818" s="19"/>
      <c r="G2818" s="19"/>
      <c r="H2818" s="19"/>
      <c r="I2818" s="19"/>
      <c r="J2818" s="19"/>
      <c r="K2818" s="19"/>
      <c r="L2818" s="19"/>
      <c r="M2818" s="19"/>
      <c r="N2818" s="19"/>
      <c r="O2818" s="19"/>
      <c r="P2818" s="19"/>
      <c r="Q2818" s="19"/>
      <c r="R2818" s="19"/>
      <c r="S2818" s="19"/>
      <c r="T2818" s="19"/>
      <c r="U2818" s="19"/>
      <c r="V2818" s="19"/>
    </row>
    <row r="2819" spans="2:22" ht="13.2" x14ac:dyDescent="0.25">
      <c r="B2819" s="19"/>
      <c r="C2819" s="19"/>
      <c r="D2819" s="19"/>
      <c r="E2819" s="19"/>
      <c r="F2819" s="19"/>
      <c r="G2819" s="19"/>
      <c r="H2819" s="19"/>
      <c r="I2819" s="19"/>
      <c r="J2819" s="19"/>
      <c r="K2819" s="19"/>
      <c r="L2819" s="19"/>
      <c r="M2819" s="19"/>
      <c r="N2819" s="19"/>
      <c r="O2819" s="19"/>
      <c r="P2819" s="19"/>
      <c r="Q2819" s="19"/>
      <c r="R2819" s="19"/>
      <c r="S2819" s="19"/>
      <c r="T2819" s="19"/>
      <c r="U2819" s="19"/>
      <c r="V2819" s="19"/>
    </row>
    <row r="2820" spans="2:22" ht="13.2" x14ac:dyDescent="0.25">
      <c r="B2820" s="19"/>
      <c r="C2820" s="19"/>
      <c r="D2820" s="19"/>
      <c r="E2820" s="19"/>
      <c r="F2820" s="19"/>
      <c r="G2820" s="19"/>
      <c r="H2820" s="19"/>
      <c r="I2820" s="19"/>
      <c r="J2820" s="19"/>
      <c r="K2820" s="19"/>
      <c r="L2820" s="19"/>
      <c r="M2820" s="19"/>
      <c r="N2820" s="19"/>
      <c r="O2820" s="19"/>
      <c r="P2820" s="19"/>
      <c r="Q2820" s="19"/>
      <c r="R2820" s="19"/>
      <c r="S2820" s="19"/>
      <c r="T2820" s="19"/>
      <c r="U2820" s="19"/>
      <c r="V2820" s="19"/>
    </row>
    <row r="2821" spans="2:22" ht="13.2" x14ac:dyDescent="0.25">
      <c r="B2821" s="19"/>
      <c r="C2821" s="19"/>
      <c r="D2821" s="19"/>
      <c r="E2821" s="19"/>
      <c r="F2821" s="19"/>
      <c r="G2821" s="19"/>
      <c r="H2821" s="19"/>
      <c r="I2821" s="19"/>
      <c r="J2821" s="19"/>
      <c r="K2821" s="19"/>
      <c r="L2821" s="19"/>
      <c r="M2821" s="19"/>
      <c r="N2821" s="19"/>
      <c r="O2821" s="19"/>
      <c r="P2821" s="19"/>
      <c r="Q2821" s="19"/>
      <c r="R2821" s="19"/>
      <c r="S2821" s="19"/>
      <c r="T2821" s="19"/>
      <c r="U2821" s="19"/>
      <c r="V2821" s="19"/>
    </row>
    <row r="2822" spans="2:22" ht="13.2" x14ac:dyDescent="0.25">
      <c r="B2822" s="19"/>
      <c r="C2822" s="19"/>
      <c r="D2822" s="19"/>
      <c r="E2822" s="19"/>
      <c r="F2822" s="19"/>
      <c r="G2822" s="19"/>
      <c r="H2822" s="19"/>
      <c r="I2822" s="19"/>
      <c r="J2822" s="19"/>
      <c r="K2822" s="19"/>
      <c r="L2822" s="19"/>
      <c r="M2822" s="19"/>
      <c r="N2822" s="19"/>
      <c r="O2822" s="19"/>
      <c r="P2822" s="19"/>
      <c r="Q2822" s="19"/>
      <c r="R2822" s="19"/>
      <c r="S2822" s="19"/>
      <c r="T2822" s="19"/>
      <c r="U2822" s="19"/>
      <c r="V2822" s="19"/>
    </row>
    <row r="2823" spans="2:22" ht="13.2" x14ac:dyDescent="0.25">
      <c r="B2823" s="19"/>
      <c r="C2823" s="19"/>
      <c r="D2823" s="19"/>
      <c r="E2823" s="19"/>
      <c r="F2823" s="19"/>
      <c r="G2823" s="19"/>
      <c r="H2823" s="19"/>
      <c r="I2823" s="19"/>
      <c r="J2823" s="19"/>
      <c r="K2823" s="19"/>
      <c r="L2823" s="19"/>
      <c r="M2823" s="19"/>
      <c r="N2823" s="19"/>
      <c r="O2823" s="19"/>
      <c r="P2823" s="19"/>
      <c r="Q2823" s="19"/>
      <c r="R2823" s="19"/>
      <c r="S2823" s="19"/>
      <c r="T2823" s="19"/>
      <c r="U2823" s="19"/>
      <c r="V2823" s="19"/>
    </row>
    <row r="2824" spans="2:22" ht="13.2" x14ac:dyDescent="0.25">
      <c r="B2824" s="19"/>
      <c r="C2824" s="19"/>
      <c r="D2824" s="19"/>
      <c r="E2824" s="19"/>
      <c r="F2824" s="19"/>
      <c r="G2824" s="19"/>
      <c r="H2824" s="19"/>
      <c r="I2824" s="19"/>
      <c r="J2824" s="19"/>
      <c r="K2824" s="19"/>
      <c r="L2824" s="19"/>
      <c r="M2824" s="19"/>
      <c r="N2824" s="19"/>
      <c r="O2824" s="19"/>
      <c r="P2824" s="19"/>
      <c r="Q2824" s="19"/>
      <c r="R2824" s="19"/>
      <c r="S2824" s="19"/>
      <c r="T2824" s="19"/>
      <c r="U2824" s="19"/>
      <c r="V2824" s="19"/>
    </row>
    <row r="2825" spans="2:22" ht="13.2" x14ac:dyDescent="0.25">
      <c r="B2825" s="19"/>
      <c r="C2825" s="19"/>
      <c r="D2825" s="19"/>
      <c r="E2825" s="19"/>
      <c r="F2825" s="19"/>
      <c r="G2825" s="19"/>
      <c r="H2825" s="19"/>
      <c r="I2825" s="19"/>
      <c r="J2825" s="19"/>
      <c r="K2825" s="19"/>
      <c r="L2825" s="19"/>
      <c r="M2825" s="19"/>
      <c r="N2825" s="19"/>
      <c r="O2825" s="19"/>
      <c r="P2825" s="19"/>
      <c r="Q2825" s="19"/>
      <c r="R2825" s="19"/>
      <c r="S2825" s="19"/>
      <c r="T2825" s="19"/>
      <c r="U2825" s="19"/>
      <c r="V2825" s="19"/>
    </row>
    <row r="2826" spans="2:22" ht="13.2" x14ac:dyDescent="0.25">
      <c r="B2826" s="19"/>
      <c r="C2826" s="19"/>
      <c r="D2826" s="19"/>
      <c r="E2826" s="19"/>
      <c r="F2826" s="19"/>
      <c r="G2826" s="19"/>
      <c r="H2826" s="19"/>
      <c r="I2826" s="19"/>
      <c r="J2826" s="19"/>
      <c r="K2826" s="19"/>
      <c r="L2826" s="19"/>
      <c r="M2826" s="19"/>
      <c r="N2826" s="19"/>
      <c r="O2826" s="19"/>
      <c r="P2826" s="19"/>
      <c r="Q2826" s="19"/>
      <c r="R2826" s="19"/>
      <c r="S2826" s="19"/>
      <c r="T2826" s="19"/>
      <c r="U2826" s="19"/>
      <c r="V2826" s="19"/>
    </row>
    <row r="2827" spans="2:22" ht="13.2" x14ac:dyDescent="0.25">
      <c r="B2827" s="19"/>
      <c r="C2827" s="19"/>
      <c r="D2827" s="19"/>
      <c r="E2827" s="19"/>
      <c r="F2827" s="19"/>
      <c r="G2827" s="19"/>
      <c r="H2827" s="19"/>
      <c r="I2827" s="19"/>
      <c r="J2827" s="19"/>
      <c r="K2827" s="19"/>
      <c r="L2827" s="19"/>
      <c r="M2827" s="19"/>
      <c r="N2827" s="19"/>
      <c r="O2827" s="19"/>
      <c r="P2827" s="19"/>
      <c r="Q2827" s="19"/>
      <c r="R2827" s="19"/>
      <c r="S2827" s="19"/>
      <c r="T2827" s="19"/>
      <c r="U2827" s="19"/>
      <c r="V2827" s="19"/>
    </row>
    <row r="2828" spans="2:22" ht="13.2" x14ac:dyDescent="0.25">
      <c r="B2828" s="19"/>
      <c r="C2828" s="19"/>
      <c r="D2828" s="19"/>
      <c r="E2828" s="19"/>
      <c r="F2828" s="19"/>
      <c r="G2828" s="19"/>
      <c r="H2828" s="19"/>
      <c r="I2828" s="19"/>
      <c r="J2828" s="19"/>
      <c r="K2828" s="19"/>
      <c r="L2828" s="19"/>
      <c r="M2828" s="19"/>
      <c r="N2828" s="19"/>
      <c r="O2828" s="19"/>
      <c r="P2828" s="19"/>
      <c r="Q2828" s="19"/>
      <c r="R2828" s="19"/>
      <c r="S2828" s="19"/>
      <c r="T2828" s="19"/>
      <c r="U2828" s="19"/>
      <c r="V2828" s="19"/>
    </row>
    <row r="2829" spans="2:22" ht="13.2" x14ac:dyDescent="0.25">
      <c r="B2829" s="19"/>
      <c r="C2829" s="19"/>
      <c r="D2829" s="19"/>
      <c r="E2829" s="19"/>
      <c r="F2829" s="19"/>
      <c r="G2829" s="19"/>
      <c r="H2829" s="19"/>
      <c r="I2829" s="19"/>
      <c r="J2829" s="19"/>
      <c r="K2829" s="19"/>
      <c r="L2829" s="19"/>
      <c r="M2829" s="19"/>
      <c r="N2829" s="19"/>
      <c r="O2829" s="19"/>
      <c r="P2829" s="19"/>
      <c r="Q2829" s="19"/>
      <c r="R2829" s="19"/>
      <c r="S2829" s="19"/>
      <c r="T2829" s="19"/>
      <c r="U2829" s="19"/>
      <c r="V2829" s="19"/>
    </row>
    <row r="2830" spans="2:22" ht="13.2" x14ac:dyDescent="0.25">
      <c r="B2830" s="19"/>
      <c r="C2830" s="19"/>
      <c r="D2830" s="19"/>
      <c r="E2830" s="19"/>
      <c r="F2830" s="19"/>
      <c r="G2830" s="19"/>
      <c r="H2830" s="19"/>
      <c r="I2830" s="19"/>
      <c r="J2830" s="19"/>
      <c r="K2830" s="19"/>
      <c r="L2830" s="19"/>
      <c r="M2830" s="19"/>
      <c r="N2830" s="19"/>
      <c r="O2830" s="19"/>
      <c r="P2830" s="19"/>
      <c r="Q2830" s="19"/>
      <c r="R2830" s="19"/>
      <c r="S2830" s="19"/>
      <c r="T2830" s="19"/>
      <c r="U2830" s="19"/>
      <c r="V2830" s="19"/>
    </row>
    <row r="2831" spans="2:22" ht="13.2" x14ac:dyDescent="0.25">
      <c r="B2831" s="19"/>
      <c r="C2831" s="19"/>
      <c r="D2831" s="19"/>
      <c r="E2831" s="19"/>
      <c r="F2831" s="19"/>
      <c r="G2831" s="19"/>
      <c r="H2831" s="19"/>
      <c r="I2831" s="19"/>
      <c r="J2831" s="19"/>
      <c r="K2831" s="19"/>
      <c r="L2831" s="19"/>
      <c r="M2831" s="19"/>
      <c r="N2831" s="19"/>
      <c r="O2831" s="19"/>
      <c r="P2831" s="19"/>
      <c r="Q2831" s="19"/>
      <c r="R2831" s="19"/>
      <c r="S2831" s="19"/>
      <c r="T2831" s="19"/>
      <c r="U2831" s="19"/>
      <c r="V2831" s="19"/>
    </row>
    <row r="2832" spans="2:22" ht="13.2" x14ac:dyDescent="0.25">
      <c r="B2832" s="19"/>
      <c r="C2832" s="19"/>
      <c r="D2832" s="19"/>
      <c r="E2832" s="19"/>
      <c r="F2832" s="19"/>
      <c r="G2832" s="19"/>
      <c r="H2832" s="19"/>
      <c r="I2832" s="19"/>
      <c r="J2832" s="19"/>
      <c r="K2832" s="19"/>
      <c r="L2832" s="19"/>
      <c r="M2832" s="19"/>
      <c r="N2832" s="19"/>
      <c r="O2832" s="19"/>
      <c r="P2832" s="19"/>
      <c r="Q2832" s="19"/>
      <c r="R2832" s="19"/>
      <c r="S2832" s="19"/>
      <c r="T2832" s="19"/>
      <c r="U2832" s="19"/>
      <c r="V2832" s="19"/>
    </row>
    <row r="2833" spans="2:22" ht="13.2" x14ac:dyDescent="0.25">
      <c r="B2833" s="19"/>
      <c r="C2833" s="19"/>
      <c r="D2833" s="19"/>
      <c r="E2833" s="19"/>
      <c r="F2833" s="19"/>
      <c r="G2833" s="19"/>
      <c r="H2833" s="19"/>
      <c r="I2833" s="19"/>
      <c r="J2833" s="19"/>
      <c r="K2833" s="19"/>
      <c r="L2833" s="19"/>
      <c r="M2833" s="19"/>
      <c r="N2833" s="19"/>
      <c r="O2833" s="19"/>
      <c r="P2833" s="19"/>
      <c r="Q2833" s="19"/>
      <c r="R2833" s="19"/>
      <c r="S2833" s="19"/>
      <c r="T2833" s="19"/>
      <c r="U2833" s="19"/>
      <c r="V2833" s="19"/>
    </row>
    <row r="2834" spans="2:22" ht="13.2" x14ac:dyDescent="0.25">
      <c r="B2834" s="19"/>
      <c r="C2834" s="19"/>
      <c r="D2834" s="19"/>
      <c r="E2834" s="19"/>
      <c r="F2834" s="19"/>
      <c r="G2834" s="19"/>
      <c r="H2834" s="19"/>
      <c r="I2834" s="19"/>
      <c r="J2834" s="19"/>
      <c r="K2834" s="19"/>
      <c r="L2834" s="19"/>
      <c r="M2834" s="19"/>
      <c r="N2834" s="19"/>
      <c r="O2834" s="19"/>
      <c r="P2834" s="19"/>
      <c r="Q2834" s="19"/>
      <c r="R2834" s="19"/>
      <c r="S2834" s="19"/>
      <c r="T2834" s="19"/>
      <c r="U2834" s="19"/>
      <c r="V2834" s="19"/>
    </row>
    <row r="2835" spans="2:22" ht="13.2" x14ac:dyDescent="0.25">
      <c r="B2835" s="19"/>
      <c r="C2835" s="19"/>
      <c r="D2835" s="19"/>
      <c r="E2835" s="19"/>
      <c r="F2835" s="19"/>
      <c r="G2835" s="19"/>
      <c r="H2835" s="19"/>
      <c r="I2835" s="19"/>
      <c r="J2835" s="19"/>
      <c r="K2835" s="19"/>
      <c r="L2835" s="19"/>
      <c r="M2835" s="19"/>
      <c r="N2835" s="19"/>
      <c r="O2835" s="19"/>
      <c r="P2835" s="19"/>
      <c r="Q2835" s="19"/>
      <c r="R2835" s="19"/>
      <c r="S2835" s="19"/>
      <c r="T2835" s="19"/>
      <c r="U2835" s="19"/>
      <c r="V2835" s="19"/>
    </row>
    <row r="2836" spans="2:22" ht="13.2" x14ac:dyDescent="0.25">
      <c r="B2836" s="19"/>
      <c r="C2836" s="19"/>
      <c r="D2836" s="19"/>
      <c r="E2836" s="19"/>
      <c r="F2836" s="19"/>
      <c r="G2836" s="19"/>
      <c r="H2836" s="19"/>
      <c r="I2836" s="19"/>
      <c r="J2836" s="19"/>
      <c r="K2836" s="19"/>
      <c r="L2836" s="19"/>
      <c r="M2836" s="19"/>
      <c r="N2836" s="19"/>
      <c r="O2836" s="19"/>
      <c r="P2836" s="19"/>
      <c r="Q2836" s="19"/>
      <c r="R2836" s="19"/>
      <c r="S2836" s="19"/>
      <c r="T2836" s="19"/>
      <c r="U2836" s="19"/>
      <c r="V2836" s="19"/>
    </row>
    <row r="2837" spans="2:22" ht="13.2" x14ac:dyDescent="0.25">
      <c r="B2837" s="19"/>
      <c r="C2837" s="19"/>
      <c r="D2837" s="19"/>
      <c r="E2837" s="19"/>
      <c r="F2837" s="19"/>
      <c r="G2837" s="19"/>
      <c r="H2837" s="19"/>
      <c r="I2837" s="19"/>
      <c r="J2837" s="19"/>
      <c r="K2837" s="19"/>
      <c r="L2837" s="19"/>
      <c r="M2837" s="19"/>
      <c r="N2837" s="19"/>
      <c r="O2837" s="19"/>
      <c r="P2837" s="19"/>
      <c r="Q2837" s="19"/>
      <c r="R2837" s="19"/>
      <c r="S2837" s="19"/>
      <c r="T2837" s="19"/>
      <c r="U2837" s="19"/>
      <c r="V2837" s="19"/>
    </row>
  </sheetData>
  <autoFilter ref="B4:V2427" xr:uid="{02316A3B-847A-4F1D-8322-3D57B11B3BC9}"/>
  <mergeCells count="1155">
    <mergeCell ref="B2062:P2062"/>
    <mergeCell ref="B2075:P2075"/>
    <mergeCell ref="B2076:P2076"/>
    <mergeCell ref="B2052:P2052"/>
    <mergeCell ref="B2055:P2055"/>
    <mergeCell ref="B2056:P2056"/>
    <mergeCell ref="B2058:P2058"/>
    <mergeCell ref="B2059:P2059"/>
    <mergeCell ref="B2061:P2061"/>
    <mergeCell ref="B2031:P2031"/>
    <mergeCell ref="B2045:P2045"/>
    <mergeCell ref="B2046:P2046"/>
    <mergeCell ref="B2048:P2048"/>
    <mergeCell ref="B2049:P2049"/>
    <mergeCell ref="B2051:P2051"/>
    <mergeCell ref="B2022:P2022"/>
    <mergeCell ref="B2024:P2024"/>
    <mergeCell ref="B2025:P2025"/>
    <mergeCell ref="B2027:P2027"/>
    <mergeCell ref="B2028:P2028"/>
    <mergeCell ref="B2030:P2030"/>
    <mergeCell ref="B2013:P2013"/>
    <mergeCell ref="B2015:P2015"/>
    <mergeCell ref="B2016:P2016"/>
    <mergeCell ref="B2018:P2018"/>
    <mergeCell ref="B2019:P2019"/>
    <mergeCell ref="B2021:P2021"/>
    <mergeCell ref="B2003:P2003"/>
    <mergeCell ref="B2006:P2006"/>
    <mergeCell ref="B2007:P2007"/>
    <mergeCell ref="B2009:P2009"/>
    <mergeCell ref="B2010:P2010"/>
    <mergeCell ref="B2012:P2012"/>
    <mergeCell ref="B1989:P1989"/>
    <mergeCell ref="B1991:P1991"/>
    <mergeCell ref="B1992:P1992"/>
    <mergeCell ref="B1997:P1997"/>
    <mergeCell ref="B1998:P1998"/>
    <mergeCell ref="B2002:P2002"/>
    <mergeCell ref="B1972:P1972"/>
    <mergeCell ref="B1977:P1977"/>
    <mergeCell ref="B1978:P1978"/>
    <mergeCell ref="B1983:P1983"/>
    <mergeCell ref="B1984:P1984"/>
    <mergeCell ref="B1988:P1988"/>
    <mergeCell ref="B1963:P1963"/>
    <mergeCell ref="B1965:P1965"/>
    <mergeCell ref="B1966:P1966"/>
    <mergeCell ref="B1968:P1968"/>
    <mergeCell ref="B1969:P1969"/>
    <mergeCell ref="B1971:P1971"/>
    <mergeCell ref="B1954:P1954"/>
    <mergeCell ref="B1956:P1956"/>
    <mergeCell ref="B1957:P1957"/>
    <mergeCell ref="B1959:P1959"/>
    <mergeCell ref="B1960:P1960"/>
    <mergeCell ref="B1962:P1962"/>
    <mergeCell ref="B1945:P1945"/>
    <mergeCell ref="B1947:P1947"/>
    <mergeCell ref="B1948:P1948"/>
    <mergeCell ref="B1950:P1950"/>
    <mergeCell ref="B1951:P1951"/>
    <mergeCell ref="B1953:P1953"/>
    <mergeCell ref="B1936:P1936"/>
    <mergeCell ref="B1938:P1938"/>
    <mergeCell ref="B1939:P1939"/>
    <mergeCell ref="B1941:P1941"/>
    <mergeCell ref="B1942:P1942"/>
    <mergeCell ref="B1944:P1944"/>
    <mergeCell ref="B1926:P1926"/>
    <mergeCell ref="B1928:P1928"/>
    <mergeCell ref="B1929:P1929"/>
    <mergeCell ref="B1931:P1931"/>
    <mergeCell ref="B1932:P1932"/>
    <mergeCell ref="B1935:P1935"/>
    <mergeCell ref="B1917:P1917"/>
    <mergeCell ref="B1919:P1919"/>
    <mergeCell ref="B1920:P1920"/>
    <mergeCell ref="B1922:P1922"/>
    <mergeCell ref="B1923:P1923"/>
    <mergeCell ref="B1925:P1925"/>
    <mergeCell ref="B1908:P1908"/>
    <mergeCell ref="B1910:P1910"/>
    <mergeCell ref="B1911:P1911"/>
    <mergeCell ref="B1913:P1913"/>
    <mergeCell ref="B1914:P1914"/>
    <mergeCell ref="B1916:P1916"/>
    <mergeCell ref="B1899:P1899"/>
    <mergeCell ref="B1901:P1901"/>
    <mergeCell ref="B1902:P1902"/>
    <mergeCell ref="B1904:P1904"/>
    <mergeCell ref="B1905:P1905"/>
    <mergeCell ref="B1907:P1907"/>
    <mergeCell ref="B1890:P1890"/>
    <mergeCell ref="B1892:P1892"/>
    <mergeCell ref="B1893:P1893"/>
    <mergeCell ref="B1895:P1895"/>
    <mergeCell ref="B1896:P1896"/>
    <mergeCell ref="B1898:P1898"/>
    <mergeCell ref="B1881:P1881"/>
    <mergeCell ref="B1883:P1883"/>
    <mergeCell ref="B1884:P1884"/>
    <mergeCell ref="B1886:P1886"/>
    <mergeCell ref="B1887:P1887"/>
    <mergeCell ref="B1889:P1889"/>
    <mergeCell ref="B1859:P1859"/>
    <mergeCell ref="B1861:P1861"/>
    <mergeCell ref="B1862:P1862"/>
    <mergeCell ref="B1877:P1877"/>
    <mergeCell ref="B1878:P1878"/>
    <mergeCell ref="B1880:P1880"/>
    <mergeCell ref="B1850:P1850"/>
    <mergeCell ref="B1852:P1852"/>
    <mergeCell ref="B1853:P1853"/>
    <mergeCell ref="B1855:P1855"/>
    <mergeCell ref="B1856:P1856"/>
    <mergeCell ref="B1858:P1858"/>
    <mergeCell ref="B1837:P1837"/>
    <mergeCell ref="B1839:P1839"/>
    <mergeCell ref="B1840:P1840"/>
    <mergeCell ref="B1846:P1846"/>
    <mergeCell ref="B1847:P1847"/>
    <mergeCell ref="B1849:P1849"/>
    <mergeCell ref="B1828:P1828"/>
    <mergeCell ref="B1830:P1830"/>
    <mergeCell ref="B1831:P1831"/>
    <mergeCell ref="B1833:P1833"/>
    <mergeCell ref="B1834:P1834"/>
    <mergeCell ref="B1836:P1836"/>
    <mergeCell ref="B1818:P1818"/>
    <mergeCell ref="B1820:P1820"/>
    <mergeCell ref="B1821:P1821"/>
    <mergeCell ref="B1823:P1823"/>
    <mergeCell ref="B1824:P1824"/>
    <mergeCell ref="B1827:P1827"/>
    <mergeCell ref="B1809:P1809"/>
    <mergeCell ref="B1811:P1811"/>
    <mergeCell ref="B1812:P1812"/>
    <mergeCell ref="B1814:P1814"/>
    <mergeCell ref="B1815:P1815"/>
    <mergeCell ref="B1817:P1817"/>
    <mergeCell ref="B1800:P1800"/>
    <mergeCell ref="B1802:P1802"/>
    <mergeCell ref="B1803:P1803"/>
    <mergeCell ref="B1805:P1805"/>
    <mergeCell ref="B1806:P1806"/>
    <mergeCell ref="B1808:P1808"/>
    <mergeCell ref="B1790:P1790"/>
    <mergeCell ref="B1792:P1792"/>
    <mergeCell ref="B1793:P1793"/>
    <mergeCell ref="B1795:P1795"/>
    <mergeCell ref="B1796:P1796"/>
    <mergeCell ref="B1799:P1799"/>
    <mergeCell ref="B1780:P1780"/>
    <mergeCell ref="B1783:P1783"/>
    <mergeCell ref="B1784:P1784"/>
    <mergeCell ref="B1786:P1786"/>
    <mergeCell ref="B1787:P1787"/>
    <mergeCell ref="B1789:P1789"/>
    <mergeCell ref="B1771:P1771"/>
    <mergeCell ref="B1773:P1773"/>
    <mergeCell ref="B1774:P1774"/>
    <mergeCell ref="B1776:P1776"/>
    <mergeCell ref="B1777:P1777"/>
    <mergeCell ref="B1779:P1779"/>
    <mergeCell ref="B1762:P1762"/>
    <mergeCell ref="B1764:P1764"/>
    <mergeCell ref="B1765:P1765"/>
    <mergeCell ref="B1767:P1767"/>
    <mergeCell ref="B1768:P1768"/>
    <mergeCell ref="B1770:P1770"/>
    <mergeCell ref="B1750:P1750"/>
    <mergeCell ref="B1752:P1752"/>
    <mergeCell ref="B1753:P1753"/>
    <mergeCell ref="B1758:P1758"/>
    <mergeCell ref="B1759:P1759"/>
    <mergeCell ref="B1761:P1761"/>
    <mergeCell ref="B1741:P1741"/>
    <mergeCell ref="B1743:P1743"/>
    <mergeCell ref="B1744:P1744"/>
    <mergeCell ref="B1746:P1746"/>
    <mergeCell ref="B1747:P1747"/>
    <mergeCell ref="B1749:P1749"/>
    <mergeCell ref="B1732:P1732"/>
    <mergeCell ref="B1734:P1734"/>
    <mergeCell ref="B1735:P1735"/>
    <mergeCell ref="B1737:P1737"/>
    <mergeCell ref="B1738:P1738"/>
    <mergeCell ref="B1740:P1740"/>
    <mergeCell ref="B1723:P1723"/>
    <mergeCell ref="B1725:P1725"/>
    <mergeCell ref="B1726:P1726"/>
    <mergeCell ref="B1728:P1728"/>
    <mergeCell ref="B1729:P1729"/>
    <mergeCell ref="B1731:P1731"/>
    <mergeCell ref="B1714:P1714"/>
    <mergeCell ref="B1716:P1716"/>
    <mergeCell ref="B1717:P1717"/>
    <mergeCell ref="B1719:P1719"/>
    <mergeCell ref="B1720:P1720"/>
    <mergeCell ref="B1722:P1722"/>
    <mergeCell ref="B1704:P1704"/>
    <mergeCell ref="B1706:P1706"/>
    <mergeCell ref="B1707:P1707"/>
    <mergeCell ref="B1710:P1710"/>
    <mergeCell ref="B1711:P1711"/>
    <mergeCell ref="B1713:P1713"/>
    <mergeCell ref="B1694:P1694"/>
    <mergeCell ref="B1696:P1696"/>
    <mergeCell ref="B1697:P1697"/>
    <mergeCell ref="B1700:P1700"/>
    <mergeCell ref="B1701:P1701"/>
    <mergeCell ref="B1703:P1703"/>
    <mergeCell ref="B1685:P1685"/>
    <mergeCell ref="B1687:P1687"/>
    <mergeCell ref="B1688:P1688"/>
    <mergeCell ref="B1690:P1690"/>
    <mergeCell ref="B1691:P1691"/>
    <mergeCell ref="B1693:P1693"/>
    <mergeCell ref="B1676:P1676"/>
    <mergeCell ref="B1678:P1678"/>
    <mergeCell ref="B1679:P1679"/>
    <mergeCell ref="B1681:P1681"/>
    <mergeCell ref="B1682:P1682"/>
    <mergeCell ref="B1684:P1684"/>
    <mergeCell ref="B1667:P1667"/>
    <mergeCell ref="B1669:P1669"/>
    <mergeCell ref="B1670:P1670"/>
    <mergeCell ref="B1672:P1672"/>
    <mergeCell ref="B1673:P1673"/>
    <mergeCell ref="B1675:P1675"/>
    <mergeCell ref="B1654:P1654"/>
    <mergeCell ref="B1660:P1660"/>
    <mergeCell ref="B1661:P1661"/>
    <mergeCell ref="B1663:P1663"/>
    <mergeCell ref="B1664:P1664"/>
    <mergeCell ref="B1666:P1666"/>
    <mergeCell ref="B1644:P1644"/>
    <mergeCell ref="B1646:P1646"/>
    <mergeCell ref="B1647:P1647"/>
    <mergeCell ref="B1650:P1650"/>
    <mergeCell ref="B1651:P1651"/>
    <mergeCell ref="B1653:P1653"/>
    <mergeCell ref="B1633:P1633"/>
    <mergeCell ref="B1637:P1637"/>
    <mergeCell ref="B1638:P1638"/>
    <mergeCell ref="B1640:P1640"/>
    <mergeCell ref="B1641:P1641"/>
    <mergeCell ref="B1643:P1643"/>
    <mergeCell ref="B1619:P1619"/>
    <mergeCell ref="B1621:P1621"/>
    <mergeCell ref="B1622:P1622"/>
    <mergeCell ref="B1629:P1629"/>
    <mergeCell ref="B1630:P1630"/>
    <mergeCell ref="B1632:P1632"/>
    <mergeCell ref="B1604:P1604"/>
    <mergeCell ref="B1606:P1606"/>
    <mergeCell ref="B1607:P1607"/>
    <mergeCell ref="B1609:P1609"/>
    <mergeCell ref="B1610:P1610"/>
    <mergeCell ref="B1618:P1618"/>
    <mergeCell ref="B1594:P1594"/>
    <mergeCell ref="B1596:P1596"/>
    <mergeCell ref="B1597:P1597"/>
    <mergeCell ref="B1600:P1600"/>
    <mergeCell ref="B1601:P1601"/>
    <mergeCell ref="B1603:P1603"/>
    <mergeCell ref="B1585:P1585"/>
    <mergeCell ref="B1587:P1587"/>
    <mergeCell ref="B1588:P1588"/>
    <mergeCell ref="B1590:P1590"/>
    <mergeCell ref="B1591:P1591"/>
    <mergeCell ref="B1593:P1593"/>
    <mergeCell ref="B1572:P1572"/>
    <mergeCell ref="B1575:P1575"/>
    <mergeCell ref="B1576:P1576"/>
    <mergeCell ref="B1578:P1578"/>
    <mergeCell ref="B1579:P1579"/>
    <mergeCell ref="B1584:P1584"/>
    <mergeCell ref="B1559:P1559"/>
    <mergeCell ref="B1561:P1561"/>
    <mergeCell ref="B1562:P1562"/>
    <mergeCell ref="B1566:P1566"/>
    <mergeCell ref="B1567:P1567"/>
    <mergeCell ref="B1571:P1571"/>
    <mergeCell ref="B1550:P1550"/>
    <mergeCell ref="B1552:P1552"/>
    <mergeCell ref="B1553:P1553"/>
    <mergeCell ref="B1555:P1555"/>
    <mergeCell ref="B1556:P1556"/>
    <mergeCell ref="B1558:P1558"/>
    <mergeCell ref="B1541:P1541"/>
    <mergeCell ref="B1543:P1543"/>
    <mergeCell ref="B1544:P1544"/>
    <mergeCell ref="B1546:P1546"/>
    <mergeCell ref="B1547:P1547"/>
    <mergeCell ref="B1549:P1549"/>
    <mergeCell ref="B1532:P1532"/>
    <mergeCell ref="B1534:P1534"/>
    <mergeCell ref="B1535:P1535"/>
    <mergeCell ref="B1537:P1537"/>
    <mergeCell ref="B1538:P1538"/>
    <mergeCell ref="B1540:P1540"/>
    <mergeCell ref="B1523:P1523"/>
    <mergeCell ref="B1525:P1525"/>
    <mergeCell ref="B1526:P1526"/>
    <mergeCell ref="B1528:P1528"/>
    <mergeCell ref="B1529:P1529"/>
    <mergeCell ref="B1531:P1531"/>
    <mergeCell ref="B1514:P1514"/>
    <mergeCell ref="B1516:P1516"/>
    <mergeCell ref="B1517:P1517"/>
    <mergeCell ref="B1519:P1519"/>
    <mergeCell ref="B1520:P1520"/>
    <mergeCell ref="B1522:P1522"/>
    <mergeCell ref="B1505:P1505"/>
    <mergeCell ref="B1507:P1507"/>
    <mergeCell ref="B1508:P1508"/>
    <mergeCell ref="B1510:P1510"/>
    <mergeCell ref="B1511:P1511"/>
    <mergeCell ref="B1513:P1513"/>
    <mergeCell ref="B1495:P1495"/>
    <mergeCell ref="B1498:P1498"/>
    <mergeCell ref="B1499:P1499"/>
    <mergeCell ref="B1501:P1501"/>
    <mergeCell ref="B1502:P1502"/>
    <mergeCell ref="B1504:P1504"/>
    <mergeCell ref="B1485:P1485"/>
    <mergeCell ref="B1488:P1488"/>
    <mergeCell ref="B1489:P1489"/>
    <mergeCell ref="B1491:P1491"/>
    <mergeCell ref="B1492:P1492"/>
    <mergeCell ref="B1494:P1494"/>
    <mergeCell ref="B1470:P1470"/>
    <mergeCell ref="B1472:P1472"/>
    <mergeCell ref="B1473:P1473"/>
    <mergeCell ref="B1478:P1478"/>
    <mergeCell ref="B1479:P1479"/>
    <mergeCell ref="B1484:P1484"/>
    <mergeCell ref="B1459:P1459"/>
    <mergeCell ref="B1461:P1461"/>
    <mergeCell ref="B1462:P1462"/>
    <mergeCell ref="B1466:P1466"/>
    <mergeCell ref="B1467:P1467"/>
    <mergeCell ref="B1469:P1469"/>
    <mergeCell ref="B1447:P1447"/>
    <mergeCell ref="B1452:P1452"/>
    <mergeCell ref="B1453:P1453"/>
    <mergeCell ref="B1455:P1455"/>
    <mergeCell ref="B1456:P1456"/>
    <mergeCell ref="B1458:P1458"/>
    <mergeCell ref="B1438:P1438"/>
    <mergeCell ref="B1440:P1440"/>
    <mergeCell ref="B1441:P1441"/>
    <mergeCell ref="B1443:P1443"/>
    <mergeCell ref="B1444:P1444"/>
    <mergeCell ref="B1446:P1446"/>
    <mergeCell ref="B1428:P1428"/>
    <mergeCell ref="B1430:P1430"/>
    <mergeCell ref="B1431:P1431"/>
    <mergeCell ref="B1434:P1434"/>
    <mergeCell ref="B1435:P1435"/>
    <mergeCell ref="B1437:P1437"/>
    <mergeCell ref="B1419:P1419"/>
    <mergeCell ref="B1421:P1421"/>
    <mergeCell ref="B1422:P1422"/>
    <mergeCell ref="B1424:P1424"/>
    <mergeCell ref="B1425:P1425"/>
    <mergeCell ref="B1427:P1427"/>
    <mergeCell ref="B1410:P1410"/>
    <mergeCell ref="B1412:P1412"/>
    <mergeCell ref="B1413:P1413"/>
    <mergeCell ref="B1415:P1415"/>
    <mergeCell ref="B1416:P1416"/>
    <mergeCell ref="B1418:P1418"/>
    <mergeCell ref="B1400:P1400"/>
    <mergeCell ref="B1402:P1402"/>
    <mergeCell ref="B1403:P1403"/>
    <mergeCell ref="B1405:P1405"/>
    <mergeCell ref="B1406:P1406"/>
    <mergeCell ref="B1409:P1409"/>
    <mergeCell ref="B1391:P1391"/>
    <mergeCell ref="B1393:P1393"/>
    <mergeCell ref="B1394:P1394"/>
    <mergeCell ref="B1396:P1396"/>
    <mergeCell ref="B1397:P1397"/>
    <mergeCell ref="B1399:P1399"/>
    <mergeCell ref="B1382:P1382"/>
    <mergeCell ref="B1384:P1384"/>
    <mergeCell ref="B1385:P1385"/>
    <mergeCell ref="B1387:P1387"/>
    <mergeCell ref="B1388:P1388"/>
    <mergeCell ref="B1390:P1390"/>
    <mergeCell ref="B1373:P1373"/>
    <mergeCell ref="B1375:P1375"/>
    <mergeCell ref="B1376:P1376"/>
    <mergeCell ref="B1378:P1378"/>
    <mergeCell ref="B1379:P1379"/>
    <mergeCell ref="B1381:P1381"/>
    <mergeCell ref="B1364:P1364"/>
    <mergeCell ref="B1366:P1366"/>
    <mergeCell ref="B1367:P1367"/>
    <mergeCell ref="B1369:P1369"/>
    <mergeCell ref="B1370:P1370"/>
    <mergeCell ref="B1372:P1372"/>
    <mergeCell ref="B1355:P1355"/>
    <mergeCell ref="B1357:P1357"/>
    <mergeCell ref="B1358:P1358"/>
    <mergeCell ref="B1360:P1360"/>
    <mergeCell ref="B1361:P1361"/>
    <mergeCell ref="B1363:P1363"/>
    <mergeCell ref="B1346:P1346"/>
    <mergeCell ref="B1348:P1348"/>
    <mergeCell ref="B1349:P1349"/>
    <mergeCell ref="B1351:P1351"/>
    <mergeCell ref="B1352:P1352"/>
    <mergeCell ref="B1354:P1354"/>
    <mergeCell ref="B1337:P1337"/>
    <mergeCell ref="B1339:P1339"/>
    <mergeCell ref="B1340:P1340"/>
    <mergeCell ref="B1342:P1342"/>
    <mergeCell ref="B1343:P1343"/>
    <mergeCell ref="B1345:P1345"/>
    <mergeCell ref="B1318:P1318"/>
    <mergeCell ref="B1323:P1323"/>
    <mergeCell ref="B1324:P1324"/>
    <mergeCell ref="B1329:P1329"/>
    <mergeCell ref="B1330:P1330"/>
    <mergeCell ref="B1336:P1336"/>
    <mergeCell ref="B1309:P1309"/>
    <mergeCell ref="B1311:P1311"/>
    <mergeCell ref="B1312:P1312"/>
    <mergeCell ref="B1314:P1314"/>
    <mergeCell ref="B1315:P1315"/>
    <mergeCell ref="B1317:P1317"/>
    <mergeCell ref="B1300:P1300"/>
    <mergeCell ref="B1302:P1302"/>
    <mergeCell ref="B1303:P1303"/>
    <mergeCell ref="B1305:P1305"/>
    <mergeCell ref="B1306:P1306"/>
    <mergeCell ref="B1308:P1308"/>
    <mergeCell ref="B1288:P1288"/>
    <mergeCell ref="B1292:P1292"/>
    <mergeCell ref="B1293:P1293"/>
    <mergeCell ref="B1296:P1296"/>
    <mergeCell ref="B1297:P1297"/>
    <mergeCell ref="B1299:P1299"/>
    <mergeCell ref="B1279:P1279"/>
    <mergeCell ref="B1281:P1281"/>
    <mergeCell ref="B1282:P1282"/>
    <mergeCell ref="B1284:P1284"/>
    <mergeCell ref="B1285:P1285"/>
    <mergeCell ref="B1287:P1287"/>
    <mergeCell ref="B1270:P1270"/>
    <mergeCell ref="B1272:P1272"/>
    <mergeCell ref="B1273:P1273"/>
    <mergeCell ref="B1275:P1275"/>
    <mergeCell ref="B1276:P1276"/>
    <mergeCell ref="B1278:P1278"/>
    <mergeCell ref="B1261:P1261"/>
    <mergeCell ref="B1263:P1263"/>
    <mergeCell ref="B1264:P1264"/>
    <mergeCell ref="B1266:P1266"/>
    <mergeCell ref="B1267:P1267"/>
    <mergeCell ref="B1269:P1269"/>
    <mergeCell ref="B1252:P1252"/>
    <mergeCell ref="B1254:P1254"/>
    <mergeCell ref="B1255:P1255"/>
    <mergeCell ref="B1257:P1257"/>
    <mergeCell ref="B1258:P1258"/>
    <mergeCell ref="B1260:P1260"/>
    <mergeCell ref="B1243:P1243"/>
    <mergeCell ref="B1245:P1245"/>
    <mergeCell ref="B1246:P1246"/>
    <mergeCell ref="B1248:P1248"/>
    <mergeCell ref="B1249:P1249"/>
    <mergeCell ref="B1251:P1251"/>
    <mergeCell ref="B1232:P1232"/>
    <mergeCell ref="B1235:P1235"/>
    <mergeCell ref="B1236:P1236"/>
    <mergeCell ref="B1239:P1239"/>
    <mergeCell ref="B1240:P1240"/>
    <mergeCell ref="B1242:P1242"/>
    <mergeCell ref="B1223:P1223"/>
    <mergeCell ref="B1225:P1225"/>
    <mergeCell ref="B1226:P1226"/>
    <mergeCell ref="B1228:P1228"/>
    <mergeCell ref="B1229:P1229"/>
    <mergeCell ref="B1231:P1231"/>
    <mergeCell ref="B1214:P1214"/>
    <mergeCell ref="B1216:P1216"/>
    <mergeCell ref="B1217:P1217"/>
    <mergeCell ref="B1219:P1219"/>
    <mergeCell ref="B1220:P1220"/>
    <mergeCell ref="B1222:P1222"/>
    <mergeCell ref="B1204:P1204"/>
    <mergeCell ref="B1206:P1206"/>
    <mergeCell ref="B1207:P1207"/>
    <mergeCell ref="B1209:P1209"/>
    <mergeCell ref="B1210:P1210"/>
    <mergeCell ref="B1213:P1213"/>
    <mergeCell ref="B1194:P1194"/>
    <mergeCell ref="B1196:P1196"/>
    <mergeCell ref="B1197:P1197"/>
    <mergeCell ref="B1199:P1199"/>
    <mergeCell ref="B1200:P1200"/>
    <mergeCell ref="B1203:P1203"/>
    <mergeCell ref="B1185:P1185"/>
    <mergeCell ref="B1187:P1187"/>
    <mergeCell ref="B1188:P1188"/>
    <mergeCell ref="B1190:P1190"/>
    <mergeCell ref="B1191:P1191"/>
    <mergeCell ref="B1193:P1193"/>
    <mergeCell ref="B1174:P1174"/>
    <mergeCell ref="B1176:P1176"/>
    <mergeCell ref="B1177:P1177"/>
    <mergeCell ref="B1179:P1179"/>
    <mergeCell ref="B1180:P1180"/>
    <mergeCell ref="B1184:P1184"/>
    <mergeCell ref="B1163:P1163"/>
    <mergeCell ref="B1165:P1165"/>
    <mergeCell ref="B1166:P1166"/>
    <mergeCell ref="B1170:P1170"/>
    <mergeCell ref="B1171:P1171"/>
    <mergeCell ref="B1173:P1173"/>
    <mergeCell ref="B1151:P1151"/>
    <mergeCell ref="B1153:P1153"/>
    <mergeCell ref="B1154:P1154"/>
    <mergeCell ref="B1159:P1159"/>
    <mergeCell ref="B1160:P1160"/>
    <mergeCell ref="B1162:P1162"/>
    <mergeCell ref="B1142:P1142"/>
    <mergeCell ref="B1144:P1144"/>
    <mergeCell ref="B1145:P1145"/>
    <mergeCell ref="B1147:P1147"/>
    <mergeCell ref="B1148:P1148"/>
    <mergeCell ref="B1150:P1150"/>
    <mergeCell ref="B1133:P1133"/>
    <mergeCell ref="B1135:P1135"/>
    <mergeCell ref="B1136:P1136"/>
    <mergeCell ref="B1138:P1138"/>
    <mergeCell ref="B1139:P1139"/>
    <mergeCell ref="B1141:P1141"/>
    <mergeCell ref="B1124:P1124"/>
    <mergeCell ref="B1126:P1126"/>
    <mergeCell ref="B1127:P1127"/>
    <mergeCell ref="B1129:P1129"/>
    <mergeCell ref="B1130:P1130"/>
    <mergeCell ref="B1132:P1132"/>
    <mergeCell ref="B1115:P1115"/>
    <mergeCell ref="B1117:P1117"/>
    <mergeCell ref="B1118:P1118"/>
    <mergeCell ref="B1120:P1120"/>
    <mergeCell ref="B1121:P1121"/>
    <mergeCell ref="B1123:P1123"/>
    <mergeCell ref="B1104:P1104"/>
    <mergeCell ref="B1107:P1107"/>
    <mergeCell ref="B1108:P1108"/>
    <mergeCell ref="B1111:P1111"/>
    <mergeCell ref="B1112:P1112"/>
    <mergeCell ref="B1114:P1114"/>
    <mergeCell ref="B1095:P1095"/>
    <mergeCell ref="B1097:P1097"/>
    <mergeCell ref="B1098:P1098"/>
    <mergeCell ref="B1100:P1100"/>
    <mergeCell ref="B1101:P1101"/>
    <mergeCell ref="B1103:P1103"/>
    <mergeCell ref="B1086:P1086"/>
    <mergeCell ref="B1088:P1088"/>
    <mergeCell ref="B1089:P1089"/>
    <mergeCell ref="B1091:P1091"/>
    <mergeCell ref="B1092:P1092"/>
    <mergeCell ref="B1094:P1094"/>
    <mergeCell ref="B1077:P1077"/>
    <mergeCell ref="B1079:P1079"/>
    <mergeCell ref="B1080:P1080"/>
    <mergeCell ref="B1082:P1082"/>
    <mergeCell ref="B1083:P1083"/>
    <mergeCell ref="B1085:P1085"/>
    <mergeCell ref="B1063:P1063"/>
    <mergeCell ref="B1065:P1065"/>
    <mergeCell ref="B1066:P1066"/>
    <mergeCell ref="B1073:P1073"/>
    <mergeCell ref="B1074:P1074"/>
    <mergeCell ref="B1076:P1076"/>
    <mergeCell ref="B1054:P1054"/>
    <mergeCell ref="B1056:P1056"/>
    <mergeCell ref="B1057:P1057"/>
    <mergeCell ref="B1059:P1059"/>
    <mergeCell ref="B1060:P1060"/>
    <mergeCell ref="B1062:P1062"/>
    <mergeCell ref="B1042:P1042"/>
    <mergeCell ref="B1044:P1044"/>
    <mergeCell ref="B1045:P1045"/>
    <mergeCell ref="B1047:P1047"/>
    <mergeCell ref="B1048:P1048"/>
    <mergeCell ref="B1053:P1053"/>
    <mergeCell ref="B1028:P1028"/>
    <mergeCell ref="B1035:P1035"/>
    <mergeCell ref="B1036:P1036"/>
    <mergeCell ref="B1038:P1038"/>
    <mergeCell ref="B1039:P1039"/>
    <mergeCell ref="B1041:P1041"/>
    <mergeCell ref="B1019:P1019"/>
    <mergeCell ref="B1021:P1021"/>
    <mergeCell ref="B1022:P1022"/>
    <mergeCell ref="B1024:P1024"/>
    <mergeCell ref="B1025:P1025"/>
    <mergeCell ref="B1027:P1027"/>
    <mergeCell ref="B1005:P1005"/>
    <mergeCell ref="B1007:P1007"/>
    <mergeCell ref="B1008:P1008"/>
    <mergeCell ref="B1015:P1015"/>
    <mergeCell ref="B1016:P1016"/>
    <mergeCell ref="B1018:P1018"/>
    <mergeCell ref="B996:P996"/>
    <mergeCell ref="B998:P998"/>
    <mergeCell ref="B999:P999"/>
    <mergeCell ref="B1001:P1001"/>
    <mergeCell ref="B1002:P1002"/>
    <mergeCell ref="B1004:P1004"/>
    <mergeCell ref="B983:P983"/>
    <mergeCell ref="B985:P985"/>
    <mergeCell ref="B986:P986"/>
    <mergeCell ref="B989:P989"/>
    <mergeCell ref="B990:P990"/>
    <mergeCell ref="B995:P995"/>
    <mergeCell ref="B974:P974"/>
    <mergeCell ref="B976:P976"/>
    <mergeCell ref="B977:P977"/>
    <mergeCell ref="B979:P979"/>
    <mergeCell ref="B980:P980"/>
    <mergeCell ref="B982:P982"/>
    <mergeCell ref="B965:P965"/>
    <mergeCell ref="B967:P967"/>
    <mergeCell ref="B968:P968"/>
    <mergeCell ref="B970:P970"/>
    <mergeCell ref="B971:P971"/>
    <mergeCell ref="B973:P973"/>
    <mergeCell ref="B956:P956"/>
    <mergeCell ref="B958:P958"/>
    <mergeCell ref="B959:P959"/>
    <mergeCell ref="B961:P961"/>
    <mergeCell ref="B962:P962"/>
    <mergeCell ref="B964:P964"/>
    <mergeCell ref="B947:P947"/>
    <mergeCell ref="B949:P949"/>
    <mergeCell ref="B950:P950"/>
    <mergeCell ref="B952:P952"/>
    <mergeCell ref="B953:P953"/>
    <mergeCell ref="B955:P955"/>
    <mergeCell ref="B938:P938"/>
    <mergeCell ref="B940:P940"/>
    <mergeCell ref="B941:P941"/>
    <mergeCell ref="B943:P943"/>
    <mergeCell ref="B944:P944"/>
    <mergeCell ref="B946:P946"/>
    <mergeCell ref="B929:P929"/>
    <mergeCell ref="B931:P931"/>
    <mergeCell ref="B932:P932"/>
    <mergeCell ref="B934:P934"/>
    <mergeCell ref="B935:P935"/>
    <mergeCell ref="B937:P937"/>
    <mergeCell ref="B918:P918"/>
    <mergeCell ref="B922:P922"/>
    <mergeCell ref="B923:P923"/>
    <mergeCell ref="B925:P925"/>
    <mergeCell ref="B926:P926"/>
    <mergeCell ref="B928:P928"/>
    <mergeCell ref="B908:P908"/>
    <mergeCell ref="B911:P911"/>
    <mergeCell ref="B912:P912"/>
    <mergeCell ref="B914:P914"/>
    <mergeCell ref="B915:P915"/>
    <mergeCell ref="B917:P917"/>
    <mergeCell ref="B899:P899"/>
    <mergeCell ref="B901:P901"/>
    <mergeCell ref="B902:P902"/>
    <mergeCell ref="B904:P904"/>
    <mergeCell ref="B905:P905"/>
    <mergeCell ref="B907:P907"/>
    <mergeCell ref="B890:P890"/>
    <mergeCell ref="B892:P892"/>
    <mergeCell ref="B893:P893"/>
    <mergeCell ref="B895:P895"/>
    <mergeCell ref="B896:P896"/>
    <mergeCell ref="B898:P898"/>
    <mergeCell ref="B879:P879"/>
    <mergeCell ref="B881:P881"/>
    <mergeCell ref="B882:P882"/>
    <mergeCell ref="B885:P885"/>
    <mergeCell ref="B886:P886"/>
    <mergeCell ref="B889:P889"/>
    <mergeCell ref="B868:P868"/>
    <mergeCell ref="B872:P872"/>
    <mergeCell ref="B873:P873"/>
    <mergeCell ref="B875:P875"/>
    <mergeCell ref="B876:P876"/>
    <mergeCell ref="B878:P878"/>
    <mergeCell ref="B858:P858"/>
    <mergeCell ref="B860:P860"/>
    <mergeCell ref="B861:P861"/>
    <mergeCell ref="B864:P864"/>
    <mergeCell ref="B865:P865"/>
    <mergeCell ref="B867:P867"/>
    <mergeCell ref="B849:P849"/>
    <mergeCell ref="B851:P851"/>
    <mergeCell ref="B852:P852"/>
    <mergeCell ref="B854:P854"/>
    <mergeCell ref="B855:P855"/>
    <mergeCell ref="B857:P857"/>
    <mergeCell ref="B840:P840"/>
    <mergeCell ref="B842:P842"/>
    <mergeCell ref="B843:P843"/>
    <mergeCell ref="B845:P845"/>
    <mergeCell ref="B846:P846"/>
    <mergeCell ref="B848:P848"/>
    <mergeCell ref="B831:P831"/>
    <mergeCell ref="B833:P833"/>
    <mergeCell ref="B834:P834"/>
    <mergeCell ref="B836:P836"/>
    <mergeCell ref="B837:P837"/>
    <mergeCell ref="B839:P839"/>
    <mergeCell ref="B820:P820"/>
    <mergeCell ref="B822:P822"/>
    <mergeCell ref="B823:P823"/>
    <mergeCell ref="B825:P825"/>
    <mergeCell ref="B826:P826"/>
    <mergeCell ref="B830:P830"/>
    <mergeCell ref="B810:P810"/>
    <mergeCell ref="B812:P812"/>
    <mergeCell ref="B813:P813"/>
    <mergeCell ref="B816:P816"/>
    <mergeCell ref="B817:P817"/>
    <mergeCell ref="B819:P819"/>
    <mergeCell ref="B801:P801"/>
    <mergeCell ref="B803:P803"/>
    <mergeCell ref="B804:P804"/>
    <mergeCell ref="B806:P806"/>
    <mergeCell ref="B807:P807"/>
    <mergeCell ref="B809:P809"/>
    <mergeCell ref="B791:P791"/>
    <mergeCell ref="B794:P794"/>
    <mergeCell ref="B795:P795"/>
    <mergeCell ref="B797:P797"/>
    <mergeCell ref="B798:P798"/>
    <mergeCell ref="B800:P800"/>
    <mergeCell ref="B782:P782"/>
    <mergeCell ref="B784:P784"/>
    <mergeCell ref="B785:P785"/>
    <mergeCell ref="B787:P787"/>
    <mergeCell ref="B788:P788"/>
    <mergeCell ref="B790:P790"/>
    <mergeCell ref="B773:P773"/>
    <mergeCell ref="B775:P775"/>
    <mergeCell ref="B776:P776"/>
    <mergeCell ref="B778:P778"/>
    <mergeCell ref="B779:P779"/>
    <mergeCell ref="B781:P781"/>
    <mergeCell ref="B764:P764"/>
    <mergeCell ref="B766:P766"/>
    <mergeCell ref="B767:P767"/>
    <mergeCell ref="B769:P769"/>
    <mergeCell ref="B770:P770"/>
    <mergeCell ref="B772:P772"/>
    <mergeCell ref="B755:P755"/>
    <mergeCell ref="B757:P757"/>
    <mergeCell ref="B758:P758"/>
    <mergeCell ref="B760:P760"/>
    <mergeCell ref="B761:P761"/>
    <mergeCell ref="B763:P763"/>
    <mergeCell ref="B746:P746"/>
    <mergeCell ref="B748:P748"/>
    <mergeCell ref="B749:P749"/>
    <mergeCell ref="B751:P751"/>
    <mergeCell ref="B752:P752"/>
    <mergeCell ref="B754:P754"/>
    <mergeCell ref="B735:P735"/>
    <mergeCell ref="B739:P739"/>
    <mergeCell ref="B740:P740"/>
    <mergeCell ref="B742:P742"/>
    <mergeCell ref="B743:P743"/>
    <mergeCell ref="B745:P745"/>
    <mergeCell ref="B726:P726"/>
    <mergeCell ref="B728:P728"/>
    <mergeCell ref="B729:P729"/>
    <mergeCell ref="B731:P731"/>
    <mergeCell ref="B732:P732"/>
    <mergeCell ref="B734:P734"/>
    <mergeCell ref="B717:P717"/>
    <mergeCell ref="B719:P719"/>
    <mergeCell ref="B720:P720"/>
    <mergeCell ref="B722:P722"/>
    <mergeCell ref="B723:P723"/>
    <mergeCell ref="B725:P725"/>
    <mergeCell ref="B708:P708"/>
    <mergeCell ref="B710:P710"/>
    <mergeCell ref="B711:P711"/>
    <mergeCell ref="B713:P713"/>
    <mergeCell ref="B714:P714"/>
    <mergeCell ref="B716:P716"/>
    <mergeCell ref="B698:P698"/>
    <mergeCell ref="B701:P701"/>
    <mergeCell ref="B702:P702"/>
    <mergeCell ref="B704:P704"/>
    <mergeCell ref="B705:P705"/>
    <mergeCell ref="B707:P707"/>
    <mergeCell ref="B687:P687"/>
    <mergeCell ref="B690:P690"/>
    <mergeCell ref="B691:P691"/>
    <mergeCell ref="B694:P694"/>
    <mergeCell ref="B695:P695"/>
    <mergeCell ref="B697:P697"/>
    <mergeCell ref="B673:P673"/>
    <mergeCell ref="B675:P675"/>
    <mergeCell ref="B676:P676"/>
    <mergeCell ref="B678:P678"/>
    <mergeCell ref="B679:P679"/>
    <mergeCell ref="B686:P686"/>
    <mergeCell ref="B662:P662"/>
    <mergeCell ref="B666:P666"/>
    <mergeCell ref="B667:P667"/>
    <mergeCell ref="B669:P669"/>
    <mergeCell ref="B670:P670"/>
    <mergeCell ref="B672:P672"/>
    <mergeCell ref="B650:P650"/>
    <mergeCell ref="B652:P652"/>
    <mergeCell ref="B653:P653"/>
    <mergeCell ref="B657:P657"/>
    <mergeCell ref="B658:P658"/>
    <mergeCell ref="B661:P661"/>
    <mergeCell ref="B641:P641"/>
    <mergeCell ref="B643:P643"/>
    <mergeCell ref="B644:P644"/>
    <mergeCell ref="B646:P646"/>
    <mergeCell ref="B647:P647"/>
    <mergeCell ref="B649:P649"/>
    <mergeCell ref="B631:P631"/>
    <mergeCell ref="B633:P633"/>
    <mergeCell ref="B634:P634"/>
    <mergeCell ref="B636:P636"/>
    <mergeCell ref="B637:P637"/>
    <mergeCell ref="B640:P640"/>
    <mergeCell ref="B622:P622"/>
    <mergeCell ref="B624:P624"/>
    <mergeCell ref="B625:P625"/>
    <mergeCell ref="B627:P627"/>
    <mergeCell ref="B628:P628"/>
    <mergeCell ref="B630:P630"/>
    <mergeCell ref="B613:P613"/>
    <mergeCell ref="B615:P615"/>
    <mergeCell ref="B616:P616"/>
    <mergeCell ref="B618:P618"/>
    <mergeCell ref="B619:P619"/>
    <mergeCell ref="B621:P621"/>
    <mergeCell ref="B604:P604"/>
    <mergeCell ref="B606:P606"/>
    <mergeCell ref="B607:P607"/>
    <mergeCell ref="B609:P609"/>
    <mergeCell ref="B610:P610"/>
    <mergeCell ref="B612:P612"/>
    <mergeCell ref="B595:P595"/>
    <mergeCell ref="B597:P597"/>
    <mergeCell ref="B598:P598"/>
    <mergeCell ref="B600:P600"/>
    <mergeCell ref="B601:P601"/>
    <mergeCell ref="B603:P603"/>
    <mergeCell ref="B582:P582"/>
    <mergeCell ref="B584:P584"/>
    <mergeCell ref="B585:P585"/>
    <mergeCell ref="B587:P587"/>
    <mergeCell ref="B588:P588"/>
    <mergeCell ref="B594:P594"/>
    <mergeCell ref="B571:P571"/>
    <mergeCell ref="B575:P575"/>
    <mergeCell ref="B576:P576"/>
    <mergeCell ref="B578:P578"/>
    <mergeCell ref="B579:P579"/>
    <mergeCell ref="B581:P581"/>
    <mergeCell ref="B562:P562"/>
    <mergeCell ref="B564:P564"/>
    <mergeCell ref="B565:P565"/>
    <mergeCell ref="B567:P567"/>
    <mergeCell ref="B568:P568"/>
    <mergeCell ref="B570:P570"/>
    <mergeCell ref="B552:P552"/>
    <mergeCell ref="B554:P554"/>
    <mergeCell ref="B555:P555"/>
    <mergeCell ref="B558:P558"/>
    <mergeCell ref="B559:P559"/>
    <mergeCell ref="B561:P561"/>
    <mergeCell ref="B543:P543"/>
    <mergeCell ref="B545:P545"/>
    <mergeCell ref="B546:P546"/>
    <mergeCell ref="B548:P548"/>
    <mergeCell ref="B549:P549"/>
    <mergeCell ref="B551:P551"/>
    <mergeCell ref="B534:P534"/>
    <mergeCell ref="B536:P536"/>
    <mergeCell ref="B537:P537"/>
    <mergeCell ref="B539:P539"/>
    <mergeCell ref="B540:P540"/>
    <mergeCell ref="B542:P542"/>
    <mergeCell ref="B525:P525"/>
    <mergeCell ref="B527:P527"/>
    <mergeCell ref="B528:P528"/>
    <mergeCell ref="B530:P530"/>
    <mergeCell ref="B531:P531"/>
    <mergeCell ref="B533:P533"/>
    <mergeCell ref="B514:P514"/>
    <mergeCell ref="B518:P518"/>
    <mergeCell ref="B519:P519"/>
    <mergeCell ref="B521:P521"/>
    <mergeCell ref="B522:P522"/>
    <mergeCell ref="B524:P524"/>
    <mergeCell ref="B505:P505"/>
    <mergeCell ref="B507:P507"/>
    <mergeCell ref="B508:P508"/>
    <mergeCell ref="B510:P510"/>
    <mergeCell ref="B511:P511"/>
    <mergeCell ref="B513:P513"/>
    <mergeCell ref="B496:P496"/>
    <mergeCell ref="B498:P498"/>
    <mergeCell ref="B499:P499"/>
    <mergeCell ref="B501:P501"/>
    <mergeCell ref="B502:P502"/>
    <mergeCell ref="B504:P504"/>
    <mergeCell ref="B487:P487"/>
    <mergeCell ref="B489:P489"/>
    <mergeCell ref="B490:P490"/>
    <mergeCell ref="B492:P492"/>
    <mergeCell ref="B493:P493"/>
    <mergeCell ref="B495:P495"/>
    <mergeCell ref="B478:P478"/>
    <mergeCell ref="B480:P480"/>
    <mergeCell ref="B481:P481"/>
    <mergeCell ref="B483:P483"/>
    <mergeCell ref="B484:P484"/>
    <mergeCell ref="B486:P486"/>
    <mergeCell ref="B469:P469"/>
    <mergeCell ref="B471:P471"/>
    <mergeCell ref="B472:P472"/>
    <mergeCell ref="B474:P474"/>
    <mergeCell ref="B475:P475"/>
    <mergeCell ref="B477:P477"/>
    <mergeCell ref="B448:P448"/>
    <mergeCell ref="B460:P460"/>
    <mergeCell ref="B461:P461"/>
    <mergeCell ref="B465:P465"/>
    <mergeCell ref="B466:P466"/>
    <mergeCell ref="B468:P468"/>
    <mergeCell ref="B437:P437"/>
    <mergeCell ref="B439:P439"/>
    <mergeCell ref="B440:P440"/>
    <mergeCell ref="B444:P444"/>
    <mergeCell ref="B445:P445"/>
    <mergeCell ref="B447:P447"/>
    <mergeCell ref="B428:P428"/>
    <mergeCell ref="B430:P430"/>
    <mergeCell ref="B431:P431"/>
    <mergeCell ref="B433:P433"/>
    <mergeCell ref="B434:P434"/>
    <mergeCell ref="B436:P436"/>
    <mergeCell ref="B419:P419"/>
    <mergeCell ref="B421:P421"/>
    <mergeCell ref="B422:P422"/>
    <mergeCell ref="B424:P424"/>
    <mergeCell ref="B425:P425"/>
    <mergeCell ref="B427:P427"/>
    <mergeCell ref="B410:P410"/>
    <mergeCell ref="B412:P412"/>
    <mergeCell ref="B413:P413"/>
    <mergeCell ref="B415:P415"/>
    <mergeCell ref="B416:P416"/>
    <mergeCell ref="B418:P418"/>
    <mergeCell ref="B401:P401"/>
    <mergeCell ref="B403:P403"/>
    <mergeCell ref="B404:P404"/>
    <mergeCell ref="B406:P406"/>
    <mergeCell ref="B407:P407"/>
    <mergeCell ref="B409:P409"/>
    <mergeCell ref="B392:P392"/>
    <mergeCell ref="B394:P394"/>
    <mergeCell ref="B395:P395"/>
    <mergeCell ref="B397:P397"/>
    <mergeCell ref="B398:P398"/>
    <mergeCell ref="B400:P400"/>
    <mergeCell ref="B383:P383"/>
    <mergeCell ref="B385:P385"/>
    <mergeCell ref="B386:P386"/>
    <mergeCell ref="B388:P388"/>
    <mergeCell ref="B389:P389"/>
    <mergeCell ref="B391:P391"/>
    <mergeCell ref="B374:P374"/>
    <mergeCell ref="B376:P376"/>
    <mergeCell ref="B377:P377"/>
    <mergeCell ref="B379:P379"/>
    <mergeCell ref="B380:P380"/>
    <mergeCell ref="B382:P382"/>
    <mergeCell ref="B364:P364"/>
    <mergeCell ref="B366:P366"/>
    <mergeCell ref="B367:P367"/>
    <mergeCell ref="B370:P370"/>
    <mergeCell ref="B371:P371"/>
    <mergeCell ref="B373:P373"/>
    <mergeCell ref="B354:P354"/>
    <mergeCell ref="B356:P356"/>
    <mergeCell ref="B357:P357"/>
    <mergeCell ref="B359:P359"/>
    <mergeCell ref="B360:P360"/>
    <mergeCell ref="B363:P363"/>
    <mergeCell ref="B345:P345"/>
    <mergeCell ref="B347:P347"/>
    <mergeCell ref="B348:P348"/>
    <mergeCell ref="B350:P350"/>
    <mergeCell ref="B351:P351"/>
    <mergeCell ref="B353:P353"/>
    <mergeCell ref="B336:P336"/>
    <mergeCell ref="B338:P338"/>
    <mergeCell ref="B339:P339"/>
    <mergeCell ref="B341:P341"/>
    <mergeCell ref="B342:P342"/>
    <mergeCell ref="B344:P344"/>
    <mergeCell ref="B327:P327"/>
    <mergeCell ref="B329:P329"/>
    <mergeCell ref="B330:P330"/>
    <mergeCell ref="B332:P332"/>
    <mergeCell ref="B333:P333"/>
    <mergeCell ref="B335:P335"/>
    <mergeCell ref="B318:P318"/>
    <mergeCell ref="B320:P320"/>
    <mergeCell ref="B321:P321"/>
    <mergeCell ref="B323:P323"/>
    <mergeCell ref="B324:P324"/>
    <mergeCell ref="B326:P326"/>
    <mergeCell ref="B309:P309"/>
    <mergeCell ref="B311:P311"/>
    <mergeCell ref="B312:P312"/>
    <mergeCell ref="B314:P314"/>
    <mergeCell ref="B315:P315"/>
    <mergeCell ref="B317:P317"/>
    <mergeCell ref="B300:P300"/>
    <mergeCell ref="B302:P302"/>
    <mergeCell ref="B303:P303"/>
    <mergeCell ref="B305:P305"/>
    <mergeCell ref="B306:P306"/>
    <mergeCell ref="B308:P308"/>
    <mergeCell ref="B291:P291"/>
    <mergeCell ref="B293:P293"/>
    <mergeCell ref="B294:P294"/>
    <mergeCell ref="B296:P296"/>
    <mergeCell ref="B297:P297"/>
    <mergeCell ref="B299:P299"/>
    <mergeCell ref="B281:P281"/>
    <mergeCell ref="B284:P284"/>
    <mergeCell ref="B285:P285"/>
    <mergeCell ref="B287:P287"/>
    <mergeCell ref="B288:P288"/>
    <mergeCell ref="B290:P290"/>
    <mergeCell ref="B271:P271"/>
    <mergeCell ref="B273:P273"/>
    <mergeCell ref="B274:P274"/>
    <mergeCell ref="B277:P277"/>
    <mergeCell ref="B278:P278"/>
    <mergeCell ref="B280:P280"/>
    <mergeCell ref="B262:P262"/>
    <mergeCell ref="B264:P264"/>
    <mergeCell ref="B265:P265"/>
    <mergeCell ref="B267:P267"/>
    <mergeCell ref="B268:P268"/>
    <mergeCell ref="B270:P270"/>
    <mergeCell ref="B251:P251"/>
    <mergeCell ref="B255:P255"/>
    <mergeCell ref="B256:P256"/>
    <mergeCell ref="B258:P258"/>
    <mergeCell ref="B259:P259"/>
    <mergeCell ref="B261:P261"/>
    <mergeCell ref="B241:P241"/>
    <mergeCell ref="B243:P243"/>
    <mergeCell ref="B244:P244"/>
    <mergeCell ref="B247:P247"/>
    <mergeCell ref="B248:P248"/>
    <mergeCell ref="B250:P250"/>
    <mergeCell ref="B231:P231"/>
    <mergeCell ref="B233:P233"/>
    <mergeCell ref="B234:P234"/>
    <mergeCell ref="B236:P236"/>
    <mergeCell ref="B237:P237"/>
    <mergeCell ref="B240:P240"/>
    <mergeCell ref="B222:P222"/>
    <mergeCell ref="B224:P224"/>
    <mergeCell ref="B225:P225"/>
    <mergeCell ref="B227:P227"/>
    <mergeCell ref="B228:P228"/>
    <mergeCell ref="B230:P230"/>
    <mergeCell ref="B213:P213"/>
    <mergeCell ref="B215:P215"/>
    <mergeCell ref="B216:P216"/>
    <mergeCell ref="B218:P218"/>
    <mergeCell ref="B219:P219"/>
    <mergeCell ref="B221:P221"/>
    <mergeCell ref="B204:P204"/>
    <mergeCell ref="B206:P206"/>
    <mergeCell ref="B207:P207"/>
    <mergeCell ref="B209:P209"/>
    <mergeCell ref="B210:P210"/>
    <mergeCell ref="B212:P212"/>
    <mergeCell ref="B193:P193"/>
    <mergeCell ref="B197:P197"/>
    <mergeCell ref="B198:P198"/>
    <mergeCell ref="B200:P200"/>
    <mergeCell ref="B201:P201"/>
    <mergeCell ref="B203:P203"/>
    <mergeCell ref="B184:P184"/>
    <mergeCell ref="B186:P186"/>
    <mergeCell ref="B187:P187"/>
    <mergeCell ref="B189:P189"/>
    <mergeCell ref="B190:P190"/>
    <mergeCell ref="B192:P192"/>
    <mergeCell ref="B175:P175"/>
    <mergeCell ref="B177:P177"/>
    <mergeCell ref="B178:P178"/>
    <mergeCell ref="B180:P180"/>
    <mergeCell ref="B181:P181"/>
    <mergeCell ref="B183:P183"/>
    <mergeCell ref="B164:P164"/>
    <mergeCell ref="B166:P166"/>
    <mergeCell ref="B167:P167"/>
    <mergeCell ref="B169:P169"/>
    <mergeCell ref="B170:P170"/>
    <mergeCell ref="B174:P174"/>
    <mergeCell ref="B155:P155"/>
    <mergeCell ref="B157:P157"/>
    <mergeCell ref="B158:P158"/>
    <mergeCell ref="B160:P160"/>
    <mergeCell ref="B161:P161"/>
    <mergeCell ref="B163:P163"/>
    <mergeCell ref="B146:P146"/>
    <mergeCell ref="B148:P148"/>
    <mergeCell ref="B149:P149"/>
    <mergeCell ref="B151:P151"/>
    <mergeCell ref="B152:P152"/>
    <mergeCell ref="B154:P154"/>
    <mergeCell ref="B28:P28"/>
    <mergeCell ref="B54:P54"/>
    <mergeCell ref="B55:P55"/>
    <mergeCell ref="B59:P59"/>
    <mergeCell ref="B60:P60"/>
    <mergeCell ref="B145:P145"/>
    <mergeCell ref="B5:P5"/>
    <mergeCell ref="B18:P18"/>
    <mergeCell ref="B19:P19"/>
    <mergeCell ref="B21:P21"/>
    <mergeCell ref="B22:P22"/>
    <mergeCell ref="B27:P27"/>
  </mergeCells>
  <hyperlinks>
    <hyperlink ref="C6" r:id="rId1" xr:uid="{8AE5CE9B-F074-4C63-8D06-2AA080802BC3}"/>
    <hyperlink ref="C7" r:id="rId2" xr:uid="{090D1A5F-E61D-4D8F-8B87-B8AAE701F4FB}"/>
    <hyperlink ref="C8" r:id="rId3" xr:uid="{CAF75C04-8FFD-4F72-BFDC-123992F00019}"/>
    <hyperlink ref="C9" r:id="rId4" xr:uid="{2A31E992-92B9-4B1E-B834-DE71895B2D77}"/>
    <hyperlink ref="C10" r:id="rId5" xr:uid="{7362D687-C629-4043-8B0D-75653E99CC18}"/>
    <hyperlink ref="C11" r:id="rId6" xr:uid="{E61EE81E-E697-4905-91AA-889F38FC3CC8}"/>
    <hyperlink ref="C12" r:id="rId7" xr:uid="{EF49F4D5-0DEB-42EA-95ED-BDFA84DBADC3}"/>
    <hyperlink ref="C13" r:id="rId8" xr:uid="{978ED387-417D-4F81-B822-3906A11E1692}"/>
    <hyperlink ref="C14" r:id="rId9" xr:uid="{4B7690F1-B23F-4E7A-9DD7-7FAF33112BEC}"/>
    <hyperlink ref="C15" r:id="rId10" xr:uid="{E9231D37-DB17-4FE4-9AEC-1265A8F5F268}"/>
    <hyperlink ref="C16" r:id="rId11" xr:uid="{F99BC778-1A2E-4227-9615-6A114A0555F4}"/>
    <hyperlink ref="C17" r:id="rId12" xr:uid="{C01758E8-7CC8-4B5D-B240-CDB2E5F4E8CB}"/>
    <hyperlink ref="C20" r:id="rId13" xr:uid="{809BB620-4484-4179-9802-C6056C3A12CA}"/>
    <hyperlink ref="C23" r:id="rId14" xr:uid="{ABA58E51-F9FD-46EE-9DE4-DE3792AC53AF}"/>
    <hyperlink ref="C24" r:id="rId15" xr:uid="{F9FBBDBC-121F-4BAB-BC44-2F9599942C01}"/>
    <hyperlink ref="C25" r:id="rId16" xr:uid="{77100FC9-13F6-461A-98FC-BF6BB94384E2}"/>
    <hyperlink ref="C26" r:id="rId17" xr:uid="{EA321D63-409B-43F4-926E-0B055C46CBB2}"/>
    <hyperlink ref="C29" r:id="rId18" xr:uid="{FD3DE1D3-9EE6-4433-881A-A159AF335C5E}"/>
    <hyperlink ref="C30" r:id="rId19" xr:uid="{631A3304-B583-4B8B-A7C7-9158CD86215B}"/>
    <hyperlink ref="C31" r:id="rId20" xr:uid="{C327CB02-F459-4E86-B539-1FADC78C5D1E}"/>
    <hyperlink ref="C32" r:id="rId21" xr:uid="{E4F8E3BA-B16A-4F53-A160-25DC77E5005C}"/>
    <hyperlink ref="C33" r:id="rId22" xr:uid="{6CD5AE19-666D-444C-B71B-0275D0F65CAB}"/>
    <hyperlink ref="C34" r:id="rId23" xr:uid="{E62A3842-0601-4CCA-A373-0602A4312076}"/>
    <hyperlink ref="C35" r:id="rId24" xr:uid="{7FC49213-7A53-4155-AEF6-49E496A32776}"/>
    <hyperlink ref="C36" r:id="rId25" xr:uid="{B36A10B0-9926-47DB-9E1C-B6CC45E90269}"/>
    <hyperlink ref="C37" r:id="rId26" xr:uid="{2DCF7D9C-5CB9-4C0F-B673-CC423B9E34C6}"/>
    <hyperlink ref="C38" r:id="rId27" xr:uid="{0B41C553-9528-4F80-BD2A-269B1366F446}"/>
    <hyperlink ref="C39" r:id="rId28" xr:uid="{102D10FB-315E-4D63-AECF-5DCDF7700EBD}"/>
    <hyperlink ref="C40" r:id="rId29" xr:uid="{63B093C8-6AC8-46D4-9BF0-832C250247D7}"/>
    <hyperlink ref="C41" r:id="rId30" xr:uid="{695DDDF6-E85A-4A96-878D-EF5DB965BCE5}"/>
    <hyperlink ref="C42" r:id="rId31" xr:uid="{1B9FB44D-DD97-4A28-8CB9-3C7CCFBCF1D6}"/>
    <hyperlink ref="C43" r:id="rId32" xr:uid="{EDEE9916-1EAC-4CF2-B6AC-E5EF0709A6D2}"/>
    <hyperlink ref="C44" r:id="rId33" xr:uid="{9CCF2DD7-2A2C-4013-B4B0-5CF4AD09F2E4}"/>
    <hyperlink ref="C45" r:id="rId34" xr:uid="{070C6395-E14D-4B20-B5FC-7A94CFD065D7}"/>
    <hyperlink ref="C46" r:id="rId35" xr:uid="{F571C989-C57F-4792-9615-8B3FFAFDA0AA}"/>
    <hyperlink ref="C47" r:id="rId36" xr:uid="{DC6CF794-4F7B-45D2-8CEF-FD3300BA4015}"/>
    <hyperlink ref="C48" r:id="rId37" xr:uid="{AB9B4AEB-9953-468B-A7DE-12F445DB841C}"/>
    <hyperlink ref="C49" r:id="rId38" xr:uid="{1AAD8ADF-C1FD-41E9-AA98-122C0F841CEA}"/>
    <hyperlink ref="C50" r:id="rId39" xr:uid="{FA0F7D4F-7504-4D45-B386-6B4A43F70BFF}"/>
    <hyperlink ref="C51" r:id="rId40" xr:uid="{B0668EB7-2B91-4E8F-8CCF-79D3E28E5B12}"/>
    <hyperlink ref="C52" r:id="rId41" xr:uid="{DC074703-D12D-4E87-87B9-54245115EDAF}"/>
    <hyperlink ref="C53" r:id="rId42" xr:uid="{B1417E0B-69E2-46DA-A96B-3B97321C049B}"/>
    <hyperlink ref="C56" r:id="rId43" xr:uid="{EA3E1E5C-7B68-4370-B1AB-54587698A9BD}"/>
    <hyperlink ref="C57" r:id="rId44" xr:uid="{C480DA55-8D03-48C6-9C87-ED49D23110F3}"/>
    <hyperlink ref="C58" r:id="rId45" xr:uid="{C3F6D8AC-D250-481A-ADB9-AA1F094E184A}"/>
    <hyperlink ref="C61" r:id="rId46" xr:uid="{65D28B4B-394C-4E10-A4CE-0CE4837B07FA}"/>
    <hyperlink ref="C62" r:id="rId47" xr:uid="{6B7F6446-47FD-429E-A773-DAAB0BF584B3}"/>
    <hyperlink ref="C63" r:id="rId48" xr:uid="{3021FFF6-0F84-43E0-8CFD-82A1BD1875DF}"/>
    <hyperlink ref="C64" r:id="rId49" xr:uid="{81DE586A-0EEC-4108-8D36-965CF6FC999A}"/>
    <hyperlink ref="C65" r:id="rId50" xr:uid="{DB25A162-5DFF-4434-9223-AE2A1DDBD7FF}"/>
    <hyperlink ref="C66" r:id="rId51" xr:uid="{009904CF-5A7F-4A0C-AF27-4A44B5119977}"/>
    <hyperlink ref="C67" r:id="rId52" xr:uid="{315CDFE9-E58A-453D-B05B-19B11E6E9C4A}"/>
    <hyperlink ref="C68" r:id="rId53" xr:uid="{8CABA962-2383-480C-82AB-008527B56F93}"/>
    <hyperlink ref="C69" r:id="rId54" xr:uid="{4A5C4483-3F20-4C8A-9F1F-B598F841E118}"/>
    <hyperlink ref="C70" r:id="rId55" xr:uid="{7F022578-4C7D-4CA4-821A-9651EB309B06}"/>
    <hyperlink ref="C71" r:id="rId56" xr:uid="{3897E7B3-281B-45BF-98E2-DD302D134601}"/>
    <hyperlink ref="C72" r:id="rId57" xr:uid="{DAA6BF65-0731-476E-849F-BC62C9844AD5}"/>
    <hyperlink ref="C73" r:id="rId58" xr:uid="{35BA2477-52BC-42B5-8449-6D7BE4443232}"/>
    <hyperlink ref="C74" r:id="rId59" xr:uid="{DCB9934B-3218-4084-AC38-5AF0278716AD}"/>
    <hyperlink ref="C75" r:id="rId60" xr:uid="{7BAEAE78-BE26-47BB-B32F-05E440F254A6}"/>
    <hyperlink ref="C76" r:id="rId61" xr:uid="{26733B08-5125-4444-B6E8-C1C5F8EAC8F7}"/>
    <hyperlink ref="C77" r:id="rId62" xr:uid="{AE47C85C-E48C-46A8-B639-467E711383D0}"/>
    <hyperlink ref="C78" r:id="rId63" xr:uid="{1E7E9832-4256-4978-BC9A-397571B95162}"/>
    <hyperlink ref="C79" r:id="rId64" xr:uid="{BF226333-5300-4436-8F72-938D9F1B8CAE}"/>
    <hyperlink ref="C80" r:id="rId65" xr:uid="{17AC4BD9-9821-4F83-AEC1-D82EE6E9CE45}"/>
    <hyperlink ref="C81" r:id="rId66" xr:uid="{551B1A2D-1C0B-413B-8D1F-978B23C39A93}"/>
    <hyperlink ref="C82" r:id="rId67" xr:uid="{A7C9803C-33BF-46DA-B730-75894DA35CE3}"/>
    <hyperlink ref="C83" r:id="rId68" xr:uid="{F09A4E78-BF68-458A-B458-D129BB13E7EB}"/>
    <hyperlink ref="C84" r:id="rId69" xr:uid="{B4F0817E-F982-4D51-84CD-B34A001A35B1}"/>
    <hyperlink ref="C85" r:id="rId70" xr:uid="{EEAC1820-77CC-413F-88E2-9E13FCB7EEC2}"/>
    <hyperlink ref="C86" r:id="rId71" xr:uid="{9BF8F536-7C3A-4B83-A7C7-DC046FA3E073}"/>
    <hyperlink ref="C87" r:id="rId72" xr:uid="{1A05B00E-9C84-4995-B49C-4231E9C67318}"/>
    <hyperlink ref="C88" r:id="rId73" xr:uid="{7BC2239D-F7E0-45C7-8D37-D5AF8C22F16A}"/>
    <hyperlink ref="C89" r:id="rId74" xr:uid="{7CC1FE64-D1F2-4BB8-B66E-6451938ADD8C}"/>
    <hyperlink ref="C90" r:id="rId75" xr:uid="{1C4C390F-087D-4F8C-8DBA-FC772285EE85}"/>
    <hyperlink ref="C91" r:id="rId76" xr:uid="{CE883794-BA79-4822-9DF4-2D752C841B83}"/>
    <hyperlink ref="C92" r:id="rId77" xr:uid="{9AC52B65-9FB3-43C1-A68E-199E105DC5F2}"/>
    <hyperlink ref="C93" r:id="rId78" xr:uid="{188648E3-573D-41BA-A66F-EA65BEDC5FAF}"/>
    <hyperlink ref="C94" r:id="rId79" xr:uid="{75A2F682-C901-4A67-B985-DF1D5A0EDD2F}"/>
    <hyperlink ref="C95" r:id="rId80" xr:uid="{96BD0746-529A-4ECA-AA8F-3F567878752A}"/>
    <hyperlink ref="C96" r:id="rId81" xr:uid="{666108D9-FCD7-42AF-A300-6E63ED7AD6D5}"/>
    <hyperlink ref="C97" r:id="rId82" xr:uid="{73657617-6C9B-4042-9510-77484102C49B}"/>
    <hyperlink ref="C98" r:id="rId83" xr:uid="{9A66B7F2-EAE2-4E6F-881A-C0589C6E90F2}"/>
    <hyperlink ref="C99" r:id="rId84" xr:uid="{F65E31B3-32E2-460B-AC62-3F038CD0DD7D}"/>
    <hyperlink ref="C100" r:id="rId85" xr:uid="{C4D748E0-EFE0-430A-86DF-92B423183A0D}"/>
    <hyperlink ref="C101" r:id="rId86" xr:uid="{346FE7A8-77B5-4D4E-AC85-473A7CB99B50}"/>
    <hyperlink ref="C102" r:id="rId87" xr:uid="{ECD64F6B-F060-4E74-9BE0-BC3217ED74E2}"/>
    <hyperlink ref="C103" r:id="rId88" xr:uid="{CC19D5D1-BD87-4096-8F5A-C1B7AAA0B2F4}"/>
    <hyperlink ref="C104" r:id="rId89" xr:uid="{5EFCEAF4-F5A6-44F9-B723-6A26ADF8942E}"/>
    <hyperlink ref="C105" r:id="rId90" xr:uid="{0F55FA8B-0E7F-41D9-9848-6BA48F577184}"/>
    <hyperlink ref="C106" r:id="rId91" xr:uid="{C72606CA-B6AF-493E-B88F-EBBAC6206006}"/>
    <hyperlink ref="C107" r:id="rId92" xr:uid="{AA51FE41-32BF-44A8-910E-1378760DD029}"/>
    <hyperlink ref="C108" r:id="rId93" xr:uid="{96DE2D9B-9758-438D-8006-D811E2ACBF99}"/>
    <hyperlink ref="C109" r:id="rId94" xr:uid="{7B527522-E00A-400B-B183-9FAC6A9F1BED}"/>
    <hyperlink ref="C110" r:id="rId95" xr:uid="{B866C903-30CC-456E-A3DF-6055213DBF4F}"/>
    <hyperlink ref="C111" r:id="rId96" xr:uid="{F301C031-4375-4A36-8A85-271C000832E7}"/>
    <hyperlink ref="C112" r:id="rId97" xr:uid="{9B2E904B-28D3-48C7-B967-2DEE95D9AFA7}"/>
    <hyperlink ref="C113" r:id="rId98" xr:uid="{1266CC19-3F31-43ED-8304-B11551160CA1}"/>
    <hyperlink ref="C114" r:id="rId99" xr:uid="{5B306E16-039D-4121-B7F5-933372A7640F}"/>
    <hyperlink ref="C115" r:id="rId100" xr:uid="{FF058E8F-F8BD-44D0-9A3F-28185ED413E0}"/>
    <hyperlink ref="C116" r:id="rId101" xr:uid="{C62DF1D8-087A-4FDF-91CA-A2700BC63674}"/>
    <hyperlink ref="C117" r:id="rId102" xr:uid="{0B50561F-0A12-4949-B89B-B1AA19EF3B17}"/>
    <hyperlink ref="C118" r:id="rId103" xr:uid="{C2A105C6-84FD-4E64-B66E-BD284F1443A3}"/>
    <hyperlink ref="C119" r:id="rId104" xr:uid="{389F5CB0-09F8-46D2-84C3-25403616B014}"/>
    <hyperlink ref="C120" r:id="rId105" xr:uid="{C3EF5C6E-C015-4065-9DAD-9B6CD5DE518E}"/>
    <hyperlink ref="C121" r:id="rId106" xr:uid="{AC098E1D-4015-4061-A04E-18508D4090B5}"/>
    <hyperlink ref="C122" r:id="rId107" xr:uid="{DF2E4CB4-00A8-4DAC-9652-9AACF75A49EA}"/>
    <hyperlink ref="C123" r:id="rId108" xr:uid="{A44B1D3C-F1CA-4D49-946D-4711AC50078F}"/>
    <hyperlink ref="C124" r:id="rId109" xr:uid="{2EB31796-93E9-4FA6-993E-55DDE9CF8CD0}"/>
    <hyperlink ref="C125" r:id="rId110" xr:uid="{3569D0FC-779F-4943-A4FE-423A82D51F0D}"/>
    <hyperlink ref="C126" r:id="rId111" xr:uid="{7EAC2CC5-EDE6-4DDD-9FC3-368877FFB584}"/>
    <hyperlink ref="C127" r:id="rId112" xr:uid="{1CC8CFEE-3011-4AF3-8F77-795FB6503C0B}"/>
    <hyperlink ref="C128" r:id="rId113" xr:uid="{AC7FC3F5-5742-469C-A531-DF13BEE8C912}"/>
    <hyperlink ref="C129" r:id="rId114" xr:uid="{09B511D5-B886-45AB-B7AF-D4F582775D93}"/>
    <hyperlink ref="C130" r:id="rId115" xr:uid="{C7EC71E1-B69E-459D-B356-DB3A4C02C2FB}"/>
    <hyperlink ref="C131" r:id="rId116" xr:uid="{B0907C07-15DA-4DA8-8885-DF75C21AFB8B}"/>
    <hyperlink ref="C132" r:id="rId117" xr:uid="{49A2BF07-632B-4F8A-9CE4-68B3B2373B5A}"/>
    <hyperlink ref="C133" r:id="rId118" xr:uid="{AFF8ED78-7C84-4893-879F-A47ABD79F15A}"/>
    <hyperlink ref="C134" r:id="rId119" xr:uid="{8BC39650-700E-4E08-9116-BED710C04A10}"/>
    <hyperlink ref="C135" r:id="rId120" xr:uid="{100F7679-443A-48C4-913E-4C9EADFF3812}"/>
    <hyperlink ref="C136" r:id="rId121" xr:uid="{252A03CF-9903-457F-BEFE-830371E2669C}"/>
    <hyperlink ref="C137" r:id="rId122" xr:uid="{BF3AD9CE-FB34-4A8E-B3DB-4B461ED3C9A8}"/>
    <hyperlink ref="C138" r:id="rId123" xr:uid="{2936EDB1-205E-471E-94BE-116C60246D5F}"/>
    <hyperlink ref="C139" r:id="rId124" xr:uid="{9F1A8C4E-B534-4232-92DC-65E7D5F1B690}"/>
    <hyperlink ref="C140" r:id="rId125" xr:uid="{8E580C85-56D5-4B43-9406-C49C48BD6BA4}"/>
    <hyperlink ref="C141" r:id="rId126" xr:uid="{581183DF-E697-4202-94A5-C6B7D48CDE71}"/>
    <hyperlink ref="C142" r:id="rId127" xr:uid="{72ED2B53-35D5-4B3F-84E6-BF820E4AFD00}"/>
    <hyperlink ref="C143" r:id="rId128" xr:uid="{62E1740F-EB64-46B0-BEBA-936F0A8CE9C4}"/>
    <hyperlink ref="C144" r:id="rId129" xr:uid="{45836A97-C8D8-43AF-B897-9E094386E0F4}"/>
    <hyperlink ref="C147" r:id="rId130" xr:uid="{6D550814-19AB-4323-B243-D54280D9A0FE}"/>
    <hyperlink ref="C150" r:id="rId131" xr:uid="{2263BE30-7557-4D90-ADCC-DBE7CBF1FFBF}"/>
    <hyperlink ref="C153" r:id="rId132" xr:uid="{5DC95FEF-C5AE-4D3D-8ECF-FA69E9124FF8}"/>
    <hyperlink ref="C156" r:id="rId133" xr:uid="{8CFC57CA-972C-4081-97E1-4C085A4FBC9B}"/>
    <hyperlink ref="C159" r:id="rId134" xr:uid="{79418A3E-B581-4516-A967-DE8BAD5DF377}"/>
    <hyperlink ref="C162" r:id="rId135" xr:uid="{5D833964-BB3C-4637-9316-20ED51F4BA41}"/>
    <hyperlink ref="C165" r:id="rId136" xr:uid="{796B7851-285A-4E08-A8F3-A9C49AC66183}"/>
    <hyperlink ref="C168" r:id="rId137" xr:uid="{D65CD06B-F107-4317-9F04-B65F2785B0AF}"/>
    <hyperlink ref="C171" r:id="rId138" xr:uid="{C72A4BF4-6ADE-4013-8F1F-05A676EFBE1A}"/>
    <hyperlink ref="C172" r:id="rId139" xr:uid="{40AD3BBC-CC53-446C-B858-11F8C7D073C1}"/>
    <hyperlink ref="C173" r:id="rId140" xr:uid="{545B4F0B-405E-4450-9A81-64C815A9ACD7}"/>
    <hyperlink ref="C176" r:id="rId141" xr:uid="{93C0BBDE-8F65-4D95-A6C2-E682F1C5819A}"/>
    <hyperlink ref="C179" r:id="rId142" xr:uid="{AB76731E-B5AC-4BBE-96EB-B9ABD8FC5C6B}"/>
    <hyperlink ref="C182" r:id="rId143" xr:uid="{2A6DE016-E5C0-480E-B1C3-7898A8B2ADA8}"/>
    <hyperlink ref="C185" r:id="rId144" xr:uid="{894F9BC4-E162-476A-BC15-6F42B7590F19}"/>
    <hyperlink ref="C188" r:id="rId145" xr:uid="{F9906CF8-87FE-425B-A797-32524749865F}"/>
    <hyperlink ref="C191" r:id="rId146" xr:uid="{08B7862A-1CD9-41AD-B494-661DAC5F87C8}"/>
    <hyperlink ref="C194" r:id="rId147" xr:uid="{4E13B580-3696-4AF2-B006-EF3DE004CC32}"/>
    <hyperlink ref="C195" r:id="rId148" xr:uid="{722C9751-7BA8-47E8-BECB-610BC237616F}"/>
    <hyperlink ref="C196" r:id="rId149" xr:uid="{70D3D0B6-8868-4BA7-9772-850A5CB67CF5}"/>
    <hyperlink ref="C199" r:id="rId150" xr:uid="{E25F0E79-C1BB-4C63-823B-0D78F95AA3F5}"/>
    <hyperlink ref="C202" r:id="rId151" xr:uid="{CCFB961F-D574-438F-BFC6-CFA5F0E3FBEB}"/>
    <hyperlink ref="C205" r:id="rId152" xr:uid="{4DF1AB48-7792-4BC5-9501-A0CBC29B3E3D}"/>
    <hyperlink ref="C208" r:id="rId153" xr:uid="{AE8CF2F3-BAFC-454C-83D3-F2E36ECE47E7}"/>
    <hyperlink ref="C211" r:id="rId154" xr:uid="{4F4F81FD-5C2E-4D1F-9847-7126A9C59FDA}"/>
    <hyperlink ref="C214" r:id="rId155" xr:uid="{6F60E1AA-94EA-411D-9D3D-076B54B07D52}"/>
    <hyperlink ref="C217" r:id="rId156" xr:uid="{465FFF0B-B39F-40C7-A1E5-86B204954112}"/>
    <hyperlink ref="C220" r:id="rId157" xr:uid="{451EF1E8-65BA-4A52-95DE-034C3E6EAC89}"/>
    <hyperlink ref="C223" r:id="rId158" xr:uid="{D0281007-0F1E-4575-8BB6-5ECC1A063BEB}"/>
    <hyperlink ref="C226" r:id="rId159" xr:uid="{6B7F7CBA-2B39-46C8-B352-3BC7A0EE9C49}"/>
    <hyperlink ref="C229" r:id="rId160" xr:uid="{4D854B63-4144-41F7-8549-FF802BE5C9EE}"/>
    <hyperlink ref="C232" r:id="rId161" xr:uid="{0210F1E0-CE60-400A-B063-6C864698B925}"/>
    <hyperlink ref="C235" r:id="rId162" xr:uid="{5F4F9E24-718B-47DD-9579-463D8D2D3536}"/>
    <hyperlink ref="C238" r:id="rId163" xr:uid="{23681085-EF02-4601-AA91-86B88A114160}"/>
    <hyperlink ref="C239" r:id="rId164" xr:uid="{2F46CAA8-D68E-43E6-B93E-12E69F024B58}"/>
    <hyperlink ref="C242" r:id="rId165" xr:uid="{8C4759E7-0A8F-4FDE-85D2-BE9727B2C01C}"/>
    <hyperlink ref="C245" r:id="rId166" xr:uid="{70F063F5-5FFC-41F5-8BF0-B3F09D3135DE}"/>
    <hyperlink ref="C246" r:id="rId167" xr:uid="{95571592-6C3E-4DBE-8E31-34B02F6721CD}"/>
    <hyperlink ref="C249" r:id="rId168" xr:uid="{8727C6EC-2600-4C88-A4AD-746DDBD2D2DF}"/>
    <hyperlink ref="C252" r:id="rId169" xr:uid="{7C1716F4-E508-4EA1-81BC-89023529932C}"/>
    <hyperlink ref="C253" r:id="rId170" xr:uid="{60D6C9CF-6BC7-48ED-82AC-AF7ACD40B3E2}"/>
    <hyperlink ref="C254" r:id="rId171" xr:uid="{898B4968-DAED-4142-849D-A0B1EDC06E2F}"/>
    <hyperlink ref="C257" r:id="rId172" xr:uid="{2871F6F9-351A-4AFF-B84D-ECFE29EE807A}"/>
    <hyperlink ref="C260" r:id="rId173" xr:uid="{851D3751-A932-404A-9C02-507381FF11D0}"/>
    <hyperlink ref="C263" r:id="rId174" xr:uid="{6CC37D11-A3C1-4A7C-95F9-A4B9DEC8F215}"/>
    <hyperlink ref="C266" r:id="rId175" xr:uid="{1B67B201-40A9-4581-8E56-301ECB238370}"/>
    <hyperlink ref="C269" r:id="rId176" xr:uid="{A3C5329A-890A-4C73-BD02-0EB5CC3CDB2A}"/>
    <hyperlink ref="C272" r:id="rId177" xr:uid="{B57C6049-7795-414F-9D7D-2CF863564E14}"/>
    <hyperlink ref="C275" r:id="rId178" xr:uid="{1FAA7ECD-ABF2-4482-B4DB-EC418E20BD16}"/>
    <hyperlink ref="C276" r:id="rId179" xr:uid="{1631000B-83C0-4737-88A0-DA00F276CA03}"/>
    <hyperlink ref="C279" r:id="rId180" xr:uid="{BDC96B00-9B04-4107-AB7B-559D2378E6BB}"/>
    <hyperlink ref="C282" r:id="rId181" xr:uid="{7248DEDD-7F3D-4218-9A3E-CA9A18F5EAFC}"/>
    <hyperlink ref="C283" r:id="rId182" xr:uid="{C3EA2054-D5C7-4F42-B5D3-41EE1D3CFABA}"/>
    <hyperlink ref="C286" r:id="rId183" xr:uid="{B41B833A-6AF2-4C90-93EC-15184B74996B}"/>
    <hyperlink ref="C289" r:id="rId184" xr:uid="{D5F1B5ED-ADBE-4B8A-BE9D-74DC1C9589DD}"/>
    <hyperlink ref="C292" r:id="rId185" xr:uid="{0574BC43-F99F-4FD7-B135-A7B802F32AAA}"/>
    <hyperlink ref="C295" r:id="rId186" xr:uid="{FF6D5737-76F8-40EB-884F-4095B26FDEB1}"/>
    <hyperlink ref="C298" r:id="rId187" xr:uid="{EA67D43A-2C24-4A7A-B3C0-C4DB4BBB6B77}"/>
    <hyperlink ref="C301" r:id="rId188" xr:uid="{5B407585-3B4C-4AE6-A8F6-F37BFCA0C991}"/>
    <hyperlink ref="C304" r:id="rId189" xr:uid="{6249E4B4-8DEB-49AC-8CF9-72FBC8EC90A0}"/>
    <hyperlink ref="C307" r:id="rId190" xr:uid="{2D74B04D-65B9-4CB6-845F-77B9F14ED72E}"/>
    <hyperlink ref="C310" r:id="rId191" xr:uid="{F1D85B54-650C-4911-B641-504EDB19F948}"/>
    <hyperlink ref="C313" r:id="rId192" xr:uid="{5D71BDA8-214B-4E26-9EA2-19B89804EE28}"/>
    <hyperlink ref="C316" r:id="rId193" xr:uid="{C9ED0A8B-5E64-4CAB-BCFA-439745494467}"/>
    <hyperlink ref="C319" r:id="rId194" xr:uid="{314797C6-67F6-404A-A970-6EB8601B5A74}"/>
    <hyperlink ref="C322" r:id="rId195" xr:uid="{4F392A80-5FB6-4651-9B8F-A33765DE9B81}"/>
    <hyperlink ref="C325" r:id="rId196" xr:uid="{24039FDB-B97D-493D-BB8C-AD57D02F8044}"/>
    <hyperlink ref="C328" r:id="rId197" xr:uid="{A5BD1B46-9E1F-46DB-B63F-E69AF33707D6}"/>
    <hyperlink ref="C331" r:id="rId198" xr:uid="{DA3DA128-88A9-4CAF-9E8B-E4EE4954F792}"/>
    <hyperlink ref="C334" r:id="rId199" xr:uid="{398F08BD-6BE9-400D-8744-72D3B60D349F}"/>
    <hyperlink ref="C337" r:id="rId200" xr:uid="{CDF87200-DD67-4BFD-8163-DD48658DCD50}"/>
    <hyperlink ref="C340" r:id="rId201" xr:uid="{41284CB4-AA67-4993-9EF5-425065C82563}"/>
    <hyperlink ref="C343" r:id="rId202" xr:uid="{C7B961BA-C3CB-4C65-91BE-8271F4700B9D}"/>
    <hyperlink ref="C346" r:id="rId203" xr:uid="{A749A17B-83FC-4451-A478-77546C9EEFC7}"/>
    <hyperlink ref="C349" r:id="rId204" xr:uid="{D90E9F62-7930-4FA9-8765-30A9F4C54F72}"/>
    <hyperlink ref="C352" r:id="rId205" xr:uid="{2CDC9B17-81FC-465F-B080-8556CA88346E}"/>
    <hyperlink ref="C355" r:id="rId206" xr:uid="{DA80E3A1-BA79-42A5-94BC-9A3180A86847}"/>
    <hyperlink ref="C358" r:id="rId207" xr:uid="{702FF178-3BB2-460C-99AE-03C4FB5A7035}"/>
    <hyperlink ref="C361" r:id="rId208" xr:uid="{D9EE0E61-C782-4F57-AB66-5C24D8F91A13}"/>
    <hyperlink ref="C362" r:id="rId209" xr:uid="{6F0D91C5-AA32-49B3-AA04-047C8F153A1B}"/>
    <hyperlink ref="C365" r:id="rId210" xr:uid="{8D741961-1327-41D1-92F3-67E508738770}"/>
    <hyperlink ref="C368" r:id="rId211" xr:uid="{8CC0BB50-BE05-42C1-B692-1ADAFB522BBB}"/>
    <hyperlink ref="C369" r:id="rId212" xr:uid="{A650CC27-36E6-42E2-8BCC-298D2BF14134}"/>
    <hyperlink ref="C372" r:id="rId213" xr:uid="{30EFEC7E-626A-4498-B913-99A14655DAFE}"/>
    <hyperlink ref="C375" r:id="rId214" xr:uid="{70582CB4-F000-46F8-9538-7EC1EEBBD0EA}"/>
    <hyperlink ref="C378" r:id="rId215" xr:uid="{9DE22099-45B2-4F68-899F-FEC9371D7ED4}"/>
    <hyperlink ref="C381" r:id="rId216" xr:uid="{BC3AF21C-7733-4069-8694-1D4F8BE34AFB}"/>
    <hyperlink ref="C384" r:id="rId217" xr:uid="{F3664354-7B7A-4971-8D59-586D8520B727}"/>
    <hyperlink ref="C387" r:id="rId218" xr:uid="{AF92D794-0C99-4318-8749-3568052C5419}"/>
    <hyperlink ref="C390" r:id="rId219" xr:uid="{9D315996-F834-4B88-9753-583DFFC2FA36}"/>
    <hyperlink ref="C393" r:id="rId220" xr:uid="{3F67527A-332E-45CF-A5F0-2032745D4A44}"/>
    <hyperlink ref="C396" r:id="rId221" xr:uid="{344E44BF-BF76-4B1C-A017-55E724FB8BB8}"/>
    <hyperlink ref="C399" r:id="rId222" xr:uid="{9CB780FA-32FA-40A2-A81D-14F4D455E226}"/>
    <hyperlink ref="C402" r:id="rId223" xr:uid="{635A0989-8087-45BA-997C-76C9590C2EFB}"/>
    <hyperlink ref="C405" r:id="rId224" xr:uid="{0B054A9B-E3D1-4950-B1D2-A5671090BF0D}"/>
    <hyperlink ref="C408" r:id="rId225" xr:uid="{567F71A2-501C-463B-A12F-6D6DB7656C01}"/>
    <hyperlink ref="C411" r:id="rId226" xr:uid="{64897F98-3935-4C32-95BC-D6B0E552720A}"/>
    <hyperlink ref="C414" r:id="rId227" xr:uid="{22ACF989-053E-4CA2-BCF7-CBEC694520B1}"/>
    <hyperlink ref="C417" r:id="rId228" xr:uid="{DCD71A98-CEEA-4AA6-B3D7-FCB74C2D36AF}"/>
    <hyperlink ref="C420" r:id="rId229" xr:uid="{24C4A1B2-94EB-4553-ACC3-1AC2E83555D2}"/>
    <hyperlink ref="C423" r:id="rId230" xr:uid="{84D1EB0D-58C1-4D71-8D7F-5A9BA0359546}"/>
    <hyperlink ref="C426" r:id="rId231" xr:uid="{D7C129C4-9D63-4B2E-841E-0A7FAB3AA2F9}"/>
    <hyperlink ref="C429" r:id="rId232" xr:uid="{C1304659-2CE6-4B01-B033-33AD09F8BFD9}"/>
    <hyperlink ref="C432" r:id="rId233" xr:uid="{1EE3C921-37DF-4476-85E1-5D459CB2361D}"/>
    <hyperlink ref="C435" r:id="rId234" xr:uid="{E0F44325-F644-44E1-9E57-F3CA04399A41}"/>
    <hyperlink ref="C438" r:id="rId235" xr:uid="{0CA71EB1-B399-4C83-834B-640965090E2B}"/>
    <hyperlink ref="C441" r:id="rId236" xr:uid="{19C816D5-0327-4F5D-B992-5B202BA4FA0D}"/>
    <hyperlink ref="C442" r:id="rId237" xr:uid="{75D2195A-B854-4067-AC23-C3E6E6F7A8C8}"/>
    <hyperlink ref="C443" r:id="rId238" xr:uid="{DE0161CA-EB2D-4025-A0B7-EE04553AC092}"/>
    <hyperlink ref="C446" r:id="rId239" xr:uid="{482E3287-9029-4521-B181-CA39A561778F}"/>
    <hyperlink ref="C449" r:id="rId240" xr:uid="{A572DDB0-FD75-4DC0-ABCC-04C72D232A8D}"/>
    <hyperlink ref="C450" r:id="rId241" xr:uid="{D780D70D-CCF8-4B69-A80E-CA8E7DB74FB0}"/>
    <hyperlink ref="C451" r:id="rId242" xr:uid="{90366444-30F0-41EF-B7F7-1230CEB1928C}"/>
    <hyperlink ref="C452" r:id="rId243" xr:uid="{ADFE3852-40EC-436E-AB43-94DAD91EDFCE}"/>
    <hyperlink ref="C453" r:id="rId244" xr:uid="{2BE9E6BF-69EA-4523-A865-6F7939E904C4}"/>
    <hyperlink ref="C454" r:id="rId245" xr:uid="{F12E08CB-84F5-4780-B249-C49358011F11}"/>
    <hyperlink ref="C455" r:id="rId246" xr:uid="{A4C982D8-94D9-4F0A-AA42-028D4C43A70F}"/>
    <hyperlink ref="C456" r:id="rId247" xr:uid="{F0BD494E-6988-43E0-982A-D20C161E3A1B}"/>
    <hyperlink ref="C457" r:id="rId248" xr:uid="{19BC4DBB-2D3C-40D4-B746-E1A3FB86B049}"/>
    <hyperlink ref="C458" r:id="rId249" xr:uid="{EDD27A77-0D21-4F5C-83E0-22A39AA04182}"/>
    <hyperlink ref="C459" r:id="rId250" xr:uid="{952DE3A2-0C68-4F6B-9421-B37779452CF8}"/>
    <hyperlink ref="C462" r:id="rId251" xr:uid="{9E35F2F3-5269-4D50-96C3-C381E0B8689C}"/>
    <hyperlink ref="C463" r:id="rId252" xr:uid="{AFF27DDE-D72D-4063-A977-2837B91BE697}"/>
    <hyperlink ref="C464" r:id="rId253" xr:uid="{F9F4F79C-E38D-4B6A-B604-B80B7C8C8701}"/>
    <hyperlink ref="C467" r:id="rId254" xr:uid="{A6F8A5EC-4ABC-4438-A2DC-23412947DF0B}"/>
    <hyperlink ref="C470" r:id="rId255" xr:uid="{666800B2-25BC-469A-8B12-0D35C8F0C001}"/>
    <hyperlink ref="C473" r:id="rId256" xr:uid="{F1E6E8D9-42CC-40FC-9789-B549DDBFECE7}"/>
    <hyperlink ref="C476" r:id="rId257" xr:uid="{BB9BB98A-5F30-4DB3-9F0A-B1E53D58F4CD}"/>
    <hyperlink ref="C479" r:id="rId258" xr:uid="{D4399A10-8440-4806-A0AE-9C0B07681B3C}"/>
    <hyperlink ref="C482" r:id="rId259" xr:uid="{2B068D59-C223-4321-82C2-96C5014C79EF}"/>
    <hyperlink ref="C485" r:id="rId260" xr:uid="{8BCAA596-5C91-484B-B62B-F137E77906AF}"/>
    <hyperlink ref="C488" r:id="rId261" xr:uid="{F3E2A08F-C212-4056-BB1C-B1B0A61DE12A}"/>
    <hyperlink ref="C491" r:id="rId262" xr:uid="{197127A3-0F46-456B-B83D-9930F55E0E41}"/>
    <hyperlink ref="C494" r:id="rId263" xr:uid="{7CFD5DA0-3FDE-4E2F-A39C-37C84D668253}"/>
    <hyperlink ref="C497" r:id="rId264" xr:uid="{0525F6F4-B5FB-4279-B933-614D28FBB559}"/>
    <hyperlink ref="C500" r:id="rId265" xr:uid="{8BA40F96-C1E5-4671-834D-99B8ADD1DBFD}"/>
    <hyperlink ref="C503" r:id="rId266" xr:uid="{9B0A9679-07BD-4767-9584-5D52F17502AC}"/>
    <hyperlink ref="C506" r:id="rId267" xr:uid="{87A0ACD3-205B-4F13-9406-0945BCA4F936}"/>
    <hyperlink ref="C509" r:id="rId268" xr:uid="{842F43A8-D56C-4B36-81F8-57993413B00F}"/>
    <hyperlink ref="C512" r:id="rId269" xr:uid="{61CA342A-ACFE-4411-9DAD-5FDA20389608}"/>
    <hyperlink ref="C515" r:id="rId270" xr:uid="{2B3AAC47-45FB-4EE3-8B67-2130084C296D}"/>
    <hyperlink ref="C516" r:id="rId271" xr:uid="{86CE511A-9B3C-421D-B5EA-C19D55D4A3A3}"/>
    <hyperlink ref="C517" r:id="rId272" xr:uid="{E44EC203-C5E2-47A8-836A-08F32104324A}"/>
    <hyperlink ref="C520" r:id="rId273" xr:uid="{DAC20173-C0E6-47E1-BB20-E782EEA6A3B5}"/>
    <hyperlink ref="C523" r:id="rId274" xr:uid="{D36BB95B-FF9F-48AB-BC8C-95F1D9399904}"/>
    <hyperlink ref="C526" r:id="rId275" xr:uid="{F5CB5799-6E20-43CA-B6A4-06DA7CF053F8}"/>
    <hyperlink ref="C529" r:id="rId276" xr:uid="{491472B9-5476-4145-B81F-C4ABEC3EDE18}"/>
    <hyperlink ref="C532" r:id="rId277" xr:uid="{F42A05ED-7CCE-4F53-BCD3-27A5B2681014}"/>
    <hyperlink ref="C535" r:id="rId278" xr:uid="{D04802C3-2952-4686-AA54-9926A4003DF7}"/>
    <hyperlink ref="C538" r:id="rId279" xr:uid="{E1D9F4B3-6A98-4478-A65E-16A0830AA139}"/>
    <hyperlink ref="C541" r:id="rId280" xr:uid="{C5D57D09-313A-4CE0-A764-9C60664EF5AC}"/>
    <hyperlink ref="C544" r:id="rId281" xr:uid="{0E1A99CD-55A3-47CE-96E0-BD98540133C8}"/>
    <hyperlink ref="C547" r:id="rId282" xr:uid="{0429FE08-4E26-4CE3-8973-5F4302AEFF94}"/>
    <hyperlink ref="C550" r:id="rId283" xr:uid="{9DB95EC1-588D-4E5E-9A6A-D3C49BD0D61E}"/>
    <hyperlink ref="C553" r:id="rId284" xr:uid="{A113A573-320E-4E12-A4DF-7CB0A435731D}"/>
    <hyperlink ref="C556" r:id="rId285" xr:uid="{13FB8337-C5C5-4C13-AFD7-F7616228194F}"/>
    <hyperlink ref="C557" r:id="rId286" xr:uid="{6A33D247-7C27-4B1D-8DA3-055A6E34E0CA}"/>
    <hyperlink ref="C560" r:id="rId287" xr:uid="{8697AE57-6115-434B-8B01-819F025C54DA}"/>
    <hyperlink ref="C563" r:id="rId288" xr:uid="{7F09FDA7-1E4E-472C-AD8B-C8257C6D163E}"/>
    <hyperlink ref="C566" r:id="rId289" xr:uid="{8B0A7665-609E-405F-994F-EE5D126A1550}"/>
    <hyperlink ref="C569" r:id="rId290" xr:uid="{7A6C4113-60B4-49E7-9CDC-6FA773156DEE}"/>
    <hyperlink ref="C572" r:id="rId291" xr:uid="{4C169478-3B6B-4B06-8D98-750F2FB2F3C7}"/>
    <hyperlink ref="C573" r:id="rId292" xr:uid="{B48BF74A-4F7A-4F06-9725-4AE0A1435525}"/>
    <hyperlink ref="C574" r:id="rId293" xr:uid="{2036A16A-1A24-497D-A2D3-CFBABCE90620}"/>
    <hyperlink ref="C577" r:id="rId294" xr:uid="{1897246C-EDD6-4E37-A9B6-2C3708BC61BF}"/>
    <hyperlink ref="C580" r:id="rId295" xr:uid="{000BDF8C-2E0B-4510-8B65-F6A44F7899A9}"/>
    <hyperlink ref="C583" r:id="rId296" xr:uid="{16102432-98A3-44DF-BBE2-FFA4CA5FAE7A}"/>
    <hyperlink ref="C586" r:id="rId297" xr:uid="{18798380-5FB5-414D-942A-80DFFB3C7BD2}"/>
    <hyperlink ref="C589" r:id="rId298" xr:uid="{6B94A218-2657-40B9-9B13-3233C4D6CC60}"/>
    <hyperlink ref="C590" r:id="rId299" xr:uid="{1D8A6324-D0B6-4380-97A7-A3BE6C9B8DB0}"/>
    <hyperlink ref="C591" r:id="rId300" xr:uid="{BD5EA25F-152C-436A-9000-454A34B1F02E}"/>
    <hyperlink ref="C592" r:id="rId301" xr:uid="{11C69E67-3118-4C17-9B72-7AF4EFB8AEA4}"/>
    <hyperlink ref="C593" r:id="rId302" xr:uid="{0FE1B0D1-9949-4D6F-92B1-634758B93AC7}"/>
    <hyperlink ref="C596" r:id="rId303" xr:uid="{EB091047-F1C2-49DC-A518-3060B635B314}"/>
    <hyperlink ref="C599" r:id="rId304" xr:uid="{F4519A68-BB10-4207-9AB5-DD0BE7BCA58C}"/>
    <hyperlink ref="C602" r:id="rId305" xr:uid="{EB28C80B-80F9-40B5-AF70-6481F594D74E}"/>
    <hyperlink ref="C605" r:id="rId306" xr:uid="{E8EEA648-ED67-47BA-B2E8-245F791E8FB3}"/>
    <hyperlink ref="C608" r:id="rId307" xr:uid="{49B3E60B-B130-4B84-9CC6-6E23F212A452}"/>
    <hyperlink ref="C611" r:id="rId308" xr:uid="{932486CE-8234-4772-91FF-559C8363FC9A}"/>
    <hyperlink ref="C614" r:id="rId309" xr:uid="{6592B04E-C98C-4DC2-A7E9-BEC05DBE16D3}"/>
    <hyperlink ref="C617" r:id="rId310" xr:uid="{F44DB943-92BD-4F8D-A83E-37352CFF3499}"/>
    <hyperlink ref="C620" r:id="rId311" xr:uid="{3DE8CF25-2323-41A5-98FE-E62626235F05}"/>
    <hyperlink ref="C623" r:id="rId312" xr:uid="{A7F23C29-3FF9-4F1F-9A9B-6F99BF510AD9}"/>
    <hyperlink ref="C626" r:id="rId313" xr:uid="{6D608EC0-91D9-412B-B817-2B043A1787F9}"/>
    <hyperlink ref="C629" r:id="rId314" xr:uid="{ABE2277E-5D3B-4872-A7EE-16AE39DBB287}"/>
    <hyperlink ref="C632" r:id="rId315" xr:uid="{B0714956-A14B-479C-B7F6-65D3E5FCE328}"/>
    <hyperlink ref="C635" r:id="rId316" xr:uid="{8E9123AE-4716-4300-B018-753B97B2FD3E}"/>
    <hyperlink ref="C638" r:id="rId317" xr:uid="{5AA22CB0-37C1-43AA-BF97-BD4402400576}"/>
    <hyperlink ref="C639" r:id="rId318" xr:uid="{16CC32BA-B4B9-4478-A5A3-CB6800759CE3}"/>
    <hyperlink ref="C642" r:id="rId319" xr:uid="{2D2C1DCA-6723-468A-B4C0-FEE91E4F451A}"/>
    <hyperlink ref="C645" r:id="rId320" xr:uid="{FAF32C30-4033-4933-ADD6-0D904D57FD93}"/>
    <hyperlink ref="C648" r:id="rId321" xr:uid="{726B60A6-BE4F-40BF-BDF7-393B03DD950C}"/>
    <hyperlink ref="C651" r:id="rId322" xr:uid="{4AFF4672-5B23-481A-8AFD-19A088D9F5D0}"/>
    <hyperlink ref="C654" r:id="rId323" xr:uid="{8C6FF29D-9871-4432-9448-EFE342202337}"/>
    <hyperlink ref="C655" r:id="rId324" xr:uid="{B1A1B8FF-0E28-46DC-9AD7-E76CDE462ACC}"/>
    <hyperlink ref="C656" r:id="rId325" xr:uid="{2205A670-9CA5-4AFC-B3FE-5A2352AAEF94}"/>
    <hyperlink ref="C659" r:id="rId326" xr:uid="{103DD323-6D11-4DB2-A269-EBDE359F6B7D}"/>
    <hyperlink ref="C660" r:id="rId327" xr:uid="{7A2430A4-0DF2-4BD3-8288-AE92A925FD1B}"/>
    <hyperlink ref="C663" r:id="rId328" xr:uid="{D5E16F38-3DF8-412A-8672-B33D20CADE7C}"/>
    <hyperlink ref="C664" r:id="rId329" xr:uid="{12139FA6-865B-44BF-A62D-5731F22613F9}"/>
    <hyperlink ref="C665" r:id="rId330" xr:uid="{C1614181-1A46-4B82-9D5C-96B9EF08B9F4}"/>
    <hyperlink ref="C668" r:id="rId331" xr:uid="{DFD4FBA7-F75F-4D3C-AD30-EEF99ABD9E5A}"/>
    <hyperlink ref="C671" r:id="rId332" xr:uid="{C922F73D-BB8A-4BE0-B2F7-4D55EBBBF578}"/>
    <hyperlink ref="C674" r:id="rId333" xr:uid="{8D2D053B-4231-404D-916A-63CDB40A87AF}"/>
    <hyperlink ref="C677" r:id="rId334" xr:uid="{D6D1A55F-0C96-4D3C-BF14-91B44D16F641}"/>
    <hyperlink ref="C680" r:id="rId335" xr:uid="{D1037797-0222-4864-96FC-6F3CEAD85701}"/>
    <hyperlink ref="C681" r:id="rId336" xr:uid="{3A8F3C6E-257A-490B-B8DE-FABE82469ADC}"/>
    <hyperlink ref="C682" r:id="rId337" xr:uid="{F76A5764-56E0-486F-941B-973F1630E6E4}"/>
    <hyperlink ref="C683" r:id="rId338" xr:uid="{5B4A4474-4E98-4E28-9524-A0DFFE7B15EC}"/>
    <hyperlink ref="C684" r:id="rId339" xr:uid="{6005DAD2-95DE-4850-9B8C-3940D5143402}"/>
    <hyperlink ref="C685" r:id="rId340" xr:uid="{A55DE236-EEE4-4F7E-8571-1C97C932B970}"/>
    <hyperlink ref="C688" r:id="rId341" xr:uid="{AE478FB1-0758-4FAA-A2DB-6368F75298CC}"/>
    <hyperlink ref="C689" r:id="rId342" xr:uid="{7E9546D8-A855-41D9-B16D-474EB566CCFD}"/>
    <hyperlink ref="C692" r:id="rId343" xr:uid="{F94FB435-B729-4F1B-90D3-189C4207AC57}"/>
    <hyperlink ref="C693" r:id="rId344" xr:uid="{EF3851F9-98F8-408E-8EE8-CAB37503621E}"/>
    <hyperlink ref="C696" r:id="rId345" xr:uid="{E4DFE139-2450-43C6-820B-86459CCDE1B9}"/>
    <hyperlink ref="C699" r:id="rId346" xr:uid="{6A35EE1A-439C-4E2A-B2A8-8279123EE6FB}"/>
    <hyperlink ref="C700" r:id="rId347" xr:uid="{AAB960ED-B12E-4BEB-BE62-6188DA60A313}"/>
    <hyperlink ref="C703" r:id="rId348" xr:uid="{2C4A384B-0410-4B5F-89BD-152FA5B24A8B}"/>
    <hyperlink ref="C706" r:id="rId349" xr:uid="{B6CBB114-A791-4AC3-AA54-AD3EF0E0CEC5}"/>
    <hyperlink ref="C709" r:id="rId350" xr:uid="{13F191FE-CF61-4A04-AD6D-37CC995DF938}"/>
    <hyperlink ref="C712" r:id="rId351" xr:uid="{E9F6AF08-FCF4-4170-A1A3-DEA9BCFC023A}"/>
    <hyperlink ref="C715" r:id="rId352" xr:uid="{4F46F26B-7ADA-4B72-BD7E-633686A386BB}"/>
    <hyperlink ref="C718" r:id="rId353" xr:uid="{97D4E384-EDBF-4884-BC2A-72E5F98BEF9E}"/>
    <hyperlink ref="C721" r:id="rId354" xr:uid="{09168564-063D-4725-8D09-8BDB823A182E}"/>
    <hyperlink ref="C724" r:id="rId355" xr:uid="{59ED815D-EA9E-4CAB-BC1E-E892E3635717}"/>
    <hyperlink ref="C727" r:id="rId356" xr:uid="{B95BE4FF-0C97-4D5C-A61C-3CA8202C7E8A}"/>
    <hyperlink ref="C730" r:id="rId357" xr:uid="{806CA249-8F9B-422A-A524-287DDCC7F6BE}"/>
    <hyperlink ref="C733" r:id="rId358" xr:uid="{D1B3E514-EC2D-4B7E-8F4C-91924D69485D}"/>
    <hyperlink ref="C736" r:id="rId359" xr:uid="{AA1E2268-098F-482A-BA61-2294F492067B}"/>
    <hyperlink ref="C737" r:id="rId360" xr:uid="{FE05400D-CACD-4E46-83E9-22BD20A5C7A7}"/>
    <hyperlink ref="C738" r:id="rId361" xr:uid="{9A2E988A-BD5E-4CA1-A079-58340BE41A7E}"/>
    <hyperlink ref="C741" r:id="rId362" xr:uid="{4504AF87-30F0-4E61-899B-8EDE93CCAB8E}"/>
    <hyperlink ref="C744" r:id="rId363" xr:uid="{3A237F84-E79B-47E7-9261-5DEB329F6F82}"/>
    <hyperlink ref="C747" r:id="rId364" xr:uid="{7161A990-4BE6-402F-BD75-BEF15A4728D3}"/>
    <hyperlink ref="C750" r:id="rId365" xr:uid="{61C967FE-E3D4-48B8-8999-CF439EBBA129}"/>
    <hyperlink ref="C753" r:id="rId366" xr:uid="{91D62602-E9BF-4280-81CF-2BD3D1A4384D}"/>
    <hyperlink ref="C756" r:id="rId367" xr:uid="{7E2FD5E5-941C-4E90-BBD3-34BFFDD44B71}"/>
    <hyperlink ref="C759" r:id="rId368" xr:uid="{9B08ED38-1245-429D-9848-356185523222}"/>
    <hyperlink ref="C762" r:id="rId369" xr:uid="{F49BE618-4350-4BAC-BBE0-0D706EB016C0}"/>
    <hyperlink ref="C765" r:id="rId370" xr:uid="{AFBE7D11-FCF0-446B-9F8F-24B92F3E30E9}"/>
    <hyperlink ref="C768" r:id="rId371" xr:uid="{C6B63F8F-B7BA-4188-8D70-CD5592E088CA}"/>
    <hyperlink ref="C771" r:id="rId372" xr:uid="{97417601-2247-496C-A5BE-38A14346486F}"/>
    <hyperlink ref="C774" r:id="rId373" xr:uid="{C6F67DA2-89FD-4872-A761-77FB91BEF530}"/>
    <hyperlink ref="C777" r:id="rId374" xr:uid="{29087239-8B2B-4CBA-AA1D-9EB99CD57633}"/>
    <hyperlink ref="C780" r:id="rId375" xr:uid="{F9CAE437-53E5-46D1-9BF5-2C313994454B}"/>
    <hyperlink ref="C783" r:id="rId376" xr:uid="{728A908F-D4A8-4636-B62A-5A24EE938F1E}"/>
    <hyperlink ref="C786" r:id="rId377" xr:uid="{A3D091AE-388F-49BE-A77A-A96FFEF114B7}"/>
    <hyperlink ref="C789" r:id="rId378" xr:uid="{35410F3C-E601-4783-923D-72E9C0A5CA5A}"/>
    <hyperlink ref="C792" r:id="rId379" xr:uid="{A9AA0CF6-7AD1-4225-B9F9-BA39A94F0626}"/>
    <hyperlink ref="C793" r:id="rId380" xr:uid="{C62A1CD3-5094-466A-8438-F207FCC817AE}"/>
    <hyperlink ref="C796" r:id="rId381" xr:uid="{489185D4-15D9-4FE0-BB7E-6A723633F71D}"/>
    <hyperlink ref="C799" r:id="rId382" xr:uid="{2016523C-C0DD-48BF-AAD8-98690D2114FD}"/>
    <hyperlink ref="C802" r:id="rId383" xr:uid="{35765225-53CB-4E06-8EC4-CAF95BAAA6BD}"/>
    <hyperlink ref="C805" r:id="rId384" xr:uid="{0D525F45-20D7-4B20-B1DA-36983A7041FB}"/>
    <hyperlink ref="C808" r:id="rId385" xr:uid="{FE4D9583-E004-4B40-9E4F-34BDA449C4A2}"/>
    <hyperlink ref="C811" r:id="rId386" xr:uid="{B72F9640-BD4C-4A47-9980-593648900CDA}"/>
    <hyperlink ref="C814" r:id="rId387" xr:uid="{DA25AA07-1FD1-43F0-88B2-4FF4892D0B29}"/>
    <hyperlink ref="C815" r:id="rId388" xr:uid="{3187A7FC-0CD8-48DF-B9D5-44C4734C53C1}"/>
    <hyperlink ref="C818" r:id="rId389" xr:uid="{395B94FE-E579-4382-8291-C96D6747E606}"/>
    <hyperlink ref="C821" r:id="rId390" xr:uid="{8D5F7324-90FE-4252-B2BB-57BD2F5E8123}"/>
    <hyperlink ref="C824" r:id="rId391" xr:uid="{AF2297A8-7618-490D-B83C-F4D232C0E72A}"/>
    <hyperlink ref="C827" r:id="rId392" xr:uid="{50A9F440-D504-40B0-B0E6-8045F5D0DC2B}"/>
    <hyperlink ref="C828" r:id="rId393" xr:uid="{9FF8D858-4608-4547-BE46-11B0037AB287}"/>
    <hyperlink ref="C829" r:id="rId394" xr:uid="{3EC82D63-62A8-4AD8-97E2-9C207854B597}"/>
    <hyperlink ref="C832" r:id="rId395" xr:uid="{81BE34AC-35F8-470C-8144-0480E7E44836}"/>
    <hyperlink ref="C835" r:id="rId396" xr:uid="{E46AA96D-A4EA-49D2-A5FA-521F03C1157D}"/>
    <hyperlink ref="C838" r:id="rId397" xr:uid="{515A623C-48A2-44A7-B5EC-6995FCBE06D1}"/>
    <hyperlink ref="C841" r:id="rId398" xr:uid="{7EEC035C-86B4-45CA-9BCB-7E77CA972679}"/>
    <hyperlink ref="C844" r:id="rId399" xr:uid="{55BF245D-4579-4B34-913E-A0675BFF0F67}"/>
    <hyperlink ref="C847" r:id="rId400" xr:uid="{2E022131-E7E5-414A-A4A0-EFB1645170BF}"/>
    <hyperlink ref="C850" r:id="rId401" xr:uid="{F1F85499-F9A0-47D0-BA72-1305E1992FDB}"/>
    <hyperlink ref="C853" r:id="rId402" xr:uid="{A20B21BA-61BC-4846-96DC-B0FB51B84543}"/>
    <hyperlink ref="C856" r:id="rId403" xr:uid="{84C4F1FC-BDD8-45B4-B6E5-EAFD98E29CF8}"/>
    <hyperlink ref="C859" r:id="rId404" xr:uid="{9B717C22-01A7-4421-A5E5-94470A662345}"/>
    <hyperlink ref="C862" r:id="rId405" xr:uid="{6E2DF6BC-1949-4BC4-9DB0-BFD00F0DE619}"/>
    <hyperlink ref="C863" r:id="rId406" xr:uid="{E2A5B743-E365-4202-891E-261FCDC8BCA9}"/>
    <hyperlink ref="C866" r:id="rId407" xr:uid="{E8BDEEB2-105C-42F9-9A50-29787D8E5BEA}"/>
    <hyperlink ref="C869" r:id="rId408" xr:uid="{70B7FC0C-5ABF-48AD-941A-0716B8233170}"/>
    <hyperlink ref="C870" r:id="rId409" xr:uid="{E9B191D9-C611-4E68-AFB9-7FCA9B59AC37}"/>
    <hyperlink ref="C871" r:id="rId410" xr:uid="{81A9FC68-885E-4CA3-B4EE-4A3561C6AA93}"/>
    <hyperlink ref="C874" r:id="rId411" xr:uid="{CCA5ACE6-D514-40B9-ADD4-36A73D5EEDB9}"/>
    <hyperlink ref="C877" r:id="rId412" xr:uid="{D9246CE9-CDA5-48B0-8A90-C0AB4AB0D38A}"/>
    <hyperlink ref="C880" r:id="rId413" xr:uid="{F1977A47-DDDF-41D1-9430-90BAB9B12095}"/>
    <hyperlink ref="C883" r:id="rId414" xr:uid="{7C0B4784-3930-4236-87D2-6AA982E5EF23}"/>
    <hyperlink ref="C884" r:id="rId415" xr:uid="{6AB80D99-3F72-49C3-BBF7-FF312224D6E2}"/>
    <hyperlink ref="C887" r:id="rId416" xr:uid="{E7B3CE5D-E175-4024-B7C2-5DC32C7C69DA}"/>
    <hyperlink ref="C888" r:id="rId417" xr:uid="{5F7BBBFB-B8B1-47EB-83FB-FB5708DF1656}"/>
    <hyperlink ref="C891" r:id="rId418" xr:uid="{7A4FDB9A-B9E9-46DC-A8B1-DD29594600AD}"/>
    <hyperlink ref="C894" r:id="rId419" xr:uid="{4E384F21-10B0-4EF4-96DE-C97909CE7E20}"/>
    <hyperlink ref="C897" r:id="rId420" xr:uid="{035AB56E-3382-4DB4-964F-DA262349071E}"/>
    <hyperlink ref="C900" r:id="rId421" xr:uid="{09F7374C-E477-4877-8463-AF4581D12EA3}"/>
    <hyperlink ref="C903" r:id="rId422" xr:uid="{28488D04-BB44-493F-8B20-104B2F71973D}"/>
    <hyperlink ref="C906" r:id="rId423" xr:uid="{FD3DC9E8-A1D6-4A4D-A364-639D7CB74236}"/>
    <hyperlink ref="C909" r:id="rId424" xr:uid="{28938325-C14F-40A1-A2E9-96F462EDA0A5}"/>
    <hyperlink ref="C910" r:id="rId425" xr:uid="{7F1A77F5-AF20-44A9-BD66-A4CFCEDDAB3C}"/>
    <hyperlink ref="C913" r:id="rId426" xr:uid="{F77984C4-E5C5-4EE5-8232-E97833BAB911}"/>
    <hyperlink ref="C916" r:id="rId427" xr:uid="{D7D6BE3F-CA5C-45C3-9935-3517B124CD69}"/>
    <hyperlink ref="C919" r:id="rId428" xr:uid="{C53323A1-AB2F-4395-8556-0027CFA0792D}"/>
    <hyperlink ref="C920" r:id="rId429" xr:uid="{1C3ECD05-B2D6-415D-BD70-473AEA3E2A62}"/>
    <hyperlink ref="C921" r:id="rId430" xr:uid="{9AB04E57-F645-4996-A9C7-D4489A01C91E}"/>
    <hyperlink ref="C924" r:id="rId431" xr:uid="{A181B901-0784-427C-8141-3407438BF718}"/>
    <hyperlink ref="C927" r:id="rId432" xr:uid="{1101809D-2553-4D34-9B12-95E7E2320DCD}"/>
    <hyperlink ref="C930" r:id="rId433" xr:uid="{CAEAAE8E-4FA8-4446-A8C8-340D7F2D290A}"/>
    <hyperlink ref="C933" r:id="rId434" xr:uid="{E214844F-82AC-4BCB-BAB3-4ACEE02BB1B6}"/>
    <hyperlink ref="C936" r:id="rId435" xr:uid="{6177F52F-0591-4B20-A790-8EAC322F45E3}"/>
    <hyperlink ref="C939" r:id="rId436" xr:uid="{4A1D77BB-EA86-4B75-9173-21EF554AEAE6}"/>
    <hyperlink ref="C942" r:id="rId437" xr:uid="{A7C5B942-4A21-4139-9B1B-5F28C690471C}"/>
    <hyperlink ref="C945" r:id="rId438" xr:uid="{F6DB34E7-1A76-464A-99DF-C5DF62B48A88}"/>
    <hyperlink ref="C948" r:id="rId439" xr:uid="{F007A9E0-01B1-4D6D-AE28-1461AA35621B}"/>
    <hyperlink ref="C951" r:id="rId440" xr:uid="{339E0245-3ECE-4C3A-A985-21E7A4F91501}"/>
    <hyperlink ref="C954" r:id="rId441" xr:uid="{0CE4610D-B78A-4A6D-B48B-F5F5C6BAE200}"/>
    <hyperlink ref="C957" r:id="rId442" xr:uid="{1712AAA8-C112-46EB-A559-61EA6BF7B99E}"/>
    <hyperlink ref="C960" r:id="rId443" xr:uid="{E75C9857-84D1-44B3-B442-E3DBC6DEEB4E}"/>
    <hyperlink ref="C963" r:id="rId444" xr:uid="{11F57DD6-86F9-4E70-8E4B-6279223E0160}"/>
    <hyperlink ref="C966" r:id="rId445" xr:uid="{74E872B7-1DF3-4935-9906-3463CC144993}"/>
    <hyperlink ref="C969" r:id="rId446" xr:uid="{BECB0AEA-B23C-4213-82FE-248EF38C47E6}"/>
    <hyperlink ref="C972" r:id="rId447" xr:uid="{D9EE5D8B-03E6-4857-A120-543AB34B0ED2}"/>
    <hyperlink ref="C975" r:id="rId448" xr:uid="{17C8126A-FC7A-4E83-B52F-5F435E3578A9}"/>
    <hyperlink ref="C978" r:id="rId449" xr:uid="{283CB879-6B4D-4390-829A-038E47FED99C}"/>
    <hyperlink ref="C981" r:id="rId450" xr:uid="{4974357D-69AE-4462-A032-4DEA25515A62}"/>
    <hyperlink ref="C984" r:id="rId451" xr:uid="{627C4669-1177-4535-A1FB-8D2809CAE53F}"/>
    <hyperlink ref="C987" r:id="rId452" xr:uid="{243D5221-C65F-43D6-B1D3-659D147ACEFE}"/>
    <hyperlink ref="C988" r:id="rId453" xr:uid="{36941534-766B-418E-8B05-3BD3A1C96D4D}"/>
    <hyperlink ref="C991" r:id="rId454" xr:uid="{D7298FE8-400E-4EEB-B8DE-4CF79658CFD9}"/>
    <hyperlink ref="C992" r:id="rId455" xr:uid="{6A646962-73FF-474A-951B-3E6D44B46B21}"/>
    <hyperlink ref="C993" r:id="rId456" xr:uid="{147704F2-769A-472C-A57D-8E125868AB8B}"/>
    <hyperlink ref="C994" r:id="rId457" xr:uid="{3E89C21D-0D09-4C62-94B6-5ABF8874079A}"/>
    <hyperlink ref="C997" r:id="rId458" xr:uid="{BBF48D77-FE59-46DD-86D9-FA901034FCA6}"/>
    <hyperlink ref="C1000" r:id="rId459" xr:uid="{8C9C1E2B-8CB6-4535-8452-5B1028C2A5D6}"/>
    <hyperlink ref="C1003" r:id="rId460" xr:uid="{FBD37CC9-DCF7-46AE-8272-7ED798836CB0}"/>
    <hyperlink ref="C1006" r:id="rId461" xr:uid="{A8ADBA6F-A31A-4B9E-86E7-00B405622D83}"/>
    <hyperlink ref="C1009" r:id="rId462" xr:uid="{69A1E88D-E369-44E5-B0E0-481C9606EA10}"/>
    <hyperlink ref="C1010" r:id="rId463" xr:uid="{02032D96-2AFE-4782-86AF-D9451B4BF3D0}"/>
    <hyperlink ref="C1011" r:id="rId464" xr:uid="{0BA4B348-E3B4-451B-8EF0-6EA4B6AC0403}"/>
    <hyperlink ref="C1012" r:id="rId465" xr:uid="{46798AE9-089D-4B54-A778-D737243D2090}"/>
    <hyperlink ref="C1013" r:id="rId466" xr:uid="{C5EC556A-189C-4173-9B7F-901B86C7CB3A}"/>
    <hyperlink ref="C1014" r:id="rId467" xr:uid="{94B6AA52-27D6-4759-A77A-B71713D9468E}"/>
    <hyperlink ref="C1017" r:id="rId468" xr:uid="{70781BC3-B4F9-4F47-A39C-0C5A877D754A}"/>
    <hyperlink ref="C1020" r:id="rId469" xr:uid="{412F4727-D6F6-41A1-9B4D-2E8A2BFDE25C}"/>
    <hyperlink ref="C1023" r:id="rId470" xr:uid="{5D23A28B-CF4F-4762-ACB9-5CE3F2943B81}"/>
    <hyperlink ref="C1026" r:id="rId471" xr:uid="{E6D3BA8E-E595-4652-BA8D-8051A73C3BB3}"/>
    <hyperlink ref="C1029" r:id="rId472" xr:uid="{580C2181-C413-4FFC-80D8-23C5B805A420}"/>
    <hyperlink ref="C1030" r:id="rId473" xr:uid="{AE27C9B7-AE36-4083-BAF8-FA74A84FAA6E}"/>
    <hyperlink ref="C1031" r:id="rId474" xr:uid="{A9293B26-8D8A-4160-98AF-EE9D1C877728}"/>
    <hyperlink ref="C1032" r:id="rId475" xr:uid="{25F76A12-6DE1-4B8D-8AAE-CC1DF1BDCEFA}"/>
    <hyperlink ref="C1033" r:id="rId476" xr:uid="{285E65BF-8BDA-403E-882F-81CE005A44F4}"/>
    <hyperlink ref="C1034" r:id="rId477" xr:uid="{A1C30DCE-3B16-4EC6-AA1F-50D251084D83}"/>
    <hyperlink ref="C1037" r:id="rId478" xr:uid="{B07E23A6-7940-466C-838F-18FC68ED06A8}"/>
    <hyperlink ref="C1040" r:id="rId479" xr:uid="{0B1E6A30-326C-4A10-AFDA-A7A3490AA784}"/>
    <hyperlink ref="C1043" r:id="rId480" xr:uid="{185A0BBF-91C7-42BE-8302-BFC9A713023A}"/>
    <hyperlink ref="C1046" r:id="rId481" xr:uid="{CAB9FA5E-D386-46D0-85A3-C625F865C01E}"/>
    <hyperlink ref="C1049" r:id="rId482" xr:uid="{14DCE2DE-8C1E-4F8C-8A8F-E35E926808B7}"/>
    <hyperlink ref="C1050" r:id="rId483" xr:uid="{DAA77969-6C50-47B8-B0C3-14CBEDA65DB7}"/>
    <hyperlink ref="C1051" r:id="rId484" xr:uid="{DEA33F72-26E7-4303-9B2B-BBD0C9BD40A1}"/>
    <hyperlink ref="C1052" r:id="rId485" xr:uid="{4D48E5DB-1DFC-4D5B-9F2B-F113EA6A6EB9}"/>
    <hyperlink ref="C1055" r:id="rId486" xr:uid="{44EA4EF7-BF4E-41D0-98DF-E9BFC2BAD0F9}"/>
    <hyperlink ref="C1058" r:id="rId487" xr:uid="{E4AE9B7B-4A5B-4B1B-9574-CF53DA29C3DA}"/>
    <hyperlink ref="C1061" r:id="rId488" xr:uid="{4A3E86D3-7DF5-4B6D-BDF0-B2182F7269A6}"/>
    <hyperlink ref="C1064" r:id="rId489" xr:uid="{324ECD83-0893-4712-B2EC-5E1F3CAF8559}"/>
    <hyperlink ref="C1067" r:id="rId490" xr:uid="{50E99097-C28E-47E8-8517-26526E62A639}"/>
    <hyperlink ref="C1068" r:id="rId491" xr:uid="{146F45C8-013B-4428-885F-A71CEBBEE601}"/>
    <hyperlink ref="C1069" r:id="rId492" xr:uid="{BB0E2F5A-B80B-4BC0-BF59-FD6443DC3385}"/>
    <hyperlink ref="C1070" r:id="rId493" xr:uid="{0C38A9C0-D456-4874-BC73-C5B6DD2D6C79}"/>
    <hyperlink ref="C1071" r:id="rId494" xr:uid="{0BFC5B45-FC66-4E9A-9E05-0B04A5646BE9}"/>
    <hyperlink ref="C1072" r:id="rId495" xr:uid="{0662F5E9-2242-4A28-B346-461C022F3AB7}"/>
    <hyperlink ref="C1075" r:id="rId496" xr:uid="{296F2648-7480-4135-BA87-C0D32631364B}"/>
    <hyperlink ref="C1078" r:id="rId497" xr:uid="{62FC1D68-A3AF-4634-9281-4C5AA287D3D8}"/>
    <hyperlink ref="C1081" r:id="rId498" xr:uid="{A899FA19-2773-4F90-BB89-002DC59C7025}"/>
    <hyperlink ref="C1084" r:id="rId499" xr:uid="{A3408372-003B-42F7-9CB3-4D5B53521875}"/>
    <hyperlink ref="C1087" r:id="rId500" xr:uid="{758F28D9-FF1C-4CBB-AAEA-B11854C3460C}"/>
    <hyperlink ref="C1090" r:id="rId501" xr:uid="{6C36789C-73D2-44F4-863A-7F5F02B485D7}"/>
    <hyperlink ref="C1093" r:id="rId502" xr:uid="{FBEDEB8C-E0C6-4227-A0AA-0130E71C1C89}"/>
    <hyperlink ref="C1096" r:id="rId503" xr:uid="{7CF226F3-4C55-418A-8841-F1876C6E7156}"/>
    <hyperlink ref="C1099" r:id="rId504" xr:uid="{5ACC5A4C-2E5C-44EA-BB54-234E93351D5B}"/>
    <hyperlink ref="C1102" r:id="rId505" xr:uid="{10AEAB44-5F00-4DE0-BB5A-C303B80F8EBA}"/>
    <hyperlink ref="C1105" r:id="rId506" xr:uid="{980BE939-6EB7-4626-95C9-4D8948F4824B}"/>
    <hyperlink ref="C1106" r:id="rId507" xr:uid="{36976607-48DD-461F-8355-475D213189DB}"/>
    <hyperlink ref="C1109" r:id="rId508" xr:uid="{F2638CBF-353B-4588-9FA6-8BEB1349077A}"/>
    <hyperlink ref="C1110" r:id="rId509" xr:uid="{7D3E0A58-4F2B-4590-A9A4-117F1240F665}"/>
    <hyperlink ref="C1113" r:id="rId510" xr:uid="{FDDD4A3B-0A50-461D-960A-FF383A0A8D21}"/>
    <hyperlink ref="C1116" r:id="rId511" xr:uid="{0958B65E-AF71-4E9E-82D0-091FDE752B15}"/>
    <hyperlink ref="C1119" r:id="rId512" xr:uid="{78A3CCCF-7302-4A02-8F75-8CC09E3D902C}"/>
    <hyperlink ref="C1122" r:id="rId513" xr:uid="{06440CF9-F739-4ACD-A987-E451557E87F0}"/>
    <hyperlink ref="C1125" r:id="rId514" xr:uid="{BEE5EF11-AD28-4D60-9C57-0AF21925852D}"/>
    <hyperlink ref="C1128" r:id="rId515" xr:uid="{48739EC1-99BC-4F5F-853A-EEFC6B12CEF8}"/>
    <hyperlink ref="C1131" r:id="rId516" xr:uid="{52041300-8B00-4AF5-BC30-DF530135A802}"/>
    <hyperlink ref="C1134" r:id="rId517" xr:uid="{D362D525-8D6F-46AF-98BC-77668FDF55C7}"/>
    <hyperlink ref="C1137" r:id="rId518" xr:uid="{713DF8B5-F129-49BB-8E57-76A452EF4974}"/>
    <hyperlink ref="C1140" r:id="rId519" xr:uid="{E6E72462-3C9D-4D4F-BEA7-1FA1ADC7CBCF}"/>
    <hyperlink ref="C1143" r:id="rId520" xr:uid="{998023B5-164F-422A-9569-08F29D7E510D}"/>
    <hyperlink ref="C1146" r:id="rId521" xr:uid="{21002638-B82C-4101-91A5-963C01260C41}"/>
    <hyperlink ref="C1149" r:id="rId522" xr:uid="{5A7CEB87-6739-4818-8046-341BC9D894E7}"/>
    <hyperlink ref="C1152" r:id="rId523" xr:uid="{82DE66B9-898A-42AB-A705-D72B6315E420}"/>
    <hyperlink ref="C1155" r:id="rId524" xr:uid="{8146045B-3F75-48C8-B5AC-00B005D08B39}"/>
    <hyperlink ref="C1156" r:id="rId525" xr:uid="{84D275CD-EB40-4DDF-9043-D5E4C0FEE42F}"/>
    <hyperlink ref="C1157" r:id="rId526" xr:uid="{5513BCA8-6D55-4880-A405-3323F06575CC}"/>
    <hyperlink ref="C1158" r:id="rId527" xr:uid="{E38AD549-056B-445A-964F-A30CC4666058}"/>
    <hyperlink ref="C1161" r:id="rId528" xr:uid="{3AACCFDB-A1C2-4133-962B-42908E07A806}"/>
    <hyperlink ref="C1164" r:id="rId529" xr:uid="{86D43354-25B5-4D33-9471-B129F9B0DC52}"/>
    <hyperlink ref="C1167" r:id="rId530" xr:uid="{5712ABAF-3A44-46A0-8CCE-E0058EB9114B}"/>
    <hyperlink ref="C1168" r:id="rId531" xr:uid="{38FAE7BA-F3D6-4099-8C1C-E376D91E2E8D}"/>
    <hyperlink ref="C1169" r:id="rId532" xr:uid="{131AF15D-82DB-4935-9B4E-14649FDEE216}"/>
    <hyperlink ref="C1172" r:id="rId533" xr:uid="{B0AA227C-1103-4B31-A6E0-F883859A6A0E}"/>
    <hyperlink ref="C1175" r:id="rId534" xr:uid="{3AEC031E-93B8-4FA0-938D-1E8A9FD3C286}"/>
    <hyperlink ref="C1178" r:id="rId535" xr:uid="{FBCD052D-41CB-4C8C-8C39-9D8285348614}"/>
    <hyperlink ref="C1181" r:id="rId536" xr:uid="{46D9B2F6-93E7-4854-8233-DE25BDA9ED14}"/>
    <hyperlink ref="C1182" r:id="rId537" xr:uid="{C8E2A9AA-E57F-4058-A813-F015A306E611}"/>
    <hyperlink ref="C1183" r:id="rId538" xr:uid="{B55EC27B-16EB-455C-BF20-0D5777928D70}"/>
    <hyperlink ref="C1186" r:id="rId539" xr:uid="{D8899E5C-9CE6-4372-BF36-6BFF0D8BE2DA}"/>
    <hyperlink ref="C1189" r:id="rId540" xr:uid="{D3FC49C7-9E32-4D63-AE37-9FDF8BEB1403}"/>
    <hyperlink ref="C1192" r:id="rId541" xr:uid="{04096A93-8BAA-46A8-9475-98AAC0DCAF01}"/>
    <hyperlink ref="C1195" r:id="rId542" xr:uid="{D08FAE87-30DC-4B4C-9EA7-A19C24820378}"/>
    <hyperlink ref="C1198" r:id="rId543" xr:uid="{1748EB4A-83D9-48A3-A8EE-69EDF5774A3F}"/>
    <hyperlink ref="C1201" r:id="rId544" xr:uid="{EAE6488F-BCA2-4B15-AE1D-3641D54ADDA3}"/>
    <hyperlink ref="C1202" r:id="rId545" xr:uid="{F25B1491-0E9A-43A1-BBA7-6E041F94A4BF}"/>
    <hyperlink ref="C1205" r:id="rId546" xr:uid="{598D3763-DF06-48DB-A3AC-B412BBD287A2}"/>
    <hyperlink ref="C1208" r:id="rId547" xr:uid="{4CD120E2-10DA-46AD-8101-BED400A07180}"/>
    <hyperlink ref="C1211" r:id="rId548" xr:uid="{82CD3521-3C94-4FC2-9D8F-EBEC9B7B3DB5}"/>
    <hyperlink ref="C1212" r:id="rId549" xr:uid="{5CB8E55F-EEB0-42DC-9A8F-5C4DEFDAE469}"/>
    <hyperlink ref="C1215" r:id="rId550" xr:uid="{34B2A355-7FE3-4787-9F96-650170EDA23A}"/>
    <hyperlink ref="C1218" r:id="rId551" xr:uid="{B2786A05-FAA9-48BB-9B4C-5020B20B9641}"/>
    <hyperlink ref="C1221" r:id="rId552" xr:uid="{E25B7AE2-FFD3-4A07-B5EF-4171423A1FB1}"/>
    <hyperlink ref="C1224" r:id="rId553" xr:uid="{5CAAA82B-3A1D-4A13-A2CB-A5A9C0FF25F8}"/>
    <hyperlink ref="C1227" r:id="rId554" xr:uid="{F4C39855-18F0-42CD-82C9-E35BF9347249}"/>
    <hyperlink ref="C1230" r:id="rId555" xr:uid="{E009BE80-33E6-4829-9A2B-3C079876A65E}"/>
    <hyperlink ref="C1233" r:id="rId556" xr:uid="{0D28DE7C-1CE3-4A79-84A2-31556B5C6EAE}"/>
    <hyperlink ref="C1234" r:id="rId557" xr:uid="{092D47EE-9A08-4985-A3C1-9A36EAA742DE}"/>
    <hyperlink ref="C1237" r:id="rId558" xr:uid="{6179E523-F7E4-4A42-878A-2F58DC926C0C}"/>
    <hyperlink ref="C1238" r:id="rId559" xr:uid="{EDDDDD22-D416-442C-81A6-F9493380C38C}"/>
    <hyperlink ref="C1241" r:id="rId560" xr:uid="{1001B0D9-4C95-4CE4-BD21-1973F3E6C1B6}"/>
    <hyperlink ref="C1244" r:id="rId561" xr:uid="{3139BD09-634B-45A9-93D4-89FD361EAAD6}"/>
    <hyperlink ref="C1247" r:id="rId562" xr:uid="{B3173FF8-D844-4F3A-B250-9D941BEC7AE9}"/>
    <hyperlink ref="C1250" r:id="rId563" xr:uid="{8B0810A3-2E0D-4EF3-A804-145BAA766E8C}"/>
    <hyperlink ref="C1253" r:id="rId564" xr:uid="{30432BA1-3D78-427E-AE12-63D1AFA3DF99}"/>
    <hyperlink ref="C1256" r:id="rId565" xr:uid="{45F0AAD3-7F77-49E8-898C-67FD11562A17}"/>
    <hyperlink ref="C1259" r:id="rId566" xr:uid="{9C732A3F-40B9-4CF8-92EA-7C47AAD0793F}"/>
    <hyperlink ref="C1262" r:id="rId567" xr:uid="{8977DD61-6971-4013-9E5E-CCCBCEF77DC1}"/>
    <hyperlink ref="C1265" r:id="rId568" xr:uid="{7138BF5D-E3E2-4FE2-8160-AB802442B92C}"/>
    <hyperlink ref="C1268" r:id="rId569" xr:uid="{F92AB47C-5FCC-432A-9E6F-D093F02DB116}"/>
    <hyperlink ref="C1271" r:id="rId570" xr:uid="{E0106D0F-359F-4379-AAD1-EF8B28F1439B}"/>
    <hyperlink ref="C1274" r:id="rId571" xr:uid="{8108CD24-40C8-4F02-A2D1-6DE81504D492}"/>
    <hyperlink ref="C1277" r:id="rId572" xr:uid="{EB7C686A-DD20-4A3F-972A-5410C4F5A8A6}"/>
    <hyperlink ref="C1280" r:id="rId573" xr:uid="{140D0428-C4D8-4F16-AE54-D7FE3D9C5A99}"/>
    <hyperlink ref="C1283" r:id="rId574" xr:uid="{0C8AFB4C-5D2F-4FCD-AFC9-73717101CBE6}"/>
    <hyperlink ref="C1286" r:id="rId575" xr:uid="{DAB54640-25C0-4B38-B53B-3B31483E4F34}"/>
    <hyperlink ref="C1289" r:id="rId576" xr:uid="{46CA8FB6-C075-4813-81A9-42D963C98163}"/>
    <hyperlink ref="C1290" r:id="rId577" xr:uid="{00839185-A5F4-4CD5-8B0B-3AD8ED21288D}"/>
    <hyperlink ref="C1291" r:id="rId578" xr:uid="{917A24C3-1D97-45AF-B541-7CFE095D5C48}"/>
    <hyperlink ref="C1294" r:id="rId579" xr:uid="{92B51DA3-BB03-436F-8D09-85064EC6EA5F}"/>
    <hyperlink ref="C1295" r:id="rId580" xr:uid="{4FAD8A77-B139-4803-88A7-2FBFCC4F3B93}"/>
    <hyperlink ref="C1298" r:id="rId581" xr:uid="{5391342C-8E03-40D0-B50D-78C326CCA0ED}"/>
    <hyperlink ref="C1301" r:id="rId582" xr:uid="{366DAEC2-EFE2-4C9A-9137-C852C4FDE176}"/>
    <hyperlink ref="C1304" r:id="rId583" xr:uid="{3B7BBED2-114F-4786-9988-20AD59B9C9A7}"/>
    <hyperlink ref="C1307" r:id="rId584" xr:uid="{32D7DBB0-8B41-4F4D-87E5-EB340FFE8703}"/>
    <hyperlink ref="C1310" r:id="rId585" xr:uid="{682057B8-C526-4454-B962-8EC64AE04CDD}"/>
    <hyperlink ref="C1313" r:id="rId586" xr:uid="{5D00F252-AE3D-41E8-808F-705FCAF10933}"/>
    <hyperlink ref="C1316" r:id="rId587" xr:uid="{57E800C7-7A63-43A3-9B86-E3A7FF86805E}"/>
    <hyperlink ref="C1319" r:id="rId588" xr:uid="{103C718D-784A-4414-BF0A-2953978F64D1}"/>
    <hyperlink ref="C1320" r:id="rId589" xr:uid="{4038BB6F-B03B-4A11-B248-003F310B2D54}"/>
    <hyperlink ref="C1321" r:id="rId590" xr:uid="{BA15BA59-B1FB-46FF-B10B-EFE0E286E867}"/>
    <hyperlink ref="C1322" r:id="rId591" xr:uid="{475D3891-D888-4B44-827B-4824F5A03858}"/>
    <hyperlink ref="C1325" r:id="rId592" xr:uid="{E759AA67-5DAF-4FDF-A44F-975D5B60FDA5}"/>
    <hyperlink ref="C1326" r:id="rId593" xr:uid="{C6C3A027-624A-459F-A07B-5AD51209A462}"/>
    <hyperlink ref="C1327" r:id="rId594" xr:uid="{950CFC01-243B-46F6-9178-D3DCD2AB1E02}"/>
    <hyperlink ref="C1328" r:id="rId595" xr:uid="{3049B6D2-9C5B-4960-8DED-3C4705A80C6A}"/>
    <hyperlink ref="C1331" r:id="rId596" xr:uid="{368B8810-DD27-4120-BE51-CCFB1D381F86}"/>
    <hyperlink ref="C1332" r:id="rId597" xr:uid="{7159AC5E-8484-4657-A070-C5AB8ADACB69}"/>
    <hyperlink ref="C1333" r:id="rId598" xr:uid="{2B002CF1-B017-4783-9E88-8127C8683FE1}"/>
    <hyperlink ref="C1334" r:id="rId599" xr:uid="{B1FA2DB1-DDA9-4607-AE84-6519ADDC5EE4}"/>
    <hyperlink ref="C1335" r:id="rId600" xr:uid="{7F4146E1-9602-48D6-B70A-DC0BA843C242}"/>
    <hyperlink ref="C1338" r:id="rId601" xr:uid="{3B18551D-80D8-46B7-BEA2-E02C16E09D3F}"/>
    <hyperlink ref="C1341" r:id="rId602" xr:uid="{C056943A-AD98-4FCE-9342-7E5D51F9C030}"/>
    <hyperlink ref="C1344" r:id="rId603" xr:uid="{5095ED31-8137-45AA-B517-78A8ACEFB965}"/>
    <hyperlink ref="C1347" r:id="rId604" xr:uid="{D590A032-1CE0-4367-B024-86D5B03B68CD}"/>
    <hyperlink ref="C1350" r:id="rId605" xr:uid="{CD1DA258-BEA6-4437-B1A7-D59B370424D9}"/>
    <hyperlink ref="C1353" r:id="rId606" xr:uid="{FA9535AB-887C-45C7-862F-19DF116D1236}"/>
    <hyperlink ref="C1356" r:id="rId607" xr:uid="{6B6A9CC2-E4F3-4ED3-A999-4263E7D9D364}"/>
    <hyperlink ref="C1359" r:id="rId608" xr:uid="{BAC6BEA7-CD12-4EA1-B667-0708E714D7D9}"/>
    <hyperlink ref="C1362" r:id="rId609" xr:uid="{C1390AD3-A3FF-4EE3-9A94-7C62EBADF815}"/>
    <hyperlink ref="C1365" r:id="rId610" xr:uid="{C9D9C893-D487-47B3-8DBD-9C268E383E6D}"/>
    <hyperlink ref="C1368" r:id="rId611" xr:uid="{5C738AAB-5FC9-4AF4-B58F-042BD84A8AA6}"/>
    <hyperlink ref="C1371" r:id="rId612" xr:uid="{C9536EB4-14C9-41F8-9EEB-A42DE1D59349}"/>
    <hyperlink ref="C1374" r:id="rId613" xr:uid="{491B151F-4C05-4626-9713-0C71ACFAF910}"/>
    <hyperlink ref="C1377" r:id="rId614" xr:uid="{C5FCC376-6D2D-49F9-9300-705A81FC6FD0}"/>
    <hyperlink ref="C1380" r:id="rId615" xr:uid="{0D3ABA80-FFA7-4EB1-A255-4FFF03D12852}"/>
    <hyperlink ref="C1383" r:id="rId616" xr:uid="{244B3B10-54FB-42D9-A7D4-DDB9B2749E6D}"/>
    <hyperlink ref="C1386" r:id="rId617" xr:uid="{03F1D3FD-B8CA-4996-B0D6-E62F6220C2F6}"/>
    <hyperlink ref="C1389" r:id="rId618" xr:uid="{2443FDE4-395B-4C5D-8502-5053BBA213D7}"/>
    <hyperlink ref="C1392" r:id="rId619" xr:uid="{D235933A-F6B4-4CBC-900A-A1611048D145}"/>
    <hyperlink ref="C1395" r:id="rId620" xr:uid="{7452D4A9-7566-4263-BAE8-358BEC3FA125}"/>
    <hyperlink ref="C1398" r:id="rId621" xr:uid="{A8E4E320-6DC7-439D-858F-7181191703FE}"/>
    <hyperlink ref="C1401" r:id="rId622" xr:uid="{A085FF44-C576-4E6D-9E92-F50B678E6DA0}"/>
    <hyperlink ref="C1404" r:id="rId623" xr:uid="{628FB7D4-3DFB-482A-BBE6-C51EC179910A}"/>
    <hyperlink ref="C1407" r:id="rId624" xr:uid="{91F52CE2-AA3A-482E-BAAD-0BCB7F5D113C}"/>
    <hyperlink ref="C1408" r:id="rId625" xr:uid="{75CB51A8-0935-4B54-A706-F83C1A8E9A88}"/>
    <hyperlink ref="C1411" r:id="rId626" xr:uid="{182C4553-2B8E-43EE-8E3D-94D14D633BC7}"/>
    <hyperlink ref="C1414" r:id="rId627" xr:uid="{0244D380-3336-4AA6-BFC9-A9D30A0AAE0D}"/>
    <hyperlink ref="C1417" r:id="rId628" xr:uid="{2C916E5A-FF4F-47B8-B37D-7EB61484E930}"/>
    <hyperlink ref="C1420" r:id="rId629" xr:uid="{A4385736-2202-4434-A15A-736D72E7E6CE}"/>
    <hyperlink ref="C1423" r:id="rId630" xr:uid="{19134F73-DB71-4B97-A45B-1B42DFF4F0D0}"/>
    <hyperlink ref="C1426" r:id="rId631" xr:uid="{32B619D8-FB00-4A49-8C15-DDD9AB79B825}"/>
    <hyperlink ref="C1429" r:id="rId632" xr:uid="{E3245FF4-23AC-405F-B5E0-9D63EE334CE6}"/>
    <hyperlink ref="C1432" r:id="rId633" xr:uid="{D2910685-0BFB-4D3B-A5C6-29D045BEC8FB}"/>
    <hyperlink ref="C1433" r:id="rId634" xr:uid="{DE0D6172-ABBA-4302-9370-4C2668F36BFA}"/>
    <hyperlink ref="C1436" r:id="rId635" xr:uid="{4B012623-2429-494F-80AD-03E6C6F74510}"/>
    <hyperlink ref="C1439" r:id="rId636" xr:uid="{4F050D5F-653F-4646-BF41-207DEC42302B}"/>
    <hyperlink ref="C1442" r:id="rId637" xr:uid="{7DAFB75F-FB17-43D9-85E1-E4392B72521F}"/>
    <hyperlink ref="C1445" r:id="rId638" xr:uid="{CED86355-98B4-4227-A8B6-E68F8D35C01D}"/>
    <hyperlink ref="C1448" r:id="rId639" xr:uid="{65890B0D-F0FA-4731-9536-3C3E2BB27C13}"/>
    <hyperlink ref="C1449" r:id="rId640" xr:uid="{418F948D-ADC6-4EB8-9AA3-224A3E74A652}"/>
    <hyperlink ref="C1450" r:id="rId641" xr:uid="{5C7F291B-41AC-445F-99BA-8B3CB3250284}"/>
    <hyperlink ref="C1451" r:id="rId642" xr:uid="{F468EDE7-7225-43D5-9900-B5A475C988E7}"/>
    <hyperlink ref="C1454" r:id="rId643" xr:uid="{196E8CDF-99A1-4F4D-BABE-F5ACDDA72113}"/>
    <hyperlink ref="C1457" r:id="rId644" xr:uid="{A8CC431C-86C8-4326-A2E2-7DC0F3595B5A}"/>
    <hyperlink ref="C1460" r:id="rId645" xr:uid="{7ABDEB2D-0DA7-4BDC-B9E0-037F8C545316}"/>
    <hyperlink ref="C1463" r:id="rId646" xr:uid="{1AC7FB70-C0A3-4AB5-B100-3A0E6767DFDE}"/>
    <hyperlink ref="C1464" r:id="rId647" xr:uid="{27FD6287-4D50-4541-9208-3904F5EDF18D}"/>
    <hyperlink ref="C1465" r:id="rId648" xr:uid="{20D66C60-FE7C-4C76-AEC0-6B3653B72D68}"/>
    <hyperlink ref="C1468" r:id="rId649" xr:uid="{FC25BBA5-DF74-4DD9-BAAC-D1A082D88C53}"/>
    <hyperlink ref="C1471" r:id="rId650" xr:uid="{606405D3-8E3D-410F-87F3-C44D14C3A0D6}"/>
    <hyperlink ref="C1474" r:id="rId651" xr:uid="{8D40E416-977B-42AF-836C-C07F9A25714D}"/>
    <hyperlink ref="C1475" r:id="rId652" xr:uid="{C5101C60-CAAC-44E4-BFCD-F66C7C0C5691}"/>
    <hyperlink ref="C1476" r:id="rId653" xr:uid="{47B3ED11-65DF-44F0-89AE-A701879B91FB}"/>
    <hyperlink ref="C1477" r:id="rId654" xr:uid="{82233D7D-885E-4EB0-9AF9-3A83238215CA}"/>
    <hyperlink ref="C1480" r:id="rId655" xr:uid="{52C62385-9DCB-4968-96CA-DE70E3E6B353}"/>
    <hyperlink ref="C1481" r:id="rId656" xr:uid="{F2EBC9BF-8F67-44F9-B961-1EB7AD63C83B}"/>
    <hyperlink ref="C1482" r:id="rId657" xr:uid="{0D5A4DA4-F04B-4B9A-98EE-D5BB6E6BC6DE}"/>
    <hyperlink ref="C1483" r:id="rId658" xr:uid="{DBDCDA95-09BC-4F78-85CF-10EBC4B041A5}"/>
    <hyperlink ref="C1486" r:id="rId659" xr:uid="{7F60C965-F643-4FF6-8908-3CD7409B3807}"/>
    <hyperlink ref="C1487" r:id="rId660" xr:uid="{2B4B9BB5-78DC-4698-BE99-23808DB3A2E7}"/>
    <hyperlink ref="C1490" r:id="rId661" xr:uid="{C77CEF64-E151-4410-A33E-7CF69C832476}"/>
    <hyperlink ref="C1493" r:id="rId662" xr:uid="{2BF767F1-B2C5-4AA5-93AC-FF4591F0D922}"/>
    <hyperlink ref="C1496" r:id="rId663" xr:uid="{6B3AB20E-4CC9-4B67-AADA-F498DE2157CE}"/>
    <hyperlink ref="C1497" r:id="rId664" xr:uid="{36474978-C8A3-4B21-8402-E4F37C287AE3}"/>
    <hyperlink ref="C1500" r:id="rId665" xr:uid="{13C79A65-CECF-4BEB-8A66-1400C4A56F35}"/>
    <hyperlink ref="C1503" r:id="rId666" xr:uid="{2C0DA71D-0EDE-44C3-949A-08F5FCD2510F}"/>
    <hyperlink ref="C1506" r:id="rId667" xr:uid="{5D2CF3AF-D439-4037-9565-ACFA3BEF82BD}"/>
    <hyperlink ref="C1509" r:id="rId668" xr:uid="{CDBC198F-68C5-4A05-9FC5-2F0AB6917D19}"/>
    <hyperlink ref="C1512" r:id="rId669" xr:uid="{D6F3F6ED-5BCF-47D4-B6D1-77E5BAFD4712}"/>
    <hyperlink ref="C1515" r:id="rId670" xr:uid="{CF1EA16D-FD2C-4379-AF01-A2F39E81DD4D}"/>
    <hyperlink ref="C1518" r:id="rId671" xr:uid="{C824204E-3C74-4A1C-AA2D-E78E0A58F1D7}"/>
    <hyperlink ref="C1521" r:id="rId672" xr:uid="{435C364A-1FD0-4478-BAA1-7D9030374C3D}"/>
    <hyperlink ref="C1524" r:id="rId673" xr:uid="{922C8CCF-E9F9-497B-9C47-71F35977E838}"/>
    <hyperlink ref="C1527" r:id="rId674" xr:uid="{1D97955C-8E75-4A29-BD4E-DF8AA04FE4D8}"/>
    <hyperlink ref="C1530" r:id="rId675" xr:uid="{59F11B64-D30F-42FE-A8EC-B1536A6A1407}"/>
    <hyperlink ref="C1533" r:id="rId676" xr:uid="{E752DDBA-1406-4380-B9C8-262C79218DA1}"/>
    <hyperlink ref="C1536" r:id="rId677" xr:uid="{3AC93FB1-DAEC-4A83-A6AE-F789E205BD4A}"/>
    <hyperlink ref="C1539" r:id="rId678" xr:uid="{9EFDF6C9-6EF2-42B4-8259-4441EB3EF583}"/>
    <hyperlink ref="C1542" r:id="rId679" xr:uid="{C8F35E7E-0355-424C-82DD-E3327DBE401E}"/>
    <hyperlink ref="C1545" r:id="rId680" xr:uid="{C59F3152-00FF-4CA6-BC56-CAF271542E88}"/>
    <hyperlink ref="C1548" r:id="rId681" xr:uid="{2477396E-6AAE-40A8-94B1-641A90113A3A}"/>
    <hyperlink ref="C1551" r:id="rId682" xr:uid="{F42077B1-46ED-4051-9324-496302E8B4B5}"/>
    <hyperlink ref="C1554" r:id="rId683" xr:uid="{0328C942-C377-445D-99E6-497B95FBC072}"/>
    <hyperlink ref="C1557" r:id="rId684" xr:uid="{D0725AE2-FFF9-47E5-9D93-1885093BFF6B}"/>
    <hyperlink ref="C1560" r:id="rId685" xr:uid="{AA385B32-4000-4751-8C6E-C28782CF0ED4}"/>
    <hyperlink ref="C1563" r:id="rId686" xr:uid="{F2D120F6-DCE4-42F3-A90B-E3C639F11883}"/>
    <hyperlink ref="C1564" r:id="rId687" xr:uid="{C47ADFF8-B41C-4940-9938-DB1DB5EF4782}"/>
    <hyperlink ref="C1565" r:id="rId688" xr:uid="{0ED272D9-834F-4EF8-9F88-73D54D4D2AA4}"/>
    <hyperlink ref="C1568" r:id="rId689" xr:uid="{08FD97AA-66A0-4A0B-980C-E1AB79D8A757}"/>
    <hyperlink ref="C1569" r:id="rId690" xr:uid="{AC9A3C85-A0BB-428A-864A-9B751E3D001D}"/>
    <hyperlink ref="C1570" r:id="rId691" xr:uid="{64CAB069-E894-4BC3-AB58-D6DC3B5A185E}"/>
    <hyperlink ref="C1573" r:id="rId692" xr:uid="{FF6FE676-1DE8-42AA-8B08-D55806FC026A}"/>
    <hyperlink ref="C1574" r:id="rId693" xr:uid="{4173F1D9-8332-43FC-A2EE-59EDF8522D50}"/>
    <hyperlink ref="C1577" r:id="rId694" xr:uid="{DC43CCD0-D422-4B30-B5BE-6986DD23E797}"/>
    <hyperlink ref="C1580" r:id="rId695" xr:uid="{4F46806C-0488-40CF-B7BF-E722331E73B6}"/>
    <hyperlink ref="C1581" r:id="rId696" xr:uid="{A0A03094-A6B4-4B0B-AA12-B8BF4774FE31}"/>
    <hyperlink ref="C1582" r:id="rId697" xr:uid="{2F1A51FC-00D5-4FD6-8291-590B7CAD8608}"/>
    <hyperlink ref="C1583" r:id="rId698" xr:uid="{275A8D0E-70B1-4384-A13B-9075513FBC4E}"/>
    <hyperlink ref="C1586" r:id="rId699" xr:uid="{F9041D8A-4E03-4C30-9948-FDF002C94CB7}"/>
    <hyperlink ref="C1589" r:id="rId700" xr:uid="{847241F3-AD55-474D-BEC6-6EB81FF5B60A}"/>
    <hyperlink ref="C1592" r:id="rId701" xr:uid="{0FA3BD95-4380-4C3C-AE0C-0CAFD1B046B3}"/>
    <hyperlink ref="C1595" r:id="rId702" xr:uid="{1E10B774-EF61-4B03-B3F7-E89DCA8F1405}"/>
    <hyperlink ref="C1598" r:id="rId703" xr:uid="{22B6574F-DEA5-48AB-9492-CDFDF47A0F5F}"/>
    <hyperlink ref="C1599" r:id="rId704" xr:uid="{BE6C8BE2-9A41-4207-A2CD-50BB04174FA3}"/>
    <hyperlink ref="C1602" r:id="rId705" xr:uid="{3DC6A018-AE92-499A-9C6F-C53D3E1D9972}"/>
    <hyperlink ref="C1605" r:id="rId706" xr:uid="{38B10876-00A3-498C-9B35-FDA257FE07AB}"/>
    <hyperlink ref="C1608" r:id="rId707" xr:uid="{34D46C64-F7B5-4D8A-BF73-196575B87A05}"/>
    <hyperlink ref="C1611" r:id="rId708" xr:uid="{0F2971D6-5CEC-4C19-AFC8-CD109DA12227}"/>
    <hyperlink ref="C1612" r:id="rId709" xr:uid="{A2880F77-4F70-4340-8F9A-95A1C375DCB0}"/>
    <hyperlink ref="C1613" r:id="rId710" xr:uid="{3DC81FCD-5208-4BA2-86BB-2F5D68E4889F}"/>
    <hyperlink ref="C1614" r:id="rId711" xr:uid="{7249A81B-EAE0-4594-ADC4-6AC23C595B33}"/>
    <hyperlink ref="C1615" r:id="rId712" xr:uid="{5FF71428-C307-4A11-B8F1-B67E698B751C}"/>
    <hyperlink ref="C1616" r:id="rId713" xr:uid="{89C90970-6A21-4336-AEF9-37422C0BB8BE}"/>
    <hyperlink ref="C1617" r:id="rId714" xr:uid="{2A7E2938-57EE-4D40-9961-024EDE3B1EE8}"/>
    <hyperlink ref="C1620" r:id="rId715" xr:uid="{5A756417-C5B6-493F-BCDE-FB23AB2AA51B}"/>
    <hyperlink ref="C1623" r:id="rId716" xr:uid="{460BB60A-9D6A-4DA8-AB22-02557F644A9A}"/>
    <hyperlink ref="C1624" r:id="rId717" xr:uid="{27AC72F0-8FDF-4CF3-ABFF-0BF68C52EFEE}"/>
    <hyperlink ref="C1625" r:id="rId718" xr:uid="{0C6298C4-389D-4C52-8C00-686281885B2E}"/>
    <hyperlink ref="C1626" r:id="rId719" xr:uid="{7636CDD0-4C76-4C7B-A47E-0532A0125CBE}"/>
    <hyperlink ref="C1627" r:id="rId720" xr:uid="{FB66C5D3-5040-490B-8B74-EB696EF3929C}"/>
    <hyperlink ref="C1628" r:id="rId721" xr:uid="{F8EDA1D9-653F-4D5C-B758-BD3A0747140C}"/>
    <hyperlink ref="C1631" r:id="rId722" xr:uid="{A287EB27-FDF3-4D1C-A132-D6AA5059D72A}"/>
    <hyperlink ref="C1634" r:id="rId723" xr:uid="{A30F4D31-EFBC-4846-AA64-4FC5A757E8C7}"/>
    <hyperlink ref="C1635" r:id="rId724" xr:uid="{7D5B00A8-D7B3-4715-AF07-3197A22D8ABB}"/>
    <hyperlink ref="C1636" r:id="rId725" xr:uid="{1E8BB70E-BE67-4916-A227-A7EF37B51E1C}"/>
    <hyperlink ref="C1639" r:id="rId726" xr:uid="{F1621EAD-B58C-4EA8-A9A3-ABB15FE2CF03}"/>
    <hyperlink ref="C1642" r:id="rId727" xr:uid="{6A64E8D8-56A2-4AD2-9AB9-9D15FA14B868}"/>
    <hyperlink ref="C1645" r:id="rId728" xr:uid="{D3D8A3DB-4BB0-4DED-9392-5940F43EC1A7}"/>
    <hyperlink ref="C1648" r:id="rId729" xr:uid="{C5B24938-DEC1-4AAC-B088-342D380D9373}"/>
    <hyperlink ref="C1649" r:id="rId730" xr:uid="{883A5CAD-EDAB-4395-8889-DB67229D5C47}"/>
    <hyperlink ref="C1652" r:id="rId731" xr:uid="{4D8ACEAA-174F-4C48-84F0-D2B6C833DBE0}"/>
    <hyperlink ref="C1655" r:id="rId732" xr:uid="{00CF5680-8AA3-4647-AC6F-67AD8F8B9352}"/>
    <hyperlink ref="C1656" r:id="rId733" xr:uid="{96280F63-8D95-4C69-BB38-1CB9EA2DAB1B}"/>
    <hyperlink ref="C1657" r:id="rId734" xr:uid="{894CD492-9B97-4889-ADA2-05CDAF0486C3}"/>
    <hyperlink ref="C1658" r:id="rId735" xr:uid="{F44B687D-CC7F-4A7D-AE0F-24AB3060BA91}"/>
    <hyperlink ref="C1659" r:id="rId736" xr:uid="{0DA708B5-32B5-404A-B706-DB4A0DA609D6}"/>
    <hyperlink ref="C1662" r:id="rId737" xr:uid="{FF978AD6-454A-43D6-A54B-11377566A62E}"/>
    <hyperlink ref="C1665" r:id="rId738" xr:uid="{D1AA70AC-305C-40F7-9178-0030D84D9A62}"/>
    <hyperlink ref="C1668" r:id="rId739" xr:uid="{EFB5CB63-6973-4048-AA99-8646F8C1F8BB}"/>
    <hyperlink ref="C1671" r:id="rId740" xr:uid="{0C991398-AAF8-4D3A-8751-5F637E723E0A}"/>
    <hyperlink ref="C1674" r:id="rId741" xr:uid="{93AA175F-4FFE-49E8-BEBD-30E3BAF14529}"/>
    <hyperlink ref="C1677" r:id="rId742" xr:uid="{D004AE6C-42BC-446A-8656-09DC4832CD9F}"/>
    <hyperlink ref="C1680" r:id="rId743" xr:uid="{12906C67-69F9-476A-800E-F8D2F3D00466}"/>
    <hyperlink ref="C1683" r:id="rId744" xr:uid="{7552ECF6-E747-4015-85EA-A70D6EF857F6}"/>
    <hyperlink ref="C1686" r:id="rId745" xr:uid="{EBD831E7-468F-4055-9C97-CAB5C5954648}"/>
    <hyperlink ref="C1689" r:id="rId746" xr:uid="{8E0F9AEB-502E-400C-95D0-43FF20EB7A77}"/>
    <hyperlink ref="C1692" r:id="rId747" xr:uid="{E9D991CC-FC59-4D65-B86B-EEC791435D24}"/>
    <hyperlink ref="C1695" r:id="rId748" xr:uid="{92E6C2B4-0861-4BA1-8C00-C0C1F87B3E73}"/>
    <hyperlink ref="C1698" r:id="rId749" xr:uid="{8CF8804B-24A7-40AE-9F81-29102069F936}"/>
    <hyperlink ref="C1699" r:id="rId750" xr:uid="{D5140749-E189-4077-972D-DD77DD7AB07A}"/>
    <hyperlink ref="C1702" r:id="rId751" xr:uid="{D53CCD4B-A073-41A2-9010-20DC5A943E0F}"/>
    <hyperlink ref="C1705" r:id="rId752" xr:uid="{56E87B70-4851-428C-BC00-2E8E48DC65C9}"/>
    <hyperlink ref="C1708" r:id="rId753" xr:uid="{1A761E95-8E47-4A58-B998-AF1DB958C9B2}"/>
    <hyperlink ref="C1709" r:id="rId754" xr:uid="{AF5DAEBA-EF32-4669-98AF-3334C8B5A579}"/>
    <hyperlink ref="C1712" r:id="rId755" xr:uid="{714C62A7-EED4-49D0-A866-70E52CF77B9E}"/>
    <hyperlink ref="C1715" r:id="rId756" xr:uid="{C9034846-8829-4799-BEB8-9D574C0BB28C}"/>
    <hyperlink ref="C1718" r:id="rId757" xr:uid="{CBB69233-DB1C-44A3-814F-C5FF86C5592A}"/>
    <hyperlink ref="C1721" r:id="rId758" xr:uid="{DB656C84-F732-4EF1-BB0C-1AEDFE4CDD15}"/>
    <hyperlink ref="C1724" r:id="rId759" xr:uid="{81EDDEB6-C976-47F7-8F7F-E710E39E5541}"/>
    <hyperlink ref="C1727" r:id="rId760" xr:uid="{7FDD1C20-0E3E-49B5-BF8E-4B5FD57C0BED}"/>
    <hyperlink ref="C1730" r:id="rId761" xr:uid="{A510C75D-0498-4AD7-9FEE-FB642E2F592C}"/>
    <hyperlink ref="C1733" r:id="rId762" xr:uid="{2A084A18-553D-4F78-812F-60CDA1DB5A39}"/>
    <hyperlink ref="C1736" r:id="rId763" xr:uid="{AC5C9FAE-3114-4467-9E54-3B5C3C17A538}"/>
    <hyperlink ref="C1739" r:id="rId764" xr:uid="{255E5FED-9DFE-46D1-8225-E295C213191B}"/>
    <hyperlink ref="C1742" r:id="rId765" xr:uid="{DFFB06E0-346F-4F08-A65D-28DD0DC5183C}"/>
    <hyperlink ref="C1745" r:id="rId766" xr:uid="{724DD2EB-FEF3-449B-9D06-BAA277F80A49}"/>
    <hyperlink ref="C1748" r:id="rId767" xr:uid="{9D47E063-7F73-422C-B9F5-49E7B1D7A538}"/>
    <hyperlink ref="C1751" r:id="rId768" xr:uid="{5E1D5BF3-E1D4-4555-A988-783470F76F7F}"/>
    <hyperlink ref="C1754" r:id="rId769" xr:uid="{70D1B888-28A4-4B4C-8C6B-2922600930F3}"/>
    <hyperlink ref="C1755" r:id="rId770" xr:uid="{4C565445-A125-4A82-ADBC-BAD9E2D1E1D3}"/>
    <hyperlink ref="C1756" r:id="rId771" xr:uid="{B46DEB75-6E06-4D42-BDF3-FFCF5D8D768B}"/>
    <hyperlink ref="C1757" r:id="rId772" xr:uid="{CD6EB149-53E3-4818-93EA-24F6E5B66CA8}"/>
    <hyperlink ref="C1760" r:id="rId773" xr:uid="{6C9293EF-BB2E-46A7-8FA0-11001F2A4F93}"/>
    <hyperlink ref="C1763" r:id="rId774" xr:uid="{F1B22D35-3374-4345-98BF-5A48A0331DBE}"/>
    <hyperlink ref="C1766" r:id="rId775" xr:uid="{470E1460-56C6-4733-850C-D4FD7E614BA3}"/>
    <hyperlink ref="C1769" r:id="rId776" xr:uid="{0E3CE3DD-5750-4B94-947F-F6D6641B8FCF}"/>
    <hyperlink ref="C1772" r:id="rId777" xr:uid="{A27C0C3E-4B9E-4263-A5D4-0B9ADC3A6B87}"/>
    <hyperlink ref="C1775" r:id="rId778" xr:uid="{88026BF1-0D0E-46C2-AD0A-B1B9297E1888}"/>
    <hyperlink ref="C1778" r:id="rId779" xr:uid="{230501D6-7370-4602-919D-56179B86B852}"/>
    <hyperlink ref="C1781" r:id="rId780" xr:uid="{1B84E510-0F48-45FF-A3D1-273C0A2FC1C9}"/>
    <hyperlink ref="C1782" r:id="rId781" xr:uid="{1B97F35F-002D-4901-AEAD-3784248344A3}"/>
    <hyperlink ref="C1785" r:id="rId782" xr:uid="{BE9C3DB2-1DEF-4EA5-8358-DEA13C9D8C89}"/>
    <hyperlink ref="C1788" r:id="rId783" xr:uid="{298E2514-80AC-453F-B411-7B8DDBBF1C7B}"/>
    <hyperlink ref="C1791" r:id="rId784" xr:uid="{8C3F3CF1-7EE6-49B2-A7C4-B263B1928686}"/>
    <hyperlink ref="C1794" r:id="rId785" xr:uid="{26D270AF-E541-4790-90CE-EAAD2F817051}"/>
    <hyperlink ref="C1797" r:id="rId786" xr:uid="{A2770EB3-7E21-4578-B5AB-7CF81D9ED4F9}"/>
    <hyperlink ref="C1798" r:id="rId787" xr:uid="{C441623F-BD03-4D8B-B9E7-454ED3E0CEC6}"/>
    <hyperlink ref="C1801" r:id="rId788" xr:uid="{5BA3763D-B05B-4CB7-A115-A215C8CE7A7E}"/>
    <hyperlink ref="C1804" r:id="rId789" xr:uid="{9172D2C9-0F25-499F-91AF-5987E52FCAAA}"/>
    <hyperlink ref="C1807" r:id="rId790" xr:uid="{1B44C6D1-E6C2-4B30-AAF8-77E75587A042}"/>
    <hyperlink ref="C1810" r:id="rId791" xr:uid="{96BABD7F-C41B-403B-8010-80BAD87B3EE8}"/>
    <hyperlink ref="C1813" r:id="rId792" xr:uid="{25FC56A8-65ED-4D7E-A3F4-9CA303991551}"/>
    <hyperlink ref="C1816" r:id="rId793" xr:uid="{297FA764-6651-4CC6-9AEE-A7625D3FDD9F}"/>
    <hyperlink ref="C1819" r:id="rId794" xr:uid="{DDE3C20F-4555-46F8-BD6B-A7F6215256B6}"/>
    <hyperlink ref="C1822" r:id="rId795" xr:uid="{08B551D1-95E1-42DF-B199-DDC14FFA8CC3}"/>
    <hyperlink ref="C1825" r:id="rId796" xr:uid="{1516ED18-C54E-4706-AE8E-718E43A8DFEB}"/>
    <hyperlink ref="C1826" r:id="rId797" xr:uid="{087086D3-ABB2-498C-98D2-E19F0989E0D4}"/>
    <hyperlink ref="C1829" r:id="rId798" xr:uid="{743B09BF-A666-446F-82E2-8EB07046148D}"/>
    <hyperlink ref="C1832" r:id="rId799" xr:uid="{164BBBCC-3ED8-4DE4-9B57-84EAF01895AF}"/>
    <hyperlink ref="C1835" r:id="rId800" xr:uid="{67432CBA-96CD-4EEC-BDBD-758BD6752AE4}"/>
    <hyperlink ref="C1838" r:id="rId801" xr:uid="{6341A621-30A6-4204-9DF9-727D8880997C}"/>
    <hyperlink ref="C1841" r:id="rId802" xr:uid="{26559BA8-E3E0-4FDF-8C66-C4116CDDF05D}"/>
    <hyperlink ref="C1842" r:id="rId803" xr:uid="{9B9D73C9-B97E-4B0A-A097-8D164106261F}"/>
    <hyperlink ref="C1843" r:id="rId804" xr:uid="{6006CE4D-DBE1-4268-A676-6D8C90DC8174}"/>
    <hyperlink ref="C1844" r:id="rId805" xr:uid="{B19972F5-37DB-42E9-9341-FEC28D9060B3}"/>
    <hyperlink ref="C1845" r:id="rId806" xr:uid="{D1A113B2-492F-4DF0-9801-7CED45EBDEAB}"/>
    <hyperlink ref="C1848" r:id="rId807" xr:uid="{1CE251A3-4B68-408B-9051-FF182887A5A2}"/>
    <hyperlink ref="C1851" r:id="rId808" xr:uid="{53288BEA-7006-4C2A-8A12-160AA3CB1BE1}"/>
    <hyperlink ref="C1854" r:id="rId809" xr:uid="{21AB5D10-D639-4BE0-842C-828EDE1264E3}"/>
    <hyperlink ref="C1857" r:id="rId810" xr:uid="{4877A347-6122-4ED4-B482-9255ABDCF781}"/>
    <hyperlink ref="C1860" r:id="rId811" xr:uid="{1E49C356-ABD9-4413-A3BB-101046B47FA4}"/>
    <hyperlink ref="C1863" r:id="rId812" xr:uid="{681028D0-81EE-4C83-82E1-049DD588DDD5}"/>
    <hyperlink ref="C1864" r:id="rId813" xr:uid="{3ED156DB-2261-442C-85A5-594B93D43A48}"/>
    <hyperlink ref="C1865" r:id="rId814" xr:uid="{09EBFED1-E5CB-46D9-8BEE-6C6AF3D5783E}"/>
    <hyperlink ref="C1866" r:id="rId815" xr:uid="{1E2D5A13-314C-47B0-B4DC-7977FCE2477D}"/>
    <hyperlink ref="C1867" r:id="rId816" xr:uid="{BF21B906-3F41-43B0-A058-E7F74AF32BFB}"/>
    <hyperlink ref="C1868" r:id="rId817" xr:uid="{AB25B103-767D-472C-9526-DDCC61A0E9CF}"/>
    <hyperlink ref="C1869" r:id="rId818" xr:uid="{6025F2A9-FCB9-444F-B89F-2A7317C66DBE}"/>
    <hyperlink ref="C1870" r:id="rId819" xr:uid="{D5DAA75A-3FCD-4D07-A97D-CE356F6349C4}"/>
    <hyperlink ref="C1871" r:id="rId820" xr:uid="{79AE1294-C340-4BD3-9449-C7A32C14EE4A}"/>
    <hyperlink ref="C1872" r:id="rId821" xr:uid="{E13C153D-82AF-477A-AD55-862739574776}"/>
    <hyperlink ref="C1873" r:id="rId822" xr:uid="{CB14C607-2E93-428F-94E6-9037C90BAF9A}"/>
    <hyperlink ref="C1874" r:id="rId823" xr:uid="{510CEB16-9061-4A0E-BA92-C828EDCF18FF}"/>
    <hyperlink ref="C1875" r:id="rId824" xr:uid="{65231B91-64DD-4245-A4A6-A42B54FAA0A0}"/>
    <hyperlink ref="C1876" r:id="rId825" xr:uid="{15A41A62-D12A-42C8-AF33-2743D7270881}"/>
    <hyperlink ref="C1879" r:id="rId826" xr:uid="{962ECF38-39B9-4290-AD8B-4DD57C0211E5}"/>
    <hyperlink ref="C1882" r:id="rId827" xr:uid="{7384F25C-A10D-4736-BF6B-78124D4F4356}"/>
    <hyperlink ref="C1885" r:id="rId828" xr:uid="{8492EFB9-B5CD-4AFF-BBFE-C4E76FABF158}"/>
    <hyperlink ref="C1888" r:id="rId829" xr:uid="{A81CEB30-6926-4F9B-BC78-E69D270494FF}"/>
    <hyperlink ref="C1891" r:id="rId830" xr:uid="{F02A5A0C-FAFA-442B-A6BC-59EBBD659FC4}"/>
    <hyperlink ref="C1894" r:id="rId831" xr:uid="{94DDA67E-145F-4D11-A1F9-57B89479FD6C}"/>
    <hyperlink ref="C1897" r:id="rId832" xr:uid="{E5C85275-3073-4725-AEC9-B07DDBC22303}"/>
    <hyperlink ref="C1900" r:id="rId833" xr:uid="{BE97B2D8-94E1-467D-85B3-604A20247688}"/>
    <hyperlink ref="C1903" r:id="rId834" xr:uid="{986764CF-F12F-4FB9-B498-AB6B4A08C3FC}"/>
    <hyperlink ref="C1906" r:id="rId835" xr:uid="{C69280AC-8E9E-4B43-B0FD-A5B7D88674AC}"/>
    <hyperlink ref="C1909" r:id="rId836" xr:uid="{CBE2DAA1-AA6B-4C7E-A80E-F2146A4F3038}"/>
    <hyperlink ref="C1912" r:id="rId837" xr:uid="{8EDA9576-DD0A-40A6-967C-97DB6F2C220A}"/>
    <hyperlink ref="C1915" r:id="rId838" xr:uid="{D63324FF-BCE3-4D1E-B92B-D81F48EF832E}"/>
    <hyperlink ref="C1918" r:id="rId839" xr:uid="{6F6E9C87-832D-42BC-8CF9-F6C09F0E9906}"/>
    <hyperlink ref="C1921" r:id="rId840" xr:uid="{3CF089D9-7140-40E0-8993-EE5296F57E8F}"/>
    <hyperlink ref="C1924" r:id="rId841" xr:uid="{98EB1207-1DFB-4B5C-9915-4E5582E17B6A}"/>
    <hyperlink ref="C1927" r:id="rId842" xr:uid="{7F495F24-D32D-47F1-8617-B9FB339EEA23}"/>
    <hyperlink ref="C1930" r:id="rId843" xr:uid="{CC39458D-C721-4E74-A3A4-0EEFC26071F7}"/>
    <hyperlink ref="C1933" r:id="rId844" xr:uid="{DE1EDB9C-5C72-4B48-AEF7-8651F4F772E0}"/>
    <hyperlink ref="C1934" r:id="rId845" xr:uid="{BA9EB7FF-BA83-4422-86BA-0FC061E720A0}"/>
    <hyperlink ref="C1937" r:id="rId846" xr:uid="{2ED9CBF6-3F12-4785-B42B-F3634932140C}"/>
    <hyperlink ref="C1940" r:id="rId847" xr:uid="{611B41A8-C98C-4574-A7E5-F6314FB06841}"/>
    <hyperlink ref="C1943" r:id="rId848" xr:uid="{79BD5820-0876-46B6-AE33-4DEE9537EC7B}"/>
    <hyperlink ref="C1946" r:id="rId849" xr:uid="{4781DED1-2861-40AB-977E-2CE993810632}"/>
    <hyperlink ref="C1949" r:id="rId850" xr:uid="{C1C23AB5-7539-4550-B0A6-B03A549068F6}"/>
    <hyperlink ref="C1952" r:id="rId851" xr:uid="{07C71C01-FB89-4381-9339-90C02DF4B5EF}"/>
    <hyperlink ref="C1955" r:id="rId852" xr:uid="{261B8268-D0A3-4E41-8302-49C0025871E3}"/>
    <hyperlink ref="C1958" r:id="rId853" xr:uid="{B462F587-0A08-4E88-ACD2-D48CD772DD8D}"/>
    <hyperlink ref="C1961" r:id="rId854" xr:uid="{11BF3233-EF13-4E5E-8413-9F9D7CF1EF83}"/>
    <hyperlink ref="C1964" r:id="rId855" xr:uid="{FB0D0F64-A81C-453C-B54D-D333063EB5AA}"/>
    <hyperlink ref="C1967" r:id="rId856" xr:uid="{E51A3BD7-BE2B-4ADC-8607-F1ECC477FFD7}"/>
    <hyperlink ref="C1970" r:id="rId857" xr:uid="{1332FC66-DC8A-42ED-9814-67874EFF720B}"/>
    <hyperlink ref="C1973" r:id="rId858" xr:uid="{D0B2B8DF-9B98-48E8-9518-BC11D9254E2E}"/>
    <hyperlink ref="C1974" r:id="rId859" xr:uid="{D0E861C3-78C4-42EB-9226-291BC60A6077}"/>
    <hyperlink ref="C1975" r:id="rId860" xr:uid="{F7CC5461-0C5D-4F49-997D-733DB347602D}"/>
    <hyperlink ref="C1976" r:id="rId861" xr:uid="{C0458AAA-90BC-40A9-AD4F-B753337F9F55}"/>
    <hyperlink ref="C1979" r:id="rId862" xr:uid="{0C1CF676-BDAA-465E-8632-0B7E4FAC8540}"/>
    <hyperlink ref="C1980" r:id="rId863" xr:uid="{D7A5187B-0F80-4C2D-967A-D96800F6289F}"/>
    <hyperlink ref="C1981" r:id="rId864" xr:uid="{21C65DC7-1421-47EC-99A9-0F05D0BDAAFC}"/>
    <hyperlink ref="C1982" r:id="rId865" xr:uid="{B870FB92-C083-46AF-8D33-9DF29EEB951B}"/>
    <hyperlink ref="C1985" r:id="rId866" xr:uid="{555D29E1-C671-41F5-A05E-78DE294741CD}"/>
    <hyperlink ref="C1986" r:id="rId867" xr:uid="{CE72590A-BC1E-4EDA-B315-96A15479E2F4}"/>
    <hyperlink ref="C1987" r:id="rId868" xr:uid="{5BBEA653-37D8-42D1-BD9E-086D5492EC08}"/>
    <hyperlink ref="C1990" r:id="rId869" xr:uid="{8CE8BFB7-0846-4521-9B7F-ED8203A7B75F}"/>
    <hyperlink ref="C1993" r:id="rId870" xr:uid="{1AFBD1C7-BABE-4192-9D2F-E6A013591DB3}"/>
    <hyperlink ref="C1994" r:id="rId871" xr:uid="{1E78673B-20C6-4C95-9C67-C64D2B0E3015}"/>
    <hyperlink ref="C1995" r:id="rId872" xr:uid="{4ECCEB18-CE4F-4449-9291-DBFE9ECA629E}"/>
    <hyperlink ref="C1996" r:id="rId873" xr:uid="{DA195706-EBC1-45CB-B09B-B82F8D0B3C9E}"/>
    <hyperlink ref="C1999" r:id="rId874" xr:uid="{0FE8D5F9-4926-45C7-8F57-1BA2E92552FC}"/>
    <hyperlink ref="C2000" r:id="rId875" xr:uid="{9BA21579-D59E-4612-9C62-7871FA49D468}"/>
    <hyperlink ref="C2001" r:id="rId876" xr:uid="{16ECBA3A-A1FC-4C59-A715-CE0070D7DA75}"/>
    <hyperlink ref="C2004" r:id="rId877" xr:uid="{BBC08519-FD01-48FD-A7CC-548DEE9F94A4}"/>
    <hyperlink ref="C2005" r:id="rId878" xr:uid="{04A7A9E7-F388-41F8-9F32-52910229CEB7}"/>
    <hyperlink ref="C2008" r:id="rId879" xr:uid="{259FDBEF-2F55-494B-AF6C-C7C41598F9F7}"/>
    <hyperlink ref="C2011" r:id="rId880" xr:uid="{B46811A7-A88E-477D-8AD8-97682C087CAF}"/>
    <hyperlink ref="C2014" r:id="rId881" xr:uid="{4ED82A64-1B20-4D30-AACC-4A37700CEEB3}"/>
    <hyperlink ref="C2017" r:id="rId882" xr:uid="{339036F5-1C79-488A-A4B4-AB2C5637554B}"/>
    <hyperlink ref="C2020" r:id="rId883" xr:uid="{41CC84BF-2229-4375-8626-6756E278AB8D}"/>
    <hyperlink ref="C2023" r:id="rId884" xr:uid="{12848233-CD59-44B8-A2A8-FFA9451690F9}"/>
    <hyperlink ref="C2026" r:id="rId885" xr:uid="{5C1F9B09-B1E9-40DE-B583-F44D2C504889}"/>
    <hyperlink ref="C2029" r:id="rId886" xr:uid="{047F075C-89FA-4CEB-BB95-E56F1B6D1FA0}"/>
    <hyperlink ref="C2032" r:id="rId887" xr:uid="{3E7841E0-FA3D-49EE-B2C7-23C0A56559B0}"/>
    <hyperlink ref="C2033" r:id="rId888" xr:uid="{EA9A7159-28B0-4B1D-9481-8EA2F3248950}"/>
    <hyperlink ref="C2034" r:id="rId889" xr:uid="{0760C7ED-2F35-4D67-9A5D-F2D72657966D}"/>
    <hyperlink ref="C2035" r:id="rId890" xr:uid="{36E9B1EF-D063-4C02-85B9-9C548E91F264}"/>
    <hyperlink ref="C2036" r:id="rId891" xr:uid="{EF6E5997-6AA2-4AC9-B15A-8265BD45C40E}"/>
    <hyperlink ref="C2037" r:id="rId892" xr:uid="{4479433A-FAE4-4D81-9160-71F77711E067}"/>
    <hyperlink ref="C2038" r:id="rId893" xr:uid="{8278B1F1-3516-439D-8804-D3819DEA8F95}"/>
    <hyperlink ref="C2039" r:id="rId894" xr:uid="{AF7DE102-0F3E-49C3-8062-5A96166A9E59}"/>
    <hyperlink ref="C2040" r:id="rId895" xr:uid="{35830821-ED57-48D3-B005-8BC56074A4A4}"/>
    <hyperlink ref="C2041" r:id="rId896" xr:uid="{331E0479-1B0A-4104-8C48-13D5CD65379B}"/>
    <hyperlink ref="C2042" r:id="rId897" xr:uid="{000D1A51-4A71-4BD0-B9FA-E1E8655E9856}"/>
    <hyperlink ref="C2043" r:id="rId898" xr:uid="{6AE11081-B6BB-4594-A8F4-85A67467917A}"/>
    <hyperlink ref="C2044" r:id="rId899" xr:uid="{2E810B58-CB1B-458B-86DB-AB197F2DCE89}"/>
    <hyperlink ref="C2047" r:id="rId900" xr:uid="{9BEB2FA2-AE0F-435B-9BBB-6F8FDE1CEA51}"/>
    <hyperlink ref="C2050" r:id="rId901" xr:uid="{9328C27E-C64B-4231-8384-68B63FB2BEE3}"/>
    <hyperlink ref="C2053" r:id="rId902" xr:uid="{CA09A900-F0DC-4D6E-8CF5-BBE1A6220F36}"/>
    <hyperlink ref="C2054" r:id="rId903" xr:uid="{54B1B181-8081-4E2F-91A6-0BCBBA57E444}"/>
    <hyperlink ref="C2057" r:id="rId904" xr:uid="{491E0100-606B-455A-A19F-91A3119E4EA0}"/>
    <hyperlink ref="C2060" r:id="rId905" xr:uid="{AB21B228-1D4F-4C6D-AFD2-E4A205696A70}"/>
    <hyperlink ref="C2063" r:id="rId906" xr:uid="{549AFAE1-BCDE-4214-ADD4-7FD311D5EC20}"/>
    <hyperlink ref="C2064" r:id="rId907" xr:uid="{9F09C4ED-C527-4728-B310-1ED18EFB738B}"/>
    <hyperlink ref="C2065" r:id="rId908" xr:uid="{4C42BB1E-631E-459E-9E98-88AFB3ECC816}"/>
    <hyperlink ref="C2066" r:id="rId909" xr:uid="{22519A40-FC1C-45B1-9166-BFE168F7A7B7}"/>
    <hyperlink ref="C2067" r:id="rId910" xr:uid="{F7539852-6338-4D22-9C3B-B7EE6470BEDE}"/>
    <hyperlink ref="C2068" r:id="rId911" xr:uid="{36F3EFCA-4D2A-41B4-A71B-72E55C495447}"/>
    <hyperlink ref="C2069" r:id="rId912" xr:uid="{D4FB34B6-71A1-4F89-8815-A964E255D6F4}"/>
    <hyperlink ref="C2070" r:id="rId913" xr:uid="{F360E7CD-487E-47F6-8ADE-767382459C68}"/>
    <hyperlink ref="C2071" r:id="rId914" xr:uid="{C4E53FE4-F7AE-459D-A802-EF717D047343}"/>
    <hyperlink ref="C2072" r:id="rId915" xr:uid="{EED583E9-514A-4BE2-8A52-F1E286F65467}"/>
    <hyperlink ref="C2073" r:id="rId916" xr:uid="{CAE755D9-3648-4BAC-B09C-64615A3524C0}"/>
    <hyperlink ref="C2074" r:id="rId917" xr:uid="{961042DF-C8EC-4B57-B6A4-0B1647D0FC8D}"/>
    <hyperlink ref="C2077" r:id="rId918" xr:uid="{2095EFDE-2B52-40BC-A50C-5E7698D38F23}"/>
  </hyperlinks>
  <pageMargins left="0.7" right="0.7" top="0.7" bottom="0.7" header="0.5" footer="0.5"/>
  <pageSetup scale="40" fitToHeight="990" orientation="portrait" useFirstPageNumber="1" r:id="rId919"/>
  <headerFooter alignWithMargins="0">
    <oddHeader>&amp;R&amp;B&amp;D &amp;T</oddHeader>
    <oddFooter>&amp;C&amp;B Page &amp;P of &amp;N</oddFooter>
  </headerFooter>
  <rowBreaks count="1" manualBreakCount="1">
    <brk id="37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4a98409-f8e5-42ef-830d-f607d7f91978">
      <Terms xmlns="http://schemas.microsoft.com/office/infopath/2007/PartnerControls"/>
    </lcf76f155ced4ddcb4097134ff3c332f>
    <TaxCatchAll xmlns="582d5ec7-6ffa-4ecf-b4fc-4a682f36162d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112DC3546FA946949CD5F1352B9A0A" ma:contentTypeVersion="11" ma:contentTypeDescription="Create a new document." ma:contentTypeScope="" ma:versionID="2e51f51ae3efbaab3fbe92008924ad4d">
  <xsd:schema xmlns:xsd="http://www.w3.org/2001/XMLSchema" xmlns:xs="http://www.w3.org/2001/XMLSchema" xmlns:p="http://schemas.microsoft.com/office/2006/metadata/properties" xmlns:ns2="54a98409-f8e5-42ef-830d-f607d7f91978" xmlns:ns3="582d5ec7-6ffa-4ecf-b4fc-4a682f36162d" targetNamespace="http://schemas.microsoft.com/office/2006/metadata/properties" ma:root="true" ma:fieldsID="79b34f4afeee4b2529f98f79891b2f11" ns2:_="" ns3:_="">
    <xsd:import namespace="54a98409-f8e5-42ef-830d-f607d7f91978"/>
    <xsd:import namespace="582d5ec7-6ffa-4ecf-b4fc-4a682f3616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a98409-f8e5-42ef-830d-f607d7f919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858537b-aa07-431d-8e21-7d1954d11d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2d5ec7-6ffa-4ecf-b4fc-4a682f36162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ac624a27-36e8-4606-805c-c71260df65b3}" ma:internalName="TaxCatchAll" ma:showField="CatchAllData" ma:web="582d5ec7-6ffa-4ecf-b4fc-4a682f3616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7E5B1B4-461D-466A-8EC9-9E9DFA4557A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3CFB249-DF83-4FDC-B2A3-3B0778906586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6752B884-745D-4B0A-96D3-5EF0347166DE}">
  <ds:schemaRefs>
    <ds:schemaRef ds:uri="http://schemas.microsoft.com/office/2006/metadata/properties"/>
    <ds:schemaRef ds:uri="http://schemas.microsoft.com/office/infopath/2007/PartnerControls"/>
    <ds:schemaRef ds:uri="54a98409-f8e5-42ef-830d-f607d7f91978"/>
    <ds:schemaRef ds:uri="582d5ec7-6ffa-4ecf-b4fc-4a682f36162d"/>
  </ds:schemaRefs>
</ds:datastoreItem>
</file>

<file path=customXml/itemProps4.xml><?xml version="1.0" encoding="utf-8"?>
<ds:datastoreItem xmlns:ds="http://schemas.openxmlformats.org/officeDocument/2006/customXml" ds:itemID="{AC5844F3-7652-4516-A1B7-5B52ADD32F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a98409-f8e5-42ef-830d-f607d7f91978"/>
    <ds:schemaRef ds:uri="582d5ec7-6ffa-4ecf-b4fc-4a682f3616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4</vt:i4>
      </vt:variant>
    </vt:vector>
  </HeadingPairs>
  <TitlesOfParts>
    <vt:vector size="20" baseType="lpstr">
      <vt:lpstr>Instructions</vt:lpstr>
      <vt:lpstr>Instruction</vt:lpstr>
      <vt:lpstr>ETL</vt:lpstr>
      <vt:lpstr>Upload tab</vt:lpstr>
      <vt:lpstr>Data Details -&gt;&gt;</vt:lpstr>
      <vt:lpstr>Sheet1</vt:lpstr>
      <vt:lpstr>Power Query Table</vt:lpstr>
      <vt:lpstr>Membership invoices</vt:lpstr>
      <vt:lpstr>Mapping</vt:lpstr>
      <vt:lpstr>Recoverability</vt:lpstr>
      <vt:lpstr>IC Codes</vt:lpstr>
      <vt:lpstr>Budget</vt:lpstr>
      <vt:lpstr>VAT</vt:lpstr>
      <vt:lpstr>CoA</vt:lpstr>
      <vt:lpstr>Company Info</vt:lpstr>
      <vt:lpstr>Property Listing by LE</vt:lpstr>
      <vt:lpstr>CoA!Print_Titles</vt:lpstr>
      <vt:lpstr>'Company Info'!Print_Titles</vt:lpstr>
      <vt:lpstr>'Membership invoices'!Print_Titles</vt:lpstr>
      <vt:lpstr>'Property Listing by LE'!Print_Titles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 Gabriel</dc:creator>
  <cp:keywords/>
  <dc:description/>
  <cp:lastModifiedBy>Mario Bosqued</cp:lastModifiedBy>
  <cp:revision/>
  <dcterms:created xsi:type="dcterms:W3CDTF">2021-05-11T20:48:31Z</dcterms:created>
  <dcterms:modified xsi:type="dcterms:W3CDTF">2026-02-17T18:01:10Z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 Version">
    <vt:lpwstr>21.3</vt:lpwstr>
  </property>
  <property fmtid="{D5CDD505-2E9C-101B-9397-08002B2CF9AE}" pid="3" name="ContentTypeId">
    <vt:lpwstr>0x01010057112DC3546FA946949CD5F1352B9A0A</vt:lpwstr>
  </property>
  <property fmtid="{D5CDD505-2E9C-101B-9397-08002B2CF9AE}" pid="4" name="MediaServiceImageTags">
    <vt:lpwstr/>
  </property>
  <property fmtid="{D5CDD505-2E9C-101B-9397-08002B2CF9AE}" pid="5" name="MSIP_Label_6c36893b-7021-4fc2-aaa5-c620bfe2a0dc_Enabled">
    <vt:lpwstr>true</vt:lpwstr>
  </property>
  <property fmtid="{D5CDD505-2E9C-101B-9397-08002B2CF9AE}" pid="6" name="MSIP_Label_6c36893b-7021-4fc2-aaa5-c620bfe2a0dc_SetDate">
    <vt:lpwstr>2025-08-04T11:47:42Z</vt:lpwstr>
  </property>
  <property fmtid="{D5CDD505-2E9C-101B-9397-08002B2CF9AE}" pid="7" name="MSIP_Label_6c36893b-7021-4fc2-aaa5-c620bfe2a0dc_Method">
    <vt:lpwstr>Standard</vt:lpwstr>
  </property>
  <property fmtid="{D5CDD505-2E9C-101B-9397-08002B2CF9AE}" pid="8" name="MSIP_Label_6c36893b-7021-4fc2-aaa5-c620bfe2a0dc_Name">
    <vt:lpwstr>Internal</vt:lpwstr>
  </property>
  <property fmtid="{D5CDD505-2E9C-101B-9397-08002B2CF9AE}" pid="9" name="MSIP_Label_6c36893b-7021-4fc2-aaa5-c620bfe2a0dc_SiteId">
    <vt:lpwstr>4397c3ea-4b44-4b40-bdf2-89b2dc6f4924</vt:lpwstr>
  </property>
  <property fmtid="{D5CDD505-2E9C-101B-9397-08002B2CF9AE}" pid="10" name="MSIP_Label_6c36893b-7021-4fc2-aaa5-c620bfe2a0dc_ActionId">
    <vt:lpwstr>3eaab939-79a7-40ea-ac1d-7088412ea928</vt:lpwstr>
  </property>
  <property fmtid="{D5CDD505-2E9C-101B-9397-08002B2CF9AE}" pid="11" name="MSIP_Label_6c36893b-7021-4fc2-aaa5-c620bfe2a0dc_ContentBits">
    <vt:lpwstr>0</vt:lpwstr>
  </property>
  <property fmtid="{D5CDD505-2E9C-101B-9397-08002B2CF9AE}" pid="12" name="MSIP_Label_6c36893b-7021-4fc2-aaa5-c620bfe2a0dc_Tag">
    <vt:lpwstr>10, 3, 0, 1</vt:lpwstr>
  </property>
  <property fmtid="{D5CDD505-2E9C-101B-9397-08002B2CF9AE}" pid="13" name="MSIP_Label_defa4170-0d19-0005-0004-bc88714345d2_Enabled">
    <vt:lpwstr>true</vt:lpwstr>
  </property>
  <property fmtid="{D5CDD505-2E9C-101B-9397-08002B2CF9AE}" pid="14" name="MSIP_Label_defa4170-0d19-0005-0004-bc88714345d2_SetDate">
    <vt:lpwstr>2026-02-17T17:59:04Z</vt:lpwstr>
  </property>
  <property fmtid="{D5CDD505-2E9C-101B-9397-08002B2CF9AE}" pid="15" name="MSIP_Label_defa4170-0d19-0005-0004-bc88714345d2_Method">
    <vt:lpwstr>Standard</vt:lpwstr>
  </property>
  <property fmtid="{D5CDD505-2E9C-101B-9397-08002B2CF9AE}" pid="16" name="MSIP_Label_defa4170-0d19-0005-0004-bc88714345d2_Name">
    <vt:lpwstr>defa4170-0d19-0005-0004-bc88714345d2</vt:lpwstr>
  </property>
  <property fmtid="{D5CDD505-2E9C-101B-9397-08002B2CF9AE}" pid="17" name="MSIP_Label_defa4170-0d19-0005-0004-bc88714345d2_SiteId">
    <vt:lpwstr>25913f55-e3e6-4b7d-b10d-5e8e9bbc7c53</vt:lpwstr>
  </property>
  <property fmtid="{D5CDD505-2E9C-101B-9397-08002B2CF9AE}" pid="18" name="MSIP_Label_defa4170-0d19-0005-0004-bc88714345d2_ActionId">
    <vt:lpwstr>fc5f9133-0f29-455e-b612-03146f6c4704</vt:lpwstr>
  </property>
  <property fmtid="{D5CDD505-2E9C-101B-9397-08002B2CF9AE}" pid="19" name="MSIP_Label_defa4170-0d19-0005-0004-bc88714345d2_ContentBits">
    <vt:lpwstr>0</vt:lpwstr>
  </property>
  <property fmtid="{D5CDD505-2E9C-101B-9397-08002B2CF9AE}" pid="20" name="MSIP_Label_defa4170-0d19-0005-0004-bc88714345d2_Tag">
    <vt:lpwstr>10, 3, 0, 1</vt:lpwstr>
  </property>
</Properties>
</file>